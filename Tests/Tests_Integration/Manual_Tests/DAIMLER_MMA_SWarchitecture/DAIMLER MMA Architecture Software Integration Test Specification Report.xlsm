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_Sandbox\DAI_MMA\View_Development\Tests\Tests_Integration\Manual_Tests\DAIMLER_MMA_SWarchitecture\"/>
    </mc:Choice>
  </mc:AlternateContent>
  <xr:revisionPtr revIDLastSave="0" documentId="13_ncr:1_{43C0FDA0-EA6A-4C40-AF6C-D87293E07662}" xr6:coauthVersionLast="47" xr6:coauthVersionMax="47" xr10:uidLastSave="{00000000-0000-0000-0000-000000000000}"/>
  <bookViews>
    <workbookView xWindow="57480" yWindow="-120" windowWidth="29040" windowHeight="15840" tabRatio="743" activeTab="3" xr2:uid="{00000000-000D-0000-FFFF-FFFF00000000}"/>
  </bookViews>
  <sheets>
    <sheet name="FrontPage" sheetId="4" r:id="rId1"/>
    <sheet name="General info" sheetId="11" r:id="rId2"/>
    <sheet name="Guide (help)" sheetId="18" r:id="rId3"/>
    <sheet name="Tests Synthesis" sheetId="13" r:id="rId4"/>
    <sheet name="SW_IT_MAIN_0000" sheetId="20" r:id="rId5"/>
    <sheet name="SW_IT_MAIN_0001" sheetId="21" r:id="rId6"/>
    <sheet name="SW_IT_MAIN_0002" sheetId="22" r:id="rId7"/>
    <sheet name="SW_IT_MAIN_0003" sheetId="23" r:id="rId8"/>
    <sheet name="SW_IT_MAIN_0004" sheetId="24" r:id="rId9"/>
    <sheet name="SW_IT_MAIN_0005" sheetId="25" r:id="rId10"/>
    <sheet name="SW_IT_MAIN_0006" sheetId="26" r:id="rId11"/>
    <sheet name="SW_IT_MAIN_0007" sheetId="27" r:id="rId12"/>
    <sheet name="SW_IT_MAIN_0008" sheetId="28" r:id="rId13"/>
    <sheet name="SW_IT_MAIN_0009" sheetId="29" r:id="rId14"/>
    <sheet name="SW_IT_MAIN_0010" sheetId="30" r:id="rId15"/>
    <sheet name="SW_IT_MAIN_0011" sheetId="31" r:id="rId16"/>
    <sheet name="Metrics" sheetId="16" r:id="rId17"/>
  </sheets>
  <externalReferences>
    <externalReference r:id="rId18"/>
  </externalReference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FrontPage!#REF!</definedName>
    <definedName name="MXRevision">FrontPage!$AB$7</definedName>
    <definedName name="MXTitle">FrontPage!$E$7</definedName>
    <definedName name="MXType.Localized" localSheetId="2">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TemplateRef">FrontPage!$W$7</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 i="16" l="1"/>
  <c r="K47" i="13"/>
  <c r="F47" i="13"/>
  <c r="E47" i="13"/>
  <c r="D47" i="13"/>
  <c r="K46" i="13"/>
  <c r="F46" i="13"/>
  <c r="E46" i="13"/>
  <c r="D46" i="13"/>
  <c r="K45" i="13"/>
  <c r="F45" i="13"/>
  <c r="E45" i="13"/>
  <c r="D45" i="13"/>
  <c r="K44" i="13"/>
  <c r="F44" i="13"/>
  <c r="E44" i="13"/>
  <c r="D44" i="13"/>
  <c r="K43" i="13"/>
  <c r="F43" i="13"/>
  <c r="E43" i="13"/>
  <c r="D43" i="13"/>
  <c r="K42" i="13"/>
  <c r="F42" i="13"/>
  <c r="E42" i="13"/>
  <c r="D42" i="13"/>
  <c r="K41" i="13"/>
  <c r="F41" i="13"/>
  <c r="E41" i="13"/>
  <c r="D41" i="13"/>
  <c r="K40" i="13"/>
  <c r="F40" i="13"/>
  <c r="E40" i="13"/>
  <c r="D40" i="13"/>
  <c r="K39" i="13"/>
  <c r="F39" i="13"/>
  <c r="E39" i="13"/>
  <c r="D39" i="13"/>
  <c r="K38" i="13"/>
  <c r="F38" i="13"/>
  <c r="E38" i="13"/>
  <c r="D38" i="13"/>
  <c r="K37" i="13"/>
  <c r="F37" i="13"/>
  <c r="E37" i="13"/>
  <c r="D37" i="13"/>
  <c r="K36" i="13"/>
  <c r="F36" i="13"/>
  <c r="E36" i="13"/>
  <c r="D36" i="13"/>
  <c r="K35" i="13"/>
  <c r="F35" i="13"/>
  <c r="E35" i="13"/>
  <c r="D35" i="13"/>
  <c r="K34" i="13"/>
  <c r="F34" i="13"/>
  <c r="E34" i="13"/>
  <c r="D34" i="13"/>
  <c r="K33" i="13"/>
  <c r="F33" i="13"/>
  <c r="E33" i="13"/>
  <c r="D33" i="13"/>
  <c r="K32" i="13"/>
  <c r="F32" i="13"/>
  <c r="E32" i="13"/>
  <c r="D32" i="13"/>
  <c r="K31" i="13"/>
  <c r="F31" i="13"/>
  <c r="E31" i="13"/>
  <c r="D31" i="13"/>
  <c r="K30" i="13"/>
  <c r="F30" i="13"/>
  <c r="E30" i="13"/>
  <c r="D30" i="13"/>
  <c r="K29" i="13"/>
  <c r="F29" i="13"/>
  <c r="E29" i="13"/>
  <c r="D29" i="13"/>
  <c r="K28" i="13"/>
  <c r="F28" i="13"/>
  <c r="E28" i="13"/>
  <c r="D28" i="13"/>
  <c r="K27" i="13"/>
  <c r="F27" i="13"/>
  <c r="E27" i="13"/>
  <c r="D27" i="13"/>
  <c r="K26" i="13"/>
  <c r="F26" i="13"/>
  <c r="E26" i="13"/>
  <c r="D26" i="13"/>
  <c r="K25" i="13"/>
  <c r="F25" i="13"/>
  <c r="E25" i="13"/>
  <c r="D25" i="13"/>
  <c r="K24" i="13"/>
  <c r="F24" i="13"/>
  <c r="E24" i="13"/>
  <c r="D24" i="13"/>
  <c r="K23" i="13"/>
  <c r="F23" i="13"/>
  <c r="E23" i="13"/>
  <c r="D23" i="13"/>
  <c r="K22" i="13"/>
  <c r="F22" i="13"/>
  <c r="E22" i="13"/>
  <c r="D22" i="13"/>
  <c r="K21" i="13"/>
  <c r="F21" i="13"/>
  <c r="E21" i="13"/>
  <c r="D21" i="13"/>
  <c r="K20" i="13"/>
  <c r="F20" i="13"/>
  <c r="E20" i="13"/>
  <c r="D20" i="13"/>
  <c r="K19" i="13"/>
  <c r="F19" i="13"/>
  <c r="E19" i="13"/>
  <c r="D19" i="13"/>
  <c r="K18" i="13"/>
  <c r="F18" i="13"/>
  <c r="E18" i="13"/>
  <c r="D18" i="13"/>
  <c r="K17" i="13"/>
  <c r="F17" i="13"/>
  <c r="E17" i="13"/>
  <c r="D17" i="13"/>
  <c r="K16" i="13"/>
  <c r="F16" i="13"/>
  <c r="E16" i="13"/>
  <c r="D16" i="13"/>
  <c r="K15" i="13"/>
  <c r="F15" i="13"/>
  <c r="E15" i="13"/>
  <c r="D15" i="13"/>
  <c r="AD3" i="4"/>
  <c r="AD3" i="11" s="1"/>
  <c r="E7" i="4"/>
  <c r="W7" i="4"/>
  <c r="W5" i="4"/>
  <c r="K10" i="13"/>
  <c r="K9" i="13"/>
  <c r="F9" i="13"/>
  <c r="E13" i="13"/>
  <c r="F13" i="13"/>
  <c r="F14" i="13"/>
  <c r="E3" i="13"/>
  <c r="E9" i="13"/>
  <c r="D12" i="13"/>
  <c r="F4" i="13"/>
  <c r="D9" i="13"/>
  <c r="F3" i="13"/>
  <c r="D5" i="13"/>
  <c r="E12" i="13"/>
  <c r="D14" i="13"/>
  <c r="K6" i="13"/>
  <c r="E8" i="13"/>
  <c r="F12" i="13"/>
  <c r="D3" i="13"/>
  <c r="K11" i="13"/>
  <c r="E11" i="13"/>
  <c r="K7" i="13"/>
  <c r="K13" i="13"/>
  <c r="D8" i="13"/>
  <c r="F10" i="13"/>
  <c r="E4" i="13"/>
  <c r="D13" i="13"/>
  <c r="E6" i="13"/>
  <c r="F7" i="13"/>
  <c r="K5" i="13"/>
  <c r="F8" i="13"/>
  <c r="D11" i="13"/>
  <c r="K8" i="13"/>
  <c r="D4" i="13"/>
  <c r="E7" i="13"/>
  <c r="F5" i="13"/>
  <c r="E14" i="13"/>
  <c r="D7" i="13"/>
  <c r="F11" i="13"/>
  <c r="K4" i="13"/>
  <c r="D6" i="13"/>
  <c r="F6" i="13"/>
  <c r="E5" i="13"/>
  <c r="E10" i="13"/>
  <c r="D10" i="13"/>
  <c r="K12" i="13"/>
  <c r="K3" i="13"/>
  <c r="K14" i="13"/>
  <c r="W7" i="11" l="1"/>
  <c r="A7" i="11"/>
  <c r="W5" i="11"/>
  <c r="A5" i="11"/>
  <c r="E7" i="11"/>
  <c r="A23" i="4"/>
  <c r="AB5" i="11"/>
  <c r="C5" i="16"/>
  <c r="C3" i="16"/>
  <c r="C4" i="16"/>
  <c r="C2" i="16"/>
  <c r="C6" i="16" l="1"/>
  <c r="F4" i="16" s="1"/>
  <c r="F2" i="16" l="1"/>
  <c r="F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W7" authorId="0" shapeId="0" xr:uid="{8FDCBE47-0A32-4674-AD09-A4D2A4C92CB3}">
      <text>
        <r>
          <rPr>
            <sz val="9"/>
            <color indexed="81"/>
            <rFont val="Tahoma"/>
            <family val="2"/>
          </rPr>
          <t>Template from process AEM_PROCESS_1.17.00 Last change : AEM_PROCESS_1.05.00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Francine Chambin</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4" authorId="0" shapeId="0" xr:uid="{00000000-0006-0000-0100-000003000000}">
      <text>
        <r>
          <rPr>
            <sz val="8"/>
            <color indexed="81"/>
            <rFont val="Tahoma"/>
            <family val="2"/>
          </rPr>
          <t>The document version is given by PTC. Please copy/paste it here.</t>
        </r>
        <r>
          <rPr>
            <sz val="8"/>
            <color indexed="81"/>
            <rFont val="Tahoma"/>
            <family val="2"/>
          </rPr>
          <t xml:space="preserve">
</t>
        </r>
      </text>
    </comment>
    <comment ref="E24" authorId="0" shapeId="0" xr:uid="{00000000-0006-0000-0100-000004000000}">
      <text>
        <r>
          <rPr>
            <sz val="8"/>
            <color indexed="81"/>
            <rFont val="Tahoma"/>
            <family val="2"/>
          </rPr>
          <t>Date when the Revision is released</t>
        </r>
      </text>
    </comment>
    <comment ref="I24" authorId="0" shapeId="0" xr:uid="{00000000-0006-0000-0100-000005000000}">
      <text>
        <r>
          <rPr>
            <sz val="8"/>
            <color indexed="81"/>
            <rFont val="Tahoma"/>
            <family val="2"/>
          </rPr>
          <t>Author of the document. Authors if several.</t>
        </r>
      </text>
    </comment>
    <comment ref="R24" authorId="0" shapeId="0" xr:uid="{00000000-0006-0000-0100-000006000000}">
      <text>
        <r>
          <rPr>
            <sz val="8"/>
            <color indexed="81"/>
            <rFont val="Tahoma"/>
            <family val="2"/>
          </rPr>
          <t>Description or comment on the version. E.g. updated after meeting etc.</t>
        </r>
      </text>
    </comment>
    <comment ref="N38" authorId="1" shapeId="0" xr:uid="{00000000-0006-0000-0100-000007000000}">
      <text>
        <r>
          <rPr>
            <sz val="9"/>
            <color indexed="81"/>
            <rFont val="Tahoma"/>
            <family val="2"/>
          </rPr>
          <t>The referenced documents correspond to the customer or standard documents to be applied for the integration.</t>
        </r>
      </text>
    </comment>
    <comment ref="B39" authorId="0" shapeId="0" xr:uid="{00000000-0006-0000-0100-000008000000}">
      <text>
        <r>
          <rPr>
            <sz val="8"/>
            <color indexed="81"/>
            <rFont val="Tahoma"/>
            <family val="2"/>
          </rPr>
          <t>ID of possible reference documents. Any ID can be used, suggestion is [Int1], [Int2] etc. for internal references and [Ext1], [Ext2] etc. for external references</t>
        </r>
      </text>
    </comment>
    <comment ref="E39" authorId="0" shapeId="0" xr:uid="{00000000-0006-0000-0100-000009000000}">
      <text>
        <r>
          <rPr>
            <sz val="8"/>
            <color indexed="81"/>
            <rFont val="Tahoma"/>
            <family val="2"/>
          </rPr>
          <t>Title of reference documents.</t>
        </r>
      </text>
    </comment>
    <comment ref="Y39" authorId="0" shapeId="0" xr:uid="{00000000-0006-0000-0100-00000A000000}">
      <text>
        <r>
          <rPr>
            <sz val="8"/>
            <color indexed="81"/>
            <rFont val="Tahoma"/>
            <family val="2"/>
          </rPr>
          <t>Reference number, e.g. E123456 and revision of the reference.</t>
        </r>
      </text>
    </comment>
    <comment ref="N44" authorId="1" shapeId="0" xr:uid="{00000000-0006-0000-0100-00000B000000}">
      <text>
        <r>
          <rPr>
            <sz val="9"/>
            <color indexed="81"/>
            <rFont val="Tahoma"/>
            <family val="2"/>
          </rPr>
          <t>The applicable documents are the architecture design document and other internal documents necessary to establish this test specification.</t>
        </r>
      </text>
    </comment>
    <comment ref="B45" authorId="0" shapeId="0" xr:uid="{00000000-0006-0000-0100-00000C000000}">
      <text>
        <r>
          <rPr>
            <sz val="8"/>
            <color indexed="81"/>
            <rFont val="Tahoma"/>
            <family val="2"/>
          </rPr>
          <t>ID of possible reference documents. Any ID can be used, suggestion is [Int1], [Int2] etc. for internal references and [Ext1], [Ext2] etc. for external references</t>
        </r>
      </text>
    </comment>
    <comment ref="E45" authorId="0" shapeId="0" xr:uid="{00000000-0006-0000-0100-00000D000000}">
      <text>
        <r>
          <rPr>
            <sz val="8"/>
            <color indexed="81"/>
            <rFont val="Tahoma"/>
            <family val="2"/>
          </rPr>
          <t>Title of reference documents.</t>
        </r>
      </text>
    </comment>
    <comment ref="Y45" authorId="0" shapeId="0" xr:uid="{00000000-0006-0000-0100-00000E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Francine Chambin</author>
    <author>Crina Baciu</author>
  </authors>
  <commentList>
    <comment ref="C2" authorId="0" shapeId="0" xr:uid="{00000000-0006-0000-0300-00000100000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xr:uid="{00000000-0006-0000-0300-00000200000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xr:uid="{00000000-0006-0000-0300-000003000000}">
      <text>
        <r>
          <rPr>
            <b/>
            <sz val="9"/>
            <color indexed="81"/>
            <rFont val="Tahoma"/>
            <family val="2"/>
          </rPr>
          <t>Test Classification automatically filled (extracted from SW_IT_xxx sheet)
See General Info</t>
        </r>
      </text>
    </comment>
    <comment ref="F2" authorId="1" shapeId="0" xr:uid="{00000000-0006-0000-0300-000004000000}">
      <text>
        <r>
          <rPr>
            <b/>
            <sz val="9"/>
            <color indexed="81"/>
            <rFont val="Tahoma"/>
            <family val="2"/>
          </rPr>
          <t>Automatically filled
(extracted from SW_IT_xxx sheet)</t>
        </r>
      </text>
    </comment>
    <comment ref="G2" authorId="1" shapeId="0" xr:uid="{00000000-0006-0000-0300-00000500000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xr:uid="{00000000-0006-0000-0300-00000600000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xr:uid="{00000000-0006-0000-0300-00000700000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xr:uid="{00000000-0006-0000-0300-00000800000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xr:uid="{00000000-0006-0000-0300-00000900000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xr:uid="{00000000-0006-0000-0300-00000A000000}">
      <text>
        <r>
          <rPr>
            <b/>
            <sz val="9"/>
            <color indexed="81"/>
            <rFont val="Tahoma"/>
            <family val="2"/>
          </rPr>
          <t xml:space="preserve">To be filled manually </t>
        </r>
        <r>
          <rPr>
            <sz val="9"/>
            <color indexed="81"/>
            <rFont val="Tahoma"/>
            <family val="2"/>
          </rPr>
          <t xml:space="preserve">
Write initials of the tester. </t>
        </r>
      </text>
    </comment>
    <comment ref="M2" authorId="2" shapeId="0" xr:uid="{00000000-0006-0000-0300-00000B00000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xr:uid="{07C68F7A-E06C-41C4-89A7-F6AE57077F8D}">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B166B37E-2BE2-4C8E-99A7-2E8C04192395}">
      <text>
        <r>
          <rPr>
            <b/>
            <sz val="9"/>
            <color indexed="81"/>
            <rFont val="Tahoma"/>
            <family val="2"/>
          </rPr>
          <t xml:space="preserve">See Guide (help)
</t>
        </r>
        <r>
          <rPr>
            <sz val="9"/>
            <color indexed="81"/>
            <rFont val="Tahoma"/>
            <family val="2"/>
          </rPr>
          <t xml:space="preserve">
</t>
        </r>
      </text>
    </comment>
    <comment ref="A3" authorId="0" shapeId="0" xr:uid="{10F626B2-AA44-44D9-BFEE-0FEEEEF9A370}">
      <text>
        <r>
          <rPr>
            <b/>
            <sz val="9"/>
            <color indexed="81"/>
            <rFont val="Tahoma"/>
            <family val="2"/>
          </rPr>
          <t xml:space="preserve">See Guide (help)
</t>
        </r>
        <r>
          <rPr>
            <sz val="9"/>
            <color indexed="81"/>
            <rFont val="Tahoma"/>
            <family val="2"/>
          </rPr>
          <t xml:space="preserve">
</t>
        </r>
      </text>
    </comment>
    <comment ref="A5" authorId="0" shapeId="0" xr:uid="{421B46E2-0203-492A-8607-A5C54EA31685}">
      <text>
        <r>
          <rPr>
            <sz val="9"/>
            <color indexed="81"/>
            <rFont val="Tahoma"/>
            <family val="2"/>
          </rPr>
          <t>Definition is in the "General info" tab.
Use the dropdown list.</t>
        </r>
      </text>
    </comment>
    <comment ref="A9" authorId="0" shapeId="0" xr:uid="{D519FF09-99E3-4518-82A5-FD9AD213455D}">
      <text>
        <r>
          <rPr>
            <b/>
            <sz val="9"/>
            <color indexed="81"/>
            <rFont val="Tahoma"/>
            <family val="2"/>
          </rPr>
          <t>See Guide (help)</t>
        </r>
        <r>
          <rPr>
            <sz val="9"/>
            <color indexed="81"/>
            <rFont val="Tahoma"/>
            <family val="2"/>
          </rPr>
          <t xml:space="preserve">
</t>
        </r>
      </text>
    </comment>
    <comment ref="A11" authorId="0" shapeId="0" xr:uid="{10F87A70-139D-4360-A619-2C71FECCF4F8}">
      <text>
        <r>
          <rPr>
            <b/>
            <sz val="9"/>
            <color indexed="81"/>
            <rFont val="Tahoma"/>
            <family val="2"/>
          </rPr>
          <t xml:space="preserve">Describe the test environment and setup.
</t>
        </r>
        <r>
          <rPr>
            <sz val="9"/>
            <color indexed="81"/>
            <rFont val="Tahoma"/>
            <family val="2"/>
          </rPr>
          <t xml:space="preserve">
</t>
        </r>
      </text>
    </comment>
    <comment ref="A16" authorId="0" shapeId="0" xr:uid="{9F0D274E-B180-4DF6-BC7D-8437A89E5FF1}">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FADF5F48-8477-4A3A-97A9-ED402E2C69E6}">
      <text>
        <r>
          <rPr>
            <b/>
            <sz val="9"/>
            <color indexed="81"/>
            <rFont val="Tahoma"/>
            <family val="2"/>
          </rPr>
          <t xml:space="preserve">See Guide (help)
</t>
        </r>
        <r>
          <rPr>
            <sz val="9"/>
            <color indexed="81"/>
            <rFont val="Tahoma"/>
            <family val="2"/>
          </rPr>
          <t xml:space="preserve">
</t>
        </r>
      </text>
    </comment>
    <comment ref="A3" authorId="0" shapeId="0" xr:uid="{7323BAE7-8553-4691-9FEE-D62E6875DA2D}">
      <text>
        <r>
          <rPr>
            <b/>
            <sz val="9"/>
            <color indexed="81"/>
            <rFont val="Tahoma"/>
            <family val="2"/>
          </rPr>
          <t xml:space="preserve">See Guide (help)
</t>
        </r>
        <r>
          <rPr>
            <sz val="9"/>
            <color indexed="81"/>
            <rFont val="Tahoma"/>
            <family val="2"/>
          </rPr>
          <t xml:space="preserve">
</t>
        </r>
      </text>
    </comment>
    <comment ref="A5" authorId="0" shapeId="0" xr:uid="{D71F3B64-7597-4718-89D3-67F6F1AB9B7D}">
      <text>
        <r>
          <rPr>
            <sz val="9"/>
            <color indexed="81"/>
            <rFont val="Tahoma"/>
            <family val="2"/>
          </rPr>
          <t>Definition is in the "General info" tab.
Use the dropdown list.</t>
        </r>
      </text>
    </comment>
    <comment ref="A9" authorId="0" shapeId="0" xr:uid="{032DCC93-5D2A-43B1-8887-7CA91720869A}">
      <text>
        <r>
          <rPr>
            <b/>
            <sz val="9"/>
            <color indexed="81"/>
            <rFont val="Tahoma"/>
            <family val="2"/>
          </rPr>
          <t>See Guide (help)</t>
        </r>
        <r>
          <rPr>
            <sz val="9"/>
            <color indexed="81"/>
            <rFont val="Tahoma"/>
            <family val="2"/>
          </rPr>
          <t xml:space="preserve">
</t>
        </r>
      </text>
    </comment>
    <comment ref="A11" authorId="0" shapeId="0" xr:uid="{BF8374CE-605A-4C9B-B933-49BE2C20AE57}">
      <text>
        <r>
          <rPr>
            <b/>
            <sz val="9"/>
            <color indexed="81"/>
            <rFont val="Tahoma"/>
            <family val="2"/>
          </rPr>
          <t xml:space="preserve">Describe the test environment and setup.
</t>
        </r>
        <r>
          <rPr>
            <sz val="9"/>
            <color indexed="81"/>
            <rFont val="Tahoma"/>
            <family val="2"/>
          </rPr>
          <t xml:space="preserve">
</t>
        </r>
      </text>
    </comment>
    <comment ref="A16" authorId="0" shapeId="0" xr:uid="{37EFABA8-31F7-4876-A8BB-3F876E45179E}">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18EF2071-5DF0-41B1-8F8C-D9742700836C}">
      <text>
        <r>
          <rPr>
            <b/>
            <sz val="9"/>
            <color indexed="81"/>
            <rFont val="Tahoma"/>
            <family val="2"/>
          </rPr>
          <t xml:space="preserve">See Guide (help)
</t>
        </r>
        <r>
          <rPr>
            <sz val="9"/>
            <color indexed="81"/>
            <rFont val="Tahoma"/>
            <family val="2"/>
          </rPr>
          <t xml:space="preserve">
</t>
        </r>
      </text>
    </comment>
    <comment ref="A3" authorId="0" shapeId="0" xr:uid="{A29BA57F-258D-4010-A969-7E4A03B19151}">
      <text>
        <r>
          <rPr>
            <b/>
            <sz val="9"/>
            <color indexed="81"/>
            <rFont val="Tahoma"/>
            <family val="2"/>
          </rPr>
          <t xml:space="preserve">See Guide (help)
</t>
        </r>
        <r>
          <rPr>
            <sz val="9"/>
            <color indexed="81"/>
            <rFont val="Tahoma"/>
            <family val="2"/>
          </rPr>
          <t xml:space="preserve">
</t>
        </r>
      </text>
    </comment>
    <comment ref="A5" authorId="0" shapeId="0" xr:uid="{9B0AE25A-5F54-4B71-B6A9-3274BA2E3516}">
      <text>
        <r>
          <rPr>
            <sz val="9"/>
            <color indexed="81"/>
            <rFont val="Tahoma"/>
            <family val="2"/>
          </rPr>
          <t>Definition is in the "General info" tab.
Use the dropdown list.</t>
        </r>
      </text>
    </comment>
    <comment ref="A9" authorId="0" shapeId="0" xr:uid="{9D93D647-D05D-467A-8326-57497FE3251B}">
      <text>
        <r>
          <rPr>
            <b/>
            <sz val="9"/>
            <color indexed="81"/>
            <rFont val="Tahoma"/>
            <family val="2"/>
          </rPr>
          <t>See Guide (help)</t>
        </r>
        <r>
          <rPr>
            <sz val="9"/>
            <color indexed="81"/>
            <rFont val="Tahoma"/>
            <family val="2"/>
          </rPr>
          <t xml:space="preserve">
</t>
        </r>
      </text>
    </comment>
    <comment ref="A11" authorId="0" shapeId="0" xr:uid="{6F437B74-BD55-4418-9885-0072470B58BF}">
      <text>
        <r>
          <rPr>
            <b/>
            <sz val="9"/>
            <color indexed="81"/>
            <rFont val="Tahoma"/>
            <family val="2"/>
          </rPr>
          <t xml:space="preserve">Describe the test environment and setup.
</t>
        </r>
        <r>
          <rPr>
            <sz val="9"/>
            <color indexed="81"/>
            <rFont val="Tahoma"/>
            <family val="2"/>
          </rPr>
          <t xml:space="preserve">
</t>
        </r>
      </text>
    </comment>
    <comment ref="A16" authorId="0" shapeId="0" xr:uid="{74AFAEA8-D48B-4CD7-AECE-0F228937A344}">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BB01AE2-E12A-42E0-B231-1A2B9C9B6EAB}">
      <text>
        <r>
          <rPr>
            <b/>
            <sz val="9"/>
            <color indexed="81"/>
            <rFont val="Tahoma"/>
            <family val="2"/>
          </rPr>
          <t xml:space="preserve">See Guide (help)
</t>
        </r>
        <r>
          <rPr>
            <sz val="9"/>
            <color indexed="81"/>
            <rFont val="Tahoma"/>
            <family val="2"/>
          </rPr>
          <t xml:space="preserve">
</t>
        </r>
      </text>
    </comment>
    <comment ref="A3" authorId="0" shapeId="0" xr:uid="{2A740901-9333-4CFE-9362-7C79426C7D68}">
      <text>
        <r>
          <rPr>
            <b/>
            <sz val="9"/>
            <color indexed="81"/>
            <rFont val="Tahoma"/>
            <family val="2"/>
          </rPr>
          <t xml:space="preserve">See Guide (help)
</t>
        </r>
        <r>
          <rPr>
            <sz val="9"/>
            <color indexed="81"/>
            <rFont val="Tahoma"/>
            <family val="2"/>
          </rPr>
          <t xml:space="preserve">
</t>
        </r>
      </text>
    </comment>
    <comment ref="A5" authorId="0" shapeId="0" xr:uid="{C8C5F8CF-4BD0-43CE-AFC9-B2B588760219}">
      <text>
        <r>
          <rPr>
            <sz val="9"/>
            <color indexed="81"/>
            <rFont val="Tahoma"/>
            <family val="2"/>
          </rPr>
          <t>Definition is in the "General info" tab.
Use the dropdown list.</t>
        </r>
      </text>
    </comment>
    <comment ref="A9" authorId="0" shapeId="0" xr:uid="{CD1AEA35-C963-44DF-ACFD-50CE489A941E}">
      <text>
        <r>
          <rPr>
            <b/>
            <sz val="9"/>
            <color indexed="81"/>
            <rFont val="Tahoma"/>
            <family val="2"/>
          </rPr>
          <t>See Guide (help)</t>
        </r>
        <r>
          <rPr>
            <sz val="9"/>
            <color indexed="81"/>
            <rFont val="Tahoma"/>
            <family val="2"/>
          </rPr>
          <t xml:space="preserve">
</t>
        </r>
      </text>
    </comment>
    <comment ref="A11" authorId="0" shapeId="0" xr:uid="{92D547D8-E3F9-476F-B236-3EDF277429D2}">
      <text>
        <r>
          <rPr>
            <b/>
            <sz val="9"/>
            <color indexed="81"/>
            <rFont val="Tahoma"/>
            <family val="2"/>
          </rPr>
          <t xml:space="preserve">Describe the test environment and setup.
</t>
        </r>
        <r>
          <rPr>
            <sz val="9"/>
            <color indexed="81"/>
            <rFont val="Tahoma"/>
            <family val="2"/>
          </rPr>
          <t xml:space="preserve">
</t>
        </r>
      </text>
    </comment>
    <comment ref="A16" authorId="0" shapeId="0" xr:uid="{2F700CCF-2F31-44C3-BB6D-ED56E45E9D15}">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3CE1E723-A626-421A-A099-D4369B3FA90A}">
      <text>
        <r>
          <rPr>
            <b/>
            <sz val="9"/>
            <color indexed="81"/>
            <rFont val="Tahoma"/>
            <family val="2"/>
          </rPr>
          <t xml:space="preserve">See Guide (help)
</t>
        </r>
        <r>
          <rPr>
            <sz val="9"/>
            <color indexed="81"/>
            <rFont val="Tahoma"/>
            <family val="2"/>
          </rPr>
          <t xml:space="preserve">
</t>
        </r>
      </text>
    </comment>
    <comment ref="A3" authorId="0" shapeId="0" xr:uid="{8CF1099C-6416-487B-A711-385BA1F0CBDB}">
      <text>
        <r>
          <rPr>
            <b/>
            <sz val="9"/>
            <color indexed="81"/>
            <rFont val="Tahoma"/>
            <family val="2"/>
          </rPr>
          <t xml:space="preserve">See Guide (help)
</t>
        </r>
        <r>
          <rPr>
            <sz val="9"/>
            <color indexed="81"/>
            <rFont val="Tahoma"/>
            <family val="2"/>
          </rPr>
          <t xml:space="preserve">
</t>
        </r>
      </text>
    </comment>
    <comment ref="A5" authorId="0" shapeId="0" xr:uid="{9B439F63-620C-4A4C-A433-BC5E11C90CAB}">
      <text>
        <r>
          <rPr>
            <sz val="9"/>
            <color indexed="81"/>
            <rFont val="Tahoma"/>
            <family val="2"/>
          </rPr>
          <t>Definition is in the "General info" tab.
Use the dropdown list.</t>
        </r>
      </text>
    </comment>
    <comment ref="A9" authorId="0" shapeId="0" xr:uid="{E2142AB3-7300-4118-8BE5-4DECBE24E6CC}">
      <text>
        <r>
          <rPr>
            <b/>
            <sz val="9"/>
            <color indexed="81"/>
            <rFont val="Tahoma"/>
            <family val="2"/>
          </rPr>
          <t>See Guide (help)</t>
        </r>
        <r>
          <rPr>
            <sz val="9"/>
            <color indexed="81"/>
            <rFont val="Tahoma"/>
            <family val="2"/>
          </rPr>
          <t xml:space="preserve">
</t>
        </r>
      </text>
    </comment>
    <comment ref="A11" authorId="0" shapeId="0" xr:uid="{9CA8C133-4200-49FF-8A6E-24FB7831B051}">
      <text>
        <r>
          <rPr>
            <b/>
            <sz val="9"/>
            <color indexed="81"/>
            <rFont val="Tahoma"/>
            <family val="2"/>
          </rPr>
          <t xml:space="preserve">Describe the test environment and setup.
</t>
        </r>
        <r>
          <rPr>
            <sz val="9"/>
            <color indexed="81"/>
            <rFont val="Tahoma"/>
            <family val="2"/>
          </rPr>
          <t xml:space="preserve">
</t>
        </r>
      </text>
    </comment>
    <comment ref="A16" authorId="0" shapeId="0" xr:uid="{1D61C30E-AB67-4023-BED2-E5DF9BAEE9EC}">
      <text>
        <r>
          <rPr>
            <b/>
            <sz val="9"/>
            <color indexed="81"/>
            <rFont val="Tahoma"/>
            <family val="2"/>
          </rPr>
          <t>Give the initial state before beginning the test.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29E9627-9F3B-4130-BD32-B41669201FA9}">
      <text>
        <r>
          <rPr>
            <b/>
            <sz val="9"/>
            <color indexed="81"/>
            <rFont val="Tahoma"/>
            <family val="2"/>
          </rPr>
          <t xml:space="preserve">See Guide (help)
</t>
        </r>
        <r>
          <rPr>
            <sz val="9"/>
            <color indexed="81"/>
            <rFont val="Tahoma"/>
            <family val="2"/>
          </rPr>
          <t xml:space="preserve">
</t>
        </r>
      </text>
    </comment>
    <comment ref="A3" authorId="0" shapeId="0" xr:uid="{340D950C-EBE2-4367-BAB8-E4A3DE13C0EC}">
      <text>
        <r>
          <rPr>
            <b/>
            <sz val="9"/>
            <color indexed="81"/>
            <rFont val="Tahoma"/>
            <family val="2"/>
          </rPr>
          <t xml:space="preserve">See Guide (help)
</t>
        </r>
        <r>
          <rPr>
            <sz val="9"/>
            <color indexed="81"/>
            <rFont val="Tahoma"/>
            <family val="2"/>
          </rPr>
          <t xml:space="preserve">
</t>
        </r>
      </text>
    </comment>
    <comment ref="A5" authorId="0" shapeId="0" xr:uid="{DCB56F12-80B9-4B56-B7AE-422306415A32}">
      <text>
        <r>
          <rPr>
            <sz val="9"/>
            <color indexed="81"/>
            <rFont val="Tahoma"/>
            <family val="2"/>
          </rPr>
          <t>Definition is in the "General info" tab.
Use the dropdown list.</t>
        </r>
      </text>
    </comment>
    <comment ref="A9" authorId="0" shapeId="0" xr:uid="{9DF458B1-0241-4F1F-9309-EE94376666EF}">
      <text>
        <r>
          <rPr>
            <b/>
            <sz val="9"/>
            <color indexed="81"/>
            <rFont val="Tahoma"/>
            <family val="2"/>
          </rPr>
          <t>See Guide (help)</t>
        </r>
        <r>
          <rPr>
            <sz val="9"/>
            <color indexed="81"/>
            <rFont val="Tahoma"/>
            <family val="2"/>
          </rPr>
          <t xml:space="preserve">
</t>
        </r>
      </text>
    </comment>
    <comment ref="A11" authorId="0" shapeId="0" xr:uid="{E4A00565-7CD2-486E-AC21-944D96BC3B45}">
      <text>
        <r>
          <rPr>
            <b/>
            <sz val="9"/>
            <color indexed="81"/>
            <rFont val="Tahoma"/>
            <family val="2"/>
          </rPr>
          <t xml:space="preserve">Describe the test environment and setup.
</t>
        </r>
        <r>
          <rPr>
            <sz val="9"/>
            <color indexed="81"/>
            <rFont val="Tahoma"/>
            <family val="2"/>
          </rPr>
          <t xml:space="preserve">
</t>
        </r>
      </text>
    </comment>
    <comment ref="A16" authorId="0" shapeId="0" xr:uid="{4FE5CA76-1D80-4C6D-95E1-48349E76967A}">
      <text>
        <r>
          <rPr>
            <b/>
            <sz val="9"/>
            <color indexed="81"/>
            <rFont val="Tahoma"/>
            <family val="2"/>
          </rPr>
          <t>Give the initial state before beginning the test.</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1795AD3F-5109-4846-A4A8-80B6B8797E77}">
      <text>
        <r>
          <rPr>
            <b/>
            <sz val="9"/>
            <color indexed="81"/>
            <rFont val="Tahoma"/>
            <family val="2"/>
          </rPr>
          <t xml:space="preserve">See Guide (help)
</t>
        </r>
        <r>
          <rPr>
            <sz val="9"/>
            <color indexed="81"/>
            <rFont val="Tahoma"/>
            <family val="2"/>
          </rPr>
          <t xml:space="preserve">
</t>
        </r>
      </text>
    </comment>
    <comment ref="A3" authorId="0" shapeId="0" xr:uid="{1FD3B467-0C57-4DA5-AA9F-49F87DEC7681}">
      <text>
        <r>
          <rPr>
            <b/>
            <sz val="9"/>
            <color indexed="81"/>
            <rFont val="Tahoma"/>
            <family val="2"/>
          </rPr>
          <t xml:space="preserve">See Guide (help)
</t>
        </r>
        <r>
          <rPr>
            <sz val="9"/>
            <color indexed="81"/>
            <rFont val="Tahoma"/>
            <family val="2"/>
          </rPr>
          <t xml:space="preserve">
</t>
        </r>
      </text>
    </comment>
    <comment ref="A5" authorId="0" shapeId="0" xr:uid="{94623F24-04BA-42D8-AC14-0E260BF8D82B}">
      <text>
        <r>
          <rPr>
            <sz val="9"/>
            <color indexed="81"/>
            <rFont val="Tahoma"/>
            <family val="2"/>
          </rPr>
          <t>Definition is in the "General info" tab.
Use the dropdown list.</t>
        </r>
      </text>
    </comment>
    <comment ref="A9" authorId="0" shapeId="0" xr:uid="{AB973A98-7D0D-4FA5-9DD5-17614E10AC0E}">
      <text>
        <r>
          <rPr>
            <b/>
            <sz val="9"/>
            <color indexed="81"/>
            <rFont val="Tahoma"/>
            <family val="2"/>
          </rPr>
          <t>See Guide (help)</t>
        </r>
        <r>
          <rPr>
            <sz val="9"/>
            <color indexed="81"/>
            <rFont val="Tahoma"/>
            <family val="2"/>
          </rPr>
          <t xml:space="preserve">
</t>
        </r>
      </text>
    </comment>
    <comment ref="A11" authorId="0" shapeId="0" xr:uid="{4C913EAD-D324-4234-9BCA-07400D996320}">
      <text>
        <r>
          <rPr>
            <b/>
            <sz val="9"/>
            <color indexed="81"/>
            <rFont val="Tahoma"/>
            <family val="2"/>
          </rPr>
          <t xml:space="preserve">Describe the test environment and setup.
</t>
        </r>
        <r>
          <rPr>
            <sz val="9"/>
            <color indexed="81"/>
            <rFont val="Tahoma"/>
            <family val="2"/>
          </rPr>
          <t xml:space="preserve">
</t>
        </r>
      </text>
    </comment>
    <comment ref="A16" authorId="0" shapeId="0" xr:uid="{3845B62E-A36F-437E-8833-608288D4DAEB}">
      <text>
        <r>
          <rPr>
            <b/>
            <sz val="9"/>
            <color indexed="81"/>
            <rFont val="Tahoma"/>
            <family val="2"/>
          </rPr>
          <t>Give the initial state before beginning the test.</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AA26725A-80EC-4D6B-A4DF-7B4BF1E3B4A1}">
      <text>
        <r>
          <rPr>
            <b/>
            <sz val="9"/>
            <color indexed="81"/>
            <rFont val="Tahoma"/>
            <family val="2"/>
          </rPr>
          <t xml:space="preserve">See Guide (help)
</t>
        </r>
        <r>
          <rPr>
            <sz val="9"/>
            <color indexed="81"/>
            <rFont val="Tahoma"/>
            <family val="2"/>
          </rPr>
          <t xml:space="preserve">
</t>
        </r>
      </text>
    </comment>
    <comment ref="A3" authorId="0" shapeId="0" xr:uid="{55F24206-BB40-4295-A1E4-F50FC6ACE744}">
      <text>
        <r>
          <rPr>
            <b/>
            <sz val="9"/>
            <color indexed="81"/>
            <rFont val="Tahoma"/>
            <family val="2"/>
          </rPr>
          <t xml:space="preserve">See Guide (help)
</t>
        </r>
        <r>
          <rPr>
            <sz val="9"/>
            <color indexed="81"/>
            <rFont val="Tahoma"/>
            <family val="2"/>
          </rPr>
          <t xml:space="preserve">
</t>
        </r>
      </text>
    </comment>
    <comment ref="A5" authorId="0" shapeId="0" xr:uid="{0F6F6C9B-949D-4663-9B37-EEFCF1DBB231}">
      <text>
        <r>
          <rPr>
            <sz val="9"/>
            <color indexed="81"/>
            <rFont val="Tahoma"/>
            <family val="2"/>
          </rPr>
          <t>Definition is in the "General info" tab.
Use the dropdown list.</t>
        </r>
      </text>
    </comment>
    <comment ref="A9" authorId="0" shapeId="0" xr:uid="{580918AC-B2B7-4F74-9F84-BAFE3B8B6825}">
      <text>
        <r>
          <rPr>
            <b/>
            <sz val="9"/>
            <color indexed="81"/>
            <rFont val="Tahoma"/>
            <family val="2"/>
          </rPr>
          <t>See Guide (help)</t>
        </r>
        <r>
          <rPr>
            <sz val="9"/>
            <color indexed="81"/>
            <rFont val="Tahoma"/>
            <family val="2"/>
          </rPr>
          <t xml:space="preserve">
</t>
        </r>
      </text>
    </comment>
    <comment ref="A11" authorId="0" shapeId="0" xr:uid="{51A48903-E43A-4690-825B-29E2F43CDF21}">
      <text>
        <r>
          <rPr>
            <b/>
            <sz val="9"/>
            <color indexed="81"/>
            <rFont val="Tahoma"/>
            <family val="2"/>
          </rPr>
          <t xml:space="preserve">Describe the test environment and setup.
</t>
        </r>
        <r>
          <rPr>
            <sz val="9"/>
            <color indexed="81"/>
            <rFont val="Tahoma"/>
            <family val="2"/>
          </rPr>
          <t xml:space="preserve">
</t>
        </r>
      </text>
    </comment>
    <comment ref="A16" authorId="0" shapeId="0" xr:uid="{13852405-42E6-4D69-ABF8-12EB4615FD46}">
      <text>
        <r>
          <rPr>
            <b/>
            <sz val="9"/>
            <color indexed="81"/>
            <rFont val="Tahoma"/>
            <family val="2"/>
          </rPr>
          <t>Give the initial state before beginning the test.</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3C078712-F2C4-406E-9DAB-26923C3FFE0D}">
      <text>
        <r>
          <rPr>
            <b/>
            <sz val="9"/>
            <color indexed="81"/>
            <rFont val="Tahoma"/>
            <family val="2"/>
          </rPr>
          <t xml:space="preserve">See Guide (help)
</t>
        </r>
        <r>
          <rPr>
            <sz val="9"/>
            <color indexed="81"/>
            <rFont val="Tahoma"/>
            <family val="2"/>
          </rPr>
          <t xml:space="preserve">
</t>
        </r>
      </text>
    </comment>
    <comment ref="A3" authorId="0" shapeId="0" xr:uid="{45D8E9B1-CDB3-4FAC-82F7-C34F88A7DA8A}">
      <text>
        <r>
          <rPr>
            <b/>
            <sz val="9"/>
            <color indexed="81"/>
            <rFont val="Tahoma"/>
            <family val="2"/>
          </rPr>
          <t xml:space="preserve">See Guide (help)
</t>
        </r>
        <r>
          <rPr>
            <sz val="9"/>
            <color indexed="81"/>
            <rFont val="Tahoma"/>
            <family val="2"/>
          </rPr>
          <t xml:space="preserve">
</t>
        </r>
      </text>
    </comment>
    <comment ref="A5" authorId="0" shapeId="0" xr:uid="{B38DE668-8ABB-4DD6-AA17-59EDDFEE23AB}">
      <text>
        <r>
          <rPr>
            <sz val="9"/>
            <color indexed="81"/>
            <rFont val="Tahoma"/>
            <family val="2"/>
          </rPr>
          <t>Definition is in the "General info" tab.
Use the dropdown list.</t>
        </r>
      </text>
    </comment>
    <comment ref="A9" authorId="0" shapeId="0" xr:uid="{95CEC91E-C508-4051-9602-BE961299A35E}">
      <text>
        <r>
          <rPr>
            <b/>
            <sz val="9"/>
            <color indexed="81"/>
            <rFont val="Tahoma"/>
            <family val="2"/>
          </rPr>
          <t>See Guide (help)</t>
        </r>
        <r>
          <rPr>
            <sz val="9"/>
            <color indexed="81"/>
            <rFont val="Tahoma"/>
            <family val="2"/>
          </rPr>
          <t xml:space="preserve">
</t>
        </r>
      </text>
    </comment>
    <comment ref="A11" authorId="0" shapeId="0" xr:uid="{C4A0D9DB-D6C9-4BD7-ACF0-78F2D2184848}">
      <text>
        <r>
          <rPr>
            <b/>
            <sz val="9"/>
            <color indexed="81"/>
            <rFont val="Tahoma"/>
            <family val="2"/>
          </rPr>
          <t xml:space="preserve">Describe the test environment and setup.
</t>
        </r>
        <r>
          <rPr>
            <sz val="9"/>
            <color indexed="81"/>
            <rFont val="Tahoma"/>
            <family val="2"/>
          </rPr>
          <t xml:space="preserve">
</t>
        </r>
      </text>
    </comment>
    <comment ref="A16" authorId="0" shapeId="0" xr:uid="{7FE19CEF-DF35-46C0-AA80-5781194FCDE5}">
      <text>
        <r>
          <rPr>
            <b/>
            <sz val="9"/>
            <color indexed="81"/>
            <rFont val="Tahoma"/>
            <family val="2"/>
          </rPr>
          <t>Give the initial state before beginning the test.</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CE4B006-F918-4C77-9DBD-9D934AAAEC51}">
      <text>
        <r>
          <rPr>
            <b/>
            <sz val="9"/>
            <color indexed="81"/>
            <rFont val="Tahoma"/>
            <family val="2"/>
          </rPr>
          <t xml:space="preserve">See Guide (help)
</t>
        </r>
        <r>
          <rPr>
            <sz val="9"/>
            <color indexed="81"/>
            <rFont val="Tahoma"/>
            <family val="2"/>
          </rPr>
          <t xml:space="preserve">
</t>
        </r>
      </text>
    </comment>
    <comment ref="A3" authorId="0" shapeId="0" xr:uid="{EF922243-CF12-4D2A-AC97-9652B04B99F9}">
      <text>
        <r>
          <rPr>
            <b/>
            <sz val="9"/>
            <color indexed="81"/>
            <rFont val="Tahoma"/>
            <family val="2"/>
          </rPr>
          <t xml:space="preserve">See Guide (help)
</t>
        </r>
        <r>
          <rPr>
            <sz val="9"/>
            <color indexed="81"/>
            <rFont val="Tahoma"/>
            <family val="2"/>
          </rPr>
          <t xml:space="preserve">
</t>
        </r>
      </text>
    </comment>
    <comment ref="A5" authorId="0" shapeId="0" xr:uid="{E9F15E0A-5DBC-44FF-964E-9CB83F1CC973}">
      <text>
        <r>
          <rPr>
            <sz val="9"/>
            <color indexed="81"/>
            <rFont val="Tahoma"/>
            <family val="2"/>
          </rPr>
          <t>Definition is in the "General info" tab.
Use the dropdown list.</t>
        </r>
      </text>
    </comment>
    <comment ref="A9" authorId="0" shapeId="0" xr:uid="{10E14A06-9274-45E8-9B90-EBA4F6379A90}">
      <text>
        <r>
          <rPr>
            <b/>
            <sz val="9"/>
            <color indexed="81"/>
            <rFont val="Tahoma"/>
            <family val="2"/>
          </rPr>
          <t>See Guide (help)</t>
        </r>
        <r>
          <rPr>
            <sz val="9"/>
            <color indexed="81"/>
            <rFont val="Tahoma"/>
            <family val="2"/>
          </rPr>
          <t xml:space="preserve">
</t>
        </r>
      </text>
    </comment>
    <comment ref="A11" authorId="0" shapeId="0" xr:uid="{247318B6-E948-4C4D-AE63-FED0EA069185}">
      <text>
        <r>
          <rPr>
            <b/>
            <sz val="9"/>
            <color indexed="81"/>
            <rFont val="Tahoma"/>
            <family val="2"/>
          </rPr>
          <t xml:space="preserve">Describe the test environment and setup.
</t>
        </r>
        <r>
          <rPr>
            <sz val="9"/>
            <color indexed="81"/>
            <rFont val="Tahoma"/>
            <family val="2"/>
          </rPr>
          <t xml:space="preserve">
</t>
        </r>
      </text>
    </comment>
    <comment ref="A16" authorId="0" shapeId="0" xr:uid="{38C629A0-4D1C-4783-BCA5-6D90398F9DCC}">
      <text>
        <r>
          <rPr>
            <b/>
            <sz val="9"/>
            <color indexed="81"/>
            <rFont val="Tahoma"/>
            <family val="2"/>
          </rPr>
          <t>Give the initial state before beginning the test.</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5653275C-B0E5-4086-974A-9020684DD49C}">
      <text>
        <r>
          <rPr>
            <b/>
            <sz val="9"/>
            <color indexed="81"/>
            <rFont val="Tahoma"/>
            <family val="2"/>
          </rPr>
          <t xml:space="preserve">See Guide (help)
</t>
        </r>
        <r>
          <rPr>
            <sz val="9"/>
            <color indexed="81"/>
            <rFont val="Tahoma"/>
            <family val="2"/>
          </rPr>
          <t xml:space="preserve">
</t>
        </r>
      </text>
    </comment>
    <comment ref="A3" authorId="0" shapeId="0" xr:uid="{3C41496B-A66C-4EAE-986E-F00C8D73F3D9}">
      <text>
        <r>
          <rPr>
            <b/>
            <sz val="9"/>
            <color indexed="81"/>
            <rFont val="Tahoma"/>
            <family val="2"/>
          </rPr>
          <t xml:space="preserve">See Guide (help)
</t>
        </r>
        <r>
          <rPr>
            <sz val="9"/>
            <color indexed="81"/>
            <rFont val="Tahoma"/>
            <family val="2"/>
          </rPr>
          <t xml:space="preserve">
</t>
        </r>
      </text>
    </comment>
    <comment ref="A5" authorId="0" shapeId="0" xr:uid="{7A258667-A829-433D-98A8-EC738790F428}">
      <text>
        <r>
          <rPr>
            <sz val="9"/>
            <color indexed="81"/>
            <rFont val="Tahoma"/>
            <family val="2"/>
          </rPr>
          <t>Definition is in the "General info" tab.
Use the dropdown list.</t>
        </r>
      </text>
    </comment>
    <comment ref="A9" authorId="0" shapeId="0" xr:uid="{C067A418-162B-4D0F-A6E0-17A622099807}">
      <text>
        <r>
          <rPr>
            <b/>
            <sz val="9"/>
            <color indexed="81"/>
            <rFont val="Tahoma"/>
            <family val="2"/>
          </rPr>
          <t>See Guide (help)</t>
        </r>
        <r>
          <rPr>
            <sz val="9"/>
            <color indexed="81"/>
            <rFont val="Tahoma"/>
            <family val="2"/>
          </rPr>
          <t xml:space="preserve">
</t>
        </r>
      </text>
    </comment>
    <comment ref="A11" authorId="0" shapeId="0" xr:uid="{AB0F0ED6-6E0B-4C27-8433-E91E0D4B58C6}">
      <text>
        <r>
          <rPr>
            <b/>
            <sz val="9"/>
            <color indexed="81"/>
            <rFont val="Tahoma"/>
            <family val="2"/>
          </rPr>
          <t xml:space="preserve">Describe the test environment and setup.
</t>
        </r>
        <r>
          <rPr>
            <sz val="9"/>
            <color indexed="81"/>
            <rFont val="Tahoma"/>
            <family val="2"/>
          </rPr>
          <t xml:space="preserve">
</t>
        </r>
      </text>
    </comment>
    <comment ref="A16" authorId="0" shapeId="0" xr:uid="{BDB0B6E4-6E8D-47BB-8C38-79FB22AD3571}">
      <text>
        <r>
          <rPr>
            <b/>
            <sz val="9"/>
            <color indexed="81"/>
            <rFont val="Tahoma"/>
            <family val="2"/>
          </rPr>
          <t>Give the initial state before beginning the test.</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B5BBC27C-99B9-4B9B-BD4F-3288FA15A8C5}">
      <text>
        <r>
          <rPr>
            <b/>
            <sz val="9"/>
            <color indexed="81"/>
            <rFont val="Tahoma"/>
            <family val="2"/>
          </rPr>
          <t xml:space="preserve">See Guide (help)
</t>
        </r>
        <r>
          <rPr>
            <sz val="9"/>
            <color indexed="81"/>
            <rFont val="Tahoma"/>
            <family val="2"/>
          </rPr>
          <t xml:space="preserve">
</t>
        </r>
      </text>
    </comment>
    <comment ref="A3" authorId="0" shapeId="0" xr:uid="{B98EA849-3AB6-4482-8849-F5B3BB328BE3}">
      <text>
        <r>
          <rPr>
            <b/>
            <sz val="9"/>
            <color indexed="81"/>
            <rFont val="Tahoma"/>
            <family val="2"/>
          </rPr>
          <t xml:space="preserve">See Guide (help)
</t>
        </r>
        <r>
          <rPr>
            <sz val="9"/>
            <color indexed="81"/>
            <rFont val="Tahoma"/>
            <family val="2"/>
          </rPr>
          <t xml:space="preserve">
</t>
        </r>
      </text>
    </comment>
    <comment ref="A5" authorId="0" shapeId="0" xr:uid="{2D5FFA56-71A6-4E8E-AF6B-6E76005A28E2}">
      <text>
        <r>
          <rPr>
            <sz val="9"/>
            <color indexed="81"/>
            <rFont val="Tahoma"/>
            <family val="2"/>
          </rPr>
          <t>Definition is in the "General info" tab.
Use the dropdown list.</t>
        </r>
      </text>
    </comment>
    <comment ref="A9" authorId="0" shapeId="0" xr:uid="{05BCB1B4-0174-4D75-8553-5BFBB4D31535}">
      <text>
        <r>
          <rPr>
            <b/>
            <sz val="9"/>
            <color indexed="81"/>
            <rFont val="Tahoma"/>
            <family val="2"/>
          </rPr>
          <t>See Guide (help)</t>
        </r>
        <r>
          <rPr>
            <sz val="9"/>
            <color indexed="81"/>
            <rFont val="Tahoma"/>
            <family val="2"/>
          </rPr>
          <t xml:space="preserve">
</t>
        </r>
      </text>
    </comment>
    <comment ref="A11" authorId="0" shapeId="0" xr:uid="{B8B0D465-B086-4EA5-B593-587152C175FB}">
      <text>
        <r>
          <rPr>
            <b/>
            <sz val="9"/>
            <color indexed="81"/>
            <rFont val="Tahoma"/>
            <family val="2"/>
          </rPr>
          <t xml:space="preserve">Describe the test environment and setup.
</t>
        </r>
        <r>
          <rPr>
            <sz val="9"/>
            <color indexed="81"/>
            <rFont val="Tahoma"/>
            <family val="2"/>
          </rPr>
          <t xml:space="preserve">
</t>
        </r>
      </text>
    </comment>
    <comment ref="A16" authorId="0" shapeId="0" xr:uid="{360A53A6-2BDA-4F98-8471-E664DC5945D2}">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<sst xmlns="http://schemas.openxmlformats.org/spreadsheetml/2006/main" count="1009" uniqueCount="399">
  <si>
    <t>Project Number &amp; Name</t>
  </si>
  <si>
    <t>Document state</t>
  </si>
  <si>
    <t>Document id</t>
  </si>
  <si>
    <t>Document title</t>
  </si>
  <si>
    <t>Version</t>
  </si>
  <si>
    <t>Description/comment</t>
  </si>
  <si>
    <t>Tab</t>
  </si>
  <si>
    <t>ID</t>
  </si>
  <si>
    <t>Title</t>
  </si>
  <si>
    <t>Reference &amp; revision</t>
  </si>
  <si>
    <t>Tab Name</t>
  </si>
  <si>
    <t>Date</t>
  </si>
  <si>
    <t>Author(s)</t>
  </si>
  <si>
    <t>Description/Comment</t>
  </si>
  <si>
    <t>TAB - General Information</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</si>
  <si>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</si>
  <si>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</si>
  <si>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</si>
  <si>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</si>
  <si>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</si>
  <si>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</si>
  <si>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</si>
  <si>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</si>
  <si>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</si>
  <si>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</si>
  <si>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</si>
  <si>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</si>
  <si>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</si>
  <si>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</si>
  <si>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</si>
  <si>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</si>
  <si>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</si>
  <si>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</si>
  <si>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</si>
  <si>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</si>
  <si>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</si>
  <si>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The front page contains information about the document.
Note : the blue cells are automatically filled by PLM and/or formula</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</si>
  <si>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</si>
  <si>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</si>
  <si>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</si>
  <si>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</si>
  <si>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</si>
  <si>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</si>
  <si>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</si>
  <si>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</si>
  <si>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</si>
  <si>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</si>
  <si>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</si>
  <si>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</si>
  <si>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</si>
  <si>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</si>
  <si>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</si>
  <si>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</si>
  <si>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</si>
  <si>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</si>
  <si>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</si>
  <si>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</si>
  <si>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Step 8</t>
  </si>
  <si>
    <t>Step 9</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</si>
  <si>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</si>
  <si>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</si>
  <si>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</si>
  <si>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</si>
  <si>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</si>
  <si>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</si>
  <si>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</si>
  <si>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</si>
  <si>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</si>
  <si>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</si>
  <si>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</si>
  <si>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</si>
  <si>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</si>
  <si>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</si>
  <si>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</si>
  <si>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</si>
  <si>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</si>
  <si>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</si>
  <si>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</si>
  <si>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</si>
  <si>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</si>
  <si>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</si>
  <si>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</si>
  <si>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</si>
  <si>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</si>
  <si>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</si>
  <si>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</si>
  <si>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</si>
  <si>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</si>
  <si>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</si>
  <si>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</si>
  <si>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</si>
  <si>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</si>
  <si>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</si>
  <si>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</si>
  <si>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</si>
  <si>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</si>
  <si>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</si>
  <si>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</si>
  <si>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</si>
  <si>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</si>
  <si>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</si>
  <si>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</si>
  <si>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</si>
  <si>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</si>
  <si>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</si>
  <si>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</si>
  <si>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</si>
  <si>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</si>
  <si>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</si>
  <si>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</si>
  <si>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</si>
  <si>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</si>
  <si>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</si>
  <si>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</si>
  <si>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</si>
  <si>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</si>
  <si>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</si>
  <si>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</si>
  <si>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</si>
  <si>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</si>
  <si>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</si>
  <si>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</si>
  <si>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</si>
  <si>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</si>
  <si>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</si>
  <si>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This sheet helps to fill the differents fields and sheets of the template.</t>
  </si>
  <si>
    <t>Nominal</t>
  </si>
  <si>
    <t>Ok</t>
  </si>
  <si>
    <t xml:space="preserve">WinIdea + IC5000
Canoe + CANcase VN1160
</t>
  </si>
  <si>
    <t>254888 MERCEDES BENZ AG MER W174W178 EL SB</t>
  </si>
  <si>
    <t>Andreea Negrea</t>
  </si>
  <si>
    <t>Add integration tests specification for main architectre doc</t>
  </si>
  <si>
    <t>DAIMLER_MMA_SWarchitectureDesignInterfaceDescription.docx</t>
  </si>
  <si>
    <t>PTC</t>
  </si>
  <si>
    <t>SW_IT_MAIN_0000</t>
  </si>
  <si>
    <t>Check if initialization sequence diagram is correct</t>
  </si>
  <si>
    <t>Flashed software</t>
  </si>
  <si>
    <t>Power ON</t>
  </si>
  <si>
    <t>Press Run in WinIdea</t>
  </si>
  <si>
    <t>Breakpoint shall be reached</t>
  </si>
  <si>
    <t>Breakpoint is reached=&gt; ECU is in STARTUP state</t>
  </si>
  <si>
    <t>Put a breakpoint in function  'int main(void)' .</t>
  </si>
  <si>
    <t>Test ECU STARTUP state sequence diagram</t>
  </si>
  <si>
    <t>Breakpoint is reached</t>
  </si>
  <si>
    <t>Put a breakpoint in function  'FUNC(void, OS_CODE) Os_AppStart()' . Press Run.</t>
  </si>
  <si>
    <t>Put a breakpoint in function  'FUNC(void, OS_CODE) Os_AppInit()' . Press Run.</t>
  </si>
  <si>
    <t>Put a breakpoint in function  'FUNC(void, OS_CODE) Os_Init()' . Press Run.</t>
  </si>
  <si>
    <t>Put a breakpoint in function  'FUNC(void, ECUM_CODE) EcuM_Init(void)' . Press Run.</t>
  </si>
  <si>
    <t>Put a breakpoint in function  'FUNC(void, ECUM_CODE) EcuM_AL_DriverInitZero(void) ' at one init funtion . Press Run.</t>
  </si>
  <si>
    <t>Put a breakpoint in function  'FUNC(EcuM_GlobalConfigRefType, ECUM_CODE) EcuM_DeterminePbConfiguration(void); . Press Run.</t>
  </si>
  <si>
    <t>Put a breakpoint in function  'FUNC(void, ECUM_CODE) EcuM_AL_DriverInitOne(void) ' at one init funtion . Press Run.</t>
  </si>
  <si>
    <t>Put a breakpoint in function  'FUNC(void, ECUM_CODE) EcuM_StartOS(AppModeType appMode)' when OS starts . Press Run.</t>
  </si>
  <si>
    <t>Step 10</t>
  </si>
  <si>
    <t>Step 11</t>
  </si>
  <si>
    <t>Put a breakpoint in 'TASK(Default_Init_Task)' . Press Run.</t>
  </si>
  <si>
    <t>Put a breakpoint in function  'FUNC(void, ECUM_CODE) EcuM_StartupTwo(void)' . Press Run.</t>
  </si>
  <si>
    <t>Put a breakpoint in function  'FUNC(void, RTE_CODE) SchM_Init(P2CONST(SchM_ConfigType, AUTOMATIC, RTE_CONST) ConfigPtr)' . Press Run.</t>
  </si>
  <si>
    <t>Put a breakpoint in function  'FUNC(void, BSWM_CODE) BswM_Init(P2CONST(BswM_ConfigType, AUTOMATIC, BSWM_INIT_DATA) ConfigPtr)' . Press Run.</t>
  </si>
  <si>
    <t>Put a breakpoint in function  'FUNC(void, RTE_CODE) SchM_StartTiming(void)' . Press Run.</t>
  </si>
  <si>
    <t xml:space="preserve">Press 'Step' in Windea to check call for ActivateTask(ApplTask_Core0_HighPrio). </t>
  </si>
  <si>
    <t xml:space="preserve">Press 'Step' in Windea to  check call for ActivateTask(BackgroundTask_Core0). </t>
  </si>
  <si>
    <t xml:space="preserve">Press 'Step' in Windea to check call for ActivateTask(BswTask_Core0_HighPrio). </t>
  </si>
  <si>
    <t xml:space="preserve">Press 'Step' in Windea to check call for ActivateTask(BswTask_Core0_LowPrio). </t>
  </si>
  <si>
    <t>Press 'Step' in Windea to check call for SetRelAlarm for eash task previously Activated. Press Run</t>
  </si>
  <si>
    <t>Put a breakpoint in task  'TASK(BswTask_Core0_LowPrio)' . Press Run.</t>
  </si>
  <si>
    <t>Put a breakpoint in function  'FUNC(void, BSWM_CODE) BswM_MainFunction(void)' . Press Run.</t>
  </si>
  <si>
    <t>Put a breakpoint in function  'FUNC(void, NVM_PUBLIC_CODE) NvM_ReadAll(void)' . Press Run.</t>
  </si>
  <si>
    <t>Put a breakpoint in function  'FUNC(void, ECUM_CODE) EcuM_MainFunction(void)' . Press Run.</t>
  </si>
  <si>
    <t>Put a breakpoint in function  'FUNC(Std_ReturnType, RTE_CODE) Rte_Start(void)' . Press Run.</t>
  </si>
  <si>
    <t xml:space="preserve">Press 'Step' in Windea to  check call for ActivateTask(ApplInitTask_Core0). </t>
  </si>
  <si>
    <t xml:space="preserve">Press 'Step' in Windea to check call for ActivateTask(ApplTask_Core0_LowPrio). </t>
  </si>
  <si>
    <t>Nok</t>
  </si>
  <si>
    <t xml:space="preserve">Press 'Step' in Windea to check call for ActivateTask(OsTask_ALV_BeltFunctionAlgo). </t>
  </si>
  <si>
    <t>Power off.</t>
  </si>
  <si>
    <t>Step 12</t>
  </si>
  <si>
    <t>Step 13</t>
  </si>
  <si>
    <t>Step 14</t>
  </si>
  <si>
    <t>Step 15</t>
  </si>
  <si>
    <t>Step 16</t>
  </si>
  <si>
    <t>Step 17</t>
  </si>
  <si>
    <t>Step 18</t>
  </si>
  <si>
    <t>Step 19</t>
  </si>
  <si>
    <t>Step 20</t>
  </si>
  <si>
    <t>Step 21</t>
  </si>
  <si>
    <t>Step 22</t>
  </si>
  <si>
    <t>Step 23</t>
  </si>
  <si>
    <t>Step 24</t>
  </si>
  <si>
    <t>Step 25</t>
  </si>
  <si>
    <t>Step 26</t>
  </si>
  <si>
    <t>Step 28</t>
  </si>
  <si>
    <t>Step 29</t>
  </si>
  <si>
    <t>Step 30</t>
  </si>
  <si>
    <t>Step 31</t>
  </si>
  <si>
    <t>Call shall be reached</t>
  </si>
  <si>
    <t>ECU should be off -&gt; ECU_OFF state</t>
  </si>
  <si>
    <t>Call is reached</t>
  </si>
  <si>
    <t>SW_IT_MAIN_0001</t>
  </si>
  <si>
    <t>SW_IT_MAIN_0002</t>
  </si>
  <si>
    <t>SW_IT_MAIN_0003</t>
  </si>
  <si>
    <t>Test ECU RUN state sequence diagram</t>
  </si>
  <si>
    <t xml:space="preserve">Put a breakpoint in function  'FUNC(void, ECUM_CODE) EcuM_MainFunction(void)' . </t>
  </si>
  <si>
    <t>Put a breakpoint in function  OnWakeupValidation 'FUNC(void, BSWM_CODE) BswM_ESH_OnEnterRun(void)' . Press Run.</t>
  </si>
  <si>
    <t>Put a breakpoint in function  'FUNC(void, ECUM_CODE) EcuM_SetWakeupEvent(VAR(EcuM_WakeupSourceType, AUTOMATIC) WakeupSource)' . Press Run.</t>
  </si>
  <si>
    <t>Breakpoint is reached =&gt; ECU is Trasitioning to ECU_RUN state</t>
  </si>
  <si>
    <t>Breakpoint is reached. ECU is in RUN state</t>
  </si>
  <si>
    <t>ECU OFF state is reached.</t>
  </si>
  <si>
    <t xml:space="preserve">ECU OFF state is reached. </t>
  </si>
  <si>
    <t>Test ECU SLEEP state sequence diagram</t>
  </si>
  <si>
    <t>Flashed software. Running app.</t>
  </si>
  <si>
    <t xml:space="preserve">Put a breakpoint in function  'CANSM_LOCAL_INLINE FUNC(void, CANSM_CODE) CanSM_InitiateShutDownSequence( CanSM_SizeOfChannelVarRecordType CanSM_CanNetworkIdx, P2VAR(CanSM_ChannelVarRecordType, AUTOMATIC, CANSM_VAR_NOINIT) CanSM_CurrentChannelVarPtr )' . </t>
  </si>
  <si>
    <t>Put a breakpoint in function  'FUNC(void, ECUM_CODE) EcuM_OnPrepShutdown(void)' . Press Run.</t>
  </si>
  <si>
    <t>Put a breakpoint in function  'FUNC(void, DEM_CODE)Dem_Shutdown(void )' . Press Run.</t>
  </si>
  <si>
    <t>Put a breakpoint in function ' FUNC(void, ECUM_CODE) EcuM_OnGoOffOne(void)' . Press Run.</t>
  </si>
  <si>
    <t>Put a breakpoint in function  'FUNC(Std_ReturnType, RTE_CODE) Rte_Stop(void) '  . Press Run.</t>
  </si>
  <si>
    <t>Put a breakpoint in function  'FUNC(void, COMM_CODE) BswM_Deinit(void)' . Press Run.</t>
  </si>
  <si>
    <t>Put a breakpoint in function  'FUNC(void, COMM_CODE) SchM_Deinit(void)' . Press Run.</t>
  </si>
  <si>
    <t>Put a breakpoint in function  'FUNC(void, BSWM_CODE) BswM_ESH_OnEnterShutdown(void)' . Press Run.</t>
  </si>
  <si>
    <t>Put a breakpoint in function  'FUNC(void, NVM_PUBLIC_CODE) NvM_WriteAll(void)' . Press Run.</t>
  </si>
  <si>
    <t>Put a breakpoint in function 'FUNC(Std_ReturnType, ECUM_CODE) EcuM_GoDown(VAR(uint16, AUTOMATIC) caller)' . Press Run.</t>
  </si>
  <si>
    <t>Put a breakpoint in function  'FUNC (void)EcuM_GoToSelectedShutdownTarget()' . Press Run.</t>
  </si>
  <si>
    <t>Put a breakpoint in function  'FUNC(void, OS_CODE) ShutdownOS( StatusType Error)' . Press Run.</t>
  </si>
  <si>
    <t>Put a breakpoint in function  'FUNC(void, OS_SHUTDOWNHOOK_CODE) ShutdownHook(StatusType Fatalerror)' . Press Run.</t>
  </si>
  <si>
    <t>Put a breakpoint in function  'void SBC_Shutdown(void)' . Press Run.</t>
  </si>
  <si>
    <t>ECU is in RUN state</t>
  </si>
  <si>
    <t>Ecu is in Run state</t>
  </si>
  <si>
    <t>Breakpoint is reached=&gt; ECU is in SLEEP state</t>
  </si>
  <si>
    <t>Breakpoint is reached.</t>
  </si>
  <si>
    <t>Test ECU SLEEP state trasition to RUN</t>
  </si>
  <si>
    <t>ARCH_SW_MAIN_0008</t>
  </si>
  <si>
    <t>Test ECU SLEEP state trasition to STARTUP</t>
  </si>
  <si>
    <t>ARCH_SW_MAIN_0009</t>
  </si>
  <si>
    <t>Check if ECU RUN sequence diagram is correct</t>
  </si>
  <si>
    <t>Check if ECU SLEEP sequence diagram is correct</t>
  </si>
  <si>
    <t>Check if trasition is correct</t>
  </si>
  <si>
    <t>Check if transition is correct</t>
  </si>
  <si>
    <t>SW_IT_MAIN_0004</t>
  </si>
  <si>
    <t>SW_IT_MAIN_0005</t>
  </si>
  <si>
    <t>SW_IT_MAIN_0006</t>
  </si>
  <si>
    <t>SW_IT_MAIN_0007</t>
  </si>
  <si>
    <t>SW_IT_MAIN_0008</t>
  </si>
  <si>
    <t>SW_IT_MAIN_0009</t>
  </si>
  <si>
    <t>SW_IT_MAIN_0010</t>
  </si>
  <si>
    <t>Test all TASKs priorities</t>
  </si>
  <si>
    <t>Check if all tasks are configured with the correct priority</t>
  </si>
  <si>
    <t>Open Runtime System / OS Configuration / Tasks</t>
  </si>
  <si>
    <t>Check 'Default_Init_Task' priority.</t>
  </si>
  <si>
    <t>Check 'Default_Init_Task_Trusted'  priority.</t>
  </si>
  <si>
    <t>Check 'ApplInitTask_Core0 ' priority.</t>
  </si>
  <si>
    <t>Check 'BswTask_Core0_HighPrio '  priority.</t>
  </si>
  <si>
    <t>Check 'BswTask_Core0_LowPrio ' priority.</t>
  </si>
  <si>
    <t>Check 'OsTask_ALV_BeltFunctionAlgo'  priority.</t>
  </si>
  <si>
    <t>Check 'ApplTask_Core0_LowPrio ' priority.</t>
  </si>
  <si>
    <t>Check 'ApplBackgroundTask_Core0'  priority.</t>
  </si>
  <si>
    <t>Check 'BackgroundTask_Core0 ' priority.</t>
  </si>
  <si>
    <t>Check 'IdleTask_OsCore0 '  priority.</t>
  </si>
  <si>
    <t>Check 'ApplTask_Core0_HighPrio  '  priority.</t>
  </si>
  <si>
    <t>Test 'ApplInitTask_Core0' sequence diagram</t>
  </si>
  <si>
    <t xml:space="preserve">Flashed software. </t>
  </si>
  <si>
    <t>Put a breakpoint in task 'ApplInitTask_Core0'</t>
  </si>
  <si>
    <t>Run app</t>
  </si>
  <si>
    <t>Put a breakpoint in function  'void PAL_Init ( void )' . Press Run.</t>
  </si>
  <si>
    <t>Put a breakpoint in function  'void PMP_Init(void)' . Press Run.</t>
  </si>
  <si>
    <t>Put a breakpoint in function  'void MMG_Init(void)' . Press Run.</t>
  </si>
  <si>
    <t>Check if sequence diagram is correct</t>
  </si>
  <si>
    <t>Test 'OsTask_ALV_BeltFunctionAlgo' sequence diagram</t>
  </si>
  <si>
    <t>Put a breakpoint in function  'void PRE_runPreTensioning(void)' . Press Run.</t>
  </si>
  <si>
    <t>Put a breakpoint in function  'void SFR_runStandardFunctionRecovery( void )' . Press Run.</t>
  </si>
  <si>
    <t>Put a breakpoint in function  'void BFE_runExecuteStandardSteps( void )' . Press Run.</t>
  </si>
  <si>
    <t>Test 'ApplTask_Core0_LowPrio' sequence diagram</t>
  </si>
  <si>
    <t>Put a breakpoint in task 'ApplTask_Core0_LowPrio'</t>
  </si>
  <si>
    <t>Put a breakpoint in task 'OsTask_ALV_BeltFunctionAlgo'</t>
  </si>
  <si>
    <t>Put a breakpoint in function  'void CIL_runCANToAppli(void)' . Press Run.</t>
  </si>
  <si>
    <t>Put a breakpoint in function  'void CIL_runAppliToCAN( void )' . Press Run.</t>
  </si>
  <si>
    <t>Put a breakpoint in function  'void MMG_runManageModeDelays(void)' . Press Run.</t>
  </si>
  <si>
    <t>Put a breakpoint in function  'void BFS_runBeltFunctionSelection(void)' . Press Run.</t>
  </si>
  <si>
    <t>Put a breakpoint in function  'void BFE_runScheduleStep(void)' . Press Run.</t>
  </si>
  <si>
    <t>Put a breakpoint in function  'void MMG_runUpdateModeStatus( void )' . Press Run.</t>
  </si>
  <si>
    <t>Put a breakpoint in function  'void PMP_runComputeDeficiencyLevel(void)' . Press Run.</t>
  </si>
  <si>
    <t>Put a breakpoint in function  'void PAL_runMainFunction(void)' . Press Run.</t>
  </si>
  <si>
    <t>Put a breakpoint in function  'void MMG_runMainFunction( void )' . Press Run.</t>
  </si>
  <si>
    <t>Put a breakpoint in function  'void MMG_runAutotestCall10ms(void)' . Press Run.</t>
  </si>
  <si>
    <t>Put a breakpoint in function  'void MMG_runAutotestCall100ms( void )' . Press Run.</t>
  </si>
  <si>
    <t>Figure 8: ApplInitTask_Core0</t>
  </si>
  <si>
    <t>Open Runtime System / OS Configuration / Interrupt Service Routine</t>
  </si>
  <si>
    <t>Check 'vHsmResponseIsr' priority.</t>
  </si>
  <si>
    <t>Check 'CounterIsr_SystemTimer '  priority.</t>
  </si>
  <si>
    <t>Check 'CanIsr_1  interrupt ' priority.</t>
  </si>
  <si>
    <t>Simulation running</t>
  </si>
  <si>
    <t>Enable all frames ( Start Simulation )</t>
  </si>
  <si>
    <t>Breakpoint is reached = &gt; ECU is in STARTUP state</t>
  </si>
  <si>
    <t>Test CPU load metrics</t>
  </si>
  <si>
    <t>Measure CPU load</t>
  </si>
  <si>
    <t>Integrated attached software to measure CPU load :
1) Add Appl_Runtime.h and Appl_Runtime_Stubs.c to build process, e.g: S:\Components\Application\Supplier\Startup
2) Activate Pre and Post task hooks in OS (changes shall be visible in Os_Cfg.h and Os_MemMapInt.h and linker)
3) Merge the code from PreTaskHook and PostTaskHook functions(Os_Callout_Stubs.c)
4) Call CpuLoadMeasurementCalculation() in a runnable which is triggered every 1000ms, e.g: BaseFunction_Main()
5) Change taskId in Pre and PostTaskHook to get the cpu load for the task you want.</t>
  </si>
  <si>
    <t xml:space="preserve">Change taskID to 'Default_Init_Task' . Build, flash and run SW. </t>
  </si>
  <si>
    <t>CPU load for task shall be lower than 1%.</t>
  </si>
  <si>
    <t xml:space="preserve">Change taskID to 'Default_Init_Task_Trusted ' . Build, flash and run SW. </t>
  </si>
  <si>
    <t xml:space="preserve">Change taskID to 'ApplInitTask_Core0 ' . Build, flash and run SW. </t>
  </si>
  <si>
    <t>CPU load for task shall be lower than 4%.</t>
  </si>
  <si>
    <t xml:space="preserve">Change taskID to 'BswTask_Core0_HighPrio' . Build, flash and run SW. </t>
  </si>
  <si>
    <t>Variable Appl_Runtime_CurrentCpuLoad(stored CPU load) is 0.0001%.</t>
  </si>
  <si>
    <t xml:space="preserve">Change taskID to 'BswTask_Core0_LowPrio ' . Build, flash and run SW. </t>
  </si>
  <si>
    <t>CPU load for task shall be lower than 5%.</t>
  </si>
  <si>
    <t xml:space="preserve">Change taskID to 'ApplTask_Core0_HighPrio ' . Build, flash and run SW. </t>
  </si>
  <si>
    <t>CPU load for task shall be lower than 3%.</t>
  </si>
  <si>
    <t xml:space="preserve">Change taskID to 'ApplTask_Core0_LowPrio ' . Build, flash and run SW. </t>
  </si>
  <si>
    <t xml:space="preserve">Change taskID to 'OsTask_ALV_BeltFunctionAlgo ' . Build, flash and run SW. </t>
  </si>
  <si>
    <t xml:space="preserve">Change taskID to 'ApplBackgroundTask_Core0 ' . Build, flash and run SW. </t>
  </si>
  <si>
    <t>Variable Appl_Runtime_CurrentCpuLoad(stored CPU load) is 0%.</t>
  </si>
  <si>
    <t xml:space="preserve">Change taskID to 'BackgroundTask_Core0' . Build, flash and run SW. </t>
  </si>
  <si>
    <t>CPU load for task shall be100 - overall CPU load.</t>
  </si>
  <si>
    <t xml:space="preserve">Change taskID to 'IdleTask_OsCore0' . Build, flash and run SW. </t>
  </si>
  <si>
    <t>CPU load for task shall be lower than 0%.</t>
  </si>
  <si>
    <t>Test RAM/ROM consumption on each SWC</t>
  </si>
  <si>
    <t>Measure MCU resources</t>
  </si>
  <si>
    <t>Filter CIL for SWC column.</t>
  </si>
  <si>
    <t>ROM size &lt; 11K bytes.
RAM size &lt; 100 bytes.</t>
  </si>
  <si>
    <t>Filter DIA for SWC column.</t>
  </si>
  <si>
    <t>ROM size &lt; 18K bytes.
RAM size &lt; 700 bytes.</t>
  </si>
  <si>
    <t>Filter MMG for SWC column.</t>
  </si>
  <si>
    <t>Filter NVP for SWC column.</t>
  </si>
  <si>
    <t>ROM size &lt; 7.5K bytes.
RAM size &lt; 3K bytes.</t>
  </si>
  <si>
    <t>ROM size = 0 bytes.
RAM size = 28 bytes.</t>
  </si>
  <si>
    <t>Filter PAL for SWC column.</t>
  </si>
  <si>
    <t>ROM size &lt; 5K bytes.
RAM size &lt; 200 bytes.</t>
  </si>
  <si>
    <t>Filter PMP for SWC column.</t>
  </si>
  <si>
    <t>ROM size &lt; 2.3K bytes.
RAM size &lt; 70 bytes.</t>
  </si>
  <si>
    <t>Figure 9: OsTask_ALV_BeltFunctionAlgo</t>
  </si>
  <si>
    <t>Figure 10: ApplTask_Core0_LowPrio</t>
  </si>
  <si>
    <t>07.04.2022</t>
  </si>
  <si>
    <t>SW_IT_MAIN_0011</t>
  </si>
  <si>
    <t>1) Use program from S:\Scripts\Configuration_Management\Map_Parser :
2) Configure yaml file to point to app.map file for this release
3) Execute parser
4) Open csv to analyze</t>
  </si>
  <si>
    <t>11.04.2022</t>
  </si>
  <si>
    <t>1.1</t>
  </si>
  <si>
    <t>1.2</t>
  </si>
  <si>
    <t>1.3</t>
  </si>
  <si>
    <t>Update after review</t>
  </si>
  <si>
    <t>08.04.2022</t>
  </si>
  <si>
    <t>Update tests synthesis</t>
  </si>
  <si>
    <t>Breakpoint is reached. =&gt; ECU Is in SLEEP state</t>
  </si>
  <si>
    <t>1.4</t>
  </si>
  <si>
    <t>Update test case 0003</t>
  </si>
  <si>
    <t>Release R02.0</t>
  </si>
  <si>
    <t>NA</t>
  </si>
  <si>
    <t>Revision</t>
  </si>
  <si>
    <t>Put a breakpoint in function  'FUNC(void, ECUM_CODE) BswM_MainFunction(void)' . Press Run.</t>
  </si>
  <si>
    <t>Put a breakpoint in function  'void HWA_runMainFunction(void)' . Press Run.</t>
  </si>
  <si>
    <t>Put a breakpoint in function  'void BSR_runBeltSlackReductionAlgo(void)' . Press Run.</t>
  </si>
  <si>
    <t>Put a breakpoint in function  'void EOL_runMainFunction(void )' . Press Run.</t>
  </si>
  <si>
    <t>Variable Appl_Runtime_CurrentCpuLoad(stored CPU load) is 1.12%.</t>
  </si>
  <si>
    <t>Variable Appl_Runtime_CurrentCpuLoad(stored CPU load) is 0.61%.</t>
  </si>
  <si>
    <t>Variable Appl_Runtime_CurrentCpuLoad(stored CPU load) is 1.69%.</t>
  </si>
  <si>
    <t>Variable Appl_Runtime_CurrentCpuLoad(stored CPU load) is 0.54%.</t>
  </si>
  <si>
    <t>Variable Appl_Runtime_CurrentCpuLoad(stored CPU load) is 1.78%.</t>
  </si>
  <si>
    <t>Variable Appl_Runtime_CurrentCpuLoad(stored CPU load) is 2.93%.</t>
  </si>
  <si>
    <t>Variable Appl_Runtime_CurrentCpuLoad(stored CPU load) is 3.83%.</t>
  </si>
  <si>
    <t>Overall CPU load is 12.5%</t>
  </si>
  <si>
    <t>Filter EOL for SWC column.</t>
  </si>
  <si>
    <t>ROM size &lt; 1.0K bytes.
RAM size &lt; 100 bytes.</t>
  </si>
  <si>
    <t>21.06.2022</t>
  </si>
  <si>
    <t xml:space="preserve">See Project Master Document for the roles and Project Members List for the name of people </t>
  </si>
  <si>
    <t>1.5</t>
  </si>
  <si>
    <t>1.6</t>
  </si>
  <si>
    <t>Update and Run integration test for R2.0</t>
  </si>
  <si>
    <t>Updates after review</t>
  </si>
  <si>
    <t>29.06.2022</t>
  </si>
  <si>
    <t>Put a breakpoint in one autotest (void PMP_Autotest_CheckPowerSupplyOV(u8TestResultType * pu8TestResult)  ) .Pree Run</t>
  </si>
  <si>
    <t>Davinci configurator open</t>
  </si>
  <si>
    <t>Put a breakpoint in function  'CANSM_LOCAL_INLINE FUNC(void, CANSM_CODE) CanSM_InitiateShutDownSequence( CanSM_SizeOfChannelVarRecordType CanSM_CanNetworkIdx, P2VAR(CanSM_ChannelVarRecordType, AUTOMATIC, CANSM_VAR_NOINIT) CanSM_CurrentChannelVarPtr )' . Removed CAN cable from ECU to disable all frames. Press Run</t>
  </si>
  <si>
    <t>Filter ERH for SWC column.</t>
  </si>
  <si>
    <t>Filter BMM for SWC column.</t>
  </si>
  <si>
    <t>Filter ATM for SWC column.</t>
  </si>
  <si>
    <t>ROM size &lt; 11K bytes.
RAM size &lt; 70 bytes.</t>
  </si>
  <si>
    <t>ROM size &lt; 2.7K bytes.
RAM size &lt; 4.5K bytes.</t>
  </si>
  <si>
    <t>ROM size &lt; 7.5K bytes.
RAM size &lt; 4.5K bytes.</t>
  </si>
  <si>
    <t>ROM size &lt; 2K bytes.
RAM size &lt; 100 bytes.</t>
  </si>
  <si>
    <t>Removed CAN cable from ECU to disable all frames.</t>
  </si>
  <si>
    <t>ROM size = 1638 bytes.
RAM size = 40 bytes.</t>
  </si>
  <si>
    <t>ROM size = 1492 bytes.
RAM size = 35 bytes.</t>
  </si>
  <si>
    <t>ROM size = 2454 bytes.
RAM size = 208 bytes.</t>
  </si>
  <si>
    <t>ROM size = 300 bytes.
RAM size = 1 bytes.</t>
  </si>
  <si>
    <t>ROM size = 1534 bytes.
RAM size = 16 bytes.</t>
  </si>
  <si>
    <t>ROM size = 4813 bytes.
RAM size = 83 bytes.</t>
  </si>
  <si>
    <t>ROM size = 1610 bytes.
RAM size = 30 bytes.</t>
  </si>
  <si>
    <t>ROM size = 530 bytes.
RAM size = 867 bytes.</t>
  </si>
  <si>
    <t>ROM size = 3560 bytes.
RAM size = 69 bytes.</t>
  </si>
  <si>
    <t>ARCH_SW_MAIN_0000, ARCH_SW_MAIN_0001, ARCH_SW_MAIN_0003</t>
  </si>
  <si>
    <t>ARCH_SW_MAIN_000, ARCH_SW_MAIN_0007, ARCH_SW_MAIN_0010</t>
  </si>
  <si>
    <t>ARCH_SW_OS_0050, ARCH_SW_OS_0051, ARCH_SW_OS_0052, ARCH_SW_OS_0053, ARCH_SW_OS_0054, ARCH_SW_OS_0057, ARCH_SW_OS_0058, ARCH_SW_OS_0059, ARCH_SW_OS_0060, ARCH_SW_OS_0061, ARCH_SW_OS_0065</t>
  </si>
  <si>
    <t>ARCH_SW_OS_00200, ARCH_SW_OS_00201, ARCH_SW_OS_00202</t>
  </si>
  <si>
    <t>ARCH_SW_OS_0300, ARCH_SW_OS_0301, ARCH_SW_OS_0302, ARCH_SW_OS_0303, ARCH_SW_OS_0304, ARCH_SW_OS_0305, ARCH_SW_OS_0306, ARCH_SW_OS_0307, ARCH_SW_OS_0308, ARCH_SW_OS_0309, ARCH_SW_OS_0310, ARCH_SW_OS_00400, ARCH_SW_OS_00401, ARCH_SW_OS_00402</t>
  </si>
  <si>
    <t>ARCH_SW_CIL_9997, ARCH_SW_CIL_9998, ARCH_SW_DIA_9997, ARCH_SW_DIA_9998, ARCH_SW_MMG_9997, ARCH_SW_MMG_9998, ARCH_SW_NVP_9997, ARCH_SW_NVP_9998, ARCH_SW_PAL_9997, ARCH_SW_PAL_9998, ARCH_SW_PMP_9997, ARCH_SW_PMP_9998, ARCH_SW_EOL_9997, ARCH_SW_EOL_9998, ARCH_SW_ERH_9997, ARCH_SW_ERH_9998, ARCH_SW_BMM_9997, ARCH_SW_BMM_9998, ARCH_SW_ATM_9997, ARCH_SW_ATM_9998</t>
  </si>
  <si>
    <t>Ciprian Galbau</t>
  </si>
  <si>
    <t>1.7</t>
  </si>
  <si>
    <t>07.09.2022</t>
  </si>
  <si>
    <t>Perform IT for R3.0</t>
  </si>
  <si>
    <t>ARCH_SW_MAIN_0002, ARCH_SW_MAIN_0004, ARCH_SW_MAIN_0006, ARCH_SW_MAIN_0005</t>
  </si>
  <si>
    <r>
      <t xml:space="preserve">Comment
</t>
    </r>
    <r>
      <rPr>
        <i/>
        <sz val="11"/>
        <rFont val="Calibri"/>
        <family val="2"/>
      </rPr>
      <t>(aplicable only if test not executed)</t>
    </r>
  </si>
  <si>
    <t>Test for Regression</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</si>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</sst>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49"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b/>
      <i/>
      <u/>
      <sz val="10"/>
      <color theme="10"/>
      <name val="Arial"/>
      <family val="2"/>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sz val="10"/>
      <color rgb="FF000080"/>
      <name val="Arial"/>
      <family val="2"/>
    </font>
    <font>
      <sz val="8"/>
      <name val="Arial"/>
      <family val="2"/>
    </font>
    <font>
      <sz val="8"/>
      <name val="Arial"/>
      <family val="2"/>
    </font>
    <font>
      <sz val="8"/>
      <name val="Arial"/>
      <family val="2"/>
    </font>
    <font>
      <sz val="8"/>
      <name val="Arial"/>
      <family val="2"/>
    </font>
    <font>
      <sz val="8"/>
      <name val="Arial"/>
    </font>
    <font>
      <sz val="11"/>
      <name val="Calibri"/>
      <family val="2"/>
      <charset val="238"/>
    </font>
    <font>
      <i/>
      <sz val="11"/>
      <name val="Calibri"/>
      <family val="2"/>
    </font>
  </fonts>
  <fills count="11">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
      <patternFill patternType="solid">
        <fgColor rgb="FFC5D9F1"/>
        <bgColor rgb="FF000000"/>
      </patternFill>
    </fill>
  </fills>
  <borders count="44">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rgb="FF000080"/>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s>
  <cellStyleXfs count="3">
    <xf numFmtId="0" fontId="0" fillId="0" borderId="0"/>
    <xf numFmtId="0" fontId="23" fillId="0" borderId="0" applyNumberFormat="0" applyFill="0" applyBorder="0" applyAlignment="0" applyProtection="0"/>
    <xf numFmtId="0" fontId="1" fillId="0" borderId="0"/>
  </cellStyleXfs>
  <cellXfs count="241">
    <xf numFmtId="0" fontId="0" fillId="0" borderId="0" xfId="0"/>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25" fillId="0" borderId="40" xfId="0" applyFont="1" applyBorder="1" applyAlignment="1" applyProtection="1">
      <alignment vertical="center"/>
      <protection locked="0"/>
    </xf>
    <xf numFmtId="0" fontId="0" fillId="0" borderId="40"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lignment horizontal="center" vertical="center" wrapText="1"/>
    </xf>
    <xf numFmtId="49" fontId="4" fillId="0" borderId="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center" wrapText="1"/>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4" fillId="0" borderId="0" xfId="0" applyFont="1" applyFill="1" applyAlignment="1" applyProtection="1">
      <alignment vertical="center"/>
    </xf>
    <xf numFmtId="0" fontId="4" fillId="0" borderId="0" xfId="0" applyFont="1" applyAlignment="1" applyProtection="1">
      <alignment vertical="center"/>
    </xf>
    <xf numFmtId="0" fontId="11" fillId="0" borderId="0" xfId="0" applyFont="1" applyBorder="1" applyAlignment="1" applyProtection="1">
      <alignment horizontal="left" vertical="center" shrinkToFit="1"/>
    </xf>
    <xf numFmtId="0" fontId="2" fillId="0" borderId="0" xfId="0" applyFont="1" applyBorder="1" applyAlignment="1" applyProtection="1">
      <alignment horizontal="left" vertical="center" shrinkToFit="1"/>
    </xf>
    <xf numFmtId="0" fontId="4" fillId="0" borderId="0" xfId="0" applyFont="1" applyFill="1" applyAlignment="1" applyProtection="1">
      <alignment vertical="center" shrinkToFit="1"/>
      <protection locked="0"/>
    </xf>
    <xf numFmtId="0" fontId="4" fillId="0" borderId="0" xfId="0" applyFont="1" applyAlignment="1" applyProtection="1">
      <alignment vertical="center" shrinkToFit="1"/>
      <protection locked="0"/>
    </xf>
    <xf numFmtId="0" fontId="26" fillId="0" borderId="2" xfId="0" applyFont="1" applyFill="1" applyBorder="1" applyAlignment="1" applyProtection="1">
      <alignment horizontal="left" vertical="center" wrapText="1" shrinkToFit="1"/>
      <protection locked="0"/>
    </xf>
    <xf numFmtId="0" fontId="27" fillId="0" borderId="0" xfId="0" applyFont="1" applyFill="1" applyBorder="1" applyAlignment="1" applyProtection="1">
      <alignment horizontal="left" vertical="center" shrinkToFit="1"/>
      <protection locked="0"/>
    </xf>
    <xf numFmtId="0" fontId="26" fillId="0" borderId="0" xfId="0" applyFont="1" applyFill="1" applyBorder="1" applyAlignment="1" applyProtection="1">
      <alignment horizontal="left" vertical="center" wrapText="1" shrinkToFit="1"/>
      <protection locked="0"/>
    </xf>
    <xf numFmtId="0" fontId="27" fillId="0" borderId="3" xfId="0" applyFont="1" applyFill="1" applyBorder="1" applyAlignment="1" applyProtection="1">
      <alignment horizontal="left" vertical="center" shrinkToFit="1"/>
      <protection locked="0"/>
    </xf>
    <xf numFmtId="0" fontId="1"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0" fillId="0" borderId="0" xfId="0" applyFont="1" applyFill="1" applyAlignment="1" applyProtection="1">
      <alignment horizontal="center" vertical="center"/>
      <protection locked="0"/>
    </xf>
    <xf numFmtId="0" fontId="28" fillId="0" borderId="0" xfId="0" quotePrefix="1" applyFont="1" applyFill="1" applyBorder="1" applyAlignment="1" applyProtection="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0" borderId="8" xfId="0" applyFont="1" applyBorder="1" applyAlignment="1">
      <alignment vertical="top"/>
    </xf>
    <xf numFmtId="0" fontId="29" fillId="0" borderId="9" xfId="0" applyFont="1" applyBorder="1" applyAlignment="1">
      <alignment vertical="top"/>
    </xf>
    <xf numFmtId="0" fontId="29" fillId="0" borderId="10"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29" fillId="0" borderId="13" xfId="0" applyFont="1" applyBorder="1" applyAlignment="1">
      <alignment vertical="top"/>
    </xf>
    <xf numFmtId="0" fontId="29" fillId="0" borderId="14" xfId="0" applyFont="1" applyBorder="1" applyAlignment="1">
      <alignment vertical="top"/>
    </xf>
    <xf numFmtId="0" fontId="1" fillId="5" borderId="0" xfId="0" applyFont="1" applyFill="1" applyBorder="1" applyAlignment="1">
      <alignment wrapText="1"/>
    </xf>
    <xf numFmtId="0" fontId="1" fillId="5" borderId="0" xfId="0" applyFont="1" applyFill="1" applyBorder="1"/>
    <xf numFmtId="0" fontId="1" fillId="5" borderId="0" xfId="0" applyFont="1" applyFill="1"/>
    <xf numFmtId="0" fontId="1" fillId="5" borderId="0" xfId="0" applyFont="1" applyFill="1" applyBorder="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Border="1" applyAlignment="1">
      <alignment vertical="top" wrapText="1"/>
    </xf>
    <xf numFmtId="0" fontId="33" fillId="0" borderId="0" xfId="0" applyFont="1" applyFill="1" applyBorder="1"/>
    <xf numFmtId="0" fontId="33" fillId="0" borderId="10" xfId="0" applyFont="1" applyFill="1" applyBorder="1"/>
    <xf numFmtId="0" fontId="20" fillId="0" borderId="10" xfId="0" applyFont="1" applyFill="1" applyBorder="1"/>
    <xf numFmtId="10" fontId="33" fillId="0" borderId="10" xfId="0" applyNumberFormat="1" applyFont="1" applyFill="1" applyBorder="1"/>
    <xf numFmtId="0" fontId="29" fillId="0" borderId="15"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0" fontId="35" fillId="6" borderId="11" xfId="1" applyFont="1" applyFill="1" applyBorder="1" applyAlignment="1">
      <alignment vertical="top"/>
    </xf>
    <xf numFmtId="49" fontId="1" fillId="0" borderId="0" xfId="0" applyNumberFormat="1" applyFont="1" applyFill="1" applyBorder="1" applyAlignment="1" applyProtection="1">
      <alignment horizontal="left" vertical="center"/>
      <protection locked="0"/>
    </xf>
    <xf numFmtId="0" fontId="29" fillId="0" borderId="16" xfId="0" applyFont="1" applyBorder="1" applyAlignment="1">
      <alignment vertical="top"/>
    </xf>
    <xf numFmtId="0" fontId="36" fillId="0" borderId="10" xfId="0" applyFont="1" applyBorder="1" applyAlignment="1">
      <alignment horizontal="center" vertical="center"/>
    </xf>
    <xf numFmtId="0" fontId="37" fillId="0" borderId="11" xfId="0" applyFont="1" applyFill="1" applyBorder="1" applyAlignment="1">
      <alignment vertical="top"/>
    </xf>
    <xf numFmtId="0" fontId="31" fillId="0" borderId="11" xfId="0" applyFont="1" applyFill="1" applyBorder="1" applyAlignment="1">
      <alignment vertical="top"/>
    </xf>
    <xf numFmtId="0" fontId="0" fillId="5" borderId="0" xfId="0" applyFill="1"/>
    <xf numFmtId="0" fontId="36" fillId="5" borderId="0" xfId="0" applyFont="1" applyFill="1" applyBorder="1" applyAlignment="1">
      <alignment horizontal="center" vertical="center"/>
    </xf>
    <xf numFmtId="0" fontId="36" fillId="5" borderId="17" xfId="0" applyFont="1" applyFill="1" applyBorder="1" applyAlignment="1">
      <alignment horizontal="center" vertical="center"/>
    </xf>
    <xf numFmtId="0" fontId="36" fillId="5" borderId="18" xfId="0" applyFont="1" applyFill="1" applyBorder="1" applyAlignment="1">
      <alignment horizontal="center" vertical="center"/>
    </xf>
    <xf numFmtId="0" fontId="0" fillId="5" borderId="0" xfId="0" applyFill="1" applyAlignment="1">
      <alignment wrapText="1"/>
    </xf>
    <xf numFmtId="0" fontId="38" fillId="7" borderId="4" xfId="0" applyFont="1" applyFill="1" applyBorder="1" applyAlignment="1">
      <alignment wrapText="1"/>
    </xf>
    <xf numFmtId="0" fontId="38" fillId="7" borderId="19" xfId="0" applyFont="1" applyFill="1" applyBorder="1" applyAlignment="1">
      <alignment vertical="center" wrapText="1"/>
    </xf>
    <xf numFmtId="0" fontId="38" fillId="7" borderId="20" xfId="0" applyFont="1" applyFill="1" applyBorder="1" applyAlignment="1">
      <alignment horizontal="center" wrapText="1"/>
    </xf>
    <xf numFmtId="0" fontId="1" fillId="8" borderId="9" xfId="2" applyFont="1" applyFill="1" applyBorder="1" applyAlignment="1">
      <alignment wrapText="1"/>
    </xf>
    <xf numFmtId="0" fontId="36" fillId="5" borderId="7" xfId="0" applyFont="1" applyFill="1" applyBorder="1" applyAlignment="1">
      <alignment horizontal="left" vertical="center"/>
    </xf>
    <xf numFmtId="0" fontId="0" fillId="0" borderId="0" xfId="0" applyAlignment="1"/>
    <xf numFmtId="0" fontId="36" fillId="0" borderId="17" xfId="0" applyFont="1" applyFill="1" applyBorder="1" applyAlignment="1">
      <alignment horizontal="center" vertical="center"/>
    </xf>
    <xf numFmtId="0" fontId="36" fillId="0" borderId="41" xfId="0" applyFont="1" applyBorder="1" applyAlignment="1">
      <alignment horizontal="center" vertical="center"/>
    </xf>
    <xf numFmtId="14" fontId="31" fillId="6" borderId="42" xfId="0" applyNumberFormat="1" applyFont="1" applyFill="1" applyBorder="1" applyAlignment="1">
      <alignment horizontal="center" vertical="center" wrapText="1"/>
    </xf>
    <xf numFmtId="0" fontId="34" fillId="6" borderId="24" xfId="0" applyFont="1" applyFill="1" applyBorder="1" applyAlignment="1">
      <alignment vertical="top"/>
    </xf>
    <xf numFmtId="0" fontId="34" fillId="6" borderId="2" xfId="0" applyFont="1" applyFill="1" applyBorder="1" applyAlignment="1">
      <alignment vertical="top"/>
    </xf>
    <xf numFmtId="0" fontId="31" fillId="6" borderId="43" xfId="0" applyFont="1" applyFill="1" applyBorder="1" applyAlignment="1">
      <alignment vertical="top" wrapText="1"/>
    </xf>
    <xf numFmtId="14" fontId="31" fillId="6" borderId="10" xfId="0" applyNumberFormat="1" applyFont="1" applyFill="1" applyBorder="1" applyAlignment="1">
      <alignment horizontal="center" vertical="center" wrapText="1"/>
    </xf>
    <xf numFmtId="0" fontId="0" fillId="0" borderId="10" xfId="0" applyBorder="1" applyAlignment="1"/>
    <xf numFmtId="0" fontId="34" fillId="6" borderId="10" xfId="0" applyFont="1" applyFill="1" applyBorder="1" applyAlignment="1">
      <alignment vertical="top"/>
    </xf>
    <xf numFmtId="0" fontId="31" fillId="6" borderId="10" xfId="0" applyFont="1" applyFill="1" applyBorder="1" applyAlignment="1">
      <alignment vertical="top" wrapText="1"/>
    </xf>
    <xf numFmtId="14" fontId="31" fillId="0" borderId="10" xfId="0" applyNumberFormat="1" applyFont="1" applyBorder="1" applyAlignment="1">
      <alignment horizontal="center" vertical="center" wrapText="1"/>
    </xf>
    <xf numFmtId="0" fontId="31" fillId="0" borderId="10" xfId="0" applyFont="1" applyBorder="1" applyAlignment="1">
      <alignment horizontal="center" vertical="center" wrapText="1"/>
    </xf>
    <xf numFmtId="0" fontId="31" fillId="0" borderId="10" xfId="0" applyFont="1" applyBorder="1" applyAlignment="1">
      <alignment vertical="top" wrapText="1"/>
    </xf>
    <xf numFmtId="0" fontId="6" fillId="0" borderId="22" xfId="0" applyFont="1" applyBorder="1" applyAlignment="1" applyProtection="1">
      <alignment horizontal="left" vertical="center" wrapText="1"/>
    </xf>
    <xf numFmtId="0" fontId="6" fillId="0" borderId="23" xfId="0" applyFont="1" applyBorder="1" applyAlignment="1" applyProtection="1">
      <alignment horizontal="left" vertical="center" wrapText="1"/>
    </xf>
    <xf numFmtId="0" fontId="6" fillId="0" borderId="24" xfId="0" applyFont="1" applyBorder="1" applyAlignment="1" applyProtection="1">
      <alignment horizontal="left" vertical="center" wrapText="1"/>
    </xf>
    <xf numFmtId="0" fontId="39" fillId="0" borderId="15" xfId="0" applyFont="1" applyBorder="1" applyAlignment="1" applyProtection="1">
      <alignment horizontal="left" vertical="center" shrinkToFit="1"/>
    </xf>
    <xf numFmtId="0" fontId="39" fillId="0" borderId="1" xfId="0" applyFont="1" applyBorder="1" applyAlignment="1" applyProtection="1">
      <alignment horizontal="left" vertical="center" shrinkToFit="1"/>
    </xf>
    <xf numFmtId="0" fontId="39" fillId="0" borderId="21" xfId="0" applyFont="1" applyBorder="1" applyAlignment="1" applyProtection="1">
      <alignment horizontal="left" vertical="center" shrinkToFit="1"/>
    </xf>
    <xf numFmtId="0" fontId="1" fillId="0" borderId="1" xfId="0" applyFont="1" applyBorder="1" applyAlignment="1" applyProtection="1">
      <alignment horizontal="left" vertical="top" wrapText="1" shrinkToFit="1"/>
      <protection locked="0"/>
    </xf>
    <xf numFmtId="0" fontId="2" fillId="0" borderId="1" xfId="0" applyFont="1" applyBorder="1" applyAlignment="1" applyProtection="1">
      <alignment horizontal="left" vertical="top" shrinkToFit="1"/>
      <protection locked="0"/>
    </xf>
    <xf numFmtId="0" fontId="2" fillId="0" borderId="21" xfId="0" applyFont="1" applyBorder="1" applyAlignment="1" applyProtection="1">
      <alignment horizontal="left" vertical="top" shrinkToFit="1"/>
      <protection locked="0"/>
    </xf>
    <xf numFmtId="0" fontId="10" fillId="0" borderId="0" xfId="0" applyFont="1" applyFill="1" applyAlignment="1" applyProtection="1">
      <alignment horizontal="center" vertical="center" wrapText="1"/>
      <protection locked="0"/>
    </xf>
    <xf numFmtId="0" fontId="0" fillId="0" borderId="0" xfId="0" applyAlignment="1">
      <alignment vertical="center" wrapText="1"/>
    </xf>
    <xf numFmtId="0" fontId="40" fillId="9" borderId="2" xfId="0" applyFont="1" applyFill="1" applyBorder="1" applyAlignment="1" applyProtection="1">
      <alignment horizontal="center" vertical="center" shrinkToFit="1"/>
      <protection locked="0"/>
    </xf>
    <xf numFmtId="0" fontId="40" fillId="9" borderId="0" xfId="0" applyFont="1" applyFill="1" applyBorder="1" applyAlignment="1" applyProtection="1">
      <alignment horizontal="center" vertical="center" shrinkToFit="1"/>
      <protection locked="0"/>
    </xf>
    <xf numFmtId="0" fontId="40" fillId="9" borderId="3" xfId="0" applyFont="1" applyFill="1" applyBorder="1" applyAlignment="1" applyProtection="1">
      <alignment horizontal="center" vertical="center" shrinkToFit="1"/>
      <protection locked="0"/>
    </xf>
    <xf numFmtId="0" fontId="1" fillId="0" borderId="22" xfId="0" applyFont="1" applyFill="1" applyBorder="1" applyAlignment="1" applyProtection="1">
      <alignment horizontal="left" vertical="top"/>
      <protection locked="0"/>
    </xf>
    <xf numFmtId="0" fontId="4" fillId="0" borderId="23" xfId="0" applyFont="1" applyFill="1" applyBorder="1" applyAlignment="1" applyProtection="1">
      <alignment horizontal="left" vertical="top"/>
      <protection locked="0"/>
    </xf>
    <xf numFmtId="0" fontId="4" fillId="0" borderId="24" xfId="0" applyFont="1" applyFill="1" applyBorder="1" applyAlignment="1" applyProtection="1">
      <alignment horizontal="left" vertical="top"/>
      <protection locked="0"/>
    </xf>
    <xf numFmtId="0" fontId="40" fillId="9" borderId="23" xfId="0" applyFont="1" applyFill="1" applyBorder="1" applyAlignment="1" applyProtection="1">
      <alignment horizontal="center" vertical="center" wrapText="1"/>
      <protection locked="0"/>
    </xf>
    <xf numFmtId="0" fontId="40" fillId="9" borderId="0" xfId="0" applyFont="1" applyFill="1" applyBorder="1" applyAlignment="1" applyProtection="1">
      <alignment horizontal="center" vertical="center" wrapText="1"/>
      <protection locked="0"/>
    </xf>
    <xf numFmtId="0" fontId="4" fillId="0" borderId="15"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0" borderId="21" xfId="0" applyFont="1" applyFill="1" applyBorder="1" applyAlignment="1" applyProtection="1">
      <alignment horizontal="left" vertical="top"/>
      <protection locked="0"/>
    </xf>
    <xf numFmtId="0" fontId="41" fillId="0" borderId="1" xfId="0" applyFont="1" applyFill="1" applyBorder="1" applyAlignment="1" applyProtection="1">
      <alignment horizontal="left" vertical="top" wrapText="1" shrinkToFit="1"/>
      <protection locked="0"/>
    </xf>
    <xf numFmtId="0" fontId="41" fillId="0" borderId="21" xfId="0" applyFont="1" applyFill="1" applyBorder="1" applyAlignment="1" applyProtection="1">
      <alignment horizontal="left" vertical="top" wrapText="1" shrinkToFit="1"/>
      <protection locked="0"/>
    </xf>
    <xf numFmtId="0" fontId="40" fillId="9" borderId="22" xfId="0" applyFont="1" applyFill="1" applyBorder="1" applyAlignment="1" applyProtection="1">
      <alignment horizontal="center" vertical="center" shrinkToFit="1"/>
      <protection locked="0"/>
    </xf>
    <xf numFmtId="0" fontId="40" fillId="9" borderId="23" xfId="0" applyFont="1" applyFill="1" applyBorder="1" applyAlignment="1" applyProtection="1">
      <alignment horizontal="center" vertical="center" shrinkToFit="1"/>
      <protection locked="0"/>
    </xf>
    <xf numFmtId="0" fontId="40" fillId="9" borderId="24" xfId="0" applyFont="1" applyFill="1" applyBorder="1" applyAlignment="1" applyProtection="1">
      <alignment horizontal="center" vertical="center" shrinkToFit="1"/>
      <protection locked="0"/>
    </xf>
    <xf numFmtId="0" fontId="6" fillId="0" borderId="22" xfId="0" applyFont="1" applyBorder="1" applyAlignment="1" applyProtection="1">
      <alignment horizontal="left" vertical="center" shrinkToFit="1"/>
    </xf>
    <xf numFmtId="0" fontId="6" fillId="0" borderId="23" xfId="0" applyFont="1" applyBorder="1" applyAlignment="1" applyProtection="1">
      <alignment horizontal="left" vertical="center" shrinkToFit="1"/>
    </xf>
    <xf numFmtId="0" fontId="6" fillId="0" borderId="24" xfId="0" applyFont="1" applyBorder="1" applyAlignment="1" applyProtection="1">
      <alignment horizontal="left" vertical="center" shrinkToFit="1"/>
    </xf>
    <xf numFmtId="0" fontId="4" fillId="0" borderId="15" xfId="0" applyFont="1" applyFill="1" applyBorder="1" applyAlignment="1" applyProtection="1">
      <alignment horizontal="right" vertical="top" wrapText="1" shrinkToFit="1"/>
      <protection locked="0"/>
    </xf>
    <xf numFmtId="0" fontId="4" fillId="0" borderId="1" xfId="0" applyFont="1" applyFill="1" applyBorder="1" applyAlignment="1" applyProtection="1">
      <alignment horizontal="right" vertical="top" wrapText="1" shrinkToFit="1"/>
      <protection locked="0"/>
    </xf>
    <xf numFmtId="0" fontId="6" fillId="0" borderId="22" xfId="0" applyFont="1" applyFill="1" applyBorder="1" applyAlignment="1" applyProtection="1">
      <alignment horizontal="left" vertical="center" shrinkToFit="1"/>
    </xf>
    <xf numFmtId="0" fontId="6" fillId="0" borderId="23" xfId="0" applyFont="1" applyFill="1" applyBorder="1" applyAlignment="1" applyProtection="1">
      <alignment horizontal="left" vertical="center" shrinkToFit="1"/>
    </xf>
    <xf numFmtId="0" fontId="6" fillId="0" borderId="24" xfId="0" applyFont="1" applyFill="1" applyBorder="1" applyAlignment="1" applyProtection="1">
      <alignment horizontal="left" vertical="center" shrinkToFit="1"/>
    </xf>
    <xf numFmtId="49" fontId="1" fillId="0" borderId="10" xfId="0" applyNumberFormat="1" applyFont="1" applyFill="1" applyBorder="1" applyAlignment="1" applyProtection="1">
      <alignment horizontal="center" vertical="center" wrapText="1"/>
      <protection locked="0"/>
    </xf>
    <xf numFmtId="49" fontId="4" fillId="0" borderId="10" xfId="0" applyNumberFormat="1" applyFont="1" applyFill="1" applyBorder="1" applyAlignment="1" applyProtection="1">
      <alignment horizontal="center" vertical="center" wrapText="1"/>
      <protection locked="0"/>
    </xf>
    <xf numFmtId="49" fontId="1" fillId="0" borderId="10" xfId="0" applyNumberFormat="1" applyFont="1" applyFill="1" applyBorder="1" applyAlignment="1" applyProtection="1">
      <alignment horizontal="left" vertical="center" wrapText="1"/>
      <protection locked="0"/>
    </xf>
    <xf numFmtId="49" fontId="4" fillId="0" borderId="10" xfId="0" applyNumberFormat="1" applyFont="1" applyFill="1" applyBorder="1" applyAlignment="1" applyProtection="1">
      <alignment horizontal="left" vertical="center" wrapText="1"/>
      <protection locked="0"/>
    </xf>
    <xf numFmtId="0" fontId="39" fillId="3" borderId="15" xfId="0" applyFont="1" applyFill="1" applyBorder="1" applyAlignment="1" applyProtection="1">
      <alignment horizontal="left" vertical="center" shrinkToFit="1"/>
    </xf>
    <xf numFmtId="0" fontId="39" fillId="3" borderId="1" xfId="0" applyFont="1" applyFill="1" applyBorder="1" applyAlignment="1" applyProtection="1">
      <alignment horizontal="left" vertical="center" shrinkToFit="1"/>
    </xf>
    <xf numFmtId="0" fontId="39" fillId="3" borderId="21" xfId="0" applyFont="1" applyFill="1" applyBorder="1" applyAlignment="1" applyProtection="1">
      <alignment horizontal="left" vertical="center" shrinkToFit="1"/>
    </xf>
    <xf numFmtId="0" fontId="8" fillId="2" borderId="10" xfId="0" applyFont="1" applyFill="1" applyBorder="1" applyAlignment="1" applyProtection="1">
      <alignment horizontal="center" vertical="center" wrapText="1"/>
      <protection locked="0"/>
    </xf>
    <xf numFmtId="0" fontId="11" fillId="3" borderId="15" xfId="0" applyFont="1" applyFill="1" applyBorder="1" applyAlignment="1" applyProtection="1">
      <alignment horizontal="left" vertical="center" shrinkToFit="1"/>
    </xf>
    <xf numFmtId="0" fontId="11" fillId="3" borderId="1" xfId="0" applyFont="1" applyFill="1" applyBorder="1" applyAlignment="1" applyProtection="1">
      <alignment horizontal="left" vertical="center" shrinkToFit="1"/>
    </xf>
    <xf numFmtId="0" fontId="11" fillId="3" borderId="21" xfId="0" applyFont="1" applyFill="1" applyBorder="1" applyAlignment="1" applyProtection="1">
      <alignment horizontal="left" vertical="center" shrinkToFit="1"/>
    </xf>
    <xf numFmtId="0" fontId="6" fillId="3" borderId="22" xfId="0" applyFont="1" applyFill="1" applyBorder="1" applyAlignment="1" applyProtection="1">
      <alignment horizontal="left" vertical="center" wrapText="1"/>
    </xf>
    <xf numFmtId="0" fontId="6" fillId="3" borderId="23" xfId="0" applyFont="1" applyFill="1" applyBorder="1" applyAlignment="1" applyProtection="1">
      <alignment horizontal="left" vertical="center" wrapText="1"/>
    </xf>
    <xf numFmtId="0" fontId="6" fillId="3" borderId="24" xfId="0" applyFont="1" applyFill="1" applyBorder="1" applyAlignment="1" applyProtection="1">
      <alignment horizontal="left" vertical="center" wrapText="1"/>
    </xf>
    <xf numFmtId="0" fontId="6" fillId="3" borderId="22" xfId="0" applyFont="1" applyFill="1" applyBorder="1" applyAlignment="1" applyProtection="1">
      <alignment horizontal="left" vertical="center" shrinkToFit="1"/>
    </xf>
    <xf numFmtId="0" fontId="6" fillId="3" borderId="23" xfId="0" applyFont="1" applyFill="1" applyBorder="1" applyAlignment="1" applyProtection="1">
      <alignment horizontal="left" vertical="center" shrinkToFit="1"/>
    </xf>
    <xf numFmtId="0" fontId="6" fillId="3" borderId="24" xfId="0" applyFont="1" applyFill="1" applyBorder="1" applyAlignment="1" applyProtection="1">
      <alignment horizontal="left" vertical="center" shrinkToFit="1"/>
    </xf>
    <xf numFmtId="0" fontId="0" fillId="2" borderId="10" xfId="0" applyFill="1" applyBorder="1" applyAlignment="1" applyProtection="1">
      <alignment horizontal="center" vertical="center" wrapText="1"/>
      <protection locked="0"/>
    </xf>
    <xf numFmtId="0" fontId="0" fillId="0" borderId="10" xfId="0" applyBorder="1" applyAlignment="1">
      <alignment horizontal="center" vertical="center" wrapText="1"/>
    </xf>
    <xf numFmtId="49" fontId="4" fillId="0" borderId="10" xfId="0" applyNumberFormat="1" applyFont="1" applyFill="1" applyBorder="1" applyAlignment="1">
      <alignment horizontal="left" vertical="center" wrapText="1"/>
    </xf>
    <xf numFmtId="49" fontId="4" fillId="0" borderId="10" xfId="0" applyNumberFormat="1" applyFont="1" applyFill="1" applyBorder="1" applyAlignment="1">
      <alignment horizontal="center" vertical="center" wrapText="1"/>
    </xf>
    <xf numFmtId="49" fontId="4" fillId="0" borderId="10" xfId="0" applyNumberFormat="1" applyFont="1" applyFill="1" applyBorder="1" applyAlignment="1" applyProtection="1">
      <alignment vertical="center" wrapText="1"/>
      <protection locked="0"/>
    </xf>
    <xf numFmtId="0" fontId="0" fillId="0" borderId="10" xfId="0" applyBorder="1" applyAlignment="1">
      <alignment horizontal="left" vertical="center" wrapText="1"/>
    </xf>
    <xf numFmtId="49" fontId="5" fillId="0" borderId="0" xfId="0" applyNumberFormat="1" applyFont="1" applyFill="1" applyAlignment="1" applyProtection="1">
      <alignment horizontal="left" vertical="top" wrapText="1"/>
      <protection locked="0"/>
    </xf>
    <xf numFmtId="49" fontId="1" fillId="0" borderId="25" xfId="0" applyNumberFormat="1" applyFont="1" applyFill="1" applyBorder="1" applyAlignment="1" applyProtection="1">
      <alignment horizontal="left" vertical="center" wrapText="1"/>
      <protection locked="0"/>
    </xf>
    <xf numFmtId="49" fontId="4" fillId="0" borderId="26" xfId="0" applyNumberFormat="1" applyFont="1" applyFill="1" applyBorder="1" applyAlignment="1" applyProtection="1">
      <alignment horizontal="left" vertical="center" wrapText="1"/>
      <protection locked="0"/>
    </xf>
    <xf numFmtId="49" fontId="4" fillId="0" borderId="16" xfId="0" applyNumberFormat="1" applyFont="1" applyFill="1" applyBorder="1" applyAlignment="1" applyProtection="1">
      <alignment horizontal="left" vertical="center" wrapText="1"/>
      <protection locked="0"/>
    </xf>
    <xf numFmtId="0" fontId="38" fillId="7" borderId="10" xfId="0" applyFont="1" applyFill="1" applyBorder="1" applyAlignment="1">
      <alignment horizontal="center"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16" xfId="0" applyBorder="1" applyAlignment="1">
      <alignment horizontal="left" vertical="center" wrapText="1"/>
    </xf>
    <xf numFmtId="0" fontId="1" fillId="0" borderId="25" xfId="0" applyFont="1" applyBorder="1" applyAlignment="1">
      <alignment horizontal="left" vertical="center" wrapText="1"/>
    </xf>
    <xf numFmtId="49" fontId="1" fillId="0" borderId="0" xfId="0" applyNumberFormat="1" applyFont="1" applyFill="1" applyBorder="1" applyAlignment="1" applyProtection="1">
      <alignment horizontal="left" vertical="top" wrapText="1"/>
      <protection locked="0"/>
    </xf>
    <xf numFmtId="0" fontId="1" fillId="5" borderId="10" xfId="2" applyFont="1" applyFill="1" applyBorder="1" applyAlignment="1">
      <alignment horizontal="left" vertical="top" wrapText="1" shrinkToFit="1"/>
    </xf>
    <xf numFmtId="0" fontId="1" fillId="5" borderId="25" xfId="2" applyFont="1" applyFill="1" applyBorder="1" applyAlignment="1">
      <alignment horizontal="left" vertical="top" wrapText="1" shrinkToFit="1"/>
    </xf>
    <xf numFmtId="0" fontId="1" fillId="5" borderId="26" xfId="2" applyFont="1" applyFill="1" applyBorder="1" applyAlignment="1">
      <alignment horizontal="left" vertical="top" wrapText="1" shrinkToFit="1"/>
    </xf>
    <xf numFmtId="0" fontId="1" fillId="5" borderId="16" xfId="2" applyFont="1" applyFill="1" applyBorder="1" applyAlignment="1">
      <alignment horizontal="left" vertical="top" wrapText="1" shrinkToFit="1"/>
    </xf>
    <xf numFmtId="0" fontId="1" fillId="5" borderId="14" xfId="2" applyFont="1" applyFill="1" applyBorder="1" applyAlignment="1">
      <alignment horizontal="left" vertical="top" wrapText="1" shrinkToFit="1"/>
    </xf>
    <xf numFmtId="0" fontId="1" fillId="0" borderId="25" xfId="2" applyFont="1" applyFill="1" applyBorder="1" applyAlignment="1">
      <alignment horizontal="left" vertical="top" wrapText="1" shrinkToFit="1"/>
    </xf>
    <xf numFmtId="0" fontId="1" fillId="0" borderId="26" xfId="2" applyFont="1" applyFill="1" applyBorder="1" applyAlignment="1">
      <alignment horizontal="left" vertical="top" wrapText="1" shrinkToFit="1"/>
    </xf>
    <xf numFmtId="0" fontId="1" fillId="0" borderId="16" xfId="2" applyFont="1" applyFill="1" applyBorder="1" applyAlignment="1">
      <alignment horizontal="left" vertical="top" wrapText="1" shrinkToFit="1"/>
    </xf>
    <xf numFmtId="0" fontId="1" fillId="5" borderId="25" xfId="2" applyFont="1" applyFill="1" applyBorder="1" applyAlignment="1">
      <alignment horizontal="left" vertical="top" wrapText="1"/>
    </xf>
    <xf numFmtId="0" fontId="1" fillId="5" borderId="26" xfId="2" applyFont="1" applyFill="1" applyBorder="1" applyAlignment="1">
      <alignment horizontal="left" vertical="top" wrapText="1"/>
    </xf>
    <xf numFmtId="0" fontId="1" fillId="5" borderId="16" xfId="2" applyFont="1" applyFill="1" applyBorder="1" applyAlignment="1">
      <alignment horizontal="left" vertical="top" wrapText="1"/>
    </xf>
    <xf numFmtId="0" fontId="38" fillId="7" borderId="29" xfId="0" applyFont="1" applyFill="1" applyBorder="1" applyAlignment="1">
      <alignment horizontal="center" wrapText="1"/>
    </xf>
    <xf numFmtId="0" fontId="38" fillId="7" borderId="30" xfId="0" applyFont="1" applyFill="1" applyBorder="1" applyAlignment="1">
      <alignment horizontal="center" wrapText="1"/>
    </xf>
    <xf numFmtId="0" fontId="38" fillId="7" borderId="31" xfId="0" applyFont="1" applyFill="1" applyBorder="1" applyAlignment="1">
      <alignment horizontal="center" wrapText="1"/>
    </xf>
    <xf numFmtId="0" fontId="38" fillId="7" borderId="34" xfId="0" applyFont="1" applyFill="1" applyBorder="1" applyAlignment="1">
      <alignment horizontal="left" vertical="center" wrapText="1"/>
    </xf>
    <xf numFmtId="0" fontId="38" fillId="7" borderId="36" xfId="0" applyFont="1" applyFill="1" applyBorder="1" applyAlignment="1">
      <alignment horizontal="left" vertical="center" wrapText="1"/>
    </xf>
    <xf numFmtId="0" fontId="1" fillId="5" borderId="32" xfId="0" applyFont="1" applyFill="1" applyBorder="1" applyAlignment="1">
      <alignment horizontal="left" vertical="top" wrapText="1" shrinkToFit="1"/>
    </xf>
    <xf numFmtId="0" fontId="1" fillId="5" borderId="33" xfId="0" applyFont="1" applyFill="1" applyBorder="1" applyAlignment="1">
      <alignment horizontal="left" vertical="top" wrapText="1" shrinkToFit="1"/>
    </xf>
    <xf numFmtId="0" fontId="1" fillId="5" borderId="34" xfId="0" applyFont="1" applyFill="1" applyBorder="1" applyAlignment="1">
      <alignment horizontal="left" vertical="top" wrapText="1" shrinkToFit="1"/>
    </xf>
    <xf numFmtId="0" fontId="1" fillId="5" borderId="35" xfId="0" applyFont="1" applyFill="1" applyBorder="1" applyAlignment="1">
      <alignment horizontal="left" vertical="top" wrapText="1" shrinkToFit="1"/>
    </xf>
    <xf numFmtId="0" fontId="1" fillId="5" borderId="0" xfId="0" applyFont="1" applyFill="1" applyBorder="1" applyAlignment="1">
      <alignment horizontal="left" vertical="top" wrapText="1" shrinkToFit="1"/>
    </xf>
    <xf numFmtId="0" fontId="1" fillId="5" borderId="36" xfId="0" applyFont="1" applyFill="1" applyBorder="1" applyAlignment="1">
      <alignment horizontal="left" vertical="top" wrapText="1" shrinkToFit="1"/>
    </xf>
    <xf numFmtId="0" fontId="1" fillId="5" borderId="37" xfId="0" applyFont="1" applyFill="1" applyBorder="1" applyAlignment="1">
      <alignment horizontal="left" vertical="top" wrapText="1" shrinkToFit="1"/>
    </xf>
    <xf numFmtId="0" fontId="1" fillId="5" borderId="38" xfId="0" applyFont="1" applyFill="1" applyBorder="1" applyAlignment="1">
      <alignment horizontal="left" vertical="top" wrapText="1" shrinkToFit="1"/>
    </xf>
    <xf numFmtId="0" fontId="1" fillId="5" borderId="39" xfId="0" applyFont="1" applyFill="1" applyBorder="1" applyAlignment="1">
      <alignment horizontal="left" vertical="top" wrapText="1" shrinkToFit="1"/>
    </xf>
    <xf numFmtId="0" fontId="9" fillId="5" borderId="6" xfId="0" applyFont="1" applyFill="1" applyBorder="1" applyAlignment="1">
      <alignment horizontal="left"/>
    </xf>
    <xf numFmtId="0" fontId="1" fillId="5" borderId="27" xfId="0" applyFont="1" applyFill="1" applyBorder="1" applyAlignment="1">
      <alignment horizontal="left"/>
    </xf>
    <xf numFmtId="0" fontId="1" fillId="5" borderId="28" xfId="0" applyFont="1" applyFill="1" applyBorder="1" applyAlignment="1">
      <alignment horizontal="left"/>
    </xf>
    <xf numFmtId="0" fontId="1" fillId="5" borderId="6" xfId="0" applyFont="1" applyFill="1" applyBorder="1" applyAlignment="1">
      <alignment horizontal="left" vertical="top"/>
    </xf>
    <xf numFmtId="0" fontId="1" fillId="5" borderId="27" xfId="0" applyFont="1" applyFill="1" applyBorder="1" applyAlignment="1">
      <alignment horizontal="left" vertical="top"/>
    </xf>
    <xf numFmtId="0" fontId="1" fillId="5" borderId="28" xfId="0" applyFont="1" applyFill="1" applyBorder="1" applyAlignment="1">
      <alignment horizontal="left" vertical="top"/>
    </xf>
    <xf numFmtId="0" fontId="1" fillId="0" borderId="6" xfId="0" applyFont="1" applyFill="1" applyBorder="1" applyAlignment="1">
      <alignment horizontal="left" vertical="top"/>
    </xf>
    <xf numFmtId="0" fontId="1" fillId="0" borderId="27" xfId="0" applyFont="1" applyFill="1" applyBorder="1" applyAlignment="1">
      <alignment horizontal="left" vertical="top"/>
    </xf>
    <xf numFmtId="0" fontId="1" fillId="0" borderId="28" xfId="0" applyFont="1" applyFill="1" applyBorder="1" applyAlignment="1">
      <alignment horizontal="left" vertical="top"/>
    </xf>
    <xf numFmtId="0" fontId="0" fillId="5" borderId="25" xfId="0" applyFill="1" applyBorder="1" applyAlignment="1">
      <alignment horizontal="center"/>
    </xf>
    <xf numFmtId="0" fontId="0" fillId="5" borderId="26" xfId="0" applyFill="1" applyBorder="1" applyAlignment="1">
      <alignment horizontal="center"/>
    </xf>
    <xf numFmtId="0" fontId="0" fillId="5" borderId="16" xfId="0" applyFill="1" applyBorder="1" applyAlignment="1">
      <alignment horizontal="center"/>
    </xf>
    <xf numFmtId="0" fontId="0" fillId="5" borderId="25" xfId="0" applyFill="1" applyBorder="1"/>
    <xf numFmtId="0" fontId="0" fillId="5" borderId="26" xfId="0" applyFill="1" applyBorder="1"/>
    <xf numFmtId="0" fontId="0" fillId="5" borderId="16" xfId="0" applyFill="1" applyBorder="1"/>
    <xf numFmtId="0" fontId="1" fillId="0" borderId="10" xfId="2" applyFont="1" applyFill="1" applyBorder="1" applyAlignment="1">
      <alignment horizontal="left" vertical="top" wrapText="1" shrinkToFit="1"/>
    </xf>
    <xf numFmtId="4" fontId="1" fillId="5" borderId="10" xfId="2" applyNumberFormat="1" applyFont="1" applyFill="1" applyBorder="1" applyAlignment="1">
      <alignment horizontal="left" vertical="top" wrapText="1" shrinkToFit="1"/>
    </xf>
    <xf numFmtId="0" fontId="1" fillId="0" borderId="32" xfId="0" applyFont="1" applyFill="1" applyBorder="1" applyAlignment="1">
      <alignment horizontal="left" vertical="top" wrapText="1" shrinkToFit="1"/>
    </xf>
    <xf numFmtId="0" fontId="1" fillId="0" borderId="33" xfId="0" applyFont="1" applyFill="1" applyBorder="1" applyAlignment="1">
      <alignment horizontal="left" vertical="top" wrapText="1" shrinkToFit="1"/>
    </xf>
    <xf numFmtId="0" fontId="1" fillId="0" borderId="34" xfId="0" applyFont="1" applyFill="1" applyBorder="1" applyAlignment="1">
      <alignment horizontal="left" vertical="top" wrapText="1" shrinkToFit="1"/>
    </xf>
    <xf numFmtId="0" fontId="1" fillId="0" borderId="35" xfId="0" applyFont="1" applyFill="1" applyBorder="1" applyAlignment="1">
      <alignment horizontal="left" vertical="top" wrapText="1" shrinkToFit="1"/>
    </xf>
    <xf numFmtId="0" fontId="1" fillId="0" borderId="0" xfId="0" applyFont="1" applyFill="1" applyBorder="1" applyAlignment="1">
      <alignment horizontal="left" vertical="top" wrapText="1" shrinkToFit="1"/>
    </xf>
    <xf numFmtId="0" fontId="1" fillId="0" borderId="36" xfId="0" applyFont="1" applyFill="1" applyBorder="1" applyAlignment="1">
      <alignment horizontal="left" vertical="top" wrapText="1" shrinkToFit="1"/>
    </xf>
    <xf numFmtId="0" fontId="1" fillId="0" borderId="37" xfId="0" applyFont="1" applyFill="1" applyBorder="1" applyAlignment="1">
      <alignment horizontal="left" vertical="top" wrapText="1" shrinkToFit="1"/>
    </xf>
    <xf numFmtId="0" fontId="1" fillId="0" borderId="38" xfId="0" applyFont="1" applyFill="1" applyBorder="1" applyAlignment="1">
      <alignment horizontal="left" vertical="top" wrapText="1" shrinkToFit="1"/>
    </xf>
    <xf numFmtId="0" fontId="1" fillId="0" borderId="39" xfId="0" applyFont="1" applyFill="1" applyBorder="1" applyAlignment="1">
      <alignment horizontal="left" vertical="top" wrapText="1" shrinkToFit="1"/>
    </xf>
    <xf numFmtId="0" fontId="1" fillId="5" borderId="6" xfId="0" applyFont="1" applyFill="1" applyBorder="1" applyAlignment="1">
      <alignment horizontal="left" vertical="top" wrapText="1"/>
    </xf>
    <xf numFmtId="0" fontId="1" fillId="5" borderId="27" xfId="0" applyFont="1" applyFill="1" applyBorder="1" applyAlignment="1">
      <alignment horizontal="left" vertical="top" wrapText="1"/>
    </xf>
    <xf numFmtId="0" fontId="1" fillId="5" borderId="28" xfId="0" applyFont="1" applyFill="1" applyBorder="1" applyAlignment="1">
      <alignment horizontal="left" vertical="top" wrapText="1"/>
    </xf>
    <xf numFmtId="0" fontId="47" fillId="10" borderId="7" xfId="0" applyFont="1" applyFill="1" applyBorder="1" applyAlignment="1">
      <alignment horizontal="center" vertical="center" wrapText="1"/>
    </xf>
  </cellXfs>
  <cellStyles count="3">
    <cellStyle name="Hyperlink" xfId="1" builtinId="8"/>
    <cellStyle name="Normal" xfId="0" builtinId="0"/>
    <cellStyle name="Normal 2" xfId="2" xr:uid="{00000000-0005-0000-0000-000002000000}"/>
  </cellStyles>
  <dxfs count="132">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SW integration test progress</a:t>
            </a:r>
          </a:p>
        </c:rich>
      </c:tx>
      <c:overlay val="0"/>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0-5374-434A-AFE8-DF808D2D2BD5}"/>
              </c:ext>
            </c:extLst>
          </c:dPt>
          <c:dPt>
            <c:idx val="1"/>
            <c:bubble3D val="0"/>
            <c:extLst>
              <c:ext xmlns:c16="http://schemas.microsoft.com/office/drawing/2014/chart" uri="{C3380CC4-5D6E-409C-BE32-E72D297353CC}">
                <c16:uniqueId val="{00000001-5374-434A-AFE8-DF808D2D2BD5}"/>
              </c:ext>
            </c:extLst>
          </c:dPt>
          <c:dPt>
            <c:idx val="2"/>
            <c:bubble3D val="0"/>
            <c:spPr>
              <a:solidFill>
                <a:schemeClr val="bg1">
                  <a:lumMod val="75000"/>
                </a:schemeClr>
              </a:solidFill>
            </c:spPr>
            <c:extLst>
              <c:ext xmlns:c16="http://schemas.microsoft.com/office/drawing/2014/chart" uri="{C3380CC4-5D6E-409C-BE32-E72D297353CC}">
                <c16:uniqueId val="{00000002-5374-434A-AFE8-DF808D2D2BD5}"/>
              </c:ext>
            </c:extLst>
          </c:dPt>
          <c:dPt>
            <c:idx val="3"/>
            <c:bubble3D val="0"/>
            <c:extLst>
              <c:ext xmlns:c16="http://schemas.microsoft.com/office/drawing/2014/chart" uri="{C3380CC4-5D6E-409C-BE32-E72D297353CC}">
                <c16:uniqueId val="{00000003-5374-434A-AFE8-DF808D2D2BD5}"/>
              </c:ext>
            </c:extLst>
          </c:dPt>
          <c:dLbls>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0.75</c:v>
                </c:pt>
                <c:pt idx="1">
                  <c:v>0.25</c:v>
                </c:pt>
                <c:pt idx="2">
                  <c:v>0</c:v>
                </c:pt>
                <c:pt idx="3">
                  <c:v>0</c:v>
                </c:pt>
              </c:numCache>
            </c:numRef>
          </c:val>
          <c:extLst>
            <c:ext xmlns:c16="http://schemas.microsoft.com/office/drawing/2014/chart" uri="{C3380CC4-5D6E-409C-BE32-E72D297353CC}">
              <c16:uniqueId val="{00000004-5374-434A-AFE8-DF808D2D2BD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a:extLst>
            <a:ext uri="{FF2B5EF4-FFF2-40B4-BE49-F238E27FC236}">
              <a16:creationId xmlns:a16="http://schemas.microsoft.com/office/drawing/2014/main" id="{EC3B1DB7-EFD0-4450-A4A6-37F30917EA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a:extLst>
            <a:ext uri="{FF2B5EF4-FFF2-40B4-BE49-F238E27FC236}">
              <a16:creationId xmlns:a16="http://schemas.microsoft.com/office/drawing/2014/main" id="{C873E46E-CC37-47C9-B846-1DF96BCE9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5" name="Picture 1">
          <a:extLst>
            <a:ext uri="{FF2B5EF4-FFF2-40B4-BE49-F238E27FC236}">
              <a16:creationId xmlns:a16="http://schemas.microsoft.com/office/drawing/2014/main" id="{B18CBB95-9994-499B-BF63-42E7193B7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6" name="Picture 2">
          <a:extLst>
            <a:ext uri="{FF2B5EF4-FFF2-40B4-BE49-F238E27FC236}">
              <a16:creationId xmlns:a16="http://schemas.microsoft.com/office/drawing/2014/main" id="{773197C6-D8B1-4205-A2F6-3F6FDCBCEC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a:extLst>
            <a:ext uri="{FF2B5EF4-FFF2-40B4-BE49-F238E27FC236}">
              <a16:creationId xmlns:a16="http://schemas.microsoft.com/office/drawing/2014/main" id="{3B8DEE3C-F3F6-4252-8DA4-4575A22FEB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AB6" sqref="AB6:AD6"/>
    </sheetView>
  </sheetViews>
  <sheetFormatPr defaultColWidth="0" defaultRowHeight="13.2" zeroHeight="1" x14ac:dyDescent="0.25"/>
  <cols>
    <col min="1" max="33" width="2.8867187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DAIMLER MMA Architecture Software Integration Test Specification Report.xlsm</v>
      </c>
      <c r="AE3" s="8"/>
      <c r="AF3" s="8"/>
      <c r="AG3" s="8"/>
      <c r="AH3" s="8"/>
      <c r="AI3" s="8"/>
      <c r="AJ3" s="8"/>
      <c r="AK3" s="8"/>
    </row>
    <row r="4" spans="1:37" s="7" customFormat="1" ht="11.1" customHeight="1" x14ac:dyDescent="0.25">
      <c r="A4" s="145" t="s">
        <v>0</v>
      </c>
      <c r="B4" s="146"/>
      <c r="C4" s="146"/>
      <c r="D4" s="146"/>
      <c r="E4" s="146"/>
      <c r="F4" s="146"/>
      <c r="G4" s="146"/>
      <c r="H4" s="146"/>
      <c r="I4" s="146"/>
      <c r="J4" s="146"/>
      <c r="K4" s="146"/>
      <c r="L4" s="146"/>
      <c r="M4" s="146"/>
      <c r="N4" s="146"/>
      <c r="O4" s="146"/>
      <c r="P4" s="146"/>
      <c r="Q4" s="146"/>
      <c r="R4" s="146"/>
      <c r="S4" s="146"/>
      <c r="T4" s="146"/>
      <c r="U4" s="146"/>
      <c r="V4" s="147"/>
      <c r="W4" s="118" t="s">
        <v>1</v>
      </c>
      <c r="X4" s="119"/>
      <c r="Y4" s="119"/>
      <c r="Z4" s="119"/>
      <c r="AA4" s="120"/>
      <c r="AB4" s="150" t="s">
        <v>20</v>
      </c>
      <c r="AC4" s="151"/>
      <c r="AD4" s="151"/>
      <c r="AE4" s="151"/>
      <c r="AF4" s="151"/>
      <c r="AG4" s="152"/>
      <c r="AH4" s="10"/>
      <c r="AI4" s="10"/>
      <c r="AJ4" s="10"/>
      <c r="AK4" s="8"/>
    </row>
    <row r="5" spans="1:37" s="12" customFormat="1" ht="12.75" customHeight="1" x14ac:dyDescent="0.25">
      <c r="A5" s="121" t="s">
        <v>129</v>
      </c>
      <c r="B5" s="122"/>
      <c r="C5" s="122"/>
      <c r="D5" s="122"/>
      <c r="E5" s="122"/>
      <c r="F5" s="122"/>
      <c r="G5" s="122"/>
      <c r="H5" s="122"/>
      <c r="I5" s="122"/>
      <c r="J5" s="122"/>
      <c r="K5" s="122"/>
      <c r="L5" s="122"/>
      <c r="M5" s="122"/>
      <c r="N5" s="122"/>
      <c r="O5" s="122"/>
      <c r="P5" s="122"/>
      <c r="Q5" s="122"/>
      <c r="R5" s="122"/>
      <c r="S5" s="122"/>
      <c r="T5" s="122"/>
      <c r="U5" s="122"/>
      <c r="V5" s="123"/>
      <c r="W5" s="121" t="str">
        <f ca="1" xml:space="preserve"> IFERROR(IF([1]!alvDocProperty("MXCurrent.Localized")="","Template released",[1]!alvDocProperty("MXCurrent.Localized")),"Template released")</f>
        <v>Template released</v>
      </c>
      <c r="X5" s="122"/>
      <c r="Y5" s="122"/>
      <c r="Z5" s="122"/>
      <c r="AA5" s="123"/>
      <c r="AB5" s="121" t="s">
        <v>393</v>
      </c>
      <c r="AC5" s="122"/>
      <c r="AD5" s="122"/>
      <c r="AE5" s="122"/>
      <c r="AF5" s="122"/>
      <c r="AG5" s="123"/>
      <c r="AH5" s="11"/>
      <c r="AI5" s="11"/>
      <c r="AJ5" s="11"/>
      <c r="AK5" s="11"/>
    </row>
    <row r="6" spans="1:37" s="45" customFormat="1" ht="11.1" customHeight="1" x14ac:dyDescent="0.25">
      <c r="A6" s="118" t="s">
        <v>2</v>
      </c>
      <c r="B6" s="119"/>
      <c r="C6" s="119"/>
      <c r="D6" s="120"/>
      <c r="E6" s="118" t="s">
        <v>3</v>
      </c>
      <c r="F6" s="119"/>
      <c r="G6" s="119"/>
      <c r="H6" s="119"/>
      <c r="I6" s="119"/>
      <c r="J6" s="119"/>
      <c r="K6" s="119"/>
      <c r="L6" s="119"/>
      <c r="M6" s="119"/>
      <c r="N6" s="119"/>
      <c r="O6" s="119"/>
      <c r="P6" s="119"/>
      <c r="Q6" s="119"/>
      <c r="R6" s="119"/>
      <c r="S6" s="119"/>
      <c r="T6" s="119"/>
      <c r="U6" s="119"/>
      <c r="V6" s="120"/>
      <c r="W6" s="145" t="s">
        <v>15</v>
      </c>
      <c r="X6" s="146"/>
      <c r="Y6" s="146"/>
      <c r="Z6" s="146"/>
      <c r="AA6" s="147"/>
      <c r="AB6" s="118" t="s">
        <v>343</v>
      </c>
      <c r="AC6" s="119"/>
      <c r="AD6" s="120"/>
      <c r="AE6" s="118" t="s">
        <v>4</v>
      </c>
      <c r="AF6" s="119"/>
      <c r="AG6" s="120"/>
      <c r="AH6" s="44"/>
      <c r="AI6" s="44"/>
      <c r="AJ6" s="44"/>
      <c r="AK6" s="44"/>
    </row>
    <row r="7" spans="1:37" s="14" customFormat="1" ht="12" customHeight="1" x14ac:dyDescent="0.25">
      <c r="A7" s="121" t="s">
        <v>342</v>
      </c>
      <c r="B7" s="122"/>
      <c r="C7" s="122"/>
      <c r="D7" s="123"/>
      <c r="E7" s="121" t="str">
        <f ca="1" xml:space="preserve"> IFERROR(IF([1]!alvDocProperty("MXTitle")="","Software Integration Test Specification Report (SITS-SITR)",[1]!alvDocProperty("MXTitle")),"DAIMLER MMA Architecture Software Integration Test Specification Report (SITS-SITR)")</f>
        <v>DAIMLER MMA Architecture Software Integration Test Specification Report (SITS-SITR)</v>
      </c>
      <c r="F7" s="122"/>
      <c r="G7" s="122"/>
      <c r="H7" s="122"/>
      <c r="I7" s="122"/>
      <c r="J7" s="122"/>
      <c r="K7" s="122"/>
      <c r="L7" s="122"/>
      <c r="M7" s="122"/>
      <c r="N7" s="122"/>
      <c r="O7" s="122"/>
      <c r="P7" s="122"/>
      <c r="Q7" s="122"/>
      <c r="R7" s="122"/>
      <c r="S7" s="122"/>
      <c r="T7" s="122"/>
      <c r="U7" s="122"/>
      <c r="V7" s="123"/>
      <c r="W7" s="121" t="str">
        <f ca="1" xml:space="preserve"> IFERROR(IF([1]!alvDocProperty("MXDocTemplate_Name")="","SW04TEM001",[1]!alvDocProperty("MXDocTemplate_Name")),"SW04TEM001")</f>
        <v>SW04TEM001</v>
      </c>
      <c r="X7" s="122"/>
      <c r="Y7" s="122"/>
      <c r="Z7" s="122"/>
      <c r="AA7" s="123"/>
      <c r="AB7" s="121"/>
      <c r="AC7" s="122"/>
      <c r="AD7" s="123"/>
      <c r="AE7" s="121">
        <v>1.7</v>
      </c>
      <c r="AF7" s="122"/>
      <c r="AG7" s="123"/>
      <c r="AH7" s="13"/>
      <c r="AI7" s="13"/>
      <c r="AJ7" s="13"/>
      <c r="AK7" s="13"/>
    </row>
    <row r="8" spans="1:37" s="12" customFormat="1" x14ac:dyDescent="0.25">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5">
      <c r="A9" s="129" t="s">
        <v>21</v>
      </c>
      <c r="B9" s="130"/>
      <c r="C9" s="130"/>
      <c r="D9" s="130"/>
      <c r="E9" s="130"/>
      <c r="F9" s="130"/>
      <c r="G9" s="130"/>
      <c r="H9" s="130"/>
      <c r="I9" s="130"/>
      <c r="J9" s="130"/>
      <c r="K9" s="131"/>
      <c r="L9" s="129" t="s">
        <v>22</v>
      </c>
      <c r="M9" s="130"/>
      <c r="N9" s="130"/>
      <c r="O9" s="130"/>
      <c r="P9" s="130"/>
      <c r="Q9" s="130"/>
      <c r="R9" s="130"/>
      <c r="S9" s="130"/>
      <c r="T9" s="130"/>
      <c r="U9" s="130"/>
      <c r="V9" s="131"/>
      <c r="W9" s="129" t="s">
        <v>23</v>
      </c>
      <c r="X9" s="130"/>
      <c r="Y9" s="130"/>
      <c r="Z9" s="130"/>
      <c r="AA9" s="130"/>
      <c r="AB9" s="130"/>
      <c r="AC9" s="130"/>
      <c r="AD9" s="130"/>
      <c r="AE9" s="130"/>
      <c r="AF9" s="130"/>
      <c r="AG9" s="131"/>
      <c r="AH9" s="15"/>
      <c r="AI9" s="15"/>
    </row>
    <row r="10" spans="1:37" s="49" customFormat="1" ht="28.5" customHeight="1" x14ac:dyDescent="0.25">
      <c r="A10" s="148" t="s">
        <v>33</v>
      </c>
      <c r="B10" s="149"/>
      <c r="C10" s="149"/>
      <c r="D10" s="149"/>
      <c r="E10" s="149"/>
      <c r="F10" s="140" t="s">
        <v>391</v>
      </c>
      <c r="G10" s="140"/>
      <c r="H10" s="140"/>
      <c r="I10" s="140"/>
      <c r="J10" s="140"/>
      <c r="K10" s="141"/>
      <c r="L10" s="124" t="s">
        <v>359</v>
      </c>
      <c r="M10" s="125"/>
      <c r="N10" s="125"/>
      <c r="O10" s="125"/>
      <c r="P10" s="125"/>
      <c r="Q10" s="125"/>
      <c r="R10" s="125"/>
      <c r="S10" s="125"/>
      <c r="T10" s="125"/>
      <c r="U10" s="125"/>
      <c r="V10" s="126"/>
      <c r="W10" s="124" t="s">
        <v>359</v>
      </c>
      <c r="X10" s="125"/>
      <c r="Y10" s="125"/>
      <c r="Z10" s="125"/>
      <c r="AA10" s="125"/>
      <c r="AB10" s="125"/>
      <c r="AC10" s="125"/>
      <c r="AD10" s="125"/>
      <c r="AE10" s="125"/>
      <c r="AF10" s="125"/>
      <c r="AG10" s="126"/>
      <c r="AH10" s="48"/>
      <c r="AI10" s="48"/>
    </row>
    <row r="11" spans="1:37" s="55" customFormat="1" ht="4.5" customHeight="1" x14ac:dyDescent="0.25">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5">
      <c r="A12" s="142" t="s">
        <v>24</v>
      </c>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c r="AA12" s="143"/>
      <c r="AB12" s="143"/>
      <c r="AC12" s="143"/>
      <c r="AD12" s="143"/>
      <c r="AE12" s="143"/>
      <c r="AF12" s="143"/>
      <c r="AG12" s="144"/>
      <c r="AH12" s="15"/>
      <c r="AI12" s="15"/>
      <c r="AJ12" s="15"/>
      <c r="AK12" s="15"/>
    </row>
    <row r="13" spans="1:37" s="49" customFormat="1" ht="28.5" customHeight="1" x14ac:dyDescent="0.25">
      <c r="A13" s="124" t="s">
        <v>359</v>
      </c>
      <c r="B13" s="125"/>
      <c r="C13" s="125"/>
      <c r="D13" s="125"/>
      <c r="E13" s="125"/>
      <c r="F13" s="125"/>
      <c r="G13" s="125"/>
      <c r="H13" s="125"/>
      <c r="I13" s="125"/>
      <c r="J13" s="125"/>
      <c r="K13" s="126"/>
      <c r="L13" s="124" t="s">
        <v>359</v>
      </c>
      <c r="M13" s="125"/>
      <c r="N13" s="125"/>
      <c r="O13" s="125"/>
      <c r="P13" s="125"/>
      <c r="Q13" s="125"/>
      <c r="R13" s="125"/>
      <c r="S13" s="125"/>
      <c r="T13" s="125"/>
      <c r="U13" s="125"/>
      <c r="V13" s="126"/>
      <c r="W13" s="124" t="s">
        <v>359</v>
      </c>
      <c r="X13" s="125"/>
      <c r="Y13" s="125"/>
      <c r="Z13" s="125"/>
      <c r="AA13" s="125"/>
      <c r="AB13" s="125"/>
      <c r="AC13" s="125"/>
      <c r="AD13" s="125"/>
      <c r="AE13" s="125"/>
      <c r="AF13" s="125"/>
      <c r="AG13" s="126"/>
      <c r="AH13" s="48"/>
      <c r="AI13" s="48"/>
      <c r="AJ13" s="48"/>
      <c r="AK13" s="48"/>
    </row>
    <row r="14" spans="1:37" s="55" customFormat="1" ht="4.5" customHeight="1" x14ac:dyDescent="0.25">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37.5" customHeight="1" x14ac:dyDescent="0.25">
      <c r="A15" s="135" t="s">
        <v>25</v>
      </c>
      <c r="B15" s="135"/>
      <c r="C15" s="135"/>
      <c r="D15" s="135"/>
      <c r="E15" s="132" t="s">
        <v>341</v>
      </c>
      <c r="F15" s="133"/>
      <c r="G15" s="133"/>
      <c r="H15" s="133"/>
      <c r="I15" s="133"/>
      <c r="J15" s="133"/>
      <c r="K15" s="133"/>
      <c r="L15" s="133"/>
      <c r="M15" s="133"/>
      <c r="N15" s="133"/>
      <c r="O15" s="133"/>
      <c r="P15" s="133"/>
      <c r="Q15" s="133"/>
      <c r="R15" s="133"/>
      <c r="S15" s="133"/>
      <c r="T15" s="133"/>
      <c r="U15" s="133"/>
      <c r="V15" s="133"/>
      <c r="W15" s="133"/>
      <c r="X15" s="133"/>
      <c r="Y15" s="133"/>
      <c r="Z15" s="133"/>
      <c r="AA15" s="133"/>
      <c r="AB15" s="133"/>
      <c r="AC15" s="133"/>
      <c r="AD15" s="133"/>
      <c r="AE15" s="133"/>
      <c r="AF15" s="133"/>
      <c r="AG15" s="134"/>
      <c r="AH15" s="17"/>
      <c r="AI15" s="17"/>
      <c r="AJ15" s="17"/>
      <c r="AK15" s="17"/>
    </row>
    <row r="16" spans="1:37" s="18" customFormat="1" ht="37.5" customHeight="1" x14ac:dyDescent="0.25">
      <c r="A16" s="136"/>
      <c r="B16" s="136"/>
      <c r="C16" s="136"/>
      <c r="D16" s="136"/>
      <c r="E16" s="137"/>
      <c r="F16" s="138"/>
      <c r="G16" s="138"/>
      <c r="H16" s="138"/>
      <c r="I16" s="138"/>
      <c r="J16" s="138"/>
      <c r="K16" s="138"/>
      <c r="L16" s="138"/>
      <c r="M16" s="138"/>
      <c r="N16" s="138"/>
      <c r="O16" s="138"/>
      <c r="P16" s="138"/>
      <c r="Q16" s="138"/>
      <c r="R16" s="138"/>
      <c r="S16" s="138"/>
      <c r="T16" s="138"/>
      <c r="U16" s="138"/>
      <c r="V16" s="138"/>
      <c r="W16" s="138"/>
      <c r="X16" s="138"/>
      <c r="Y16" s="138"/>
      <c r="Z16" s="138"/>
      <c r="AA16" s="138"/>
      <c r="AB16" s="138"/>
      <c r="AC16" s="138"/>
      <c r="AD16" s="138"/>
      <c r="AE16" s="138"/>
      <c r="AF16" s="138"/>
      <c r="AG16" s="139"/>
      <c r="AH16" s="17"/>
      <c r="AI16" s="17"/>
      <c r="AJ16" s="17"/>
      <c r="AK16" s="17"/>
    </row>
    <row r="17" spans="1:37" s="18" customFormat="1" x14ac:dyDescent="0.25">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x14ac:dyDescent="0.25">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x14ac:dyDescent="0.25">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x14ac:dyDescent="0.25">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5">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5">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60" customHeight="1" x14ac:dyDescent="0.25">
      <c r="A23" s="127" t="str">
        <f ca="1">MXTitle</f>
        <v>DAIMLER MMA Architecture Software Integration Test Specification Report (SITS-SITR)</v>
      </c>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7"/>
      <c r="AI23" s="17"/>
      <c r="AJ23" s="17"/>
      <c r="AK23" s="17"/>
    </row>
    <row r="24" spans="1:37" s="18" customFormat="1" ht="24.6" x14ac:dyDescent="0.25">
      <c r="C24" s="17"/>
      <c r="D24" s="17"/>
      <c r="E24" s="17"/>
      <c r="F24" s="17"/>
      <c r="G24" s="17"/>
      <c r="H24" s="17"/>
      <c r="I24" s="17"/>
      <c r="J24" s="17"/>
      <c r="K24" s="17"/>
      <c r="L24" s="17"/>
      <c r="M24" s="17"/>
      <c r="N24" s="17"/>
      <c r="O24" s="17"/>
      <c r="P24" s="17"/>
      <c r="Q24" s="57"/>
      <c r="R24" s="17"/>
      <c r="S24" s="17"/>
      <c r="T24" s="17"/>
      <c r="U24" s="17"/>
      <c r="V24" s="17"/>
      <c r="W24" s="17"/>
      <c r="X24" s="17"/>
      <c r="Y24" s="17"/>
      <c r="Z24" s="17"/>
      <c r="AA24" s="17"/>
      <c r="AB24" s="17"/>
      <c r="AC24" s="17"/>
      <c r="AD24" s="17"/>
      <c r="AE24" s="17"/>
      <c r="AF24" s="17"/>
      <c r="AG24" s="17"/>
      <c r="AH24" s="17"/>
      <c r="AI24" s="17"/>
      <c r="AJ24" s="17"/>
      <c r="AK24" s="17"/>
    </row>
    <row r="25" spans="1:37" s="18" customFormat="1" x14ac:dyDescent="0.25">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5"/>
  </sheetData>
  <sheetProtection formatCells="0" formatRows="0" insertColumns="0" insertRows="0" insertHyperlinks="0" deleteRows="0" selectLockedCells="1" sort="0" autoFilter="0" pivotTables="0"/>
  <dataConsolidate/>
  <mergeCells count="31">
    <mergeCell ref="A5:V5"/>
    <mergeCell ref="A7:D7"/>
    <mergeCell ref="A12:AG12"/>
    <mergeCell ref="A4:V4"/>
    <mergeCell ref="A10:E10"/>
    <mergeCell ref="L9:V9"/>
    <mergeCell ref="W9:AG9"/>
    <mergeCell ref="L10:V10"/>
    <mergeCell ref="AE7:AG7"/>
    <mergeCell ref="A6:D6"/>
    <mergeCell ref="AB4:AG4"/>
    <mergeCell ref="AB5:AG5"/>
    <mergeCell ref="W4:AA4"/>
    <mergeCell ref="W5:AA5"/>
    <mergeCell ref="W6:AA6"/>
    <mergeCell ref="E6:V6"/>
    <mergeCell ref="AB6:AD6"/>
    <mergeCell ref="AE6:AG6"/>
    <mergeCell ref="W7:AA7"/>
    <mergeCell ref="L13:V13"/>
    <mergeCell ref="A23:AG23"/>
    <mergeCell ref="A13:K13"/>
    <mergeCell ref="AB7:AD7"/>
    <mergeCell ref="A9:K9"/>
    <mergeCell ref="W13:AG13"/>
    <mergeCell ref="E15:AG15"/>
    <mergeCell ref="E7:V7"/>
    <mergeCell ref="A15:D16"/>
    <mergeCell ref="E16:AG16"/>
    <mergeCell ref="W10:AG10"/>
    <mergeCell ref="F10:K10"/>
  </mergeCells>
  <phoneticPr fontId="3" type="noConversion"/>
  <conditionalFormatting sqref="W5:AA5">
    <cfRule type="cellIs" dxfId="131" priority="1" operator="equal">
      <formula>"In-Work"</formula>
    </cfRule>
    <cfRule type="cellIs" dxfId="130" priority="2" stopIfTrue="1" operator="equal">
      <formula>"draft"</formula>
    </cfRule>
    <cfRule type="cellIs" dxfId="129" priority="3" operator="equal">
      <formula>"In-Work"</formula>
    </cfRule>
    <cfRule type="cellIs" dxfId="128" priority="4" stopIfTrue="1" operator="equal">
      <formula>"draft"</formula>
    </cfRule>
    <cfRule type="cellIs" dxfId="127" priority="5" operator="equal">
      <formula>"In-Work"</formula>
    </cfRule>
    <cfRule type="cellIs" dxfId="126" priority="6" stopIfTrue="1" operator="equal">
      <formula>"draft"</formula>
    </cfRule>
    <cfRule type="cellIs" dxfId="125" priority="7" operator="equal">
      <formula>"In-Work"</formula>
    </cfRule>
    <cfRule type="cellIs" dxfId="124" priority="8" stopIfTrue="1" operator="equal">
      <formula>"draft"</formula>
    </cfRule>
    <cfRule type="cellIs" dxfId="123" priority="9" operator="equal">
      <formula>"In-Work"</formula>
    </cfRule>
    <cfRule type="cellIs" dxfId="122" priority="10" stopIfTrue="1" operator="equal">
      <formula>"draft"</formula>
    </cfRule>
    <cfRule type="cellIs" dxfId="121" priority="11" operator="equal">
      <formula>"In-Work"</formula>
    </cfRule>
    <cfRule type="cellIs" dxfId="120" priority="12" stopIfTrue="1" operator="equal">
      <formula>"draft"</formula>
    </cfRule>
    <cfRule type="cellIs" dxfId="119" priority="13" operator="equal">
      <formula>"In-Work"</formula>
    </cfRule>
    <cfRule type="cellIs" dxfId="118" priority="14" stopIfTrue="1" operator="equal">
      <formula>"draft"</formula>
    </cfRule>
    <cfRule type="cellIs" dxfId="117" priority="15" operator="equal">
      <formula>"In-Work"</formula>
    </cfRule>
    <cfRule type="cellIs" dxfId="116" priority="16" stopIfTrue="1" operator="equal">
      <formula>"draft"</formula>
    </cfRule>
    <cfRule type="cellIs" dxfId="115" priority="17" operator="equal">
      <formula>"In-Work"</formula>
    </cfRule>
    <cfRule type="cellIs" dxfId="114" priority="18" stopIfTrue="1" operator="equal">
      <formula>"draft"</formula>
    </cfRule>
    <cfRule type="cellIs" dxfId="113" priority="19" operator="equal">
      <formula>"In-Work"</formula>
    </cfRule>
    <cfRule type="cellIs" dxfId="112" priority="20" stopIfTrue="1" operator="equal">
      <formula>"draft"</formula>
    </cfRule>
    <cfRule type="cellIs" dxfId="111" priority="21" operator="equal">
      <formula>"In-Work"</formula>
    </cfRule>
    <cfRule type="cellIs" dxfId="110" priority="22" stopIfTrue="1" operator="equal">
      <formula>"draft"</formula>
    </cfRule>
    <cfRule type="cellIs" dxfId="109" priority="23" operator="equal">
      <formula>"In-Work"</formula>
    </cfRule>
    <cfRule type="cellIs" dxfId="108" priority="24" stopIfTrue="1" operator="equal">
      <formula>"draft"</formula>
    </cfRule>
    <cfRule type="cellIs" dxfId="107" priority="25" operator="equal">
      <formula>"In-Work"</formula>
    </cfRule>
    <cfRule type="cellIs" dxfId="106" priority="26" stopIfTrue="1" operator="equal">
      <formula>"draft"</formula>
    </cfRule>
    <cfRule type="cellIs" dxfId="105" priority="27" operator="equal">
      <formula>"In-Work"</formula>
    </cfRule>
    <cfRule type="cellIs" dxfId="104" priority="28" stopIfTrue="1" operator="equal">
      <formula>"draft"</formula>
    </cfRule>
    <cfRule type="cellIs" dxfId="103" priority="29" operator="equal">
      <formula>"In-Work"</formula>
    </cfRule>
    <cfRule type="cellIs" dxfId="102" priority="30" stopIfTrue="1" operator="equal">
      <formula>"draft"</formula>
    </cfRule>
    <cfRule type="cellIs" dxfId="101" priority="31" operator="equal">
      <formula>"In-Work"</formula>
    </cfRule>
    <cfRule type="cellIs" dxfId="100" priority="32" stopIfTrue="1" operator="equal">
      <formula>"draft"</formula>
    </cfRule>
    <cfRule type="cellIs" dxfId="99" priority="33" operator="equal">
      <formula>"In-Work"</formula>
    </cfRule>
    <cfRule type="cellIs" dxfId="98" priority="34" stopIfTrue="1" operator="equal">
      <formula>"draft"</formula>
    </cfRule>
    <cfRule type="cellIs" dxfId="97" priority="35" operator="equal">
      <formula>"In-Work"</formula>
    </cfRule>
    <cfRule type="cellIs" dxfId="96" priority="36" stopIfTrue="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1.7&amp;R&amp;P</oddFooter>
  </headerFooter>
  <ignoredErrors>
    <ignoredError sqref="A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6"/>
  <sheetViews>
    <sheetView showGridLines="0" zoomScaleNormal="100" workbookViewId="0">
      <selection activeCell="AB5" sqref="AB5:AG5"/>
    </sheetView>
  </sheetViews>
  <sheetFormatPr defaultColWidth="0" defaultRowHeight="13.2" zeroHeight="1" x14ac:dyDescent="0.25"/>
  <cols>
    <col min="1" max="33" width="2.8867187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9" t="str">
        <f ca="1">FileName</f>
        <v>DAIMLER MMA Architecture Software Integration Test Specification Report.xlsm</v>
      </c>
      <c r="AE3" s="8"/>
      <c r="AF3" s="8"/>
      <c r="AG3" s="8"/>
      <c r="AH3" s="8"/>
      <c r="AI3" s="8"/>
      <c r="AJ3" s="8"/>
      <c r="AK3" s="8"/>
    </row>
    <row r="4" spans="1:37" s="7" customFormat="1" ht="11.1" customHeight="1" x14ac:dyDescent="0.25">
      <c r="A4" s="145" t="s">
        <v>0</v>
      </c>
      <c r="B4" s="146"/>
      <c r="C4" s="146"/>
      <c r="D4" s="146"/>
      <c r="E4" s="146"/>
      <c r="F4" s="146"/>
      <c r="G4" s="146"/>
      <c r="H4" s="146"/>
      <c r="I4" s="146"/>
      <c r="J4" s="146"/>
      <c r="K4" s="146"/>
      <c r="L4" s="146"/>
      <c r="M4" s="146"/>
      <c r="N4" s="146"/>
      <c r="O4" s="146"/>
      <c r="P4" s="146"/>
      <c r="Q4" s="146"/>
      <c r="R4" s="146"/>
      <c r="S4" s="146"/>
      <c r="T4" s="146"/>
      <c r="U4" s="146"/>
      <c r="V4" s="147"/>
      <c r="W4" s="164" t="s">
        <v>1</v>
      </c>
      <c r="X4" s="165"/>
      <c r="Y4" s="165"/>
      <c r="Z4" s="165"/>
      <c r="AA4" s="166"/>
      <c r="AB4" s="150" t="s">
        <v>20</v>
      </c>
      <c r="AC4" s="151"/>
      <c r="AD4" s="151"/>
      <c r="AE4" s="151"/>
      <c r="AF4" s="151"/>
      <c r="AG4" s="152"/>
      <c r="AH4" s="10"/>
      <c r="AI4" s="10"/>
      <c r="AJ4" s="10"/>
      <c r="AK4" s="8"/>
    </row>
    <row r="5" spans="1:37" s="12" customFormat="1" x14ac:dyDescent="0.25">
      <c r="A5" s="121" t="str">
        <f>MXAuthority</f>
        <v>254888 MERCEDES BENZ AG MER W174W178 EL SB</v>
      </c>
      <c r="B5" s="122"/>
      <c r="C5" s="122"/>
      <c r="D5" s="122"/>
      <c r="E5" s="122"/>
      <c r="F5" s="122"/>
      <c r="G5" s="122"/>
      <c r="H5" s="122"/>
      <c r="I5" s="122"/>
      <c r="J5" s="122"/>
      <c r="K5" s="122"/>
      <c r="L5" s="122"/>
      <c r="M5" s="122"/>
      <c r="N5" s="122"/>
      <c r="O5" s="122"/>
      <c r="P5" s="122"/>
      <c r="Q5" s="122"/>
      <c r="R5" s="122"/>
      <c r="S5" s="122"/>
      <c r="T5" s="122"/>
      <c r="U5" s="122"/>
      <c r="V5" s="123"/>
      <c r="W5" s="157" t="str">
        <f ca="1">MXCurrent.Localized</f>
        <v>Template released</v>
      </c>
      <c r="X5" s="158"/>
      <c r="Y5" s="158"/>
      <c r="Z5" s="158"/>
      <c r="AA5" s="159"/>
      <c r="AB5" s="121" t="str">
        <f>MXActual_state_Released</f>
        <v>07.09.2022</v>
      </c>
      <c r="AC5" s="122"/>
      <c r="AD5" s="122"/>
      <c r="AE5" s="122"/>
      <c r="AF5" s="122"/>
      <c r="AG5" s="123"/>
      <c r="AH5" s="11"/>
      <c r="AI5" s="11"/>
      <c r="AJ5" s="11"/>
      <c r="AK5" s="11"/>
    </row>
    <row r="6" spans="1:37" s="1" customFormat="1" ht="11.1" customHeight="1" x14ac:dyDescent="0.25">
      <c r="A6" s="167" t="s">
        <v>2</v>
      </c>
      <c r="B6" s="168"/>
      <c r="C6" s="168"/>
      <c r="D6" s="169"/>
      <c r="E6" s="167" t="s">
        <v>3</v>
      </c>
      <c r="F6" s="168"/>
      <c r="G6" s="168"/>
      <c r="H6" s="168"/>
      <c r="I6" s="168"/>
      <c r="J6" s="168"/>
      <c r="K6" s="168"/>
      <c r="L6" s="168"/>
      <c r="M6" s="168"/>
      <c r="N6" s="168"/>
      <c r="O6" s="168"/>
      <c r="P6" s="168"/>
      <c r="Q6" s="168"/>
      <c r="R6" s="168"/>
      <c r="S6" s="168"/>
      <c r="T6" s="168"/>
      <c r="U6" s="168"/>
      <c r="V6" s="169"/>
      <c r="W6" s="145" t="s">
        <v>15</v>
      </c>
      <c r="X6" s="146"/>
      <c r="Y6" s="146"/>
      <c r="Z6" s="146"/>
      <c r="AA6" s="147"/>
      <c r="AB6" s="164"/>
      <c r="AC6" s="165"/>
      <c r="AD6" s="166"/>
      <c r="AE6" s="164" t="s">
        <v>4</v>
      </c>
      <c r="AF6" s="165"/>
      <c r="AG6" s="166"/>
      <c r="AH6" s="6"/>
      <c r="AI6" s="6"/>
      <c r="AJ6" s="6"/>
      <c r="AK6" s="6"/>
    </row>
    <row r="7" spans="1:37" s="14" customFormat="1" x14ac:dyDescent="0.25">
      <c r="A7" s="157" t="str">
        <f>MXName</f>
        <v>NA</v>
      </c>
      <c r="B7" s="158"/>
      <c r="C7" s="158"/>
      <c r="D7" s="159"/>
      <c r="E7" s="157" t="str">
        <f ca="1">MXTitle</f>
        <v>DAIMLER MMA Architecture Software Integration Test Specification Report (SITS-SITR)</v>
      </c>
      <c r="F7" s="158"/>
      <c r="G7" s="158"/>
      <c r="H7" s="158"/>
      <c r="I7" s="158"/>
      <c r="J7" s="158"/>
      <c r="K7" s="158"/>
      <c r="L7" s="158"/>
      <c r="M7" s="158"/>
      <c r="N7" s="158"/>
      <c r="O7" s="158"/>
      <c r="P7" s="158"/>
      <c r="Q7" s="158"/>
      <c r="R7" s="158"/>
      <c r="S7" s="158"/>
      <c r="T7" s="158"/>
      <c r="U7" s="158"/>
      <c r="V7" s="159"/>
      <c r="W7" s="157" t="str">
        <f ca="1">TemplateRef</f>
        <v>SW04TEM001</v>
      </c>
      <c r="X7" s="158"/>
      <c r="Y7" s="158"/>
      <c r="Z7" s="158"/>
      <c r="AA7" s="159"/>
      <c r="AB7" s="157"/>
      <c r="AC7" s="158"/>
      <c r="AD7" s="159"/>
      <c r="AE7" s="121">
        <v>1.6</v>
      </c>
      <c r="AF7" s="122"/>
      <c r="AG7" s="123"/>
      <c r="AH7" s="13"/>
      <c r="AI7" s="13"/>
      <c r="AJ7" s="13"/>
      <c r="AK7" s="13"/>
    </row>
    <row r="8" spans="1:37" ht="11.1" customHeight="1" x14ac:dyDescent="0.25">
      <c r="A8" s="167" t="s">
        <v>10</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c r="AF8" s="168"/>
      <c r="AG8" s="169"/>
      <c r="AH8" s="15"/>
      <c r="AI8" s="15"/>
      <c r="AJ8" s="15"/>
      <c r="AK8" s="15"/>
    </row>
    <row r="9" spans="1:37" s="18" customFormat="1" x14ac:dyDescent="0.25">
      <c r="A9" s="161" t="s">
        <v>14</v>
      </c>
      <c r="B9" s="162"/>
      <c r="C9" s="162"/>
      <c r="D9" s="162"/>
      <c r="E9" s="162"/>
      <c r="F9" s="162"/>
      <c r="G9" s="162"/>
      <c r="H9" s="162"/>
      <c r="I9" s="162"/>
      <c r="J9" s="162"/>
      <c r="K9" s="162"/>
      <c r="L9" s="162"/>
      <c r="M9" s="162"/>
      <c r="N9" s="162"/>
      <c r="O9" s="162"/>
      <c r="P9" s="162"/>
      <c r="Q9" s="162"/>
      <c r="R9" s="162"/>
      <c r="S9" s="162"/>
      <c r="T9" s="162"/>
      <c r="U9" s="162"/>
      <c r="V9" s="162"/>
      <c r="W9" s="162"/>
      <c r="X9" s="162"/>
      <c r="Y9" s="162"/>
      <c r="Z9" s="162"/>
      <c r="AA9" s="162"/>
      <c r="AB9" s="162"/>
      <c r="AC9" s="162"/>
      <c r="AD9" s="162"/>
      <c r="AE9" s="162"/>
      <c r="AF9" s="162"/>
      <c r="AG9" s="163"/>
      <c r="AH9" s="17"/>
      <c r="AI9" s="17"/>
      <c r="AJ9" s="17"/>
    </row>
    <row r="10" spans="1:37" x14ac:dyDescent="0.25"/>
    <row r="11" spans="1:37" x14ac:dyDescent="0.25"/>
    <row r="12" spans="1:37" ht="24.6" x14ac:dyDescent="0.25">
      <c r="B12" s="19" t="s">
        <v>16</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5"/>
    <row r="14" spans="1:37" ht="20.399999999999999" x14ac:dyDescent="0.25">
      <c r="B14" s="21" t="s">
        <v>17</v>
      </c>
      <c r="C14" s="22"/>
    </row>
    <row r="15" spans="1:37" x14ac:dyDescent="0.25">
      <c r="B15" s="160" t="s">
        <v>6</v>
      </c>
      <c r="C15" s="170"/>
      <c r="D15" s="170"/>
      <c r="E15" s="170"/>
      <c r="F15" s="170"/>
      <c r="G15" s="160" t="s">
        <v>5</v>
      </c>
      <c r="H15" s="160"/>
      <c r="I15" s="160"/>
      <c r="J15" s="160"/>
      <c r="K15" s="160"/>
      <c r="L15" s="160"/>
      <c r="M15" s="160"/>
      <c r="N15" s="160"/>
      <c r="O15" s="160"/>
      <c r="P15" s="160"/>
      <c r="Q15" s="160"/>
      <c r="R15" s="160"/>
      <c r="S15" s="160"/>
      <c r="T15" s="160"/>
      <c r="U15" s="160"/>
      <c r="V15" s="160"/>
      <c r="W15" s="160"/>
      <c r="X15" s="160"/>
      <c r="Y15" s="160"/>
      <c r="Z15" s="160"/>
      <c r="AA15" s="160"/>
      <c r="AB15" s="160"/>
      <c r="AC15" s="160"/>
      <c r="AD15" s="160"/>
      <c r="AE15" s="160"/>
      <c r="AF15" s="160"/>
    </row>
    <row r="16" spans="1:37" ht="24" customHeight="1" x14ac:dyDescent="0.25">
      <c r="B16" s="154" t="s">
        <v>34</v>
      </c>
      <c r="C16" s="154"/>
      <c r="D16" s="154"/>
      <c r="E16" s="154"/>
      <c r="F16" s="154"/>
      <c r="G16" s="156" t="s">
        <v>36</v>
      </c>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row>
    <row r="17" spans="1:45" ht="24" customHeight="1" x14ac:dyDescent="0.25">
      <c r="B17" s="154" t="s">
        <v>35</v>
      </c>
      <c r="C17" s="154"/>
      <c r="D17" s="154"/>
      <c r="E17" s="154"/>
      <c r="F17" s="154"/>
      <c r="G17" s="155" t="s">
        <v>119</v>
      </c>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row>
    <row r="18" spans="1:45" ht="24" customHeight="1" x14ac:dyDescent="0.25">
      <c r="B18" s="153" t="s">
        <v>114</v>
      </c>
      <c r="C18" s="154"/>
      <c r="D18" s="154"/>
      <c r="E18" s="154"/>
      <c r="F18" s="154"/>
      <c r="G18" s="155" t="s">
        <v>125</v>
      </c>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c r="AF18" s="156"/>
    </row>
    <row r="19" spans="1:45" ht="24" customHeight="1" x14ac:dyDescent="0.25">
      <c r="B19" s="153" t="s">
        <v>115</v>
      </c>
      <c r="C19" s="154"/>
      <c r="D19" s="154"/>
      <c r="E19" s="154"/>
      <c r="F19" s="154"/>
      <c r="G19" s="155" t="s">
        <v>121</v>
      </c>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S19" s="23"/>
    </row>
    <row r="20" spans="1:45" ht="24" customHeight="1" x14ac:dyDescent="0.25">
      <c r="B20" s="153" t="s">
        <v>45</v>
      </c>
      <c r="C20" s="154"/>
      <c r="D20" s="154"/>
      <c r="E20" s="154"/>
      <c r="F20" s="154"/>
      <c r="G20" s="155" t="s">
        <v>122</v>
      </c>
      <c r="H20" s="156"/>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c r="AF20" s="156"/>
      <c r="AS20" s="23"/>
    </row>
    <row r="21" spans="1:45" ht="24" customHeight="1" x14ac:dyDescent="0.25">
      <c r="B21" s="153" t="s">
        <v>116</v>
      </c>
      <c r="C21" s="154"/>
      <c r="D21" s="154"/>
      <c r="E21" s="154"/>
      <c r="F21" s="154"/>
      <c r="G21" s="155" t="s">
        <v>120</v>
      </c>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S21" s="23"/>
    </row>
    <row r="22" spans="1:45" x14ac:dyDescent="0.25">
      <c r="C22" s="24"/>
      <c r="I22" s="25"/>
    </row>
    <row r="23" spans="1:45" ht="20.399999999999999" x14ac:dyDescent="0.25">
      <c r="A23" s="21"/>
      <c r="B23" s="21" t="s">
        <v>27</v>
      </c>
      <c r="C23" s="24"/>
      <c r="I23" s="25"/>
    </row>
    <row r="24" spans="1:45" x14ac:dyDescent="0.25">
      <c r="B24" s="160" t="s">
        <v>4</v>
      </c>
      <c r="C24" s="171"/>
      <c r="D24" s="171"/>
      <c r="E24" s="160" t="s">
        <v>11</v>
      </c>
      <c r="F24" s="160"/>
      <c r="G24" s="160"/>
      <c r="H24" s="160"/>
      <c r="I24" s="160" t="s">
        <v>12</v>
      </c>
      <c r="J24" s="171"/>
      <c r="K24" s="171"/>
      <c r="L24" s="171"/>
      <c r="M24" s="171"/>
      <c r="N24" s="171"/>
      <c r="O24" s="171"/>
      <c r="P24" s="171"/>
      <c r="Q24" s="171"/>
      <c r="R24" s="160" t="s">
        <v>13</v>
      </c>
      <c r="S24" s="160"/>
      <c r="T24" s="160"/>
      <c r="U24" s="160"/>
      <c r="V24" s="160"/>
      <c r="W24" s="160"/>
      <c r="X24" s="160"/>
      <c r="Y24" s="160"/>
      <c r="Z24" s="160"/>
      <c r="AA24" s="160"/>
      <c r="AB24" s="160"/>
      <c r="AC24" s="160"/>
      <c r="AD24" s="160"/>
      <c r="AE24" s="160"/>
      <c r="AF24" s="160"/>
    </row>
    <row r="25" spans="1:45" x14ac:dyDescent="0.25">
      <c r="B25" s="153" t="s">
        <v>332</v>
      </c>
      <c r="C25" s="173"/>
      <c r="D25" s="173"/>
      <c r="E25" s="155" t="s">
        <v>328</v>
      </c>
      <c r="F25" s="156"/>
      <c r="G25" s="156"/>
      <c r="H25" s="156"/>
      <c r="I25" s="155" t="s">
        <v>130</v>
      </c>
      <c r="J25" s="172"/>
      <c r="K25" s="172"/>
      <c r="L25" s="172"/>
      <c r="M25" s="172"/>
      <c r="N25" s="172"/>
      <c r="O25" s="172"/>
      <c r="P25" s="172"/>
      <c r="Q25" s="172"/>
      <c r="R25" s="155" t="s">
        <v>131</v>
      </c>
      <c r="S25" s="156"/>
      <c r="T25" s="156"/>
      <c r="U25" s="156"/>
      <c r="V25" s="156"/>
      <c r="W25" s="156"/>
      <c r="X25" s="156"/>
      <c r="Y25" s="156"/>
      <c r="Z25" s="156"/>
      <c r="AA25" s="156"/>
      <c r="AB25" s="156"/>
      <c r="AC25" s="156"/>
      <c r="AD25" s="156"/>
      <c r="AE25" s="156"/>
      <c r="AF25" s="156"/>
    </row>
    <row r="26" spans="1:45" x14ac:dyDescent="0.25">
      <c r="B26" s="153" t="s">
        <v>333</v>
      </c>
      <c r="C26" s="173"/>
      <c r="D26" s="173"/>
      <c r="E26" s="155" t="s">
        <v>336</v>
      </c>
      <c r="F26" s="156"/>
      <c r="G26" s="156"/>
      <c r="H26" s="156"/>
      <c r="I26" s="155" t="s">
        <v>130</v>
      </c>
      <c r="J26" s="172"/>
      <c r="K26" s="172"/>
      <c r="L26" s="172"/>
      <c r="M26" s="172"/>
      <c r="N26" s="172"/>
      <c r="O26" s="172"/>
      <c r="P26" s="172"/>
      <c r="Q26" s="172"/>
      <c r="R26" s="155" t="s">
        <v>337</v>
      </c>
      <c r="S26" s="156"/>
      <c r="T26" s="156"/>
      <c r="U26" s="156"/>
      <c r="V26" s="156"/>
      <c r="W26" s="156"/>
      <c r="X26" s="156"/>
      <c r="Y26" s="156"/>
      <c r="Z26" s="156"/>
      <c r="AA26" s="156"/>
      <c r="AB26" s="156"/>
      <c r="AC26" s="156"/>
      <c r="AD26" s="156"/>
      <c r="AE26" s="156"/>
      <c r="AF26" s="156"/>
    </row>
    <row r="27" spans="1:45" x14ac:dyDescent="0.25">
      <c r="B27" s="153" t="s">
        <v>334</v>
      </c>
      <c r="C27" s="173"/>
      <c r="D27" s="173"/>
      <c r="E27" s="155" t="s">
        <v>331</v>
      </c>
      <c r="F27" s="156"/>
      <c r="G27" s="156"/>
      <c r="H27" s="156"/>
      <c r="I27" s="155" t="s">
        <v>130</v>
      </c>
      <c r="J27" s="172"/>
      <c r="K27" s="172"/>
      <c r="L27" s="172"/>
      <c r="M27" s="172"/>
      <c r="N27" s="172"/>
      <c r="O27" s="172"/>
      <c r="P27" s="172"/>
      <c r="Q27" s="172"/>
      <c r="R27" s="155" t="s">
        <v>335</v>
      </c>
      <c r="S27" s="156"/>
      <c r="T27" s="156"/>
      <c r="U27" s="156"/>
      <c r="V27" s="156"/>
      <c r="W27" s="156"/>
      <c r="X27" s="156"/>
      <c r="Y27" s="156"/>
      <c r="Z27" s="156"/>
      <c r="AA27" s="156"/>
      <c r="AB27" s="156"/>
      <c r="AC27" s="156"/>
      <c r="AD27" s="156"/>
      <c r="AE27" s="156"/>
      <c r="AF27" s="156"/>
    </row>
    <row r="28" spans="1:45" x14ac:dyDescent="0.25">
      <c r="B28" s="153" t="s">
        <v>339</v>
      </c>
      <c r="C28" s="173"/>
      <c r="D28" s="173"/>
      <c r="E28" s="155" t="s">
        <v>331</v>
      </c>
      <c r="F28" s="156"/>
      <c r="G28" s="156"/>
      <c r="H28" s="156"/>
      <c r="I28" s="155" t="s">
        <v>130</v>
      </c>
      <c r="J28" s="172"/>
      <c r="K28" s="172"/>
      <c r="L28" s="172"/>
      <c r="M28" s="172"/>
      <c r="N28" s="172"/>
      <c r="O28" s="172"/>
      <c r="P28" s="172"/>
      <c r="Q28" s="172"/>
      <c r="R28" s="155" t="s">
        <v>340</v>
      </c>
      <c r="S28" s="156"/>
      <c r="T28" s="156"/>
      <c r="U28" s="156"/>
      <c r="V28" s="156"/>
      <c r="W28" s="156"/>
      <c r="X28" s="156"/>
      <c r="Y28" s="156"/>
      <c r="Z28" s="156"/>
      <c r="AA28" s="156"/>
      <c r="AB28" s="156"/>
      <c r="AC28" s="156"/>
      <c r="AD28" s="156"/>
      <c r="AE28" s="156"/>
      <c r="AF28" s="156"/>
    </row>
    <row r="29" spans="1:45" x14ac:dyDescent="0.25">
      <c r="B29" s="153" t="s">
        <v>360</v>
      </c>
      <c r="C29" s="173"/>
      <c r="D29" s="173"/>
      <c r="E29" s="155" t="s">
        <v>358</v>
      </c>
      <c r="F29" s="156"/>
      <c r="G29" s="156"/>
      <c r="H29" s="156"/>
      <c r="I29" s="155" t="s">
        <v>130</v>
      </c>
      <c r="J29" s="172"/>
      <c r="K29" s="172"/>
      <c r="L29" s="172"/>
      <c r="M29" s="172"/>
      <c r="N29" s="172"/>
      <c r="O29" s="172"/>
      <c r="P29" s="172"/>
      <c r="Q29" s="172"/>
      <c r="R29" s="155" t="s">
        <v>362</v>
      </c>
      <c r="S29" s="156"/>
      <c r="T29" s="156"/>
      <c r="U29" s="156"/>
      <c r="V29" s="156"/>
      <c r="W29" s="156"/>
      <c r="X29" s="156"/>
      <c r="Y29" s="156"/>
      <c r="Z29" s="156"/>
      <c r="AA29" s="156"/>
      <c r="AB29" s="156"/>
      <c r="AC29" s="156"/>
      <c r="AD29" s="156"/>
      <c r="AE29" s="156"/>
      <c r="AF29" s="156"/>
    </row>
    <row r="30" spans="1:45" x14ac:dyDescent="0.25">
      <c r="B30" s="153" t="s">
        <v>361</v>
      </c>
      <c r="C30" s="173"/>
      <c r="D30" s="173"/>
      <c r="E30" s="155" t="s">
        <v>364</v>
      </c>
      <c r="F30" s="156"/>
      <c r="G30" s="156"/>
      <c r="H30" s="156"/>
      <c r="I30" s="155" t="s">
        <v>130</v>
      </c>
      <c r="J30" s="172"/>
      <c r="K30" s="172"/>
      <c r="L30" s="172"/>
      <c r="M30" s="172"/>
      <c r="N30" s="172"/>
      <c r="O30" s="172"/>
      <c r="P30" s="172"/>
      <c r="Q30" s="172"/>
      <c r="R30" s="155" t="s">
        <v>363</v>
      </c>
      <c r="S30" s="156"/>
      <c r="T30" s="156"/>
      <c r="U30" s="156"/>
      <c r="V30" s="156"/>
      <c r="W30" s="156"/>
      <c r="X30" s="156"/>
      <c r="Y30" s="156"/>
      <c r="Z30" s="156"/>
      <c r="AA30" s="156"/>
      <c r="AB30" s="156"/>
      <c r="AC30" s="156"/>
      <c r="AD30" s="156"/>
      <c r="AE30" s="156"/>
      <c r="AF30" s="156"/>
    </row>
    <row r="31" spans="1:45" x14ac:dyDescent="0.25">
      <c r="B31" s="153" t="s">
        <v>392</v>
      </c>
      <c r="C31" s="173"/>
      <c r="D31" s="173"/>
      <c r="E31" s="155" t="s">
        <v>393</v>
      </c>
      <c r="F31" s="156"/>
      <c r="G31" s="156"/>
      <c r="H31" s="156"/>
      <c r="I31" s="155" t="s">
        <v>391</v>
      </c>
      <c r="J31" s="172"/>
      <c r="K31" s="172"/>
      <c r="L31" s="172"/>
      <c r="M31" s="172"/>
      <c r="N31" s="172"/>
      <c r="O31" s="172"/>
      <c r="P31" s="172"/>
      <c r="Q31" s="172"/>
      <c r="R31" s="155" t="s">
        <v>394</v>
      </c>
      <c r="S31" s="156"/>
      <c r="T31" s="156"/>
      <c r="U31" s="156"/>
      <c r="V31" s="156"/>
      <c r="W31" s="156"/>
      <c r="X31" s="156"/>
      <c r="Y31" s="156"/>
      <c r="Z31" s="156"/>
      <c r="AA31" s="156"/>
      <c r="AB31" s="156"/>
      <c r="AC31" s="156"/>
      <c r="AD31" s="156"/>
      <c r="AE31" s="156"/>
      <c r="AF31" s="156"/>
    </row>
    <row r="32" spans="1:45" x14ac:dyDescent="0.25">
      <c r="B32" s="26" t="s">
        <v>26</v>
      </c>
      <c r="C32" s="27"/>
      <c r="D32" s="27"/>
      <c r="E32" s="28"/>
      <c r="F32" s="28"/>
      <c r="G32" s="28"/>
      <c r="H32" s="28"/>
      <c r="I32" s="28"/>
      <c r="J32" s="29"/>
      <c r="K32" s="29"/>
      <c r="L32" s="29"/>
      <c r="M32" s="29"/>
      <c r="N32" s="29"/>
      <c r="O32" s="29"/>
      <c r="P32" s="29"/>
      <c r="Q32" s="29"/>
      <c r="R32" s="28"/>
      <c r="S32" s="28"/>
      <c r="T32" s="28"/>
      <c r="U32" s="28"/>
      <c r="V32" s="28"/>
      <c r="W32" s="28"/>
      <c r="X32" s="28"/>
      <c r="Y32" s="28"/>
      <c r="Z32" s="28"/>
      <c r="AA32" s="28"/>
      <c r="AB32" s="28"/>
      <c r="AC32" s="28"/>
      <c r="AD32" s="28"/>
      <c r="AE32" s="28"/>
      <c r="AF32" s="28"/>
    </row>
    <row r="33" spans="2:33" x14ac:dyDescent="0.25">
      <c r="C33" s="24"/>
      <c r="I33" s="25"/>
    </row>
    <row r="34" spans="2:33" ht="20.399999999999999" x14ac:dyDescent="0.25">
      <c r="B34" s="21" t="s">
        <v>18</v>
      </c>
      <c r="I34" s="25"/>
    </row>
    <row r="35" spans="2:33" ht="66.75" customHeight="1" x14ac:dyDescent="0.25">
      <c r="B35" s="176" t="s">
        <v>124</v>
      </c>
      <c r="C35" s="176"/>
      <c r="D35" s="176"/>
      <c r="E35" s="176"/>
      <c r="F35" s="176"/>
      <c r="G35" s="176"/>
      <c r="H35" s="176"/>
      <c r="I35" s="176"/>
      <c r="J35" s="176"/>
      <c r="K35" s="176"/>
      <c r="L35" s="176"/>
      <c r="M35" s="176"/>
      <c r="N35" s="176"/>
      <c r="O35" s="176"/>
      <c r="P35" s="176"/>
      <c r="Q35" s="176"/>
      <c r="R35" s="176"/>
      <c r="S35" s="176"/>
      <c r="T35" s="176"/>
      <c r="U35" s="176"/>
      <c r="V35" s="176"/>
      <c r="W35" s="176"/>
      <c r="X35" s="176"/>
      <c r="Y35" s="176"/>
      <c r="Z35" s="176"/>
      <c r="AA35" s="176"/>
      <c r="AB35" s="176"/>
      <c r="AC35" s="176"/>
      <c r="AD35" s="176"/>
      <c r="AE35" s="176"/>
      <c r="AF35" s="176"/>
      <c r="AG35" s="30"/>
    </row>
    <row r="36" spans="2:33" x14ac:dyDescent="0.25">
      <c r="J36" s="31"/>
    </row>
    <row r="37" spans="2:33" ht="20.399999999999999" x14ac:dyDescent="0.25">
      <c r="B37" s="21" t="s">
        <v>19</v>
      </c>
      <c r="C37" s="22"/>
      <c r="I37" s="25"/>
    </row>
    <row r="38" spans="2:33" ht="24.75" customHeight="1" x14ac:dyDescent="0.25">
      <c r="B38" s="32" t="s">
        <v>28</v>
      </c>
      <c r="C38" s="22"/>
      <c r="I38" s="25"/>
    </row>
    <row r="39" spans="2:33" ht="12.75" customHeight="1" x14ac:dyDescent="0.25">
      <c r="B39" s="160" t="s">
        <v>7</v>
      </c>
      <c r="C39" s="160"/>
      <c r="D39" s="160"/>
      <c r="E39" s="160" t="s">
        <v>8</v>
      </c>
      <c r="F39" s="171"/>
      <c r="G39" s="171"/>
      <c r="H39" s="171"/>
      <c r="I39" s="171"/>
      <c r="J39" s="171"/>
      <c r="K39" s="171"/>
      <c r="L39" s="171"/>
      <c r="M39" s="171"/>
      <c r="N39" s="171"/>
      <c r="O39" s="171"/>
      <c r="P39" s="171"/>
      <c r="Q39" s="171"/>
      <c r="R39" s="171"/>
      <c r="S39" s="171"/>
      <c r="T39" s="171"/>
      <c r="U39" s="171"/>
      <c r="V39" s="171"/>
      <c r="W39" s="171"/>
      <c r="X39" s="171"/>
      <c r="Y39" s="160" t="s">
        <v>9</v>
      </c>
      <c r="Z39" s="160"/>
      <c r="AA39" s="160"/>
      <c r="AB39" s="160"/>
      <c r="AC39" s="160"/>
      <c r="AD39" s="160"/>
      <c r="AE39" s="160"/>
      <c r="AF39" s="160"/>
    </row>
    <row r="40" spans="2:33" x14ac:dyDescent="0.25">
      <c r="B40" s="174"/>
      <c r="C40" s="174"/>
      <c r="D40" s="174"/>
      <c r="E40" s="155" t="s">
        <v>132</v>
      </c>
      <c r="F40" s="175"/>
      <c r="G40" s="175"/>
      <c r="H40" s="175"/>
      <c r="I40" s="175"/>
      <c r="J40" s="175"/>
      <c r="K40" s="175"/>
      <c r="L40" s="175"/>
      <c r="M40" s="175"/>
      <c r="N40" s="175"/>
      <c r="O40" s="175"/>
      <c r="P40" s="175"/>
      <c r="Q40" s="175"/>
      <c r="R40" s="175"/>
      <c r="S40" s="175"/>
      <c r="T40" s="175"/>
      <c r="U40" s="175"/>
      <c r="V40" s="175"/>
      <c r="W40" s="175"/>
      <c r="X40" s="175"/>
      <c r="Y40" s="155" t="s">
        <v>133</v>
      </c>
      <c r="Z40" s="175"/>
      <c r="AA40" s="175"/>
      <c r="AB40" s="175"/>
      <c r="AC40" s="175"/>
      <c r="AD40" s="175"/>
      <c r="AE40" s="175"/>
      <c r="AF40" s="175"/>
    </row>
    <row r="41" spans="2:33" x14ac:dyDescent="0.25">
      <c r="B41" s="174"/>
      <c r="C41" s="174"/>
      <c r="D41" s="174"/>
      <c r="E41" s="156"/>
      <c r="F41" s="175"/>
      <c r="G41" s="175"/>
      <c r="H41" s="175"/>
      <c r="I41" s="175"/>
      <c r="J41" s="175"/>
      <c r="K41" s="175"/>
      <c r="L41" s="175"/>
      <c r="M41" s="175"/>
      <c r="N41" s="175"/>
      <c r="O41" s="175"/>
      <c r="P41" s="175"/>
      <c r="Q41" s="175"/>
      <c r="R41" s="175"/>
      <c r="S41" s="175"/>
      <c r="T41" s="175"/>
      <c r="U41" s="175"/>
      <c r="V41" s="175"/>
      <c r="W41" s="175"/>
      <c r="X41" s="175"/>
      <c r="Y41" s="156"/>
      <c r="Z41" s="175"/>
      <c r="AA41" s="175"/>
      <c r="AB41" s="175"/>
      <c r="AC41" s="175"/>
      <c r="AD41" s="175"/>
      <c r="AE41" s="175"/>
      <c r="AF41" s="175"/>
    </row>
    <row r="42" spans="2:33" x14ac:dyDescent="0.25">
      <c r="B42" s="174"/>
      <c r="C42" s="174"/>
      <c r="D42" s="174"/>
      <c r="E42" s="156"/>
      <c r="F42" s="175"/>
      <c r="G42" s="175"/>
      <c r="H42" s="175"/>
      <c r="I42" s="175"/>
      <c r="J42" s="175"/>
      <c r="K42" s="175"/>
      <c r="L42" s="175"/>
      <c r="M42" s="175"/>
      <c r="N42" s="175"/>
      <c r="O42" s="175"/>
      <c r="P42" s="175"/>
      <c r="Q42" s="175"/>
      <c r="R42" s="175"/>
      <c r="S42" s="175"/>
      <c r="T42" s="175"/>
      <c r="U42" s="175"/>
      <c r="V42" s="175"/>
      <c r="W42" s="175"/>
      <c r="X42" s="175"/>
      <c r="Y42" s="156"/>
      <c r="Z42" s="175"/>
      <c r="AA42" s="175"/>
      <c r="AB42" s="175"/>
      <c r="AC42" s="175"/>
      <c r="AD42" s="175"/>
      <c r="AE42" s="175"/>
      <c r="AF42" s="175"/>
    </row>
    <row r="43" spans="2:33" x14ac:dyDescent="0.25">
      <c r="B43" s="174"/>
      <c r="C43" s="174"/>
      <c r="D43" s="174"/>
      <c r="E43" s="156"/>
      <c r="F43" s="175"/>
      <c r="G43" s="175"/>
      <c r="H43" s="175"/>
      <c r="I43" s="175"/>
      <c r="J43" s="175"/>
      <c r="K43" s="175"/>
      <c r="L43" s="175"/>
      <c r="M43" s="175"/>
      <c r="N43" s="175"/>
      <c r="O43" s="175"/>
      <c r="P43" s="175"/>
      <c r="Q43" s="175"/>
      <c r="R43" s="175"/>
      <c r="S43" s="175"/>
      <c r="T43" s="175"/>
      <c r="U43" s="175"/>
      <c r="V43" s="175"/>
      <c r="W43" s="175"/>
      <c r="X43" s="175"/>
      <c r="Y43" s="156"/>
      <c r="Z43" s="175"/>
      <c r="AA43" s="175"/>
      <c r="AB43" s="175"/>
      <c r="AC43" s="175"/>
      <c r="AD43" s="175"/>
      <c r="AE43" s="175"/>
      <c r="AF43" s="175"/>
    </row>
    <row r="44" spans="2:33" ht="24.75" customHeight="1" x14ac:dyDescent="0.25">
      <c r="B44" s="32" t="s">
        <v>29</v>
      </c>
      <c r="C44" s="22"/>
      <c r="I44" s="25"/>
    </row>
    <row r="45" spans="2:33" ht="12.75" customHeight="1" x14ac:dyDescent="0.25">
      <c r="B45" s="160" t="s">
        <v>7</v>
      </c>
      <c r="C45" s="160"/>
      <c r="D45" s="160"/>
      <c r="E45" s="160" t="s">
        <v>8</v>
      </c>
      <c r="F45" s="171"/>
      <c r="G45" s="171"/>
      <c r="H45" s="171"/>
      <c r="I45" s="171"/>
      <c r="J45" s="171"/>
      <c r="K45" s="171"/>
      <c r="L45" s="171"/>
      <c r="M45" s="171"/>
      <c r="N45" s="171"/>
      <c r="O45" s="171"/>
      <c r="P45" s="171"/>
      <c r="Q45" s="171"/>
      <c r="R45" s="171"/>
      <c r="S45" s="171"/>
      <c r="T45" s="171"/>
      <c r="U45" s="171"/>
      <c r="V45" s="171"/>
      <c r="W45" s="171"/>
      <c r="X45" s="171"/>
      <c r="Y45" s="160" t="s">
        <v>9</v>
      </c>
      <c r="Z45" s="160"/>
      <c r="AA45" s="160"/>
      <c r="AB45" s="160"/>
      <c r="AC45" s="160"/>
      <c r="AD45" s="160"/>
      <c r="AE45" s="160"/>
      <c r="AF45" s="160"/>
    </row>
    <row r="46" spans="2:33" x14ac:dyDescent="0.25">
      <c r="B46" s="174"/>
      <c r="C46" s="174"/>
      <c r="D46" s="174"/>
      <c r="E46" s="156"/>
      <c r="F46" s="175"/>
      <c r="G46" s="175"/>
      <c r="H46" s="175"/>
      <c r="I46" s="175"/>
      <c r="J46" s="175"/>
      <c r="K46" s="175"/>
      <c r="L46" s="175"/>
      <c r="M46" s="175"/>
      <c r="N46" s="175"/>
      <c r="O46" s="175"/>
      <c r="P46" s="175"/>
      <c r="Q46" s="175"/>
      <c r="R46" s="175"/>
      <c r="S46" s="175"/>
      <c r="T46" s="175"/>
      <c r="U46" s="175"/>
      <c r="V46" s="175"/>
      <c r="W46" s="175"/>
      <c r="X46" s="175"/>
      <c r="Y46" s="156"/>
      <c r="Z46" s="175"/>
      <c r="AA46" s="175"/>
      <c r="AB46" s="175"/>
      <c r="AC46" s="175"/>
      <c r="AD46" s="175"/>
      <c r="AE46" s="175"/>
      <c r="AF46" s="175"/>
    </row>
    <row r="47" spans="2:33" x14ac:dyDescent="0.25">
      <c r="B47" s="174"/>
      <c r="C47" s="174"/>
      <c r="D47" s="174"/>
      <c r="E47" s="156"/>
      <c r="F47" s="175"/>
      <c r="G47" s="175"/>
      <c r="H47" s="175"/>
      <c r="I47" s="175"/>
      <c r="J47" s="175"/>
      <c r="K47" s="175"/>
      <c r="L47" s="175"/>
      <c r="M47" s="175"/>
      <c r="N47" s="175"/>
      <c r="O47" s="175"/>
      <c r="P47" s="175"/>
      <c r="Q47" s="175"/>
      <c r="R47" s="175"/>
      <c r="S47" s="175"/>
      <c r="T47" s="175"/>
      <c r="U47" s="175"/>
      <c r="V47" s="175"/>
      <c r="W47" s="175"/>
      <c r="X47" s="175"/>
      <c r="Y47" s="156"/>
      <c r="Z47" s="175"/>
      <c r="AA47" s="175"/>
      <c r="AB47" s="175"/>
      <c r="AC47" s="175"/>
      <c r="AD47" s="175"/>
      <c r="AE47" s="175"/>
      <c r="AF47" s="175"/>
    </row>
    <row r="48" spans="2:33" x14ac:dyDescent="0.25">
      <c r="B48" s="174"/>
      <c r="C48" s="174"/>
      <c r="D48" s="174"/>
      <c r="E48" s="156"/>
      <c r="F48" s="175"/>
      <c r="G48" s="175"/>
      <c r="H48" s="175"/>
      <c r="I48" s="175"/>
      <c r="J48" s="175"/>
      <c r="K48" s="175"/>
      <c r="L48" s="175"/>
      <c r="M48" s="175"/>
      <c r="N48" s="175"/>
      <c r="O48" s="175"/>
      <c r="P48" s="175"/>
      <c r="Q48" s="175"/>
      <c r="R48" s="175"/>
      <c r="S48" s="175"/>
      <c r="T48" s="175"/>
      <c r="U48" s="175"/>
      <c r="V48" s="175"/>
      <c r="W48" s="175"/>
      <c r="X48" s="175"/>
      <c r="Y48" s="156"/>
      <c r="Z48" s="175"/>
      <c r="AA48" s="175"/>
      <c r="AB48" s="175"/>
      <c r="AC48" s="175"/>
      <c r="AD48" s="175"/>
      <c r="AE48" s="175"/>
      <c r="AF48" s="175"/>
    </row>
    <row r="49" spans="2:32" x14ac:dyDescent="0.25">
      <c r="B49" s="174"/>
      <c r="C49" s="174"/>
      <c r="D49" s="174"/>
      <c r="E49" s="156"/>
      <c r="F49" s="175"/>
      <c r="G49" s="175"/>
      <c r="H49" s="175"/>
      <c r="I49" s="175"/>
      <c r="J49" s="175"/>
      <c r="K49" s="175"/>
      <c r="L49" s="175"/>
      <c r="M49" s="175"/>
      <c r="N49" s="175"/>
      <c r="O49" s="175"/>
      <c r="P49" s="175"/>
      <c r="Q49" s="175"/>
      <c r="R49" s="175"/>
      <c r="S49" s="175"/>
      <c r="T49" s="175"/>
      <c r="U49" s="175"/>
      <c r="V49" s="175"/>
      <c r="W49" s="175"/>
      <c r="X49" s="175"/>
      <c r="Y49" s="156"/>
      <c r="Z49" s="175"/>
      <c r="AA49" s="175"/>
      <c r="AB49" s="175"/>
      <c r="AC49" s="175"/>
      <c r="AD49" s="175"/>
      <c r="AE49" s="175"/>
      <c r="AF49" s="175"/>
    </row>
    <row r="50" spans="2:32" x14ac:dyDescent="0.25">
      <c r="C50" s="24"/>
      <c r="I50" s="25"/>
    </row>
    <row r="51" spans="2:32" ht="20.399999999999999" x14ac:dyDescent="0.25">
      <c r="B51" s="21" t="s">
        <v>31</v>
      </c>
      <c r="C51" s="22"/>
      <c r="I51" s="25"/>
    </row>
    <row r="52" spans="2:32" ht="12.75" customHeight="1" x14ac:dyDescent="0.25">
      <c r="B52" s="160" t="s">
        <v>30</v>
      </c>
      <c r="C52" s="160"/>
      <c r="D52" s="160"/>
      <c r="E52" s="160"/>
      <c r="F52" s="160"/>
      <c r="G52" s="160"/>
      <c r="H52" s="180"/>
      <c r="I52" s="180"/>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row>
    <row r="53" spans="2:32" ht="33.75" customHeight="1" x14ac:dyDescent="0.25">
      <c r="B53" s="177" t="s">
        <v>109</v>
      </c>
      <c r="C53" s="178"/>
      <c r="D53" s="178"/>
      <c r="E53" s="178"/>
      <c r="F53" s="178"/>
      <c r="G53" s="179"/>
      <c r="H53" s="184" t="s">
        <v>113</v>
      </c>
      <c r="I53" s="182"/>
      <c r="J53" s="182"/>
      <c r="K53" s="182"/>
      <c r="L53" s="182"/>
      <c r="M53" s="182"/>
      <c r="N53" s="182"/>
      <c r="O53" s="182"/>
      <c r="P53" s="182"/>
      <c r="Q53" s="182"/>
      <c r="R53" s="182"/>
      <c r="S53" s="182"/>
      <c r="T53" s="182"/>
      <c r="U53" s="182"/>
      <c r="V53" s="182"/>
      <c r="W53" s="182"/>
      <c r="X53" s="182"/>
      <c r="Y53" s="182"/>
      <c r="Z53" s="182"/>
      <c r="AA53" s="182"/>
      <c r="AB53" s="182"/>
      <c r="AC53" s="182"/>
      <c r="AD53" s="182"/>
      <c r="AE53" s="182"/>
      <c r="AF53" s="183"/>
    </row>
    <row r="54" spans="2:32" ht="36.75" customHeight="1" x14ac:dyDescent="0.25">
      <c r="B54" s="177" t="s">
        <v>72</v>
      </c>
      <c r="C54" s="178"/>
      <c r="D54" s="178"/>
      <c r="E54" s="178"/>
      <c r="F54" s="178"/>
      <c r="G54" s="179"/>
      <c r="H54" s="181" t="s">
        <v>73</v>
      </c>
      <c r="I54" s="182"/>
      <c r="J54" s="182"/>
      <c r="K54" s="182"/>
      <c r="L54" s="182"/>
      <c r="M54" s="182"/>
      <c r="N54" s="182"/>
      <c r="O54" s="182"/>
      <c r="P54" s="182"/>
      <c r="Q54" s="182"/>
      <c r="R54" s="182"/>
      <c r="S54" s="182"/>
      <c r="T54" s="182"/>
      <c r="U54" s="182"/>
      <c r="V54" s="182"/>
      <c r="W54" s="182"/>
      <c r="X54" s="182"/>
      <c r="Y54" s="182"/>
      <c r="Z54" s="182"/>
      <c r="AA54" s="182"/>
      <c r="AB54" s="182"/>
      <c r="AC54" s="182"/>
      <c r="AD54" s="182"/>
      <c r="AE54" s="182"/>
      <c r="AF54" s="183"/>
    </row>
    <row r="55" spans="2:32" ht="45.75" customHeight="1" x14ac:dyDescent="0.25">
      <c r="B55" s="177" t="s">
        <v>74</v>
      </c>
      <c r="C55" s="178"/>
      <c r="D55" s="178"/>
      <c r="E55" s="178"/>
      <c r="F55" s="178"/>
      <c r="G55" s="179"/>
      <c r="H55" s="181" t="s">
        <v>79</v>
      </c>
      <c r="I55" s="182"/>
      <c r="J55" s="182"/>
      <c r="K55" s="182"/>
      <c r="L55" s="182"/>
      <c r="M55" s="182"/>
      <c r="N55" s="182"/>
      <c r="O55" s="182"/>
      <c r="P55" s="182"/>
      <c r="Q55" s="182"/>
      <c r="R55" s="182"/>
      <c r="S55" s="182"/>
      <c r="T55" s="182"/>
      <c r="U55" s="182"/>
      <c r="V55" s="182"/>
      <c r="W55" s="182"/>
      <c r="X55" s="182"/>
      <c r="Y55" s="182"/>
      <c r="Z55" s="182"/>
      <c r="AA55" s="182"/>
      <c r="AB55" s="182"/>
      <c r="AC55" s="182"/>
      <c r="AD55" s="182"/>
      <c r="AE55" s="182"/>
      <c r="AF55" s="183"/>
    </row>
    <row r="56" spans="2:32" ht="45.75" customHeight="1" x14ac:dyDescent="0.25">
      <c r="B56" s="177" t="s">
        <v>75</v>
      </c>
      <c r="C56" s="178"/>
      <c r="D56" s="178"/>
      <c r="E56" s="178"/>
      <c r="F56" s="178"/>
      <c r="G56" s="179"/>
      <c r="H56" s="181" t="s">
        <v>78</v>
      </c>
      <c r="I56" s="182"/>
      <c r="J56" s="182"/>
      <c r="K56" s="182"/>
      <c r="L56" s="182"/>
      <c r="M56" s="182"/>
      <c r="N56" s="182"/>
      <c r="O56" s="182"/>
      <c r="P56" s="182"/>
      <c r="Q56" s="182"/>
      <c r="R56" s="182"/>
      <c r="S56" s="182"/>
      <c r="T56" s="182"/>
      <c r="U56" s="182"/>
      <c r="V56" s="182"/>
      <c r="W56" s="182"/>
      <c r="X56" s="182"/>
      <c r="Y56" s="182"/>
      <c r="Z56" s="182"/>
      <c r="AA56" s="182"/>
      <c r="AB56" s="182"/>
      <c r="AC56" s="182"/>
      <c r="AD56" s="182"/>
      <c r="AE56" s="182"/>
      <c r="AF56" s="183"/>
    </row>
    <row r="57" spans="2:32" ht="37.5" customHeight="1" x14ac:dyDescent="0.25">
      <c r="B57" s="177" t="s">
        <v>76</v>
      </c>
      <c r="C57" s="178"/>
      <c r="D57" s="178"/>
      <c r="E57" s="178"/>
      <c r="F57" s="178"/>
      <c r="G57" s="179"/>
      <c r="H57" s="181" t="s">
        <v>77</v>
      </c>
      <c r="I57" s="182"/>
      <c r="J57" s="182"/>
      <c r="K57" s="182"/>
      <c r="L57" s="182"/>
      <c r="M57" s="182"/>
      <c r="N57" s="182"/>
      <c r="O57" s="182"/>
      <c r="P57" s="182"/>
      <c r="Q57" s="182"/>
      <c r="R57" s="182"/>
      <c r="S57" s="182"/>
      <c r="T57" s="182"/>
      <c r="U57" s="182"/>
      <c r="V57" s="182"/>
      <c r="W57" s="182"/>
      <c r="X57" s="182"/>
      <c r="Y57" s="182"/>
      <c r="Z57" s="182"/>
      <c r="AA57" s="182"/>
      <c r="AB57" s="182"/>
      <c r="AC57" s="182"/>
      <c r="AD57" s="182"/>
      <c r="AE57" s="182"/>
      <c r="AF57" s="183"/>
    </row>
    <row r="58" spans="2:32" x14ac:dyDescent="0.25">
      <c r="B58" s="28"/>
      <c r="C58" s="28"/>
      <c r="D58" s="28"/>
      <c r="E58" s="28"/>
      <c r="F58" s="28"/>
      <c r="G58" s="28"/>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row>
    <row r="59" spans="2:32" x14ac:dyDescent="0.25">
      <c r="B59" s="28"/>
      <c r="C59" s="28"/>
      <c r="D59" s="28"/>
      <c r="E59" s="28"/>
      <c r="F59" s="28"/>
      <c r="G59" s="28"/>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row>
    <row r="60" spans="2:32" ht="24.6" x14ac:dyDescent="0.25">
      <c r="B60" s="34" t="s">
        <v>32</v>
      </c>
      <c r="C60" s="35"/>
      <c r="D60" s="35"/>
      <c r="E60" s="35"/>
      <c r="F60" s="35"/>
      <c r="G60" s="35"/>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row>
    <row r="61" spans="2:32" ht="15.75" customHeight="1" x14ac:dyDescent="0.25">
      <c r="B61" s="37"/>
      <c r="C61" s="28"/>
      <c r="D61" s="28"/>
      <c r="E61" s="28"/>
      <c r="F61" s="28"/>
      <c r="G61" s="28"/>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row>
    <row r="62" spans="2:32" x14ac:dyDescent="0.25">
      <c r="B62" s="89" t="s">
        <v>80</v>
      </c>
      <c r="C62" s="38"/>
      <c r="D62" s="38"/>
      <c r="E62" s="38"/>
      <c r="F62" s="38"/>
      <c r="G62" s="38"/>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row>
    <row r="63" spans="2:32" x14ac:dyDescent="0.25">
      <c r="B63" s="89" t="s">
        <v>111</v>
      </c>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5">
      <c r="B64" s="38"/>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x14ac:dyDescent="0.25">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x14ac:dyDescent="0.25">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5">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x14ac:dyDescent="0.25">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x14ac:dyDescent="0.25">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5">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5">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x14ac:dyDescent="0.25">
      <c r="B72" s="38"/>
      <c r="C72" s="38"/>
      <c r="D72" s="38"/>
      <c r="E72" s="38"/>
      <c r="F72" s="38"/>
      <c r="G72" s="38"/>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row>
    <row r="73" spans="2:34" x14ac:dyDescent="0.25">
      <c r="B73" s="38"/>
      <c r="C73" s="38"/>
      <c r="D73" s="38"/>
      <c r="E73" s="38"/>
      <c r="F73" s="38"/>
      <c r="G73" s="38"/>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row>
    <row r="74" spans="2:34" x14ac:dyDescent="0.25">
      <c r="B74" s="38"/>
      <c r="C74" s="38"/>
      <c r="D74" s="38"/>
      <c r="E74" s="38"/>
      <c r="F74" s="38"/>
      <c r="G74" s="38"/>
      <c r="H74" s="39"/>
      <c r="I74" s="39"/>
      <c r="J74" s="39"/>
      <c r="K74" s="39"/>
      <c r="L74" s="39"/>
      <c r="M74" s="39"/>
      <c r="N74" s="39"/>
      <c r="O74" s="39"/>
      <c r="P74" s="39"/>
      <c r="Q74" s="39"/>
      <c r="R74" s="39"/>
      <c r="S74" s="39"/>
      <c r="T74" s="39"/>
      <c r="U74" s="39"/>
      <c r="V74" s="39"/>
      <c r="W74" s="39"/>
      <c r="X74" s="39"/>
      <c r="Y74" s="39"/>
      <c r="Z74" s="39"/>
      <c r="AA74" s="39"/>
      <c r="AB74" s="39"/>
      <c r="AC74" s="39"/>
      <c r="AD74" s="39"/>
      <c r="AE74" s="39"/>
      <c r="AF74" s="39"/>
    </row>
    <row r="75" spans="2:34" ht="12" customHeight="1" x14ac:dyDescent="0.25"/>
    <row r="76" spans="2:34" ht="12.75" hidden="1" customHeight="1" x14ac:dyDescent="0.25">
      <c r="B76" s="16" t="s">
        <v>81</v>
      </c>
      <c r="F76" s="40"/>
      <c r="G76" s="40"/>
      <c r="H76" s="40"/>
      <c r="I76" s="40"/>
      <c r="J76" s="40"/>
      <c r="K76" s="40"/>
      <c r="L76" s="40"/>
      <c r="M76" s="40"/>
      <c r="N76" s="40"/>
      <c r="O76" s="40"/>
      <c r="P76" s="40"/>
      <c r="Q76" s="40"/>
      <c r="R76" s="40"/>
      <c r="S76" s="40"/>
      <c r="T76" s="40"/>
      <c r="U76" s="40"/>
      <c r="V76" s="40"/>
      <c r="W76" s="40"/>
      <c r="X76" s="40"/>
      <c r="Y76" s="40"/>
      <c r="Z76" s="40"/>
      <c r="AA76" s="40"/>
      <c r="AB76" s="40"/>
      <c r="AC76" s="40"/>
      <c r="AD76" s="40"/>
      <c r="AE76" s="40"/>
      <c r="AF76" s="40"/>
      <c r="AG76" s="40"/>
      <c r="AH76" s="40"/>
    </row>
    <row r="77" spans="2:34" ht="12.75" hidden="1" customHeight="1" x14ac:dyDescent="0.25">
      <c r="B77" s="16" t="s">
        <v>82</v>
      </c>
      <c r="F77" s="40"/>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0"/>
    </row>
    <row r="78" spans="2:34" ht="12.75" hidden="1" customHeight="1" x14ac:dyDescent="0.25">
      <c r="B78" s="16" t="s">
        <v>83</v>
      </c>
      <c r="F78" s="40"/>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40"/>
    </row>
    <row r="79" spans="2:34" ht="12.75" hidden="1" customHeight="1" x14ac:dyDescent="0.25">
      <c r="B79" s="16" t="s">
        <v>84</v>
      </c>
      <c r="F79" s="40"/>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40"/>
    </row>
    <row r="80" spans="2:34" ht="12.75" hidden="1" customHeight="1" x14ac:dyDescent="0.25">
      <c r="B80" s="16" t="s">
        <v>85</v>
      </c>
      <c r="F80" s="42"/>
      <c r="G80" s="42"/>
      <c r="H80" s="42"/>
      <c r="I80" s="42"/>
      <c r="J80" s="40"/>
      <c r="K80" s="40"/>
      <c r="L80" s="40"/>
      <c r="M80" s="40"/>
      <c r="N80" s="40"/>
      <c r="O80" s="40"/>
      <c r="P80" s="40"/>
      <c r="Q80" s="40"/>
      <c r="R80" s="40"/>
      <c r="S80" s="42"/>
      <c r="T80" s="42"/>
      <c r="U80" s="42"/>
      <c r="V80" s="42"/>
      <c r="W80" s="42"/>
      <c r="X80" s="42"/>
      <c r="Y80" s="42"/>
      <c r="Z80" s="42"/>
      <c r="AA80" s="42"/>
      <c r="AB80" s="42"/>
      <c r="AC80" s="42"/>
      <c r="AD80" s="42"/>
      <c r="AE80" s="42"/>
      <c r="AF80" s="42"/>
      <c r="AG80" s="42"/>
      <c r="AH80" s="40"/>
    </row>
    <row r="81" spans="2:34" ht="12.75" hidden="1" customHeight="1" x14ac:dyDescent="0.25">
      <c r="B81" s="16" t="s">
        <v>86</v>
      </c>
      <c r="F81" s="42"/>
      <c r="G81" s="42"/>
      <c r="H81" s="42"/>
      <c r="I81" s="42"/>
      <c r="J81" s="40"/>
      <c r="K81" s="40"/>
      <c r="L81" s="40"/>
      <c r="M81" s="40"/>
      <c r="N81" s="40"/>
      <c r="O81" s="40"/>
      <c r="P81" s="40"/>
      <c r="Q81" s="40"/>
      <c r="R81" s="40"/>
      <c r="S81" s="42"/>
      <c r="T81" s="42"/>
      <c r="U81" s="42"/>
      <c r="V81" s="42"/>
      <c r="W81" s="42"/>
      <c r="X81" s="42"/>
      <c r="Y81" s="42"/>
      <c r="Z81" s="42"/>
      <c r="AA81" s="42"/>
      <c r="AB81" s="42"/>
      <c r="AC81" s="42"/>
      <c r="AD81" s="42"/>
      <c r="AE81" s="42"/>
      <c r="AF81" s="42"/>
      <c r="AG81" s="42"/>
      <c r="AH81" s="40"/>
    </row>
    <row r="82" spans="2:34" ht="12.75" hidden="1" customHeight="1" x14ac:dyDescent="0.25">
      <c r="B82" s="16" t="s">
        <v>87</v>
      </c>
      <c r="F82" s="43"/>
      <c r="G82" s="43"/>
      <c r="H82" s="43"/>
      <c r="I82" s="43"/>
      <c r="J82" s="43"/>
      <c r="K82" s="43"/>
      <c r="R82" s="43"/>
      <c r="S82" s="42"/>
      <c r="T82" s="42"/>
      <c r="U82" s="42"/>
      <c r="V82" s="42"/>
      <c r="W82" s="42"/>
      <c r="X82" s="42"/>
      <c r="Y82" s="42"/>
      <c r="Z82" s="42"/>
      <c r="AA82" s="42"/>
      <c r="AB82" s="42"/>
      <c r="AC82" s="42"/>
      <c r="AD82" s="42"/>
      <c r="AE82" s="42"/>
      <c r="AF82" s="42"/>
      <c r="AG82" s="42"/>
      <c r="AH82" s="43"/>
    </row>
    <row r="83" spans="2:34" ht="12.75" hidden="1" customHeight="1" x14ac:dyDescent="0.25">
      <c r="B83" s="16" t="s">
        <v>88</v>
      </c>
      <c r="R83" s="43"/>
      <c r="S83" s="43"/>
      <c r="T83" s="43"/>
      <c r="U83" s="43"/>
      <c r="V83" s="43"/>
      <c r="W83" s="43"/>
      <c r="X83" s="43"/>
      <c r="Y83" s="43"/>
      <c r="Z83" s="43"/>
      <c r="AA83" s="43"/>
      <c r="AB83" s="43"/>
      <c r="AC83" s="43"/>
      <c r="AD83" s="43"/>
      <c r="AE83" s="43"/>
      <c r="AF83" s="43"/>
      <c r="AG83" s="43"/>
      <c r="AH83" s="43"/>
    </row>
    <row r="84" spans="2:34" ht="12.75" hidden="1" customHeight="1" x14ac:dyDescent="0.25">
      <c r="B84" s="16" t="s">
        <v>89</v>
      </c>
      <c r="R84" s="43"/>
      <c r="S84" s="43"/>
      <c r="T84" s="43"/>
      <c r="U84" s="43"/>
      <c r="V84" s="43"/>
      <c r="W84" s="43"/>
      <c r="X84" s="43"/>
      <c r="Y84" s="43"/>
      <c r="Z84" s="43"/>
      <c r="AA84" s="43"/>
      <c r="AB84" s="43"/>
      <c r="AC84" s="43"/>
      <c r="AD84" s="43"/>
      <c r="AE84" s="43"/>
      <c r="AF84" s="43"/>
      <c r="AG84" s="43"/>
      <c r="AH84" s="43"/>
    </row>
    <row r="85" spans="2:34" ht="12.75" hidden="1" customHeight="1" x14ac:dyDescent="0.25">
      <c r="B85" s="16" t="s">
        <v>90</v>
      </c>
    </row>
    <row r="86" spans="2:34" ht="12.75" hidden="1" customHeight="1" x14ac:dyDescent="0.25">
      <c r="B86" s="16" t="s">
        <v>91</v>
      </c>
    </row>
    <row r="87" spans="2:34" ht="12.75" hidden="1" customHeight="1" x14ac:dyDescent="0.25">
      <c r="B87" s="16" t="s">
        <v>92</v>
      </c>
    </row>
    <row r="88" spans="2:34" ht="12.75" hidden="1" customHeight="1" x14ac:dyDescent="0.25">
      <c r="B88" s="16" t="s">
        <v>93</v>
      </c>
    </row>
    <row r="89" spans="2:34" ht="12.75" hidden="1" customHeight="1" x14ac:dyDescent="0.25">
      <c r="B89" s="16" t="s">
        <v>94</v>
      </c>
    </row>
    <row r="90" spans="2:34" ht="12.75" hidden="1" customHeight="1" x14ac:dyDescent="0.25">
      <c r="B90" s="16" t="s">
        <v>95</v>
      </c>
    </row>
    <row r="91" spans="2:34" ht="12.75" hidden="1" customHeight="1" x14ac:dyDescent="0.25">
      <c r="B91" s="16" t="s">
        <v>96</v>
      </c>
    </row>
    <row r="92" spans="2:34" ht="12.75" hidden="1" customHeight="1" x14ac:dyDescent="0.25">
      <c r="B92" s="16" t="s">
        <v>97</v>
      </c>
    </row>
    <row r="93" spans="2:34" ht="12.75" hidden="1" customHeight="1" x14ac:dyDescent="0.25">
      <c r="B93" s="16" t="s">
        <v>98</v>
      </c>
    </row>
    <row r="94" spans="2:34" ht="12.75" hidden="1" customHeight="1" x14ac:dyDescent="0.25">
      <c r="B94" s="16" t="s">
        <v>99</v>
      </c>
    </row>
    <row r="95" spans="2:34" ht="12.75" hidden="1" customHeight="1" x14ac:dyDescent="0.25">
      <c r="B95" s="16" t="s">
        <v>100</v>
      </c>
    </row>
    <row r="96" spans="2:34" ht="12.75" hidden="1" customHeight="1" x14ac:dyDescent="0.25">
      <c r="B96" s="16" t="s">
        <v>101</v>
      </c>
    </row>
    <row r="97" spans="2:2" ht="12.75" hidden="1" customHeight="1" x14ac:dyDescent="0.25">
      <c r="B97" s="16" t="s">
        <v>102</v>
      </c>
    </row>
    <row r="98" spans="2:2" ht="12.75" hidden="1" customHeight="1" x14ac:dyDescent="0.25">
      <c r="B98" s="16" t="s">
        <v>103</v>
      </c>
    </row>
    <row r="99" spans="2:2" ht="12.75" hidden="1" customHeight="1" x14ac:dyDescent="0.25">
      <c r="B99" s="16" t="s">
        <v>104</v>
      </c>
    </row>
    <row r="100" spans="2:2" ht="12.75" hidden="1" customHeight="1" x14ac:dyDescent="0.25">
      <c r="B100" s="16" t="s">
        <v>105</v>
      </c>
    </row>
    <row r="101" spans="2:2" ht="12.75" hidden="1" customHeight="1" x14ac:dyDescent="0.25">
      <c r="B101" s="16" t="s">
        <v>106</v>
      </c>
    </row>
    <row r="102" spans="2:2" ht="12.75" hidden="1" customHeight="1" x14ac:dyDescent="0.25">
      <c r="B102" s="16" t="s">
        <v>107</v>
      </c>
    </row>
    <row r="103" spans="2:2" ht="12.75" hidden="1" customHeight="1" x14ac:dyDescent="0.25">
      <c r="B103" s="16" t="s">
        <v>108</v>
      </c>
    </row>
    <row r="161" x14ac:dyDescent="0.25"/>
    <row r="162" x14ac:dyDescent="0.25"/>
    <row r="163" x14ac:dyDescent="0.25"/>
    <row r="174" x14ac:dyDescent="0.25"/>
    <row r="175" x14ac:dyDescent="0.25"/>
    <row r="176" x14ac:dyDescent="0.25"/>
  </sheetData>
  <sheetProtection formatCells="0" formatRows="0" insertColumns="0" insertRows="0" insertHyperlinks="0" deleteRows="0" selectLockedCells="1" sort="0" autoFilter="0" pivotTables="0"/>
  <mergeCells count="107">
    <mergeCell ref="B57:G57"/>
    <mergeCell ref="H52:AF52"/>
    <mergeCell ref="H57:AF57"/>
    <mergeCell ref="B55:G55"/>
    <mergeCell ref="H55:AF55"/>
    <mergeCell ref="B54:G54"/>
    <mergeCell ref="H54:AF54"/>
    <mergeCell ref="H56:AF56"/>
    <mergeCell ref="B56:G56"/>
    <mergeCell ref="B53:G53"/>
    <mergeCell ref="H53:AF53"/>
    <mergeCell ref="B52:G52"/>
    <mergeCell ref="B46:D46"/>
    <mergeCell ref="B48:D48"/>
    <mergeCell ref="Y47:AF47"/>
    <mergeCell ref="E47:X47"/>
    <mergeCell ref="E49:X49"/>
    <mergeCell ref="Y46:AF46"/>
    <mergeCell ref="E48:X48"/>
    <mergeCell ref="R26:AF26"/>
    <mergeCell ref="B35:AF35"/>
    <mergeCell ref="E46:X46"/>
    <mergeCell ref="Y48:AF48"/>
    <mergeCell ref="Y49:AF49"/>
    <mergeCell ref="B47:D47"/>
    <mergeCell ref="B49:D49"/>
    <mergeCell ref="Y45:AF45"/>
    <mergeCell ref="R31:AF31"/>
    <mergeCell ref="Y39:AF39"/>
    <mergeCell ref="B39:D39"/>
    <mergeCell ref="E39:X39"/>
    <mergeCell ref="E42:X42"/>
    <mergeCell ref="E41:X41"/>
    <mergeCell ref="E40:X40"/>
    <mergeCell ref="B41:D41"/>
    <mergeCell ref="Y40:AF40"/>
    <mergeCell ref="E24:H24"/>
    <mergeCell ref="E25:H25"/>
    <mergeCell ref="E26:H26"/>
    <mergeCell ref="Y41:AF41"/>
    <mergeCell ref="Y43:AF43"/>
    <mergeCell ref="B45:D45"/>
    <mergeCell ref="Y42:AF42"/>
    <mergeCell ref="B42:D42"/>
    <mergeCell ref="B31:D31"/>
    <mergeCell ref="E45:X45"/>
    <mergeCell ref="I25:Q25"/>
    <mergeCell ref="B40:D40"/>
    <mergeCell ref="E31:H31"/>
    <mergeCell ref="B27:D27"/>
    <mergeCell ref="B25:D25"/>
    <mergeCell ref="B24:D24"/>
    <mergeCell ref="I31:Q31"/>
    <mergeCell ref="B26:D26"/>
    <mergeCell ref="I26:Q26"/>
    <mergeCell ref="B43:D43"/>
    <mergeCell ref="E43:X43"/>
    <mergeCell ref="B28:D28"/>
    <mergeCell ref="E28:H28"/>
    <mergeCell ref="I28:Q28"/>
    <mergeCell ref="R28:AF28"/>
    <mergeCell ref="B29:D29"/>
    <mergeCell ref="E29:H29"/>
    <mergeCell ref="I29:Q29"/>
    <mergeCell ref="R29:AF29"/>
    <mergeCell ref="B30:D30"/>
    <mergeCell ref="E30:H30"/>
    <mergeCell ref="I30:Q30"/>
    <mergeCell ref="R30:AF30"/>
    <mergeCell ref="I24:Q24"/>
    <mergeCell ref="R24:AF24"/>
    <mergeCell ref="E27:H27"/>
    <mergeCell ref="I27:Q27"/>
    <mergeCell ref="R27:AF27"/>
    <mergeCell ref="R25:AF25"/>
    <mergeCell ref="AB4:AG4"/>
    <mergeCell ref="AB5:AG5"/>
    <mergeCell ref="AE6:AG6"/>
    <mergeCell ref="AE7:AG7"/>
    <mergeCell ref="A8:AG8"/>
    <mergeCell ref="AB6:AD6"/>
    <mergeCell ref="AB7:AD7"/>
    <mergeCell ref="E6:V6"/>
    <mergeCell ref="B15:F15"/>
    <mergeCell ref="E7:V7"/>
    <mergeCell ref="A4:V4"/>
    <mergeCell ref="A5:V5"/>
    <mergeCell ref="W4:AA4"/>
    <mergeCell ref="W5:AA5"/>
    <mergeCell ref="A6:D6"/>
    <mergeCell ref="A7:D7"/>
    <mergeCell ref="W6:AA6"/>
    <mergeCell ref="B18:F18"/>
    <mergeCell ref="G18:AF18"/>
    <mergeCell ref="W7:AA7"/>
    <mergeCell ref="G15:AF15"/>
    <mergeCell ref="G16:AF16"/>
    <mergeCell ref="G21:AF21"/>
    <mergeCell ref="B21:F21"/>
    <mergeCell ref="G17:AF17"/>
    <mergeCell ref="A9:AG9"/>
    <mergeCell ref="B17:F17"/>
    <mergeCell ref="B16:F16"/>
    <mergeCell ref="B20:F20"/>
    <mergeCell ref="G20:AF20"/>
    <mergeCell ref="B19:F19"/>
    <mergeCell ref="G19:AF19"/>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1.7&amp;R&amp;P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59999389629810485"/>
  </sheetPr>
  <dimension ref="B1:BH171"/>
  <sheetViews>
    <sheetView showGridLines="0" zoomScaleNormal="100" workbookViewId="0">
      <selection activeCell="B1" sqref="B1:AG37"/>
    </sheetView>
  </sheetViews>
  <sheetFormatPr defaultColWidth="0" defaultRowHeight="12.75" customHeight="1" zeroHeight="1" x14ac:dyDescent="0.25"/>
  <cols>
    <col min="1" max="33" width="2.88671875" style="16" customWidth="1"/>
    <col min="34" max="34" width="1.33203125" style="16" customWidth="1"/>
    <col min="35" max="60" width="3.33203125" style="16" hidden="1" customWidth="1"/>
    <col min="61" max="16384" width="0" style="16" hidden="1"/>
  </cols>
  <sheetData>
    <row r="1" spans="2:34" ht="13.2" x14ac:dyDescent="0.25">
      <c r="B1" s="185" t="s">
        <v>123</v>
      </c>
      <c r="C1" s="185"/>
      <c r="D1" s="185"/>
      <c r="E1" s="185"/>
      <c r="F1" s="185"/>
      <c r="G1" s="185"/>
      <c r="H1" s="185"/>
      <c r="I1" s="185"/>
      <c r="J1" s="185"/>
      <c r="K1" s="185"/>
      <c r="L1" s="185"/>
      <c r="M1" s="185"/>
      <c r="N1" s="185"/>
      <c r="O1" s="185"/>
      <c r="P1" s="185"/>
      <c r="Q1" s="185"/>
      <c r="R1" s="185"/>
      <c r="S1" s="185"/>
      <c r="T1" s="185"/>
      <c r="U1" s="185"/>
      <c r="V1" s="185"/>
      <c r="W1" s="185"/>
      <c r="X1" s="185"/>
      <c r="Y1" s="185"/>
      <c r="Z1" s="185"/>
      <c r="AA1" s="185"/>
      <c r="AB1" s="185"/>
      <c r="AC1" s="185"/>
      <c r="AD1" s="185"/>
      <c r="AE1" s="185"/>
      <c r="AF1" s="185"/>
      <c r="AG1" s="185"/>
    </row>
    <row r="2" spans="2:34" ht="20.25" customHeight="1" x14ac:dyDescent="0.25">
      <c r="B2" s="185"/>
      <c r="C2" s="185"/>
      <c r="D2" s="185"/>
      <c r="E2" s="185"/>
      <c r="F2" s="185"/>
      <c r="G2" s="185"/>
      <c r="H2" s="185"/>
      <c r="I2" s="185"/>
      <c r="J2" s="185"/>
      <c r="K2" s="185"/>
      <c r="L2" s="185"/>
      <c r="M2" s="185"/>
      <c r="N2" s="185"/>
      <c r="O2" s="185"/>
      <c r="P2" s="185"/>
      <c r="Q2" s="185"/>
      <c r="R2" s="185"/>
      <c r="S2" s="185"/>
      <c r="T2" s="185"/>
      <c r="U2" s="185"/>
      <c r="V2" s="185"/>
      <c r="W2" s="185"/>
      <c r="X2" s="185"/>
      <c r="Y2" s="185"/>
      <c r="Z2" s="185"/>
      <c r="AA2" s="185"/>
      <c r="AB2" s="185"/>
      <c r="AC2" s="185"/>
      <c r="AD2" s="185"/>
      <c r="AE2" s="185"/>
      <c r="AF2" s="185"/>
      <c r="AG2" s="185"/>
    </row>
    <row r="3" spans="2:34" ht="13.2" x14ac:dyDescent="0.25">
      <c r="B3" s="185"/>
      <c r="C3" s="185"/>
      <c r="D3" s="185"/>
      <c r="E3" s="185"/>
      <c r="F3" s="185"/>
      <c r="G3" s="185"/>
      <c r="H3" s="185"/>
      <c r="I3" s="185"/>
      <c r="J3" s="185"/>
      <c r="K3" s="185"/>
      <c r="L3" s="185"/>
      <c r="M3" s="185"/>
      <c r="N3" s="185"/>
      <c r="O3" s="185"/>
      <c r="P3" s="185"/>
      <c r="Q3" s="185"/>
      <c r="R3" s="185"/>
      <c r="S3" s="185"/>
      <c r="T3" s="185"/>
      <c r="U3" s="185"/>
      <c r="V3" s="185"/>
      <c r="W3" s="185"/>
      <c r="X3" s="185"/>
      <c r="Y3" s="185"/>
      <c r="Z3" s="185"/>
      <c r="AA3" s="185"/>
      <c r="AB3" s="185"/>
      <c r="AC3" s="185"/>
      <c r="AD3" s="185"/>
      <c r="AE3" s="185"/>
      <c r="AF3" s="185"/>
      <c r="AG3" s="185"/>
    </row>
    <row r="4" spans="2:34" ht="13.2" x14ac:dyDescent="0.25">
      <c r="B4" s="185"/>
      <c r="C4" s="185"/>
      <c r="D4" s="185"/>
      <c r="E4" s="185"/>
      <c r="F4" s="185"/>
      <c r="G4" s="185"/>
      <c r="H4" s="185"/>
      <c r="I4" s="185"/>
      <c r="J4" s="185"/>
      <c r="K4" s="185"/>
      <c r="L4" s="185"/>
      <c r="M4" s="185"/>
      <c r="N4" s="185"/>
      <c r="O4" s="185"/>
      <c r="P4" s="185"/>
      <c r="Q4" s="185"/>
      <c r="R4" s="185"/>
      <c r="S4" s="185"/>
      <c r="T4" s="185"/>
      <c r="U4" s="185"/>
      <c r="V4" s="185"/>
      <c r="W4" s="185"/>
      <c r="X4" s="185"/>
      <c r="Y4" s="185"/>
      <c r="Z4" s="185"/>
      <c r="AA4" s="185"/>
      <c r="AB4" s="185"/>
      <c r="AC4" s="185"/>
      <c r="AD4" s="185"/>
      <c r="AE4" s="185"/>
      <c r="AF4" s="185"/>
      <c r="AG4" s="185"/>
    </row>
    <row r="5" spans="2:34" ht="13.2" x14ac:dyDescent="0.25">
      <c r="B5" s="185"/>
      <c r="C5" s="185"/>
      <c r="D5" s="185"/>
      <c r="E5" s="185"/>
      <c r="F5" s="185"/>
      <c r="G5" s="185"/>
      <c r="H5" s="185"/>
      <c r="I5" s="185"/>
      <c r="J5" s="185"/>
      <c r="K5" s="185"/>
      <c r="L5" s="185"/>
      <c r="M5" s="185"/>
      <c r="N5" s="185"/>
      <c r="O5" s="185"/>
      <c r="P5" s="185"/>
      <c r="Q5" s="185"/>
      <c r="R5" s="185"/>
      <c r="S5" s="185"/>
      <c r="T5" s="185"/>
      <c r="U5" s="185"/>
      <c r="V5" s="185"/>
      <c r="W5" s="185"/>
      <c r="X5" s="185"/>
      <c r="Y5" s="185"/>
      <c r="Z5" s="185"/>
      <c r="AA5" s="185"/>
      <c r="AB5" s="185"/>
      <c r="AC5" s="185"/>
      <c r="AD5" s="185"/>
      <c r="AE5" s="185"/>
      <c r="AF5" s="185"/>
      <c r="AG5" s="185"/>
    </row>
    <row r="6" spans="2:34" ht="13.2" x14ac:dyDescent="0.25">
      <c r="B6" s="185"/>
      <c r="C6" s="185"/>
      <c r="D6" s="185"/>
      <c r="E6" s="185"/>
      <c r="F6" s="185"/>
      <c r="G6" s="185"/>
      <c r="H6" s="185"/>
      <c r="I6" s="185"/>
      <c r="J6" s="185"/>
      <c r="K6" s="185"/>
      <c r="L6" s="185"/>
      <c r="M6" s="185"/>
      <c r="N6" s="185"/>
      <c r="O6" s="185"/>
      <c r="P6" s="185"/>
      <c r="Q6" s="185"/>
      <c r="R6" s="185"/>
      <c r="S6" s="185"/>
      <c r="T6" s="185"/>
      <c r="U6" s="185"/>
      <c r="V6" s="185"/>
      <c r="W6" s="185"/>
      <c r="X6" s="185"/>
      <c r="Y6" s="185"/>
      <c r="Z6" s="185"/>
      <c r="AA6" s="185"/>
      <c r="AB6" s="185"/>
      <c r="AC6" s="185"/>
      <c r="AD6" s="185"/>
      <c r="AE6" s="185"/>
      <c r="AF6" s="185"/>
      <c r="AG6" s="185"/>
    </row>
    <row r="7" spans="2:34" ht="13.2" x14ac:dyDescent="0.25">
      <c r="B7" s="185"/>
      <c r="C7" s="185"/>
      <c r="D7" s="185"/>
      <c r="E7" s="185"/>
      <c r="F7" s="185"/>
      <c r="G7" s="185"/>
      <c r="H7" s="185"/>
      <c r="I7" s="185"/>
      <c r="J7" s="185"/>
      <c r="K7" s="185"/>
      <c r="L7" s="185"/>
      <c r="M7" s="185"/>
      <c r="N7" s="185"/>
      <c r="O7" s="185"/>
      <c r="P7" s="185"/>
      <c r="Q7" s="185"/>
      <c r="R7" s="185"/>
      <c r="S7" s="185"/>
      <c r="T7" s="185"/>
      <c r="U7" s="185"/>
      <c r="V7" s="185"/>
      <c r="W7" s="185"/>
      <c r="X7" s="185"/>
      <c r="Y7" s="185"/>
      <c r="Z7" s="185"/>
      <c r="AA7" s="185"/>
      <c r="AB7" s="185"/>
      <c r="AC7" s="185"/>
      <c r="AD7" s="185"/>
      <c r="AE7" s="185"/>
      <c r="AF7" s="185"/>
      <c r="AG7" s="185"/>
    </row>
    <row r="8" spans="2:34" ht="13.2" x14ac:dyDescent="0.25">
      <c r="B8" s="185"/>
      <c r="C8" s="185"/>
      <c r="D8" s="185"/>
      <c r="E8" s="185"/>
      <c r="F8" s="185"/>
      <c r="G8" s="185"/>
      <c r="H8" s="185"/>
      <c r="I8" s="185"/>
      <c r="J8" s="185"/>
      <c r="K8" s="185"/>
      <c r="L8" s="185"/>
      <c r="M8" s="185"/>
      <c r="N8" s="185"/>
      <c r="O8" s="185"/>
      <c r="P8" s="185"/>
      <c r="Q8" s="185"/>
      <c r="R8" s="185"/>
      <c r="S8" s="185"/>
      <c r="T8" s="185"/>
      <c r="U8" s="185"/>
      <c r="V8" s="185"/>
      <c r="W8" s="185"/>
      <c r="X8" s="185"/>
      <c r="Y8" s="185"/>
      <c r="Z8" s="185"/>
      <c r="AA8" s="185"/>
      <c r="AB8" s="185"/>
      <c r="AC8" s="185"/>
      <c r="AD8" s="185"/>
      <c r="AE8" s="185"/>
      <c r="AF8" s="185"/>
      <c r="AG8" s="185"/>
    </row>
    <row r="9" spans="2:34" ht="13.2" x14ac:dyDescent="0.25">
      <c r="B9" s="185"/>
      <c r="C9" s="185"/>
      <c r="D9" s="185"/>
      <c r="E9" s="185"/>
      <c r="F9" s="185"/>
      <c r="G9" s="185"/>
      <c r="H9" s="185"/>
      <c r="I9" s="185"/>
      <c r="J9" s="185"/>
      <c r="K9" s="185"/>
      <c r="L9" s="185"/>
      <c r="M9" s="185"/>
      <c r="N9" s="185"/>
      <c r="O9" s="185"/>
      <c r="P9" s="185"/>
      <c r="Q9" s="185"/>
      <c r="R9" s="185"/>
      <c r="S9" s="185"/>
      <c r="T9" s="185"/>
      <c r="U9" s="185"/>
      <c r="V9" s="185"/>
      <c r="W9" s="185"/>
      <c r="X9" s="185"/>
      <c r="Y9" s="185"/>
      <c r="Z9" s="185"/>
      <c r="AA9" s="185"/>
      <c r="AB9" s="185"/>
      <c r="AC9" s="185"/>
      <c r="AD9" s="185"/>
      <c r="AE9" s="185"/>
      <c r="AF9" s="185"/>
      <c r="AG9" s="185"/>
    </row>
    <row r="10" spans="2:34" ht="13.2" x14ac:dyDescent="0.2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row>
    <row r="11" spans="2:34" ht="13.2" x14ac:dyDescent="0.25">
      <c r="B11" s="185"/>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row>
    <row r="12" spans="2:34" ht="13.2" x14ac:dyDescent="0.25">
      <c r="B12" s="185"/>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5"/>
      <c r="AB12" s="185"/>
      <c r="AC12" s="185"/>
      <c r="AD12" s="185"/>
      <c r="AE12" s="185"/>
      <c r="AF12" s="185"/>
      <c r="AG12" s="185"/>
    </row>
    <row r="13" spans="2:34" ht="13.2" x14ac:dyDescent="0.25">
      <c r="B13" s="185"/>
      <c r="C13" s="185"/>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185"/>
      <c r="AB13" s="185"/>
      <c r="AC13" s="185"/>
      <c r="AD13" s="185"/>
      <c r="AE13" s="185"/>
      <c r="AF13" s="185"/>
      <c r="AG13" s="185"/>
    </row>
    <row r="14" spans="2:34" ht="13.2" x14ac:dyDescent="0.25">
      <c r="B14" s="185"/>
      <c r="C14" s="185"/>
      <c r="D14" s="185"/>
      <c r="E14" s="185"/>
      <c r="F14" s="185"/>
      <c r="G14" s="185"/>
      <c r="H14" s="185"/>
      <c r="I14" s="185"/>
      <c r="J14" s="185"/>
      <c r="K14" s="185"/>
      <c r="L14" s="185"/>
      <c r="M14" s="185"/>
      <c r="N14" s="185"/>
      <c r="O14" s="185"/>
      <c r="P14" s="185"/>
      <c r="Q14" s="185"/>
      <c r="R14" s="185"/>
      <c r="S14" s="185"/>
      <c r="T14" s="185"/>
      <c r="U14" s="185"/>
      <c r="V14" s="185"/>
      <c r="W14" s="185"/>
      <c r="X14" s="185"/>
      <c r="Y14" s="185"/>
      <c r="Z14" s="185"/>
      <c r="AA14" s="185"/>
      <c r="AB14" s="185"/>
      <c r="AC14" s="185"/>
      <c r="AD14" s="185"/>
      <c r="AE14" s="185"/>
      <c r="AF14" s="185"/>
      <c r="AG14" s="185"/>
      <c r="AH14" s="40"/>
    </row>
    <row r="15" spans="2:34" ht="13.2" x14ac:dyDescent="0.25">
      <c r="B15" s="185"/>
      <c r="C15" s="185"/>
      <c r="D15" s="185"/>
      <c r="E15" s="185"/>
      <c r="F15" s="185"/>
      <c r="G15" s="185"/>
      <c r="H15" s="185"/>
      <c r="I15" s="185"/>
      <c r="J15" s="185"/>
      <c r="K15" s="185"/>
      <c r="L15" s="185"/>
      <c r="M15" s="185"/>
      <c r="N15" s="185"/>
      <c r="O15" s="185"/>
      <c r="P15" s="185"/>
      <c r="Q15" s="185"/>
      <c r="R15" s="185"/>
      <c r="S15" s="185"/>
      <c r="T15" s="185"/>
      <c r="U15" s="185"/>
      <c r="V15" s="185"/>
      <c r="W15" s="185"/>
      <c r="X15" s="185"/>
      <c r="Y15" s="185"/>
      <c r="Z15" s="185"/>
      <c r="AA15" s="185"/>
      <c r="AB15" s="185"/>
      <c r="AC15" s="185"/>
      <c r="AD15" s="185"/>
      <c r="AE15" s="185"/>
      <c r="AF15" s="185"/>
      <c r="AG15" s="185"/>
      <c r="AH15" s="40"/>
    </row>
    <row r="16" spans="2:34" ht="13.2" x14ac:dyDescent="0.25">
      <c r="B16" s="185"/>
      <c r="C16" s="185"/>
      <c r="D16" s="185"/>
      <c r="E16" s="185"/>
      <c r="F16" s="185"/>
      <c r="G16" s="185"/>
      <c r="H16" s="185"/>
      <c r="I16" s="185"/>
      <c r="J16" s="185"/>
      <c r="K16" s="185"/>
      <c r="L16" s="185"/>
      <c r="M16" s="185"/>
      <c r="N16" s="185"/>
      <c r="O16" s="185"/>
      <c r="P16" s="185"/>
      <c r="Q16" s="185"/>
      <c r="R16" s="185"/>
      <c r="S16" s="185"/>
      <c r="T16" s="185"/>
      <c r="U16" s="185"/>
      <c r="V16" s="185"/>
      <c r="W16" s="185"/>
      <c r="X16" s="185"/>
      <c r="Y16" s="185"/>
      <c r="Z16" s="185"/>
      <c r="AA16" s="185"/>
      <c r="AB16" s="185"/>
      <c r="AC16" s="185"/>
      <c r="AD16" s="185"/>
      <c r="AE16" s="185"/>
      <c r="AF16" s="185"/>
      <c r="AG16" s="185"/>
      <c r="AH16" s="40"/>
    </row>
    <row r="17" spans="2:34" ht="13.2" x14ac:dyDescent="0.25">
      <c r="B17" s="185"/>
      <c r="C17" s="185"/>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5"/>
      <c r="AB17" s="185"/>
      <c r="AC17" s="185"/>
      <c r="AD17" s="185"/>
      <c r="AE17" s="185"/>
      <c r="AF17" s="185"/>
      <c r="AG17" s="185"/>
      <c r="AH17" s="40"/>
    </row>
    <row r="18" spans="2:34" ht="13.2" x14ac:dyDescent="0.25">
      <c r="B18" s="185"/>
      <c r="C18" s="185"/>
      <c r="D18" s="185"/>
      <c r="E18" s="185"/>
      <c r="F18" s="185"/>
      <c r="G18" s="185"/>
      <c r="H18" s="185"/>
      <c r="I18" s="185"/>
      <c r="J18" s="185"/>
      <c r="K18" s="185"/>
      <c r="L18" s="185"/>
      <c r="M18" s="185"/>
      <c r="N18" s="185"/>
      <c r="O18" s="185"/>
      <c r="P18" s="185"/>
      <c r="Q18" s="185"/>
      <c r="R18" s="185"/>
      <c r="S18" s="185"/>
      <c r="T18" s="185"/>
      <c r="U18" s="185"/>
      <c r="V18" s="185"/>
      <c r="W18" s="185"/>
      <c r="X18" s="185"/>
      <c r="Y18" s="185"/>
      <c r="Z18" s="185"/>
      <c r="AA18" s="185"/>
      <c r="AB18" s="185"/>
      <c r="AC18" s="185"/>
      <c r="AD18" s="185"/>
      <c r="AE18" s="185"/>
      <c r="AF18" s="185"/>
      <c r="AG18" s="185"/>
      <c r="AH18" s="40"/>
    </row>
    <row r="19" spans="2:34" ht="13.2" x14ac:dyDescent="0.25">
      <c r="B19" s="185"/>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85"/>
      <c r="AB19" s="185"/>
      <c r="AC19" s="185"/>
      <c r="AD19" s="185"/>
      <c r="AE19" s="185"/>
      <c r="AF19" s="185"/>
      <c r="AG19" s="185"/>
      <c r="AH19" s="40"/>
    </row>
    <row r="20" spans="2:34" ht="13.2" x14ac:dyDescent="0.25">
      <c r="B20" s="185"/>
      <c r="C20" s="185"/>
      <c r="D20" s="185"/>
      <c r="E20" s="185"/>
      <c r="F20" s="185"/>
      <c r="G20" s="185"/>
      <c r="H20" s="185"/>
      <c r="I20" s="185"/>
      <c r="J20" s="185"/>
      <c r="K20" s="185"/>
      <c r="L20" s="185"/>
      <c r="M20" s="185"/>
      <c r="N20" s="185"/>
      <c r="O20" s="185"/>
      <c r="P20" s="185"/>
      <c r="Q20" s="185"/>
      <c r="R20" s="185"/>
      <c r="S20" s="185"/>
      <c r="T20" s="185"/>
      <c r="U20" s="185"/>
      <c r="V20" s="185"/>
      <c r="W20" s="185"/>
      <c r="X20" s="185"/>
      <c r="Y20" s="185"/>
      <c r="Z20" s="185"/>
      <c r="AA20" s="185"/>
      <c r="AB20" s="185"/>
      <c r="AC20" s="185"/>
      <c r="AD20" s="185"/>
      <c r="AE20" s="185"/>
      <c r="AF20" s="185"/>
      <c r="AG20" s="185"/>
      <c r="AH20" s="43"/>
    </row>
    <row r="21" spans="2:34" ht="13.2" x14ac:dyDescent="0.25">
      <c r="B21" s="185"/>
      <c r="C21" s="185"/>
      <c r="D21" s="185"/>
      <c r="E21" s="185"/>
      <c r="F21" s="185"/>
      <c r="G21" s="185"/>
      <c r="H21" s="185"/>
      <c r="I21" s="185"/>
      <c r="J21" s="185"/>
      <c r="K21" s="185"/>
      <c r="L21" s="185"/>
      <c r="M21" s="185"/>
      <c r="N21" s="185"/>
      <c r="O21" s="185"/>
      <c r="P21" s="185"/>
      <c r="Q21" s="185"/>
      <c r="R21" s="185"/>
      <c r="S21" s="185"/>
      <c r="T21" s="185"/>
      <c r="U21" s="185"/>
      <c r="V21" s="185"/>
      <c r="W21" s="185"/>
      <c r="X21" s="185"/>
      <c r="Y21" s="185"/>
      <c r="Z21" s="185"/>
      <c r="AA21" s="185"/>
      <c r="AB21" s="185"/>
      <c r="AC21" s="185"/>
      <c r="AD21" s="185"/>
      <c r="AE21" s="185"/>
      <c r="AF21" s="185"/>
      <c r="AG21" s="185"/>
      <c r="AH21" s="43"/>
    </row>
    <row r="22" spans="2:34" ht="13.2" x14ac:dyDescent="0.25">
      <c r="B22" s="185"/>
      <c r="C22" s="185"/>
      <c r="D22" s="185"/>
      <c r="E22" s="185"/>
      <c r="F22" s="185"/>
      <c r="G22" s="185"/>
      <c r="H22" s="185"/>
      <c r="I22" s="185"/>
      <c r="J22" s="185"/>
      <c r="K22" s="185"/>
      <c r="L22" s="185"/>
      <c r="M22" s="185"/>
      <c r="N22" s="185"/>
      <c r="O22" s="185"/>
      <c r="P22" s="185"/>
      <c r="Q22" s="185"/>
      <c r="R22" s="185"/>
      <c r="S22" s="185"/>
      <c r="T22" s="185"/>
      <c r="U22" s="185"/>
      <c r="V22" s="185"/>
      <c r="W22" s="185"/>
      <c r="X22" s="185"/>
      <c r="Y22" s="185"/>
      <c r="Z22" s="185"/>
      <c r="AA22" s="185"/>
      <c r="AB22" s="185"/>
      <c r="AC22" s="185"/>
      <c r="AD22" s="185"/>
      <c r="AE22" s="185"/>
      <c r="AF22" s="185"/>
      <c r="AG22" s="185"/>
      <c r="AH22" s="43"/>
    </row>
    <row r="23" spans="2:34" ht="13.2" x14ac:dyDescent="0.25">
      <c r="B23" s="185"/>
      <c r="C23" s="185"/>
      <c r="D23" s="185"/>
      <c r="E23" s="185"/>
      <c r="F23" s="185"/>
      <c r="G23" s="185"/>
      <c r="H23" s="185"/>
      <c r="I23" s="185"/>
      <c r="J23" s="185"/>
      <c r="K23" s="185"/>
      <c r="L23" s="185"/>
      <c r="M23" s="185"/>
      <c r="N23" s="185"/>
      <c r="O23" s="185"/>
      <c r="P23" s="185"/>
      <c r="Q23" s="185"/>
      <c r="R23" s="185"/>
      <c r="S23" s="185"/>
      <c r="T23" s="185"/>
      <c r="U23" s="185"/>
      <c r="V23" s="185"/>
      <c r="W23" s="185"/>
      <c r="X23" s="185"/>
      <c r="Y23" s="185"/>
      <c r="Z23" s="185"/>
      <c r="AA23" s="185"/>
      <c r="AB23" s="185"/>
      <c r="AC23" s="185"/>
      <c r="AD23" s="185"/>
      <c r="AE23" s="185"/>
      <c r="AF23" s="185"/>
      <c r="AG23" s="185"/>
    </row>
    <row r="24" spans="2:34" ht="13.2" x14ac:dyDescent="0.25">
      <c r="B24" s="185"/>
      <c r="C24" s="185"/>
      <c r="D24" s="185"/>
      <c r="E24" s="185"/>
      <c r="F24" s="185"/>
      <c r="G24" s="185"/>
      <c r="H24" s="185"/>
      <c r="I24" s="185"/>
      <c r="J24" s="185"/>
      <c r="K24" s="185"/>
      <c r="L24" s="185"/>
      <c r="M24" s="185"/>
      <c r="N24" s="185"/>
      <c r="O24" s="185"/>
      <c r="P24" s="185"/>
      <c r="Q24" s="185"/>
      <c r="R24" s="185"/>
      <c r="S24" s="185"/>
      <c r="T24" s="185"/>
      <c r="U24" s="185"/>
      <c r="V24" s="185"/>
      <c r="W24" s="185"/>
      <c r="X24" s="185"/>
      <c r="Y24" s="185"/>
      <c r="Z24" s="185"/>
      <c r="AA24" s="185"/>
      <c r="AB24" s="185"/>
      <c r="AC24" s="185"/>
      <c r="AD24" s="185"/>
      <c r="AE24" s="185"/>
      <c r="AF24" s="185"/>
      <c r="AG24" s="185"/>
    </row>
    <row r="25" spans="2:34" ht="13.2" x14ac:dyDescent="0.25">
      <c r="B25" s="185"/>
      <c r="C25" s="185"/>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85"/>
      <c r="AB25" s="185"/>
      <c r="AC25" s="185"/>
      <c r="AD25" s="185"/>
      <c r="AE25" s="185"/>
      <c r="AF25" s="185"/>
      <c r="AG25" s="185"/>
    </row>
    <row r="26" spans="2:34" ht="13.2" x14ac:dyDescent="0.25">
      <c r="B26" s="185"/>
      <c r="C26" s="185"/>
      <c r="D26" s="185"/>
      <c r="E26" s="185"/>
      <c r="F26" s="185"/>
      <c r="G26" s="185"/>
      <c r="H26" s="185"/>
      <c r="I26" s="185"/>
      <c r="J26" s="185"/>
      <c r="K26" s="185"/>
      <c r="L26" s="185"/>
      <c r="M26" s="185"/>
      <c r="N26" s="185"/>
      <c r="O26" s="185"/>
      <c r="P26" s="185"/>
      <c r="Q26" s="185"/>
      <c r="R26" s="185"/>
      <c r="S26" s="185"/>
      <c r="T26" s="185"/>
      <c r="U26" s="185"/>
      <c r="V26" s="185"/>
      <c r="W26" s="185"/>
      <c r="X26" s="185"/>
      <c r="Y26" s="185"/>
      <c r="Z26" s="185"/>
      <c r="AA26" s="185"/>
      <c r="AB26" s="185"/>
      <c r="AC26" s="185"/>
      <c r="AD26" s="185"/>
      <c r="AE26" s="185"/>
      <c r="AF26" s="185"/>
      <c r="AG26" s="185"/>
    </row>
    <row r="27" spans="2:34" ht="13.2" x14ac:dyDescent="0.25">
      <c r="B27" s="185"/>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85"/>
      <c r="AB27" s="185"/>
      <c r="AC27" s="185"/>
      <c r="AD27" s="185"/>
      <c r="AE27" s="185"/>
      <c r="AF27" s="185"/>
      <c r="AG27" s="185"/>
    </row>
    <row r="28" spans="2:34" ht="13.2" x14ac:dyDescent="0.25">
      <c r="B28" s="185"/>
      <c r="C28" s="185"/>
      <c r="D28" s="185"/>
      <c r="E28" s="185"/>
      <c r="F28" s="185"/>
      <c r="G28" s="185"/>
      <c r="H28" s="185"/>
      <c r="I28" s="185"/>
      <c r="J28" s="185"/>
      <c r="K28" s="185"/>
      <c r="L28" s="185"/>
      <c r="M28" s="185"/>
      <c r="N28" s="185"/>
      <c r="O28" s="185"/>
      <c r="P28" s="185"/>
      <c r="Q28" s="185"/>
      <c r="R28" s="185"/>
      <c r="S28" s="185"/>
      <c r="T28" s="185"/>
      <c r="U28" s="185"/>
      <c r="V28" s="185"/>
      <c r="W28" s="185"/>
      <c r="X28" s="185"/>
      <c r="Y28" s="185"/>
      <c r="Z28" s="185"/>
      <c r="AA28" s="185"/>
      <c r="AB28" s="185"/>
      <c r="AC28" s="185"/>
      <c r="AD28" s="185"/>
      <c r="AE28" s="185"/>
      <c r="AF28" s="185"/>
      <c r="AG28" s="185"/>
    </row>
    <row r="29" spans="2:34" ht="13.2" x14ac:dyDescent="0.25">
      <c r="B29" s="185"/>
      <c r="C29" s="185"/>
      <c r="D29" s="185"/>
      <c r="E29" s="185"/>
      <c r="F29" s="185"/>
      <c r="G29" s="185"/>
      <c r="H29" s="185"/>
      <c r="I29" s="185"/>
      <c r="J29" s="185"/>
      <c r="K29" s="185"/>
      <c r="L29" s="185"/>
      <c r="M29" s="185"/>
      <c r="N29" s="185"/>
      <c r="O29" s="185"/>
      <c r="P29" s="185"/>
      <c r="Q29" s="185"/>
      <c r="R29" s="185"/>
      <c r="S29" s="185"/>
      <c r="T29" s="185"/>
      <c r="U29" s="185"/>
      <c r="V29" s="185"/>
      <c r="W29" s="185"/>
      <c r="X29" s="185"/>
      <c r="Y29" s="185"/>
      <c r="Z29" s="185"/>
      <c r="AA29" s="185"/>
      <c r="AB29" s="185"/>
      <c r="AC29" s="185"/>
      <c r="AD29" s="185"/>
      <c r="AE29" s="185"/>
      <c r="AF29" s="185"/>
      <c r="AG29" s="185"/>
    </row>
    <row r="30" spans="2:34" ht="13.2" x14ac:dyDescent="0.25">
      <c r="B30" s="185"/>
      <c r="C30" s="185"/>
      <c r="D30" s="185"/>
      <c r="E30" s="185"/>
      <c r="F30" s="185"/>
      <c r="G30" s="185"/>
      <c r="H30" s="185"/>
      <c r="I30" s="185"/>
      <c r="J30" s="185"/>
      <c r="K30" s="185"/>
      <c r="L30" s="185"/>
      <c r="M30" s="185"/>
      <c r="N30" s="185"/>
      <c r="O30" s="185"/>
      <c r="P30" s="185"/>
      <c r="Q30" s="185"/>
      <c r="R30" s="185"/>
      <c r="S30" s="185"/>
      <c r="T30" s="185"/>
      <c r="U30" s="185"/>
      <c r="V30" s="185"/>
      <c r="W30" s="185"/>
      <c r="X30" s="185"/>
      <c r="Y30" s="185"/>
      <c r="Z30" s="185"/>
      <c r="AA30" s="185"/>
      <c r="AB30" s="185"/>
      <c r="AC30" s="185"/>
      <c r="AD30" s="185"/>
      <c r="AE30" s="185"/>
      <c r="AF30" s="185"/>
      <c r="AG30" s="185"/>
    </row>
    <row r="31" spans="2:34" ht="13.2" x14ac:dyDescent="0.25">
      <c r="B31" s="185"/>
      <c r="C31" s="185"/>
      <c r="D31" s="185"/>
      <c r="E31" s="185"/>
      <c r="F31" s="185"/>
      <c r="G31" s="185"/>
      <c r="H31" s="185"/>
      <c r="I31" s="185"/>
      <c r="J31" s="185"/>
      <c r="K31" s="185"/>
      <c r="L31" s="185"/>
      <c r="M31" s="185"/>
      <c r="N31" s="185"/>
      <c r="O31" s="185"/>
      <c r="P31" s="185"/>
      <c r="Q31" s="185"/>
      <c r="R31" s="185"/>
      <c r="S31" s="185"/>
      <c r="T31" s="185"/>
      <c r="U31" s="185"/>
      <c r="V31" s="185"/>
      <c r="W31" s="185"/>
      <c r="X31" s="185"/>
      <c r="Y31" s="185"/>
      <c r="Z31" s="185"/>
      <c r="AA31" s="185"/>
      <c r="AB31" s="185"/>
      <c r="AC31" s="185"/>
      <c r="AD31" s="185"/>
      <c r="AE31" s="185"/>
      <c r="AF31" s="185"/>
      <c r="AG31" s="185"/>
    </row>
    <row r="32" spans="2:34" ht="13.2" x14ac:dyDescent="0.25">
      <c r="B32" s="185"/>
      <c r="C32" s="185"/>
      <c r="D32" s="185"/>
      <c r="E32" s="185"/>
      <c r="F32" s="185"/>
      <c r="G32" s="185"/>
      <c r="H32" s="185"/>
      <c r="I32" s="185"/>
      <c r="J32" s="185"/>
      <c r="K32" s="185"/>
      <c r="L32" s="185"/>
      <c r="M32" s="185"/>
      <c r="N32" s="185"/>
      <c r="O32" s="185"/>
      <c r="P32" s="185"/>
      <c r="Q32" s="185"/>
      <c r="R32" s="185"/>
      <c r="S32" s="185"/>
      <c r="T32" s="185"/>
      <c r="U32" s="185"/>
      <c r="V32" s="185"/>
      <c r="W32" s="185"/>
      <c r="X32" s="185"/>
      <c r="Y32" s="185"/>
      <c r="Z32" s="185"/>
      <c r="AA32" s="185"/>
      <c r="AB32" s="185"/>
      <c r="AC32" s="185"/>
      <c r="AD32" s="185"/>
      <c r="AE32" s="185"/>
      <c r="AF32" s="185"/>
      <c r="AG32" s="185"/>
    </row>
    <row r="33" spans="2:33" ht="13.2" x14ac:dyDescent="0.25">
      <c r="B33" s="185"/>
      <c r="C33" s="185"/>
      <c r="D33" s="185"/>
      <c r="E33" s="185"/>
      <c r="F33" s="185"/>
      <c r="G33" s="185"/>
      <c r="H33" s="185"/>
      <c r="I33" s="185"/>
      <c r="J33" s="185"/>
      <c r="K33" s="185"/>
      <c r="L33" s="185"/>
      <c r="M33" s="185"/>
      <c r="N33" s="185"/>
      <c r="O33" s="185"/>
      <c r="P33" s="185"/>
      <c r="Q33" s="185"/>
      <c r="R33" s="185"/>
      <c r="S33" s="185"/>
      <c r="T33" s="185"/>
      <c r="U33" s="185"/>
      <c r="V33" s="185"/>
      <c r="W33" s="185"/>
      <c r="X33" s="185"/>
      <c r="Y33" s="185"/>
      <c r="Z33" s="185"/>
      <c r="AA33" s="185"/>
      <c r="AB33" s="185"/>
      <c r="AC33" s="185"/>
      <c r="AD33" s="185"/>
      <c r="AE33" s="185"/>
      <c r="AF33" s="185"/>
      <c r="AG33" s="185"/>
    </row>
    <row r="34" spans="2:33" ht="13.2" x14ac:dyDescent="0.25">
      <c r="B34" s="185"/>
      <c r="C34" s="185"/>
      <c r="D34" s="185"/>
      <c r="E34" s="185"/>
      <c r="F34" s="185"/>
      <c r="G34" s="185"/>
      <c r="H34" s="185"/>
      <c r="I34" s="185"/>
      <c r="J34" s="185"/>
      <c r="K34" s="185"/>
      <c r="L34" s="185"/>
      <c r="M34" s="185"/>
      <c r="N34" s="185"/>
      <c r="O34" s="185"/>
      <c r="P34" s="185"/>
      <c r="Q34" s="185"/>
      <c r="R34" s="185"/>
      <c r="S34" s="185"/>
      <c r="T34" s="185"/>
      <c r="U34" s="185"/>
      <c r="V34" s="185"/>
      <c r="W34" s="185"/>
      <c r="X34" s="185"/>
      <c r="Y34" s="185"/>
      <c r="Z34" s="185"/>
      <c r="AA34" s="185"/>
      <c r="AB34" s="185"/>
      <c r="AC34" s="185"/>
      <c r="AD34" s="185"/>
      <c r="AE34" s="185"/>
      <c r="AF34" s="185"/>
      <c r="AG34" s="185"/>
    </row>
    <row r="35" spans="2:33" ht="12.75" customHeight="1" x14ac:dyDescent="0.25">
      <c r="B35" s="185"/>
      <c r="C35" s="185"/>
      <c r="D35" s="185"/>
      <c r="E35" s="185"/>
      <c r="F35" s="185"/>
      <c r="G35" s="185"/>
      <c r="H35" s="185"/>
      <c r="I35" s="185"/>
      <c r="J35" s="185"/>
      <c r="K35" s="185"/>
      <c r="L35" s="185"/>
      <c r="M35" s="185"/>
      <c r="N35" s="185"/>
      <c r="O35" s="185"/>
      <c r="P35" s="185"/>
      <c r="Q35" s="185"/>
      <c r="R35" s="185"/>
      <c r="S35" s="185"/>
      <c r="T35" s="185"/>
      <c r="U35" s="185"/>
      <c r="V35" s="185"/>
      <c r="W35" s="185"/>
      <c r="X35" s="185"/>
      <c r="Y35" s="185"/>
      <c r="Z35" s="185"/>
      <c r="AA35" s="185"/>
      <c r="AB35" s="185"/>
      <c r="AC35" s="185"/>
      <c r="AD35" s="185"/>
      <c r="AE35" s="185"/>
      <c r="AF35" s="185"/>
      <c r="AG35" s="185"/>
    </row>
    <row r="36" spans="2:33" ht="12.75" customHeight="1" x14ac:dyDescent="0.25">
      <c r="B36" s="185"/>
      <c r="C36" s="185"/>
      <c r="D36" s="185"/>
      <c r="E36" s="185"/>
      <c r="F36" s="185"/>
      <c r="G36" s="185"/>
      <c r="H36" s="185"/>
      <c r="I36" s="185"/>
      <c r="J36" s="185"/>
      <c r="K36" s="185"/>
      <c r="L36" s="185"/>
      <c r="M36" s="185"/>
      <c r="N36" s="185"/>
      <c r="O36" s="185"/>
      <c r="P36" s="185"/>
      <c r="Q36" s="185"/>
      <c r="R36" s="185"/>
      <c r="S36" s="185"/>
      <c r="T36" s="185"/>
      <c r="U36" s="185"/>
      <c r="V36" s="185"/>
      <c r="W36" s="185"/>
      <c r="X36" s="185"/>
      <c r="Y36" s="185"/>
      <c r="Z36" s="185"/>
      <c r="AA36" s="185"/>
      <c r="AB36" s="185"/>
      <c r="AC36" s="185"/>
      <c r="AD36" s="185"/>
      <c r="AE36" s="185"/>
      <c r="AF36" s="185"/>
      <c r="AG36" s="185"/>
    </row>
    <row r="37" spans="2:33" ht="12.75" customHeight="1" x14ac:dyDescent="0.25">
      <c r="B37" s="185"/>
      <c r="C37" s="185"/>
      <c r="D37" s="185"/>
      <c r="E37" s="185"/>
      <c r="F37" s="185"/>
      <c r="G37" s="185"/>
      <c r="H37" s="185"/>
      <c r="I37" s="185"/>
      <c r="J37" s="185"/>
      <c r="K37" s="185"/>
      <c r="L37" s="185"/>
      <c r="M37" s="185"/>
      <c r="N37" s="185"/>
      <c r="O37" s="185"/>
      <c r="P37" s="185"/>
      <c r="Q37" s="185"/>
      <c r="R37" s="185"/>
      <c r="S37" s="185"/>
      <c r="T37" s="185"/>
      <c r="U37" s="185"/>
      <c r="V37" s="185"/>
      <c r="W37" s="185"/>
      <c r="X37" s="185"/>
      <c r="Y37" s="185"/>
      <c r="Z37" s="185"/>
      <c r="AA37" s="185"/>
      <c r="AB37" s="185"/>
      <c r="AC37" s="185"/>
      <c r="AD37" s="185"/>
      <c r="AE37" s="185"/>
      <c r="AF37" s="185"/>
      <c r="AG37" s="185"/>
    </row>
    <row r="38" spans="2:33" ht="12.75" customHeight="1" x14ac:dyDescent="0.25"/>
    <row r="39" spans="2:33" ht="12.75" customHeight="1" x14ac:dyDescent="0.25"/>
    <row r="40" spans="2:33" ht="12.75" customHeight="1" x14ac:dyDescent="0.25"/>
    <row r="41" spans="2:33" ht="12.75" customHeight="1" x14ac:dyDescent="0.25"/>
    <row r="42" spans="2:33" ht="12.75" customHeight="1" x14ac:dyDescent="0.25"/>
    <row r="43" spans="2:33" ht="12.75" customHeight="1" x14ac:dyDescent="0.25"/>
    <row r="44" spans="2:33" ht="12.75" customHeight="1" x14ac:dyDescent="0.25"/>
    <row r="45" spans="2:33" ht="12.75" customHeight="1" x14ac:dyDescent="0.25"/>
    <row r="46" spans="2:33" ht="12.75" customHeight="1" x14ac:dyDescent="0.25"/>
    <row r="47" spans="2:33" ht="12.75" customHeight="1" x14ac:dyDescent="0.25"/>
    <row r="48" spans="2:33"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1.7&amp;R&amp;P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47"/>
  <sheetViews>
    <sheetView tabSelected="1" zoomScaleNormal="100" workbookViewId="0">
      <selection activeCell="F11" sqref="F11"/>
    </sheetView>
  </sheetViews>
  <sheetFormatPr defaultRowHeight="13.2" x14ac:dyDescent="0.25"/>
  <cols>
    <col min="1" max="1" width="2.5546875" customWidth="1"/>
    <col min="2" max="2" width="4.109375" customWidth="1"/>
    <col min="3" max="3" width="18.6640625" customWidth="1"/>
    <col min="4" max="4" width="43.5546875" customWidth="1"/>
    <col min="5" max="5" width="14" customWidth="1"/>
    <col min="6" max="6" width="37" customWidth="1"/>
    <col min="7" max="7" width="11.6640625" customWidth="1"/>
    <col min="8" max="8" width="7.5546875" bestFit="1" customWidth="1"/>
    <col min="9" max="9" width="13.88671875" customWidth="1"/>
    <col min="10" max="10" width="34.88671875" customWidth="1"/>
    <col min="12" max="12" width="17.109375" customWidth="1"/>
    <col min="13" max="13" width="11.44140625" customWidth="1"/>
    <col min="14" max="14" width="18.33203125" customWidth="1"/>
  </cols>
  <sheetData>
    <row r="1" spans="2:14" ht="13.8" thickBot="1" x14ac:dyDescent="0.3"/>
    <row r="2" spans="2:14" ht="43.8" thickBot="1" x14ac:dyDescent="0.3">
      <c r="B2" s="59" t="s">
        <v>37</v>
      </c>
      <c r="C2" s="60" t="s">
        <v>38</v>
      </c>
      <c r="D2" s="61" t="s">
        <v>68</v>
      </c>
      <c r="E2" s="61" t="s">
        <v>109</v>
      </c>
      <c r="F2" s="61" t="s">
        <v>39</v>
      </c>
      <c r="G2" s="61" t="s">
        <v>397</v>
      </c>
      <c r="H2" s="61" t="s">
        <v>70</v>
      </c>
      <c r="I2" s="60" t="s">
        <v>11</v>
      </c>
      <c r="J2" s="60" t="s">
        <v>69</v>
      </c>
      <c r="K2" s="60" t="s">
        <v>59</v>
      </c>
      <c r="L2" s="62" t="s">
        <v>40</v>
      </c>
      <c r="M2" s="62" t="s">
        <v>71</v>
      </c>
      <c r="N2" s="240" t="s">
        <v>396</v>
      </c>
    </row>
    <row r="3" spans="2:14" s="85" customFormat="1" ht="14.4" x14ac:dyDescent="0.25">
      <c r="B3" s="84">
        <v>1</v>
      </c>
      <c r="C3" s="88" t="s">
        <v>134</v>
      </c>
      <c r="D3" s="92" t="str">
        <f ca="1">IF(C3&lt;&gt;"",INDIRECT(C3&amp;"!B3"),"")</f>
        <v>ARCH_SW_MAIN_0000, ARCH_SW_MAIN_0001, ARCH_SW_MAIN_0003</v>
      </c>
      <c r="E3" s="93" t="str">
        <f ca="1">IF(C3&lt;&gt;"",INDIRECT(C3&amp;"!B5"),"")</f>
        <v>Nominal</v>
      </c>
      <c r="F3" s="93" t="str">
        <f ca="1">IF(C3&lt;&gt;"",INDIRECT(C3&amp;"!B1"),"")</f>
        <v>Test ECU STARTUP state sequence diagram</v>
      </c>
      <c r="G3" s="86"/>
      <c r="H3" s="87">
        <v>1</v>
      </c>
      <c r="I3" s="107" t="s">
        <v>393</v>
      </c>
      <c r="J3" s="104"/>
      <c r="K3" s="106" t="str">
        <f ca="1">IF(C3&lt;&gt;"",INDIRECT(C3&amp;"!B9"),"")</f>
        <v>Nok</v>
      </c>
      <c r="L3" s="108" t="s">
        <v>391</v>
      </c>
      <c r="M3" s="109">
        <v>813759</v>
      </c>
      <c r="N3" s="110"/>
    </row>
    <row r="4" spans="2:14" ht="14.4" x14ac:dyDescent="0.25">
      <c r="B4" s="64">
        <v>2</v>
      </c>
      <c r="C4" s="88" t="s">
        <v>196</v>
      </c>
      <c r="D4" s="92" t="str">
        <f ca="1">IF(C4&lt;&gt;"",INDIRECT(C4&amp;"!B3"),"")</f>
        <v>ARCH_SW_MAIN_0002, ARCH_SW_MAIN_0004, ARCH_SW_MAIN_0006, ARCH_SW_MAIN_0005</v>
      </c>
      <c r="E4" s="93" t="str">
        <f ca="1">IF(C4&lt;&gt;"",INDIRECT(C4&amp;"!B5"),"")</f>
        <v>Nominal</v>
      </c>
      <c r="F4" s="93" t="str">
        <f ca="1">IF(C4&lt;&gt;"",INDIRECT(C4&amp;"!B1"),"")</f>
        <v>Test ECU RUN state sequence diagram</v>
      </c>
      <c r="G4" s="86"/>
      <c r="H4" s="87">
        <v>1</v>
      </c>
      <c r="I4" s="111" t="s">
        <v>393</v>
      </c>
      <c r="J4" s="112"/>
      <c r="K4" s="91" t="str">
        <f ca="1">IF(C4&lt;&gt;"",INDIRECT(C4&amp;"!B9"),"")</f>
        <v>Nok</v>
      </c>
      <c r="L4" s="113" t="s">
        <v>391</v>
      </c>
      <c r="M4" s="113">
        <v>814537</v>
      </c>
      <c r="N4" s="114"/>
    </row>
    <row r="5" spans="2:14" ht="14.4" x14ac:dyDescent="0.25">
      <c r="B5" s="64">
        <v>3</v>
      </c>
      <c r="C5" s="88" t="s">
        <v>197</v>
      </c>
      <c r="D5" s="92" t="str">
        <f t="shared" ref="D5:D14" ca="1" si="0">IF(C5&lt;&gt;"",INDIRECT(C5&amp;"!B3"),"")</f>
        <v>ARCH_SW_MAIN_000, ARCH_SW_MAIN_0007, ARCH_SW_MAIN_0010</v>
      </c>
      <c r="E5" s="93" t="str">
        <f t="shared" ref="E5:E14" ca="1" si="1">IF(C5&lt;&gt;"",INDIRECT(C5&amp;"!B5"),"")</f>
        <v>Nominal</v>
      </c>
      <c r="F5" s="93" t="str">
        <f t="shared" ref="F5:F14" ca="1" si="2">IF(C5&lt;&gt;"",INDIRECT(C5&amp;"!B1"),"")</f>
        <v>Test ECU SLEEP state sequence diagram</v>
      </c>
      <c r="G5" s="86"/>
      <c r="H5" s="87">
        <v>1</v>
      </c>
      <c r="I5" s="111" t="s">
        <v>393</v>
      </c>
      <c r="J5" s="112"/>
      <c r="K5" s="91" t="str">
        <f t="shared" ref="K5:K14" ca="1" si="3">IF(C5&lt;&gt;"",INDIRECT(C5&amp;"!B9"),"")</f>
        <v>Ok</v>
      </c>
      <c r="L5" s="113" t="s">
        <v>391</v>
      </c>
      <c r="M5" s="113"/>
      <c r="N5" s="114"/>
    </row>
    <row r="6" spans="2:14" ht="14.4" x14ac:dyDescent="0.25">
      <c r="B6" s="64">
        <v>4</v>
      </c>
      <c r="C6" s="88" t="s">
        <v>198</v>
      </c>
      <c r="D6" s="92" t="str">
        <f t="shared" ca="1" si="0"/>
        <v>ARCH_SW_MAIN_0008</v>
      </c>
      <c r="E6" s="93" t="str">
        <f t="shared" ca="1" si="1"/>
        <v>Nominal</v>
      </c>
      <c r="F6" s="93" t="str">
        <f t="shared" ca="1" si="2"/>
        <v>Test ECU SLEEP state trasition to RUN</v>
      </c>
      <c r="G6" s="86" t="s">
        <v>398</v>
      </c>
      <c r="H6" s="87">
        <v>1</v>
      </c>
      <c r="I6" s="111" t="s">
        <v>393</v>
      </c>
      <c r="J6" s="112"/>
      <c r="K6" s="91" t="str">
        <f t="shared" ca="1" si="3"/>
        <v>Ok</v>
      </c>
      <c r="L6" s="113" t="s">
        <v>391</v>
      </c>
      <c r="M6" s="113"/>
      <c r="N6" s="114"/>
    </row>
    <row r="7" spans="2:14" ht="14.4" x14ac:dyDescent="0.25">
      <c r="B7" s="64">
        <v>5</v>
      </c>
      <c r="C7" s="88" t="s">
        <v>235</v>
      </c>
      <c r="D7" s="92" t="str">
        <f t="shared" ca="1" si="0"/>
        <v>ARCH_SW_MAIN_0009</v>
      </c>
      <c r="E7" s="93" t="str">
        <f t="shared" ca="1" si="1"/>
        <v>Nominal</v>
      </c>
      <c r="F7" s="93" t="str">
        <f t="shared" ca="1" si="2"/>
        <v>Test ECU SLEEP state trasition to STARTUP</v>
      </c>
      <c r="G7" s="86" t="s">
        <v>398</v>
      </c>
      <c r="H7" s="87">
        <v>1</v>
      </c>
      <c r="I7" s="111" t="s">
        <v>393</v>
      </c>
      <c r="J7" s="112"/>
      <c r="K7" s="91" t="str">
        <f t="shared" ca="1" si="3"/>
        <v>Ok</v>
      </c>
      <c r="L7" s="113" t="s">
        <v>391</v>
      </c>
      <c r="M7" s="113"/>
      <c r="N7" s="114"/>
    </row>
    <row r="8" spans="2:14" ht="14.4" x14ac:dyDescent="0.25">
      <c r="B8" s="64">
        <v>6</v>
      </c>
      <c r="C8" s="88" t="s">
        <v>236</v>
      </c>
      <c r="D8" s="92" t="str">
        <f t="shared" ca="1" si="0"/>
        <v>ARCH_SW_OS_0050, ARCH_SW_OS_0051, ARCH_SW_OS_0052, ARCH_SW_OS_0053, ARCH_SW_OS_0054, ARCH_SW_OS_0057, ARCH_SW_OS_0058, ARCH_SW_OS_0059, ARCH_SW_OS_0060, ARCH_SW_OS_0061, ARCH_SW_OS_0065</v>
      </c>
      <c r="E8" s="93" t="str">
        <f t="shared" ca="1" si="1"/>
        <v>Nominal</v>
      </c>
      <c r="F8" s="93" t="str">
        <f t="shared" ca="1" si="2"/>
        <v>Test all TASKs priorities</v>
      </c>
      <c r="G8" s="86"/>
      <c r="H8" s="87">
        <v>1</v>
      </c>
      <c r="I8" s="111" t="s">
        <v>393</v>
      </c>
      <c r="J8" s="112"/>
      <c r="K8" s="91" t="str">
        <f t="shared" ca="1" si="3"/>
        <v>Ok</v>
      </c>
      <c r="L8" s="113" t="s">
        <v>391</v>
      </c>
      <c r="M8" s="113"/>
      <c r="N8" s="114"/>
    </row>
    <row r="9" spans="2:14" ht="14.4" x14ac:dyDescent="0.25">
      <c r="B9" s="64">
        <v>7</v>
      </c>
      <c r="C9" s="88" t="s">
        <v>237</v>
      </c>
      <c r="D9" s="92" t="str">
        <f t="shared" ca="1" si="0"/>
        <v>Figure 8: ApplInitTask_Core0</v>
      </c>
      <c r="E9" s="93" t="str">
        <f t="shared" ca="1" si="1"/>
        <v>Nominal</v>
      </c>
      <c r="F9" s="93" t="str">
        <f t="shared" ca="1" si="2"/>
        <v>Test 'ApplInitTask_Core0' sequence diagram</v>
      </c>
      <c r="G9" s="86" t="s">
        <v>398</v>
      </c>
      <c r="H9" s="87">
        <v>1</v>
      </c>
      <c r="I9" s="111" t="s">
        <v>393</v>
      </c>
      <c r="J9" s="112"/>
      <c r="K9" s="91" t="str">
        <f t="shared" ca="1" si="3"/>
        <v>Ok</v>
      </c>
      <c r="L9" s="113" t="s">
        <v>391</v>
      </c>
      <c r="M9" s="113"/>
      <c r="N9" s="114"/>
    </row>
    <row r="10" spans="2:14" ht="14.4" x14ac:dyDescent="0.25">
      <c r="B10" s="64">
        <v>8</v>
      </c>
      <c r="C10" s="88" t="s">
        <v>238</v>
      </c>
      <c r="D10" s="92" t="str">
        <f t="shared" ca="1" si="0"/>
        <v>Figure 9: OsTask_ALV_BeltFunctionAlgo</v>
      </c>
      <c r="E10" s="93" t="str">
        <f t="shared" ca="1" si="1"/>
        <v>Nominal</v>
      </c>
      <c r="F10" s="93" t="str">
        <f t="shared" ca="1" si="2"/>
        <v>Test 'OsTask_ALV_BeltFunctionAlgo' sequence diagram</v>
      </c>
      <c r="G10" s="86" t="s">
        <v>398</v>
      </c>
      <c r="H10" s="87">
        <v>1</v>
      </c>
      <c r="I10" s="111" t="s">
        <v>393</v>
      </c>
      <c r="J10" s="112"/>
      <c r="K10" s="91" t="str">
        <f t="shared" ca="1" si="3"/>
        <v>Ok</v>
      </c>
      <c r="L10" s="113" t="s">
        <v>391</v>
      </c>
      <c r="M10" s="113"/>
      <c r="N10" s="114"/>
    </row>
    <row r="11" spans="2:14" ht="14.4" x14ac:dyDescent="0.25">
      <c r="B11" s="64">
        <v>9</v>
      </c>
      <c r="C11" s="88" t="s">
        <v>239</v>
      </c>
      <c r="D11" s="92" t="str">
        <f t="shared" ca="1" si="0"/>
        <v>Figure 10: ApplTask_Core0_LowPrio</v>
      </c>
      <c r="E11" s="93" t="str">
        <f t="shared" ca="1" si="1"/>
        <v>Nominal</v>
      </c>
      <c r="F11" s="93" t="str">
        <f t="shared" ca="1" si="2"/>
        <v>Test 'ApplTask_Core0_LowPrio' sequence diagram</v>
      </c>
      <c r="G11" s="86" t="s">
        <v>398</v>
      </c>
      <c r="H11" s="87">
        <v>1</v>
      </c>
      <c r="I11" s="111" t="s">
        <v>393</v>
      </c>
      <c r="J11" s="112"/>
      <c r="K11" s="91" t="str">
        <f t="shared" ca="1" si="3"/>
        <v>Ok</v>
      </c>
      <c r="L11" s="113" t="s">
        <v>391</v>
      </c>
      <c r="M11" s="113"/>
      <c r="N11" s="114"/>
    </row>
    <row r="12" spans="2:14" ht="14.4" x14ac:dyDescent="0.25">
      <c r="B12" s="63">
        <v>10</v>
      </c>
      <c r="C12" s="88" t="s">
        <v>240</v>
      </c>
      <c r="D12" s="92" t="str">
        <f t="shared" ca="1" si="0"/>
        <v>ARCH_SW_OS_00200, ARCH_SW_OS_00201, ARCH_SW_OS_00202</v>
      </c>
      <c r="E12" s="93" t="str">
        <f t="shared" ca="1" si="1"/>
        <v>Nominal</v>
      </c>
      <c r="F12" s="93" t="str">
        <f t="shared" ca="1" si="2"/>
        <v>Test all TASKs priorities</v>
      </c>
      <c r="G12" s="86" t="s">
        <v>398</v>
      </c>
      <c r="H12" s="87">
        <v>1</v>
      </c>
      <c r="I12" s="111" t="s">
        <v>393</v>
      </c>
      <c r="J12" s="112"/>
      <c r="K12" s="91" t="str">
        <f t="shared" ca="1" si="3"/>
        <v>Ok</v>
      </c>
      <c r="L12" s="113" t="s">
        <v>391</v>
      </c>
      <c r="M12" s="113"/>
      <c r="N12" s="114"/>
    </row>
    <row r="13" spans="2:14" ht="14.4" x14ac:dyDescent="0.25">
      <c r="B13" s="64">
        <v>11</v>
      </c>
      <c r="C13" s="88" t="s">
        <v>241</v>
      </c>
      <c r="D13" s="92" t="str">
        <f t="shared" ca="1" si="0"/>
        <v>ARCH_SW_OS_0300, ARCH_SW_OS_0301, ARCH_SW_OS_0302, ARCH_SW_OS_0303, ARCH_SW_OS_0304, ARCH_SW_OS_0305, ARCH_SW_OS_0306, ARCH_SW_OS_0307, ARCH_SW_OS_0308, ARCH_SW_OS_0309, ARCH_SW_OS_0310, ARCH_SW_OS_00400, ARCH_SW_OS_00401, ARCH_SW_OS_00402</v>
      </c>
      <c r="E13" s="93" t="str">
        <f t="shared" ca="1" si="1"/>
        <v>Nominal</v>
      </c>
      <c r="F13" s="93" t="str">
        <f t="shared" ca="1" si="2"/>
        <v>Test CPU load metrics</v>
      </c>
      <c r="G13" s="86" t="s">
        <v>398</v>
      </c>
      <c r="H13" s="87">
        <v>1</v>
      </c>
      <c r="I13" s="111" t="s">
        <v>393</v>
      </c>
      <c r="J13" s="112"/>
      <c r="K13" s="91" t="str">
        <f t="shared" ca="1" si="3"/>
        <v>Ok</v>
      </c>
      <c r="L13" s="113" t="s">
        <v>391</v>
      </c>
      <c r="M13" s="113"/>
      <c r="N13" s="114"/>
    </row>
    <row r="14" spans="2:14" ht="14.4" x14ac:dyDescent="0.25">
      <c r="B14" s="64">
        <v>12</v>
      </c>
      <c r="C14" s="88" t="s">
        <v>329</v>
      </c>
      <c r="D14" s="92" t="str">
        <f t="shared" ca="1" si="0"/>
        <v>ARCH_SW_CIL_9997, ARCH_SW_CIL_9998, ARCH_SW_DIA_9997, ARCH_SW_DIA_9998, ARCH_SW_MMG_9997, ARCH_SW_MMG_9998, ARCH_SW_NVP_9997, ARCH_SW_NVP_9998, ARCH_SW_PAL_9997, ARCH_SW_PAL_9998, ARCH_SW_PMP_9997, ARCH_SW_PMP_9998, ARCH_SW_EOL_9997, ARCH_SW_EOL_9998, ARCH_SW_ERH_9997, ARCH_SW_ERH_9998, ARCH_SW_BMM_9997, ARCH_SW_BMM_9998, ARCH_SW_ATM_9997, ARCH_SW_ATM_9998</v>
      </c>
      <c r="E14" s="93" t="str">
        <f t="shared" ca="1" si="1"/>
        <v>Nominal</v>
      </c>
      <c r="F14" s="93" t="str">
        <f t="shared" ca="1" si="2"/>
        <v>Test RAM/ROM consumption on each SWC</v>
      </c>
      <c r="G14" s="86" t="s">
        <v>398</v>
      </c>
      <c r="H14" s="87">
        <v>1</v>
      </c>
      <c r="I14" s="111" t="s">
        <v>393</v>
      </c>
      <c r="J14" s="112"/>
      <c r="K14" s="91" t="str">
        <f t="shared" ca="1" si="3"/>
        <v>Nok</v>
      </c>
      <c r="L14" s="113" t="s">
        <v>391</v>
      </c>
      <c r="M14" s="113">
        <v>814537</v>
      </c>
      <c r="N14" s="114"/>
    </row>
    <row r="15" spans="2:14" ht="14.4" x14ac:dyDescent="0.25">
      <c r="B15" s="64">
        <v>13</v>
      </c>
      <c r="C15" s="65"/>
      <c r="D15" s="66" t="str">
        <f t="shared" ref="D15:D47" ca="1" si="4">IF(C15&lt;&gt;"",INDIRECT(C15&amp;"!B5"),"")</f>
        <v/>
      </c>
      <c r="E15" s="66" t="str">
        <f t="shared" ref="E15:E47" ca="1" si="5">IF(C15&lt;&gt;"",INDIRECT(C15&amp;"!B7"),"")</f>
        <v/>
      </c>
      <c r="F15" s="66" t="str">
        <f t="shared" ref="F15:F47" ca="1" si="6">IF(C15&lt;&gt;"",INDIRECT(C15&amp;"!B1"),"")</f>
        <v/>
      </c>
      <c r="G15" s="66"/>
      <c r="H15" s="66"/>
      <c r="I15" s="115"/>
      <c r="J15" s="116"/>
      <c r="K15" s="91" t="str">
        <f t="shared" ref="K15:K47" ca="1" si="7">IF(C15&lt;&gt;"",INDIRECT(C15&amp;"!B11"),"")</f>
        <v/>
      </c>
      <c r="L15" s="65"/>
      <c r="M15" s="65"/>
      <c r="N15" s="117"/>
    </row>
    <row r="16" spans="2:14" ht="14.4" x14ac:dyDescent="0.25">
      <c r="B16" s="64">
        <v>14</v>
      </c>
      <c r="C16" s="65"/>
      <c r="D16" s="66" t="str">
        <f t="shared" ca="1" si="4"/>
        <v/>
      </c>
      <c r="E16" s="66" t="str">
        <f t="shared" ca="1" si="5"/>
        <v/>
      </c>
      <c r="F16" s="66" t="str">
        <f t="shared" ca="1" si="6"/>
        <v/>
      </c>
      <c r="G16" s="66"/>
      <c r="H16" s="66"/>
      <c r="I16" s="67"/>
      <c r="J16" s="68"/>
      <c r="K16" s="91" t="str">
        <f t="shared" ca="1" si="7"/>
        <v/>
      </c>
      <c r="L16" s="90"/>
      <c r="M16" s="83"/>
      <c r="N16" s="69"/>
    </row>
    <row r="17" spans="2:14" ht="14.4" x14ac:dyDescent="0.25">
      <c r="B17" s="64">
        <v>15</v>
      </c>
      <c r="C17" s="65"/>
      <c r="D17" s="66" t="str">
        <f t="shared" ca="1" si="4"/>
        <v/>
      </c>
      <c r="E17" s="66" t="str">
        <f t="shared" ca="1" si="5"/>
        <v/>
      </c>
      <c r="F17" s="66" t="str">
        <f t="shared" ca="1" si="6"/>
        <v/>
      </c>
      <c r="G17" s="66"/>
      <c r="H17" s="66"/>
      <c r="I17" s="67"/>
      <c r="J17" s="68"/>
      <c r="K17" s="91" t="str">
        <f t="shared" ca="1" si="7"/>
        <v/>
      </c>
      <c r="L17" s="90"/>
      <c r="M17" s="83"/>
      <c r="N17" s="69"/>
    </row>
    <row r="18" spans="2:14" ht="14.4" x14ac:dyDescent="0.25">
      <c r="B18" s="64">
        <v>16</v>
      </c>
      <c r="C18" s="65"/>
      <c r="D18" s="66" t="str">
        <f t="shared" ca="1" si="4"/>
        <v/>
      </c>
      <c r="E18" s="66" t="str">
        <f t="shared" ca="1" si="5"/>
        <v/>
      </c>
      <c r="F18" s="66" t="str">
        <f t="shared" ca="1" si="6"/>
        <v/>
      </c>
      <c r="G18" s="66"/>
      <c r="H18" s="66"/>
      <c r="I18" s="67"/>
      <c r="J18" s="68"/>
      <c r="K18" s="91" t="str">
        <f t="shared" ca="1" si="7"/>
        <v/>
      </c>
      <c r="L18" s="90"/>
      <c r="M18" s="83"/>
      <c r="N18" s="69"/>
    </row>
    <row r="19" spans="2:14" ht="14.4" x14ac:dyDescent="0.25">
      <c r="B19" s="64">
        <v>17</v>
      </c>
      <c r="C19" s="65"/>
      <c r="D19" s="66" t="str">
        <f t="shared" ca="1" si="4"/>
        <v/>
      </c>
      <c r="E19" s="66" t="str">
        <f t="shared" ca="1" si="5"/>
        <v/>
      </c>
      <c r="F19" s="66" t="str">
        <f t="shared" ca="1" si="6"/>
        <v/>
      </c>
      <c r="G19" s="66"/>
      <c r="H19" s="66"/>
      <c r="I19" s="67"/>
      <c r="J19" s="68"/>
      <c r="K19" s="91" t="str">
        <f t="shared" ca="1" si="7"/>
        <v/>
      </c>
      <c r="L19" s="90"/>
      <c r="M19" s="83"/>
      <c r="N19" s="69"/>
    </row>
    <row r="20" spans="2:14" ht="14.4" x14ac:dyDescent="0.25">
      <c r="B20" s="64">
        <v>18</v>
      </c>
      <c r="C20" s="65"/>
      <c r="D20" s="66" t="str">
        <f t="shared" ca="1" si="4"/>
        <v/>
      </c>
      <c r="E20" s="66" t="str">
        <f t="shared" ca="1" si="5"/>
        <v/>
      </c>
      <c r="F20" s="66" t="str">
        <f t="shared" ca="1" si="6"/>
        <v/>
      </c>
      <c r="G20" s="66"/>
      <c r="H20" s="66"/>
      <c r="I20" s="67"/>
      <c r="J20" s="68"/>
      <c r="K20" s="91" t="str">
        <f t="shared" ca="1" si="7"/>
        <v/>
      </c>
      <c r="L20" s="90"/>
      <c r="M20" s="83"/>
      <c r="N20" s="69"/>
    </row>
    <row r="21" spans="2:14" ht="14.4" x14ac:dyDescent="0.25">
      <c r="B21" s="63">
        <v>19</v>
      </c>
      <c r="C21" s="65"/>
      <c r="D21" s="66" t="str">
        <f t="shared" ca="1" si="4"/>
        <v/>
      </c>
      <c r="E21" s="66" t="str">
        <f t="shared" ca="1" si="5"/>
        <v/>
      </c>
      <c r="F21" s="66" t="str">
        <f t="shared" ca="1" si="6"/>
        <v/>
      </c>
      <c r="G21" s="66"/>
      <c r="H21" s="66"/>
      <c r="I21" s="67"/>
      <c r="J21" s="68"/>
      <c r="K21" s="91" t="str">
        <f t="shared" ca="1" si="7"/>
        <v/>
      </c>
      <c r="L21" s="90"/>
      <c r="M21" s="83"/>
      <c r="N21" s="69"/>
    </row>
    <row r="22" spans="2:14" ht="14.4" x14ac:dyDescent="0.25">
      <c r="B22" s="64">
        <v>20</v>
      </c>
      <c r="C22" s="65"/>
      <c r="D22" s="66" t="str">
        <f t="shared" ca="1" si="4"/>
        <v/>
      </c>
      <c r="E22" s="66" t="str">
        <f t="shared" ca="1" si="5"/>
        <v/>
      </c>
      <c r="F22" s="66" t="str">
        <f t="shared" ca="1" si="6"/>
        <v/>
      </c>
      <c r="G22" s="66"/>
      <c r="H22" s="66"/>
      <c r="I22" s="67"/>
      <c r="J22" s="68"/>
      <c r="K22" s="91" t="str">
        <f t="shared" ca="1" si="7"/>
        <v/>
      </c>
      <c r="L22" s="90"/>
      <c r="M22" s="83"/>
      <c r="N22" s="69"/>
    </row>
    <row r="23" spans="2:14" ht="14.4" x14ac:dyDescent="0.25">
      <c r="B23" s="64">
        <v>21</v>
      </c>
      <c r="C23" s="65"/>
      <c r="D23" s="66" t="str">
        <f t="shared" ca="1" si="4"/>
        <v/>
      </c>
      <c r="E23" s="66" t="str">
        <f t="shared" ca="1" si="5"/>
        <v/>
      </c>
      <c r="F23" s="66" t="str">
        <f t="shared" ca="1" si="6"/>
        <v/>
      </c>
      <c r="G23" s="66"/>
      <c r="H23" s="66"/>
      <c r="I23" s="67"/>
      <c r="J23" s="68"/>
      <c r="K23" s="91" t="str">
        <f t="shared" ca="1" si="7"/>
        <v/>
      </c>
      <c r="L23" s="90"/>
      <c r="M23" s="83"/>
      <c r="N23" s="69"/>
    </row>
    <row r="24" spans="2:14" ht="14.4" x14ac:dyDescent="0.25">
      <c r="B24" s="64">
        <v>22</v>
      </c>
      <c r="C24" s="65"/>
      <c r="D24" s="66" t="str">
        <f t="shared" ca="1" si="4"/>
        <v/>
      </c>
      <c r="E24" s="66" t="str">
        <f t="shared" ca="1" si="5"/>
        <v/>
      </c>
      <c r="F24" s="66" t="str">
        <f t="shared" ca="1" si="6"/>
        <v/>
      </c>
      <c r="G24" s="66"/>
      <c r="H24" s="66"/>
      <c r="I24" s="67"/>
      <c r="J24" s="68"/>
      <c r="K24" s="91" t="str">
        <f t="shared" ca="1" si="7"/>
        <v/>
      </c>
      <c r="L24" s="90"/>
      <c r="M24" s="83"/>
      <c r="N24" s="69"/>
    </row>
    <row r="25" spans="2:14" ht="14.4" x14ac:dyDescent="0.25">
      <c r="B25" s="64">
        <v>23</v>
      </c>
      <c r="C25" s="65"/>
      <c r="D25" s="66" t="str">
        <f t="shared" ca="1" si="4"/>
        <v/>
      </c>
      <c r="E25" s="66" t="str">
        <f t="shared" ca="1" si="5"/>
        <v/>
      </c>
      <c r="F25" s="66" t="str">
        <f t="shared" ca="1" si="6"/>
        <v/>
      </c>
      <c r="G25" s="66"/>
      <c r="H25" s="66"/>
      <c r="I25" s="67"/>
      <c r="J25" s="68"/>
      <c r="K25" s="91" t="str">
        <f t="shared" ca="1" si="7"/>
        <v/>
      </c>
      <c r="L25" s="90"/>
      <c r="M25" s="83"/>
      <c r="N25" s="69"/>
    </row>
    <row r="26" spans="2:14" ht="14.4" x14ac:dyDescent="0.25">
      <c r="B26" s="64">
        <v>24</v>
      </c>
      <c r="C26" s="65"/>
      <c r="D26" s="66" t="str">
        <f t="shared" ca="1" si="4"/>
        <v/>
      </c>
      <c r="E26" s="66" t="str">
        <f t="shared" ca="1" si="5"/>
        <v/>
      </c>
      <c r="F26" s="66" t="str">
        <f t="shared" ca="1" si="6"/>
        <v/>
      </c>
      <c r="G26" s="66"/>
      <c r="H26" s="66"/>
      <c r="I26" s="67"/>
      <c r="J26" s="68"/>
      <c r="K26" s="91" t="str">
        <f t="shared" ca="1" si="7"/>
        <v/>
      </c>
      <c r="L26" s="90"/>
      <c r="M26" s="83"/>
      <c r="N26" s="69"/>
    </row>
    <row r="27" spans="2:14" ht="14.4" x14ac:dyDescent="0.25">
      <c r="B27" s="64">
        <v>25</v>
      </c>
      <c r="C27" s="65"/>
      <c r="D27" s="66" t="str">
        <f t="shared" ca="1" si="4"/>
        <v/>
      </c>
      <c r="E27" s="66" t="str">
        <f t="shared" ca="1" si="5"/>
        <v/>
      </c>
      <c r="F27" s="66" t="str">
        <f t="shared" ca="1" si="6"/>
        <v/>
      </c>
      <c r="G27" s="66"/>
      <c r="H27" s="66"/>
      <c r="I27" s="67"/>
      <c r="J27" s="68"/>
      <c r="K27" s="91" t="str">
        <f t="shared" ca="1" si="7"/>
        <v/>
      </c>
      <c r="L27" s="90"/>
      <c r="M27" s="83"/>
      <c r="N27" s="69"/>
    </row>
    <row r="28" spans="2:14" ht="14.4" x14ac:dyDescent="0.25">
      <c r="B28" s="64">
        <v>26</v>
      </c>
      <c r="C28" s="65"/>
      <c r="D28" s="66" t="str">
        <f t="shared" ca="1" si="4"/>
        <v/>
      </c>
      <c r="E28" s="66" t="str">
        <f t="shared" ca="1" si="5"/>
        <v/>
      </c>
      <c r="F28" s="66" t="str">
        <f t="shared" ca="1" si="6"/>
        <v/>
      </c>
      <c r="G28" s="66"/>
      <c r="H28" s="66"/>
      <c r="I28" s="67"/>
      <c r="J28" s="68"/>
      <c r="K28" s="91" t="str">
        <f t="shared" ca="1" si="7"/>
        <v/>
      </c>
      <c r="L28" s="90"/>
      <c r="M28" s="83"/>
      <c r="N28" s="69"/>
    </row>
    <row r="29" spans="2:14" ht="14.4" x14ac:dyDescent="0.25">
      <c r="B29" s="64">
        <v>27</v>
      </c>
      <c r="C29" s="65"/>
      <c r="D29" s="66" t="str">
        <f t="shared" ca="1" si="4"/>
        <v/>
      </c>
      <c r="E29" s="66" t="str">
        <f t="shared" ca="1" si="5"/>
        <v/>
      </c>
      <c r="F29" s="66" t="str">
        <f t="shared" ca="1" si="6"/>
        <v/>
      </c>
      <c r="G29" s="66"/>
      <c r="H29" s="66"/>
      <c r="I29" s="67"/>
      <c r="J29" s="68"/>
      <c r="K29" s="91" t="str">
        <f t="shared" ca="1" si="7"/>
        <v/>
      </c>
      <c r="L29" s="90"/>
      <c r="M29" s="83"/>
      <c r="N29" s="69"/>
    </row>
    <row r="30" spans="2:14" ht="14.4" x14ac:dyDescent="0.25">
      <c r="B30" s="63">
        <v>28</v>
      </c>
      <c r="C30" s="65"/>
      <c r="D30" s="66" t="str">
        <f t="shared" ca="1" si="4"/>
        <v/>
      </c>
      <c r="E30" s="66" t="str">
        <f t="shared" ca="1" si="5"/>
        <v/>
      </c>
      <c r="F30" s="66" t="str">
        <f t="shared" ca="1" si="6"/>
        <v/>
      </c>
      <c r="G30" s="66"/>
      <c r="H30" s="66"/>
      <c r="I30" s="67"/>
      <c r="J30" s="68"/>
      <c r="K30" s="91" t="str">
        <f t="shared" ca="1" si="7"/>
        <v/>
      </c>
      <c r="L30" s="90"/>
      <c r="M30" s="83"/>
      <c r="N30" s="69"/>
    </row>
    <row r="31" spans="2:14" ht="14.4" x14ac:dyDescent="0.25">
      <c r="B31" s="64">
        <v>29</v>
      </c>
      <c r="C31" s="65"/>
      <c r="D31" s="66" t="str">
        <f t="shared" ca="1" si="4"/>
        <v/>
      </c>
      <c r="E31" s="66" t="str">
        <f t="shared" ca="1" si="5"/>
        <v/>
      </c>
      <c r="F31" s="66" t="str">
        <f t="shared" ca="1" si="6"/>
        <v/>
      </c>
      <c r="G31" s="66"/>
      <c r="H31" s="66"/>
      <c r="I31" s="67"/>
      <c r="J31" s="68"/>
      <c r="K31" s="91" t="str">
        <f t="shared" ca="1" si="7"/>
        <v/>
      </c>
      <c r="L31" s="90"/>
      <c r="M31" s="83"/>
      <c r="N31" s="69"/>
    </row>
    <row r="32" spans="2:14" ht="14.4" x14ac:dyDescent="0.25">
      <c r="B32" s="64">
        <v>30</v>
      </c>
      <c r="C32" s="65"/>
      <c r="D32" s="66" t="str">
        <f t="shared" ca="1" si="4"/>
        <v/>
      </c>
      <c r="E32" s="66" t="str">
        <f t="shared" ca="1" si="5"/>
        <v/>
      </c>
      <c r="F32" s="66" t="str">
        <f t="shared" ca="1" si="6"/>
        <v/>
      </c>
      <c r="G32" s="66"/>
      <c r="H32" s="66"/>
      <c r="I32" s="67"/>
      <c r="J32" s="68"/>
      <c r="K32" s="91" t="str">
        <f t="shared" ca="1" si="7"/>
        <v/>
      </c>
      <c r="L32" s="90"/>
      <c r="M32" s="83"/>
      <c r="N32" s="69"/>
    </row>
    <row r="33" spans="2:14" ht="14.4" x14ac:dyDescent="0.25">
      <c r="B33" s="64">
        <v>31</v>
      </c>
      <c r="C33" s="65"/>
      <c r="D33" s="66" t="str">
        <f t="shared" ca="1" si="4"/>
        <v/>
      </c>
      <c r="E33" s="66" t="str">
        <f t="shared" ca="1" si="5"/>
        <v/>
      </c>
      <c r="F33" s="66" t="str">
        <f t="shared" ca="1" si="6"/>
        <v/>
      </c>
      <c r="G33" s="66"/>
      <c r="H33" s="66"/>
      <c r="I33" s="67"/>
      <c r="J33" s="68"/>
      <c r="K33" s="91" t="str">
        <f t="shared" ca="1" si="7"/>
        <v/>
      </c>
      <c r="L33" s="90"/>
      <c r="M33" s="83"/>
      <c r="N33" s="69"/>
    </row>
    <row r="34" spans="2:14" ht="14.4" x14ac:dyDescent="0.25">
      <c r="B34" s="64">
        <v>32</v>
      </c>
      <c r="C34" s="65"/>
      <c r="D34" s="66" t="str">
        <f t="shared" ca="1" si="4"/>
        <v/>
      </c>
      <c r="E34" s="66" t="str">
        <f t="shared" ca="1" si="5"/>
        <v/>
      </c>
      <c r="F34" s="66" t="str">
        <f t="shared" ca="1" si="6"/>
        <v/>
      </c>
      <c r="G34" s="66"/>
      <c r="H34" s="66"/>
      <c r="I34" s="67"/>
      <c r="J34" s="68"/>
      <c r="K34" s="91" t="str">
        <f t="shared" ca="1" si="7"/>
        <v/>
      </c>
      <c r="L34" s="90"/>
      <c r="M34" s="83"/>
      <c r="N34" s="69"/>
    </row>
    <row r="35" spans="2:14" ht="14.4" x14ac:dyDescent="0.25">
      <c r="B35" s="64">
        <v>33</v>
      </c>
      <c r="C35" s="65"/>
      <c r="D35" s="66" t="str">
        <f t="shared" ca="1" si="4"/>
        <v/>
      </c>
      <c r="E35" s="66" t="str">
        <f t="shared" ca="1" si="5"/>
        <v/>
      </c>
      <c r="F35" s="66" t="str">
        <f t="shared" ca="1" si="6"/>
        <v/>
      </c>
      <c r="G35" s="66"/>
      <c r="H35" s="66"/>
      <c r="I35" s="67"/>
      <c r="J35" s="68"/>
      <c r="K35" s="91" t="str">
        <f t="shared" ca="1" si="7"/>
        <v/>
      </c>
      <c r="L35" s="90"/>
      <c r="M35" s="83"/>
      <c r="N35" s="69"/>
    </row>
    <row r="36" spans="2:14" ht="14.4" x14ac:dyDescent="0.25">
      <c r="B36" s="64">
        <v>34</v>
      </c>
      <c r="C36" s="65"/>
      <c r="D36" s="66" t="str">
        <f t="shared" ca="1" si="4"/>
        <v/>
      </c>
      <c r="E36" s="66" t="str">
        <f t="shared" ca="1" si="5"/>
        <v/>
      </c>
      <c r="F36" s="66" t="str">
        <f t="shared" ca="1" si="6"/>
        <v/>
      </c>
      <c r="G36" s="66"/>
      <c r="H36" s="66"/>
      <c r="I36" s="67"/>
      <c r="J36" s="68"/>
      <c r="K36" s="91" t="str">
        <f t="shared" ca="1" si="7"/>
        <v/>
      </c>
      <c r="L36" s="90"/>
      <c r="M36" s="83"/>
      <c r="N36" s="69"/>
    </row>
    <row r="37" spans="2:14" ht="14.4" x14ac:dyDescent="0.25">
      <c r="B37" s="64">
        <v>35</v>
      </c>
      <c r="C37" s="65"/>
      <c r="D37" s="66" t="str">
        <f t="shared" ca="1" si="4"/>
        <v/>
      </c>
      <c r="E37" s="66" t="str">
        <f t="shared" ca="1" si="5"/>
        <v/>
      </c>
      <c r="F37" s="66" t="str">
        <f t="shared" ca="1" si="6"/>
        <v/>
      </c>
      <c r="G37" s="66"/>
      <c r="H37" s="66"/>
      <c r="I37" s="67"/>
      <c r="J37" s="68"/>
      <c r="K37" s="91" t="str">
        <f t="shared" ca="1" si="7"/>
        <v/>
      </c>
      <c r="L37" s="90"/>
      <c r="M37" s="83"/>
      <c r="N37" s="69"/>
    </row>
    <row r="38" spans="2:14" ht="14.4" x14ac:dyDescent="0.25">
      <c r="B38" s="64">
        <v>36</v>
      </c>
      <c r="C38" s="65"/>
      <c r="D38" s="66" t="str">
        <f t="shared" ca="1" si="4"/>
        <v/>
      </c>
      <c r="E38" s="66" t="str">
        <f t="shared" ca="1" si="5"/>
        <v/>
      </c>
      <c r="F38" s="66" t="str">
        <f t="shared" ca="1" si="6"/>
        <v/>
      </c>
      <c r="G38" s="66"/>
      <c r="H38" s="66"/>
      <c r="I38" s="67"/>
      <c r="J38" s="68"/>
      <c r="K38" s="91" t="str">
        <f t="shared" ca="1" si="7"/>
        <v/>
      </c>
      <c r="L38" s="90"/>
      <c r="M38" s="83"/>
      <c r="N38" s="69"/>
    </row>
    <row r="39" spans="2:14" ht="14.4" x14ac:dyDescent="0.25">
      <c r="B39" s="63">
        <v>37</v>
      </c>
      <c r="C39" s="65"/>
      <c r="D39" s="66" t="str">
        <f t="shared" ca="1" si="4"/>
        <v/>
      </c>
      <c r="E39" s="66" t="str">
        <f t="shared" ca="1" si="5"/>
        <v/>
      </c>
      <c r="F39" s="66" t="str">
        <f t="shared" ca="1" si="6"/>
        <v/>
      </c>
      <c r="G39" s="66"/>
      <c r="H39" s="66"/>
      <c r="I39" s="67"/>
      <c r="J39" s="68"/>
      <c r="K39" s="91" t="str">
        <f t="shared" ca="1" si="7"/>
        <v/>
      </c>
      <c r="L39" s="90"/>
      <c r="M39" s="83"/>
      <c r="N39" s="69"/>
    </row>
    <row r="40" spans="2:14" ht="14.4" x14ac:dyDescent="0.25">
      <c r="B40" s="64">
        <v>38</v>
      </c>
      <c r="C40" s="65"/>
      <c r="D40" s="66" t="str">
        <f t="shared" ca="1" si="4"/>
        <v/>
      </c>
      <c r="E40" s="66" t="str">
        <f t="shared" ca="1" si="5"/>
        <v/>
      </c>
      <c r="F40" s="66" t="str">
        <f t="shared" ca="1" si="6"/>
        <v/>
      </c>
      <c r="G40" s="66"/>
      <c r="H40" s="66"/>
      <c r="I40" s="67"/>
      <c r="J40" s="68"/>
      <c r="K40" s="91" t="str">
        <f t="shared" ca="1" si="7"/>
        <v/>
      </c>
      <c r="L40" s="90"/>
      <c r="M40" s="83"/>
      <c r="N40" s="69"/>
    </row>
    <row r="41" spans="2:14" ht="14.4" x14ac:dyDescent="0.25">
      <c r="B41" s="64">
        <v>39</v>
      </c>
      <c r="C41" s="65"/>
      <c r="D41" s="66" t="str">
        <f t="shared" ca="1" si="4"/>
        <v/>
      </c>
      <c r="E41" s="66" t="str">
        <f t="shared" ca="1" si="5"/>
        <v/>
      </c>
      <c r="F41" s="66" t="str">
        <f t="shared" ca="1" si="6"/>
        <v/>
      </c>
      <c r="G41" s="66"/>
      <c r="H41" s="66"/>
      <c r="I41" s="67"/>
      <c r="J41" s="68"/>
      <c r="K41" s="91" t="str">
        <f t="shared" ca="1" si="7"/>
        <v/>
      </c>
      <c r="L41" s="90"/>
      <c r="M41" s="83"/>
      <c r="N41" s="69"/>
    </row>
    <row r="42" spans="2:14" ht="14.4" x14ac:dyDescent="0.25">
      <c r="B42" s="64">
        <v>40</v>
      </c>
      <c r="C42" s="65"/>
      <c r="D42" s="66" t="str">
        <f t="shared" ca="1" si="4"/>
        <v/>
      </c>
      <c r="E42" s="66" t="str">
        <f t="shared" ca="1" si="5"/>
        <v/>
      </c>
      <c r="F42" s="66" t="str">
        <f t="shared" ca="1" si="6"/>
        <v/>
      </c>
      <c r="G42" s="66"/>
      <c r="H42" s="66"/>
      <c r="I42" s="67"/>
      <c r="J42" s="68"/>
      <c r="K42" s="91" t="str">
        <f t="shared" ca="1" si="7"/>
        <v/>
      </c>
      <c r="L42" s="90"/>
      <c r="M42" s="83"/>
      <c r="N42" s="69"/>
    </row>
    <row r="43" spans="2:14" ht="14.4" x14ac:dyDescent="0.25">
      <c r="B43" s="64">
        <v>41</v>
      </c>
      <c r="C43" s="65"/>
      <c r="D43" s="66" t="str">
        <f t="shared" ca="1" si="4"/>
        <v/>
      </c>
      <c r="E43" s="66" t="str">
        <f t="shared" ca="1" si="5"/>
        <v/>
      </c>
      <c r="F43" s="66" t="str">
        <f t="shared" ca="1" si="6"/>
        <v/>
      </c>
      <c r="G43" s="66"/>
      <c r="H43" s="66"/>
      <c r="I43" s="67"/>
      <c r="J43" s="68"/>
      <c r="K43" s="91" t="str">
        <f t="shared" ca="1" si="7"/>
        <v/>
      </c>
      <c r="L43" s="90"/>
      <c r="M43" s="83"/>
      <c r="N43" s="69"/>
    </row>
    <row r="44" spans="2:14" ht="14.4" x14ac:dyDescent="0.25">
      <c r="B44" s="64">
        <v>42</v>
      </c>
      <c r="C44" s="65"/>
      <c r="D44" s="66" t="str">
        <f t="shared" ca="1" si="4"/>
        <v/>
      </c>
      <c r="E44" s="66" t="str">
        <f t="shared" ca="1" si="5"/>
        <v/>
      </c>
      <c r="F44" s="66" t="str">
        <f t="shared" ca="1" si="6"/>
        <v/>
      </c>
      <c r="G44" s="66"/>
      <c r="H44" s="66"/>
      <c r="I44" s="67"/>
      <c r="J44" s="68"/>
      <c r="K44" s="91" t="str">
        <f t="shared" ca="1" si="7"/>
        <v/>
      </c>
      <c r="L44" s="90"/>
      <c r="M44" s="83"/>
      <c r="N44" s="69"/>
    </row>
    <row r="45" spans="2:14" ht="14.4" x14ac:dyDescent="0.25">
      <c r="B45" s="64">
        <v>43</v>
      </c>
      <c r="C45" s="65"/>
      <c r="D45" s="66" t="str">
        <f t="shared" ca="1" si="4"/>
        <v/>
      </c>
      <c r="E45" s="66" t="str">
        <f t="shared" ca="1" si="5"/>
        <v/>
      </c>
      <c r="F45" s="66" t="str">
        <f t="shared" ca="1" si="6"/>
        <v/>
      </c>
      <c r="G45" s="66"/>
      <c r="H45" s="66"/>
      <c r="I45" s="67"/>
      <c r="J45" s="68"/>
      <c r="K45" s="91" t="str">
        <f t="shared" ca="1" si="7"/>
        <v/>
      </c>
      <c r="L45" s="90"/>
      <c r="M45" s="83"/>
      <c r="N45" s="69"/>
    </row>
    <row r="46" spans="2:14" ht="14.4" x14ac:dyDescent="0.25">
      <c r="B46" s="64">
        <v>44</v>
      </c>
      <c r="C46" s="65"/>
      <c r="D46" s="66" t="str">
        <f t="shared" ca="1" si="4"/>
        <v/>
      </c>
      <c r="E46" s="66" t="str">
        <f t="shared" ca="1" si="5"/>
        <v/>
      </c>
      <c r="F46" s="66" t="str">
        <f t="shared" ca="1" si="6"/>
        <v/>
      </c>
      <c r="G46" s="66"/>
      <c r="H46" s="66"/>
      <c r="I46" s="67"/>
      <c r="J46" s="68"/>
      <c r="K46" s="91" t="str">
        <f t="shared" ca="1" si="7"/>
        <v/>
      </c>
      <c r="L46" s="90"/>
      <c r="M46" s="83"/>
      <c r="N46" s="69"/>
    </row>
    <row r="47" spans="2:14" ht="15" thickBot="1" x14ac:dyDescent="0.3">
      <c r="B47" s="70">
        <v>45</v>
      </c>
      <c r="C47" s="71"/>
      <c r="D47" s="66" t="str">
        <f t="shared" ca="1" si="4"/>
        <v/>
      </c>
      <c r="E47" s="66" t="str">
        <f t="shared" ca="1" si="5"/>
        <v/>
      </c>
      <c r="F47" s="66" t="str">
        <f t="shared" ca="1" si="6"/>
        <v/>
      </c>
      <c r="G47" s="66"/>
      <c r="H47" s="66"/>
      <c r="I47" s="67"/>
      <c r="J47" s="68"/>
      <c r="K47" s="91" t="str">
        <f t="shared" ca="1" si="7"/>
        <v/>
      </c>
      <c r="L47" s="90"/>
      <c r="M47" s="83"/>
      <c r="N47" s="69"/>
    </row>
  </sheetData>
  <phoneticPr fontId="42" type="noConversion"/>
  <conditionalFormatting sqref="K3 K15:K47">
    <cfRule type="cellIs" dxfId="95" priority="3" operator="equal">
      <formula>"Nok"</formula>
    </cfRule>
    <cfRule type="cellIs" dxfId="94" priority="4" operator="equal">
      <formula>"Ok"</formula>
    </cfRule>
  </conditionalFormatting>
  <conditionalFormatting sqref="K4:K14">
    <cfRule type="cellIs" dxfId="93" priority="1" operator="equal">
      <formula>"Nok"</formula>
    </cfRule>
    <cfRule type="cellIs" dxfId="92" priority="2" operator="equal">
      <formula>"Ok"</formula>
    </cfRule>
  </conditionalFormatting>
  <dataValidations count="3">
    <dataValidation type="list" allowBlank="1" showInputMessage="1" showErrorMessage="1" sqref="E15:E47" xr:uid="{00000000-0002-0000-0300-000000000000}">
      <formula1>"Nominal, Robustness, Endurance, Qualification, Other"</formula1>
    </dataValidation>
    <dataValidation type="list" allowBlank="1" showInputMessage="1" showErrorMessage="1" sqref="G3:G14" xr:uid="{00000000-0002-0000-0300-000001000000}">
      <formula1>",X,"</formula1>
    </dataValidation>
    <dataValidation type="list" allowBlank="1" showInputMessage="1" showErrorMessage="1" sqref="H3:H14" xr:uid="{00000000-0002-0000-0300-000002000000}">
      <formula1>"1,2,3,"</formula1>
    </dataValidation>
  </dataValidations>
  <hyperlinks>
    <hyperlink ref="C3" location="SW_IT_MAIN_0000!A1" display="SW_IT_MAIN_0000" xr:uid="{00000000-0004-0000-0300-000000000000}"/>
    <hyperlink ref="C4:C6" location="SW_IT_xxx!A1" display="SW_IT_xxx" xr:uid="{28CDA27D-65EF-42ED-A539-014A64744D51}"/>
    <hyperlink ref="C7:C13" location="SW_IT_xxx!A1" display="SW_IT_xxx" xr:uid="{D8FF36DE-C589-4C06-A960-827AF771CBF3}"/>
    <hyperlink ref="C4" location="SW_IT_MAIN_0001!A1" display="SW_IT_MAIN_0001" xr:uid="{6562F12E-4F19-44E7-9857-0746ECABF1E1}"/>
    <hyperlink ref="C5" location="SW_IT_MAIN_0002!A1" display="SW_IT_MAIN_0002" xr:uid="{1065AF5A-22B4-42AC-A71B-94DB012C324F}"/>
    <hyperlink ref="C6" location="SW_IT_MAIN_0004!A1" display="SW_IT_MAIN_0003" xr:uid="{250F3C62-4DE1-477F-A32E-7453A96A9A2A}"/>
    <hyperlink ref="C7" location="SW_IT_MAIN_0004!A1" display="SW_IT_MAIN_0004" xr:uid="{8C33B222-8CA5-4858-B49B-1B67BD405083}"/>
    <hyperlink ref="C8" location="SW_IT_MAIN_0005!A1" display="SW_IT_MAIN_0005" xr:uid="{C4F966EA-A4E3-43E1-B4FA-B23767FB1AF7}"/>
    <hyperlink ref="C9" location="SW_IT_MAIN_0006!A1" display="SW_IT_MAIN_0006" xr:uid="{5E6AF09F-6549-4BE2-BAF7-EAFE4F375670}"/>
    <hyperlink ref="C10" location="SW_IT_MAIN_0007!A1" display="SW_IT_MAIN_0007" xr:uid="{1B82307A-B623-4933-A247-D347B183CA76}"/>
    <hyperlink ref="C11" location="SW_IT_MAIN_0008!A1" display="SW_IT_MAIN_0008" xr:uid="{5E0AD7EC-7430-4E27-B381-2CCFB74614A7}"/>
    <hyperlink ref="C12" location="SW_IT_MAIN_0009!A1" display="SW_IT_MAIN_0009" xr:uid="{1DF28C90-E9D0-4AB6-A346-78ABD06685B4}"/>
    <hyperlink ref="C13" location="SW_IT_MAIN_0010!A1" display="SW_IT_MAIN_0010" xr:uid="{30206E8A-5E5C-46C6-AF52-EDE6E86DBA95}"/>
    <hyperlink ref="C14" location="SW_IT_MAIN_0011!A1" display="SW_IT_MAIN_0011" xr:uid="{8243E823-717C-446F-9130-EBCD8F6D05A8}"/>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1.7&amp;R&amp;P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1D046-A8AA-4F36-8495-79913BE4F03F}">
  <sheetPr codeName="Sheet8"/>
  <dimension ref="A1:P54"/>
  <sheetViews>
    <sheetView workbookViewId="0">
      <selection activeCell="K11" sqref="K11"/>
    </sheetView>
  </sheetViews>
  <sheetFormatPr defaultColWidth="9.109375" defaultRowHeight="13.2" x14ac:dyDescent="0.25"/>
  <cols>
    <col min="1" max="1" width="20.109375" style="98" customWidth="1"/>
    <col min="2" max="2" width="18.44140625" style="94" customWidth="1"/>
    <col min="3" max="6" width="9.109375" style="94"/>
    <col min="7" max="7" width="26.5546875" style="94" customWidth="1"/>
    <col min="8" max="10" width="9.5546875" style="94" customWidth="1"/>
    <col min="11" max="11" width="37.88671875" style="94" customWidth="1"/>
    <col min="12" max="14" width="9.5546875" style="94" customWidth="1"/>
    <col min="15" max="15" width="41.88671875" style="94" customWidth="1"/>
    <col min="16" max="16384" width="9.109375" style="94"/>
  </cols>
  <sheetData>
    <row r="1" spans="1:15" ht="13.8" thickBot="1" x14ac:dyDescent="0.3">
      <c r="A1" s="99" t="s">
        <v>41</v>
      </c>
      <c r="B1" s="211" t="s">
        <v>142</v>
      </c>
      <c r="C1" s="212"/>
      <c r="D1" s="212"/>
      <c r="E1" s="212"/>
      <c r="F1" s="212"/>
      <c r="G1" s="21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0" t="s">
        <v>46</v>
      </c>
      <c r="B3" s="214" t="s">
        <v>385</v>
      </c>
      <c r="C3" s="215"/>
      <c r="D3" s="215"/>
      <c r="E3" s="215"/>
      <c r="F3" s="215"/>
      <c r="G3" s="216"/>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9"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9" t="s">
        <v>42</v>
      </c>
      <c r="B7" s="214" t="s">
        <v>135</v>
      </c>
      <c r="C7" s="215"/>
      <c r="D7" s="215"/>
      <c r="E7" s="215"/>
      <c r="F7" s="215"/>
      <c r="G7" s="21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9" t="s">
        <v>43</v>
      </c>
      <c r="B9" s="103" t="s">
        <v>171</v>
      </c>
      <c r="C9" s="73"/>
      <c r="D9" s="74"/>
      <c r="E9" s="74"/>
      <c r="F9" s="74"/>
      <c r="G9" s="74"/>
      <c r="H9" s="74"/>
      <c r="I9" s="74"/>
      <c r="J9" s="74"/>
      <c r="K9" s="74"/>
      <c r="L9" s="74"/>
      <c r="M9" s="74"/>
      <c r="N9" s="74"/>
      <c r="O9" s="74"/>
    </row>
    <row r="10" spans="1:15" ht="13.8" thickBot="1" x14ac:dyDescent="0.3">
      <c r="A10" s="76"/>
      <c r="B10" s="95"/>
      <c r="C10" s="73"/>
      <c r="D10" s="74"/>
      <c r="E10" s="74"/>
      <c r="F10" s="74"/>
      <c r="G10" s="74"/>
      <c r="H10" s="74"/>
      <c r="I10" s="74"/>
      <c r="J10" s="74"/>
      <c r="K10" s="74"/>
      <c r="L10" s="74"/>
      <c r="M10" s="74"/>
      <c r="N10" s="74"/>
      <c r="O10" s="74"/>
    </row>
    <row r="11" spans="1:15" ht="12" customHeight="1" x14ac:dyDescent="0.25">
      <c r="A11" s="200" t="s">
        <v>112</v>
      </c>
      <c r="B11" s="202" t="s">
        <v>128</v>
      </c>
      <c r="C11" s="203"/>
      <c r="D11" s="203"/>
      <c r="E11" s="203"/>
      <c r="F11" s="203"/>
      <c r="G11" s="204"/>
      <c r="H11" s="74"/>
      <c r="I11" s="74"/>
      <c r="J11" s="74"/>
      <c r="K11" s="74"/>
      <c r="L11" s="74"/>
      <c r="M11" s="74"/>
      <c r="N11" s="74"/>
      <c r="O11" s="74"/>
    </row>
    <row r="12" spans="1:15" x14ac:dyDescent="0.25">
      <c r="A12" s="201"/>
      <c r="B12" s="205"/>
      <c r="C12" s="206"/>
      <c r="D12" s="206"/>
      <c r="E12" s="206"/>
      <c r="F12" s="206"/>
      <c r="G12" s="207"/>
      <c r="H12" s="74"/>
      <c r="I12" s="74"/>
      <c r="J12" s="74"/>
      <c r="K12" s="74"/>
      <c r="L12" s="74"/>
      <c r="M12" s="74"/>
      <c r="N12" s="74"/>
      <c r="O12" s="74"/>
    </row>
    <row r="13" spans="1:15" x14ac:dyDescent="0.25">
      <c r="A13" s="201"/>
      <c r="B13" s="205"/>
      <c r="C13" s="206"/>
      <c r="D13" s="206"/>
      <c r="E13" s="206"/>
      <c r="F13" s="206"/>
      <c r="G13" s="207"/>
      <c r="H13" s="72"/>
      <c r="I13" s="74"/>
      <c r="J13" s="74"/>
      <c r="K13" s="74"/>
      <c r="L13" s="74"/>
      <c r="M13" s="74"/>
      <c r="N13" s="74"/>
      <c r="O13" s="74"/>
    </row>
    <row r="14" spans="1:15" ht="13.8" thickBot="1" x14ac:dyDescent="0.3">
      <c r="A14" s="201"/>
      <c r="B14" s="208"/>
      <c r="C14" s="209"/>
      <c r="D14" s="209"/>
      <c r="E14" s="209"/>
      <c r="F14" s="209"/>
      <c r="G14" s="210"/>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0" t="s">
        <v>44</v>
      </c>
      <c r="B16" s="202" t="s">
        <v>136</v>
      </c>
      <c r="C16" s="203"/>
      <c r="D16" s="203"/>
      <c r="E16" s="203"/>
      <c r="F16" s="203"/>
      <c r="G16" s="204"/>
      <c r="H16" s="74"/>
      <c r="I16" s="74"/>
      <c r="J16" s="74"/>
      <c r="K16" s="74"/>
      <c r="L16" s="74"/>
      <c r="M16" s="74"/>
      <c r="N16" s="74"/>
      <c r="O16" s="74"/>
    </row>
    <row r="17" spans="1:16" x14ac:dyDescent="0.25">
      <c r="A17" s="201"/>
      <c r="B17" s="205"/>
      <c r="C17" s="206"/>
      <c r="D17" s="206"/>
      <c r="E17" s="206"/>
      <c r="F17" s="206"/>
      <c r="G17" s="207"/>
      <c r="H17" s="74"/>
      <c r="I17" s="74"/>
      <c r="J17" s="74"/>
      <c r="K17" s="74"/>
      <c r="L17" s="74"/>
      <c r="M17" s="74"/>
      <c r="N17" s="74"/>
      <c r="O17" s="74"/>
    </row>
    <row r="18" spans="1:16" x14ac:dyDescent="0.25">
      <c r="A18" s="201"/>
      <c r="B18" s="205"/>
      <c r="C18" s="206"/>
      <c r="D18" s="206"/>
      <c r="E18" s="206"/>
      <c r="F18" s="206"/>
      <c r="G18" s="207"/>
      <c r="H18" s="72"/>
      <c r="I18" s="74"/>
      <c r="J18" s="74"/>
      <c r="K18" s="74"/>
      <c r="L18" s="74"/>
      <c r="M18" s="74"/>
      <c r="N18" s="74"/>
      <c r="O18" s="74"/>
    </row>
    <row r="19" spans="1:16" ht="13.8" thickBot="1" x14ac:dyDescent="0.3">
      <c r="A19" s="201"/>
      <c r="B19" s="208"/>
      <c r="C19" s="209"/>
      <c r="D19" s="209"/>
      <c r="E19" s="209"/>
      <c r="F19" s="209"/>
      <c r="G19" s="210"/>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7" t="s">
        <v>48</v>
      </c>
      <c r="B21" s="198"/>
      <c r="C21" s="198"/>
      <c r="D21" s="198"/>
      <c r="E21" s="198"/>
      <c r="F21" s="198"/>
      <c r="G21" s="199"/>
      <c r="H21" s="197" t="s">
        <v>49</v>
      </c>
      <c r="I21" s="198"/>
      <c r="J21" s="198"/>
      <c r="K21" s="199"/>
      <c r="L21" s="197" t="s">
        <v>60</v>
      </c>
      <c r="M21" s="198"/>
      <c r="N21" s="198"/>
      <c r="O21" s="199"/>
      <c r="P21" s="101" t="s">
        <v>47</v>
      </c>
    </row>
    <row r="22" spans="1:16" x14ac:dyDescent="0.25">
      <c r="A22" s="102" t="s">
        <v>50</v>
      </c>
      <c r="B22" s="187" t="s">
        <v>141</v>
      </c>
      <c r="C22" s="188"/>
      <c r="D22" s="188"/>
      <c r="E22" s="188"/>
      <c r="F22" s="188"/>
      <c r="G22" s="189"/>
      <c r="H22" s="186"/>
      <c r="I22" s="186"/>
      <c r="J22" s="186"/>
      <c r="K22" s="186"/>
      <c r="L22" s="186"/>
      <c r="M22" s="186"/>
      <c r="N22" s="186"/>
      <c r="O22" s="186"/>
      <c r="P22" s="96"/>
    </row>
    <row r="23" spans="1:16" ht="13.2" customHeight="1" x14ac:dyDescent="0.25">
      <c r="A23" s="102" t="s">
        <v>51</v>
      </c>
      <c r="B23" s="187" t="s">
        <v>137</v>
      </c>
      <c r="C23" s="188"/>
      <c r="D23" s="188"/>
      <c r="E23" s="188"/>
      <c r="F23" s="188"/>
      <c r="G23" s="189"/>
      <c r="H23" s="186"/>
      <c r="I23" s="186"/>
      <c r="J23" s="186"/>
      <c r="K23" s="186"/>
      <c r="L23" s="186"/>
      <c r="M23" s="186"/>
      <c r="N23" s="186"/>
      <c r="O23" s="186"/>
      <c r="P23" s="96"/>
    </row>
    <row r="24" spans="1:16" ht="13.5" customHeight="1" x14ac:dyDescent="0.25">
      <c r="A24" s="102" t="s">
        <v>52</v>
      </c>
      <c r="B24" s="194" t="s">
        <v>138</v>
      </c>
      <c r="C24" s="195"/>
      <c r="D24" s="195"/>
      <c r="E24" s="195"/>
      <c r="F24" s="195"/>
      <c r="G24" s="196"/>
      <c r="H24" s="186" t="s">
        <v>139</v>
      </c>
      <c r="I24" s="186"/>
      <c r="J24" s="186"/>
      <c r="K24" s="186"/>
      <c r="L24" s="186" t="s">
        <v>140</v>
      </c>
      <c r="M24" s="186"/>
      <c r="N24" s="186"/>
      <c r="O24" s="186"/>
      <c r="P24" s="96" t="s">
        <v>127</v>
      </c>
    </row>
    <row r="25" spans="1:16" ht="13.2" customHeight="1" x14ac:dyDescent="0.25">
      <c r="A25" s="102" t="s">
        <v>53</v>
      </c>
      <c r="B25" s="191" t="s">
        <v>146</v>
      </c>
      <c r="C25" s="192"/>
      <c r="D25" s="192"/>
      <c r="E25" s="192"/>
      <c r="F25" s="192"/>
      <c r="G25" s="193"/>
      <c r="H25" s="186" t="s">
        <v>139</v>
      </c>
      <c r="I25" s="186"/>
      <c r="J25" s="186"/>
      <c r="K25" s="186"/>
      <c r="L25" s="186" t="s">
        <v>143</v>
      </c>
      <c r="M25" s="186"/>
      <c r="N25" s="186"/>
      <c r="O25" s="186"/>
      <c r="P25" s="96" t="s">
        <v>127</v>
      </c>
    </row>
    <row r="26" spans="1:16" x14ac:dyDescent="0.25">
      <c r="A26" s="102" t="s">
        <v>54</v>
      </c>
      <c r="B26" s="187" t="s">
        <v>145</v>
      </c>
      <c r="C26" s="188"/>
      <c r="D26" s="188"/>
      <c r="E26" s="188"/>
      <c r="F26" s="188"/>
      <c r="G26" s="189"/>
      <c r="H26" s="186" t="s">
        <v>139</v>
      </c>
      <c r="I26" s="186"/>
      <c r="J26" s="186"/>
      <c r="K26" s="186"/>
      <c r="L26" s="186" t="s">
        <v>143</v>
      </c>
      <c r="M26" s="186"/>
      <c r="N26" s="186"/>
      <c r="O26" s="186"/>
      <c r="P26" s="96" t="s">
        <v>127</v>
      </c>
    </row>
    <row r="27" spans="1:16" x14ac:dyDescent="0.25">
      <c r="A27" s="102" t="s">
        <v>55</v>
      </c>
      <c r="B27" s="187" t="s">
        <v>144</v>
      </c>
      <c r="C27" s="188"/>
      <c r="D27" s="188"/>
      <c r="E27" s="188"/>
      <c r="F27" s="188"/>
      <c r="G27" s="189"/>
      <c r="H27" s="186" t="s">
        <v>139</v>
      </c>
      <c r="I27" s="186"/>
      <c r="J27" s="186"/>
      <c r="K27" s="186"/>
      <c r="L27" s="186" t="s">
        <v>143</v>
      </c>
      <c r="M27" s="186"/>
      <c r="N27" s="186"/>
      <c r="O27" s="186"/>
      <c r="P27" s="96" t="s">
        <v>127</v>
      </c>
    </row>
    <row r="28" spans="1:16" x14ac:dyDescent="0.25">
      <c r="A28" s="102" t="s">
        <v>56</v>
      </c>
      <c r="B28" s="187" t="s">
        <v>147</v>
      </c>
      <c r="C28" s="188"/>
      <c r="D28" s="188"/>
      <c r="E28" s="188"/>
      <c r="F28" s="188"/>
      <c r="G28" s="189"/>
      <c r="H28" s="186" t="s">
        <v>139</v>
      </c>
      <c r="I28" s="186"/>
      <c r="J28" s="186"/>
      <c r="K28" s="186"/>
      <c r="L28" s="186" t="s">
        <v>143</v>
      </c>
      <c r="M28" s="186"/>
      <c r="N28" s="186"/>
      <c r="O28" s="186"/>
      <c r="P28" s="96" t="s">
        <v>127</v>
      </c>
    </row>
    <row r="29" spans="1:16" ht="28.2" customHeight="1" x14ac:dyDescent="0.25">
      <c r="A29" s="102" t="s">
        <v>57</v>
      </c>
      <c r="B29" s="187" t="s">
        <v>148</v>
      </c>
      <c r="C29" s="188"/>
      <c r="D29" s="188"/>
      <c r="E29" s="188"/>
      <c r="F29" s="188"/>
      <c r="G29" s="189"/>
      <c r="H29" s="186" t="s">
        <v>139</v>
      </c>
      <c r="I29" s="186"/>
      <c r="J29" s="186"/>
      <c r="K29" s="186"/>
      <c r="L29" s="186" t="s">
        <v>143</v>
      </c>
      <c r="M29" s="186"/>
      <c r="N29" s="186"/>
      <c r="O29" s="186"/>
      <c r="P29" s="96" t="s">
        <v>127</v>
      </c>
    </row>
    <row r="30" spans="1:16" ht="28.2" customHeight="1" x14ac:dyDescent="0.25">
      <c r="A30" s="102" t="s">
        <v>58</v>
      </c>
      <c r="B30" s="187" t="s">
        <v>149</v>
      </c>
      <c r="C30" s="188"/>
      <c r="D30" s="188"/>
      <c r="E30" s="188"/>
      <c r="F30" s="188"/>
      <c r="G30" s="189"/>
      <c r="H30" s="186" t="s">
        <v>139</v>
      </c>
      <c r="I30" s="186"/>
      <c r="J30" s="186"/>
      <c r="K30" s="186"/>
      <c r="L30" s="186" t="s">
        <v>143</v>
      </c>
      <c r="M30" s="186"/>
      <c r="N30" s="186"/>
      <c r="O30" s="186"/>
      <c r="P30" s="96" t="s">
        <v>127</v>
      </c>
    </row>
    <row r="31" spans="1:16" ht="27" customHeight="1" x14ac:dyDescent="0.25">
      <c r="A31" s="102" t="s">
        <v>152</v>
      </c>
      <c r="B31" s="187" t="s">
        <v>150</v>
      </c>
      <c r="C31" s="188"/>
      <c r="D31" s="188"/>
      <c r="E31" s="188"/>
      <c r="F31" s="188"/>
      <c r="G31" s="189"/>
      <c r="H31" s="186" t="s">
        <v>139</v>
      </c>
      <c r="I31" s="186"/>
      <c r="J31" s="186"/>
      <c r="K31" s="186"/>
      <c r="L31" s="186" t="s">
        <v>143</v>
      </c>
      <c r="M31" s="186"/>
      <c r="N31" s="186"/>
      <c r="O31" s="186"/>
      <c r="P31" s="96" t="s">
        <v>127</v>
      </c>
    </row>
    <row r="32" spans="1:16" ht="29.1" customHeight="1" x14ac:dyDescent="0.25">
      <c r="A32" s="102" t="s">
        <v>153</v>
      </c>
      <c r="B32" s="187" t="s">
        <v>151</v>
      </c>
      <c r="C32" s="188"/>
      <c r="D32" s="188"/>
      <c r="E32" s="188"/>
      <c r="F32" s="188"/>
      <c r="G32" s="189"/>
      <c r="H32" s="186" t="s">
        <v>139</v>
      </c>
      <c r="I32" s="186"/>
      <c r="J32" s="186"/>
      <c r="K32" s="186"/>
      <c r="L32" s="186" t="s">
        <v>143</v>
      </c>
      <c r="M32" s="186"/>
      <c r="N32" s="186"/>
      <c r="O32" s="186"/>
      <c r="P32" s="96" t="s">
        <v>127</v>
      </c>
    </row>
    <row r="33" spans="1:16" x14ac:dyDescent="0.25">
      <c r="A33" s="102" t="s">
        <v>174</v>
      </c>
      <c r="B33" s="187" t="s">
        <v>154</v>
      </c>
      <c r="C33" s="188"/>
      <c r="D33" s="188"/>
      <c r="E33" s="188"/>
      <c r="F33" s="188"/>
      <c r="G33" s="189"/>
      <c r="H33" s="186" t="s">
        <v>139</v>
      </c>
      <c r="I33" s="186"/>
      <c r="J33" s="186"/>
      <c r="K33" s="186"/>
      <c r="L33" s="186" t="s">
        <v>143</v>
      </c>
      <c r="M33" s="186"/>
      <c r="N33" s="186"/>
      <c r="O33" s="186"/>
      <c r="P33" s="96" t="s">
        <v>127</v>
      </c>
    </row>
    <row r="34" spans="1:16" x14ac:dyDescent="0.25">
      <c r="A34" s="102" t="s">
        <v>175</v>
      </c>
      <c r="B34" s="187" t="s">
        <v>155</v>
      </c>
      <c r="C34" s="188"/>
      <c r="D34" s="188"/>
      <c r="E34" s="188"/>
      <c r="F34" s="188"/>
      <c r="G34" s="189"/>
      <c r="H34" s="186" t="s">
        <v>139</v>
      </c>
      <c r="I34" s="186"/>
      <c r="J34" s="186"/>
      <c r="K34" s="186"/>
      <c r="L34" s="186" t="s">
        <v>143</v>
      </c>
      <c r="M34" s="186"/>
      <c r="N34" s="186"/>
      <c r="O34" s="186"/>
      <c r="P34" s="96" t="s">
        <v>127</v>
      </c>
    </row>
    <row r="35" spans="1:16" ht="25.5" customHeight="1" x14ac:dyDescent="0.25">
      <c r="A35" s="102" t="s">
        <v>176</v>
      </c>
      <c r="B35" s="187" t="s">
        <v>156</v>
      </c>
      <c r="C35" s="188"/>
      <c r="D35" s="188"/>
      <c r="E35" s="188"/>
      <c r="F35" s="188"/>
      <c r="G35" s="189"/>
      <c r="H35" s="186" t="s">
        <v>139</v>
      </c>
      <c r="I35" s="186"/>
      <c r="J35" s="186"/>
      <c r="K35" s="186"/>
      <c r="L35" s="186" t="s">
        <v>143</v>
      </c>
      <c r="M35" s="186"/>
      <c r="N35" s="186"/>
      <c r="O35" s="186"/>
      <c r="P35" s="96" t="s">
        <v>127</v>
      </c>
    </row>
    <row r="36" spans="1:16" ht="13.2" customHeight="1" x14ac:dyDescent="0.25">
      <c r="A36" s="102" t="s">
        <v>177</v>
      </c>
      <c r="B36" s="191" t="s">
        <v>160</v>
      </c>
      <c r="C36" s="192"/>
      <c r="D36" s="192"/>
      <c r="E36" s="192"/>
      <c r="F36" s="192"/>
      <c r="G36" s="193"/>
      <c r="H36" s="186" t="s">
        <v>193</v>
      </c>
      <c r="I36" s="186"/>
      <c r="J36" s="186"/>
      <c r="K36" s="186"/>
      <c r="L36" s="186" t="s">
        <v>195</v>
      </c>
      <c r="M36" s="186"/>
      <c r="N36" s="186"/>
      <c r="O36" s="186"/>
      <c r="P36" s="96" t="s">
        <v>127</v>
      </c>
    </row>
    <row r="37" spans="1:16" ht="13.2" customHeight="1" x14ac:dyDescent="0.25">
      <c r="A37" s="102" t="s">
        <v>178</v>
      </c>
      <c r="B37" s="191" t="s">
        <v>161</v>
      </c>
      <c r="C37" s="192"/>
      <c r="D37" s="192"/>
      <c r="E37" s="192"/>
      <c r="F37" s="192"/>
      <c r="G37" s="193"/>
      <c r="H37" s="186" t="s">
        <v>193</v>
      </c>
      <c r="I37" s="186"/>
      <c r="J37" s="186"/>
      <c r="K37" s="186"/>
      <c r="L37" s="186" t="s">
        <v>195</v>
      </c>
      <c r="M37" s="186"/>
      <c r="N37" s="186"/>
      <c r="O37" s="186"/>
      <c r="P37" s="96" t="s">
        <v>127</v>
      </c>
    </row>
    <row r="38" spans="1:16" ht="13.2" customHeight="1" x14ac:dyDescent="0.25">
      <c r="A38" s="102" t="s">
        <v>179</v>
      </c>
      <c r="B38" s="191" t="s">
        <v>162</v>
      </c>
      <c r="C38" s="192"/>
      <c r="D38" s="192"/>
      <c r="E38" s="192"/>
      <c r="F38" s="192"/>
      <c r="G38" s="193"/>
      <c r="H38" s="186" t="s">
        <v>193</v>
      </c>
      <c r="I38" s="186"/>
      <c r="J38" s="186"/>
      <c r="K38" s="186"/>
      <c r="L38" s="186" t="s">
        <v>195</v>
      </c>
      <c r="M38" s="186"/>
      <c r="N38" s="186"/>
      <c r="O38" s="186"/>
      <c r="P38" s="96" t="s">
        <v>127</v>
      </c>
    </row>
    <row r="39" spans="1:16" ht="13.2" customHeight="1" x14ac:dyDescent="0.25">
      <c r="A39" s="102" t="s">
        <v>179</v>
      </c>
      <c r="B39" s="191" t="s">
        <v>159</v>
      </c>
      <c r="C39" s="192"/>
      <c r="D39" s="192"/>
      <c r="E39" s="192"/>
      <c r="F39" s="192"/>
      <c r="G39" s="193"/>
      <c r="H39" s="186" t="s">
        <v>193</v>
      </c>
      <c r="I39" s="186"/>
      <c r="J39" s="186"/>
      <c r="K39" s="186"/>
      <c r="L39" s="186" t="s">
        <v>193</v>
      </c>
      <c r="M39" s="186"/>
      <c r="N39" s="186"/>
      <c r="O39" s="186"/>
      <c r="P39" s="96" t="s">
        <v>171</v>
      </c>
    </row>
    <row r="40" spans="1:16" ht="28.2" customHeight="1" x14ac:dyDescent="0.25">
      <c r="A40" s="102" t="s">
        <v>180</v>
      </c>
      <c r="B40" s="187" t="s">
        <v>157</v>
      </c>
      <c r="C40" s="188"/>
      <c r="D40" s="188"/>
      <c r="E40" s="188"/>
      <c r="F40" s="188"/>
      <c r="G40" s="189"/>
      <c r="H40" s="186" t="s">
        <v>139</v>
      </c>
      <c r="I40" s="186"/>
      <c r="J40" s="186"/>
      <c r="K40" s="186"/>
      <c r="L40" s="186" t="s">
        <v>143</v>
      </c>
      <c r="M40" s="186"/>
      <c r="N40" s="186"/>
      <c r="O40" s="186"/>
      <c r="P40" s="96" t="s">
        <v>127</v>
      </c>
    </row>
    <row r="41" spans="1:16" x14ac:dyDescent="0.25">
      <c r="A41" s="102" t="s">
        <v>181</v>
      </c>
      <c r="B41" s="187" t="s">
        <v>158</v>
      </c>
      <c r="C41" s="188"/>
      <c r="D41" s="188"/>
      <c r="E41" s="188"/>
      <c r="F41" s="188"/>
      <c r="G41" s="189"/>
      <c r="H41" s="186" t="s">
        <v>139</v>
      </c>
      <c r="I41" s="186"/>
      <c r="J41" s="186"/>
      <c r="K41" s="186"/>
      <c r="L41" s="186" t="s">
        <v>143</v>
      </c>
      <c r="M41" s="186"/>
      <c r="N41" s="186"/>
      <c r="O41" s="186"/>
      <c r="P41" s="96" t="s">
        <v>127</v>
      </c>
    </row>
    <row r="42" spans="1:16" x14ac:dyDescent="0.25">
      <c r="A42" s="102" t="s">
        <v>182</v>
      </c>
      <c r="B42" s="187" t="s">
        <v>163</v>
      </c>
      <c r="C42" s="188"/>
      <c r="D42" s="188"/>
      <c r="E42" s="188"/>
      <c r="F42" s="188"/>
      <c r="G42" s="189"/>
      <c r="H42" s="186" t="s">
        <v>139</v>
      </c>
      <c r="I42" s="186"/>
      <c r="J42" s="186"/>
      <c r="K42" s="186"/>
      <c r="L42" s="186" t="s">
        <v>143</v>
      </c>
      <c r="M42" s="186"/>
      <c r="N42" s="186"/>
      <c r="O42" s="186"/>
      <c r="P42" s="96" t="s">
        <v>127</v>
      </c>
    </row>
    <row r="43" spans="1:16" x14ac:dyDescent="0.25">
      <c r="A43" s="102" t="s">
        <v>183</v>
      </c>
      <c r="B43" s="187" t="s">
        <v>164</v>
      </c>
      <c r="C43" s="188"/>
      <c r="D43" s="188"/>
      <c r="E43" s="188"/>
      <c r="F43" s="188"/>
      <c r="G43" s="189"/>
      <c r="H43" s="186" t="s">
        <v>139</v>
      </c>
      <c r="I43" s="186"/>
      <c r="J43" s="186"/>
      <c r="K43" s="186"/>
      <c r="L43" s="186" t="s">
        <v>143</v>
      </c>
      <c r="M43" s="186"/>
      <c r="N43" s="186"/>
      <c r="O43" s="186"/>
      <c r="P43" s="96" t="s">
        <v>127</v>
      </c>
    </row>
    <row r="44" spans="1:16" x14ac:dyDescent="0.25">
      <c r="A44" s="102" t="s">
        <v>184</v>
      </c>
      <c r="B44" s="187" t="s">
        <v>165</v>
      </c>
      <c r="C44" s="188"/>
      <c r="D44" s="188"/>
      <c r="E44" s="188"/>
      <c r="F44" s="188"/>
      <c r="G44" s="189"/>
      <c r="H44" s="186" t="s">
        <v>139</v>
      </c>
      <c r="I44" s="186"/>
      <c r="J44" s="186"/>
      <c r="K44" s="186"/>
      <c r="L44" s="186" t="s">
        <v>143</v>
      </c>
      <c r="M44" s="186"/>
      <c r="N44" s="186"/>
      <c r="O44" s="186"/>
      <c r="P44" s="96" t="s">
        <v>127</v>
      </c>
    </row>
    <row r="45" spans="1:16" x14ac:dyDescent="0.25">
      <c r="A45" s="102" t="s">
        <v>185</v>
      </c>
      <c r="B45" s="187" t="s">
        <v>166</v>
      </c>
      <c r="C45" s="188"/>
      <c r="D45" s="188"/>
      <c r="E45" s="188"/>
      <c r="F45" s="188"/>
      <c r="G45" s="189"/>
      <c r="H45" s="186" t="s">
        <v>139</v>
      </c>
      <c r="I45" s="186"/>
      <c r="J45" s="186"/>
      <c r="K45" s="186"/>
      <c r="L45" s="186" t="s">
        <v>143</v>
      </c>
      <c r="M45" s="186"/>
      <c r="N45" s="186"/>
      <c r="O45" s="186"/>
      <c r="P45" s="96" t="s">
        <v>127</v>
      </c>
    </row>
    <row r="46" spans="1:16" x14ac:dyDescent="0.25">
      <c r="A46" s="102" t="s">
        <v>186</v>
      </c>
      <c r="B46" s="187" t="s">
        <v>167</v>
      </c>
      <c r="C46" s="188"/>
      <c r="D46" s="188"/>
      <c r="E46" s="188"/>
      <c r="F46" s="188"/>
      <c r="G46" s="189"/>
      <c r="H46" s="186" t="s">
        <v>139</v>
      </c>
      <c r="I46" s="186"/>
      <c r="J46" s="186"/>
      <c r="K46" s="186"/>
      <c r="L46" s="186" t="s">
        <v>143</v>
      </c>
      <c r="M46" s="186"/>
      <c r="N46" s="186"/>
      <c r="O46" s="186"/>
      <c r="P46" s="96" t="s">
        <v>127</v>
      </c>
    </row>
    <row r="47" spans="1:16" x14ac:dyDescent="0.25">
      <c r="A47" s="102" t="s">
        <v>187</v>
      </c>
      <c r="B47" s="187" t="s">
        <v>168</v>
      </c>
      <c r="C47" s="188"/>
      <c r="D47" s="188"/>
      <c r="E47" s="188"/>
      <c r="F47" s="188"/>
      <c r="G47" s="189"/>
      <c r="H47" s="186" t="s">
        <v>139</v>
      </c>
      <c r="I47" s="186"/>
      <c r="J47" s="186"/>
      <c r="K47" s="186"/>
      <c r="L47" s="186" t="s">
        <v>143</v>
      </c>
      <c r="M47" s="186"/>
      <c r="N47" s="186"/>
      <c r="O47" s="186"/>
      <c r="P47" s="96" t="s">
        <v>127</v>
      </c>
    </row>
    <row r="48" spans="1:16" ht="13.2" customHeight="1" x14ac:dyDescent="0.25">
      <c r="A48" s="102" t="s">
        <v>188</v>
      </c>
      <c r="B48" s="187" t="s">
        <v>169</v>
      </c>
      <c r="C48" s="188"/>
      <c r="D48" s="188"/>
      <c r="E48" s="188"/>
      <c r="F48" s="188"/>
      <c r="G48" s="189"/>
      <c r="H48" s="186" t="s">
        <v>193</v>
      </c>
      <c r="I48" s="186"/>
      <c r="J48" s="186"/>
      <c r="K48" s="186"/>
      <c r="L48" s="186" t="s">
        <v>195</v>
      </c>
      <c r="M48" s="186"/>
      <c r="N48" s="186"/>
      <c r="O48" s="186"/>
      <c r="P48" s="96" t="s">
        <v>127</v>
      </c>
    </row>
    <row r="49" spans="1:16" ht="13.2" customHeight="1" x14ac:dyDescent="0.25">
      <c r="A49" s="102" t="s">
        <v>189</v>
      </c>
      <c r="B49" s="187" t="s">
        <v>170</v>
      </c>
      <c r="C49" s="188"/>
      <c r="D49" s="188"/>
      <c r="E49" s="188"/>
      <c r="F49" s="188"/>
      <c r="G49" s="189"/>
      <c r="H49" s="186" t="s">
        <v>193</v>
      </c>
      <c r="I49" s="186"/>
      <c r="J49" s="186"/>
      <c r="K49" s="186"/>
      <c r="L49" s="186" t="s">
        <v>195</v>
      </c>
      <c r="M49" s="186"/>
      <c r="N49" s="186"/>
      <c r="O49" s="186"/>
      <c r="P49" s="96" t="s">
        <v>127</v>
      </c>
    </row>
    <row r="50" spans="1:16" ht="13.2" customHeight="1" x14ac:dyDescent="0.25">
      <c r="A50" s="102" t="s">
        <v>190</v>
      </c>
      <c r="B50" s="187" t="s">
        <v>172</v>
      </c>
      <c r="C50" s="188"/>
      <c r="D50" s="188"/>
      <c r="E50" s="188"/>
      <c r="F50" s="188"/>
      <c r="G50" s="189"/>
      <c r="H50" s="186" t="s">
        <v>193</v>
      </c>
      <c r="I50" s="186"/>
      <c r="J50" s="186"/>
      <c r="K50" s="186"/>
      <c r="L50" s="186" t="s">
        <v>195</v>
      </c>
      <c r="M50" s="186"/>
      <c r="N50" s="186"/>
      <c r="O50" s="186"/>
      <c r="P50" s="96" t="s">
        <v>127</v>
      </c>
    </row>
    <row r="51" spans="1:16" x14ac:dyDescent="0.25">
      <c r="A51" s="102" t="s">
        <v>191</v>
      </c>
      <c r="B51" s="187" t="s">
        <v>167</v>
      </c>
      <c r="C51" s="188"/>
      <c r="D51" s="188"/>
      <c r="E51" s="188"/>
      <c r="F51" s="188"/>
      <c r="G51" s="189"/>
      <c r="H51" s="186" t="s">
        <v>139</v>
      </c>
      <c r="I51" s="186"/>
      <c r="J51" s="186"/>
      <c r="K51" s="186"/>
      <c r="L51" s="186" t="s">
        <v>143</v>
      </c>
      <c r="M51" s="186"/>
      <c r="N51" s="186"/>
      <c r="O51" s="186"/>
      <c r="P51" s="96" t="s">
        <v>127</v>
      </c>
    </row>
    <row r="52" spans="1:16" ht="13.8" thickBot="1" x14ac:dyDescent="0.3">
      <c r="A52" s="102" t="s">
        <v>192</v>
      </c>
      <c r="B52" s="187" t="s">
        <v>173</v>
      </c>
      <c r="C52" s="188"/>
      <c r="D52" s="188"/>
      <c r="E52" s="188"/>
      <c r="F52" s="188"/>
      <c r="G52" s="189"/>
      <c r="H52" s="190" t="s">
        <v>194</v>
      </c>
      <c r="I52" s="190"/>
      <c r="J52" s="190"/>
      <c r="K52" s="190"/>
      <c r="L52" s="190" t="s">
        <v>206</v>
      </c>
      <c r="M52" s="190"/>
      <c r="N52" s="190"/>
      <c r="O52" s="190"/>
      <c r="P52" s="97" t="s">
        <v>127</v>
      </c>
    </row>
    <row r="53" spans="1:16" ht="13.2" customHeight="1" x14ac:dyDescent="0.25">
      <c r="B53" s="98"/>
      <c r="C53" s="98"/>
      <c r="D53" s="98"/>
      <c r="E53" s="98"/>
      <c r="F53" s="98"/>
      <c r="G53" s="98"/>
      <c r="H53" s="98"/>
    </row>
    <row r="54" spans="1:16" ht="13.2" customHeight="1" x14ac:dyDescent="0.25">
      <c r="B54" s="98"/>
      <c r="C54" s="98"/>
      <c r="D54" s="98"/>
      <c r="E54" s="98"/>
      <c r="F54" s="98"/>
      <c r="G54" s="98"/>
      <c r="H54" s="98"/>
    </row>
  </sheetData>
  <mergeCells count="103">
    <mergeCell ref="B39:G39"/>
    <mergeCell ref="H39:K39"/>
    <mergeCell ref="L39:O39"/>
    <mergeCell ref="B47:G47"/>
    <mergeCell ref="H47:K47"/>
    <mergeCell ref="L47:O47"/>
    <mergeCell ref="B50:G50"/>
    <mergeCell ref="H50:K50"/>
    <mergeCell ref="L50:O50"/>
    <mergeCell ref="H40:K40"/>
    <mergeCell ref="L40:O40"/>
    <mergeCell ref="B41:G41"/>
    <mergeCell ref="H41:K41"/>
    <mergeCell ref="L41:O41"/>
    <mergeCell ref="B42:G42"/>
    <mergeCell ref="H42:K42"/>
    <mergeCell ref="L42:O42"/>
    <mergeCell ref="B43:G43"/>
    <mergeCell ref="H43:K43"/>
    <mergeCell ref="L43:O43"/>
    <mergeCell ref="B51:G51"/>
    <mergeCell ref="H51:K51"/>
    <mergeCell ref="L51:O51"/>
    <mergeCell ref="L49:O49"/>
    <mergeCell ref="B48:G48"/>
    <mergeCell ref="H48:K48"/>
    <mergeCell ref="L48:O48"/>
    <mergeCell ref="B44:G44"/>
    <mergeCell ref="H44:K44"/>
    <mergeCell ref="L44:O44"/>
    <mergeCell ref="B45:G45"/>
    <mergeCell ref="H45:K45"/>
    <mergeCell ref="L45:O45"/>
    <mergeCell ref="B46:G46"/>
    <mergeCell ref="H46:K46"/>
    <mergeCell ref="L46:O46"/>
    <mergeCell ref="A16:A19"/>
    <mergeCell ref="B16:G19"/>
    <mergeCell ref="B1:G1"/>
    <mergeCell ref="B3:G3"/>
    <mergeCell ref="B7:G7"/>
    <mergeCell ref="A11:A14"/>
    <mergeCell ref="B11:G14"/>
    <mergeCell ref="B34:G34"/>
    <mergeCell ref="H34:K34"/>
    <mergeCell ref="B30:G30"/>
    <mergeCell ref="H30:K30"/>
    <mergeCell ref="B31:G31"/>
    <mergeCell ref="H31:K31"/>
    <mergeCell ref="B32:G32"/>
    <mergeCell ref="H32:K32"/>
    <mergeCell ref="B33:G33"/>
    <mergeCell ref="H33:K33"/>
    <mergeCell ref="B23:G23"/>
    <mergeCell ref="H23:K23"/>
    <mergeCell ref="B27:G27"/>
    <mergeCell ref="H27:K27"/>
    <mergeCell ref="B29:G29"/>
    <mergeCell ref="H29:K29"/>
    <mergeCell ref="L23:O23"/>
    <mergeCell ref="B24:G24"/>
    <mergeCell ref="H24:K24"/>
    <mergeCell ref="L24:O24"/>
    <mergeCell ref="A21:G21"/>
    <mergeCell ref="H21:K21"/>
    <mergeCell ref="L21:O21"/>
    <mergeCell ref="B22:G22"/>
    <mergeCell ref="H22:K22"/>
    <mergeCell ref="L22:O22"/>
    <mergeCell ref="L27:O27"/>
    <mergeCell ref="B28:G28"/>
    <mergeCell ref="H28:K28"/>
    <mergeCell ref="L28:O28"/>
    <mergeCell ref="B25:G25"/>
    <mergeCell ref="H25:K25"/>
    <mergeCell ref="L25:O25"/>
    <mergeCell ref="B26:G26"/>
    <mergeCell ref="H26:K26"/>
    <mergeCell ref="L26:O26"/>
    <mergeCell ref="L29:O29"/>
    <mergeCell ref="B52:G52"/>
    <mergeCell ref="H52:K52"/>
    <mergeCell ref="L52:O52"/>
    <mergeCell ref="B35:G35"/>
    <mergeCell ref="H35:K35"/>
    <mergeCell ref="L35:O35"/>
    <mergeCell ref="L36:O36"/>
    <mergeCell ref="B36:G36"/>
    <mergeCell ref="H36:K36"/>
    <mergeCell ref="B37:G37"/>
    <mergeCell ref="L34:O34"/>
    <mergeCell ref="L30:O30"/>
    <mergeCell ref="L31:O31"/>
    <mergeCell ref="L32:O32"/>
    <mergeCell ref="L33:O33"/>
    <mergeCell ref="H37:K37"/>
    <mergeCell ref="L37:O37"/>
    <mergeCell ref="B38:G38"/>
    <mergeCell ref="H38:K38"/>
    <mergeCell ref="L38:O38"/>
    <mergeCell ref="B40:G40"/>
    <mergeCell ref="B49:G49"/>
    <mergeCell ref="H49:K49"/>
  </mergeCells>
  <phoneticPr fontId="42" type="noConversion"/>
  <conditionalFormatting sqref="B9:B10">
    <cfRule type="cellIs" dxfId="91" priority="51" operator="equal">
      <formula>"Nok"</formula>
    </cfRule>
    <cfRule type="cellIs" dxfId="90" priority="52" operator="equal">
      <formula>"Ok"</formula>
    </cfRule>
  </conditionalFormatting>
  <conditionalFormatting sqref="P52 P22:P38 P40:P48">
    <cfRule type="cellIs" dxfId="89" priority="49" operator="equal">
      <formula>"Nok"</formula>
    </cfRule>
    <cfRule type="cellIs" dxfId="88" priority="50" operator="equal">
      <formula>"Ok"</formula>
    </cfRule>
  </conditionalFormatting>
  <conditionalFormatting sqref="P51">
    <cfRule type="cellIs" dxfId="87" priority="3" operator="equal">
      <formula>"Nok"</formula>
    </cfRule>
    <cfRule type="cellIs" dxfId="86" priority="4" operator="equal">
      <formula>"Ok"</formula>
    </cfRule>
  </conditionalFormatting>
  <conditionalFormatting sqref="P49:P50">
    <cfRule type="cellIs" dxfId="85" priority="5" operator="equal">
      <formula>"Nok"</formula>
    </cfRule>
    <cfRule type="cellIs" dxfId="84" priority="6" operator="equal">
      <formula>"Ok"</formula>
    </cfRule>
  </conditionalFormatting>
  <conditionalFormatting sqref="P39">
    <cfRule type="cellIs" dxfId="83" priority="1" operator="equal">
      <formula>"Nok"</formula>
    </cfRule>
    <cfRule type="cellIs" dxfId="82" priority="2" operator="equal">
      <formula>"Ok"</formula>
    </cfRule>
  </conditionalFormatting>
  <dataValidations count="3">
    <dataValidation type="list" allowBlank="1" showInputMessage="1" showErrorMessage="1" sqref="B9" xr:uid="{665D9DB0-AD61-4CA9-8A20-16D7A337EF9A}">
      <formula1>"Ok, Nok, Not run, NA"</formula1>
    </dataValidation>
    <dataValidation type="list" allowBlank="1" showInputMessage="1" showErrorMessage="1" sqref="B5" xr:uid="{8EE3BCC8-4D5D-48AC-ACFC-D38C2B56DEE5}">
      <formula1>"Nominal, Robustness, Endurance, Qualification, Reviews"</formula1>
    </dataValidation>
    <dataValidation type="list" allowBlank="1" showInputMessage="1" showErrorMessage="1" sqref="P22:P52" xr:uid="{836B55D4-0671-4CC3-A265-A4432A62BD0D}">
      <formula1>"Ok, Nok, Not run, ,"</formula1>
    </dataValidation>
  </dataValidations>
  <pageMargins left="0.7" right="0.7" top="0.75" bottom="0.75" header="0.3" footer="0.3"/>
  <pageSetup paperSize="9" orientation="portrait" r:id="rId1"/>
  <headerFooter>
    <oddFooter>&amp;LNA ver 1.7&amp;R&amp;P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FA5AF-7D86-466C-A541-36EDA8E7BDE8}">
  <sheetPr codeName="Sheet9"/>
  <dimension ref="A1:P31"/>
  <sheetViews>
    <sheetView zoomScaleNormal="100" workbookViewId="0">
      <selection activeCell="B3" sqref="B3:G3"/>
    </sheetView>
  </sheetViews>
  <sheetFormatPr defaultColWidth="9.109375" defaultRowHeight="13.2" x14ac:dyDescent="0.25"/>
  <cols>
    <col min="1" max="1" width="20.109375" style="98" customWidth="1"/>
    <col min="2" max="2" width="18.44140625" style="94" customWidth="1"/>
    <col min="3" max="5" width="9.109375" style="94"/>
    <col min="6" max="6" width="11.88671875" style="94" customWidth="1"/>
    <col min="7" max="7" width="26.5546875" style="94" customWidth="1"/>
    <col min="8" max="10" width="9.5546875" style="94" customWidth="1"/>
    <col min="11" max="11" width="37.88671875" style="94" customWidth="1"/>
    <col min="12" max="14" width="9.5546875" style="94" customWidth="1"/>
    <col min="15" max="15" width="41.88671875" style="94" customWidth="1"/>
    <col min="16" max="16384" width="9.109375" style="94"/>
  </cols>
  <sheetData>
    <row r="1" spans="1:15" ht="13.8" thickBot="1" x14ac:dyDescent="0.3">
      <c r="A1" s="99" t="s">
        <v>41</v>
      </c>
      <c r="B1" s="211" t="s">
        <v>199</v>
      </c>
      <c r="C1" s="212"/>
      <c r="D1" s="212"/>
      <c r="E1" s="212"/>
      <c r="F1" s="212"/>
      <c r="G1" s="21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0" t="s">
        <v>46</v>
      </c>
      <c r="B3" s="214" t="s">
        <v>395</v>
      </c>
      <c r="C3" s="215"/>
      <c r="D3" s="215"/>
      <c r="E3" s="215"/>
      <c r="F3" s="215"/>
      <c r="G3" s="216"/>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9"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9" t="s">
        <v>42</v>
      </c>
      <c r="B7" s="214" t="s">
        <v>231</v>
      </c>
      <c r="C7" s="215"/>
      <c r="D7" s="215"/>
      <c r="E7" s="215"/>
      <c r="F7" s="215"/>
      <c r="G7" s="21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9" t="s">
        <v>43</v>
      </c>
      <c r="B9" s="103" t="s">
        <v>171</v>
      </c>
      <c r="C9" s="73"/>
      <c r="D9" s="74"/>
      <c r="E9" s="74"/>
      <c r="F9" s="74"/>
      <c r="G9" s="74"/>
      <c r="H9" s="74"/>
      <c r="I9" s="74"/>
      <c r="J9" s="74"/>
      <c r="K9" s="74"/>
      <c r="L9" s="74"/>
      <c r="M9" s="74"/>
      <c r="N9" s="74"/>
      <c r="O9" s="74"/>
    </row>
    <row r="10" spans="1:15" ht="13.8" thickBot="1" x14ac:dyDescent="0.3">
      <c r="A10" s="76"/>
      <c r="B10" s="95"/>
      <c r="C10" s="73"/>
      <c r="D10" s="74"/>
      <c r="E10" s="74"/>
      <c r="F10" s="74"/>
      <c r="G10" s="74"/>
      <c r="H10" s="74"/>
      <c r="I10" s="74"/>
      <c r="J10" s="74"/>
      <c r="K10" s="74"/>
      <c r="L10" s="74"/>
      <c r="M10" s="74"/>
      <c r="N10" s="74"/>
      <c r="O10" s="74"/>
    </row>
    <row r="11" spans="1:15" ht="12" customHeight="1" x14ac:dyDescent="0.25">
      <c r="A11" s="200" t="s">
        <v>112</v>
      </c>
      <c r="B11" s="202" t="s">
        <v>128</v>
      </c>
      <c r="C11" s="203"/>
      <c r="D11" s="203"/>
      <c r="E11" s="203"/>
      <c r="F11" s="203"/>
      <c r="G11" s="204"/>
      <c r="H11" s="74"/>
      <c r="I11" s="74"/>
      <c r="J11" s="74"/>
      <c r="K11" s="74"/>
      <c r="L11" s="74"/>
      <c r="M11" s="74"/>
      <c r="N11" s="74"/>
      <c r="O11" s="74"/>
    </row>
    <row r="12" spans="1:15" x14ac:dyDescent="0.25">
      <c r="A12" s="201"/>
      <c r="B12" s="205"/>
      <c r="C12" s="206"/>
      <c r="D12" s="206"/>
      <c r="E12" s="206"/>
      <c r="F12" s="206"/>
      <c r="G12" s="207"/>
      <c r="H12" s="74"/>
      <c r="I12" s="74"/>
      <c r="J12" s="74"/>
      <c r="K12" s="74"/>
      <c r="L12" s="74"/>
      <c r="M12" s="74"/>
      <c r="N12" s="74"/>
      <c r="O12" s="74"/>
    </row>
    <row r="13" spans="1:15" x14ac:dyDescent="0.25">
      <c r="A13" s="201"/>
      <c r="B13" s="205"/>
      <c r="C13" s="206"/>
      <c r="D13" s="206"/>
      <c r="E13" s="206"/>
      <c r="F13" s="206"/>
      <c r="G13" s="207"/>
      <c r="H13" s="72"/>
      <c r="I13" s="74"/>
      <c r="J13" s="74"/>
      <c r="K13" s="74"/>
      <c r="L13" s="74"/>
      <c r="M13" s="74"/>
      <c r="N13" s="74"/>
      <c r="O13" s="74"/>
    </row>
    <row r="14" spans="1:15" ht="13.8" thickBot="1" x14ac:dyDescent="0.3">
      <c r="A14" s="201"/>
      <c r="B14" s="208"/>
      <c r="C14" s="209"/>
      <c r="D14" s="209"/>
      <c r="E14" s="209"/>
      <c r="F14" s="209"/>
      <c r="G14" s="210"/>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0" t="s">
        <v>44</v>
      </c>
      <c r="B16" s="202" t="s">
        <v>136</v>
      </c>
      <c r="C16" s="203"/>
      <c r="D16" s="203"/>
      <c r="E16" s="203"/>
      <c r="F16" s="203"/>
      <c r="G16" s="204"/>
      <c r="H16" s="74"/>
      <c r="I16" s="74"/>
      <c r="J16" s="74"/>
      <c r="K16" s="74"/>
      <c r="L16" s="74"/>
      <c r="M16" s="74"/>
      <c r="N16" s="74"/>
      <c r="O16" s="74"/>
    </row>
    <row r="17" spans="1:16" x14ac:dyDescent="0.25">
      <c r="A17" s="201"/>
      <c r="B17" s="205"/>
      <c r="C17" s="206"/>
      <c r="D17" s="206"/>
      <c r="E17" s="206"/>
      <c r="F17" s="206"/>
      <c r="G17" s="207"/>
      <c r="H17" s="74"/>
      <c r="I17" s="74"/>
      <c r="J17" s="74"/>
      <c r="K17" s="74"/>
      <c r="L17" s="74"/>
      <c r="M17" s="74"/>
      <c r="N17" s="74"/>
      <c r="O17" s="74"/>
    </row>
    <row r="18" spans="1:16" x14ac:dyDescent="0.25">
      <c r="A18" s="201"/>
      <c r="B18" s="205"/>
      <c r="C18" s="206"/>
      <c r="D18" s="206"/>
      <c r="E18" s="206"/>
      <c r="F18" s="206"/>
      <c r="G18" s="207"/>
      <c r="H18" s="72"/>
      <c r="I18" s="74"/>
      <c r="J18" s="74"/>
      <c r="K18" s="74"/>
      <c r="L18" s="74"/>
      <c r="M18" s="74"/>
      <c r="N18" s="74"/>
      <c r="O18" s="74"/>
    </row>
    <row r="19" spans="1:16" ht="13.8" thickBot="1" x14ac:dyDescent="0.3">
      <c r="A19" s="201"/>
      <c r="B19" s="208"/>
      <c r="C19" s="209"/>
      <c r="D19" s="209"/>
      <c r="E19" s="209"/>
      <c r="F19" s="209"/>
      <c r="G19" s="210"/>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7" t="s">
        <v>48</v>
      </c>
      <c r="B21" s="198"/>
      <c r="C21" s="198"/>
      <c r="D21" s="198"/>
      <c r="E21" s="198"/>
      <c r="F21" s="198"/>
      <c r="G21" s="199"/>
      <c r="H21" s="197" t="s">
        <v>49</v>
      </c>
      <c r="I21" s="198"/>
      <c r="J21" s="198"/>
      <c r="K21" s="199"/>
      <c r="L21" s="197" t="s">
        <v>60</v>
      </c>
      <c r="M21" s="198"/>
      <c r="N21" s="198"/>
      <c r="O21" s="199"/>
      <c r="P21" s="101" t="s">
        <v>47</v>
      </c>
    </row>
    <row r="22" spans="1:16" ht="13.2" customHeight="1" x14ac:dyDescent="0.25">
      <c r="A22" s="102" t="s">
        <v>50</v>
      </c>
      <c r="B22" s="187" t="s">
        <v>200</v>
      </c>
      <c r="C22" s="188"/>
      <c r="D22" s="188"/>
      <c r="E22" s="188"/>
      <c r="F22" s="188"/>
      <c r="G22" s="189"/>
      <c r="H22" s="186"/>
      <c r="I22" s="186"/>
      <c r="J22" s="186"/>
      <c r="K22" s="186"/>
      <c r="L22" s="186"/>
      <c r="M22" s="186"/>
      <c r="N22" s="186"/>
      <c r="O22" s="186"/>
      <c r="P22" s="96"/>
    </row>
    <row r="23" spans="1:16" ht="13.2" customHeight="1" x14ac:dyDescent="0.25">
      <c r="A23" s="102" t="s">
        <v>51</v>
      </c>
      <c r="B23" s="187" t="s">
        <v>137</v>
      </c>
      <c r="C23" s="188"/>
      <c r="D23" s="188"/>
      <c r="E23" s="188"/>
      <c r="F23" s="188"/>
      <c r="G23" s="189"/>
      <c r="H23" s="186"/>
      <c r="I23" s="186"/>
      <c r="J23" s="186"/>
      <c r="K23" s="186"/>
      <c r="L23" s="186"/>
      <c r="M23" s="186"/>
      <c r="N23" s="186"/>
      <c r="O23" s="186"/>
      <c r="P23" s="96"/>
    </row>
    <row r="24" spans="1:16" ht="13.5" customHeight="1" x14ac:dyDescent="0.25">
      <c r="A24" s="102" t="s">
        <v>52</v>
      </c>
      <c r="B24" s="194" t="s">
        <v>138</v>
      </c>
      <c r="C24" s="195"/>
      <c r="D24" s="195"/>
      <c r="E24" s="195"/>
      <c r="F24" s="195"/>
      <c r="G24" s="196"/>
      <c r="H24" s="186" t="s">
        <v>139</v>
      </c>
      <c r="I24" s="186"/>
      <c r="J24" s="186"/>
      <c r="K24" s="186"/>
      <c r="L24" s="186" t="s">
        <v>140</v>
      </c>
      <c r="M24" s="186"/>
      <c r="N24" s="186"/>
      <c r="O24" s="186"/>
      <c r="P24" s="96" t="s">
        <v>127</v>
      </c>
    </row>
    <row r="25" spans="1:16" ht="13.2" customHeight="1" x14ac:dyDescent="0.25">
      <c r="A25" s="102" t="s">
        <v>53</v>
      </c>
      <c r="B25" s="187" t="s">
        <v>165</v>
      </c>
      <c r="C25" s="188"/>
      <c r="D25" s="188"/>
      <c r="E25" s="188"/>
      <c r="F25" s="188"/>
      <c r="G25" s="189"/>
      <c r="H25" s="186" t="s">
        <v>139</v>
      </c>
      <c r="I25" s="186"/>
      <c r="J25" s="186"/>
      <c r="K25" s="186"/>
      <c r="L25" s="186" t="s">
        <v>143</v>
      </c>
      <c r="M25" s="186"/>
      <c r="N25" s="186"/>
      <c r="O25" s="186"/>
      <c r="P25" s="96" t="s">
        <v>127</v>
      </c>
    </row>
    <row r="26" spans="1:16" ht="36.75" customHeight="1" x14ac:dyDescent="0.25">
      <c r="A26" s="102" t="s">
        <v>54</v>
      </c>
      <c r="B26" s="191" t="s">
        <v>201</v>
      </c>
      <c r="C26" s="192"/>
      <c r="D26" s="192"/>
      <c r="E26" s="192"/>
      <c r="F26" s="192"/>
      <c r="G26" s="193"/>
      <c r="H26" s="186" t="s">
        <v>139</v>
      </c>
      <c r="I26" s="186"/>
      <c r="J26" s="186"/>
      <c r="K26" s="186"/>
      <c r="L26" s="186" t="s">
        <v>203</v>
      </c>
      <c r="M26" s="186"/>
      <c r="N26" s="186"/>
      <c r="O26" s="186"/>
      <c r="P26" s="96" t="s">
        <v>171</v>
      </c>
    </row>
    <row r="27" spans="1:16" ht="39" customHeight="1" x14ac:dyDescent="0.25">
      <c r="A27" s="102" t="s">
        <v>55</v>
      </c>
      <c r="B27" s="187" t="s">
        <v>202</v>
      </c>
      <c r="C27" s="188"/>
      <c r="D27" s="188"/>
      <c r="E27" s="188"/>
      <c r="F27" s="188"/>
      <c r="G27" s="189"/>
      <c r="H27" s="186" t="s">
        <v>139</v>
      </c>
      <c r="I27" s="186"/>
      <c r="J27" s="186"/>
      <c r="K27" s="186"/>
      <c r="L27" s="186" t="s">
        <v>143</v>
      </c>
      <c r="M27" s="186"/>
      <c r="N27" s="186"/>
      <c r="O27" s="186"/>
      <c r="P27" s="96" t="s">
        <v>127</v>
      </c>
    </row>
    <row r="28" spans="1:16" ht="42.6" customHeight="1" x14ac:dyDescent="0.25">
      <c r="A28" s="102" t="s">
        <v>56</v>
      </c>
      <c r="B28" s="187" t="s">
        <v>365</v>
      </c>
      <c r="C28" s="188"/>
      <c r="D28" s="188"/>
      <c r="E28" s="188"/>
      <c r="F28" s="188"/>
      <c r="G28" s="189"/>
      <c r="H28" s="186" t="s">
        <v>139</v>
      </c>
      <c r="I28" s="186"/>
      <c r="J28" s="186"/>
      <c r="K28" s="186"/>
      <c r="L28" s="186" t="s">
        <v>204</v>
      </c>
      <c r="M28" s="186"/>
      <c r="N28" s="186"/>
      <c r="O28" s="186"/>
      <c r="P28" s="96" t="s">
        <v>127</v>
      </c>
    </row>
    <row r="29" spans="1:16" ht="13.8" thickBot="1" x14ac:dyDescent="0.3">
      <c r="A29" s="102" t="s">
        <v>57</v>
      </c>
      <c r="B29" s="187" t="s">
        <v>173</v>
      </c>
      <c r="C29" s="188"/>
      <c r="D29" s="188"/>
      <c r="E29" s="188"/>
      <c r="F29" s="188"/>
      <c r="G29" s="189"/>
      <c r="H29" s="190" t="s">
        <v>194</v>
      </c>
      <c r="I29" s="190"/>
      <c r="J29" s="190"/>
      <c r="K29" s="190"/>
      <c r="L29" s="190" t="s">
        <v>205</v>
      </c>
      <c r="M29" s="190"/>
      <c r="N29" s="190"/>
      <c r="O29" s="190"/>
      <c r="P29" s="97" t="s">
        <v>127</v>
      </c>
    </row>
    <row r="30" spans="1:16" ht="13.2" customHeight="1" x14ac:dyDescent="0.25">
      <c r="B30" s="98"/>
      <c r="C30" s="98"/>
      <c r="D30" s="98"/>
      <c r="E30" s="98"/>
      <c r="F30" s="98"/>
      <c r="G30" s="98"/>
      <c r="H30" s="98"/>
    </row>
    <row r="31" spans="1:16" ht="13.2" customHeight="1" x14ac:dyDescent="0.25">
      <c r="B31" s="98"/>
      <c r="C31" s="98"/>
      <c r="D31" s="98"/>
      <c r="E31" s="98"/>
      <c r="F31" s="98"/>
      <c r="G31" s="98"/>
      <c r="H31" s="98"/>
    </row>
  </sheetData>
  <mergeCells count="34">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9:G29"/>
    <mergeCell ref="H29:K29"/>
    <mergeCell ref="L29:O29"/>
    <mergeCell ref="B27:G27"/>
    <mergeCell ref="H27:K27"/>
    <mergeCell ref="L27:O27"/>
    <mergeCell ref="B28:G28"/>
    <mergeCell ref="H28:K28"/>
    <mergeCell ref="L28:O28"/>
  </mergeCells>
  <phoneticPr fontId="43" type="noConversion"/>
  <conditionalFormatting sqref="B9:B10">
    <cfRule type="cellIs" dxfId="81" priority="9" operator="equal">
      <formula>"Nok"</formula>
    </cfRule>
    <cfRule type="cellIs" dxfId="80" priority="10" operator="equal">
      <formula>"Ok"</formula>
    </cfRule>
  </conditionalFormatting>
  <conditionalFormatting sqref="P22:P29">
    <cfRule type="cellIs" dxfId="79" priority="7" operator="equal">
      <formula>"Nok"</formula>
    </cfRule>
    <cfRule type="cellIs" dxfId="78" priority="8" operator="equal">
      <formula>"Ok"</formula>
    </cfRule>
  </conditionalFormatting>
  <dataValidations count="3">
    <dataValidation type="list" allowBlank="1" showInputMessage="1" showErrorMessage="1" sqref="B5" xr:uid="{E617AA13-294B-4015-A87F-91EB260DB672}">
      <formula1>"Nominal, Robustness, Endurance, Qualification, Reviews"</formula1>
    </dataValidation>
    <dataValidation type="list" allowBlank="1" showInputMessage="1" showErrorMessage="1" sqref="B9" xr:uid="{93D9D3BC-C5AF-4C63-8CD2-629C4D227253}">
      <formula1>"Ok, Nok, Not run, NA"</formula1>
    </dataValidation>
    <dataValidation type="list" allowBlank="1" showInputMessage="1" showErrorMessage="1" sqref="P22:P29" xr:uid="{59694438-3871-459F-A6B7-7DBACF417AC0}">
      <formula1>"Ok, Nok, Not run, ,"</formula1>
    </dataValidation>
  </dataValidations>
  <pageMargins left="0.7" right="0.7" top="0.75" bottom="0.75" header="0.3" footer="0.3"/>
  <pageSetup paperSize="9" orientation="portrait" r:id="rId1"/>
  <headerFooter>
    <oddFooter>&amp;LNA ver 1.7&amp;R&amp;P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E86BD-C86C-4186-AD46-3E0830E8EB94}">
  <sheetPr codeName="Sheet10"/>
  <dimension ref="A1:P43"/>
  <sheetViews>
    <sheetView workbookViewId="0">
      <selection activeCell="B3" sqref="B3:G3"/>
    </sheetView>
  </sheetViews>
  <sheetFormatPr defaultColWidth="9.109375" defaultRowHeight="13.2" x14ac:dyDescent="0.25"/>
  <cols>
    <col min="1" max="1" width="20.109375" style="98" customWidth="1"/>
    <col min="2" max="2" width="18.44140625" style="94" customWidth="1"/>
    <col min="3" max="6" width="9.109375" style="94"/>
    <col min="7" max="7" width="26.5546875" style="94" customWidth="1"/>
    <col min="8" max="10" width="9.5546875" style="94" customWidth="1"/>
    <col min="11" max="11" width="37.88671875" style="94" customWidth="1"/>
    <col min="12" max="14" width="9.5546875" style="94" customWidth="1"/>
    <col min="15" max="15" width="41.88671875" style="94" customWidth="1"/>
    <col min="16" max="16384" width="9.109375" style="94"/>
  </cols>
  <sheetData>
    <row r="1" spans="1:15" ht="13.8" thickBot="1" x14ac:dyDescent="0.3">
      <c r="A1" s="99" t="s">
        <v>41</v>
      </c>
      <c r="B1" s="211" t="s">
        <v>207</v>
      </c>
      <c r="C1" s="212"/>
      <c r="D1" s="212"/>
      <c r="E1" s="212"/>
      <c r="F1" s="212"/>
      <c r="G1" s="21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0" t="s">
        <v>46</v>
      </c>
      <c r="B3" s="217" t="s">
        <v>386</v>
      </c>
      <c r="C3" s="218"/>
      <c r="D3" s="218"/>
      <c r="E3" s="218"/>
      <c r="F3" s="218"/>
      <c r="G3" s="219"/>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9"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9" t="s">
        <v>42</v>
      </c>
      <c r="B7" s="214" t="s">
        <v>232</v>
      </c>
      <c r="C7" s="215"/>
      <c r="D7" s="215"/>
      <c r="E7" s="215"/>
      <c r="F7" s="215"/>
      <c r="G7" s="21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9" t="s">
        <v>43</v>
      </c>
      <c r="B9" s="103" t="s">
        <v>127</v>
      </c>
      <c r="C9" s="73"/>
      <c r="D9" s="74"/>
      <c r="E9" s="74"/>
      <c r="F9" s="74"/>
      <c r="G9" s="74"/>
      <c r="H9" s="74"/>
      <c r="I9" s="74"/>
      <c r="J9" s="74"/>
      <c r="K9" s="74"/>
      <c r="L9" s="74"/>
      <c r="M9" s="74"/>
      <c r="N9" s="74"/>
      <c r="O9" s="74"/>
    </row>
    <row r="10" spans="1:15" ht="13.8" thickBot="1" x14ac:dyDescent="0.3">
      <c r="A10" s="76"/>
      <c r="B10" s="95"/>
      <c r="C10" s="73"/>
      <c r="D10" s="74"/>
      <c r="E10" s="74"/>
      <c r="F10" s="74"/>
      <c r="G10" s="74"/>
      <c r="H10" s="74"/>
      <c r="I10" s="74"/>
      <c r="J10" s="74"/>
      <c r="K10" s="74"/>
      <c r="L10" s="74"/>
      <c r="M10" s="74"/>
      <c r="N10" s="74"/>
      <c r="O10" s="74"/>
    </row>
    <row r="11" spans="1:15" ht="12" customHeight="1" x14ac:dyDescent="0.25">
      <c r="A11" s="200" t="s">
        <v>112</v>
      </c>
      <c r="B11" s="202" t="s">
        <v>128</v>
      </c>
      <c r="C11" s="203"/>
      <c r="D11" s="203"/>
      <c r="E11" s="203"/>
      <c r="F11" s="203"/>
      <c r="G11" s="204"/>
      <c r="H11" s="74"/>
      <c r="I11" s="74"/>
      <c r="J11" s="74"/>
      <c r="K11" s="74"/>
      <c r="L11" s="74"/>
      <c r="M11" s="74"/>
      <c r="N11" s="74"/>
      <c r="O11" s="74"/>
    </row>
    <row r="12" spans="1:15" x14ac:dyDescent="0.25">
      <c r="A12" s="201"/>
      <c r="B12" s="205"/>
      <c r="C12" s="206"/>
      <c r="D12" s="206"/>
      <c r="E12" s="206"/>
      <c r="F12" s="206"/>
      <c r="G12" s="207"/>
      <c r="H12" s="74"/>
      <c r="I12" s="74"/>
      <c r="J12" s="74"/>
      <c r="K12" s="74"/>
      <c r="L12" s="74"/>
      <c r="M12" s="74"/>
      <c r="N12" s="74"/>
      <c r="O12" s="74"/>
    </row>
    <row r="13" spans="1:15" x14ac:dyDescent="0.25">
      <c r="A13" s="201"/>
      <c r="B13" s="205"/>
      <c r="C13" s="206"/>
      <c r="D13" s="206"/>
      <c r="E13" s="206"/>
      <c r="F13" s="206"/>
      <c r="G13" s="207"/>
      <c r="H13" s="72"/>
      <c r="I13" s="74"/>
      <c r="J13" s="74"/>
      <c r="K13" s="74"/>
      <c r="L13" s="74"/>
      <c r="M13" s="74"/>
      <c r="N13" s="74"/>
      <c r="O13" s="74"/>
    </row>
    <row r="14" spans="1:15" ht="13.8" thickBot="1" x14ac:dyDescent="0.3">
      <c r="A14" s="201"/>
      <c r="B14" s="208"/>
      <c r="C14" s="209"/>
      <c r="D14" s="209"/>
      <c r="E14" s="209"/>
      <c r="F14" s="209"/>
      <c r="G14" s="210"/>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0" t="s">
        <v>44</v>
      </c>
      <c r="B16" s="202" t="s">
        <v>208</v>
      </c>
      <c r="C16" s="203"/>
      <c r="D16" s="203"/>
      <c r="E16" s="203"/>
      <c r="F16" s="203"/>
      <c r="G16" s="204"/>
      <c r="H16" s="74"/>
      <c r="I16" s="74"/>
      <c r="J16" s="74"/>
      <c r="K16" s="74"/>
      <c r="L16" s="74"/>
      <c r="M16" s="74"/>
      <c r="N16" s="74"/>
      <c r="O16" s="74"/>
    </row>
    <row r="17" spans="1:16" x14ac:dyDescent="0.25">
      <c r="A17" s="201"/>
      <c r="B17" s="205"/>
      <c r="C17" s="206"/>
      <c r="D17" s="206"/>
      <c r="E17" s="206"/>
      <c r="F17" s="206"/>
      <c r="G17" s="207"/>
      <c r="H17" s="74"/>
      <c r="I17" s="74"/>
      <c r="J17" s="74"/>
      <c r="K17" s="74"/>
      <c r="L17" s="74"/>
      <c r="M17" s="74"/>
      <c r="N17" s="74"/>
      <c r="O17" s="74"/>
    </row>
    <row r="18" spans="1:16" x14ac:dyDescent="0.25">
      <c r="A18" s="201"/>
      <c r="B18" s="205"/>
      <c r="C18" s="206"/>
      <c r="D18" s="206"/>
      <c r="E18" s="206"/>
      <c r="F18" s="206"/>
      <c r="G18" s="207"/>
      <c r="H18" s="72"/>
      <c r="I18" s="74"/>
      <c r="J18" s="74"/>
      <c r="K18" s="74"/>
      <c r="L18" s="74"/>
      <c r="M18" s="74"/>
      <c r="N18" s="74"/>
      <c r="O18" s="74"/>
    </row>
    <row r="19" spans="1:16" ht="13.8" thickBot="1" x14ac:dyDescent="0.3">
      <c r="A19" s="201"/>
      <c r="B19" s="208"/>
      <c r="C19" s="209"/>
      <c r="D19" s="209"/>
      <c r="E19" s="209"/>
      <c r="F19" s="209"/>
      <c r="G19" s="210"/>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7" t="s">
        <v>48</v>
      </c>
      <c r="B21" s="198"/>
      <c r="C21" s="198"/>
      <c r="D21" s="198"/>
      <c r="E21" s="198"/>
      <c r="F21" s="198"/>
      <c r="G21" s="199"/>
      <c r="H21" s="197" t="s">
        <v>49</v>
      </c>
      <c r="I21" s="198"/>
      <c r="J21" s="198"/>
      <c r="K21" s="199"/>
      <c r="L21" s="197" t="s">
        <v>60</v>
      </c>
      <c r="M21" s="198"/>
      <c r="N21" s="198"/>
      <c r="O21" s="199"/>
      <c r="P21" s="101" t="s">
        <v>47</v>
      </c>
    </row>
    <row r="22" spans="1:16" ht="49.2" customHeight="1" x14ac:dyDescent="0.25">
      <c r="A22" s="102" t="s">
        <v>50</v>
      </c>
      <c r="B22" s="191" t="s">
        <v>209</v>
      </c>
      <c r="C22" s="192"/>
      <c r="D22" s="192"/>
      <c r="E22" s="192"/>
      <c r="F22" s="192"/>
      <c r="G22" s="193"/>
      <c r="H22" s="186" t="s">
        <v>223</v>
      </c>
      <c r="I22" s="186"/>
      <c r="J22" s="186"/>
      <c r="K22" s="186"/>
      <c r="L22" s="186" t="s">
        <v>224</v>
      </c>
      <c r="M22" s="186"/>
      <c r="N22" s="186"/>
      <c r="O22" s="186"/>
      <c r="P22" s="96" t="s">
        <v>127</v>
      </c>
    </row>
    <row r="23" spans="1:16" ht="13.2" customHeight="1" x14ac:dyDescent="0.25">
      <c r="A23" s="102" t="s">
        <v>51</v>
      </c>
      <c r="B23" s="191" t="s">
        <v>375</v>
      </c>
      <c r="C23" s="192"/>
      <c r="D23" s="192"/>
      <c r="E23" s="192"/>
      <c r="F23" s="192"/>
      <c r="G23" s="193"/>
      <c r="H23" s="186" t="s">
        <v>139</v>
      </c>
      <c r="I23" s="186"/>
      <c r="J23" s="186"/>
      <c r="K23" s="186"/>
      <c r="L23" s="186" t="s">
        <v>225</v>
      </c>
      <c r="M23" s="186"/>
      <c r="N23" s="186"/>
      <c r="O23" s="186"/>
      <c r="P23" s="96" t="s">
        <v>127</v>
      </c>
    </row>
    <row r="24" spans="1:16" ht="13.5" customHeight="1" x14ac:dyDescent="0.25">
      <c r="A24" s="102" t="s">
        <v>52</v>
      </c>
      <c r="B24" s="187" t="s">
        <v>167</v>
      </c>
      <c r="C24" s="188"/>
      <c r="D24" s="188"/>
      <c r="E24" s="188"/>
      <c r="F24" s="188"/>
      <c r="G24" s="189"/>
      <c r="H24" s="186" t="s">
        <v>139</v>
      </c>
      <c r="I24" s="186"/>
      <c r="J24" s="186"/>
      <c r="K24" s="186"/>
      <c r="L24" s="186" t="s">
        <v>226</v>
      </c>
      <c r="M24" s="186"/>
      <c r="N24" s="186"/>
      <c r="O24" s="186"/>
      <c r="P24" s="96" t="s">
        <v>127</v>
      </c>
    </row>
    <row r="25" spans="1:16" ht="13.2" customHeight="1" x14ac:dyDescent="0.25">
      <c r="A25" s="102" t="s">
        <v>53</v>
      </c>
      <c r="B25" s="187" t="s">
        <v>210</v>
      </c>
      <c r="C25" s="188"/>
      <c r="D25" s="188"/>
      <c r="E25" s="188"/>
      <c r="F25" s="188"/>
      <c r="G25" s="189"/>
      <c r="H25" s="186" t="s">
        <v>139</v>
      </c>
      <c r="I25" s="186"/>
      <c r="J25" s="186"/>
      <c r="K25" s="186"/>
      <c r="L25" s="186" t="s">
        <v>143</v>
      </c>
      <c r="M25" s="186"/>
      <c r="N25" s="186"/>
      <c r="O25" s="186"/>
      <c r="P25" s="96" t="s">
        <v>127</v>
      </c>
    </row>
    <row r="26" spans="1:16" x14ac:dyDescent="0.25">
      <c r="A26" s="102" t="s">
        <v>54</v>
      </c>
      <c r="B26" s="187" t="s">
        <v>211</v>
      </c>
      <c r="C26" s="188"/>
      <c r="D26" s="188"/>
      <c r="E26" s="188"/>
      <c r="F26" s="188"/>
      <c r="G26" s="189"/>
      <c r="H26" s="186" t="s">
        <v>139</v>
      </c>
      <c r="I26" s="186"/>
      <c r="J26" s="186"/>
      <c r="K26" s="186"/>
      <c r="L26" s="186" t="s">
        <v>143</v>
      </c>
      <c r="M26" s="186"/>
      <c r="N26" s="186"/>
      <c r="O26" s="186"/>
      <c r="P26" s="96" t="s">
        <v>127</v>
      </c>
    </row>
    <row r="27" spans="1:16" x14ac:dyDescent="0.25">
      <c r="A27" s="102" t="s">
        <v>55</v>
      </c>
      <c r="B27" s="187" t="s">
        <v>212</v>
      </c>
      <c r="C27" s="188"/>
      <c r="D27" s="188"/>
      <c r="E27" s="188"/>
      <c r="F27" s="188"/>
      <c r="G27" s="189"/>
      <c r="H27" s="186" t="s">
        <v>139</v>
      </c>
      <c r="I27" s="186"/>
      <c r="J27" s="186"/>
      <c r="K27" s="186"/>
      <c r="L27" s="186" t="s">
        <v>143</v>
      </c>
      <c r="M27" s="186"/>
      <c r="N27" s="186"/>
      <c r="O27" s="186"/>
      <c r="P27" s="96" t="s">
        <v>127</v>
      </c>
    </row>
    <row r="28" spans="1:16" ht="16.2" customHeight="1" x14ac:dyDescent="0.25">
      <c r="A28" s="102" t="s">
        <v>56</v>
      </c>
      <c r="B28" s="187" t="s">
        <v>213</v>
      </c>
      <c r="C28" s="188"/>
      <c r="D28" s="188"/>
      <c r="E28" s="188"/>
      <c r="F28" s="188"/>
      <c r="G28" s="189"/>
      <c r="H28" s="186" t="s">
        <v>139</v>
      </c>
      <c r="I28" s="186"/>
      <c r="J28" s="186"/>
      <c r="K28" s="186"/>
      <c r="L28" s="186" t="s">
        <v>143</v>
      </c>
      <c r="M28" s="186"/>
      <c r="N28" s="186"/>
      <c r="O28" s="186"/>
      <c r="P28" s="96" t="s">
        <v>127</v>
      </c>
    </row>
    <row r="29" spans="1:16" ht="14.1" customHeight="1" x14ac:dyDescent="0.25">
      <c r="A29" s="102" t="s">
        <v>58</v>
      </c>
      <c r="B29" s="187" t="s">
        <v>344</v>
      </c>
      <c r="C29" s="188"/>
      <c r="D29" s="188"/>
      <c r="E29" s="188"/>
      <c r="F29" s="188"/>
      <c r="G29" s="189"/>
      <c r="H29" s="186" t="s">
        <v>139</v>
      </c>
      <c r="I29" s="186"/>
      <c r="J29" s="186"/>
      <c r="K29" s="186"/>
      <c r="L29" s="186" t="s">
        <v>143</v>
      </c>
      <c r="M29" s="186"/>
      <c r="N29" s="186"/>
      <c r="O29" s="186"/>
      <c r="P29" s="96" t="s">
        <v>127</v>
      </c>
    </row>
    <row r="30" spans="1:16" ht="16.2" customHeight="1" x14ac:dyDescent="0.25">
      <c r="A30" s="102" t="s">
        <v>152</v>
      </c>
      <c r="B30" s="187" t="s">
        <v>216</v>
      </c>
      <c r="C30" s="188"/>
      <c r="D30" s="188"/>
      <c r="E30" s="188"/>
      <c r="F30" s="188"/>
      <c r="G30" s="189"/>
      <c r="H30" s="186" t="s">
        <v>139</v>
      </c>
      <c r="I30" s="186"/>
      <c r="J30" s="186"/>
      <c r="K30" s="186"/>
      <c r="L30" s="186" t="s">
        <v>143</v>
      </c>
      <c r="M30" s="186"/>
      <c r="N30" s="186"/>
      <c r="O30" s="186"/>
      <c r="P30" s="96" t="s">
        <v>127</v>
      </c>
    </row>
    <row r="31" spans="1:16" x14ac:dyDescent="0.25">
      <c r="A31" s="102" t="s">
        <v>174</v>
      </c>
      <c r="B31" s="187" t="s">
        <v>217</v>
      </c>
      <c r="C31" s="188"/>
      <c r="D31" s="188"/>
      <c r="E31" s="188"/>
      <c r="F31" s="188"/>
      <c r="G31" s="189"/>
      <c r="H31" s="186" t="s">
        <v>139</v>
      </c>
      <c r="I31" s="186"/>
      <c r="J31" s="186"/>
      <c r="K31" s="186"/>
      <c r="L31" s="186" t="s">
        <v>143</v>
      </c>
      <c r="M31" s="186"/>
      <c r="N31" s="186"/>
      <c r="O31" s="186"/>
      <c r="P31" s="96" t="s">
        <v>127</v>
      </c>
    </row>
    <row r="32" spans="1:16" ht="14.1" customHeight="1" x14ac:dyDescent="0.25">
      <c r="A32" s="102" t="s">
        <v>58</v>
      </c>
      <c r="B32" s="187" t="s">
        <v>219</v>
      </c>
      <c r="C32" s="188"/>
      <c r="D32" s="188"/>
      <c r="E32" s="188"/>
      <c r="F32" s="188"/>
      <c r="G32" s="189"/>
      <c r="H32" s="186" t="s">
        <v>139</v>
      </c>
      <c r="I32" s="186"/>
      <c r="J32" s="186"/>
      <c r="K32" s="186"/>
      <c r="L32" s="186" t="s">
        <v>143</v>
      </c>
      <c r="M32" s="186"/>
      <c r="N32" s="186"/>
      <c r="O32" s="186"/>
      <c r="P32" s="96" t="s">
        <v>127</v>
      </c>
    </row>
    <row r="33" spans="1:16" ht="16.2" customHeight="1" x14ac:dyDescent="0.25">
      <c r="A33" s="102" t="s">
        <v>152</v>
      </c>
      <c r="B33" s="187" t="s">
        <v>214</v>
      </c>
      <c r="C33" s="188"/>
      <c r="D33" s="188"/>
      <c r="E33" s="188"/>
      <c r="F33" s="188"/>
      <c r="G33" s="189"/>
      <c r="H33" s="186" t="s">
        <v>139</v>
      </c>
      <c r="I33" s="186"/>
      <c r="J33" s="186"/>
      <c r="K33" s="186"/>
      <c r="L33" s="186" t="s">
        <v>143</v>
      </c>
      <c r="M33" s="186"/>
      <c r="N33" s="186"/>
      <c r="O33" s="186"/>
      <c r="P33" s="96" t="s">
        <v>127</v>
      </c>
    </row>
    <row r="34" spans="1:16" ht="13.2" customHeight="1" x14ac:dyDescent="0.25">
      <c r="A34" s="102" t="s">
        <v>153</v>
      </c>
      <c r="B34" s="187" t="s">
        <v>215</v>
      </c>
      <c r="C34" s="188"/>
      <c r="D34" s="188"/>
      <c r="E34" s="188"/>
      <c r="F34" s="188"/>
      <c r="G34" s="189"/>
      <c r="H34" s="186" t="s">
        <v>139</v>
      </c>
      <c r="I34" s="186"/>
      <c r="J34" s="186"/>
      <c r="K34" s="186"/>
      <c r="L34" s="186" t="s">
        <v>143</v>
      </c>
      <c r="M34" s="186"/>
      <c r="N34" s="186"/>
      <c r="O34" s="186"/>
      <c r="P34" s="96" t="s">
        <v>127</v>
      </c>
    </row>
    <row r="35" spans="1:16" ht="14.1" customHeight="1" x14ac:dyDescent="0.25">
      <c r="A35" s="102" t="s">
        <v>58</v>
      </c>
      <c r="B35" s="187" t="s">
        <v>212</v>
      </c>
      <c r="C35" s="188"/>
      <c r="D35" s="188"/>
      <c r="E35" s="188"/>
      <c r="F35" s="188"/>
      <c r="G35" s="189"/>
      <c r="H35" s="186" t="s">
        <v>139</v>
      </c>
      <c r="I35" s="186"/>
      <c r="J35" s="186"/>
      <c r="K35" s="186"/>
      <c r="L35" s="186" t="s">
        <v>143</v>
      </c>
      <c r="M35" s="186"/>
      <c r="N35" s="186"/>
      <c r="O35" s="186"/>
      <c r="P35" s="96" t="s">
        <v>127</v>
      </c>
    </row>
    <row r="36" spans="1:16" ht="16.2" customHeight="1" x14ac:dyDescent="0.25">
      <c r="A36" s="102" t="s">
        <v>152</v>
      </c>
      <c r="B36" s="187" t="s">
        <v>213</v>
      </c>
      <c r="C36" s="188"/>
      <c r="D36" s="188"/>
      <c r="E36" s="188"/>
      <c r="F36" s="188"/>
      <c r="G36" s="189"/>
      <c r="H36" s="186" t="s">
        <v>139</v>
      </c>
      <c r="I36" s="186"/>
      <c r="J36" s="186"/>
      <c r="K36" s="186"/>
      <c r="L36" s="186" t="s">
        <v>143</v>
      </c>
      <c r="M36" s="186"/>
      <c r="N36" s="186"/>
      <c r="O36" s="186"/>
      <c r="P36" s="96" t="s">
        <v>127</v>
      </c>
    </row>
    <row r="37" spans="1:16" x14ac:dyDescent="0.25">
      <c r="A37" s="102" t="s">
        <v>176</v>
      </c>
      <c r="B37" s="187" t="s">
        <v>218</v>
      </c>
      <c r="C37" s="188"/>
      <c r="D37" s="188"/>
      <c r="E37" s="188"/>
      <c r="F37" s="188"/>
      <c r="G37" s="189"/>
      <c r="H37" s="186" t="s">
        <v>139</v>
      </c>
      <c r="I37" s="186"/>
      <c r="J37" s="186"/>
      <c r="K37" s="186"/>
      <c r="L37" s="186" t="s">
        <v>143</v>
      </c>
      <c r="M37" s="186"/>
      <c r="N37" s="186"/>
      <c r="O37" s="186"/>
      <c r="P37" s="96" t="s">
        <v>127</v>
      </c>
    </row>
    <row r="38" spans="1:16" x14ac:dyDescent="0.25">
      <c r="A38" s="102" t="s">
        <v>177</v>
      </c>
      <c r="B38" s="187" t="s">
        <v>220</v>
      </c>
      <c r="C38" s="188"/>
      <c r="D38" s="188"/>
      <c r="E38" s="188"/>
      <c r="F38" s="188"/>
      <c r="G38" s="189"/>
      <c r="H38" s="186" t="s">
        <v>139</v>
      </c>
      <c r="I38" s="186"/>
      <c r="J38" s="186"/>
      <c r="K38" s="186"/>
      <c r="L38" s="186" t="s">
        <v>143</v>
      </c>
      <c r="M38" s="186"/>
      <c r="N38" s="186"/>
      <c r="O38" s="186"/>
      <c r="P38" s="96" t="s">
        <v>127</v>
      </c>
    </row>
    <row r="39" spans="1:16" x14ac:dyDescent="0.25">
      <c r="A39" s="102" t="s">
        <v>178</v>
      </c>
      <c r="B39" s="187" t="s">
        <v>221</v>
      </c>
      <c r="C39" s="188"/>
      <c r="D39" s="188"/>
      <c r="E39" s="188"/>
      <c r="F39" s="188"/>
      <c r="G39" s="189"/>
      <c r="H39" s="186" t="s">
        <v>139</v>
      </c>
      <c r="I39" s="186"/>
      <c r="J39" s="186"/>
      <c r="K39" s="186"/>
      <c r="L39" s="186" t="s">
        <v>143</v>
      </c>
      <c r="M39" s="186"/>
      <c r="N39" s="186"/>
      <c r="O39" s="186"/>
      <c r="P39" s="96" t="s">
        <v>127</v>
      </c>
    </row>
    <row r="40" spans="1:16" x14ac:dyDescent="0.25">
      <c r="A40" s="102" t="s">
        <v>179</v>
      </c>
      <c r="B40" s="187" t="s">
        <v>222</v>
      </c>
      <c r="C40" s="188"/>
      <c r="D40" s="188"/>
      <c r="E40" s="188"/>
      <c r="F40" s="188"/>
      <c r="G40" s="189"/>
      <c r="H40" s="186" t="s">
        <v>139</v>
      </c>
      <c r="I40" s="186"/>
      <c r="J40" s="186"/>
      <c r="K40" s="186"/>
      <c r="L40" s="186" t="s">
        <v>143</v>
      </c>
      <c r="M40" s="186"/>
      <c r="N40" s="186"/>
      <c r="O40" s="186"/>
      <c r="P40" s="96" t="s">
        <v>127</v>
      </c>
    </row>
    <row r="41" spans="1:16" ht="13.8" thickBot="1" x14ac:dyDescent="0.3">
      <c r="A41" s="102" t="s">
        <v>180</v>
      </c>
      <c r="B41" s="187" t="s">
        <v>173</v>
      </c>
      <c r="C41" s="188"/>
      <c r="D41" s="188"/>
      <c r="E41" s="188"/>
      <c r="F41" s="188"/>
      <c r="G41" s="189"/>
      <c r="H41" s="190" t="s">
        <v>194</v>
      </c>
      <c r="I41" s="190"/>
      <c r="J41" s="190"/>
      <c r="K41" s="190"/>
      <c r="L41" s="190" t="s">
        <v>206</v>
      </c>
      <c r="M41" s="190"/>
      <c r="N41" s="190"/>
      <c r="O41" s="190"/>
      <c r="P41" s="96" t="s">
        <v>127</v>
      </c>
    </row>
    <row r="42" spans="1:16" ht="13.2" customHeight="1" x14ac:dyDescent="0.25">
      <c r="B42" s="98"/>
      <c r="C42" s="98"/>
      <c r="D42" s="98"/>
      <c r="E42" s="98"/>
      <c r="F42" s="98"/>
      <c r="G42" s="98"/>
      <c r="H42" s="98"/>
    </row>
    <row r="43" spans="1:16" ht="13.2" customHeight="1" x14ac:dyDescent="0.25">
      <c r="B43" s="98"/>
      <c r="C43" s="98"/>
      <c r="D43" s="98"/>
      <c r="E43" s="98"/>
      <c r="F43" s="98"/>
      <c r="G43" s="98"/>
      <c r="H43" s="98"/>
    </row>
  </sheetData>
  <mergeCells count="70">
    <mergeCell ref="H30:K30"/>
    <mergeCell ref="L30:O30"/>
    <mergeCell ref="B31:G31"/>
    <mergeCell ref="H31:K31"/>
    <mergeCell ref="L31:O31"/>
    <mergeCell ref="B35:G35"/>
    <mergeCell ref="H35:K35"/>
    <mergeCell ref="L35:O35"/>
    <mergeCell ref="B36:G36"/>
    <mergeCell ref="H36:K36"/>
    <mergeCell ref="L36:O36"/>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7:G27"/>
    <mergeCell ref="H27:K27"/>
    <mergeCell ref="L27:O27"/>
    <mergeCell ref="B25:G25"/>
    <mergeCell ref="H25:K25"/>
    <mergeCell ref="L25:O25"/>
    <mergeCell ref="B26:G26"/>
    <mergeCell ref="H26:K26"/>
    <mergeCell ref="L26:O26"/>
    <mergeCell ref="B28:G28"/>
    <mergeCell ref="H28:K28"/>
    <mergeCell ref="L28:O28"/>
    <mergeCell ref="H34:K34"/>
    <mergeCell ref="L34:O34"/>
    <mergeCell ref="B32:G32"/>
    <mergeCell ref="H32:K32"/>
    <mergeCell ref="L32:O32"/>
    <mergeCell ref="B33:G33"/>
    <mergeCell ref="H33:K33"/>
    <mergeCell ref="L33:O33"/>
    <mergeCell ref="B34:G34"/>
    <mergeCell ref="B29:G29"/>
    <mergeCell ref="H29:K29"/>
    <mergeCell ref="L29:O29"/>
    <mergeCell ref="B30:G30"/>
    <mergeCell ref="B37:G37"/>
    <mergeCell ref="H37:K37"/>
    <mergeCell ref="L37:O37"/>
    <mergeCell ref="B38:G38"/>
    <mergeCell ref="H38:K38"/>
    <mergeCell ref="L38:O38"/>
    <mergeCell ref="B39:G39"/>
    <mergeCell ref="H39:K39"/>
    <mergeCell ref="L39:O39"/>
    <mergeCell ref="B41:G41"/>
    <mergeCell ref="H41:K41"/>
    <mergeCell ref="L41:O41"/>
    <mergeCell ref="B40:G40"/>
    <mergeCell ref="H40:K40"/>
    <mergeCell ref="L40:O40"/>
  </mergeCells>
  <phoneticPr fontId="43" type="noConversion"/>
  <conditionalFormatting sqref="B9:B10">
    <cfRule type="cellIs" dxfId="77" priority="15" operator="equal">
      <formula>"Nok"</formula>
    </cfRule>
    <cfRule type="cellIs" dxfId="76" priority="16" operator="equal">
      <formula>"Ok"</formula>
    </cfRule>
  </conditionalFormatting>
  <conditionalFormatting sqref="P22:P41">
    <cfRule type="cellIs" dxfId="75" priority="13" operator="equal">
      <formula>"Nok"</formula>
    </cfRule>
    <cfRule type="cellIs" dxfId="74" priority="14" operator="equal">
      <formula>"Ok"</formula>
    </cfRule>
  </conditionalFormatting>
  <dataValidations count="3">
    <dataValidation type="list" allowBlank="1" showInputMessage="1" showErrorMessage="1" sqref="B5" xr:uid="{1E6C450F-AC16-4E1E-A1B1-F6BC6E24F810}">
      <formula1>"Nominal, Robustness, Endurance, Qualification, Reviews"</formula1>
    </dataValidation>
    <dataValidation type="list" allowBlank="1" showInputMessage="1" showErrorMessage="1" sqref="B9" xr:uid="{DBC22CE9-8D4B-4818-A30A-5085D29A5DB5}">
      <formula1>"Ok, Nok, Not run, NA"</formula1>
    </dataValidation>
    <dataValidation type="list" allowBlank="1" showInputMessage="1" showErrorMessage="1" sqref="P22:P41" xr:uid="{5FD0E689-419C-467F-9966-198434477018}">
      <formula1>"Ok, Nok, Not run, ,"</formula1>
    </dataValidation>
  </dataValidations>
  <pageMargins left="0.7" right="0.7" top="0.75" bottom="0.75" header="0.3" footer="0.3"/>
  <pageSetup paperSize="9" orientation="portrait" r:id="rId1"/>
  <headerFooter>
    <oddFooter>&amp;LNA ver 1.7&amp;R&amp;P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415E7-ECF5-4E18-AF55-564EB39D0600}">
  <sheetPr codeName="Sheet11"/>
  <dimension ref="A1:P25"/>
  <sheetViews>
    <sheetView zoomScaleNormal="100" workbookViewId="0">
      <selection activeCell="B3" sqref="B3:G3"/>
    </sheetView>
  </sheetViews>
  <sheetFormatPr defaultColWidth="9.109375" defaultRowHeight="13.2" x14ac:dyDescent="0.25"/>
  <cols>
    <col min="1" max="1" width="20.109375" style="98" customWidth="1"/>
    <col min="2" max="2" width="18.44140625" style="94" customWidth="1"/>
    <col min="3" max="5" width="9.109375" style="94"/>
    <col min="6" max="6" width="15.88671875" style="94" customWidth="1"/>
    <col min="7" max="7" width="26.5546875" style="94" customWidth="1"/>
    <col min="8" max="10" width="9.5546875" style="94" customWidth="1"/>
    <col min="11" max="11" width="37.88671875" style="94" customWidth="1"/>
    <col min="12" max="14" width="9.5546875" style="94" customWidth="1"/>
    <col min="15" max="15" width="41.88671875" style="94" customWidth="1"/>
    <col min="16" max="16384" width="9.109375" style="94"/>
  </cols>
  <sheetData>
    <row r="1" spans="1:15" ht="13.8" thickBot="1" x14ac:dyDescent="0.3">
      <c r="A1" s="99" t="s">
        <v>41</v>
      </c>
      <c r="B1" s="211" t="s">
        <v>227</v>
      </c>
      <c r="C1" s="212"/>
      <c r="D1" s="212"/>
      <c r="E1" s="212"/>
      <c r="F1" s="212"/>
      <c r="G1" s="21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0" t="s">
        <v>46</v>
      </c>
      <c r="B3" s="214" t="s">
        <v>228</v>
      </c>
      <c r="C3" s="215"/>
      <c r="D3" s="215"/>
      <c r="E3" s="215"/>
      <c r="F3" s="215"/>
      <c r="G3" s="216"/>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9"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9" t="s">
        <v>42</v>
      </c>
      <c r="B7" s="214" t="s">
        <v>233</v>
      </c>
      <c r="C7" s="215"/>
      <c r="D7" s="215"/>
      <c r="E7" s="215"/>
      <c r="F7" s="215"/>
      <c r="G7" s="21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9" t="s">
        <v>43</v>
      </c>
      <c r="B9" s="103" t="s">
        <v>127</v>
      </c>
      <c r="C9" s="73"/>
      <c r="D9" s="74"/>
      <c r="E9" s="74"/>
      <c r="F9" s="74"/>
      <c r="G9" s="74"/>
      <c r="H9" s="74"/>
      <c r="I9" s="74"/>
      <c r="J9" s="74"/>
      <c r="K9" s="74"/>
      <c r="L9" s="74"/>
      <c r="M9" s="74"/>
      <c r="N9" s="74"/>
      <c r="O9" s="74"/>
    </row>
    <row r="10" spans="1:15" ht="13.8" thickBot="1" x14ac:dyDescent="0.3">
      <c r="A10" s="76"/>
      <c r="B10" s="95"/>
      <c r="C10" s="73"/>
      <c r="D10" s="74"/>
      <c r="E10" s="74"/>
      <c r="F10" s="74"/>
      <c r="G10" s="74"/>
      <c r="H10" s="74"/>
      <c r="I10" s="74"/>
      <c r="J10" s="74"/>
      <c r="K10" s="74"/>
      <c r="L10" s="74"/>
      <c r="M10" s="74"/>
      <c r="N10" s="74"/>
      <c r="O10" s="74"/>
    </row>
    <row r="11" spans="1:15" ht="12" customHeight="1" x14ac:dyDescent="0.25">
      <c r="A11" s="200" t="s">
        <v>112</v>
      </c>
      <c r="B11" s="202" t="s">
        <v>128</v>
      </c>
      <c r="C11" s="203"/>
      <c r="D11" s="203"/>
      <c r="E11" s="203"/>
      <c r="F11" s="203"/>
      <c r="G11" s="204"/>
      <c r="H11" s="74"/>
      <c r="I11" s="74"/>
      <c r="J11" s="74"/>
      <c r="K11" s="74"/>
      <c r="L11" s="74"/>
      <c r="M11" s="74"/>
      <c r="N11" s="74"/>
      <c r="O11" s="74"/>
    </row>
    <row r="12" spans="1:15" x14ac:dyDescent="0.25">
      <c r="A12" s="201"/>
      <c r="B12" s="205"/>
      <c r="C12" s="206"/>
      <c r="D12" s="206"/>
      <c r="E12" s="206"/>
      <c r="F12" s="206"/>
      <c r="G12" s="207"/>
      <c r="H12" s="74"/>
      <c r="I12" s="74"/>
      <c r="J12" s="74"/>
      <c r="K12" s="74"/>
      <c r="L12" s="74"/>
      <c r="M12" s="74"/>
      <c r="N12" s="74"/>
      <c r="O12" s="74"/>
    </row>
    <row r="13" spans="1:15" x14ac:dyDescent="0.25">
      <c r="A13" s="201"/>
      <c r="B13" s="205"/>
      <c r="C13" s="206"/>
      <c r="D13" s="206"/>
      <c r="E13" s="206"/>
      <c r="F13" s="206"/>
      <c r="G13" s="207"/>
      <c r="H13" s="72"/>
      <c r="I13" s="74"/>
      <c r="J13" s="74"/>
      <c r="K13" s="74"/>
      <c r="L13" s="74"/>
      <c r="M13" s="74"/>
      <c r="N13" s="74"/>
      <c r="O13" s="74"/>
    </row>
    <row r="14" spans="1:15" ht="13.8" thickBot="1" x14ac:dyDescent="0.3">
      <c r="A14" s="201"/>
      <c r="B14" s="208"/>
      <c r="C14" s="209"/>
      <c r="D14" s="209"/>
      <c r="E14" s="209"/>
      <c r="F14" s="209"/>
      <c r="G14" s="210"/>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0" t="s">
        <v>44</v>
      </c>
      <c r="B16" s="202" t="s">
        <v>208</v>
      </c>
      <c r="C16" s="203"/>
      <c r="D16" s="203"/>
      <c r="E16" s="203"/>
      <c r="F16" s="203"/>
      <c r="G16" s="204"/>
      <c r="H16" s="74"/>
      <c r="I16" s="74"/>
      <c r="J16" s="74"/>
      <c r="K16" s="74"/>
      <c r="L16" s="74"/>
      <c r="M16" s="74"/>
      <c r="N16" s="74"/>
      <c r="O16" s="74"/>
    </row>
    <row r="17" spans="1:16" x14ac:dyDescent="0.25">
      <c r="A17" s="201"/>
      <c r="B17" s="205"/>
      <c r="C17" s="206"/>
      <c r="D17" s="206"/>
      <c r="E17" s="206"/>
      <c r="F17" s="206"/>
      <c r="G17" s="207"/>
      <c r="H17" s="74"/>
      <c r="I17" s="74"/>
      <c r="J17" s="74"/>
      <c r="K17" s="74"/>
      <c r="L17" s="74"/>
      <c r="M17" s="74"/>
      <c r="N17" s="74"/>
      <c r="O17" s="74"/>
    </row>
    <row r="18" spans="1:16" x14ac:dyDescent="0.25">
      <c r="A18" s="201"/>
      <c r="B18" s="205"/>
      <c r="C18" s="206"/>
      <c r="D18" s="206"/>
      <c r="E18" s="206"/>
      <c r="F18" s="206"/>
      <c r="G18" s="207"/>
      <c r="H18" s="72"/>
      <c r="I18" s="74"/>
      <c r="J18" s="74"/>
      <c r="K18" s="74"/>
      <c r="L18" s="74"/>
      <c r="M18" s="74"/>
      <c r="N18" s="74"/>
      <c r="O18" s="74"/>
    </row>
    <row r="19" spans="1:16" ht="13.8" thickBot="1" x14ac:dyDescent="0.3">
      <c r="A19" s="201"/>
      <c r="B19" s="208"/>
      <c r="C19" s="209"/>
      <c r="D19" s="209"/>
      <c r="E19" s="209"/>
      <c r="F19" s="209"/>
      <c r="G19" s="210"/>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7" t="s">
        <v>48</v>
      </c>
      <c r="B21" s="198"/>
      <c r="C21" s="198"/>
      <c r="D21" s="198"/>
      <c r="E21" s="198"/>
      <c r="F21" s="198"/>
      <c r="G21" s="199"/>
      <c r="H21" s="197" t="s">
        <v>49</v>
      </c>
      <c r="I21" s="198"/>
      <c r="J21" s="198"/>
      <c r="K21" s="199"/>
      <c r="L21" s="197" t="s">
        <v>60</v>
      </c>
      <c r="M21" s="198"/>
      <c r="N21" s="198"/>
      <c r="O21" s="199"/>
      <c r="P21" s="101" t="s">
        <v>47</v>
      </c>
    </row>
    <row r="22" spans="1:16" ht="51" customHeight="1" x14ac:dyDescent="0.25">
      <c r="A22" s="102" t="s">
        <v>50</v>
      </c>
      <c r="B22" s="187" t="s">
        <v>367</v>
      </c>
      <c r="C22" s="188"/>
      <c r="D22" s="188"/>
      <c r="E22" s="188"/>
      <c r="F22" s="188"/>
      <c r="G22" s="189"/>
      <c r="H22" s="187" t="s">
        <v>139</v>
      </c>
      <c r="I22" s="188"/>
      <c r="J22" s="188"/>
      <c r="K22" s="189"/>
      <c r="L22" s="187" t="s">
        <v>338</v>
      </c>
      <c r="M22" s="188"/>
      <c r="N22" s="188"/>
      <c r="O22" s="189"/>
      <c r="P22" s="96" t="s">
        <v>127</v>
      </c>
    </row>
    <row r="23" spans="1:16" ht="13.5" customHeight="1" x14ac:dyDescent="0.25">
      <c r="A23" s="102" t="s">
        <v>51</v>
      </c>
      <c r="B23" s="191"/>
      <c r="C23" s="192"/>
      <c r="D23" s="192"/>
      <c r="E23" s="192"/>
      <c r="F23" s="192"/>
      <c r="G23" s="193"/>
      <c r="H23" s="226"/>
      <c r="I23" s="226"/>
      <c r="J23" s="226"/>
      <c r="K23" s="226"/>
      <c r="L23" s="226"/>
      <c r="M23" s="226"/>
      <c r="N23" s="226"/>
      <c r="O23" s="226"/>
      <c r="P23" s="105"/>
    </row>
    <row r="24" spans="1:16" x14ac:dyDescent="0.25">
      <c r="A24" s="102" t="s">
        <v>52</v>
      </c>
      <c r="B24" s="223"/>
      <c r="C24" s="224"/>
      <c r="D24" s="224"/>
      <c r="E24" s="224"/>
      <c r="F24" s="224"/>
      <c r="G24" s="225"/>
      <c r="H24" s="223"/>
      <c r="I24" s="224"/>
      <c r="J24" s="224"/>
      <c r="K24" s="225"/>
      <c r="L24" s="220"/>
      <c r="M24" s="221"/>
      <c r="N24" s="221"/>
      <c r="O24" s="222"/>
      <c r="P24" s="96"/>
    </row>
    <row r="25" spans="1:16" ht="13.2" customHeight="1" x14ac:dyDescent="0.25">
      <c r="B25" s="98"/>
      <c r="C25" s="98"/>
      <c r="D25" s="98"/>
      <c r="E25" s="98"/>
      <c r="F25" s="98"/>
      <c r="G25" s="98"/>
      <c r="H25" s="98"/>
    </row>
  </sheetData>
  <mergeCells count="19">
    <mergeCell ref="L24:O24"/>
    <mergeCell ref="H24:K24"/>
    <mergeCell ref="B24:G24"/>
    <mergeCell ref="A11:A14"/>
    <mergeCell ref="B11:G14"/>
    <mergeCell ref="A16:A19"/>
    <mergeCell ref="B16:G19"/>
    <mergeCell ref="A21:G21"/>
    <mergeCell ref="B23:G23"/>
    <mergeCell ref="H23:K23"/>
    <mergeCell ref="L23:O23"/>
    <mergeCell ref="H22:K22"/>
    <mergeCell ref="L22:O22"/>
    <mergeCell ref="B22:G22"/>
    <mergeCell ref="B1:G1"/>
    <mergeCell ref="B3:G3"/>
    <mergeCell ref="B7:G7"/>
    <mergeCell ref="H21:K21"/>
    <mergeCell ref="L21:O21"/>
  </mergeCells>
  <phoneticPr fontId="44" type="noConversion"/>
  <conditionalFormatting sqref="B9:B10">
    <cfRule type="cellIs" dxfId="73" priority="7" operator="equal">
      <formula>"Nok"</formula>
    </cfRule>
    <cfRule type="cellIs" dxfId="72" priority="8" operator="equal">
      <formula>"Ok"</formula>
    </cfRule>
  </conditionalFormatting>
  <conditionalFormatting sqref="P22">
    <cfRule type="cellIs" dxfId="71" priority="5" operator="equal">
      <formula>"Nok"</formula>
    </cfRule>
    <cfRule type="cellIs" dxfId="70" priority="6" operator="equal">
      <formula>"Ok"</formula>
    </cfRule>
  </conditionalFormatting>
  <conditionalFormatting sqref="P23">
    <cfRule type="cellIs" dxfId="69" priority="3" operator="equal">
      <formula>"Nok"</formula>
    </cfRule>
    <cfRule type="cellIs" dxfId="68" priority="4" operator="equal">
      <formula>"Ok"</formula>
    </cfRule>
  </conditionalFormatting>
  <conditionalFormatting sqref="P24">
    <cfRule type="cellIs" dxfId="67" priority="1" operator="equal">
      <formula>"Nok"</formula>
    </cfRule>
    <cfRule type="cellIs" dxfId="66" priority="2" operator="equal">
      <formula>"Ok"</formula>
    </cfRule>
  </conditionalFormatting>
  <dataValidations count="3">
    <dataValidation type="list" allowBlank="1" showInputMessage="1" showErrorMessage="1" sqref="B9" xr:uid="{C6B0BC59-7678-4C7B-8AE7-B36CA45BD88D}">
      <formula1>"Ok, Nok, Not run, NA"</formula1>
    </dataValidation>
    <dataValidation type="list" allowBlank="1" showInputMessage="1" showErrorMessage="1" sqref="B5" xr:uid="{C78A6D47-843C-4144-A028-382A26A000ED}">
      <formula1>"Nominal, Robustness, Endurance, Qualification, Reviews"</formula1>
    </dataValidation>
    <dataValidation type="list" allowBlank="1" showInputMessage="1" showErrorMessage="1" sqref="P22:P24" xr:uid="{A6E04733-27E3-42CC-AAD7-BA92BC2184A8}">
      <formula1>"Ok, Nok, Not run, ,"</formula1>
    </dataValidation>
  </dataValidations>
  <pageMargins left="0.7" right="0.7" top="0.75" bottom="0.75" header="0.3" footer="0.3"/>
  <pageSetup paperSize="9" orientation="portrait" r:id="rId1"/>
  <headerFooter>
    <oddFooter>&amp;LNA ver 1.7&amp;R&amp;P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56086-EF09-49EA-976D-EB410BD1A3B8}">
  <sheetPr codeName="Sheet12"/>
  <dimension ref="A1:P28"/>
  <sheetViews>
    <sheetView workbookViewId="0">
      <selection activeCell="B26" sqref="B26:G26"/>
    </sheetView>
  </sheetViews>
  <sheetFormatPr defaultColWidth="9.109375" defaultRowHeight="13.2" x14ac:dyDescent="0.25"/>
  <cols>
    <col min="1" max="1" width="20.109375" style="98" customWidth="1"/>
    <col min="2" max="2" width="18.44140625" style="94" customWidth="1"/>
    <col min="3" max="6" width="9.109375" style="94"/>
    <col min="7" max="7" width="26.5546875" style="94" customWidth="1"/>
    <col min="8" max="10" width="9.5546875" style="94" customWidth="1"/>
    <col min="11" max="11" width="37.88671875" style="94" customWidth="1"/>
    <col min="12" max="14" width="9.5546875" style="94" customWidth="1"/>
    <col min="15" max="15" width="41.88671875" style="94" customWidth="1"/>
    <col min="16" max="16384" width="9.109375" style="94"/>
  </cols>
  <sheetData>
    <row r="1" spans="1:15" ht="13.8" thickBot="1" x14ac:dyDescent="0.3">
      <c r="A1" s="99" t="s">
        <v>41</v>
      </c>
      <c r="B1" s="211" t="s">
        <v>229</v>
      </c>
      <c r="C1" s="212"/>
      <c r="D1" s="212"/>
      <c r="E1" s="212"/>
      <c r="F1" s="212"/>
      <c r="G1" s="21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0" t="s">
        <v>46</v>
      </c>
      <c r="B3" s="214" t="s">
        <v>230</v>
      </c>
      <c r="C3" s="215"/>
      <c r="D3" s="215"/>
      <c r="E3" s="215"/>
      <c r="F3" s="215"/>
      <c r="G3" s="216"/>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9"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9" t="s">
        <v>42</v>
      </c>
      <c r="B7" s="214" t="s">
        <v>234</v>
      </c>
      <c r="C7" s="215"/>
      <c r="D7" s="215"/>
      <c r="E7" s="215"/>
      <c r="F7" s="215"/>
      <c r="G7" s="21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9" t="s">
        <v>43</v>
      </c>
      <c r="B9" s="103" t="s">
        <v>127</v>
      </c>
      <c r="C9" s="73"/>
      <c r="D9" s="74"/>
      <c r="E9" s="74"/>
      <c r="F9" s="74"/>
      <c r="G9" s="74"/>
      <c r="H9" s="74"/>
      <c r="I9" s="74"/>
      <c r="J9" s="74"/>
      <c r="K9" s="74"/>
      <c r="L9" s="74"/>
      <c r="M9" s="74"/>
      <c r="N9" s="74"/>
      <c r="O9" s="74"/>
    </row>
    <row r="10" spans="1:15" ht="13.8" thickBot="1" x14ac:dyDescent="0.3">
      <c r="A10" s="76"/>
      <c r="B10" s="95"/>
      <c r="C10" s="73"/>
      <c r="D10" s="74"/>
      <c r="E10" s="74"/>
      <c r="F10" s="74"/>
      <c r="G10" s="74"/>
      <c r="H10" s="74"/>
      <c r="I10" s="74"/>
      <c r="J10" s="74"/>
      <c r="K10" s="74"/>
      <c r="L10" s="74"/>
      <c r="M10" s="74"/>
      <c r="N10" s="74"/>
      <c r="O10" s="74"/>
    </row>
    <row r="11" spans="1:15" ht="12" customHeight="1" x14ac:dyDescent="0.25">
      <c r="A11" s="200" t="s">
        <v>112</v>
      </c>
      <c r="B11" s="202" t="s">
        <v>128</v>
      </c>
      <c r="C11" s="203"/>
      <c r="D11" s="203"/>
      <c r="E11" s="203"/>
      <c r="F11" s="203"/>
      <c r="G11" s="204"/>
      <c r="H11" s="74"/>
      <c r="I11" s="74"/>
      <c r="J11" s="74"/>
      <c r="K11" s="74"/>
      <c r="L11" s="74"/>
      <c r="M11" s="74"/>
      <c r="N11" s="74"/>
      <c r="O11" s="74"/>
    </row>
    <row r="12" spans="1:15" x14ac:dyDescent="0.25">
      <c r="A12" s="201"/>
      <c r="B12" s="205"/>
      <c r="C12" s="206"/>
      <c r="D12" s="206"/>
      <c r="E12" s="206"/>
      <c r="F12" s="206"/>
      <c r="G12" s="207"/>
      <c r="H12" s="74"/>
      <c r="I12" s="74"/>
      <c r="J12" s="74"/>
      <c r="K12" s="74"/>
      <c r="L12" s="74"/>
      <c r="M12" s="74"/>
      <c r="N12" s="74"/>
      <c r="O12" s="74"/>
    </row>
    <row r="13" spans="1:15" x14ac:dyDescent="0.25">
      <c r="A13" s="201"/>
      <c r="B13" s="205"/>
      <c r="C13" s="206"/>
      <c r="D13" s="206"/>
      <c r="E13" s="206"/>
      <c r="F13" s="206"/>
      <c r="G13" s="207"/>
      <c r="H13" s="72"/>
      <c r="I13" s="74"/>
      <c r="J13" s="74"/>
      <c r="K13" s="74"/>
      <c r="L13" s="74"/>
      <c r="M13" s="74"/>
      <c r="N13" s="74"/>
      <c r="O13" s="74"/>
    </row>
    <row r="14" spans="1:15" ht="13.8" thickBot="1" x14ac:dyDescent="0.3">
      <c r="A14" s="201"/>
      <c r="B14" s="208"/>
      <c r="C14" s="209"/>
      <c r="D14" s="209"/>
      <c r="E14" s="209"/>
      <c r="F14" s="209"/>
      <c r="G14" s="210"/>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0" t="s">
        <v>44</v>
      </c>
      <c r="B16" s="202" t="s">
        <v>208</v>
      </c>
      <c r="C16" s="203"/>
      <c r="D16" s="203"/>
      <c r="E16" s="203"/>
      <c r="F16" s="203"/>
      <c r="G16" s="204"/>
      <c r="H16" s="74"/>
      <c r="I16" s="74"/>
      <c r="J16" s="74"/>
      <c r="K16" s="74"/>
      <c r="L16" s="74"/>
      <c r="M16" s="74"/>
      <c r="N16" s="74"/>
      <c r="O16" s="74"/>
    </row>
    <row r="17" spans="1:16" x14ac:dyDescent="0.25">
      <c r="A17" s="201"/>
      <c r="B17" s="205"/>
      <c r="C17" s="206"/>
      <c r="D17" s="206"/>
      <c r="E17" s="206"/>
      <c r="F17" s="206"/>
      <c r="G17" s="207"/>
      <c r="H17" s="74"/>
      <c r="I17" s="74"/>
      <c r="J17" s="74"/>
      <c r="K17" s="74"/>
      <c r="L17" s="74"/>
      <c r="M17" s="74"/>
      <c r="N17" s="74"/>
      <c r="O17" s="74"/>
    </row>
    <row r="18" spans="1:16" x14ac:dyDescent="0.25">
      <c r="A18" s="201"/>
      <c r="B18" s="205"/>
      <c r="C18" s="206"/>
      <c r="D18" s="206"/>
      <c r="E18" s="206"/>
      <c r="F18" s="206"/>
      <c r="G18" s="207"/>
      <c r="H18" s="72"/>
      <c r="I18" s="74"/>
      <c r="J18" s="74"/>
      <c r="K18" s="74"/>
      <c r="L18" s="74"/>
      <c r="M18" s="74"/>
      <c r="N18" s="74"/>
      <c r="O18" s="74"/>
    </row>
    <row r="19" spans="1:16" ht="13.8" thickBot="1" x14ac:dyDescent="0.3">
      <c r="A19" s="201"/>
      <c r="B19" s="208"/>
      <c r="C19" s="209"/>
      <c r="D19" s="209"/>
      <c r="E19" s="209"/>
      <c r="F19" s="209"/>
      <c r="G19" s="210"/>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7" t="s">
        <v>48</v>
      </c>
      <c r="B21" s="198"/>
      <c r="C21" s="198"/>
      <c r="D21" s="198"/>
      <c r="E21" s="198"/>
      <c r="F21" s="198"/>
      <c r="G21" s="199"/>
      <c r="H21" s="197" t="s">
        <v>49</v>
      </c>
      <c r="I21" s="198"/>
      <c r="J21" s="198"/>
      <c r="K21" s="199"/>
      <c r="L21" s="197" t="s">
        <v>60</v>
      </c>
      <c r="M21" s="198"/>
      <c r="N21" s="198"/>
      <c r="O21" s="199"/>
      <c r="P21" s="101" t="s">
        <v>47</v>
      </c>
    </row>
    <row r="22" spans="1:16" ht="52.5" customHeight="1" x14ac:dyDescent="0.25">
      <c r="A22" s="102" t="s">
        <v>50</v>
      </c>
      <c r="B22" s="187" t="s">
        <v>209</v>
      </c>
      <c r="C22" s="188"/>
      <c r="D22" s="188"/>
      <c r="E22" s="188"/>
      <c r="F22" s="188"/>
      <c r="G22" s="189"/>
      <c r="H22" s="186" t="s">
        <v>223</v>
      </c>
      <c r="I22" s="186"/>
      <c r="J22" s="186"/>
      <c r="K22" s="186"/>
      <c r="L22" s="186" t="s">
        <v>224</v>
      </c>
      <c r="M22" s="186"/>
      <c r="N22" s="186"/>
      <c r="O22" s="186"/>
      <c r="P22" s="96" t="s">
        <v>127</v>
      </c>
    </row>
    <row r="23" spans="1:16" ht="13.2" customHeight="1" x14ac:dyDescent="0.25">
      <c r="A23" s="102" t="s">
        <v>51</v>
      </c>
      <c r="B23" s="187" t="s">
        <v>375</v>
      </c>
      <c r="C23" s="188"/>
      <c r="D23" s="188"/>
      <c r="E23" s="188"/>
      <c r="F23" s="188"/>
      <c r="G23" s="189"/>
      <c r="H23" s="186" t="s">
        <v>139</v>
      </c>
      <c r="I23" s="186"/>
      <c r="J23" s="186"/>
      <c r="K23" s="186"/>
      <c r="L23" s="186" t="s">
        <v>225</v>
      </c>
      <c r="M23" s="186"/>
      <c r="N23" s="186"/>
      <c r="O23" s="186"/>
      <c r="P23" s="96" t="s">
        <v>127</v>
      </c>
    </row>
    <row r="24" spans="1:16" x14ac:dyDescent="0.25">
      <c r="A24" s="102" t="s">
        <v>52</v>
      </c>
      <c r="B24" s="187" t="s">
        <v>211</v>
      </c>
      <c r="C24" s="188"/>
      <c r="D24" s="188"/>
      <c r="E24" s="188"/>
      <c r="F24" s="188"/>
      <c r="G24" s="189"/>
      <c r="H24" s="186" t="s">
        <v>139</v>
      </c>
      <c r="I24" s="186"/>
      <c r="J24" s="186"/>
      <c r="K24" s="186"/>
      <c r="L24" s="186" t="s">
        <v>143</v>
      </c>
      <c r="M24" s="186"/>
      <c r="N24" s="186"/>
      <c r="O24" s="186"/>
      <c r="P24" s="96" t="s">
        <v>127</v>
      </c>
    </row>
    <row r="25" spans="1:16" ht="17.7" customHeight="1" x14ac:dyDescent="0.25">
      <c r="A25" s="102" t="s">
        <v>53</v>
      </c>
      <c r="B25" s="187" t="s">
        <v>288</v>
      </c>
      <c r="C25" s="188"/>
      <c r="D25" s="188"/>
      <c r="E25" s="188"/>
      <c r="F25" s="188"/>
      <c r="G25" s="189"/>
      <c r="H25" s="186" t="s">
        <v>287</v>
      </c>
      <c r="I25" s="186"/>
      <c r="J25" s="186"/>
      <c r="K25" s="186"/>
      <c r="L25" s="186" t="s">
        <v>287</v>
      </c>
      <c r="M25" s="186"/>
      <c r="N25" s="186"/>
      <c r="O25" s="186"/>
      <c r="P25" s="96" t="s">
        <v>127</v>
      </c>
    </row>
    <row r="26" spans="1:16" ht="29.1" customHeight="1" x14ac:dyDescent="0.25">
      <c r="A26" s="102" t="s">
        <v>54</v>
      </c>
      <c r="B26" s="187" t="s">
        <v>148</v>
      </c>
      <c r="C26" s="188"/>
      <c r="D26" s="188"/>
      <c r="E26" s="188"/>
      <c r="F26" s="188"/>
      <c r="G26" s="189"/>
      <c r="H26" s="186" t="s">
        <v>139</v>
      </c>
      <c r="I26" s="186"/>
      <c r="J26" s="186"/>
      <c r="K26" s="186"/>
      <c r="L26" s="186" t="s">
        <v>289</v>
      </c>
      <c r="M26" s="186"/>
      <c r="N26" s="186"/>
      <c r="O26" s="186"/>
      <c r="P26" s="96" t="s">
        <v>127</v>
      </c>
    </row>
    <row r="27" spans="1:16" ht="13.2" customHeight="1" x14ac:dyDescent="0.25">
      <c r="B27" s="98"/>
      <c r="C27" s="98"/>
      <c r="D27" s="98"/>
      <c r="E27" s="98"/>
      <c r="F27" s="98"/>
      <c r="G27" s="98"/>
      <c r="H27" s="98"/>
    </row>
    <row r="28" spans="1:16" ht="13.2" customHeight="1" x14ac:dyDescent="0.25">
      <c r="B28" s="98"/>
      <c r="C28" s="98"/>
      <c r="D28" s="98"/>
      <c r="E28" s="98"/>
      <c r="F28" s="98"/>
      <c r="G28" s="98"/>
      <c r="H28" s="98"/>
    </row>
  </sheetData>
  <mergeCells count="25">
    <mergeCell ref="A11:A14"/>
    <mergeCell ref="B11:G14"/>
    <mergeCell ref="B25:G25"/>
    <mergeCell ref="H25:K25"/>
    <mergeCell ref="L25:O25"/>
    <mergeCell ref="A16:A19"/>
    <mergeCell ref="B16:G19"/>
    <mergeCell ref="A21:G21"/>
    <mergeCell ref="H21:K21"/>
    <mergeCell ref="L21:O21"/>
    <mergeCell ref="B22:G22"/>
    <mergeCell ref="H22:K22"/>
    <mergeCell ref="L22:O22"/>
    <mergeCell ref="B23:G23"/>
    <mergeCell ref="H23:K23"/>
    <mergeCell ref="L23:O23"/>
    <mergeCell ref="L24:O24"/>
    <mergeCell ref="B26:G26"/>
    <mergeCell ref="H26:K26"/>
    <mergeCell ref="L26:O26"/>
    <mergeCell ref="B1:G1"/>
    <mergeCell ref="B3:G3"/>
    <mergeCell ref="B7:G7"/>
    <mergeCell ref="B24:G24"/>
    <mergeCell ref="H24:K24"/>
  </mergeCells>
  <phoneticPr fontId="44" type="noConversion"/>
  <conditionalFormatting sqref="B9:B10">
    <cfRule type="cellIs" dxfId="65" priority="5" operator="equal">
      <formula>"Nok"</formula>
    </cfRule>
    <cfRule type="cellIs" dxfId="64" priority="6" operator="equal">
      <formula>"Ok"</formula>
    </cfRule>
  </conditionalFormatting>
  <conditionalFormatting sqref="P22:P26">
    <cfRule type="cellIs" dxfId="63" priority="3" operator="equal">
      <formula>"Nok"</formula>
    </cfRule>
    <cfRule type="cellIs" dxfId="62" priority="4" operator="equal">
      <formula>"Ok"</formula>
    </cfRule>
  </conditionalFormatting>
  <dataValidations count="3">
    <dataValidation type="list" allowBlank="1" showInputMessage="1" showErrorMessage="1" sqref="B9" xr:uid="{C0608675-33EA-432F-AE21-EB8B70D71DD4}">
      <formula1>"Ok, Nok, Not run, NA"</formula1>
    </dataValidation>
    <dataValidation type="list" allowBlank="1" showInputMessage="1" showErrorMessage="1" sqref="B5" xr:uid="{90FE6705-9C4C-42F7-913B-3E56993C83E3}">
      <formula1>"Nominal, Robustness, Endurance, Qualification, Reviews"</formula1>
    </dataValidation>
    <dataValidation type="list" allowBlank="1" showInputMessage="1" showErrorMessage="1" sqref="P22:P26" xr:uid="{0488053A-8AE2-4AC6-9CC1-29315D27DBBC}">
      <formula1>"Ok, Nok, Not run, ,"</formula1>
    </dataValidation>
  </dataValidations>
  <pageMargins left="0.7" right="0.7" top="0.75" bottom="0.75" header="0.3" footer="0.3"/>
  <pageSetup paperSize="9" orientation="portrait" r:id="rId1"/>
  <headerFooter>
    <oddFooter>&amp;LNA ver 1.7&amp;R&amp;P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8553D-877F-4599-9072-377A4174E360}">
  <sheetPr codeName="Sheet13"/>
  <dimension ref="A1:P35"/>
  <sheetViews>
    <sheetView workbookViewId="0">
      <selection activeCell="B4" sqref="B4"/>
    </sheetView>
  </sheetViews>
  <sheetFormatPr defaultColWidth="9.109375" defaultRowHeight="13.2" x14ac:dyDescent="0.25"/>
  <cols>
    <col min="1" max="1" width="20.109375" style="98" customWidth="1"/>
    <col min="2" max="2" width="18.44140625" style="94" customWidth="1"/>
    <col min="3" max="6" width="9.109375" style="94"/>
    <col min="7" max="7" width="26.5546875" style="94" customWidth="1"/>
    <col min="8" max="10" width="9.5546875" style="94" customWidth="1"/>
    <col min="11" max="11" width="37.88671875" style="94" customWidth="1"/>
    <col min="12" max="14" width="9.5546875" style="94" customWidth="1"/>
    <col min="15" max="15" width="41.88671875" style="94" customWidth="1"/>
    <col min="16" max="16384" width="9.109375" style="94"/>
  </cols>
  <sheetData>
    <row r="1" spans="1:15" ht="13.8" thickBot="1" x14ac:dyDescent="0.3">
      <c r="A1" s="99" t="s">
        <v>41</v>
      </c>
      <c r="B1" s="211" t="s">
        <v>242</v>
      </c>
      <c r="C1" s="212"/>
      <c r="D1" s="212"/>
      <c r="E1" s="212"/>
      <c r="F1" s="212"/>
      <c r="G1" s="21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0" t="s">
        <v>46</v>
      </c>
      <c r="B3" s="217" t="s">
        <v>387</v>
      </c>
      <c r="C3" s="218"/>
      <c r="D3" s="218"/>
      <c r="E3" s="218"/>
      <c r="F3" s="218"/>
      <c r="G3" s="219"/>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9"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9" t="s">
        <v>42</v>
      </c>
      <c r="B7" s="214" t="s">
        <v>243</v>
      </c>
      <c r="C7" s="215"/>
      <c r="D7" s="215"/>
      <c r="E7" s="215"/>
      <c r="F7" s="215"/>
      <c r="G7" s="21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9" t="s">
        <v>43</v>
      </c>
      <c r="B9" s="103" t="s">
        <v>127</v>
      </c>
      <c r="C9" s="73"/>
      <c r="D9" s="74"/>
      <c r="E9" s="74"/>
      <c r="F9" s="74"/>
      <c r="G9" s="74"/>
      <c r="H9" s="74"/>
      <c r="I9" s="74"/>
      <c r="J9" s="74"/>
      <c r="K9" s="74"/>
      <c r="L9" s="74"/>
      <c r="M9" s="74"/>
      <c r="N9" s="74"/>
      <c r="O9" s="74"/>
    </row>
    <row r="10" spans="1:15" ht="13.8" thickBot="1" x14ac:dyDescent="0.3">
      <c r="A10" s="76"/>
      <c r="B10" s="95"/>
      <c r="C10" s="73"/>
      <c r="D10" s="74"/>
      <c r="E10" s="74"/>
      <c r="F10" s="74"/>
      <c r="G10" s="74"/>
      <c r="H10" s="74"/>
      <c r="I10" s="74"/>
      <c r="J10" s="74"/>
      <c r="K10" s="74"/>
      <c r="L10" s="74"/>
      <c r="M10" s="74"/>
      <c r="N10" s="74"/>
      <c r="O10" s="74"/>
    </row>
    <row r="11" spans="1:15" ht="12" customHeight="1" x14ac:dyDescent="0.25">
      <c r="A11" s="200" t="s">
        <v>112</v>
      </c>
      <c r="B11" s="202" t="s">
        <v>128</v>
      </c>
      <c r="C11" s="203"/>
      <c r="D11" s="203"/>
      <c r="E11" s="203"/>
      <c r="F11" s="203"/>
      <c r="G11" s="204"/>
      <c r="H11" s="74"/>
      <c r="I11" s="74"/>
      <c r="J11" s="74"/>
      <c r="K11" s="74"/>
      <c r="L11" s="74"/>
      <c r="M11" s="74"/>
      <c r="N11" s="74"/>
      <c r="O11" s="74"/>
    </row>
    <row r="12" spans="1:15" x14ac:dyDescent="0.25">
      <c r="A12" s="201"/>
      <c r="B12" s="205"/>
      <c r="C12" s="206"/>
      <c r="D12" s="206"/>
      <c r="E12" s="206"/>
      <c r="F12" s="206"/>
      <c r="G12" s="207"/>
      <c r="H12" s="74"/>
      <c r="I12" s="74"/>
      <c r="J12" s="74"/>
      <c r="K12" s="74"/>
      <c r="L12" s="74"/>
      <c r="M12" s="74"/>
      <c r="N12" s="74"/>
      <c r="O12" s="74"/>
    </row>
    <row r="13" spans="1:15" x14ac:dyDescent="0.25">
      <c r="A13" s="201"/>
      <c r="B13" s="205"/>
      <c r="C13" s="206"/>
      <c r="D13" s="206"/>
      <c r="E13" s="206"/>
      <c r="F13" s="206"/>
      <c r="G13" s="207"/>
      <c r="H13" s="72"/>
      <c r="I13" s="74"/>
      <c r="J13" s="74"/>
      <c r="K13" s="74"/>
      <c r="L13" s="74"/>
      <c r="M13" s="74"/>
      <c r="N13" s="74"/>
      <c r="O13" s="74"/>
    </row>
    <row r="14" spans="1:15" ht="13.8" thickBot="1" x14ac:dyDescent="0.3">
      <c r="A14" s="201"/>
      <c r="B14" s="208"/>
      <c r="C14" s="209"/>
      <c r="D14" s="209"/>
      <c r="E14" s="209"/>
      <c r="F14" s="209"/>
      <c r="G14" s="210"/>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0" t="s">
        <v>44</v>
      </c>
      <c r="B16" s="228" t="s">
        <v>366</v>
      </c>
      <c r="C16" s="229"/>
      <c r="D16" s="229"/>
      <c r="E16" s="229"/>
      <c r="F16" s="229"/>
      <c r="G16" s="230"/>
      <c r="H16" s="74"/>
      <c r="I16" s="74"/>
      <c r="J16" s="74"/>
      <c r="K16" s="74"/>
      <c r="L16" s="74"/>
      <c r="M16" s="74"/>
      <c r="N16" s="74"/>
      <c r="O16" s="74"/>
    </row>
    <row r="17" spans="1:16" x14ac:dyDescent="0.25">
      <c r="A17" s="201"/>
      <c r="B17" s="231"/>
      <c r="C17" s="232"/>
      <c r="D17" s="232"/>
      <c r="E17" s="232"/>
      <c r="F17" s="232"/>
      <c r="G17" s="233"/>
      <c r="H17" s="74"/>
      <c r="I17" s="74"/>
      <c r="J17" s="74"/>
      <c r="K17" s="74"/>
      <c r="L17" s="74"/>
      <c r="M17" s="74"/>
      <c r="N17" s="74"/>
      <c r="O17" s="74"/>
    </row>
    <row r="18" spans="1:16" x14ac:dyDescent="0.25">
      <c r="A18" s="201"/>
      <c r="B18" s="231"/>
      <c r="C18" s="232"/>
      <c r="D18" s="232"/>
      <c r="E18" s="232"/>
      <c r="F18" s="232"/>
      <c r="G18" s="233"/>
      <c r="H18" s="72"/>
      <c r="I18" s="74"/>
      <c r="J18" s="74"/>
      <c r="K18" s="74"/>
      <c r="L18" s="74"/>
      <c r="M18" s="74"/>
      <c r="N18" s="74"/>
      <c r="O18" s="74"/>
    </row>
    <row r="19" spans="1:16" ht="13.8" thickBot="1" x14ac:dyDescent="0.3">
      <c r="A19" s="201"/>
      <c r="B19" s="234"/>
      <c r="C19" s="235"/>
      <c r="D19" s="235"/>
      <c r="E19" s="235"/>
      <c r="F19" s="235"/>
      <c r="G19" s="236"/>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7" t="s">
        <v>48</v>
      </c>
      <c r="B21" s="198"/>
      <c r="C21" s="198"/>
      <c r="D21" s="198"/>
      <c r="E21" s="198"/>
      <c r="F21" s="198"/>
      <c r="G21" s="199"/>
      <c r="H21" s="197" t="s">
        <v>49</v>
      </c>
      <c r="I21" s="198"/>
      <c r="J21" s="198"/>
      <c r="K21" s="199"/>
      <c r="L21" s="197" t="s">
        <v>60</v>
      </c>
      <c r="M21" s="198"/>
      <c r="N21" s="198"/>
      <c r="O21" s="199"/>
      <c r="P21" s="101" t="s">
        <v>47</v>
      </c>
    </row>
    <row r="22" spans="1:16" ht="49.2" customHeight="1" x14ac:dyDescent="0.25">
      <c r="A22" s="102" t="s">
        <v>50</v>
      </c>
      <c r="B22" s="187" t="s">
        <v>244</v>
      </c>
      <c r="C22" s="188"/>
      <c r="D22" s="188"/>
      <c r="E22" s="188"/>
      <c r="F22" s="188"/>
      <c r="G22" s="189"/>
      <c r="H22" s="186"/>
      <c r="I22" s="186"/>
      <c r="J22" s="186"/>
      <c r="K22" s="186"/>
      <c r="L22" s="186"/>
      <c r="M22" s="186"/>
      <c r="N22" s="186"/>
      <c r="O22" s="186"/>
      <c r="P22" s="96"/>
    </row>
    <row r="23" spans="1:16" ht="13.2" customHeight="1" x14ac:dyDescent="0.25">
      <c r="A23" s="102" t="s">
        <v>51</v>
      </c>
      <c r="B23" s="187" t="s">
        <v>245</v>
      </c>
      <c r="C23" s="188"/>
      <c r="D23" s="188"/>
      <c r="E23" s="188"/>
      <c r="F23" s="188"/>
      <c r="G23" s="189"/>
      <c r="H23" s="186">
        <v>100</v>
      </c>
      <c r="I23" s="186"/>
      <c r="J23" s="186"/>
      <c r="K23" s="186"/>
      <c r="L23" s="186">
        <v>100</v>
      </c>
      <c r="M23" s="186"/>
      <c r="N23" s="186"/>
      <c r="O23" s="186"/>
      <c r="P23" s="96" t="s">
        <v>127</v>
      </c>
    </row>
    <row r="24" spans="1:16" ht="13.5" customHeight="1" x14ac:dyDescent="0.25">
      <c r="A24" s="102" t="s">
        <v>52</v>
      </c>
      <c r="B24" s="187" t="s">
        <v>246</v>
      </c>
      <c r="C24" s="188"/>
      <c r="D24" s="188"/>
      <c r="E24" s="188"/>
      <c r="F24" s="188"/>
      <c r="G24" s="189"/>
      <c r="H24" s="186">
        <v>99</v>
      </c>
      <c r="I24" s="186"/>
      <c r="J24" s="186"/>
      <c r="K24" s="186"/>
      <c r="L24" s="186">
        <v>99</v>
      </c>
      <c r="M24" s="186"/>
      <c r="N24" s="186"/>
      <c r="O24" s="186"/>
      <c r="P24" s="96" t="s">
        <v>127</v>
      </c>
    </row>
    <row r="25" spans="1:16" ht="13.2" customHeight="1" x14ac:dyDescent="0.25">
      <c r="A25" s="102" t="s">
        <v>53</v>
      </c>
      <c r="B25" s="187" t="s">
        <v>247</v>
      </c>
      <c r="C25" s="188"/>
      <c r="D25" s="188"/>
      <c r="E25" s="188"/>
      <c r="F25" s="188"/>
      <c r="G25" s="189"/>
      <c r="H25" s="186">
        <v>90</v>
      </c>
      <c r="I25" s="186"/>
      <c r="J25" s="186"/>
      <c r="K25" s="186"/>
      <c r="L25" s="186">
        <v>90</v>
      </c>
      <c r="M25" s="186"/>
      <c r="N25" s="186"/>
      <c r="O25" s="186"/>
      <c r="P25" s="96" t="s">
        <v>127</v>
      </c>
    </row>
    <row r="26" spans="1:16" ht="13.2" customHeight="1" x14ac:dyDescent="0.25">
      <c r="A26" s="102" t="s">
        <v>54</v>
      </c>
      <c r="B26" s="187" t="s">
        <v>248</v>
      </c>
      <c r="C26" s="188"/>
      <c r="D26" s="188"/>
      <c r="E26" s="188"/>
      <c r="F26" s="188"/>
      <c r="G26" s="189"/>
      <c r="H26" s="186">
        <v>60</v>
      </c>
      <c r="I26" s="186"/>
      <c r="J26" s="186"/>
      <c r="K26" s="186"/>
      <c r="L26" s="186">
        <v>60</v>
      </c>
      <c r="M26" s="186"/>
      <c r="N26" s="186"/>
      <c r="O26" s="186"/>
      <c r="P26" s="96" t="s">
        <v>127</v>
      </c>
    </row>
    <row r="27" spans="1:16" ht="13.2" customHeight="1" x14ac:dyDescent="0.25">
      <c r="A27" s="102" t="s">
        <v>54</v>
      </c>
      <c r="B27" s="187" t="s">
        <v>255</v>
      </c>
      <c r="C27" s="188"/>
      <c r="D27" s="188"/>
      <c r="E27" s="188"/>
      <c r="F27" s="188"/>
      <c r="G27" s="189"/>
      <c r="H27" s="186">
        <v>50</v>
      </c>
      <c r="I27" s="186"/>
      <c r="J27" s="186"/>
      <c r="K27" s="186"/>
      <c r="L27" s="186">
        <v>50</v>
      </c>
      <c r="M27" s="186"/>
      <c r="N27" s="186"/>
      <c r="O27" s="186"/>
      <c r="P27" s="96" t="s">
        <v>127</v>
      </c>
    </row>
    <row r="28" spans="1:16" ht="13.2" customHeight="1" x14ac:dyDescent="0.25">
      <c r="A28" s="102" t="s">
        <v>55</v>
      </c>
      <c r="B28" s="187" t="s">
        <v>249</v>
      </c>
      <c r="C28" s="188"/>
      <c r="D28" s="188"/>
      <c r="E28" s="188"/>
      <c r="F28" s="188"/>
      <c r="G28" s="189"/>
      <c r="H28" s="186">
        <v>30</v>
      </c>
      <c r="I28" s="186"/>
      <c r="J28" s="186"/>
      <c r="K28" s="186"/>
      <c r="L28" s="186">
        <v>30</v>
      </c>
      <c r="M28" s="186"/>
      <c r="N28" s="186"/>
      <c r="O28" s="186"/>
      <c r="P28" s="96" t="s">
        <v>127</v>
      </c>
    </row>
    <row r="29" spans="1:16" ht="16.2" customHeight="1" x14ac:dyDescent="0.25">
      <c r="A29" s="102" t="s">
        <v>56</v>
      </c>
      <c r="B29" s="187" t="s">
        <v>250</v>
      </c>
      <c r="C29" s="188"/>
      <c r="D29" s="188"/>
      <c r="E29" s="188"/>
      <c r="F29" s="188"/>
      <c r="G29" s="189"/>
      <c r="H29" s="186">
        <v>21</v>
      </c>
      <c r="I29" s="186"/>
      <c r="J29" s="186"/>
      <c r="K29" s="186"/>
      <c r="L29" s="186">
        <v>21</v>
      </c>
      <c r="M29" s="186"/>
      <c r="N29" s="186"/>
      <c r="O29" s="186"/>
      <c r="P29" s="96" t="s">
        <v>127</v>
      </c>
    </row>
    <row r="30" spans="1:16" ht="13.2" customHeight="1" x14ac:dyDescent="0.25">
      <c r="A30" s="102" t="s">
        <v>53</v>
      </c>
      <c r="B30" s="187" t="s">
        <v>251</v>
      </c>
      <c r="C30" s="188"/>
      <c r="D30" s="188"/>
      <c r="E30" s="188"/>
      <c r="F30" s="188"/>
      <c r="G30" s="189"/>
      <c r="H30" s="186">
        <v>20</v>
      </c>
      <c r="I30" s="186"/>
      <c r="J30" s="186"/>
      <c r="K30" s="186"/>
      <c r="L30" s="186">
        <v>20</v>
      </c>
      <c r="M30" s="186"/>
      <c r="N30" s="186"/>
      <c r="O30" s="186"/>
      <c r="P30" s="96" t="s">
        <v>127</v>
      </c>
    </row>
    <row r="31" spans="1:16" ht="13.2" customHeight="1" x14ac:dyDescent="0.25">
      <c r="A31" s="102" t="s">
        <v>54</v>
      </c>
      <c r="B31" s="187" t="s">
        <v>252</v>
      </c>
      <c r="C31" s="188"/>
      <c r="D31" s="188"/>
      <c r="E31" s="188"/>
      <c r="F31" s="188"/>
      <c r="G31" s="189"/>
      <c r="H31" s="186">
        <v>5</v>
      </c>
      <c r="I31" s="186"/>
      <c r="J31" s="186"/>
      <c r="K31" s="186"/>
      <c r="L31" s="186">
        <v>5</v>
      </c>
      <c r="M31" s="186"/>
      <c r="N31" s="186"/>
      <c r="O31" s="186"/>
      <c r="P31" s="96" t="s">
        <v>127</v>
      </c>
    </row>
    <row r="32" spans="1:16" ht="13.2" customHeight="1" x14ac:dyDescent="0.25">
      <c r="A32" s="102" t="s">
        <v>55</v>
      </c>
      <c r="B32" s="187" t="s">
        <v>253</v>
      </c>
      <c r="C32" s="188"/>
      <c r="D32" s="188"/>
      <c r="E32" s="188"/>
      <c r="F32" s="188"/>
      <c r="G32" s="189"/>
      <c r="H32" s="186">
        <v>0</v>
      </c>
      <c r="I32" s="186"/>
      <c r="J32" s="186"/>
      <c r="K32" s="186"/>
      <c r="L32" s="186">
        <v>0</v>
      </c>
      <c r="M32" s="186"/>
      <c r="N32" s="186"/>
      <c r="O32" s="186"/>
      <c r="P32" s="96" t="s">
        <v>127</v>
      </c>
    </row>
    <row r="33" spans="1:16" ht="16.2" customHeight="1" x14ac:dyDescent="0.25">
      <c r="A33" s="102" t="s">
        <v>56</v>
      </c>
      <c r="B33" s="187" t="s">
        <v>254</v>
      </c>
      <c r="C33" s="188"/>
      <c r="D33" s="188"/>
      <c r="E33" s="188"/>
      <c r="F33" s="188"/>
      <c r="G33" s="189"/>
      <c r="H33" s="227">
        <v>4294967295</v>
      </c>
      <c r="I33" s="186"/>
      <c r="J33" s="186"/>
      <c r="K33" s="186"/>
      <c r="L33" s="227">
        <v>4294967295</v>
      </c>
      <c r="M33" s="186"/>
      <c r="N33" s="186"/>
      <c r="O33" s="186"/>
      <c r="P33" s="96" t="s">
        <v>127</v>
      </c>
    </row>
    <row r="34" spans="1:16" ht="13.2" customHeight="1" x14ac:dyDescent="0.25">
      <c r="B34" s="98"/>
      <c r="C34" s="98"/>
      <c r="D34" s="98"/>
      <c r="E34" s="98"/>
      <c r="F34" s="98"/>
      <c r="G34" s="98"/>
      <c r="H34" s="98"/>
    </row>
    <row r="35" spans="1:16" ht="13.2" customHeight="1" x14ac:dyDescent="0.25">
      <c r="B35" s="98"/>
      <c r="C35" s="98"/>
      <c r="D35" s="98"/>
      <c r="E35" s="98"/>
      <c r="F35" s="98"/>
      <c r="G35" s="98"/>
      <c r="H35" s="98"/>
    </row>
  </sheetData>
  <mergeCells count="46">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33:G33"/>
    <mergeCell ref="H33:K33"/>
    <mergeCell ref="L33:O33"/>
    <mergeCell ref="B30:G30"/>
    <mergeCell ref="H30:K30"/>
    <mergeCell ref="L30:O30"/>
    <mergeCell ref="B31:G31"/>
    <mergeCell ref="H31:K31"/>
    <mergeCell ref="L31:O31"/>
    <mergeCell ref="B32:G32"/>
    <mergeCell ref="B27:G27"/>
    <mergeCell ref="H27:K27"/>
    <mergeCell ref="L27:O27"/>
    <mergeCell ref="H32:K32"/>
    <mergeCell ref="L32:O32"/>
    <mergeCell ref="B28:G28"/>
    <mergeCell ref="H28:K28"/>
    <mergeCell ref="L28:O28"/>
    <mergeCell ref="B29:G29"/>
    <mergeCell ref="H29:K29"/>
    <mergeCell ref="L29:O29"/>
  </mergeCells>
  <conditionalFormatting sqref="B9:B10">
    <cfRule type="cellIs" dxfId="61" priority="7" operator="equal">
      <formula>"Nok"</formula>
    </cfRule>
    <cfRule type="cellIs" dxfId="60" priority="8" operator="equal">
      <formula>"Ok"</formula>
    </cfRule>
  </conditionalFormatting>
  <conditionalFormatting sqref="P22:P26 P28:P29">
    <cfRule type="cellIs" dxfId="59" priority="5" operator="equal">
      <formula>"Nok"</formula>
    </cfRule>
    <cfRule type="cellIs" dxfId="58" priority="6" operator="equal">
      <formula>"Ok"</formula>
    </cfRule>
  </conditionalFormatting>
  <conditionalFormatting sqref="P30:P33">
    <cfRule type="cellIs" dxfId="57" priority="3" operator="equal">
      <formula>"Nok"</formula>
    </cfRule>
    <cfRule type="cellIs" dxfId="56" priority="4" operator="equal">
      <formula>"Ok"</formula>
    </cfRule>
  </conditionalFormatting>
  <conditionalFormatting sqref="P27">
    <cfRule type="cellIs" dxfId="55" priority="1" operator="equal">
      <formula>"Nok"</formula>
    </cfRule>
    <cfRule type="cellIs" dxfId="54" priority="2" operator="equal">
      <formula>"Ok"</formula>
    </cfRule>
  </conditionalFormatting>
  <dataValidations count="3">
    <dataValidation type="list" allowBlank="1" showInputMessage="1" showErrorMessage="1" sqref="B5" xr:uid="{AAA47B0D-5104-46F2-90F4-D3BF66C0F077}">
      <formula1>"Nominal, Robustness, Endurance, Qualification, Reviews"</formula1>
    </dataValidation>
    <dataValidation type="list" allowBlank="1" showInputMessage="1" showErrorMessage="1" sqref="B9" xr:uid="{5DA51385-45A3-479C-A0C4-793C086C2090}">
      <formula1>"Ok, Nok, Not run, NA"</formula1>
    </dataValidation>
    <dataValidation type="list" allowBlank="1" showInputMessage="1" showErrorMessage="1" sqref="P22:P33" xr:uid="{032EAE92-948A-487C-937B-0976056DA3FD}">
      <formula1>"Ok, Nok, Not run, ,"</formula1>
    </dataValidation>
  </dataValidations>
  <pageMargins left="0.7" right="0.7" top="0.75" bottom="0.75" header="0.3" footer="0.3"/>
  <pageSetup paperSize="9" orientation="portrait" r:id="rId1"/>
  <headerFooter>
    <oddFooter>&amp;LNA ver 1.7&amp;R&amp;P</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4541F-C264-409D-B354-9F6E68637D92}">
  <sheetPr codeName="Sheet14"/>
  <dimension ref="A1:P28"/>
  <sheetViews>
    <sheetView workbookViewId="0">
      <selection activeCell="B22" sqref="B22:G22"/>
    </sheetView>
  </sheetViews>
  <sheetFormatPr defaultColWidth="9.109375" defaultRowHeight="13.2" x14ac:dyDescent="0.25"/>
  <cols>
    <col min="1" max="1" width="20.109375" style="98" customWidth="1"/>
    <col min="2" max="2" width="18.44140625" style="94" customWidth="1"/>
    <col min="3" max="6" width="9.109375" style="94"/>
    <col min="7" max="7" width="26.5546875" style="94" customWidth="1"/>
    <col min="8" max="10" width="9.5546875" style="94" customWidth="1"/>
    <col min="11" max="11" width="37.88671875" style="94" customWidth="1"/>
    <col min="12" max="14" width="9.5546875" style="94" customWidth="1"/>
    <col min="15" max="15" width="41.88671875" style="94" customWidth="1"/>
    <col min="16" max="16384" width="9.109375" style="94"/>
  </cols>
  <sheetData>
    <row r="1" spans="1:15" ht="13.8" thickBot="1" x14ac:dyDescent="0.3">
      <c r="A1" s="99" t="s">
        <v>41</v>
      </c>
      <c r="B1" s="211" t="s">
        <v>256</v>
      </c>
      <c r="C1" s="212"/>
      <c r="D1" s="212"/>
      <c r="E1" s="212"/>
      <c r="F1" s="212"/>
      <c r="G1" s="21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0" t="s">
        <v>46</v>
      </c>
      <c r="B3" s="214" t="s">
        <v>282</v>
      </c>
      <c r="C3" s="215"/>
      <c r="D3" s="215"/>
      <c r="E3" s="215"/>
      <c r="F3" s="215"/>
      <c r="G3" s="216"/>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9"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9" t="s">
        <v>42</v>
      </c>
      <c r="B7" s="214" t="s">
        <v>263</v>
      </c>
      <c r="C7" s="215"/>
      <c r="D7" s="215"/>
      <c r="E7" s="215"/>
      <c r="F7" s="215"/>
      <c r="G7" s="21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9" t="s">
        <v>43</v>
      </c>
      <c r="B9" s="103" t="s">
        <v>127</v>
      </c>
      <c r="C9" s="73"/>
      <c r="D9" s="74"/>
      <c r="E9" s="74"/>
      <c r="F9" s="74"/>
      <c r="G9" s="74"/>
      <c r="H9" s="74"/>
      <c r="I9" s="74"/>
      <c r="J9" s="74"/>
      <c r="K9" s="74"/>
      <c r="L9" s="74"/>
      <c r="M9" s="74"/>
      <c r="N9" s="74"/>
      <c r="O9" s="74"/>
    </row>
    <row r="10" spans="1:15" ht="13.8" thickBot="1" x14ac:dyDescent="0.3">
      <c r="A10" s="76"/>
      <c r="B10" s="95"/>
      <c r="C10" s="73"/>
      <c r="D10" s="74"/>
      <c r="E10" s="74"/>
      <c r="F10" s="74"/>
      <c r="G10" s="74"/>
      <c r="H10" s="74"/>
      <c r="I10" s="74"/>
      <c r="J10" s="74"/>
      <c r="K10" s="74"/>
      <c r="L10" s="74"/>
      <c r="M10" s="74"/>
      <c r="N10" s="74"/>
      <c r="O10" s="74"/>
    </row>
    <row r="11" spans="1:15" ht="12" customHeight="1" x14ac:dyDescent="0.25">
      <c r="A11" s="200" t="s">
        <v>112</v>
      </c>
      <c r="B11" s="202" t="s">
        <v>128</v>
      </c>
      <c r="C11" s="203"/>
      <c r="D11" s="203"/>
      <c r="E11" s="203"/>
      <c r="F11" s="203"/>
      <c r="G11" s="204"/>
      <c r="H11" s="74"/>
      <c r="I11" s="74"/>
      <c r="J11" s="74"/>
      <c r="K11" s="74"/>
      <c r="L11" s="74"/>
      <c r="M11" s="74"/>
      <c r="N11" s="74"/>
      <c r="O11" s="74"/>
    </row>
    <row r="12" spans="1:15" x14ac:dyDescent="0.25">
      <c r="A12" s="201"/>
      <c r="B12" s="205"/>
      <c r="C12" s="206"/>
      <c r="D12" s="206"/>
      <c r="E12" s="206"/>
      <c r="F12" s="206"/>
      <c r="G12" s="207"/>
      <c r="H12" s="74"/>
      <c r="I12" s="74"/>
      <c r="J12" s="74"/>
      <c r="K12" s="74"/>
      <c r="L12" s="74"/>
      <c r="M12" s="74"/>
      <c r="N12" s="74"/>
      <c r="O12" s="74"/>
    </row>
    <row r="13" spans="1:15" x14ac:dyDescent="0.25">
      <c r="A13" s="201"/>
      <c r="B13" s="205"/>
      <c r="C13" s="206"/>
      <c r="D13" s="206"/>
      <c r="E13" s="206"/>
      <c r="F13" s="206"/>
      <c r="G13" s="207"/>
      <c r="H13" s="72"/>
      <c r="I13" s="74"/>
      <c r="J13" s="74"/>
      <c r="K13" s="74"/>
      <c r="L13" s="74"/>
      <c r="M13" s="74"/>
      <c r="N13" s="74"/>
      <c r="O13" s="74"/>
    </row>
    <row r="14" spans="1:15" ht="13.8" thickBot="1" x14ac:dyDescent="0.3">
      <c r="A14" s="201"/>
      <c r="B14" s="208"/>
      <c r="C14" s="209"/>
      <c r="D14" s="209"/>
      <c r="E14" s="209"/>
      <c r="F14" s="209"/>
      <c r="G14" s="210"/>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0" t="s">
        <v>44</v>
      </c>
      <c r="B16" s="202" t="s">
        <v>257</v>
      </c>
      <c r="C16" s="203"/>
      <c r="D16" s="203"/>
      <c r="E16" s="203"/>
      <c r="F16" s="203"/>
      <c r="G16" s="204"/>
      <c r="H16" s="74"/>
      <c r="I16" s="74"/>
      <c r="J16" s="74"/>
      <c r="K16" s="74"/>
      <c r="L16" s="74"/>
      <c r="M16" s="74"/>
      <c r="N16" s="74"/>
      <c r="O16" s="74"/>
    </row>
    <row r="17" spans="1:16" x14ac:dyDescent="0.25">
      <c r="A17" s="201"/>
      <c r="B17" s="205"/>
      <c r="C17" s="206"/>
      <c r="D17" s="206"/>
      <c r="E17" s="206"/>
      <c r="F17" s="206"/>
      <c r="G17" s="207"/>
      <c r="H17" s="74"/>
      <c r="I17" s="74"/>
      <c r="J17" s="74"/>
      <c r="K17" s="74"/>
      <c r="L17" s="74"/>
      <c r="M17" s="74"/>
      <c r="N17" s="74"/>
      <c r="O17" s="74"/>
    </row>
    <row r="18" spans="1:16" x14ac:dyDescent="0.25">
      <c r="A18" s="201"/>
      <c r="B18" s="205"/>
      <c r="C18" s="206"/>
      <c r="D18" s="206"/>
      <c r="E18" s="206"/>
      <c r="F18" s="206"/>
      <c r="G18" s="207"/>
      <c r="H18" s="72"/>
      <c r="I18" s="74"/>
      <c r="J18" s="74"/>
      <c r="K18" s="74"/>
      <c r="L18" s="74"/>
      <c r="M18" s="74"/>
      <c r="N18" s="74"/>
      <c r="O18" s="74"/>
    </row>
    <row r="19" spans="1:16" ht="13.8" thickBot="1" x14ac:dyDescent="0.3">
      <c r="A19" s="201"/>
      <c r="B19" s="208"/>
      <c r="C19" s="209"/>
      <c r="D19" s="209"/>
      <c r="E19" s="209"/>
      <c r="F19" s="209"/>
      <c r="G19" s="210"/>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7" t="s">
        <v>48</v>
      </c>
      <c r="B21" s="198"/>
      <c r="C21" s="198"/>
      <c r="D21" s="198"/>
      <c r="E21" s="198"/>
      <c r="F21" s="198"/>
      <c r="G21" s="199"/>
      <c r="H21" s="197" t="s">
        <v>49</v>
      </c>
      <c r="I21" s="198"/>
      <c r="J21" s="198"/>
      <c r="K21" s="199"/>
      <c r="L21" s="197" t="s">
        <v>60</v>
      </c>
      <c r="M21" s="198"/>
      <c r="N21" s="198"/>
      <c r="O21" s="199"/>
      <c r="P21" s="101" t="s">
        <v>47</v>
      </c>
    </row>
    <row r="22" spans="1:16" ht="49.2" customHeight="1" x14ac:dyDescent="0.25">
      <c r="A22" s="102" t="s">
        <v>50</v>
      </c>
      <c r="B22" s="187" t="s">
        <v>258</v>
      </c>
      <c r="C22" s="188"/>
      <c r="D22" s="188"/>
      <c r="E22" s="188"/>
      <c r="F22" s="188"/>
      <c r="G22" s="189"/>
      <c r="H22" s="186"/>
      <c r="I22" s="186"/>
      <c r="J22" s="186"/>
      <c r="K22" s="186"/>
      <c r="L22" s="186"/>
      <c r="M22" s="186"/>
      <c r="N22" s="186"/>
      <c r="O22" s="186"/>
      <c r="P22" s="96"/>
    </row>
    <row r="23" spans="1:16" ht="13.2" customHeight="1" x14ac:dyDescent="0.25">
      <c r="A23" s="102" t="s">
        <v>51</v>
      </c>
      <c r="B23" s="187" t="s">
        <v>259</v>
      </c>
      <c r="C23" s="188"/>
      <c r="D23" s="188"/>
      <c r="E23" s="188"/>
      <c r="F23" s="188"/>
      <c r="G23" s="189"/>
      <c r="H23" s="186" t="s">
        <v>139</v>
      </c>
      <c r="I23" s="186"/>
      <c r="J23" s="186"/>
      <c r="K23" s="186"/>
      <c r="L23" s="186" t="s">
        <v>226</v>
      </c>
      <c r="M23" s="186"/>
      <c r="N23" s="186"/>
      <c r="O23" s="186"/>
      <c r="P23" s="96" t="s">
        <v>127</v>
      </c>
    </row>
    <row r="24" spans="1:16" ht="13.5" customHeight="1" x14ac:dyDescent="0.25">
      <c r="A24" s="102" t="s">
        <v>52</v>
      </c>
      <c r="B24" s="187" t="s">
        <v>262</v>
      </c>
      <c r="C24" s="188"/>
      <c r="D24" s="188"/>
      <c r="E24" s="188"/>
      <c r="F24" s="188"/>
      <c r="G24" s="189"/>
      <c r="H24" s="186" t="s">
        <v>139</v>
      </c>
      <c r="I24" s="186"/>
      <c r="J24" s="186"/>
      <c r="K24" s="186"/>
      <c r="L24" s="186" t="s">
        <v>226</v>
      </c>
      <c r="M24" s="186"/>
      <c r="N24" s="186"/>
      <c r="O24" s="186"/>
      <c r="P24" s="96" t="s">
        <v>127</v>
      </c>
    </row>
    <row r="25" spans="1:16" ht="13.2" customHeight="1" x14ac:dyDescent="0.25">
      <c r="A25" s="102" t="s">
        <v>53</v>
      </c>
      <c r="B25" s="187" t="s">
        <v>260</v>
      </c>
      <c r="C25" s="188"/>
      <c r="D25" s="188"/>
      <c r="E25" s="188"/>
      <c r="F25" s="188"/>
      <c r="G25" s="189"/>
      <c r="H25" s="186" t="s">
        <v>139</v>
      </c>
      <c r="I25" s="186"/>
      <c r="J25" s="186"/>
      <c r="K25" s="186"/>
      <c r="L25" s="186" t="s">
        <v>143</v>
      </c>
      <c r="M25" s="186"/>
      <c r="N25" s="186"/>
      <c r="O25" s="186"/>
      <c r="P25" s="96" t="s">
        <v>127</v>
      </c>
    </row>
    <row r="26" spans="1:16" x14ac:dyDescent="0.25">
      <c r="A26" s="102" t="s">
        <v>54</v>
      </c>
      <c r="B26" s="187" t="s">
        <v>261</v>
      </c>
      <c r="C26" s="188"/>
      <c r="D26" s="188"/>
      <c r="E26" s="188"/>
      <c r="F26" s="188"/>
      <c r="G26" s="189"/>
      <c r="H26" s="186" t="s">
        <v>139</v>
      </c>
      <c r="I26" s="186"/>
      <c r="J26" s="186"/>
      <c r="K26" s="186"/>
      <c r="L26" s="186" t="s">
        <v>143</v>
      </c>
      <c r="M26" s="186"/>
      <c r="N26" s="186"/>
      <c r="O26" s="186"/>
      <c r="P26" s="96" t="s">
        <v>127</v>
      </c>
    </row>
    <row r="27" spans="1:16" ht="13.2" customHeight="1" x14ac:dyDescent="0.25">
      <c r="B27" s="98"/>
      <c r="C27" s="98"/>
      <c r="D27" s="98"/>
      <c r="E27" s="98"/>
      <c r="F27" s="98"/>
      <c r="G27" s="98"/>
      <c r="H27" s="98"/>
    </row>
    <row r="28" spans="1:16" ht="13.2" customHeight="1" x14ac:dyDescent="0.25">
      <c r="B28" s="98"/>
      <c r="C28" s="98"/>
      <c r="D28" s="98"/>
      <c r="E28" s="98"/>
      <c r="F28" s="98"/>
      <c r="G28" s="98"/>
      <c r="H28" s="98"/>
    </row>
  </sheetData>
  <mergeCells count="25">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s>
  <conditionalFormatting sqref="B9:B10">
    <cfRule type="cellIs" dxfId="53" priority="3" operator="equal">
      <formula>"Nok"</formula>
    </cfRule>
    <cfRule type="cellIs" dxfId="52" priority="4" operator="equal">
      <formula>"Ok"</formula>
    </cfRule>
  </conditionalFormatting>
  <conditionalFormatting sqref="P22:P26">
    <cfRule type="cellIs" dxfId="51" priority="1" operator="equal">
      <formula>"Nok"</formula>
    </cfRule>
    <cfRule type="cellIs" dxfId="50" priority="2" operator="equal">
      <formula>"Ok"</formula>
    </cfRule>
  </conditionalFormatting>
  <dataValidations count="3">
    <dataValidation type="list" allowBlank="1" showInputMessage="1" showErrorMessage="1" sqref="P22:P26" xr:uid="{01A362B7-265E-4549-AD48-32E862566447}">
      <formula1>"Ok, Nok, Not run, ,"</formula1>
    </dataValidation>
    <dataValidation type="list" allowBlank="1" showInputMessage="1" showErrorMessage="1" sqref="B9" xr:uid="{E0FACEF1-4388-4978-A238-BA6715145139}">
      <formula1>"Ok, Nok, Not run, NA"</formula1>
    </dataValidation>
    <dataValidation type="list" allowBlank="1" showInputMessage="1" showErrorMessage="1" sqref="B5" xr:uid="{6A0E93F3-A78E-4EFF-A213-F96F1FB717B2}">
      <formula1>"Nominal, Robustness, Endurance, Qualification, Reviews"</formula1>
    </dataValidation>
  </dataValidations>
  <pageMargins left="0.7" right="0.7" top="0.75" bottom="0.75" header="0.3" footer="0.3"/>
  <pageSetup paperSize="9" orientation="portrait" r:id="rId1"/>
  <headerFooter>
    <oddFooter>&amp;LNA ver 1.7&amp;R&amp;P</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BEB9E-AA9C-4694-9912-C9D8E9E286E4}">
  <sheetPr codeName="Sheet15"/>
  <dimension ref="A1:P32"/>
  <sheetViews>
    <sheetView workbookViewId="0">
      <selection activeCell="B3" sqref="B3:G3"/>
    </sheetView>
  </sheetViews>
  <sheetFormatPr defaultColWidth="9.109375" defaultRowHeight="13.2" x14ac:dyDescent="0.25"/>
  <cols>
    <col min="1" max="1" width="20.109375" style="98" customWidth="1"/>
    <col min="2" max="2" width="18.44140625" style="94" customWidth="1"/>
    <col min="3" max="6" width="9.109375" style="94"/>
    <col min="7" max="7" width="26.5546875" style="94" customWidth="1"/>
    <col min="8" max="10" width="9.5546875" style="94" customWidth="1"/>
    <col min="11" max="11" width="37.88671875" style="94" customWidth="1"/>
    <col min="12" max="14" width="9.5546875" style="94" customWidth="1"/>
    <col min="15" max="15" width="41.88671875" style="94" customWidth="1"/>
    <col min="16" max="16384" width="9.109375" style="94"/>
  </cols>
  <sheetData>
    <row r="1" spans="1:15" ht="13.8" thickBot="1" x14ac:dyDescent="0.3">
      <c r="A1" s="99" t="s">
        <v>41</v>
      </c>
      <c r="B1" s="211" t="s">
        <v>264</v>
      </c>
      <c r="C1" s="212"/>
      <c r="D1" s="212"/>
      <c r="E1" s="212"/>
      <c r="F1" s="212"/>
      <c r="G1" s="21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0" t="s">
        <v>46</v>
      </c>
      <c r="B3" s="214" t="s">
        <v>326</v>
      </c>
      <c r="C3" s="215"/>
      <c r="D3" s="215"/>
      <c r="E3" s="215"/>
      <c r="F3" s="215"/>
      <c r="G3" s="216"/>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9"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9" t="s">
        <v>42</v>
      </c>
      <c r="B7" s="214" t="s">
        <v>263</v>
      </c>
      <c r="C7" s="215"/>
      <c r="D7" s="215"/>
      <c r="E7" s="215"/>
      <c r="F7" s="215"/>
      <c r="G7" s="21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9" t="s">
        <v>43</v>
      </c>
      <c r="B9" s="103" t="s">
        <v>127</v>
      </c>
      <c r="C9" s="73"/>
      <c r="D9" s="74"/>
      <c r="E9" s="74"/>
      <c r="F9" s="74"/>
      <c r="G9" s="74"/>
      <c r="H9" s="74"/>
      <c r="I9" s="74"/>
      <c r="J9" s="74"/>
      <c r="K9" s="74"/>
      <c r="L9" s="74"/>
      <c r="M9" s="74"/>
      <c r="N9" s="74"/>
      <c r="O9" s="74"/>
    </row>
    <row r="10" spans="1:15" ht="13.8" thickBot="1" x14ac:dyDescent="0.3">
      <c r="A10" s="76"/>
      <c r="B10" s="95"/>
      <c r="C10" s="73"/>
      <c r="D10" s="74"/>
      <c r="E10" s="74"/>
      <c r="F10" s="74"/>
      <c r="G10" s="74"/>
      <c r="H10" s="74"/>
      <c r="I10" s="74"/>
      <c r="J10" s="74"/>
      <c r="K10" s="74"/>
      <c r="L10" s="74"/>
      <c r="M10" s="74"/>
      <c r="N10" s="74"/>
      <c r="O10" s="74"/>
    </row>
    <row r="11" spans="1:15" ht="12" customHeight="1" x14ac:dyDescent="0.25">
      <c r="A11" s="200" t="s">
        <v>112</v>
      </c>
      <c r="B11" s="202" t="s">
        <v>128</v>
      </c>
      <c r="C11" s="203"/>
      <c r="D11" s="203"/>
      <c r="E11" s="203"/>
      <c r="F11" s="203"/>
      <c r="G11" s="204"/>
      <c r="H11" s="74"/>
      <c r="I11" s="74"/>
      <c r="J11" s="74"/>
      <c r="K11" s="74"/>
      <c r="L11" s="74"/>
      <c r="M11" s="74"/>
      <c r="N11" s="74"/>
      <c r="O11" s="74"/>
    </row>
    <row r="12" spans="1:15" x14ac:dyDescent="0.25">
      <c r="A12" s="201"/>
      <c r="B12" s="205"/>
      <c r="C12" s="206"/>
      <c r="D12" s="206"/>
      <c r="E12" s="206"/>
      <c r="F12" s="206"/>
      <c r="G12" s="207"/>
      <c r="H12" s="74"/>
      <c r="I12" s="74"/>
      <c r="J12" s="74"/>
      <c r="K12" s="74"/>
      <c r="L12" s="74"/>
      <c r="M12" s="74"/>
      <c r="N12" s="74"/>
      <c r="O12" s="74"/>
    </row>
    <row r="13" spans="1:15" x14ac:dyDescent="0.25">
      <c r="A13" s="201"/>
      <c r="B13" s="205"/>
      <c r="C13" s="206"/>
      <c r="D13" s="206"/>
      <c r="E13" s="206"/>
      <c r="F13" s="206"/>
      <c r="G13" s="207"/>
      <c r="H13" s="72"/>
      <c r="I13" s="74"/>
      <c r="J13" s="74"/>
      <c r="K13" s="74"/>
      <c r="L13" s="74"/>
      <c r="M13" s="74"/>
      <c r="N13" s="74"/>
      <c r="O13" s="74"/>
    </row>
    <row r="14" spans="1:15" ht="13.8" thickBot="1" x14ac:dyDescent="0.3">
      <c r="A14" s="201"/>
      <c r="B14" s="208"/>
      <c r="C14" s="209"/>
      <c r="D14" s="209"/>
      <c r="E14" s="209"/>
      <c r="F14" s="209"/>
      <c r="G14" s="210"/>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0" t="s">
        <v>44</v>
      </c>
      <c r="B16" s="202" t="s">
        <v>257</v>
      </c>
      <c r="C16" s="203"/>
      <c r="D16" s="203"/>
      <c r="E16" s="203"/>
      <c r="F16" s="203"/>
      <c r="G16" s="204"/>
      <c r="H16" s="74"/>
      <c r="I16" s="74"/>
      <c r="J16" s="74"/>
      <c r="K16" s="74"/>
      <c r="L16" s="74"/>
      <c r="M16" s="74"/>
      <c r="N16" s="74"/>
      <c r="O16" s="74"/>
    </row>
    <row r="17" spans="1:16" x14ac:dyDescent="0.25">
      <c r="A17" s="201"/>
      <c r="B17" s="205"/>
      <c r="C17" s="206"/>
      <c r="D17" s="206"/>
      <c r="E17" s="206"/>
      <c r="F17" s="206"/>
      <c r="G17" s="207"/>
      <c r="H17" s="74"/>
      <c r="I17" s="74"/>
      <c r="J17" s="74"/>
      <c r="K17" s="74"/>
      <c r="L17" s="74"/>
      <c r="M17" s="74"/>
      <c r="N17" s="74"/>
      <c r="O17" s="74"/>
    </row>
    <row r="18" spans="1:16" x14ac:dyDescent="0.25">
      <c r="A18" s="201"/>
      <c r="B18" s="205"/>
      <c r="C18" s="206"/>
      <c r="D18" s="206"/>
      <c r="E18" s="206"/>
      <c r="F18" s="206"/>
      <c r="G18" s="207"/>
      <c r="H18" s="72"/>
      <c r="I18" s="74"/>
      <c r="J18" s="74"/>
      <c r="K18" s="74"/>
      <c r="L18" s="74"/>
      <c r="M18" s="74"/>
      <c r="N18" s="74"/>
      <c r="O18" s="74"/>
    </row>
    <row r="19" spans="1:16" ht="13.8" thickBot="1" x14ac:dyDescent="0.3">
      <c r="A19" s="201"/>
      <c r="B19" s="208"/>
      <c r="C19" s="209"/>
      <c r="D19" s="209"/>
      <c r="E19" s="209"/>
      <c r="F19" s="209"/>
      <c r="G19" s="210"/>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7" t="s">
        <v>48</v>
      </c>
      <c r="B21" s="198"/>
      <c r="C21" s="198"/>
      <c r="D21" s="198"/>
      <c r="E21" s="198"/>
      <c r="F21" s="198"/>
      <c r="G21" s="199"/>
      <c r="H21" s="197" t="s">
        <v>49</v>
      </c>
      <c r="I21" s="198"/>
      <c r="J21" s="198"/>
      <c r="K21" s="199"/>
      <c r="L21" s="197" t="s">
        <v>60</v>
      </c>
      <c r="M21" s="198"/>
      <c r="N21" s="198"/>
      <c r="O21" s="199"/>
      <c r="P21" s="101" t="s">
        <v>47</v>
      </c>
    </row>
    <row r="22" spans="1:16" ht="49.2" customHeight="1" x14ac:dyDescent="0.25">
      <c r="A22" s="102" t="s">
        <v>50</v>
      </c>
      <c r="B22" s="187" t="s">
        <v>270</v>
      </c>
      <c r="C22" s="188"/>
      <c r="D22" s="188"/>
      <c r="E22" s="188"/>
      <c r="F22" s="188"/>
      <c r="G22" s="189"/>
      <c r="H22" s="186"/>
      <c r="I22" s="186"/>
      <c r="J22" s="186"/>
      <c r="K22" s="186"/>
      <c r="L22" s="186"/>
      <c r="M22" s="186"/>
      <c r="N22" s="186"/>
      <c r="O22" s="186"/>
      <c r="P22" s="96"/>
    </row>
    <row r="23" spans="1:16" ht="13.2" customHeight="1" x14ac:dyDescent="0.25">
      <c r="A23" s="102" t="s">
        <v>51</v>
      </c>
      <c r="B23" s="187" t="s">
        <v>259</v>
      </c>
      <c r="C23" s="188"/>
      <c r="D23" s="188"/>
      <c r="E23" s="188"/>
      <c r="F23" s="188"/>
      <c r="G23" s="189"/>
      <c r="H23" s="186" t="s">
        <v>139</v>
      </c>
      <c r="I23" s="186"/>
      <c r="J23" s="186"/>
      <c r="K23" s="186"/>
      <c r="L23" s="186" t="s">
        <v>226</v>
      </c>
      <c r="M23" s="186"/>
      <c r="N23" s="186"/>
      <c r="O23" s="186"/>
      <c r="P23" s="96" t="s">
        <v>127</v>
      </c>
    </row>
    <row r="24" spans="1:16" ht="13.5" customHeight="1" x14ac:dyDescent="0.25">
      <c r="A24" s="102" t="s">
        <v>52</v>
      </c>
      <c r="B24" s="187" t="s">
        <v>265</v>
      </c>
      <c r="C24" s="188"/>
      <c r="D24" s="188"/>
      <c r="E24" s="188"/>
      <c r="F24" s="188"/>
      <c r="G24" s="189"/>
      <c r="H24" s="186" t="s">
        <v>139</v>
      </c>
      <c r="I24" s="186"/>
      <c r="J24" s="186"/>
      <c r="K24" s="186"/>
      <c r="L24" s="186" t="s">
        <v>226</v>
      </c>
      <c r="M24" s="186"/>
      <c r="N24" s="186"/>
      <c r="O24" s="186"/>
      <c r="P24" s="96" t="s">
        <v>127</v>
      </c>
    </row>
    <row r="25" spans="1:16" ht="13.5" customHeight="1" x14ac:dyDescent="0.25">
      <c r="A25" s="102" t="s">
        <v>52</v>
      </c>
      <c r="B25" s="187" t="s">
        <v>345</v>
      </c>
      <c r="C25" s="188"/>
      <c r="D25" s="188"/>
      <c r="E25" s="188"/>
      <c r="F25" s="188"/>
      <c r="G25" s="189"/>
      <c r="H25" s="186" t="s">
        <v>139</v>
      </c>
      <c r="I25" s="186"/>
      <c r="J25" s="186"/>
      <c r="K25" s="186"/>
      <c r="L25" s="186" t="s">
        <v>226</v>
      </c>
      <c r="M25" s="186"/>
      <c r="N25" s="186"/>
      <c r="O25" s="186"/>
      <c r="P25" s="96" t="s">
        <v>127</v>
      </c>
    </row>
    <row r="26" spans="1:16" ht="13.5" customHeight="1" x14ac:dyDescent="0.25">
      <c r="A26" s="102" t="s">
        <v>52</v>
      </c>
      <c r="B26" s="187" t="s">
        <v>346</v>
      </c>
      <c r="C26" s="188"/>
      <c r="D26" s="188"/>
      <c r="E26" s="188"/>
      <c r="F26" s="188"/>
      <c r="G26" s="189"/>
      <c r="H26" s="186" t="s">
        <v>139</v>
      </c>
      <c r="I26" s="186"/>
      <c r="J26" s="186"/>
      <c r="K26" s="186"/>
      <c r="L26" s="186" t="s">
        <v>226</v>
      </c>
      <c r="M26" s="186"/>
      <c r="N26" s="186"/>
      <c r="O26" s="186"/>
      <c r="P26" s="96" t="s">
        <v>127</v>
      </c>
    </row>
    <row r="27" spans="1:16" ht="13.2" customHeight="1" x14ac:dyDescent="0.25">
      <c r="A27" s="102" t="s">
        <v>53</v>
      </c>
      <c r="B27" s="187" t="s">
        <v>266</v>
      </c>
      <c r="C27" s="188"/>
      <c r="D27" s="188"/>
      <c r="E27" s="188"/>
      <c r="F27" s="188"/>
      <c r="G27" s="189"/>
      <c r="H27" s="186" t="s">
        <v>139</v>
      </c>
      <c r="I27" s="186"/>
      <c r="J27" s="186"/>
      <c r="K27" s="186"/>
      <c r="L27" s="186" t="s">
        <v>143</v>
      </c>
      <c r="M27" s="186"/>
      <c r="N27" s="186"/>
      <c r="O27" s="186"/>
      <c r="P27" s="96" t="s">
        <v>127</v>
      </c>
    </row>
    <row r="28" spans="1:16" x14ac:dyDescent="0.25">
      <c r="A28" s="102" t="s">
        <v>54</v>
      </c>
      <c r="B28" s="187" t="s">
        <v>274</v>
      </c>
      <c r="C28" s="188"/>
      <c r="D28" s="188"/>
      <c r="E28" s="188"/>
      <c r="F28" s="188"/>
      <c r="G28" s="189"/>
      <c r="H28" s="186" t="s">
        <v>139</v>
      </c>
      <c r="I28" s="186"/>
      <c r="J28" s="186"/>
      <c r="K28" s="186"/>
      <c r="L28" s="186" t="s">
        <v>143</v>
      </c>
      <c r="M28" s="186"/>
      <c r="N28" s="186"/>
      <c r="O28" s="186"/>
      <c r="P28" s="96" t="s">
        <v>127</v>
      </c>
    </row>
    <row r="29" spans="1:16" ht="13.2" customHeight="1" x14ac:dyDescent="0.25">
      <c r="A29" s="102" t="s">
        <v>55</v>
      </c>
      <c r="B29" s="187" t="s">
        <v>267</v>
      </c>
      <c r="C29" s="188"/>
      <c r="D29" s="188"/>
      <c r="E29" s="188"/>
      <c r="F29" s="188"/>
      <c r="G29" s="189"/>
      <c r="H29" s="186" t="s">
        <v>139</v>
      </c>
      <c r="I29" s="186"/>
      <c r="J29" s="186"/>
      <c r="K29" s="186"/>
      <c r="L29" s="186" t="s">
        <v>143</v>
      </c>
      <c r="M29" s="186"/>
      <c r="N29" s="186"/>
      <c r="O29" s="186"/>
      <c r="P29" s="96" t="s">
        <v>127</v>
      </c>
    </row>
    <row r="30" spans="1:16" x14ac:dyDescent="0.25">
      <c r="A30" s="102" t="s">
        <v>56</v>
      </c>
      <c r="B30" s="187" t="s">
        <v>275</v>
      </c>
      <c r="C30" s="188"/>
      <c r="D30" s="188"/>
      <c r="E30" s="188"/>
      <c r="F30" s="188"/>
      <c r="G30" s="189"/>
      <c r="H30" s="186" t="s">
        <v>139</v>
      </c>
      <c r="I30" s="186"/>
      <c r="J30" s="186"/>
      <c r="K30" s="186"/>
      <c r="L30" s="186" t="s">
        <v>143</v>
      </c>
      <c r="M30" s="186"/>
      <c r="N30" s="186"/>
      <c r="O30" s="186"/>
      <c r="P30" s="96" t="s">
        <v>127</v>
      </c>
    </row>
    <row r="31" spans="1:16" ht="13.2" customHeight="1" x14ac:dyDescent="0.25">
      <c r="B31" s="98"/>
      <c r="C31" s="98"/>
      <c r="D31" s="98"/>
      <c r="E31" s="98"/>
      <c r="F31" s="98"/>
      <c r="G31" s="98"/>
      <c r="H31" s="98"/>
    </row>
    <row r="32" spans="1:16" ht="13.2" customHeight="1" x14ac:dyDescent="0.25">
      <c r="B32" s="98"/>
      <c r="C32" s="98"/>
      <c r="D32" s="98"/>
      <c r="E32" s="98"/>
      <c r="F32" s="98"/>
      <c r="G32" s="98"/>
      <c r="H32" s="98"/>
    </row>
  </sheetData>
  <mergeCells count="3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7:G27"/>
    <mergeCell ref="H27:K27"/>
    <mergeCell ref="L27:O27"/>
    <mergeCell ref="B28:G28"/>
    <mergeCell ref="H28:K28"/>
    <mergeCell ref="L28:O28"/>
    <mergeCell ref="B29:G29"/>
    <mergeCell ref="H29:K29"/>
    <mergeCell ref="L29:O29"/>
    <mergeCell ref="B30:G30"/>
    <mergeCell ref="H30:K30"/>
    <mergeCell ref="L30:O30"/>
    <mergeCell ref="B25:G25"/>
    <mergeCell ref="H25:K25"/>
    <mergeCell ref="L25:O25"/>
    <mergeCell ref="B26:G26"/>
    <mergeCell ref="H26:K26"/>
    <mergeCell ref="L26:O26"/>
  </mergeCells>
  <phoneticPr fontId="43" type="noConversion"/>
  <conditionalFormatting sqref="B9:B10">
    <cfRule type="cellIs" dxfId="49" priority="9" operator="equal">
      <formula>"Nok"</formula>
    </cfRule>
    <cfRule type="cellIs" dxfId="48" priority="10" operator="equal">
      <formula>"Ok"</formula>
    </cfRule>
  </conditionalFormatting>
  <conditionalFormatting sqref="P22:P24 P27:P28">
    <cfRule type="cellIs" dxfId="47" priority="7" operator="equal">
      <formula>"Nok"</formula>
    </cfRule>
    <cfRule type="cellIs" dxfId="46" priority="8" operator="equal">
      <formula>"Ok"</formula>
    </cfRule>
  </conditionalFormatting>
  <conditionalFormatting sqref="P29:P30">
    <cfRule type="cellIs" dxfId="45" priority="5" operator="equal">
      <formula>"Nok"</formula>
    </cfRule>
    <cfRule type="cellIs" dxfId="44" priority="6" operator="equal">
      <formula>"Ok"</formula>
    </cfRule>
  </conditionalFormatting>
  <conditionalFormatting sqref="P25">
    <cfRule type="cellIs" dxfId="43" priority="3" operator="equal">
      <formula>"Nok"</formula>
    </cfRule>
    <cfRule type="cellIs" dxfId="42" priority="4" operator="equal">
      <formula>"Ok"</formula>
    </cfRule>
  </conditionalFormatting>
  <conditionalFormatting sqref="P26">
    <cfRule type="cellIs" dxfId="41" priority="1" operator="equal">
      <formula>"Nok"</formula>
    </cfRule>
    <cfRule type="cellIs" dxfId="40" priority="2" operator="equal">
      <formula>"Ok"</formula>
    </cfRule>
  </conditionalFormatting>
  <dataValidations count="3">
    <dataValidation type="list" allowBlank="1" showInputMessage="1" showErrorMessage="1" sqref="B5" xr:uid="{32DA9088-0E01-42DD-A0CC-720DD071CC14}">
      <formula1>"Nominal, Robustness, Endurance, Qualification, Reviews"</formula1>
    </dataValidation>
    <dataValidation type="list" allowBlank="1" showInputMessage="1" showErrorMessage="1" sqref="B9" xr:uid="{E9479758-D204-466A-9D7A-A62F1806B541}">
      <formula1>"Ok, Nok, Not run, NA"</formula1>
    </dataValidation>
    <dataValidation type="list" allowBlank="1" showInputMessage="1" showErrorMessage="1" sqref="P22:P30" xr:uid="{8B22B701-9B2A-4BAC-A6BA-261CB7190F9E}">
      <formula1>"Ok, Nok, Not run, ,"</formula1>
    </dataValidation>
  </dataValidations>
  <pageMargins left="0.7" right="0.7" top="0.75" bottom="0.75" header="0.3" footer="0.3"/>
  <pageSetup paperSize="9" orientation="portrait" r:id="rId1"/>
  <headerFooter>
    <oddFooter>&amp;LNA ver 1.7&amp;R&amp;P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E85F9-DE3F-4FCD-9CAF-314A17F75FA3}">
  <sheetPr codeName="Sheet16"/>
  <dimension ref="A1:P33"/>
  <sheetViews>
    <sheetView workbookViewId="0">
      <selection activeCell="B3" sqref="B3:G3"/>
    </sheetView>
  </sheetViews>
  <sheetFormatPr defaultColWidth="9.109375" defaultRowHeight="13.2" x14ac:dyDescent="0.25"/>
  <cols>
    <col min="1" max="1" width="20.109375" style="98" customWidth="1"/>
    <col min="2" max="2" width="18.44140625" style="94" customWidth="1"/>
    <col min="3" max="6" width="9.109375" style="94"/>
    <col min="7" max="7" width="26.5546875" style="94" customWidth="1"/>
    <col min="8" max="10" width="9.5546875" style="94" customWidth="1"/>
    <col min="11" max="11" width="37.88671875" style="94" customWidth="1"/>
    <col min="12" max="14" width="9.5546875" style="94" customWidth="1"/>
    <col min="15" max="15" width="41.88671875" style="94" customWidth="1"/>
    <col min="16" max="16384" width="9.109375" style="94"/>
  </cols>
  <sheetData>
    <row r="1" spans="1:15" ht="13.8" thickBot="1" x14ac:dyDescent="0.3">
      <c r="A1" s="99" t="s">
        <v>41</v>
      </c>
      <c r="B1" s="211" t="s">
        <v>268</v>
      </c>
      <c r="C1" s="212"/>
      <c r="D1" s="212"/>
      <c r="E1" s="212"/>
      <c r="F1" s="212"/>
      <c r="G1" s="21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0" t="s">
        <v>46</v>
      </c>
      <c r="B3" s="214" t="s">
        <v>327</v>
      </c>
      <c r="C3" s="215"/>
      <c r="D3" s="215"/>
      <c r="E3" s="215"/>
      <c r="F3" s="215"/>
      <c r="G3" s="216"/>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9"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9" t="s">
        <v>42</v>
      </c>
      <c r="B7" s="214" t="s">
        <v>263</v>
      </c>
      <c r="C7" s="215"/>
      <c r="D7" s="215"/>
      <c r="E7" s="215"/>
      <c r="F7" s="215"/>
      <c r="G7" s="21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9" t="s">
        <v>43</v>
      </c>
      <c r="B9" s="103" t="s">
        <v>127</v>
      </c>
      <c r="C9" s="73"/>
      <c r="D9" s="74"/>
      <c r="E9" s="74"/>
      <c r="F9" s="74"/>
      <c r="G9" s="74"/>
      <c r="H9" s="74"/>
      <c r="I9" s="74"/>
      <c r="J9" s="74"/>
      <c r="K9" s="74"/>
      <c r="L9" s="74"/>
      <c r="M9" s="74"/>
      <c r="N9" s="74"/>
      <c r="O9" s="74"/>
    </row>
    <row r="10" spans="1:15" ht="13.8" thickBot="1" x14ac:dyDescent="0.3">
      <c r="A10" s="76"/>
      <c r="B10" s="95"/>
      <c r="C10" s="73"/>
      <c r="D10" s="74"/>
      <c r="E10" s="74"/>
      <c r="F10" s="74"/>
      <c r="G10" s="74"/>
      <c r="H10" s="74"/>
      <c r="I10" s="74"/>
      <c r="J10" s="74"/>
      <c r="K10" s="74"/>
      <c r="L10" s="74"/>
      <c r="M10" s="74"/>
      <c r="N10" s="74"/>
      <c r="O10" s="74"/>
    </row>
    <row r="11" spans="1:15" ht="12" customHeight="1" x14ac:dyDescent="0.25">
      <c r="A11" s="200" t="s">
        <v>112</v>
      </c>
      <c r="B11" s="202" t="s">
        <v>128</v>
      </c>
      <c r="C11" s="203"/>
      <c r="D11" s="203"/>
      <c r="E11" s="203"/>
      <c r="F11" s="203"/>
      <c r="G11" s="204"/>
      <c r="H11" s="74"/>
      <c r="I11" s="74"/>
      <c r="J11" s="74"/>
      <c r="K11" s="74"/>
      <c r="L11" s="74"/>
      <c r="M11" s="74"/>
      <c r="N11" s="74"/>
      <c r="O11" s="74"/>
    </row>
    <row r="12" spans="1:15" x14ac:dyDescent="0.25">
      <c r="A12" s="201"/>
      <c r="B12" s="205"/>
      <c r="C12" s="206"/>
      <c r="D12" s="206"/>
      <c r="E12" s="206"/>
      <c r="F12" s="206"/>
      <c r="G12" s="207"/>
      <c r="H12" s="74"/>
      <c r="I12" s="74"/>
      <c r="J12" s="74"/>
      <c r="K12" s="74"/>
      <c r="L12" s="74"/>
      <c r="M12" s="74"/>
      <c r="N12" s="74"/>
      <c r="O12" s="74"/>
    </row>
    <row r="13" spans="1:15" x14ac:dyDescent="0.25">
      <c r="A13" s="201"/>
      <c r="B13" s="205"/>
      <c r="C13" s="206"/>
      <c r="D13" s="206"/>
      <c r="E13" s="206"/>
      <c r="F13" s="206"/>
      <c r="G13" s="207"/>
      <c r="H13" s="72"/>
      <c r="I13" s="74"/>
      <c r="J13" s="74"/>
      <c r="K13" s="74"/>
      <c r="L13" s="74"/>
      <c r="M13" s="74"/>
      <c r="N13" s="74"/>
      <c r="O13" s="74"/>
    </row>
    <row r="14" spans="1:15" ht="13.8" thickBot="1" x14ac:dyDescent="0.3">
      <c r="A14" s="201"/>
      <c r="B14" s="208"/>
      <c r="C14" s="209"/>
      <c r="D14" s="209"/>
      <c r="E14" s="209"/>
      <c r="F14" s="209"/>
      <c r="G14" s="210"/>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0" t="s">
        <v>44</v>
      </c>
      <c r="B16" s="202" t="s">
        <v>257</v>
      </c>
      <c r="C16" s="203"/>
      <c r="D16" s="203"/>
      <c r="E16" s="203"/>
      <c r="F16" s="203"/>
      <c r="G16" s="204"/>
      <c r="H16" s="74"/>
      <c r="I16" s="74"/>
      <c r="J16" s="74"/>
      <c r="K16" s="74"/>
      <c r="L16" s="74"/>
      <c r="M16" s="74"/>
      <c r="N16" s="74"/>
      <c r="O16" s="74"/>
    </row>
    <row r="17" spans="1:16" x14ac:dyDescent="0.25">
      <c r="A17" s="201"/>
      <c r="B17" s="205"/>
      <c r="C17" s="206"/>
      <c r="D17" s="206"/>
      <c r="E17" s="206"/>
      <c r="F17" s="206"/>
      <c r="G17" s="207"/>
      <c r="H17" s="74"/>
      <c r="I17" s="74"/>
      <c r="J17" s="74"/>
      <c r="K17" s="74"/>
      <c r="L17" s="74"/>
      <c r="M17" s="74"/>
      <c r="N17" s="74"/>
      <c r="O17" s="74"/>
    </row>
    <row r="18" spans="1:16" x14ac:dyDescent="0.25">
      <c r="A18" s="201"/>
      <c r="B18" s="205"/>
      <c r="C18" s="206"/>
      <c r="D18" s="206"/>
      <c r="E18" s="206"/>
      <c r="F18" s="206"/>
      <c r="G18" s="207"/>
      <c r="H18" s="72"/>
      <c r="I18" s="74"/>
      <c r="J18" s="74"/>
      <c r="K18" s="74"/>
      <c r="L18" s="74"/>
      <c r="M18" s="74"/>
      <c r="N18" s="74"/>
      <c r="O18" s="74"/>
    </row>
    <row r="19" spans="1:16" ht="13.8" thickBot="1" x14ac:dyDescent="0.3">
      <c r="A19" s="201"/>
      <c r="B19" s="208"/>
      <c r="C19" s="209"/>
      <c r="D19" s="209"/>
      <c r="E19" s="209"/>
      <c r="F19" s="209"/>
      <c r="G19" s="210"/>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7" t="s">
        <v>48</v>
      </c>
      <c r="B21" s="198"/>
      <c r="C21" s="198"/>
      <c r="D21" s="198"/>
      <c r="E21" s="198"/>
      <c r="F21" s="198"/>
      <c r="G21" s="199"/>
      <c r="H21" s="197" t="s">
        <v>49</v>
      </c>
      <c r="I21" s="198"/>
      <c r="J21" s="198"/>
      <c r="K21" s="199"/>
      <c r="L21" s="197" t="s">
        <v>60</v>
      </c>
      <c r="M21" s="198"/>
      <c r="N21" s="198"/>
      <c r="O21" s="199"/>
      <c r="P21" s="101" t="s">
        <v>47</v>
      </c>
    </row>
    <row r="22" spans="1:16" ht="49.2" customHeight="1" x14ac:dyDescent="0.25">
      <c r="A22" s="102" t="s">
        <v>50</v>
      </c>
      <c r="B22" s="187" t="s">
        <v>269</v>
      </c>
      <c r="C22" s="188"/>
      <c r="D22" s="188"/>
      <c r="E22" s="188"/>
      <c r="F22" s="188"/>
      <c r="G22" s="189"/>
      <c r="H22" s="186"/>
      <c r="I22" s="186"/>
      <c r="J22" s="186"/>
      <c r="K22" s="186"/>
      <c r="L22" s="186"/>
      <c r="M22" s="186"/>
      <c r="N22" s="186"/>
      <c r="O22" s="186"/>
      <c r="P22" s="96"/>
    </row>
    <row r="23" spans="1:16" ht="13.2" customHeight="1" x14ac:dyDescent="0.25">
      <c r="A23" s="102" t="s">
        <v>51</v>
      </c>
      <c r="B23" s="187" t="s">
        <v>259</v>
      </c>
      <c r="C23" s="188"/>
      <c r="D23" s="188"/>
      <c r="E23" s="188"/>
      <c r="F23" s="188"/>
      <c r="G23" s="189"/>
      <c r="H23" s="186" t="s">
        <v>139</v>
      </c>
      <c r="I23" s="186"/>
      <c r="J23" s="186"/>
      <c r="K23" s="186"/>
      <c r="L23" s="186" t="s">
        <v>226</v>
      </c>
      <c r="M23" s="186"/>
      <c r="N23" s="186"/>
      <c r="O23" s="186"/>
      <c r="P23" s="96" t="s">
        <v>127</v>
      </c>
    </row>
    <row r="24" spans="1:16" ht="13.5" customHeight="1" x14ac:dyDescent="0.25">
      <c r="A24" s="102" t="s">
        <v>52</v>
      </c>
      <c r="B24" s="187" t="s">
        <v>271</v>
      </c>
      <c r="C24" s="188"/>
      <c r="D24" s="188"/>
      <c r="E24" s="188"/>
      <c r="F24" s="188"/>
      <c r="G24" s="189"/>
      <c r="H24" s="186" t="s">
        <v>139</v>
      </c>
      <c r="I24" s="186"/>
      <c r="J24" s="186"/>
      <c r="K24" s="186"/>
      <c r="L24" s="186" t="s">
        <v>226</v>
      </c>
      <c r="M24" s="186"/>
      <c r="N24" s="186"/>
      <c r="O24" s="186"/>
      <c r="P24" s="96" t="s">
        <v>127</v>
      </c>
    </row>
    <row r="25" spans="1:16" ht="13.2" customHeight="1" x14ac:dyDescent="0.25">
      <c r="A25" s="102" t="s">
        <v>53</v>
      </c>
      <c r="B25" s="187" t="s">
        <v>272</v>
      </c>
      <c r="C25" s="188"/>
      <c r="D25" s="188"/>
      <c r="E25" s="188"/>
      <c r="F25" s="188"/>
      <c r="G25" s="189"/>
      <c r="H25" s="186" t="s">
        <v>139</v>
      </c>
      <c r="I25" s="186"/>
      <c r="J25" s="186"/>
      <c r="K25" s="186"/>
      <c r="L25" s="186" t="s">
        <v>143</v>
      </c>
      <c r="M25" s="186"/>
      <c r="N25" s="186"/>
      <c r="O25" s="186"/>
      <c r="P25" s="96" t="s">
        <v>127</v>
      </c>
    </row>
    <row r="26" spans="1:16" x14ac:dyDescent="0.25">
      <c r="A26" s="102" t="s">
        <v>54</v>
      </c>
      <c r="B26" s="187" t="s">
        <v>273</v>
      </c>
      <c r="C26" s="188"/>
      <c r="D26" s="188"/>
      <c r="E26" s="188"/>
      <c r="F26" s="188"/>
      <c r="G26" s="189"/>
      <c r="H26" s="186" t="s">
        <v>139</v>
      </c>
      <c r="I26" s="186"/>
      <c r="J26" s="186"/>
      <c r="K26" s="186"/>
      <c r="L26" s="186" t="s">
        <v>143</v>
      </c>
      <c r="M26" s="186"/>
      <c r="N26" s="186"/>
      <c r="O26" s="186"/>
      <c r="P26" s="96" t="s">
        <v>127</v>
      </c>
    </row>
    <row r="27" spans="1:16" ht="13.2" customHeight="1" x14ac:dyDescent="0.25">
      <c r="A27" s="102" t="s">
        <v>55</v>
      </c>
      <c r="B27" s="187" t="s">
        <v>276</v>
      </c>
      <c r="C27" s="188"/>
      <c r="D27" s="188"/>
      <c r="E27" s="188"/>
      <c r="F27" s="188"/>
      <c r="G27" s="189"/>
      <c r="H27" s="186" t="s">
        <v>139</v>
      </c>
      <c r="I27" s="186"/>
      <c r="J27" s="186"/>
      <c r="K27" s="186"/>
      <c r="L27" s="186" t="s">
        <v>143</v>
      </c>
      <c r="M27" s="186"/>
      <c r="N27" s="186"/>
      <c r="O27" s="186"/>
      <c r="P27" s="96" t="s">
        <v>127</v>
      </c>
    </row>
    <row r="28" spans="1:16" x14ac:dyDescent="0.25">
      <c r="A28" s="102" t="s">
        <v>56</v>
      </c>
      <c r="B28" s="187" t="s">
        <v>277</v>
      </c>
      <c r="C28" s="188"/>
      <c r="D28" s="188"/>
      <c r="E28" s="188"/>
      <c r="F28" s="188"/>
      <c r="G28" s="189"/>
      <c r="H28" s="186" t="s">
        <v>139</v>
      </c>
      <c r="I28" s="186"/>
      <c r="J28" s="186"/>
      <c r="K28" s="186"/>
      <c r="L28" s="186" t="s">
        <v>143</v>
      </c>
      <c r="M28" s="186"/>
      <c r="N28" s="186"/>
      <c r="O28" s="186"/>
      <c r="P28" s="96" t="s">
        <v>127</v>
      </c>
    </row>
    <row r="29" spans="1:16" ht="13.5" customHeight="1" x14ac:dyDescent="0.25">
      <c r="A29" s="102" t="s">
        <v>57</v>
      </c>
      <c r="B29" s="187" t="s">
        <v>278</v>
      </c>
      <c r="C29" s="188"/>
      <c r="D29" s="188"/>
      <c r="E29" s="188"/>
      <c r="F29" s="188"/>
      <c r="G29" s="189"/>
      <c r="H29" s="186" t="s">
        <v>139</v>
      </c>
      <c r="I29" s="186"/>
      <c r="J29" s="186"/>
      <c r="K29" s="186"/>
      <c r="L29" s="186" t="s">
        <v>226</v>
      </c>
      <c r="M29" s="186"/>
      <c r="N29" s="186"/>
      <c r="O29" s="186"/>
      <c r="P29" s="96" t="s">
        <v>127</v>
      </c>
    </row>
    <row r="30" spans="1:16" ht="13.2" customHeight="1" x14ac:dyDescent="0.25">
      <c r="A30" s="102" t="s">
        <v>58</v>
      </c>
      <c r="B30" s="187" t="s">
        <v>279</v>
      </c>
      <c r="C30" s="188"/>
      <c r="D30" s="188"/>
      <c r="E30" s="188"/>
      <c r="F30" s="188"/>
      <c r="G30" s="189"/>
      <c r="H30" s="186" t="s">
        <v>139</v>
      </c>
      <c r="I30" s="186"/>
      <c r="J30" s="186"/>
      <c r="K30" s="186"/>
      <c r="L30" s="186" t="s">
        <v>143</v>
      </c>
      <c r="M30" s="186"/>
      <c r="N30" s="186"/>
      <c r="O30" s="186"/>
      <c r="P30" s="96" t="s">
        <v>127</v>
      </c>
    </row>
    <row r="31" spans="1:16" x14ac:dyDescent="0.25">
      <c r="A31" s="102" t="s">
        <v>152</v>
      </c>
      <c r="B31" s="187" t="s">
        <v>280</v>
      </c>
      <c r="C31" s="188"/>
      <c r="D31" s="188"/>
      <c r="E31" s="188"/>
      <c r="F31" s="188"/>
      <c r="G31" s="189"/>
      <c r="H31" s="186" t="s">
        <v>139</v>
      </c>
      <c r="I31" s="186"/>
      <c r="J31" s="186"/>
      <c r="K31" s="186"/>
      <c r="L31" s="186" t="s">
        <v>143</v>
      </c>
      <c r="M31" s="186"/>
      <c r="N31" s="186"/>
      <c r="O31" s="186"/>
      <c r="P31" s="96" t="s">
        <v>127</v>
      </c>
    </row>
    <row r="32" spans="1:16" ht="13.2" customHeight="1" x14ac:dyDescent="0.25">
      <c r="A32" s="102" t="s">
        <v>153</v>
      </c>
      <c r="B32" s="187" t="s">
        <v>281</v>
      </c>
      <c r="C32" s="188"/>
      <c r="D32" s="188"/>
      <c r="E32" s="188"/>
      <c r="F32" s="188"/>
      <c r="G32" s="189"/>
      <c r="H32" s="186" t="s">
        <v>139</v>
      </c>
      <c r="I32" s="186"/>
      <c r="J32" s="186"/>
      <c r="K32" s="186"/>
      <c r="L32" s="186" t="s">
        <v>143</v>
      </c>
      <c r="M32" s="186"/>
      <c r="N32" s="186"/>
      <c r="O32" s="186"/>
      <c r="P32" s="96" t="s">
        <v>127</v>
      </c>
    </row>
    <row r="33" spans="1:16" ht="13.2" customHeight="1" x14ac:dyDescent="0.25">
      <c r="A33" s="102" t="s">
        <v>153</v>
      </c>
      <c r="B33" s="187" t="s">
        <v>347</v>
      </c>
      <c r="C33" s="188"/>
      <c r="D33" s="188"/>
      <c r="E33" s="188"/>
      <c r="F33" s="188"/>
      <c r="G33" s="189"/>
      <c r="H33" s="186" t="s">
        <v>139</v>
      </c>
      <c r="I33" s="186"/>
      <c r="J33" s="186"/>
      <c r="K33" s="186"/>
      <c r="L33" s="186" t="s">
        <v>143</v>
      </c>
      <c r="M33" s="186"/>
      <c r="N33" s="186"/>
      <c r="O33" s="186"/>
      <c r="P33" s="96" t="s">
        <v>127</v>
      </c>
    </row>
  </sheetData>
  <mergeCells count="46">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3:G33"/>
    <mergeCell ref="H33:K33"/>
    <mergeCell ref="L33:O33"/>
    <mergeCell ref="B31:G31"/>
    <mergeCell ref="H31:K31"/>
    <mergeCell ref="L31:O31"/>
    <mergeCell ref="B32:G32"/>
    <mergeCell ref="H32:K32"/>
    <mergeCell ref="L32:O32"/>
  </mergeCells>
  <phoneticPr fontId="45" type="noConversion"/>
  <conditionalFormatting sqref="B9:B10">
    <cfRule type="cellIs" dxfId="39" priority="13" operator="equal">
      <formula>"Nok"</formula>
    </cfRule>
    <cfRule type="cellIs" dxfId="38" priority="14" operator="equal">
      <formula>"Ok"</formula>
    </cfRule>
  </conditionalFormatting>
  <conditionalFormatting sqref="P22:P26">
    <cfRule type="cellIs" dxfId="37" priority="11" operator="equal">
      <formula>"Nok"</formula>
    </cfRule>
    <cfRule type="cellIs" dxfId="36" priority="12" operator="equal">
      <formula>"Ok"</formula>
    </cfRule>
  </conditionalFormatting>
  <conditionalFormatting sqref="P27:P28">
    <cfRule type="cellIs" dxfId="35" priority="9" operator="equal">
      <formula>"Nok"</formula>
    </cfRule>
    <cfRule type="cellIs" dxfId="34" priority="10" operator="equal">
      <formula>"Ok"</formula>
    </cfRule>
  </conditionalFormatting>
  <conditionalFormatting sqref="P29:P31">
    <cfRule type="cellIs" dxfId="33" priority="7" operator="equal">
      <formula>"Nok"</formula>
    </cfRule>
    <cfRule type="cellIs" dxfId="32" priority="8" operator="equal">
      <formula>"Ok"</formula>
    </cfRule>
  </conditionalFormatting>
  <conditionalFormatting sqref="P32">
    <cfRule type="cellIs" dxfId="31" priority="5" operator="equal">
      <formula>"Nok"</formula>
    </cfRule>
    <cfRule type="cellIs" dxfId="30" priority="6" operator="equal">
      <formula>"Ok"</formula>
    </cfRule>
  </conditionalFormatting>
  <conditionalFormatting sqref="P33">
    <cfRule type="cellIs" dxfId="29" priority="1" operator="equal">
      <formula>"Nok"</formula>
    </cfRule>
    <cfRule type="cellIs" dxfId="28" priority="2" operator="equal">
      <formula>"Ok"</formula>
    </cfRule>
  </conditionalFormatting>
  <dataValidations count="3">
    <dataValidation type="list" allowBlank="1" showInputMessage="1" showErrorMessage="1" sqref="B9" xr:uid="{5ADED9D8-5247-45A2-BB96-B898F4020770}">
      <formula1>"Ok, Nok, Not run, NA"</formula1>
    </dataValidation>
    <dataValidation type="list" allowBlank="1" showInputMessage="1" showErrorMessage="1" sqref="B5" xr:uid="{10F5C612-DDAB-4BE4-91CB-4EB1C5707C42}">
      <formula1>"Nominal, Robustness, Endurance, Qualification, Reviews"</formula1>
    </dataValidation>
    <dataValidation type="list" allowBlank="1" showInputMessage="1" showErrorMessage="1" sqref="P22:P33" xr:uid="{6CC11661-3968-4190-B56C-E09A8963A791}">
      <formula1>"Ok, Nok, Not run, ,"</formula1>
    </dataValidation>
  </dataValidations>
  <pageMargins left="0.7" right="0.7" top="0.75" bottom="0.75" header="0.3" footer="0.3"/>
  <pageSetup paperSize="9" orientation="portrait" r:id="rId1"/>
  <headerFooter>
    <oddFooter>&amp;LNA ver 1.7&amp;R&amp;P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E1C84-97BB-44FF-8F97-D4063058A98C}">
  <sheetPr codeName="Sheet17"/>
  <dimension ref="A1:P27"/>
  <sheetViews>
    <sheetView workbookViewId="0">
      <selection activeCell="B4" sqref="B4"/>
    </sheetView>
  </sheetViews>
  <sheetFormatPr defaultColWidth="9.109375" defaultRowHeight="13.2" x14ac:dyDescent="0.25"/>
  <cols>
    <col min="1" max="1" width="20.109375" style="98" customWidth="1"/>
    <col min="2" max="2" width="18.44140625" style="94" customWidth="1"/>
    <col min="3" max="6" width="9.109375" style="94"/>
    <col min="7" max="7" width="26.5546875" style="94" customWidth="1"/>
    <col min="8" max="10" width="9.5546875" style="94" customWidth="1"/>
    <col min="11" max="11" width="37.88671875" style="94" customWidth="1"/>
    <col min="12" max="14" width="9.5546875" style="94" customWidth="1"/>
    <col min="15" max="15" width="41.88671875" style="94" customWidth="1"/>
    <col min="16" max="16384" width="9.109375" style="94"/>
  </cols>
  <sheetData>
    <row r="1" spans="1:15" ht="13.8" thickBot="1" x14ac:dyDescent="0.3">
      <c r="A1" s="99" t="s">
        <v>41</v>
      </c>
      <c r="B1" s="211" t="s">
        <v>242</v>
      </c>
      <c r="C1" s="212"/>
      <c r="D1" s="212"/>
      <c r="E1" s="212"/>
      <c r="F1" s="212"/>
      <c r="G1" s="21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0" t="s">
        <v>46</v>
      </c>
      <c r="B3" s="214" t="s">
        <v>388</v>
      </c>
      <c r="C3" s="215"/>
      <c r="D3" s="215"/>
      <c r="E3" s="215"/>
      <c r="F3" s="215"/>
      <c r="G3" s="216"/>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9"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9" t="s">
        <v>42</v>
      </c>
      <c r="B7" s="214" t="s">
        <v>243</v>
      </c>
      <c r="C7" s="215"/>
      <c r="D7" s="215"/>
      <c r="E7" s="215"/>
      <c r="F7" s="215"/>
      <c r="G7" s="21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9" t="s">
        <v>43</v>
      </c>
      <c r="B9" s="103" t="s">
        <v>127</v>
      </c>
      <c r="C9" s="73"/>
      <c r="D9" s="74"/>
      <c r="E9" s="74"/>
      <c r="F9" s="74"/>
      <c r="G9" s="74"/>
      <c r="H9" s="74"/>
      <c r="I9" s="74"/>
      <c r="J9" s="74"/>
      <c r="K9" s="74"/>
      <c r="L9" s="74"/>
      <c r="M9" s="74"/>
      <c r="N9" s="74"/>
      <c r="O9" s="74"/>
    </row>
    <row r="10" spans="1:15" ht="13.8" thickBot="1" x14ac:dyDescent="0.3">
      <c r="A10" s="76"/>
      <c r="B10" s="95"/>
      <c r="C10" s="73"/>
      <c r="D10" s="74"/>
      <c r="E10" s="74"/>
      <c r="F10" s="74"/>
      <c r="G10" s="74"/>
      <c r="H10" s="74"/>
      <c r="I10" s="74"/>
      <c r="J10" s="74"/>
      <c r="K10" s="74"/>
      <c r="L10" s="74"/>
      <c r="M10" s="74"/>
      <c r="N10" s="74"/>
      <c r="O10" s="74"/>
    </row>
    <row r="11" spans="1:15" ht="12" customHeight="1" x14ac:dyDescent="0.25">
      <c r="A11" s="200" t="s">
        <v>112</v>
      </c>
      <c r="B11" s="202" t="s">
        <v>128</v>
      </c>
      <c r="C11" s="203"/>
      <c r="D11" s="203"/>
      <c r="E11" s="203"/>
      <c r="F11" s="203"/>
      <c r="G11" s="204"/>
      <c r="H11" s="74"/>
      <c r="I11" s="74"/>
      <c r="J11" s="74"/>
      <c r="K11" s="74"/>
      <c r="L11" s="74"/>
      <c r="M11" s="74"/>
      <c r="N11" s="74"/>
      <c r="O11" s="74"/>
    </row>
    <row r="12" spans="1:15" x14ac:dyDescent="0.25">
      <c r="A12" s="201"/>
      <c r="B12" s="205"/>
      <c r="C12" s="206"/>
      <c r="D12" s="206"/>
      <c r="E12" s="206"/>
      <c r="F12" s="206"/>
      <c r="G12" s="207"/>
      <c r="H12" s="74"/>
      <c r="I12" s="74"/>
      <c r="J12" s="74"/>
      <c r="K12" s="74"/>
      <c r="L12" s="74"/>
      <c r="M12" s="74"/>
      <c r="N12" s="74"/>
      <c r="O12" s="74"/>
    </row>
    <row r="13" spans="1:15" x14ac:dyDescent="0.25">
      <c r="A13" s="201"/>
      <c r="B13" s="205"/>
      <c r="C13" s="206"/>
      <c r="D13" s="206"/>
      <c r="E13" s="206"/>
      <c r="F13" s="206"/>
      <c r="G13" s="207"/>
      <c r="H13" s="72"/>
      <c r="I13" s="74"/>
      <c r="J13" s="74"/>
      <c r="K13" s="74"/>
      <c r="L13" s="74"/>
      <c r="M13" s="74"/>
      <c r="N13" s="74"/>
      <c r="O13" s="74"/>
    </row>
    <row r="14" spans="1:15" ht="13.8" thickBot="1" x14ac:dyDescent="0.3">
      <c r="A14" s="201"/>
      <c r="B14" s="208"/>
      <c r="C14" s="209"/>
      <c r="D14" s="209"/>
      <c r="E14" s="209"/>
      <c r="F14" s="209"/>
      <c r="G14" s="210"/>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0" t="s">
        <v>44</v>
      </c>
      <c r="B16" s="228" t="s">
        <v>366</v>
      </c>
      <c r="C16" s="229"/>
      <c r="D16" s="229"/>
      <c r="E16" s="229"/>
      <c r="F16" s="229"/>
      <c r="G16" s="230"/>
      <c r="H16" s="74"/>
      <c r="I16" s="74"/>
      <c r="J16" s="74"/>
      <c r="K16" s="74"/>
      <c r="L16" s="74"/>
      <c r="M16" s="74"/>
      <c r="N16" s="74"/>
      <c r="O16" s="74"/>
    </row>
    <row r="17" spans="1:16" x14ac:dyDescent="0.25">
      <c r="A17" s="201"/>
      <c r="B17" s="231"/>
      <c r="C17" s="232"/>
      <c r="D17" s="232"/>
      <c r="E17" s="232"/>
      <c r="F17" s="232"/>
      <c r="G17" s="233"/>
      <c r="H17" s="74"/>
      <c r="I17" s="74"/>
      <c r="J17" s="74"/>
      <c r="K17" s="74"/>
      <c r="L17" s="74"/>
      <c r="M17" s="74"/>
      <c r="N17" s="74"/>
      <c r="O17" s="74"/>
    </row>
    <row r="18" spans="1:16" x14ac:dyDescent="0.25">
      <c r="A18" s="201"/>
      <c r="B18" s="231"/>
      <c r="C18" s="232"/>
      <c r="D18" s="232"/>
      <c r="E18" s="232"/>
      <c r="F18" s="232"/>
      <c r="G18" s="233"/>
      <c r="H18" s="72"/>
      <c r="I18" s="74"/>
      <c r="J18" s="74"/>
      <c r="K18" s="74"/>
      <c r="L18" s="74"/>
      <c r="M18" s="74"/>
      <c r="N18" s="74"/>
      <c r="O18" s="74"/>
    </row>
    <row r="19" spans="1:16" ht="13.8" thickBot="1" x14ac:dyDescent="0.3">
      <c r="A19" s="201"/>
      <c r="B19" s="234"/>
      <c r="C19" s="235"/>
      <c r="D19" s="235"/>
      <c r="E19" s="235"/>
      <c r="F19" s="235"/>
      <c r="G19" s="236"/>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7" t="s">
        <v>48</v>
      </c>
      <c r="B21" s="198"/>
      <c r="C21" s="198"/>
      <c r="D21" s="198"/>
      <c r="E21" s="198"/>
      <c r="F21" s="198"/>
      <c r="G21" s="199"/>
      <c r="H21" s="197" t="s">
        <v>49</v>
      </c>
      <c r="I21" s="198"/>
      <c r="J21" s="198"/>
      <c r="K21" s="199"/>
      <c r="L21" s="197" t="s">
        <v>60</v>
      </c>
      <c r="M21" s="198"/>
      <c r="N21" s="198"/>
      <c r="O21" s="199"/>
      <c r="P21" s="101" t="s">
        <v>47</v>
      </c>
    </row>
    <row r="22" spans="1:16" ht="49.2" customHeight="1" x14ac:dyDescent="0.25">
      <c r="A22" s="102" t="s">
        <v>50</v>
      </c>
      <c r="B22" s="187" t="s">
        <v>283</v>
      </c>
      <c r="C22" s="188"/>
      <c r="D22" s="188"/>
      <c r="E22" s="188"/>
      <c r="F22" s="188"/>
      <c r="G22" s="189"/>
      <c r="H22" s="186"/>
      <c r="I22" s="186"/>
      <c r="J22" s="186"/>
      <c r="K22" s="186"/>
      <c r="L22" s="186"/>
      <c r="M22" s="186"/>
      <c r="N22" s="186"/>
      <c r="O22" s="186"/>
      <c r="P22" s="96"/>
    </row>
    <row r="23" spans="1:16" ht="13.2" customHeight="1" x14ac:dyDescent="0.25">
      <c r="A23" s="102" t="s">
        <v>51</v>
      </c>
      <c r="B23" s="187" t="s">
        <v>284</v>
      </c>
      <c r="C23" s="188"/>
      <c r="D23" s="188"/>
      <c r="E23" s="188"/>
      <c r="F23" s="188"/>
      <c r="G23" s="189"/>
      <c r="H23" s="186">
        <v>1</v>
      </c>
      <c r="I23" s="186"/>
      <c r="J23" s="186"/>
      <c r="K23" s="186"/>
      <c r="L23" s="186">
        <v>1</v>
      </c>
      <c r="M23" s="186"/>
      <c r="N23" s="186"/>
      <c r="O23" s="186"/>
      <c r="P23" s="96" t="s">
        <v>127</v>
      </c>
    </row>
    <row r="24" spans="1:16" ht="13.5" customHeight="1" x14ac:dyDescent="0.25">
      <c r="A24" s="102" t="s">
        <v>52</v>
      </c>
      <c r="B24" s="187" t="s">
        <v>285</v>
      </c>
      <c r="C24" s="188"/>
      <c r="D24" s="188"/>
      <c r="E24" s="188"/>
      <c r="F24" s="188"/>
      <c r="G24" s="189"/>
      <c r="H24" s="186">
        <v>50</v>
      </c>
      <c r="I24" s="186"/>
      <c r="J24" s="186"/>
      <c r="K24" s="186"/>
      <c r="L24" s="186">
        <v>50</v>
      </c>
      <c r="M24" s="186"/>
      <c r="N24" s="186"/>
      <c r="O24" s="186"/>
      <c r="P24" s="96" t="s">
        <v>127</v>
      </c>
    </row>
    <row r="25" spans="1:16" ht="13.2" customHeight="1" x14ac:dyDescent="0.25">
      <c r="A25" s="102" t="s">
        <v>53</v>
      </c>
      <c r="B25" s="187" t="s">
        <v>286</v>
      </c>
      <c r="C25" s="188"/>
      <c r="D25" s="188"/>
      <c r="E25" s="188"/>
      <c r="F25" s="188"/>
      <c r="G25" s="189"/>
      <c r="H25" s="186">
        <v>60</v>
      </c>
      <c r="I25" s="186"/>
      <c r="J25" s="186"/>
      <c r="K25" s="186"/>
      <c r="L25" s="186">
        <v>60</v>
      </c>
      <c r="M25" s="186"/>
      <c r="N25" s="186"/>
      <c r="O25" s="186"/>
      <c r="P25" s="96" t="s">
        <v>127</v>
      </c>
    </row>
    <row r="26" spans="1:16" ht="13.2" customHeight="1" x14ac:dyDescent="0.25">
      <c r="B26" s="98"/>
      <c r="C26" s="98"/>
      <c r="D26" s="98"/>
      <c r="E26" s="98"/>
      <c r="F26" s="98"/>
      <c r="G26" s="98"/>
      <c r="H26" s="98"/>
    </row>
    <row r="27" spans="1:16" ht="13.2" customHeight="1" x14ac:dyDescent="0.25">
      <c r="B27" s="98"/>
      <c r="C27" s="98"/>
      <c r="D27" s="98"/>
      <c r="E27" s="98"/>
      <c r="F27" s="98"/>
      <c r="G27" s="98"/>
      <c r="H27" s="98"/>
    </row>
  </sheetData>
  <mergeCells count="22">
    <mergeCell ref="A16:A19"/>
    <mergeCell ref="B16:G19"/>
    <mergeCell ref="B1:G1"/>
    <mergeCell ref="B3:G3"/>
    <mergeCell ref="B7:G7"/>
    <mergeCell ref="A11:A14"/>
    <mergeCell ref="B11:G14"/>
    <mergeCell ref="A21:G21"/>
    <mergeCell ref="H21:K21"/>
    <mergeCell ref="L21:O21"/>
    <mergeCell ref="B22:G22"/>
    <mergeCell ref="H22:K22"/>
    <mergeCell ref="L22:O22"/>
    <mergeCell ref="B25:G25"/>
    <mergeCell ref="H25:K25"/>
    <mergeCell ref="L25:O25"/>
    <mergeCell ref="B23:G23"/>
    <mergeCell ref="H23:K23"/>
    <mergeCell ref="L23:O23"/>
    <mergeCell ref="B24:G24"/>
    <mergeCell ref="H24:K24"/>
    <mergeCell ref="L24:O24"/>
  </mergeCells>
  <conditionalFormatting sqref="B9:B10">
    <cfRule type="cellIs" dxfId="27" priority="7" operator="equal">
      <formula>"Nok"</formula>
    </cfRule>
    <cfRule type="cellIs" dxfId="26" priority="8" operator="equal">
      <formula>"Ok"</formula>
    </cfRule>
  </conditionalFormatting>
  <conditionalFormatting sqref="P22:P25">
    <cfRule type="cellIs" dxfId="25" priority="5" operator="equal">
      <formula>"Nok"</formula>
    </cfRule>
    <cfRule type="cellIs" dxfId="24" priority="6" operator="equal">
      <formula>"Ok"</formula>
    </cfRule>
  </conditionalFormatting>
  <dataValidations count="3">
    <dataValidation type="list" allowBlank="1" showInputMessage="1" showErrorMessage="1" sqref="P22:P25" xr:uid="{B4554C01-DFAE-4337-9BD8-CB1BA8313FD6}">
      <formula1>"Ok, Nok, Not run, ,"</formula1>
    </dataValidation>
    <dataValidation type="list" allowBlank="1" showInputMessage="1" showErrorMessage="1" sqref="B9" xr:uid="{E5A6C8CB-F76A-4B92-BECF-72B15980DB3D}">
      <formula1>"Ok, Nok, Not run, NA"</formula1>
    </dataValidation>
    <dataValidation type="list" allowBlank="1" showInputMessage="1" showErrorMessage="1" sqref="B5" xr:uid="{DFED3581-EBF0-4E42-B8B7-6643983994D7}">
      <formula1>"Nominal, Robustness, Endurance, Qualification, Reviews"</formula1>
    </dataValidation>
  </dataValidations>
  <pageMargins left="0.7" right="0.7" top="0.75" bottom="0.75" header="0.3" footer="0.3"/>
  <pageSetup paperSize="9" orientation="portrait" r:id="rId1"/>
  <headerFooter>
    <oddFooter>&amp;LNA ver 1.7&amp;R&amp;P</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C1E25-B8E5-446B-8A02-3979AA6820E9}">
  <sheetPr codeName="Sheet18"/>
  <dimension ref="A1:P34"/>
  <sheetViews>
    <sheetView workbookViewId="0">
      <selection activeCell="B4" sqref="B4"/>
    </sheetView>
  </sheetViews>
  <sheetFormatPr defaultColWidth="9.109375" defaultRowHeight="13.2" x14ac:dyDescent="0.25"/>
  <cols>
    <col min="1" max="1" width="20.109375" style="98" customWidth="1"/>
    <col min="2" max="2" width="18.44140625" style="94" customWidth="1"/>
    <col min="3" max="6" width="9.109375" style="94"/>
    <col min="7" max="7" width="39.33203125" style="94" customWidth="1"/>
    <col min="8" max="10" width="9.5546875" style="94" customWidth="1"/>
    <col min="11" max="11" width="7.109375" style="94" customWidth="1"/>
    <col min="12" max="14" width="9.5546875" style="94" customWidth="1"/>
    <col min="15" max="15" width="16.109375" style="94" customWidth="1"/>
    <col min="16" max="16384" width="9.109375" style="94"/>
  </cols>
  <sheetData>
    <row r="1" spans="1:15" ht="13.8" thickBot="1" x14ac:dyDescent="0.3">
      <c r="A1" s="99" t="s">
        <v>41</v>
      </c>
      <c r="B1" s="211" t="s">
        <v>290</v>
      </c>
      <c r="C1" s="212"/>
      <c r="D1" s="212"/>
      <c r="E1" s="212"/>
      <c r="F1" s="212"/>
      <c r="G1" s="21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0" t="s">
        <v>46</v>
      </c>
      <c r="B3" s="237" t="s">
        <v>389</v>
      </c>
      <c r="C3" s="238"/>
      <c r="D3" s="238"/>
      <c r="E3" s="238"/>
      <c r="F3" s="238"/>
      <c r="G3" s="239"/>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9"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9" t="s">
        <v>42</v>
      </c>
      <c r="B7" s="214" t="s">
        <v>291</v>
      </c>
      <c r="C7" s="215"/>
      <c r="D7" s="215"/>
      <c r="E7" s="215"/>
      <c r="F7" s="215"/>
      <c r="G7" s="21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9" t="s">
        <v>43</v>
      </c>
      <c r="B9" s="103" t="s">
        <v>127</v>
      </c>
      <c r="C9" s="73"/>
      <c r="D9" s="74"/>
      <c r="E9" s="74"/>
      <c r="F9" s="74"/>
      <c r="G9" s="74"/>
      <c r="H9" s="74"/>
      <c r="I9" s="74"/>
      <c r="J9" s="74"/>
      <c r="K9" s="74"/>
      <c r="L9" s="74"/>
      <c r="M9" s="74"/>
      <c r="N9" s="74"/>
      <c r="O9" s="74"/>
    </row>
    <row r="10" spans="1:15" ht="13.8" thickBot="1" x14ac:dyDescent="0.3">
      <c r="A10" s="76"/>
      <c r="B10" s="95"/>
      <c r="C10" s="73"/>
      <c r="D10" s="74"/>
      <c r="E10" s="74"/>
      <c r="F10" s="74"/>
      <c r="G10" s="74"/>
      <c r="H10" s="74"/>
      <c r="I10" s="74"/>
      <c r="J10" s="74"/>
      <c r="K10" s="74"/>
      <c r="L10" s="74"/>
      <c r="M10" s="74"/>
      <c r="N10" s="74"/>
      <c r="O10" s="74"/>
    </row>
    <row r="11" spans="1:15" ht="12" customHeight="1" x14ac:dyDescent="0.25">
      <c r="A11" s="200" t="s">
        <v>112</v>
      </c>
      <c r="B11" s="202" t="s">
        <v>128</v>
      </c>
      <c r="C11" s="203"/>
      <c r="D11" s="203"/>
      <c r="E11" s="203"/>
      <c r="F11" s="203"/>
      <c r="G11" s="204"/>
      <c r="H11" s="74"/>
      <c r="I11" s="74"/>
      <c r="J11" s="74"/>
      <c r="K11" s="74"/>
      <c r="L11" s="74"/>
      <c r="M11" s="74"/>
      <c r="N11" s="74"/>
      <c r="O11" s="74"/>
    </row>
    <row r="12" spans="1:15" x14ac:dyDescent="0.25">
      <c r="A12" s="201"/>
      <c r="B12" s="205"/>
      <c r="C12" s="206"/>
      <c r="D12" s="206"/>
      <c r="E12" s="206"/>
      <c r="F12" s="206"/>
      <c r="G12" s="207"/>
      <c r="H12" s="74"/>
      <c r="I12" s="74"/>
      <c r="J12" s="74"/>
      <c r="K12" s="74"/>
      <c r="L12" s="74"/>
      <c r="M12" s="74"/>
      <c r="N12" s="74"/>
      <c r="O12" s="74"/>
    </row>
    <row r="13" spans="1:15" x14ac:dyDescent="0.25">
      <c r="A13" s="201"/>
      <c r="B13" s="205"/>
      <c r="C13" s="206"/>
      <c r="D13" s="206"/>
      <c r="E13" s="206"/>
      <c r="F13" s="206"/>
      <c r="G13" s="207"/>
      <c r="H13" s="72"/>
      <c r="I13" s="74"/>
      <c r="J13" s="74"/>
      <c r="K13" s="74"/>
      <c r="L13" s="74"/>
      <c r="M13" s="74"/>
      <c r="N13" s="74"/>
      <c r="O13" s="74"/>
    </row>
    <row r="14" spans="1:15" ht="13.8" thickBot="1" x14ac:dyDescent="0.3">
      <c r="A14" s="201"/>
      <c r="B14" s="208"/>
      <c r="C14" s="209"/>
      <c r="D14" s="209"/>
      <c r="E14" s="209"/>
      <c r="F14" s="209"/>
      <c r="G14" s="210"/>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0" t="s">
        <v>44</v>
      </c>
      <c r="B16" s="202" t="s">
        <v>292</v>
      </c>
      <c r="C16" s="203"/>
      <c r="D16" s="203"/>
      <c r="E16" s="203"/>
      <c r="F16" s="203"/>
      <c r="G16" s="204"/>
      <c r="H16" s="74"/>
      <c r="I16" s="74"/>
      <c r="J16" s="74"/>
      <c r="K16" s="74"/>
      <c r="L16" s="74"/>
      <c r="M16" s="74"/>
      <c r="N16" s="74"/>
      <c r="O16" s="74"/>
    </row>
    <row r="17" spans="1:16" x14ac:dyDescent="0.25">
      <c r="A17" s="201"/>
      <c r="B17" s="205"/>
      <c r="C17" s="206"/>
      <c r="D17" s="206"/>
      <c r="E17" s="206"/>
      <c r="F17" s="206"/>
      <c r="G17" s="207"/>
      <c r="H17" s="74"/>
      <c r="I17" s="74"/>
      <c r="J17" s="74"/>
      <c r="K17" s="74"/>
      <c r="L17" s="74"/>
      <c r="M17" s="74"/>
      <c r="N17" s="74"/>
      <c r="O17" s="74"/>
    </row>
    <row r="18" spans="1:16" x14ac:dyDescent="0.25">
      <c r="A18" s="201"/>
      <c r="B18" s="205"/>
      <c r="C18" s="206"/>
      <c r="D18" s="206"/>
      <c r="E18" s="206"/>
      <c r="F18" s="206"/>
      <c r="G18" s="207"/>
      <c r="H18" s="72"/>
      <c r="I18" s="74"/>
      <c r="J18" s="74"/>
      <c r="K18" s="74"/>
      <c r="L18" s="74"/>
      <c r="M18" s="74"/>
      <c r="N18" s="74"/>
      <c r="O18" s="74"/>
    </row>
    <row r="19" spans="1:16" ht="53.7" customHeight="1" thickBot="1" x14ac:dyDescent="0.3">
      <c r="A19" s="201"/>
      <c r="B19" s="208"/>
      <c r="C19" s="209"/>
      <c r="D19" s="209"/>
      <c r="E19" s="209"/>
      <c r="F19" s="209"/>
      <c r="G19" s="210"/>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7" t="s">
        <v>48</v>
      </c>
      <c r="B21" s="198"/>
      <c r="C21" s="198"/>
      <c r="D21" s="198"/>
      <c r="E21" s="198"/>
      <c r="F21" s="198"/>
      <c r="G21" s="199"/>
      <c r="H21" s="197" t="s">
        <v>49</v>
      </c>
      <c r="I21" s="198"/>
      <c r="J21" s="198"/>
      <c r="K21" s="199"/>
      <c r="L21" s="197" t="s">
        <v>60</v>
      </c>
      <c r="M21" s="198"/>
      <c r="N21" s="198"/>
      <c r="O21" s="199"/>
      <c r="P21" s="101" t="s">
        <v>47</v>
      </c>
    </row>
    <row r="22" spans="1:16" ht="28.5" customHeight="1" x14ac:dyDescent="0.25">
      <c r="A22" s="102" t="s">
        <v>50</v>
      </c>
      <c r="B22" s="187" t="s">
        <v>293</v>
      </c>
      <c r="C22" s="188"/>
      <c r="D22" s="188"/>
      <c r="E22" s="188"/>
      <c r="F22" s="188"/>
      <c r="G22" s="189"/>
      <c r="H22" s="186" t="s">
        <v>294</v>
      </c>
      <c r="I22" s="186"/>
      <c r="J22" s="186"/>
      <c r="K22" s="186"/>
      <c r="L22" s="186" t="s">
        <v>348</v>
      </c>
      <c r="M22" s="186"/>
      <c r="N22" s="186"/>
      <c r="O22" s="186"/>
      <c r="P22" s="96" t="s">
        <v>127</v>
      </c>
    </row>
    <row r="23" spans="1:16" ht="25.5" customHeight="1" x14ac:dyDescent="0.25">
      <c r="A23" s="102" t="s">
        <v>51</v>
      </c>
      <c r="B23" s="187" t="s">
        <v>295</v>
      </c>
      <c r="C23" s="188"/>
      <c r="D23" s="188"/>
      <c r="E23" s="188"/>
      <c r="F23" s="188"/>
      <c r="G23" s="189"/>
      <c r="H23" s="186" t="s">
        <v>294</v>
      </c>
      <c r="I23" s="186"/>
      <c r="J23" s="186"/>
      <c r="K23" s="186"/>
      <c r="L23" s="186" t="s">
        <v>299</v>
      </c>
      <c r="M23" s="186"/>
      <c r="N23" s="186"/>
      <c r="O23" s="186"/>
      <c r="P23" s="96" t="s">
        <v>127</v>
      </c>
    </row>
    <row r="24" spans="1:16" ht="25.2" customHeight="1" x14ac:dyDescent="0.25">
      <c r="A24" s="102" t="s">
        <v>52</v>
      </c>
      <c r="B24" s="187" t="s">
        <v>296</v>
      </c>
      <c r="C24" s="188"/>
      <c r="D24" s="188"/>
      <c r="E24" s="188"/>
      <c r="F24" s="188"/>
      <c r="G24" s="189"/>
      <c r="H24" s="186" t="s">
        <v>294</v>
      </c>
      <c r="I24" s="186"/>
      <c r="J24" s="186"/>
      <c r="K24" s="186"/>
      <c r="L24" s="186" t="s">
        <v>349</v>
      </c>
      <c r="M24" s="186"/>
      <c r="N24" s="186"/>
      <c r="O24" s="186"/>
      <c r="P24" s="96" t="s">
        <v>127</v>
      </c>
    </row>
    <row r="25" spans="1:16" ht="42.6" customHeight="1" x14ac:dyDescent="0.25">
      <c r="A25" s="102" t="s">
        <v>53</v>
      </c>
      <c r="B25" s="187" t="s">
        <v>298</v>
      </c>
      <c r="C25" s="188"/>
      <c r="D25" s="188"/>
      <c r="E25" s="188"/>
      <c r="F25" s="188"/>
      <c r="G25" s="189"/>
      <c r="H25" s="186" t="s">
        <v>297</v>
      </c>
      <c r="I25" s="186"/>
      <c r="J25" s="186"/>
      <c r="K25" s="186"/>
      <c r="L25" s="186" t="s">
        <v>353</v>
      </c>
      <c r="M25" s="186"/>
      <c r="N25" s="186"/>
      <c r="O25" s="186"/>
      <c r="P25" s="96" t="s">
        <v>127</v>
      </c>
    </row>
    <row r="26" spans="1:16" ht="28.2" customHeight="1" x14ac:dyDescent="0.25">
      <c r="A26" s="102" t="s">
        <v>54</v>
      </c>
      <c r="B26" s="187" t="s">
        <v>300</v>
      </c>
      <c r="C26" s="188"/>
      <c r="D26" s="188"/>
      <c r="E26" s="188"/>
      <c r="F26" s="188"/>
      <c r="G26" s="189"/>
      <c r="H26" s="186" t="s">
        <v>301</v>
      </c>
      <c r="I26" s="186"/>
      <c r="J26" s="186"/>
      <c r="K26" s="186"/>
      <c r="L26" s="186" t="s">
        <v>354</v>
      </c>
      <c r="M26" s="186"/>
      <c r="N26" s="186"/>
      <c r="O26" s="186"/>
      <c r="P26" s="96" t="s">
        <v>127</v>
      </c>
    </row>
    <row r="27" spans="1:16" ht="28.2" customHeight="1" x14ac:dyDescent="0.25">
      <c r="A27" s="102" t="s">
        <v>55</v>
      </c>
      <c r="B27" s="187" t="s">
        <v>302</v>
      </c>
      <c r="C27" s="188"/>
      <c r="D27" s="188"/>
      <c r="E27" s="188"/>
      <c r="F27" s="188"/>
      <c r="G27" s="189"/>
      <c r="H27" s="186" t="s">
        <v>303</v>
      </c>
      <c r="I27" s="186"/>
      <c r="J27" s="186"/>
      <c r="K27" s="186"/>
      <c r="L27" s="186" t="s">
        <v>351</v>
      </c>
      <c r="M27" s="186"/>
      <c r="N27" s="186"/>
      <c r="O27" s="186"/>
      <c r="P27" s="96" t="s">
        <v>127</v>
      </c>
    </row>
    <row r="28" spans="1:16" ht="26.1" customHeight="1" x14ac:dyDescent="0.25">
      <c r="A28" s="102" t="s">
        <v>56</v>
      </c>
      <c r="B28" s="187" t="s">
        <v>304</v>
      </c>
      <c r="C28" s="188"/>
      <c r="D28" s="188"/>
      <c r="E28" s="188"/>
      <c r="F28" s="188"/>
      <c r="G28" s="189"/>
      <c r="H28" s="186" t="s">
        <v>301</v>
      </c>
      <c r="I28" s="186"/>
      <c r="J28" s="186"/>
      <c r="K28" s="186"/>
      <c r="L28" s="186" t="s">
        <v>352</v>
      </c>
      <c r="M28" s="186"/>
      <c r="N28" s="186"/>
      <c r="O28" s="186"/>
      <c r="P28" s="96" t="s">
        <v>127</v>
      </c>
    </row>
    <row r="29" spans="1:16" ht="26.7" customHeight="1" x14ac:dyDescent="0.25">
      <c r="A29" s="102" t="s">
        <v>57</v>
      </c>
      <c r="B29" s="187" t="s">
        <v>305</v>
      </c>
      <c r="C29" s="188"/>
      <c r="D29" s="188"/>
      <c r="E29" s="188"/>
      <c r="F29" s="188"/>
      <c r="G29" s="189"/>
      <c r="H29" s="186" t="s">
        <v>301</v>
      </c>
      <c r="I29" s="186"/>
      <c r="J29" s="186"/>
      <c r="K29" s="186"/>
      <c r="L29" s="186" t="s">
        <v>350</v>
      </c>
      <c r="M29" s="186"/>
      <c r="N29" s="186"/>
      <c r="O29" s="186"/>
      <c r="P29" s="96" t="s">
        <v>127</v>
      </c>
    </row>
    <row r="30" spans="1:16" ht="24.6" customHeight="1" x14ac:dyDescent="0.25">
      <c r="A30" s="102" t="s">
        <v>58</v>
      </c>
      <c r="B30" s="187" t="s">
        <v>306</v>
      </c>
      <c r="C30" s="188"/>
      <c r="D30" s="188"/>
      <c r="E30" s="188"/>
      <c r="F30" s="188"/>
      <c r="G30" s="189"/>
      <c r="H30" s="186" t="s">
        <v>294</v>
      </c>
      <c r="I30" s="186"/>
      <c r="J30" s="186"/>
      <c r="K30" s="186"/>
      <c r="L30" s="186" t="s">
        <v>307</v>
      </c>
      <c r="M30" s="186"/>
      <c r="N30" s="186"/>
      <c r="O30" s="186"/>
      <c r="P30" s="96" t="s">
        <v>127</v>
      </c>
    </row>
    <row r="31" spans="1:16" ht="24" customHeight="1" x14ac:dyDescent="0.25">
      <c r="A31" s="102" t="s">
        <v>152</v>
      </c>
      <c r="B31" s="187" t="s">
        <v>308</v>
      </c>
      <c r="C31" s="188"/>
      <c r="D31" s="188"/>
      <c r="E31" s="188"/>
      <c r="F31" s="188"/>
      <c r="G31" s="189"/>
      <c r="H31" s="186" t="s">
        <v>309</v>
      </c>
      <c r="I31" s="186"/>
      <c r="J31" s="186"/>
      <c r="K31" s="186"/>
      <c r="L31" s="186" t="s">
        <v>355</v>
      </c>
      <c r="M31" s="186"/>
      <c r="N31" s="186"/>
      <c r="O31" s="186"/>
      <c r="P31" s="96" t="s">
        <v>127</v>
      </c>
    </row>
    <row r="32" spans="1:16" ht="24.6" customHeight="1" x14ac:dyDescent="0.25">
      <c r="A32" s="102" t="s">
        <v>153</v>
      </c>
      <c r="B32" s="187" t="s">
        <v>310</v>
      </c>
      <c r="C32" s="188"/>
      <c r="D32" s="188"/>
      <c r="E32" s="188"/>
      <c r="F32" s="188"/>
      <c r="G32" s="189"/>
      <c r="H32" s="186" t="s">
        <v>311</v>
      </c>
      <c r="I32" s="186"/>
      <c r="J32" s="186"/>
      <c r="K32" s="186"/>
      <c r="L32" s="186" t="s">
        <v>307</v>
      </c>
      <c r="M32" s="186"/>
      <c r="N32" s="186"/>
      <c r="O32" s="186"/>
      <c r="P32" s="96" t="s">
        <v>127</v>
      </c>
    </row>
    <row r="33" spans="2:8" ht="13.2" customHeight="1" x14ac:dyDescent="0.25">
      <c r="B33" s="98"/>
      <c r="C33" s="98"/>
      <c r="D33" s="98"/>
      <c r="E33" s="98"/>
      <c r="F33" s="98"/>
      <c r="G33" s="98"/>
      <c r="H33" s="98"/>
    </row>
    <row r="34" spans="2:8" ht="13.2" customHeight="1" x14ac:dyDescent="0.25">
      <c r="B34" s="98"/>
      <c r="C34" s="98"/>
      <c r="D34" s="98"/>
      <c r="E34" s="98"/>
      <c r="F34" s="98"/>
      <c r="G34" s="98"/>
      <c r="H34" s="98"/>
    </row>
  </sheetData>
  <mergeCells count="43">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s>
  <phoneticPr fontId="44" type="noConversion"/>
  <conditionalFormatting sqref="B9:B10">
    <cfRule type="cellIs" dxfId="23" priority="9" operator="equal">
      <formula>"Nok"</formula>
    </cfRule>
    <cfRule type="cellIs" dxfId="22" priority="10" operator="equal">
      <formula>"Ok"</formula>
    </cfRule>
  </conditionalFormatting>
  <conditionalFormatting sqref="P22:P26">
    <cfRule type="cellIs" dxfId="21" priority="7" operator="equal">
      <formula>"Nok"</formula>
    </cfRule>
    <cfRule type="cellIs" dxfId="20" priority="8" operator="equal">
      <formula>"Ok"</formula>
    </cfRule>
  </conditionalFormatting>
  <conditionalFormatting sqref="P27:P28">
    <cfRule type="cellIs" dxfId="19" priority="5" operator="equal">
      <formula>"Nok"</formula>
    </cfRule>
    <cfRule type="cellIs" dxfId="18" priority="6" operator="equal">
      <formula>"Ok"</formula>
    </cfRule>
  </conditionalFormatting>
  <conditionalFormatting sqref="P29:P31">
    <cfRule type="cellIs" dxfId="17" priority="3" operator="equal">
      <formula>"Nok"</formula>
    </cfRule>
    <cfRule type="cellIs" dxfId="16" priority="4" operator="equal">
      <formula>"Ok"</formula>
    </cfRule>
  </conditionalFormatting>
  <conditionalFormatting sqref="P32">
    <cfRule type="cellIs" dxfId="15" priority="1" operator="equal">
      <formula>"Nok"</formula>
    </cfRule>
    <cfRule type="cellIs" dxfId="14" priority="2" operator="equal">
      <formula>"Ok"</formula>
    </cfRule>
  </conditionalFormatting>
  <dataValidations count="3">
    <dataValidation type="list" allowBlank="1" showInputMessage="1" showErrorMessage="1" sqref="B5" xr:uid="{D0442A54-3CA6-4B9C-8B21-F3583B1C0F43}">
      <formula1>"Nominal, Robustness, Endurance, Qualification, Reviews"</formula1>
    </dataValidation>
    <dataValidation type="list" allowBlank="1" showInputMessage="1" showErrorMessage="1" sqref="B9" xr:uid="{76530DC8-1616-442B-B76A-D5E3D65616A3}">
      <formula1>"Ok, Nok, Not run, NA"</formula1>
    </dataValidation>
    <dataValidation type="list" allowBlank="1" showInputMessage="1" showErrorMessage="1" sqref="P22:P32" xr:uid="{E1C0C2B9-7392-4318-BB8B-4F922136CF00}">
      <formula1>"Ok, Nok, Not run, ,"</formula1>
    </dataValidation>
  </dataValidations>
  <pageMargins left="0.7" right="0.7" top="0.75" bottom="0.75" header="0.3" footer="0.3"/>
  <pageSetup paperSize="9" orientation="portrait" r:id="rId1"/>
  <headerFooter>
    <oddFooter>&amp;LNA ver 1.7&amp;R&amp;P</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08399-F4C4-4039-BA82-5AD727095EA5}">
  <sheetPr codeName="Sheet19"/>
  <dimension ref="A1:P31"/>
  <sheetViews>
    <sheetView workbookViewId="0"/>
  </sheetViews>
  <sheetFormatPr defaultColWidth="9.109375" defaultRowHeight="13.2" x14ac:dyDescent="0.25"/>
  <cols>
    <col min="1" max="1" width="20.109375" style="98" customWidth="1"/>
    <col min="2" max="2" width="18.44140625" style="94" customWidth="1"/>
    <col min="3" max="6" width="9.109375" style="94"/>
    <col min="7" max="7" width="13.88671875" style="94" customWidth="1"/>
    <col min="8" max="10" width="9.5546875" style="94" customWidth="1"/>
    <col min="11" max="11" width="7.109375" style="94" customWidth="1"/>
    <col min="12" max="14" width="9.5546875" style="94" customWidth="1"/>
    <col min="15" max="15" width="16.109375" style="94" customWidth="1"/>
    <col min="16" max="16384" width="9.109375" style="94"/>
  </cols>
  <sheetData>
    <row r="1" spans="1:15" ht="13.8" thickBot="1" x14ac:dyDescent="0.3">
      <c r="A1" s="99" t="s">
        <v>41</v>
      </c>
      <c r="B1" s="211" t="s">
        <v>312</v>
      </c>
      <c r="C1" s="212"/>
      <c r="D1" s="212"/>
      <c r="E1" s="212"/>
      <c r="F1" s="212"/>
      <c r="G1" s="21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122.1" customHeight="1" thickBot="1" x14ac:dyDescent="0.3">
      <c r="A3" s="100" t="s">
        <v>46</v>
      </c>
      <c r="B3" s="237" t="s">
        <v>390</v>
      </c>
      <c r="C3" s="238"/>
      <c r="D3" s="238"/>
      <c r="E3" s="238"/>
      <c r="F3" s="238"/>
      <c r="G3" s="239"/>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9"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9" t="s">
        <v>42</v>
      </c>
      <c r="B7" s="214" t="s">
        <v>313</v>
      </c>
      <c r="C7" s="215"/>
      <c r="D7" s="215"/>
      <c r="E7" s="215"/>
      <c r="F7" s="215"/>
      <c r="G7" s="21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9" t="s">
        <v>43</v>
      </c>
      <c r="B9" s="103" t="s">
        <v>171</v>
      </c>
      <c r="C9" s="73"/>
      <c r="D9" s="74"/>
      <c r="E9" s="74"/>
      <c r="F9" s="74"/>
      <c r="G9" s="74"/>
      <c r="H9" s="74"/>
      <c r="I9" s="74"/>
      <c r="J9" s="74"/>
      <c r="K9" s="74"/>
      <c r="L9" s="74"/>
      <c r="M9" s="74"/>
      <c r="N9" s="74"/>
      <c r="O9" s="74"/>
    </row>
    <row r="10" spans="1:15" ht="13.8" thickBot="1" x14ac:dyDescent="0.3">
      <c r="A10" s="76"/>
      <c r="B10" s="95"/>
      <c r="C10" s="73"/>
      <c r="D10" s="74"/>
      <c r="E10" s="74"/>
      <c r="F10" s="74"/>
      <c r="G10" s="74"/>
      <c r="H10" s="74"/>
      <c r="I10" s="74"/>
      <c r="J10" s="74"/>
      <c r="K10" s="74"/>
      <c r="L10" s="74"/>
      <c r="M10" s="74"/>
      <c r="N10" s="74"/>
      <c r="O10" s="74"/>
    </row>
    <row r="11" spans="1:15" ht="12" customHeight="1" x14ac:dyDescent="0.25">
      <c r="A11" s="200" t="s">
        <v>112</v>
      </c>
      <c r="B11" s="202" t="s">
        <v>128</v>
      </c>
      <c r="C11" s="203"/>
      <c r="D11" s="203"/>
      <c r="E11" s="203"/>
      <c r="F11" s="203"/>
      <c r="G11" s="204"/>
      <c r="H11" s="74"/>
      <c r="I11" s="74"/>
      <c r="J11" s="74"/>
      <c r="K11" s="74"/>
      <c r="L11" s="74"/>
      <c r="M11" s="74"/>
      <c r="N11" s="74"/>
      <c r="O11" s="74"/>
    </row>
    <row r="12" spans="1:15" x14ac:dyDescent="0.25">
      <c r="A12" s="201"/>
      <c r="B12" s="205"/>
      <c r="C12" s="206"/>
      <c r="D12" s="206"/>
      <c r="E12" s="206"/>
      <c r="F12" s="206"/>
      <c r="G12" s="207"/>
      <c r="H12" s="74"/>
      <c r="I12" s="74"/>
      <c r="J12" s="74"/>
      <c r="K12" s="74"/>
      <c r="L12" s="74"/>
      <c r="M12" s="74"/>
      <c r="N12" s="74"/>
      <c r="O12" s="74"/>
    </row>
    <row r="13" spans="1:15" x14ac:dyDescent="0.25">
      <c r="A13" s="201"/>
      <c r="B13" s="205"/>
      <c r="C13" s="206"/>
      <c r="D13" s="206"/>
      <c r="E13" s="206"/>
      <c r="F13" s="206"/>
      <c r="G13" s="207"/>
      <c r="H13" s="72"/>
      <c r="I13" s="74"/>
      <c r="J13" s="74"/>
      <c r="K13" s="74"/>
      <c r="L13" s="74"/>
      <c r="M13" s="74"/>
      <c r="N13" s="74"/>
      <c r="O13" s="74"/>
    </row>
    <row r="14" spans="1:15" ht="13.8" thickBot="1" x14ac:dyDescent="0.3">
      <c r="A14" s="201"/>
      <c r="B14" s="208"/>
      <c r="C14" s="209"/>
      <c r="D14" s="209"/>
      <c r="E14" s="209"/>
      <c r="F14" s="209"/>
      <c r="G14" s="210"/>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0" t="s">
        <v>44</v>
      </c>
      <c r="B16" s="202" t="s">
        <v>330</v>
      </c>
      <c r="C16" s="203"/>
      <c r="D16" s="203"/>
      <c r="E16" s="203"/>
      <c r="F16" s="203"/>
      <c r="G16" s="204"/>
      <c r="H16" s="74"/>
      <c r="I16" s="74"/>
      <c r="J16" s="74"/>
      <c r="K16" s="74"/>
      <c r="L16" s="74"/>
      <c r="M16" s="74"/>
      <c r="N16" s="74"/>
      <c r="O16" s="74"/>
    </row>
    <row r="17" spans="1:16" x14ac:dyDescent="0.25">
      <c r="A17" s="201"/>
      <c r="B17" s="205"/>
      <c r="C17" s="206"/>
      <c r="D17" s="206"/>
      <c r="E17" s="206"/>
      <c r="F17" s="206"/>
      <c r="G17" s="207"/>
      <c r="H17" s="74"/>
      <c r="I17" s="74"/>
      <c r="J17" s="74"/>
      <c r="K17" s="74"/>
      <c r="L17" s="74"/>
      <c r="M17" s="74"/>
      <c r="N17" s="74"/>
      <c r="O17" s="74"/>
    </row>
    <row r="18" spans="1:16" x14ac:dyDescent="0.25">
      <c r="A18" s="201"/>
      <c r="B18" s="205"/>
      <c r="C18" s="206"/>
      <c r="D18" s="206"/>
      <c r="E18" s="206"/>
      <c r="F18" s="206"/>
      <c r="G18" s="207"/>
      <c r="H18" s="72"/>
      <c r="I18" s="74"/>
      <c r="J18" s="74"/>
      <c r="K18" s="74"/>
      <c r="L18" s="74"/>
      <c r="M18" s="74"/>
      <c r="N18" s="74"/>
      <c r="O18" s="74"/>
    </row>
    <row r="19" spans="1:16" ht="53.7" customHeight="1" thickBot="1" x14ac:dyDescent="0.3">
      <c r="A19" s="201"/>
      <c r="B19" s="208"/>
      <c r="C19" s="209"/>
      <c r="D19" s="209"/>
      <c r="E19" s="209"/>
      <c r="F19" s="209"/>
      <c r="G19" s="210"/>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7" t="s">
        <v>48</v>
      </c>
      <c r="B21" s="198"/>
      <c r="C21" s="198"/>
      <c r="D21" s="198"/>
      <c r="E21" s="198"/>
      <c r="F21" s="198"/>
      <c r="G21" s="199"/>
      <c r="H21" s="197" t="s">
        <v>49</v>
      </c>
      <c r="I21" s="198"/>
      <c r="J21" s="198"/>
      <c r="K21" s="199"/>
      <c r="L21" s="197" t="s">
        <v>60</v>
      </c>
      <c r="M21" s="198"/>
      <c r="N21" s="198"/>
      <c r="O21" s="199"/>
      <c r="P21" s="101" t="s">
        <v>47</v>
      </c>
    </row>
    <row r="22" spans="1:16" ht="28.5" customHeight="1" x14ac:dyDescent="0.25">
      <c r="A22" s="102" t="s">
        <v>50</v>
      </c>
      <c r="B22" s="187" t="s">
        <v>314</v>
      </c>
      <c r="C22" s="188"/>
      <c r="D22" s="188"/>
      <c r="E22" s="188"/>
      <c r="F22" s="188"/>
      <c r="G22" s="189"/>
      <c r="H22" s="186" t="s">
        <v>315</v>
      </c>
      <c r="I22" s="186"/>
      <c r="J22" s="186"/>
      <c r="K22" s="186"/>
      <c r="L22" s="186" t="s">
        <v>384</v>
      </c>
      <c r="M22" s="186"/>
      <c r="N22" s="186"/>
      <c r="O22" s="186"/>
      <c r="P22" s="96" t="s">
        <v>127</v>
      </c>
    </row>
    <row r="23" spans="1:16" ht="25.5" customHeight="1" x14ac:dyDescent="0.25">
      <c r="A23" s="102" t="s">
        <v>51</v>
      </c>
      <c r="B23" s="187" t="s">
        <v>316</v>
      </c>
      <c r="C23" s="188"/>
      <c r="D23" s="188"/>
      <c r="E23" s="188"/>
      <c r="F23" s="188"/>
      <c r="G23" s="189"/>
      <c r="H23" s="186" t="s">
        <v>317</v>
      </c>
      <c r="I23" s="186"/>
      <c r="J23" s="186"/>
      <c r="K23" s="186"/>
      <c r="L23" s="186" t="s">
        <v>383</v>
      </c>
      <c r="M23" s="186"/>
      <c r="N23" s="186"/>
      <c r="O23" s="186"/>
      <c r="P23" s="96" t="s">
        <v>171</v>
      </c>
    </row>
    <row r="24" spans="1:16" ht="25.2" customHeight="1" x14ac:dyDescent="0.25">
      <c r="A24" s="102" t="s">
        <v>52</v>
      </c>
      <c r="B24" s="187" t="s">
        <v>318</v>
      </c>
      <c r="C24" s="188"/>
      <c r="D24" s="188"/>
      <c r="E24" s="188"/>
      <c r="F24" s="188"/>
      <c r="G24" s="189"/>
      <c r="H24" s="186" t="s">
        <v>372</v>
      </c>
      <c r="I24" s="186"/>
      <c r="J24" s="186"/>
      <c r="K24" s="186"/>
      <c r="L24" s="186" t="s">
        <v>382</v>
      </c>
      <c r="M24" s="186"/>
      <c r="N24" s="186"/>
      <c r="O24" s="186"/>
      <c r="P24" s="96" t="s">
        <v>127</v>
      </c>
    </row>
    <row r="25" spans="1:16" ht="24" customHeight="1" x14ac:dyDescent="0.25">
      <c r="A25" s="102" t="s">
        <v>53</v>
      </c>
      <c r="B25" s="187" t="s">
        <v>319</v>
      </c>
      <c r="C25" s="188"/>
      <c r="D25" s="188"/>
      <c r="E25" s="188"/>
      <c r="F25" s="188"/>
      <c r="G25" s="189"/>
      <c r="H25" s="226" t="s">
        <v>320</v>
      </c>
      <c r="I25" s="226"/>
      <c r="J25" s="226"/>
      <c r="K25" s="226"/>
      <c r="L25" s="226" t="s">
        <v>321</v>
      </c>
      <c r="M25" s="226"/>
      <c r="N25" s="226"/>
      <c r="O25" s="226"/>
      <c r="P25" s="96" t="s">
        <v>127</v>
      </c>
    </row>
    <row r="26" spans="1:16" ht="28.2" customHeight="1" x14ac:dyDescent="0.25">
      <c r="A26" s="102" t="s">
        <v>54</v>
      </c>
      <c r="B26" s="187" t="s">
        <v>322</v>
      </c>
      <c r="C26" s="188"/>
      <c r="D26" s="188"/>
      <c r="E26" s="188"/>
      <c r="F26" s="188"/>
      <c r="G26" s="189"/>
      <c r="H26" s="186" t="s">
        <v>323</v>
      </c>
      <c r="I26" s="186"/>
      <c r="J26" s="186"/>
      <c r="K26" s="186"/>
      <c r="L26" s="186" t="s">
        <v>381</v>
      </c>
      <c r="M26" s="186"/>
      <c r="N26" s="186"/>
      <c r="O26" s="186"/>
      <c r="P26" s="96" t="s">
        <v>127</v>
      </c>
    </row>
    <row r="27" spans="1:16" ht="28.2" customHeight="1" x14ac:dyDescent="0.25">
      <c r="A27" s="102" t="s">
        <v>55</v>
      </c>
      <c r="B27" s="187" t="s">
        <v>324</v>
      </c>
      <c r="C27" s="188"/>
      <c r="D27" s="188"/>
      <c r="E27" s="188"/>
      <c r="F27" s="188"/>
      <c r="G27" s="189"/>
      <c r="H27" s="186" t="s">
        <v>325</v>
      </c>
      <c r="I27" s="186"/>
      <c r="J27" s="186"/>
      <c r="K27" s="186"/>
      <c r="L27" s="186" t="s">
        <v>380</v>
      </c>
      <c r="M27" s="186"/>
      <c r="N27" s="186"/>
      <c r="O27" s="186"/>
      <c r="P27" s="96" t="s">
        <v>127</v>
      </c>
    </row>
    <row r="28" spans="1:16" ht="28.2" customHeight="1" x14ac:dyDescent="0.25">
      <c r="A28" s="102" t="s">
        <v>56</v>
      </c>
      <c r="B28" s="187" t="s">
        <v>356</v>
      </c>
      <c r="C28" s="188"/>
      <c r="D28" s="188"/>
      <c r="E28" s="188"/>
      <c r="F28" s="188"/>
      <c r="G28" s="189"/>
      <c r="H28" s="186" t="s">
        <v>357</v>
      </c>
      <c r="I28" s="186"/>
      <c r="J28" s="186"/>
      <c r="K28" s="186"/>
      <c r="L28" s="226" t="s">
        <v>379</v>
      </c>
      <c r="M28" s="226"/>
      <c r="N28" s="226"/>
      <c r="O28" s="226"/>
      <c r="P28" s="96" t="s">
        <v>127</v>
      </c>
    </row>
    <row r="29" spans="1:16" ht="28.2" customHeight="1" x14ac:dyDescent="0.25">
      <c r="A29" s="102" t="s">
        <v>57</v>
      </c>
      <c r="B29" s="187" t="s">
        <v>368</v>
      </c>
      <c r="C29" s="188"/>
      <c r="D29" s="188"/>
      <c r="E29" s="188"/>
      <c r="F29" s="188"/>
      <c r="G29" s="189"/>
      <c r="H29" s="186" t="s">
        <v>373</v>
      </c>
      <c r="I29" s="186"/>
      <c r="J29" s="186"/>
      <c r="K29" s="186"/>
      <c r="L29" s="186" t="s">
        <v>378</v>
      </c>
      <c r="M29" s="186"/>
      <c r="N29" s="186"/>
      <c r="O29" s="186"/>
      <c r="P29" s="96" t="s">
        <v>127</v>
      </c>
    </row>
    <row r="30" spans="1:16" ht="28.2" customHeight="1" x14ac:dyDescent="0.25">
      <c r="A30" s="102" t="s">
        <v>58</v>
      </c>
      <c r="B30" s="187" t="s">
        <v>369</v>
      </c>
      <c r="C30" s="188"/>
      <c r="D30" s="188"/>
      <c r="E30" s="188"/>
      <c r="F30" s="188"/>
      <c r="G30" s="189"/>
      <c r="H30" s="186" t="s">
        <v>374</v>
      </c>
      <c r="I30" s="186"/>
      <c r="J30" s="186"/>
      <c r="K30" s="186"/>
      <c r="L30" s="186" t="s">
        <v>377</v>
      </c>
      <c r="M30" s="186"/>
      <c r="N30" s="186"/>
      <c r="O30" s="186"/>
      <c r="P30" s="96" t="s">
        <v>127</v>
      </c>
    </row>
    <row r="31" spans="1:16" ht="28.2" customHeight="1" x14ac:dyDescent="0.25">
      <c r="A31" s="102" t="s">
        <v>152</v>
      </c>
      <c r="B31" s="187" t="s">
        <v>370</v>
      </c>
      <c r="C31" s="188"/>
      <c r="D31" s="188"/>
      <c r="E31" s="188"/>
      <c r="F31" s="188"/>
      <c r="G31" s="189"/>
      <c r="H31" s="186" t="s">
        <v>371</v>
      </c>
      <c r="I31" s="186"/>
      <c r="J31" s="186"/>
      <c r="K31" s="186"/>
      <c r="L31" s="186" t="s">
        <v>376</v>
      </c>
      <c r="M31" s="186"/>
      <c r="N31" s="186"/>
      <c r="O31" s="186"/>
      <c r="P31" s="96" t="s">
        <v>127</v>
      </c>
    </row>
  </sheetData>
  <mergeCells count="40">
    <mergeCell ref="B31:G31"/>
    <mergeCell ref="H31:K31"/>
    <mergeCell ref="L31:O31"/>
    <mergeCell ref="B29:G29"/>
    <mergeCell ref="H29:K29"/>
    <mergeCell ref="L29:O29"/>
    <mergeCell ref="B30:G30"/>
    <mergeCell ref="H30:K30"/>
    <mergeCell ref="L30:O30"/>
    <mergeCell ref="L24:O24"/>
    <mergeCell ref="B27:G27"/>
    <mergeCell ref="H27:K27"/>
    <mergeCell ref="L27:O27"/>
    <mergeCell ref="B25:G25"/>
    <mergeCell ref="H25:K25"/>
    <mergeCell ref="L25:O25"/>
    <mergeCell ref="B26:G26"/>
    <mergeCell ref="H26:K26"/>
    <mergeCell ref="L26:O26"/>
    <mergeCell ref="B1:G1"/>
    <mergeCell ref="B3:G3"/>
    <mergeCell ref="B7:G7"/>
    <mergeCell ref="A11:A14"/>
    <mergeCell ref="B11:G14"/>
    <mergeCell ref="B28:G28"/>
    <mergeCell ref="H28:K28"/>
    <mergeCell ref="L28:O28"/>
    <mergeCell ref="A16:A19"/>
    <mergeCell ref="B16:G19"/>
    <mergeCell ref="A21:G21"/>
    <mergeCell ref="H21:K21"/>
    <mergeCell ref="L21:O21"/>
    <mergeCell ref="B22:G22"/>
    <mergeCell ref="H22:K22"/>
    <mergeCell ref="L22:O22"/>
    <mergeCell ref="B23:G23"/>
    <mergeCell ref="H23:K23"/>
    <mergeCell ref="L23:O23"/>
    <mergeCell ref="B24:G24"/>
    <mergeCell ref="H24:K24"/>
  </mergeCells>
  <phoneticPr fontId="46" type="noConversion"/>
  <conditionalFormatting sqref="B9:B10">
    <cfRule type="cellIs" dxfId="13" priority="17" operator="equal">
      <formula>"Nok"</formula>
    </cfRule>
    <cfRule type="cellIs" dxfId="12" priority="18" operator="equal">
      <formula>"Ok"</formula>
    </cfRule>
  </conditionalFormatting>
  <conditionalFormatting sqref="P22:P26">
    <cfRule type="cellIs" dxfId="11" priority="15" operator="equal">
      <formula>"Nok"</formula>
    </cfRule>
    <cfRule type="cellIs" dxfId="10" priority="16" operator="equal">
      <formula>"Ok"</formula>
    </cfRule>
  </conditionalFormatting>
  <conditionalFormatting sqref="P27">
    <cfRule type="cellIs" dxfId="9" priority="13" operator="equal">
      <formula>"Nok"</formula>
    </cfRule>
    <cfRule type="cellIs" dxfId="8" priority="14" operator="equal">
      <formula>"Ok"</formula>
    </cfRule>
  </conditionalFormatting>
  <conditionalFormatting sqref="P28">
    <cfRule type="cellIs" dxfId="7" priority="7" operator="equal">
      <formula>"Nok"</formula>
    </cfRule>
    <cfRule type="cellIs" dxfId="6" priority="8" operator="equal">
      <formula>"Ok"</formula>
    </cfRule>
  </conditionalFormatting>
  <conditionalFormatting sqref="P29">
    <cfRule type="cellIs" dxfId="5" priority="5" operator="equal">
      <formula>"Nok"</formula>
    </cfRule>
    <cfRule type="cellIs" dxfId="4" priority="6" operator="equal">
      <formula>"Ok"</formula>
    </cfRule>
  </conditionalFormatting>
  <conditionalFormatting sqref="P30">
    <cfRule type="cellIs" dxfId="3" priority="3" operator="equal">
      <formula>"Nok"</formula>
    </cfRule>
    <cfRule type="cellIs" dxfId="2" priority="4" operator="equal">
      <formula>"Ok"</formula>
    </cfRule>
  </conditionalFormatting>
  <conditionalFormatting sqref="P31">
    <cfRule type="cellIs" dxfId="1" priority="1" operator="equal">
      <formula>"Nok"</formula>
    </cfRule>
    <cfRule type="cellIs" dxfId="0" priority="2" operator="equal">
      <formula>"Ok"</formula>
    </cfRule>
  </conditionalFormatting>
  <dataValidations count="3">
    <dataValidation type="list" allowBlank="1" showInputMessage="1" showErrorMessage="1" sqref="P22:P31" xr:uid="{C30FF716-9D5D-4090-84E6-3F0AEB0FAD49}">
      <formula1>"Ok, Nok, Not run, ,"</formula1>
    </dataValidation>
    <dataValidation type="list" allowBlank="1" showInputMessage="1" showErrorMessage="1" sqref="B9" xr:uid="{B4CE849C-F995-41B9-AF10-2F0497E2045F}">
      <formula1>"Ok, Nok, Not run, NA"</formula1>
    </dataValidation>
    <dataValidation type="list" allowBlank="1" showInputMessage="1" showErrorMessage="1" sqref="B5" xr:uid="{A09D17E3-14CA-4606-90EF-8B04B4523B61}">
      <formula1>"Nominal, Robustness, Endurance, Qualification, Reviews"</formula1>
    </dataValidation>
  </dataValidations>
  <pageMargins left="0.7" right="0.7" top="0.75" bottom="0.75" header="0.3" footer="0.3"/>
  <pageSetup paperSize="9" orientation="portrait" r:id="rId1"/>
  <headerFooter>
    <oddFooter>&amp;LNA ver 1.7&amp;R&amp;P</oddFooter>
  </headerFooter>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F6"/>
  <sheetViews>
    <sheetView workbookViewId="0">
      <selection activeCell="C4" sqref="C4"/>
    </sheetView>
  </sheetViews>
  <sheetFormatPr defaultColWidth="9.109375" defaultRowHeight="14.4" x14ac:dyDescent="0.3"/>
  <cols>
    <col min="1" max="1" width="4.33203125" style="79" customWidth="1"/>
    <col min="2" max="2" width="24.88671875" style="79" customWidth="1"/>
    <col min="3" max="3" width="4.5546875" style="79" customWidth="1"/>
    <col min="4" max="4" width="4.44140625" style="79" customWidth="1"/>
    <col min="5" max="5" width="29.88671875" style="79" bestFit="1" customWidth="1"/>
    <col min="6" max="6" width="7.6640625" style="79" bestFit="1" customWidth="1"/>
    <col min="7" max="16384" width="9.109375" style="79"/>
  </cols>
  <sheetData>
    <row r="2" spans="2:6" x14ac:dyDescent="0.3">
      <c r="B2" s="80" t="s">
        <v>61</v>
      </c>
      <c r="C2" s="80">
        <f ca="1">COUNTIF('Tests Synthesis'!K3:K47, "Ok")</f>
        <v>9</v>
      </c>
      <c r="E2" s="81" t="s">
        <v>62</v>
      </c>
      <c r="F2" s="82">
        <f ca="1">IF(C6=0,0,C2/C6)</f>
        <v>0.75</v>
      </c>
    </row>
    <row r="3" spans="2:6" x14ac:dyDescent="0.3">
      <c r="B3" s="80" t="s">
        <v>63</v>
      </c>
      <c r="C3" s="80">
        <f ca="1">COUNTIF('Tests Synthesis'!K3:K47, "Nok")</f>
        <v>3</v>
      </c>
      <c r="E3" s="81" t="s">
        <v>64</v>
      </c>
      <c r="F3" s="82">
        <f ca="1">IF(C6=0,0,C3/C6)</f>
        <v>0.25</v>
      </c>
    </row>
    <row r="4" spans="2:6" x14ac:dyDescent="0.3">
      <c r="B4" s="80" t="s">
        <v>65</v>
      </c>
      <c r="C4" s="80">
        <f ca="1">COUNTIF('Tests Synthesis'!K3:K47, "not run")</f>
        <v>0</v>
      </c>
      <c r="E4" s="80" t="s">
        <v>66</v>
      </c>
      <c r="F4" s="82">
        <f ca="1">IF(C6=0,0,C4/C6)</f>
        <v>0</v>
      </c>
    </row>
    <row r="5" spans="2:6" x14ac:dyDescent="0.3">
      <c r="B5" s="80" t="s">
        <v>117</v>
      </c>
      <c r="C5" s="80">
        <f ca="1">COUNTIF('Tests Synthesis'!K4:K48, "NA")</f>
        <v>0</v>
      </c>
      <c r="E5" s="80" t="s">
        <v>118</v>
      </c>
      <c r="F5" s="82">
        <f>IF(C7=0,0,C5/C7)</f>
        <v>0</v>
      </c>
    </row>
    <row r="6" spans="2:6" x14ac:dyDescent="0.3">
      <c r="B6" s="80" t="s">
        <v>67</v>
      </c>
      <c r="C6" s="80">
        <f ca="1">SUM(C2:C4)</f>
        <v>12</v>
      </c>
    </row>
  </sheetData>
  <pageMargins left="0.7" right="0.7" top="0.75" bottom="0.75" header="0.3" footer="0.3"/>
  <pageSetup paperSize="9" orientation="portrait" r:id="rId1"/>
  <headerFooter>
    <oddFooter>&amp;LNA ver 1.7&amp;R&amp;P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12</vt:i4>
      </vt:variant>
    </vt:vector>
  </HeadingPairs>
  <TitlesOfParts>
    <vt:vector size="29" baseType="lpstr">
      <vt:lpstr>FrontPage</vt:lpstr>
      <vt:lpstr>General info</vt:lpstr>
      <vt:lpstr>Guide (help)</vt:lpstr>
      <vt:lpstr>Tests Synthesis</vt:lpstr>
      <vt:lpstr>SW_IT_MAIN_0000</vt:lpstr>
      <vt:lpstr>SW_IT_MAIN_0001</vt:lpstr>
      <vt:lpstr>SW_IT_MAIN_0002</vt:lpstr>
      <vt:lpstr>SW_IT_MAIN_0003</vt:lpstr>
      <vt:lpstr>SW_IT_MAIN_0004</vt:lpstr>
      <vt:lpstr>SW_IT_MAIN_0005</vt:lpstr>
      <vt:lpstr>SW_IT_MAIN_0006</vt:lpstr>
      <vt:lpstr>SW_IT_MAIN_0007</vt:lpstr>
      <vt:lpstr>SW_IT_MAIN_0008</vt:lpstr>
      <vt:lpstr>SW_IT_MAIN_0009</vt:lpstr>
      <vt:lpstr>SW_IT_MAIN_0010</vt:lpstr>
      <vt:lpstr>SW_IT_MAIN_0011</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Kask</dc:creator>
  <cp:lastModifiedBy>Mihai Ianos</cp:lastModifiedBy>
  <cp:lastPrinted>2011-11-28T23:54:39Z</cp:lastPrinted>
  <dcterms:created xsi:type="dcterms:W3CDTF">2008-08-11T11:06:44Z</dcterms:created>
  <dcterms:modified xsi:type="dcterms:W3CDTF">2022-10-27T13:39:27Z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Document created</vt:lpwstr>
  </property>
  <property fmtid="{D5CDD505-2E9C-101B-9397-08002B2CF9AE}" pid="8" name="MXAuthority_BusinessUnit">
    <vt:lpwstr/>
  </property>
  <property fmtid="{D5CDD505-2E9C-101B-9397-08002B2CF9AE}" pid="9" name="MXAuthority_Description">
    <vt:lpwstr>Process documents etc</vt:lpwstr>
  </property>
  <property fmtid="{D5CDD505-2E9C-101B-9397-08002B2CF9AE}" pid="10" name="MXAuthority_Owner">
    <vt:lpwstr>Marcus Klomark</vt:lpwstr>
  </property>
  <property fmtid="{D5CDD505-2E9C-101B-9397-08002B2CF9AE}" pid="11" name="MXAuthority_Program">
    <vt:lpwstr/>
  </property>
  <property fmtid="{D5CDD505-2E9C-101B-9397-08002B2CF9AE}" pid="12" name="MXCheckin Date">
    <vt:lpwstr>12/22/2010 8:58:03 AM</vt:lpwstr>
  </property>
  <property fmtid="{D5CDD505-2E9C-101B-9397-08002B2CF9AE}" pid="13" name="MXCheckin Reason">
    <vt:lpwstr>Revised by Johannes Kask</vt:lpwstr>
  </property>
  <property fmtid="{D5CDD505-2E9C-101B-9397-08002B2CF9AE}" pid="14" name="MXCheckin User" linkTarget="PLMDocAuthor">
    <vt:lpwstr>Ciprian Galbau</vt:lpwstr>
  </property>
  <property fmtid="{D5CDD505-2E9C-101B-9397-08002B2CF9AE}" pid="15" name="MXCurrent">
    <vt:lpwstr>Preliminary</vt:lpwstr>
  </property>
  <property fmtid="{D5CDD505-2E9C-101B-9397-08002B2CF9AE}" pid="16" name="MXDescription">
    <vt:lpwstr/>
  </property>
  <property fmtid="{D5CDD505-2E9C-101B-9397-08002B2CF9AE}" pid="17" name="MXDesignated User">
    <vt:lpwstr>Unassigned</vt:lpwstr>
  </property>
  <property fmtid="{D5CDD505-2E9C-101B-9397-08002B2CF9AE}" pid="18" name="MXEmail">
    <vt:lpwstr>johannes.kask@autoliv.com</vt:lpwstr>
  </property>
  <property fmtid="{D5CDD505-2E9C-101B-9397-08002B2CF9AE}" pid="19" name="MXFirstName">
    <vt:lpwstr>Johannes</vt:lpwstr>
  </property>
  <property fmtid="{D5CDD505-2E9C-101B-9397-08002B2CF9AE}" pid="20" name="MXIs Version Object">
    <vt:lpwstr>False</vt:lpwstr>
  </property>
  <property fmtid="{D5CDD505-2E9C-101B-9397-08002B2CF9AE}" pid="21" name="MXLanguage">
    <vt:lpwstr>English</vt:lpwstr>
  </property>
  <property fmtid="{D5CDD505-2E9C-101B-9397-08002B2CF9AE}" pid="22" name="MXLastName">
    <vt:lpwstr>Kask</vt:lpwstr>
  </property>
  <property fmtid="{D5CDD505-2E9C-101B-9397-08002B2CF9AE}" pid="23" name="MXLatestVersion">
    <vt:lpwstr>3</vt:lpwstr>
  </property>
  <property fmtid="{D5CDD505-2E9C-101B-9397-08002B2CF9AE}" pid="24" name="MXMiddleName">
    <vt:lpwstr/>
  </property>
  <property fmtid="{D5CDD505-2E9C-101B-9397-08002B2CF9AE}" pid="25" name="MXMove Files To Version">
    <vt:lpwstr>False</vt:lpwstr>
  </property>
  <property fmtid="{D5CDD505-2E9C-101B-9397-08002B2CF9AE}" pid="26" name="MXOriginator">
    <vt:lpwstr>Mats Sundin</vt:lpwstr>
  </property>
  <property fmtid="{D5CDD505-2E9C-101B-9397-08002B2CF9AE}" pid="27" name="MXPolicy" linkTarget="MXPolicy">
    <vt:lpwstr>#REF!</vt:lpwstr>
  </property>
  <property fmtid="{D5CDD505-2E9C-101B-9397-08002B2CF9AE}" pid="28" name="MXPolicy.Localized">
    <vt:lpwstr>NoReview Document</vt:lpwstr>
  </property>
  <property fmtid="{D5CDD505-2E9C-101B-9397-08002B2CF9AE}" pid="29" name="MXRoute_In-Work_date">
    <vt:lpwstr/>
  </property>
  <property fmtid="{D5CDD505-2E9C-101B-9397-08002B2CF9AE}" pid="30" name="MXRoute_In-Work_name">
    <vt:lpwstr/>
  </property>
  <property fmtid="{D5CDD505-2E9C-101B-9397-08002B2CF9AE}" pid="31" name="MXRoute_Released_date">
    <vt:lpwstr/>
  </property>
  <property fmtid="{D5CDD505-2E9C-101B-9397-08002B2CF9AE}" pid="32" name="MXRoute_Released_name">
    <vt:lpwstr/>
  </property>
  <property fmtid="{D5CDD505-2E9C-101B-9397-08002B2CF9AE}" pid="33" name="MXRoute_Superseded_date">
    <vt:lpwstr/>
  </property>
  <property fmtid="{D5CDD505-2E9C-101B-9397-08002B2CF9AE}" pid="34" name="MXRoute_Superseded_name">
    <vt:lpwstr/>
  </property>
  <property fmtid="{D5CDD505-2E9C-101B-9397-08002B2CF9AE}" pid="35" name="MXSignatures_state_Preliminary">
    <vt:lpwstr/>
  </property>
  <property fmtid="{D5CDD505-2E9C-101B-9397-08002B2CF9AE}" pid="36" name="MXSignatures_state_Released">
    <vt:lpwstr/>
  </property>
  <property fmtid="{D5CDD505-2E9C-101B-9397-08002B2CF9AE}" pid="37" name="MXSignatures_state_Superceded">
    <vt:lpwstr/>
  </property>
  <property fmtid="{D5CDD505-2E9C-101B-9397-08002B2CF9AE}" pid="38" name="MXSuspend Versioning">
    <vt:lpwstr>False</vt:lpwstr>
  </property>
  <property fmtid="{D5CDD505-2E9C-101B-9397-08002B2CF9AE}" pid="39" name="MXType">
    <vt:lpwstr>alvProjectManagement</vt:lpwstr>
  </property>
  <property fmtid="{D5CDD505-2E9C-101B-9397-08002B2CF9AE}" pid="40" name="MXType.Localized" linkTarget="MXType.Localized">
    <vt:lpwstr>#REF!</vt:lpwstr>
  </property>
  <property fmtid="{D5CDD505-2E9C-101B-9397-08002B2CF9AE}" pid="41" name="MXDocTemplate_Name">
    <vt:lpwstr>SW04TEM001</vt:lpwstr>
  </property>
</Properties>
</file>