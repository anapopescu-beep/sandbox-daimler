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S:\Tests\Tests_Deliveries\Manual_Tests\"/>
    </mc:Choice>
  </mc:AlternateContent>
  <xr:revisionPtr revIDLastSave="0" documentId="13_ncr:1_{46170E0D-46C8-4A5A-B13C-39D58F4E1652}" xr6:coauthVersionLast="47" xr6:coauthVersionMax="47" xr10:uidLastSave="{00000000-0000-0000-0000-000000000000}"/>
  <bookViews>
    <workbookView xWindow="-28920" yWindow="-120" windowWidth="29040" windowHeight="15840" tabRatio="574" firstSheet="3" activeTab="3" xr2:uid="{00000000-000D-0000-FFFF-FFFF00000000}"/>
  </bookViews>
  <sheets>
    <sheet name="FrontPage" sheetId="4" r:id="rId1"/>
    <sheet name="General info" sheetId="11" r:id="rId2"/>
    <sheet name="Guide (help)" sheetId="18" r:id="rId3"/>
    <sheet name="Tests Synthesis" sheetId="13" r:id="rId4"/>
    <sheet name="SW_DLV_0001" sheetId="19" r:id="rId5"/>
    <sheet name="SW_DLV_0002" sheetId="20" r:id="rId6"/>
    <sheet name="SW_DLV_0003" sheetId="21" r:id="rId7"/>
    <sheet name="SW_DLV_0004" sheetId="22" r:id="rId8"/>
    <sheet name="SW_DLV_0005" sheetId="14" r:id="rId9"/>
    <sheet name="Metrics" sheetId="16" r:id="rId10"/>
  </sheets>
  <externalReferences>
    <externalReference r:id="rId11"/>
  </externalReference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8" i="13" l="1"/>
  <c r="F5" i="16"/>
  <c r="F10" i="13"/>
  <c r="K47" i="13"/>
  <c r="F47" i="13"/>
  <c r="E47" i="13"/>
  <c r="D47" i="13"/>
  <c r="K46" i="13"/>
  <c r="F46" i="13"/>
  <c r="E46" i="13"/>
  <c r="D46" i="13"/>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K26" i="13"/>
  <c r="F26" i="13"/>
  <c r="E26" i="13"/>
  <c r="D26" i="13"/>
  <c r="K25" i="13"/>
  <c r="F25" i="13"/>
  <c r="E25" i="13"/>
  <c r="D25" i="13"/>
  <c r="K24" i="13"/>
  <c r="F24" i="13"/>
  <c r="E24" i="13"/>
  <c r="D24" i="13"/>
  <c r="K23" i="13"/>
  <c r="F23" i="13"/>
  <c r="E23" i="13"/>
  <c r="D23" i="13"/>
  <c r="K22" i="13"/>
  <c r="F22" i="13"/>
  <c r="E22" i="13"/>
  <c r="D22" i="13"/>
  <c r="K21" i="13"/>
  <c r="F21" i="13"/>
  <c r="E21" i="13"/>
  <c r="D21" i="13"/>
  <c r="K20" i="13"/>
  <c r="F20" i="13"/>
  <c r="E20" i="13"/>
  <c r="D20" i="13"/>
  <c r="K19" i="13"/>
  <c r="F19" i="13"/>
  <c r="E19" i="13"/>
  <c r="D19" i="13"/>
  <c r="K18" i="13"/>
  <c r="F18" i="13"/>
  <c r="E18" i="13"/>
  <c r="D18" i="13"/>
  <c r="K17" i="13"/>
  <c r="F17" i="13"/>
  <c r="E17" i="13"/>
  <c r="D17" i="13"/>
  <c r="K16" i="13"/>
  <c r="F16" i="13"/>
  <c r="E16" i="13"/>
  <c r="D16" i="13"/>
  <c r="K15" i="13"/>
  <c r="F15" i="13"/>
  <c r="E15" i="13"/>
  <c r="D15" i="13"/>
  <c r="K14" i="13"/>
  <c r="F14" i="13"/>
  <c r="E14" i="13"/>
  <c r="D14" i="13"/>
  <c r="K13" i="13"/>
  <c r="F13" i="13"/>
  <c r="E13" i="13"/>
  <c r="D13" i="13"/>
  <c r="K12" i="13"/>
  <c r="F12" i="13"/>
  <c r="E12" i="13"/>
  <c r="D12" i="13"/>
  <c r="K11" i="13"/>
  <c r="F11" i="13"/>
  <c r="E11" i="13"/>
  <c r="D11" i="13"/>
  <c r="K10" i="13"/>
  <c r="E10" i="13"/>
  <c r="D10" i="13"/>
  <c r="K9" i="13"/>
  <c r="F9" i="13"/>
  <c r="E9" i="13"/>
  <c r="D9" i="13"/>
  <c r="F8" i="13"/>
  <c r="E8" i="13"/>
  <c r="D8" i="13"/>
  <c r="AD3" i="4"/>
  <c r="AD3" i="11" s="1"/>
  <c r="D3" i="13"/>
  <c r="D7" i="13"/>
  <c r="A7" i="4"/>
  <c r="D6" i="13"/>
  <c r="F6" i="13"/>
  <c r="D4" i="13"/>
  <c r="K4" i="13"/>
  <c r="E3" i="13"/>
  <c r="K7" i="13"/>
  <c r="AE7" i="4"/>
  <c r="K5" i="13"/>
  <c r="K3" i="13"/>
  <c r="K6" i="13"/>
  <c r="E6" i="13"/>
  <c r="F3" i="13"/>
  <c r="F5" i="13"/>
  <c r="D5" i="13"/>
  <c r="F7" i="13"/>
  <c r="F4" i="13"/>
  <c r="AB7" i="4"/>
  <c r="E5" i="13"/>
  <c r="AB5" i="4"/>
  <c r="W7" i="4"/>
  <c r="E4" i="13"/>
  <c r="W5" i="4"/>
  <c r="W7" i="11" l="1"/>
  <c r="AE7" i="11"/>
  <c r="A7" i="11"/>
  <c r="W5" i="11"/>
  <c r="A5" i="11"/>
  <c r="E7" i="11"/>
  <c r="A23" i="4"/>
  <c r="AB5"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AEM_PROCESS_1.17.01
Last change : AEM_PROCESS_1.17.01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5" authorId="1" shapeId="0" xr:uid="{00000000-0006-0000-0100-000007000000}">
      <text>
        <r>
          <rPr>
            <sz val="9"/>
            <color indexed="81"/>
            <rFont val="Tahoma"/>
            <family val="2"/>
          </rPr>
          <t>The referenced documents correspond to the customer or standard documents to be applied for the integration.</t>
        </r>
      </text>
    </comment>
    <comment ref="B36"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6" authorId="0" shapeId="0" xr:uid="{00000000-0006-0000-0100-000009000000}">
      <text>
        <r>
          <rPr>
            <sz val="8"/>
            <color indexed="81"/>
            <rFont val="Tahoma"/>
            <family val="2"/>
          </rPr>
          <t>Title of reference documents.</t>
        </r>
      </text>
    </comment>
    <comment ref="Y36" authorId="0" shapeId="0" xr:uid="{00000000-0006-0000-0100-00000A000000}">
      <text>
        <r>
          <rPr>
            <sz val="8"/>
            <color indexed="81"/>
            <rFont val="Tahoma"/>
            <family val="2"/>
          </rPr>
          <t>Reference number, e.g. E123456 and revision of the reference.</t>
        </r>
      </text>
    </comment>
    <comment ref="N41"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2"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2" authorId="0" shapeId="0" xr:uid="{00000000-0006-0000-0100-00000D000000}">
      <text>
        <r>
          <rPr>
            <sz val="8"/>
            <color indexed="81"/>
            <rFont val="Tahoma"/>
            <family val="2"/>
          </rPr>
          <t>Title of reference documents.</t>
        </r>
      </text>
    </comment>
    <comment ref="Y42"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00000000-0006-0000-0300-00000C000000}">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9F8940AE-34E6-4F4D-81A9-AC8BD6FCEA8A}">
      <text>
        <r>
          <rPr>
            <b/>
            <sz val="9"/>
            <color indexed="81"/>
            <rFont val="Tahoma"/>
            <family val="2"/>
          </rPr>
          <t xml:space="preserve">See Guide (help)
</t>
        </r>
        <r>
          <rPr>
            <sz val="9"/>
            <color indexed="81"/>
            <rFont val="Tahoma"/>
            <family val="2"/>
          </rPr>
          <t xml:space="preserve">
</t>
        </r>
      </text>
    </comment>
    <comment ref="A3" authorId="0" shapeId="0" xr:uid="{638CDECB-6386-437E-A6A7-C0E9BAB68CBE}">
      <text>
        <r>
          <rPr>
            <b/>
            <sz val="9"/>
            <color indexed="81"/>
            <rFont val="Tahoma"/>
            <family val="2"/>
          </rPr>
          <t xml:space="preserve">See Guide (help)
</t>
        </r>
        <r>
          <rPr>
            <sz val="9"/>
            <color indexed="81"/>
            <rFont val="Tahoma"/>
            <family val="2"/>
          </rPr>
          <t xml:space="preserve">
</t>
        </r>
      </text>
    </comment>
    <comment ref="A5" authorId="0" shapeId="0" xr:uid="{D13D1934-135E-47B8-89D4-148CF41FD36C}">
      <text>
        <r>
          <rPr>
            <sz val="9"/>
            <color indexed="81"/>
            <rFont val="Tahoma"/>
            <family val="2"/>
          </rPr>
          <t>Definition is in the "General info" tab.
Use the dropdown list.</t>
        </r>
      </text>
    </comment>
    <comment ref="A9" authorId="0" shapeId="0" xr:uid="{964E6D11-A031-4B2C-94C5-AD8B4BC63C15}">
      <text>
        <r>
          <rPr>
            <b/>
            <sz val="9"/>
            <color indexed="81"/>
            <rFont val="Tahoma"/>
            <family val="2"/>
          </rPr>
          <t>See Guide (help)</t>
        </r>
        <r>
          <rPr>
            <sz val="9"/>
            <color indexed="81"/>
            <rFont val="Tahoma"/>
            <family val="2"/>
          </rPr>
          <t xml:space="preserve">
</t>
        </r>
      </text>
    </comment>
    <comment ref="A11" authorId="0" shapeId="0" xr:uid="{898E8E0B-4099-473B-95D1-D6CAB41D5F8D}">
      <text>
        <r>
          <rPr>
            <b/>
            <sz val="9"/>
            <color indexed="81"/>
            <rFont val="Tahoma"/>
            <family val="2"/>
          </rPr>
          <t xml:space="preserve">Describe the test environment and setup.
</t>
        </r>
        <r>
          <rPr>
            <sz val="9"/>
            <color indexed="81"/>
            <rFont val="Tahoma"/>
            <family val="2"/>
          </rPr>
          <t xml:space="preserve">
</t>
        </r>
      </text>
    </comment>
    <comment ref="A16" authorId="0" shapeId="0" xr:uid="{4F49F5ED-87B3-4EE6-933E-EE23E89CC4D4}">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CACAF40-DDCA-4806-A786-D61B2F8F4419}">
      <text>
        <r>
          <rPr>
            <b/>
            <sz val="9"/>
            <color indexed="81"/>
            <rFont val="Tahoma"/>
            <family val="2"/>
          </rPr>
          <t xml:space="preserve">See Guide (help)
</t>
        </r>
        <r>
          <rPr>
            <sz val="9"/>
            <color indexed="81"/>
            <rFont val="Tahoma"/>
            <family val="2"/>
          </rPr>
          <t xml:space="preserve">
</t>
        </r>
      </text>
    </comment>
    <comment ref="A3" authorId="0" shapeId="0" xr:uid="{8764BECD-7D7A-4D39-98F9-E002D061324B}">
      <text>
        <r>
          <rPr>
            <b/>
            <sz val="9"/>
            <color indexed="81"/>
            <rFont val="Tahoma"/>
            <family val="2"/>
          </rPr>
          <t xml:space="preserve">See Guide (help)
</t>
        </r>
        <r>
          <rPr>
            <sz val="9"/>
            <color indexed="81"/>
            <rFont val="Tahoma"/>
            <family val="2"/>
          </rPr>
          <t xml:space="preserve">
</t>
        </r>
      </text>
    </comment>
    <comment ref="A5" authorId="0" shapeId="0" xr:uid="{0DC69469-550E-47ED-98D3-3FDC4E964FD9}">
      <text>
        <r>
          <rPr>
            <sz val="9"/>
            <color indexed="81"/>
            <rFont val="Tahoma"/>
            <family val="2"/>
          </rPr>
          <t>Definition is in the "General info" tab.
Use the dropdown list.</t>
        </r>
      </text>
    </comment>
    <comment ref="A9" authorId="0" shapeId="0" xr:uid="{B3BF6B61-4E69-4278-B813-3761892AFA7B}">
      <text>
        <r>
          <rPr>
            <b/>
            <sz val="9"/>
            <color indexed="81"/>
            <rFont val="Tahoma"/>
            <family val="2"/>
          </rPr>
          <t>See Guide (help)</t>
        </r>
        <r>
          <rPr>
            <sz val="9"/>
            <color indexed="81"/>
            <rFont val="Tahoma"/>
            <family val="2"/>
          </rPr>
          <t xml:space="preserve">
</t>
        </r>
      </text>
    </comment>
    <comment ref="A11" authorId="0" shapeId="0" xr:uid="{214532EE-5B53-4B36-A2C1-4B54194A04B1}">
      <text>
        <r>
          <rPr>
            <b/>
            <sz val="9"/>
            <color indexed="81"/>
            <rFont val="Tahoma"/>
            <family val="2"/>
          </rPr>
          <t xml:space="preserve">Describe the test environment and setup.
</t>
        </r>
        <r>
          <rPr>
            <sz val="9"/>
            <color indexed="81"/>
            <rFont val="Tahoma"/>
            <family val="2"/>
          </rPr>
          <t xml:space="preserve">
</t>
        </r>
      </text>
    </comment>
    <comment ref="A16" authorId="0" shapeId="0" xr:uid="{2704E9DF-5B4E-4BBC-9E79-00622D1FCA22}">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DCFB9B9-F8B4-4B4F-8045-E557D0E219AC}">
      <text>
        <r>
          <rPr>
            <b/>
            <sz val="9"/>
            <color indexed="81"/>
            <rFont val="Tahoma"/>
            <family val="2"/>
          </rPr>
          <t xml:space="preserve">See Guide (help)
</t>
        </r>
        <r>
          <rPr>
            <sz val="9"/>
            <color indexed="81"/>
            <rFont val="Tahoma"/>
            <family val="2"/>
          </rPr>
          <t xml:space="preserve">
</t>
        </r>
      </text>
    </comment>
    <comment ref="A3" authorId="0" shapeId="0" xr:uid="{B668883D-957D-4868-B5F4-BDE7A708BCAA}">
      <text>
        <r>
          <rPr>
            <b/>
            <sz val="9"/>
            <color indexed="81"/>
            <rFont val="Tahoma"/>
            <family val="2"/>
          </rPr>
          <t xml:space="preserve">See Guide (help)
</t>
        </r>
        <r>
          <rPr>
            <sz val="9"/>
            <color indexed="81"/>
            <rFont val="Tahoma"/>
            <family val="2"/>
          </rPr>
          <t xml:space="preserve">
</t>
        </r>
      </text>
    </comment>
    <comment ref="A5" authorId="0" shapeId="0" xr:uid="{76D913BC-87A1-437A-B65E-2D5FCA1A0929}">
      <text>
        <r>
          <rPr>
            <sz val="9"/>
            <color indexed="81"/>
            <rFont val="Tahoma"/>
            <family val="2"/>
          </rPr>
          <t>Definition is in the "General info" tab.
Use the dropdown list.</t>
        </r>
      </text>
    </comment>
    <comment ref="A9" authorId="0" shapeId="0" xr:uid="{F0505503-B339-41E8-836A-1EF1D7483F65}">
      <text>
        <r>
          <rPr>
            <b/>
            <sz val="9"/>
            <color indexed="81"/>
            <rFont val="Tahoma"/>
            <family val="2"/>
          </rPr>
          <t>See Guide (help)</t>
        </r>
        <r>
          <rPr>
            <sz val="9"/>
            <color indexed="81"/>
            <rFont val="Tahoma"/>
            <family val="2"/>
          </rPr>
          <t xml:space="preserve">
</t>
        </r>
      </text>
    </comment>
    <comment ref="A11" authorId="0" shapeId="0" xr:uid="{C37B5886-48B7-4A8F-9956-F0BE215EEC68}">
      <text>
        <r>
          <rPr>
            <b/>
            <sz val="9"/>
            <color indexed="81"/>
            <rFont val="Tahoma"/>
            <family val="2"/>
          </rPr>
          <t xml:space="preserve">Describe the test environment and setup.
</t>
        </r>
        <r>
          <rPr>
            <sz val="9"/>
            <color indexed="81"/>
            <rFont val="Tahoma"/>
            <family val="2"/>
          </rPr>
          <t xml:space="preserve">
</t>
        </r>
      </text>
    </comment>
    <comment ref="A16" authorId="0" shapeId="0" xr:uid="{E421D1FA-EF89-4D09-921C-B5DCCD225222}">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8862330B-10C3-4313-92EB-1EC032F6191E}">
      <text>
        <r>
          <rPr>
            <b/>
            <sz val="9"/>
            <color indexed="81"/>
            <rFont val="Tahoma"/>
            <family val="2"/>
          </rPr>
          <t xml:space="preserve">See Guide (help)
</t>
        </r>
        <r>
          <rPr>
            <sz val="9"/>
            <color indexed="81"/>
            <rFont val="Tahoma"/>
            <family val="2"/>
          </rPr>
          <t xml:space="preserve">
</t>
        </r>
      </text>
    </comment>
    <comment ref="A3" authorId="0" shapeId="0" xr:uid="{CBE49B4E-AA1A-4D28-A7FC-C8146DC3FAD4}">
      <text>
        <r>
          <rPr>
            <b/>
            <sz val="9"/>
            <color indexed="81"/>
            <rFont val="Tahoma"/>
            <family val="2"/>
          </rPr>
          <t xml:space="preserve">See Guide (help)
</t>
        </r>
        <r>
          <rPr>
            <sz val="9"/>
            <color indexed="81"/>
            <rFont val="Tahoma"/>
            <family val="2"/>
          </rPr>
          <t xml:space="preserve">
</t>
        </r>
      </text>
    </comment>
    <comment ref="A5" authorId="0" shapeId="0" xr:uid="{14080723-7AA8-4174-AB1B-F1CAEA83F5A3}">
      <text>
        <r>
          <rPr>
            <sz val="9"/>
            <color indexed="81"/>
            <rFont val="Tahoma"/>
            <family val="2"/>
          </rPr>
          <t>Definition is in the "General info" tab.
Use the dropdown list.</t>
        </r>
      </text>
    </comment>
    <comment ref="A9" authorId="0" shapeId="0" xr:uid="{8C52D1F9-7B0A-49CA-BBE1-EE3230D14FE2}">
      <text>
        <r>
          <rPr>
            <b/>
            <sz val="9"/>
            <color indexed="81"/>
            <rFont val="Tahoma"/>
            <family val="2"/>
          </rPr>
          <t>See Guide (help)</t>
        </r>
        <r>
          <rPr>
            <sz val="9"/>
            <color indexed="81"/>
            <rFont val="Tahoma"/>
            <family val="2"/>
          </rPr>
          <t xml:space="preserve">
</t>
        </r>
      </text>
    </comment>
    <comment ref="A11" authorId="0" shapeId="0" xr:uid="{ACF6EEAE-3ACA-4208-B025-A509A5CC0287}">
      <text>
        <r>
          <rPr>
            <b/>
            <sz val="9"/>
            <color indexed="81"/>
            <rFont val="Tahoma"/>
            <family val="2"/>
          </rPr>
          <t xml:space="preserve">Describe the test environment and setup.
</t>
        </r>
        <r>
          <rPr>
            <sz val="9"/>
            <color indexed="81"/>
            <rFont val="Tahoma"/>
            <family val="2"/>
          </rPr>
          <t xml:space="preserve">
</t>
        </r>
      </text>
    </comment>
    <comment ref="A16" authorId="0" shapeId="0" xr:uid="{9DE5D236-1A81-4F0E-8B5F-36DF819D3CBB}">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400-000001000000}">
      <text>
        <r>
          <rPr>
            <b/>
            <sz val="9"/>
            <color indexed="81"/>
            <rFont val="Tahoma"/>
            <family val="2"/>
          </rPr>
          <t xml:space="preserve">See Guide (help)
</t>
        </r>
        <r>
          <rPr>
            <sz val="9"/>
            <color indexed="81"/>
            <rFont val="Tahoma"/>
            <family val="2"/>
          </rPr>
          <t xml:space="preserve">
</t>
        </r>
      </text>
    </comment>
    <comment ref="A3" authorId="0" shapeId="0" xr:uid="{00000000-0006-0000-0400-000002000000}">
      <text>
        <r>
          <rPr>
            <b/>
            <sz val="9"/>
            <color indexed="81"/>
            <rFont val="Tahoma"/>
            <family val="2"/>
          </rPr>
          <t xml:space="preserve">See Guide (help)
</t>
        </r>
        <r>
          <rPr>
            <sz val="9"/>
            <color indexed="81"/>
            <rFont val="Tahoma"/>
            <family val="2"/>
          </rPr>
          <t xml:space="preserve">
</t>
        </r>
      </text>
    </comment>
    <comment ref="A5" authorId="0" shapeId="0" xr:uid="{00000000-0006-0000-0400-000003000000}">
      <text>
        <r>
          <rPr>
            <sz val="9"/>
            <color indexed="81"/>
            <rFont val="Tahoma"/>
            <family val="2"/>
          </rPr>
          <t>Definition is in the "General info" tab.
Use the dropdown list.</t>
        </r>
      </text>
    </comment>
    <comment ref="A9" authorId="0" shapeId="0" xr:uid="{00000000-0006-0000-0400-000004000000}">
      <text>
        <r>
          <rPr>
            <b/>
            <sz val="9"/>
            <color indexed="81"/>
            <rFont val="Tahoma"/>
            <family val="2"/>
          </rPr>
          <t>See Guide (help)</t>
        </r>
        <r>
          <rPr>
            <sz val="9"/>
            <color indexed="81"/>
            <rFont val="Tahoma"/>
            <family val="2"/>
          </rPr>
          <t xml:space="preserve">
</t>
        </r>
      </text>
    </comment>
    <comment ref="A11" authorId="0" shapeId="0" xr:uid="{00000000-0006-0000-04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400-000006000000}">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<sst xmlns="http://schemas.openxmlformats.org/spreadsheetml/2006/main" count="368" uniqueCount="212">
  <si>
    <t>Project Number &amp; Name</t>
  </si>
  <si>
    <t>Document state</t>
  </si>
  <si>
    <t>Document id</t>
  </si>
  <si>
    <t>Document title</t>
  </si>
  <si>
    <t>Version</t>
  </si>
  <si>
    <t>Description/comment</t>
  </si>
  <si>
    <t>Tab</t>
  </si>
  <si>
    <t>ID</t>
  </si>
  <si>
    <t>Title</t>
  </si>
  <si>
    <t>Reference &amp; revision</t>
  </si>
  <si>
    <t>Tab Name</t>
  </si>
  <si>
    <t>Date</t>
  </si>
  <si>
    <t>Author(s)</t>
  </si>
  <si>
    <t>Description/Comment</t>
  </si>
  <si>
    <t>TAB - General Information</t>
  </si>
  <si>
    <t>Title: Name</t>
  </si>
  <si>
    <t>Template</t>
  </si>
  <si>
    <t>1. General Information</t>
  </si>
  <si>
    <t>1.1. Table of content</t>
  </si>
  <si>
    <t>1.3. Purpose and Scope</t>
  </si>
  <si>
    <t>1.4. References</t>
  </si>
  <si>
    <t>Date of release</t>
  </si>
  <si>
    <t>Author</t>
  </si>
  <si>
    <t>Review</t>
  </si>
  <si>
    <t>Approval</t>
  </si>
  <si>
    <t>Distribution</t>
  </si>
  <si>
    <t>Title1: Name1
Title4: Name4</t>
  </si>
  <si>
    <t>Title2: Name2
Title5: Name5</t>
  </si>
  <si>
    <t>Title3: Name3
Title6: Name6</t>
  </si>
  <si>
    <t>Executive summary</t>
  </si>
  <si>
    <t>* Template history is found in the CM tool used for templates</t>
  </si>
  <si>
    <t>1.2. Revision History *</t>
  </si>
  <si>
    <t>1.4.1. Referenced documents</t>
  </si>
  <si>
    <t>1.4.2. Applicable documents</t>
  </si>
  <si>
    <t>Terminology</t>
  </si>
  <si>
    <t>1.5. Terminology and definitions</t>
  </si>
  <si>
    <t>2. Guide (help)</t>
  </si>
  <si>
    <t>FrontPage</t>
  </si>
  <si>
    <t>General info</t>
  </si>
  <si>
    <t>The front page contains information about the document.
Note : the blue cells are automatically filled by PLM and/or formula</t>
  </si>
  <si>
    <t>Title1: Name1
Title2: Name2</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</si>
  <si>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</si>
  <si>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</si>
  <si>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</si>
  <si>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</si>
  <si>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</si>
  <si>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</si>
  <si>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</si>
  <si>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</si>
  <si>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</si>
  <si>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</si>
  <si>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</si>
  <si>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</si>
  <si>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</si>
  <si>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</si>
  <si>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</si>
  <si>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</si>
  <si>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</si>
  <si>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</si>
  <si>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</si>
  <si>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</si>
  <si>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Step 8</t>
  </si>
  <si>
    <t>Step 9</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</si>
  <si>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</si>
  <si>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</si>
  <si>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</si>
  <si>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</si>
  <si>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</si>
  <si>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</si>
  <si>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</si>
  <si>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</si>
  <si>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</si>
  <si>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</si>
  <si>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</si>
  <si>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</si>
  <si>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</si>
  <si>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Comment</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</si>
  <si>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</si>
  <si>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</si>
  <si>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</si>
  <si>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</si>
  <si>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</si>
  <si>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</si>
  <si>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</si>
  <si>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</si>
  <si>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</si>
  <si>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</si>
  <si>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</si>
  <si>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</si>
  <si>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</si>
  <si>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</si>
  <si>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</si>
  <si>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</si>
  <si>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</si>
  <si>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</si>
  <si>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</si>
  <si>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</si>
  <si>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</si>
  <si>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</si>
  <si>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</si>
  <si>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</si>
  <si>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</si>
  <si>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</si>
  <si>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</si>
  <si>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</si>
  <si>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</si>
  <si>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</si>
  <si>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</si>
  <si>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</si>
  <si>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</si>
  <si>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</si>
  <si>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</si>
  <si>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</si>
  <si>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</si>
  <si>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</si>
  <si>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</si>
  <si>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</si>
  <si>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</si>
  <si>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</si>
  <si>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</si>
  <si>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</si>
  <si>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</si>
  <si>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</si>
  <si>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</si>
  <si>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</si>
  <si>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</si>
  <si>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</si>
  <si>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</si>
  <si>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</si>
  <si>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Test for No Regression</t>
  </si>
  <si>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</si>
  <si>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</si>
  <si>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254888 MERCEDES BENZ AG MER W174W178 EL SB</t>
  </si>
  <si>
    <t>DAI_MMA Delivery Test Specification Report</t>
  </si>
  <si>
    <t>SWTL</t>
  </si>
  <si>
    <t>Mihai Ianos</t>
  </si>
  <si>
    <t>Applied from SW R03.1 release</t>
  </si>
  <si>
    <t>Check wakeup and sleep functionality</t>
  </si>
  <si>
    <t>Nominal</t>
  </si>
  <si>
    <t xml:space="preserve">Check if ECU wake-up and sleep functionalities </t>
  </si>
  <si>
    <t>Power supply on
Simulation stopped</t>
  </si>
  <si>
    <t>Check if ECU wakes up from sleep - start CANoe simulation</t>
  </si>
  <si>
    <t>ECU wakes up and sends frames</t>
  </si>
  <si>
    <t>Wait 5 seconds</t>
  </si>
  <si>
    <t>ECU sends frames</t>
  </si>
  <si>
    <t>Stop CANoe simulation and wait 5 seconds</t>
  </si>
  <si>
    <t>ECU is in sleep, current draw is &lt; 1mA</t>
  </si>
  <si>
    <t>Latest PTC SW flashed with application
Power On CANoe simulation and the power supply
Run the software</t>
  </si>
  <si>
    <t>In CANoe, send the "Adjust Sec TickCount of VSM" message and read the SecOC Local TickCount Read DID (22 01 8A).</t>
  </si>
  <si>
    <t>In CANoe, set on TX channel the Presf_Lvl_V2 signal to 0x02(LVL2) and watch the value of Meas_RBTM_02 signal.</t>
  </si>
  <si>
    <t>Meas8_RBTM_FL_02 value should be 18, cycle 18 performed and then the value should change to 19, cycle 19 performed.</t>
  </si>
  <si>
    <t>Meas8_RBTM_FL_02 value is 18 and than changed to 19.</t>
  </si>
  <si>
    <t>In CANoe, set on TX channel the Presf_Lvl_V2 signal to 0x02(LVL2) and watch the value of RBTM_FL_Tens_ST3</t>
  </si>
  <si>
    <t>RBTMFL_Actv_Lvl_ST35 switches to 2</t>
  </si>
  <si>
    <t>DAIMLER MER ECU or Mock-up board
Power supply connected
CAN case connected
CANoe for DAIMLER MER configuration</t>
  </si>
  <si>
    <t>Check Under/Over voltage detection</t>
  </si>
  <si>
    <t>Testing if voltage error detection works</t>
  </si>
  <si>
    <t>Latest PTC SW flashed with application
Power On CANoe simulation and the power supply</t>
  </si>
  <si>
    <t>DTC B210D00 is active</t>
  </si>
  <si>
    <t>Set voltage to 12V and wait 15 seconds</t>
  </si>
  <si>
    <t>DTC B210E00 is active</t>
  </si>
  <si>
    <t>DTC B210D00 is not active</t>
  </si>
  <si>
    <t>DTC B210E00 is not active</t>
  </si>
  <si>
    <t>Check if strat-up cycle is being executed</t>
  </si>
  <si>
    <t>Check if ECU is functional and executed the start-up cycle</t>
  </si>
  <si>
    <t>Check if the ECU is functioning</t>
  </si>
  <si>
    <t>ECU is transmitting frames</t>
  </si>
  <si>
    <t>Trigger a hard reset (11 01)</t>
  </si>
  <si>
    <t>Reset is performed and ECU responds 51 01</t>
  </si>
  <si>
    <t>SW_DLV_0001</t>
  </si>
  <si>
    <t>SW_DLV_0002</t>
  </si>
  <si>
    <t>SW_DLV_0003</t>
  </si>
  <si>
    <t>SW_DLV_0004</t>
  </si>
  <si>
    <t>Ok</t>
  </si>
  <si>
    <t>Positive result</t>
  </si>
  <si>
    <t>Positive result reached</t>
  </si>
  <si>
    <t>ECU tranmits frames</t>
  </si>
  <si>
    <t>Reset performed</t>
  </si>
  <si>
    <t>DTC is active</t>
  </si>
  <si>
    <t>DTC not active</t>
  </si>
  <si>
    <t xml:space="preserve">within 5 seconds from reset Byte 2 of measurement frame is 0x20 </t>
  </si>
  <si>
    <t>Value for byte 2 is 0x20</t>
  </si>
  <si>
    <t>Check if the start-up cycle is executed</t>
  </si>
  <si>
    <t>Testing if HWA request is executed if preconditions are met and HWA repetition is executed.</t>
  </si>
  <si>
    <t>RBTMFL_Actv_Lvl_ST35 stays at 2</t>
  </si>
  <si>
    <t>DTC  active</t>
  </si>
  <si>
    <t>Testing HWA request and HWA repetition.</t>
  </si>
  <si>
    <t>Set voltage to 8V and wait 15 seconds</t>
  </si>
  <si>
    <t>Set voltage to 17.5V and wait 15 seconds</t>
  </si>
  <si>
    <t>Serban Madalina</t>
  </si>
  <si>
    <t>Check if variant coding is written correctly</t>
  </si>
  <si>
    <t>Positive response received</t>
  </si>
  <si>
    <t>0x300 is written</t>
  </si>
  <si>
    <t>Check with 22 03 00 that 0x300 is written</t>
  </si>
  <si>
    <t>Check with 22 03 01 that 0x301 is written</t>
  </si>
  <si>
    <t>0x301 is written</t>
  </si>
  <si>
    <t>0x302 is written</t>
  </si>
  <si>
    <t>Step 10</t>
  </si>
  <si>
    <t>Latest PTC SW flashed with application
Power On CANoe simulation and the power supply
Go to Security tab in CANoe</t>
  </si>
  <si>
    <t>Authenticate in Development Enhanced</t>
  </si>
  <si>
    <t>Authentication successful</t>
  </si>
  <si>
    <t>Write 0x302 - Tensioning Cycle BSR</t>
  </si>
  <si>
    <t>SW_DLV_0005</t>
  </si>
  <si>
    <t>Check if variant coding works</t>
  </si>
  <si>
    <t>Click on Start coding button; Write 0x300 - Presafe Cycles Level 1-8; Click on finish coding</t>
  </si>
  <si>
    <t>Click on Start coding button; Write 0x301 - Release Cycles BSR and Presafe; Click on finish coding</t>
  </si>
  <si>
    <t>Click on Start coding button;Check with 22 03 01 that 0x302 is written; Click on finish coding</t>
  </si>
  <si>
    <t>Latest PTC SW flashed with application
Power On CANoe simulation and the power supply
Measurement frame Block 12 active</t>
  </si>
  <si>
    <t>Set storage conditions for ECU Level DTC Group:Set Signal PN14_ProdMd_Stat_S3 value on OFF, set signal PN14_TransMd_Stat_ST3 on OFF</t>
  </si>
  <si>
    <t>Storage conditions are set</t>
  </si>
  <si>
    <t>27.03.2024</t>
  </si>
  <si>
    <t>DAI_SBE_PP4G_MMA_R090_P91_DEV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</si>
</sst>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3"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b/>
      <i/>
      <u/>
      <sz val="10"/>
      <color theme="10"/>
      <name val="Arial"/>
      <family val="2"/>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ont>
  </fonts>
  <fills count="10">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s>
  <borders count="4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n">
        <color rgb="FF000080"/>
      </bottom>
      <diagonal/>
    </border>
  </borders>
  <cellStyleXfs count="3">
    <xf numFmtId="0" fontId="0" fillId="0" borderId="0"/>
    <xf numFmtId="0" fontId="23" fillId="0" borderId="0" applyNumberFormat="0" applyFill="0" applyBorder="0" applyAlignment="0" applyProtection="0"/>
    <xf numFmtId="0" fontId="1" fillId="0" borderId="0"/>
  </cellStyleXfs>
  <cellXfs count="207">
    <xf numFmtId="0" fontId="0" fillId="0" borderId="0" xfId="0"/>
    <xf numFmtId="0" fontId="0" fillId="0" borderId="0" xfId="0" applyAlignment="1">
      <alignment vertical="center"/>
    </xf>
    <xf numFmtId="0" fontId="5" fillId="0" borderId="0" xfId="0" applyFont="1" applyAlignment="1">
      <alignment vertical="center" wrapText="1"/>
    </xf>
    <xf numFmtId="164" fontId="5" fillId="0" borderId="0" xfId="0" applyNumberFormat="1" applyFont="1" applyAlignment="1">
      <alignment horizontal="center" vertical="center" wrapText="1"/>
    </xf>
    <xf numFmtId="20" fontId="5" fillId="0" borderId="0" xfId="0" applyNumberFormat="1" applyFont="1" applyAlignment="1">
      <alignment vertical="center" wrapText="1"/>
    </xf>
    <xf numFmtId="0" fontId="5" fillId="0" borderId="0" xfId="0" applyFont="1" applyAlignment="1">
      <alignment horizontal="left" vertical="center" wrapText="1"/>
    </xf>
    <xf numFmtId="0" fontId="1" fillId="0" borderId="0" xfId="0" applyFont="1" applyAlignment="1">
      <alignment vertical="center"/>
    </xf>
    <xf numFmtId="0" fontId="24" fillId="0" borderId="0" xfId="0" applyFont="1" applyAlignment="1">
      <alignment horizontal="right" vertical="center"/>
    </xf>
    <xf numFmtId="0" fontId="6" fillId="0" borderId="0" xfId="0" applyFont="1" applyAlignment="1">
      <alignment horizontal="left" vertical="center" wrapText="1"/>
    </xf>
    <xf numFmtId="0" fontId="4" fillId="0" borderId="0" xfId="0" applyFont="1" applyAlignment="1">
      <alignment vertical="center" shrinkToFit="1"/>
    </xf>
    <xf numFmtId="0" fontId="1" fillId="0" borderId="0" xfId="0" applyFont="1" applyAlignment="1" applyProtection="1">
      <alignment vertical="center"/>
      <protection locked="0"/>
    </xf>
    <xf numFmtId="0" fontId="0" fillId="0" borderId="0" xfId="0" applyAlignment="1" applyProtection="1">
      <alignment vertical="center"/>
      <protection locked="0"/>
    </xf>
    <xf numFmtId="0" fontId="4" fillId="0" borderId="0" xfId="0" applyFont="1" applyAlignment="1" applyProtection="1">
      <alignment vertical="center"/>
      <protection locked="0"/>
    </xf>
    <xf numFmtId="0" fontId="25" fillId="0" borderId="44" xfId="0" applyFont="1" applyBorder="1" applyAlignment="1" applyProtection="1">
      <alignment vertical="center"/>
      <protection locked="0"/>
    </xf>
    <xf numFmtId="0" fontId="0" fillId="0" borderId="44"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Alignment="1" applyProtection="1">
      <alignment horizontal="left" vertical="center"/>
      <protection locked="0"/>
    </xf>
    <xf numFmtId="49" fontId="4" fillId="0" borderId="0" xfId="0" applyNumberFormat="1" applyFont="1" applyAlignment="1">
      <alignment horizontal="center" vertical="center" wrapText="1"/>
    </xf>
    <xf numFmtId="49" fontId="4" fillId="0" borderId="0" xfId="0" applyNumberFormat="1" applyFont="1" applyAlignment="1" applyProtection="1">
      <alignment horizontal="left" vertical="center" wrapText="1"/>
      <protection locked="0"/>
    </xf>
    <xf numFmtId="49" fontId="4" fillId="0" borderId="0" xfId="0" applyNumberFormat="1" applyFont="1" applyAlignment="1">
      <alignment horizontal="left" vertical="center" wrapText="1"/>
    </xf>
    <xf numFmtId="49" fontId="14" fillId="0" borderId="0" xfId="0" applyNumberFormat="1" applyFont="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Alignment="1" applyProtection="1">
      <alignment vertical="center"/>
      <protection locked="0"/>
    </xf>
    <xf numFmtId="49" fontId="4" fillId="0" borderId="0" xfId="0" applyNumberFormat="1" applyFont="1" applyAlignment="1" applyProtection="1">
      <alignment horizontal="left" vertical="center"/>
      <protection locked="0"/>
    </xf>
    <xf numFmtId="0" fontId="0" fillId="0" borderId="0" xfId="0" applyAlignment="1">
      <alignment horizontal="left" vertical="center"/>
    </xf>
    <xf numFmtId="0" fontId="0" fillId="0" borderId="0" xfId="0" applyAlignment="1" applyProtection="1">
      <alignment horizontal="left" vertical="center"/>
      <protection locked="0"/>
    </xf>
    <xf numFmtId="49" fontId="4" fillId="0" borderId="0" xfId="0" applyNumberFormat="1" applyFont="1" applyAlignment="1">
      <alignment vertical="center"/>
    </xf>
    <xf numFmtId="0" fontId="4" fillId="0" borderId="0" xfId="0" applyFont="1" applyAlignment="1">
      <alignment vertical="center"/>
    </xf>
    <xf numFmtId="0" fontId="11" fillId="0" borderId="0" xfId="0" applyFont="1" applyAlignment="1">
      <alignment horizontal="left" vertical="center" shrinkToFit="1"/>
    </xf>
    <xf numFmtId="0" fontId="2" fillId="0" borderId="0" xfId="0" applyFont="1" applyAlignment="1">
      <alignment horizontal="left" vertical="center" shrinkToFit="1"/>
    </xf>
    <xf numFmtId="0" fontId="4" fillId="0" borderId="0" xfId="0" applyFont="1" applyAlignment="1" applyProtection="1">
      <alignment vertical="center" shrinkToFit="1"/>
      <protection locked="0"/>
    </xf>
    <xf numFmtId="0" fontId="26" fillId="0" borderId="2" xfId="0" applyFont="1" applyBorder="1" applyAlignment="1" applyProtection="1">
      <alignment horizontal="left" vertical="center" wrapText="1" shrinkToFit="1"/>
      <protection locked="0"/>
    </xf>
    <xf numFmtId="0" fontId="27" fillId="0" borderId="0" xfId="0" applyFont="1" applyAlignment="1" applyProtection="1">
      <alignment horizontal="left" vertical="center" shrinkToFit="1"/>
      <protection locked="0"/>
    </xf>
    <xf numFmtId="0" fontId="26" fillId="0" borderId="0" xfId="0" applyFont="1" applyAlignment="1" applyProtection="1">
      <alignment horizontal="left" vertical="center" wrapText="1" shrinkToFit="1"/>
      <protection locked="0"/>
    </xf>
    <xf numFmtId="0" fontId="27" fillId="0" borderId="3" xfId="0" applyFont="1" applyBorder="1" applyAlignment="1" applyProtection="1">
      <alignment horizontal="left" vertical="center" shrinkToFit="1"/>
      <protection locked="0"/>
    </xf>
    <xf numFmtId="0" fontId="1" fillId="0" borderId="0" xfId="0" applyFont="1" applyAlignment="1" applyProtection="1">
      <alignment vertical="center" shrinkToFit="1"/>
      <protection locked="0"/>
    </xf>
    <xf numFmtId="0" fontId="0" fillId="0" borderId="0" xfId="0" applyAlignment="1" applyProtection="1">
      <alignment vertical="center" shrinkToFit="1"/>
      <protection locked="0"/>
    </xf>
    <xf numFmtId="0" fontId="10" fillId="0" borderId="0" xfId="0" applyFont="1" applyAlignment="1" applyProtection="1">
      <alignment horizontal="center" vertical="center"/>
      <protection locked="0"/>
    </xf>
    <xf numFmtId="0" fontId="28" fillId="0" borderId="0" xfId="0" quotePrefix="1" applyFont="1" applyAlignment="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4" borderId="7"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Alignment="1">
      <alignment wrapText="1"/>
    </xf>
    <xf numFmtId="0" fontId="1" fillId="5" borderId="0" xfId="0" applyFont="1" applyFill="1"/>
    <xf numFmtId="0" fontId="1" fillId="5" borderId="0" xfId="0" applyFont="1" applyFill="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Alignment="1">
      <alignment vertical="top" wrapText="1"/>
    </xf>
    <xf numFmtId="0" fontId="33" fillId="0" borderId="0" xfId="0" applyFont="1"/>
    <xf numFmtId="0" fontId="33" fillId="0" borderId="10" xfId="0" applyFont="1" applyBorder="1"/>
    <xf numFmtId="0" fontId="20" fillId="0" borderId="10" xfId="0" applyFont="1" applyBorder="1"/>
    <xf numFmtId="10" fontId="33" fillId="0" borderId="10" xfId="0" applyNumberFormat="1" applyFont="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0" fontId="35" fillId="6" borderId="11" xfId="1" applyFont="1" applyFill="1" applyBorder="1" applyAlignment="1">
      <alignment vertical="top"/>
    </xf>
    <xf numFmtId="49" fontId="1" fillId="0" borderId="0" xfId="0" applyNumberFormat="1" applyFont="1" applyAlignment="1" applyProtection="1">
      <alignment horizontal="left" vertical="center"/>
      <protection locked="0"/>
    </xf>
    <xf numFmtId="0" fontId="34" fillId="6" borderId="16" xfId="0" applyFont="1" applyFill="1" applyBorder="1" applyAlignment="1">
      <alignment vertical="top"/>
    </xf>
    <xf numFmtId="0" fontId="29" fillId="0" borderId="16" xfId="0" applyFont="1" applyBorder="1" applyAlignment="1">
      <alignment vertical="top"/>
    </xf>
    <xf numFmtId="0" fontId="36" fillId="0" borderId="17" xfId="0" applyFont="1" applyBorder="1" applyAlignment="1">
      <alignment horizontal="center" vertical="center"/>
    </xf>
    <xf numFmtId="0" fontId="36" fillId="0" borderId="10" xfId="0" applyFont="1" applyBorder="1" applyAlignment="1">
      <alignment horizontal="center" vertical="center"/>
    </xf>
    <xf numFmtId="0" fontId="37" fillId="0" borderId="11" xfId="0" applyFont="1" applyBorder="1" applyAlignment="1">
      <alignment vertical="top"/>
    </xf>
    <xf numFmtId="0" fontId="0" fillId="5" borderId="0" xfId="0" applyFill="1"/>
    <xf numFmtId="0" fontId="36" fillId="5" borderId="0" xfId="0" applyFont="1" applyFill="1" applyAlignment="1">
      <alignment horizontal="center" vertical="center"/>
    </xf>
    <xf numFmtId="0" fontId="36" fillId="5" borderId="18" xfId="0" applyFont="1" applyFill="1" applyBorder="1" applyAlignment="1">
      <alignment horizontal="center" vertical="center"/>
    </xf>
    <xf numFmtId="0" fontId="36" fillId="5" borderId="19" xfId="0" applyFont="1" applyFill="1" applyBorder="1" applyAlignment="1">
      <alignment horizontal="center" vertical="center"/>
    </xf>
    <xf numFmtId="0" fontId="0" fillId="5" borderId="0" xfId="0" applyFill="1" applyAlignment="1">
      <alignment wrapText="1"/>
    </xf>
    <xf numFmtId="0" fontId="38" fillId="7" borderId="4" xfId="0" applyFont="1" applyFill="1" applyBorder="1" applyAlignment="1">
      <alignment wrapText="1"/>
    </xf>
    <xf numFmtId="0" fontId="38" fillId="7" borderId="20" xfId="0" applyFont="1" applyFill="1" applyBorder="1" applyAlignment="1">
      <alignment vertical="center" wrapText="1"/>
    </xf>
    <xf numFmtId="0" fontId="38" fillId="7" borderId="21" xfId="0" applyFont="1" applyFill="1" applyBorder="1" applyAlignment="1">
      <alignment horizontal="center" wrapText="1"/>
    </xf>
    <xf numFmtId="0" fontId="1" fillId="8" borderId="9" xfId="2" applyFill="1" applyBorder="1" applyAlignment="1">
      <alignment wrapText="1"/>
    </xf>
    <xf numFmtId="0" fontId="1" fillId="8" borderId="13" xfId="2" applyFill="1" applyBorder="1" applyAlignment="1">
      <alignment wrapText="1"/>
    </xf>
    <xf numFmtId="0" fontId="36" fillId="5" borderId="7" xfId="0" applyFont="1" applyFill="1" applyBorder="1" applyAlignment="1">
      <alignment horizontal="left" vertical="center"/>
    </xf>
    <xf numFmtId="0" fontId="39" fillId="0" borderId="15" xfId="0" applyFont="1" applyBorder="1" applyAlignment="1">
      <alignment horizontal="left" vertical="center" shrinkToFit="1"/>
    </xf>
    <xf numFmtId="0" fontId="39" fillId="0" borderId="1" xfId="0" applyFont="1" applyBorder="1" applyAlignment="1">
      <alignment horizontal="left" vertical="center" shrinkToFit="1"/>
    </xf>
    <xf numFmtId="0" fontId="39" fillId="0" borderId="22" xfId="0" applyFont="1" applyBorder="1" applyAlignment="1">
      <alignment horizontal="left" vertical="center" shrinkToFit="1"/>
    </xf>
    <xf numFmtId="0" fontId="40" fillId="9" borderId="23" xfId="0" applyFont="1" applyFill="1" applyBorder="1" applyAlignment="1" applyProtection="1">
      <alignment horizontal="center" vertical="center" shrinkToFit="1"/>
      <protection locked="0"/>
    </xf>
    <xf numFmtId="0" fontId="40" fillId="9" borderId="24" xfId="0" applyFont="1" applyFill="1" applyBorder="1" applyAlignment="1" applyProtection="1">
      <alignment horizontal="center" vertical="center" shrinkToFit="1"/>
      <protection locked="0"/>
    </xf>
    <xf numFmtId="0" fontId="40" fillId="9" borderId="25" xfId="0" applyFont="1" applyFill="1" applyBorder="1" applyAlignment="1" applyProtection="1">
      <alignment horizontal="center" vertical="center" shrinkToFit="1"/>
      <protection locked="0"/>
    </xf>
    <xf numFmtId="0" fontId="6" fillId="0" borderId="23" xfId="0" applyFont="1" applyBorder="1" applyAlignment="1">
      <alignment horizontal="left" vertical="center" shrinkToFit="1"/>
    </xf>
    <xf numFmtId="0" fontId="6" fillId="0" borderId="24" xfId="0" applyFont="1" applyBorder="1" applyAlignment="1">
      <alignment horizontal="left" vertical="center" shrinkToFit="1"/>
    </xf>
    <xf numFmtId="0" fontId="6" fillId="0" borderId="25" xfId="0" applyFont="1" applyBorder="1" applyAlignment="1">
      <alignment horizontal="left" vertical="center" shrinkToFit="1"/>
    </xf>
    <xf numFmtId="0" fontId="1" fillId="0" borderId="15" xfId="0" applyFont="1" applyBorder="1" applyAlignment="1" applyProtection="1">
      <alignment horizontal="right" vertical="top" wrapText="1" shrinkToFit="1"/>
      <protection locked="0"/>
    </xf>
    <xf numFmtId="0" fontId="4" fillId="0" borderId="1" xfId="0" applyFont="1" applyBorder="1" applyAlignment="1" applyProtection="1">
      <alignment horizontal="right" vertical="top" wrapText="1" shrinkToFit="1"/>
      <protection locked="0"/>
    </xf>
    <xf numFmtId="0" fontId="40" fillId="9" borderId="2" xfId="0" applyFont="1" applyFill="1" applyBorder="1" applyAlignment="1" applyProtection="1">
      <alignment horizontal="center" vertical="center" shrinkToFit="1"/>
      <protection locked="0"/>
    </xf>
    <xf numFmtId="0" fontId="40" fillId="9" borderId="0" xfId="0" applyFont="1" applyFill="1" applyAlignment="1" applyProtection="1">
      <alignment horizontal="center" vertical="center" shrinkToFit="1"/>
      <protection locked="0"/>
    </xf>
    <xf numFmtId="0" fontId="40" fillId="9" borderId="3" xfId="0" applyFont="1" applyFill="1" applyBorder="1" applyAlignment="1" applyProtection="1">
      <alignment horizontal="center" vertical="center" shrinkToFit="1"/>
      <protection locked="0"/>
    </xf>
    <xf numFmtId="0" fontId="4" fillId="0" borderId="1" xfId="0" applyFont="1" applyBorder="1" applyAlignment="1" applyProtection="1">
      <alignment horizontal="left" vertical="top" wrapText="1" shrinkToFit="1"/>
      <protection locked="0"/>
    </xf>
    <xf numFmtId="0" fontId="2" fillId="0" borderId="1" xfId="0" applyFont="1" applyBorder="1" applyAlignment="1" applyProtection="1">
      <alignment horizontal="left" vertical="top" shrinkToFit="1"/>
      <protection locked="0"/>
    </xf>
    <xf numFmtId="0" fontId="2" fillId="0" borderId="22" xfId="0" applyFont="1" applyBorder="1" applyAlignment="1" applyProtection="1">
      <alignment horizontal="left" vertical="top" shrinkToFit="1"/>
      <protection locked="0"/>
    </xf>
    <xf numFmtId="0" fontId="6" fillId="0" borderId="23" xfId="0" applyFont="1" applyBorder="1" applyAlignment="1">
      <alignment horizontal="left" vertical="center" wrapText="1"/>
    </xf>
    <xf numFmtId="0" fontId="6" fillId="0" borderId="24" xfId="0" applyFont="1" applyBorder="1" applyAlignment="1">
      <alignment horizontal="left" vertical="center" wrapText="1"/>
    </xf>
    <xf numFmtId="0" fontId="6" fillId="0" borderId="25" xfId="0" applyFont="1" applyBorder="1" applyAlignment="1">
      <alignment horizontal="left" vertical="center" wrapText="1"/>
    </xf>
    <xf numFmtId="0" fontId="4" fillId="0" borderId="15" xfId="0" applyFont="1" applyBorder="1" applyAlignment="1" applyProtection="1">
      <alignment horizontal="left" vertical="top" wrapText="1" shrinkToFit="1"/>
      <protection locked="0"/>
    </xf>
    <xf numFmtId="0" fontId="10" fillId="0" borderId="0" xfId="0" applyFont="1" applyAlignment="1" applyProtection="1">
      <alignment horizontal="center" vertical="center" wrapText="1"/>
      <protection locked="0"/>
    </xf>
    <xf numFmtId="0" fontId="0" fillId="0" borderId="0" xfId="0" applyAlignment="1">
      <alignment vertical="center" wrapText="1"/>
    </xf>
    <xf numFmtId="0" fontId="4" fillId="0" borderId="26" xfId="0" applyFont="1" applyBorder="1" applyAlignment="1" applyProtection="1">
      <alignment horizontal="left" vertical="top" wrapText="1" shrinkToFit="1"/>
      <protection locked="0"/>
    </xf>
    <xf numFmtId="0" fontId="2" fillId="0" borderId="27" xfId="0" applyFont="1" applyBorder="1" applyAlignment="1" applyProtection="1">
      <alignment horizontal="left" vertical="top" shrinkToFit="1"/>
      <protection locked="0"/>
    </xf>
    <xf numFmtId="0" fontId="2" fillId="0" borderId="16" xfId="0" applyFont="1" applyBorder="1" applyAlignment="1" applyProtection="1">
      <alignment horizontal="left" vertical="top" shrinkToFit="1"/>
      <protection locked="0"/>
    </xf>
    <xf numFmtId="0" fontId="1" fillId="0" borderId="23" xfId="0" applyFont="1" applyBorder="1" applyAlignment="1" applyProtection="1">
      <alignment horizontal="left" vertical="top"/>
      <protection locked="0"/>
    </xf>
    <xf numFmtId="0" fontId="4" fillId="0" borderId="24" xfId="0" applyFont="1" applyBorder="1" applyAlignment="1" applyProtection="1">
      <alignment horizontal="left" vertical="top"/>
      <protection locked="0"/>
    </xf>
    <xf numFmtId="0" fontId="4" fillId="0" borderId="25" xfId="0" applyFont="1" applyBorder="1" applyAlignment="1" applyProtection="1">
      <alignment horizontal="left" vertical="top"/>
      <protection locked="0"/>
    </xf>
    <xf numFmtId="0" fontId="40" fillId="9" borderId="24" xfId="0" applyFont="1" applyFill="1" applyBorder="1" applyAlignment="1" applyProtection="1">
      <alignment horizontal="center" vertical="center" wrapText="1"/>
      <protection locked="0"/>
    </xf>
    <xf numFmtId="0" fontId="40" fillId="9" borderId="0" xfId="0" applyFont="1" applyFill="1" applyAlignment="1" applyProtection="1">
      <alignment horizontal="center" vertical="center" wrapText="1"/>
      <protection locked="0"/>
    </xf>
    <xf numFmtId="0" fontId="4" fillId="0" borderId="15" xfId="0" applyFont="1" applyBorder="1" applyAlignment="1" applyProtection="1">
      <alignment horizontal="left" vertical="top"/>
      <protection locked="0"/>
    </xf>
    <xf numFmtId="0" fontId="4" fillId="0" borderId="1" xfId="0" applyFont="1" applyBorder="1" applyAlignment="1" applyProtection="1">
      <alignment horizontal="left" vertical="top"/>
      <protection locked="0"/>
    </xf>
    <xf numFmtId="0" fontId="4" fillId="0" borderId="22" xfId="0" applyFont="1" applyBorder="1" applyAlignment="1" applyProtection="1">
      <alignment horizontal="left" vertical="top"/>
      <protection locked="0"/>
    </xf>
    <xf numFmtId="0" fontId="41" fillId="0" borderId="1" xfId="0" applyFont="1" applyBorder="1" applyAlignment="1" applyProtection="1">
      <alignment horizontal="left" vertical="top" wrapText="1" shrinkToFit="1"/>
      <protection locked="0"/>
    </xf>
    <xf numFmtId="0" fontId="41" fillId="0" borderId="22" xfId="0" applyFont="1" applyBorder="1" applyAlignment="1" applyProtection="1">
      <alignment horizontal="left" vertical="top" wrapText="1" shrinkToFit="1"/>
      <protection locked="0"/>
    </xf>
    <xf numFmtId="0" fontId="39" fillId="3" borderId="15" xfId="0" applyFont="1" applyFill="1" applyBorder="1" applyAlignment="1">
      <alignment horizontal="left" vertical="center" shrinkToFit="1"/>
    </xf>
    <xf numFmtId="0" fontId="39" fillId="3" borderId="1" xfId="0" applyFont="1" applyFill="1" applyBorder="1" applyAlignment="1">
      <alignment horizontal="left" vertical="center" shrinkToFit="1"/>
    </xf>
    <xf numFmtId="0" fontId="39" fillId="3" borderId="22" xfId="0" applyFont="1" applyFill="1" applyBorder="1" applyAlignment="1">
      <alignment horizontal="left" vertical="center" shrinkToFit="1"/>
    </xf>
    <xf numFmtId="0" fontId="6" fillId="3" borderId="23" xfId="0" applyFont="1" applyFill="1" applyBorder="1" applyAlignment="1">
      <alignment horizontal="left" vertical="center" wrapText="1"/>
    </xf>
    <xf numFmtId="0" fontId="6" fillId="3" borderId="24" xfId="0" applyFont="1" applyFill="1" applyBorder="1" applyAlignment="1">
      <alignment horizontal="left" vertical="center" wrapText="1"/>
    </xf>
    <xf numFmtId="0" fontId="6" fillId="3" borderId="25" xfId="0" applyFont="1" applyFill="1" applyBorder="1" applyAlignment="1">
      <alignment horizontal="left" vertical="center" wrapText="1"/>
    </xf>
    <xf numFmtId="0" fontId="6" fillId="3" borderId="23" xfId="0" applyFont="1" applyFill="1" applyBorder="1" applyAlignment="1">
      <alignment horizontal="left" vertical="center" shrinkToFit="1"/>
    </xf>
    <xf numFmtId="0" fontId="6" fillId="3" borderId="24" xfId="0" applyFont="1" applyFill="1" applyBorder="1" applyAlignment="1">
      <alignment horizontal="left" vertical="center" shrinkToFit="1"/>
    </xf>
    <xf numFmtId="0" fontId="6" fillId="3" borderId="25" xfId="0" applyFont="1" applyFill="1" applyBorder="1" applyAlignment="1">
      <alignment horizontal="left" vertical="center" shrinkToFit="1"/>
    </xf>
    <xf numFmtId="49" fontId="1" fillId="0" borderId="26" xfId="0" applyNumberFormat="1" applyFont="1" applyBorder="1" applyAlignment="1" applyProtection="1">
      <alignment horizontal="left" vertical="center" wrapText="1"/>
      <protection locked="0"/>
    </xf>
    <xf numFmtId="49" fontId="4" fillId="0" borderId="27" xfId="0" applyNumberFormat="1" applyFont="1" applyBorder="1" applyAlignment="1" applyProtection="1">
      <alignment horizontal="left" vertical="center" wrapText="1"/>
      <protection locked="0"/>
    </xf>
    <xf numFmtId="49" fontId="4" fillId="0" borderId="16" xfId="0" applyNumberFormat="1" applyFont="1" applyBorder="1" applyAlignment="1" applyProtection="1">
      <alignment horizontal="left" vertical="center" wrapText="1"/>
      <protection locked="0"/>
    </xf>
    <xf numFmtId="0" fontId="38" fillId="7" borderId="10" xfId="0" applyFont="1" applyFill="1" applyBorder="1" applyAlignment="1">
      <alignment horizontal="center"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16" xfId="0" applyBorder="1" applyAlignment="1">
      <alignment horizontal="left" vertical="center" wrapText="1"/>
    </xf>
    <xf numFmtId="0" fontId="1" fillId="0" borderId="26" xfId="0" applyFont="1"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49" fontId="4" fillId="0" borderId="10" xfId="0" applyNumberFormat="1" applyFont="1" applyBorder="1" applyAlignment="1" applyProtection="1">
      <alignment horizontal="left" vertical="center" wrapText="1"/>
      <protection locked="0"/>
    </xf>
    <xf numFmtId="0" fontId="0" fillId="0" borderId="10" xfId="0" applyBorder="1" applyAlignment="1">
      <alignment horizontal="left" vertical="center" wrapText="1"/>
    </xf>
    <xf numFmtId="49" fontId="4" fillId="0" borderId="10" xfId="0" applyNumberFormat="1" applyFont="1" applyBorder="1" applyAlignment="1" applyProtection="1">
      <alignment vertical="center" wrapText="1"/>
      <protection locked="0"/>
    </xf>
    <xf numFmtId="0" fontId="0" fillId="0" borderId="10" xfId="0" applyBorder="1" applyAlignment="1">
      <alignment horizontal="center" vertical="center" wrapText="1"/>
    </xf>
    <xf numFmtId="49" fontId="4" fillId="0" borderId="10" xfId="0" applyNumberFormat="1" applyFont="1" applyBorder="1" applyAlignment="1" applyProtection="1">
      <alignment horizontal="center" vertical="center" wrapText="1"/>
      <protection locked="0"/>
    </xf>
    <xf numFmtId="49" fontId="4" fillId="0" borderId="10" xfId="0" applyNumberFormat="1" applyFont="1" applyBorder="1" applyAlignment="1">
      <alignment horizontal="center" vertical="center" wrapText="1"/>
    </xf>
    <xf numFmtId="49" fontId="4" fillId="0" borderId="10" xfId="0" applyNumberFormat="1" applyFont="1" applyBorder="1" applyAlignment="1">
      <alignment horizontal="left" vertical="center" wrapText="1"/>
    </xf>
    <xf numFmtId="49" fontId="5" fillId="0" borderId="0" xfId="0" applyNumberFormat="1" applyFont="1" applyAlignment="1" applyProtection="1">
      <alignment horizontal="left" vertical="top" wrapText="1"/>
      <protection locked="0"/>
    </xf>
    <xf numFmtId="49" fontId="1" fillId="0" borderId="10" xfId="0" applyNumberFormat="1" applyFont="1" applyBorder="1" applyAlignment="1" applyProtection="1">
      <alignment horizontal="left" vertical="center" wrapText="1"/>
      <protection locked="0"/>
    </xf>
    <xf numFmtId="49" fontId="1" fillId="0" borderId="10" xfId="0" applyNumberFormat="1" applyFont="1" applyBorder="1" applyAlignment="1" applyProtection="1">
      <alignment horizontal="center" vertical="center" wrapText="1"/>
      <protection locked="0"/>
    </xf>
    <xf numFmtId="0" fontId="11" fillId="3" borderId="15" xfId="0" applyFont="1" applyFill="1" applyBorder="1" applyAlignment="1">
      <alignment horizontal="left" vertical="center" shrinkToFit="1"/>
    </xf>
    <xf numFmtId="0" fontId="11" fillId="3" borderId="1" xfId="0" applyFont="1" applyFill="1" applyBorder="1" applyAlignment="1">
      <alignment horizontal="left" vertical="center" shrinkToFit="1"/>
    </xf>
    <xf numFmtId="0" fontId="11" fillId="3" borderId="22" xfId="0" applyFont="1" applyFill="1" applyBorder="1" applyAlignment="1">
      <alignment horizontal="left" vertical="center" shrinkToFit="1"/>
    </xf>
    <xf numFmtId="0" fontId="0" fillId="2" borderId="10" xfId="0" applyFill="1" applyBorder="1" applyAlignment="1" applyProtection="1">
      <alignment horizontal="center" vertical="center" wrapText="1"/>
      <protection locked="0"/>
    </xf>
    <xf numFmtId="49" fontId="1" fillId="0" borderId="0" xfId="0" applyNumberFormat="1" applyFont="1" applyAlignment="1" applyProtection="1">
      <alignment horizontal="left" vertical="top" wrapText="1"/>
      <protection locked="0"/>
    </xf>
    <xf numFmtId="0" fontId="1" fillId="5" borderId="26" xfId="2" applyFill="1" applyBorder="1" applyAlignment="1">
      <alignment horizontal="left" vertical="top" wrapText="1" shrinkToFit="1"/>
    </xf>
    <xf numFmtId="0" fontId="1" fillId="5" borderId="27" xfId="2" applyFill="1" applyBorder="1" applyAlignment="1">
      <alignment horizontal="left" vertical="top" wrapText="1" shrinkToFit="1"/>
    </xf>
    <xf numFmtId="0" fontId="1" fillId="5" borderId="16" xfId="2" applyFill="1" applyBorder="1" applyAlignment="1">
      <alignment horizontal="left" vertical="top" wrapText="1" shrinkToFit="1"/>
    </xf>
    <xf numFmtId="0" fontId="1" fillId="5" borderId="10" xfId="2" applyFill="1" applyBorder="1" applyAlignment="1">
      <alignment horizontal="left" vertical="top" wrapText="1" shrinkToFit="1"/>
    </xf>
    <xf numFmtId="0" fontId="1" fillId="5" borderId="41" xfId="2" applyFill="1" applyBorder="1" applyAlignment="1">
      <alignment horizontal="left" vertical="top" wrapText="1" shrinkToFit="1"/>
    </xf>
    <xf numFmtId="0" fontId="1" fillId="5" borderId="42" xfId="2" applyFill="1" applyBorder="1" applyAlignment="1">
      <alignment horizontal="left" vertical="top" wrapText="1" shrinkToFit="1"/>
    </xf>
    <xf numFmtId="0" fontId="1" fillId="5" borderId="43" xfId="2" applyFill="1" applyBorder="1" applyAlignment="1">
      <alignment horizontal="left" vertical="top" wrapText="1" shrinkToFit="1"/>
    </xf>
    <xf numFmtId="0" fontId="1" fillId="5" borderId="14" xfId="2" applyFill="1" applyBorder="1" applyAlignment="1">
      <alignment horizontal="left" vertical="top" wrapText="1" shrinkToFit="1"/>
    </xf>
    <xf numFmtId="0" fontId="1" fillId="5" borderId="26" xfId="2" applyFill="1" applyBorder="1" applyAlignment="1">
      <alignment horizontal="left" vertical="top" wrapText="1"/>
    </xf>
    <xf numFmtId="0" fontId="1" fillId="5" borderId="27" xfId="2" applyFill="1" applyBorder="1" applyAlignment="1">
      <alignment horizontal="left" vertical="top" wrapText="1"/>
    </xf>
    <xf numFmtId="0" fontId="1" fillId="5" borderId="16" xfId="2" applyFill="1" applyBorder="1" applyAlignment="1">
      <alignment horizontal="left" vertical="top" wrapText="1"/>
    </xf>
    <xf numFmtId="0" fontId="38" fillId="7" borderId="30" xfId="0" applyFont="1" applyFill="1" applyBorder="1" applyAlignment="1">
      <alignment horizontal="center" wrapText="1"/>
    </xf>
    <xf numFmtId="0" fontId="38" fillId="7" borderId="31" xfId="0" applyFont="1" applyFill="1" applyBorder="1" applyAlignment="1">
      <alignment horizontal="center" wrapText="1"/>
    </xf>
    <xf numFmtId="0" fontId="38" fillId="7" borderId="32" xfId="0" applyFont="1" applyFill="1" applyBorder="1" applyAlignment="1">
      <alignment horizontal="center" wrapText="1"/>
    </xf>
    <xf numFmtId="0" fontId="38" fillId="7" borderId="35" xfId="0" applyFont="1" applyFill="1" applyBorder="1" applyAlignment="1">
      <alignment horizontal="left" vertical="center" wrapText="1"/>
    </xf>
    <xf numFmtId="0" fontId="38" fillId="7" borderId="37" xfId="0" applyFont="1" applyFill="1" applyBorder="1" applyAlignment="1">
      <alignment horizontal="left" vertical="center" wrapTex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0" xfId="0" applyFont="1" applyFill="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1" fillId="5" borderId="40" xfId="0" applyFont="1" applyFill="1" applyBorder="1" applyAlignment="1">
      <alignment horizontal="left" vertical="top" wrapText="1" shrinkToFit="1"/>
    </xf>
    <xf numFmtId="0" fontId="9" fillId="5" borderId="6" xfId="0" applyFont="1" applyFill="1" applyBorder="1" applyAlignment="1">
      <alignment horizontal="left"/>
    </xf>
    <xf numFmtId="0" fontId="1" fillId="5" borderId="28" xfId="0" applyFont="1" applyFill="1" applyBorder="1" applyAlignment="1">
      <alignment horizontal="left"/>
    </xf>
    <xf numFmtId="0" fontId="1" fillId="5" borderId="29" xfId="0" applyFont="1" applyFill="1" applyBorder="1" applyAlignment="1">
      <alignment horizontal="left"/>
    </xf>
    <xf numFmtId="0" fontId="1" fillId="5" borderId="6" xfId="0" applyFont="1" applyFill="1" applyBorder="1" applyAlignment="1">
      <alignment horizontal="left" vertical="top"/>
    </xf>
    <xf numFmtId="0" fontId="1" fillId="5" borderId="28" xfId="0" applyFont="1" applyFill="1" applyBorder="1" applyAlignment="1">
      <alignment horizontal="left" vertical="top"/>
    </xf>
    <xf numFmtId="0" fontId="1" fillId="5" borderId="29" xfId="0" applyFont="1" applyFill="1" applyBorder="1" applyAlignment="1">
      <alignment horizontal="left" vertical="top"/>
    </xf>
    <xf numFmtId="49" fontId="1" fillId="5" borderId="26" xfId="2" applyNumberFormat="1" applyFill="1" applyBorder="1" applyAlignment="1">
      <alignment horizontal="left" vertical="center" wrapText="1" shrinkToFit="1"/>
    </xf>
    <xf numFmtId="49" fontId="1" fillId="5" borderId="27" xfId="2" applyNumberFormat="1" applyFill="1" applyBorder="1" applyAlignment="1">
      <alignment horizontal="left" vertical="center" wrapText="1" shrinkToFit="1"/>
    </xf>
    <xf numFmtId="49" fontId="1" fillId="5" borderId="16" xfId="2" applyNumberFormat="1" applyFill="1" applyBorder="1" applyAlignment="1">
      <alignment horizontal="left" vertical="center" wrapText="1" shrinkToFit="1"/>
    </xf>
    <xf numFmtId="0" fontId="1" fillId="5" borderId="26" xfId="2" applyFill="1" applyBorder="1" applyAlignment="1">
      <alignment horizontal="left" vertical="center" wrapText="1" shrinkToFit="1"/>
    </xf>
    <xf numFmtId="0" fontId="1" fillId="5" borderId="27" xfId="2" applyFill="1" applyBorder="1" applyAlignment="1">
      <alignment horizontal="left" vertical="center" wrapText="1" shrinkToFit="1"/>
    </xf>
    <xf numFmtId="0" fontId="1" fillId="5" borderId="16" xfId="2" applyFill="1" applyBorder="1" applyAlignment="1">
      <alignment horizontal="left" vertical="center" wrapText="1" shrinkToFit="1"/>
    </xf>
    <xf numFmtId="0" fontId="9" fillId="5" borderId="28" xfId="0" applyFont="1" applyFill="1" applyBorder="1" applyAlignment="1">
      <alignment horizontal="left"/>
    </xf>
    <xf numFmtId="0" fontId="9" fillId="5" borderId="29" xfId="0" applyFont="1" applyFill="1" applyBorder="1" applyAlignment="1">
      <alignment horizontal="left"/>
    </xf>
  </cellXfs>
  <cellStyles count="3">
    <cellStyle name="Hyperlink" xfId="1" builtinId="8"/>
    <cellStyle name="Normal" xfId="0" builtinId="0"/>
    <cellStyle name="Normal 2" xfId="2" xr:uid="{00000000-0005-0000-0000-000002000000}"/>
  </cellStyles>
  <dxfs count="64">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1</c:v>
                </c:pt>
                <c:pt idx="1">
                  <c:v>0</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dalina.serban\AppData\Roaming\Microsoft\AddIns\alvDocProp.xlam" TargetMode="External"/><Relationship Id="rId1" Type="http://schemas.openxmlformats.org/officeDocument/2006/relationships/externalLinkPath" Target="file:///C:\Users\madalina.serban\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Info"/>
    </sheetNames>
    <definedNames>
      <definedName name="alvDocProperty"/>
    </definedNames>
    <sheetDataSet>
      <sheetData sheetId="0"/>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E15" sqref="E15:AG15"/>
    </sheetView>
  </sheetViews>
  <sheetFormatPr defaultColWidth="0" defaultRowHeight="12.5" zeroHeight="1" x14ac:dyDescent="0.25"/>
  <cols>
    <col min="1" max="33" width="2.6328125" style="11" customWidth="1"/>
    <col min="34" max="34" width="1.36328125" style="11" customWidth="1"/>
    <col min="35" max="60" width="3.36328125" style="11" hidden="1" customWidth="1"/>
    <col min="61" max="16384" width="0" style="11"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1" customFormat="1" x14ac:dyDescent="0.25">
      <c r="C3" s="6"/>
      <c r="D3" s="6"/>
      <c r="E3" s="6"/>
      <c r="F3" s="6"/>
      <c r="G3" s="6"/>
      <c r="H3" s="6"/>
      <c r="I3" s="6"/>
      <c r="J3" s="6"/>
      <c r="K3" s="6"/>
      <c r="L3" s="6"/>
      <c r="M3" s="6"/>
      <c r="N3" s="6"/>
      <c r="O3" s="6"/>
      <c r="P3" s="6"/>
      <c r="Q3" s="6"/>
      <c r="R3" s="6"/>
      <c r="S3" s="6"/>
      <c r="T3" s="6"/>
      <c r="U3" s="6"/>
      <c r="V3" s="6"/>
      <c r="W3" s="6"/>
      <c r="X3" s="6"/>
      <c r="Y3" s="6"/>
      <c r="Z3" s="6"/>
      <c r="AA3" s="6"/>
      <c r="AB3" s="6"/>
      <c r="AC3" s="6"/>
      <c r="AD3" s="47" t="str">
        <f ca="1">MID(CELL("filename"),FIND("[",CELL("filename"))+1,FIND("]",CELL("filename"))-FIND("[",CELL("filename"))-1)</f>
        <v>DAI_MMA Delivery  Test Specification Report.xlsm</v>
      </c>
      <c r="AE3" s="6"/>
      <c r="AF3" s="6"/>
      <c r="AG3" s="6"/>
      <c r="AH3" s="6"/>
      <c r="AI3" s="6"/>
      <c r="AJ3" s="6"/>
      <c r="AK3" s="6"/>
    </row>
    <row r="4" spans="1:37" s="1" customFormat="1" ht="11.15" customHeight="1" x14ac:dyDescent="0.25">
      <c r="A4" s="105" t="s">
        <v>0</v>
      </c>
      <c r="B4" s="106"/>
      <c r="C4" s="106"/>
      <c r="D4" s="106"/>
      <c r="E4" s="106"/>
      <c r="F4" s="106"/>
      <c r="G4" s="106"/>
      <c r="H4" s="106"/>
      <c r="I4" s="106"/>
      <c r="J4" s="106"/>
      <c r="K4" s="106"/>
      <c r="L4" s="106"/>
      <c r="M4" s="106"/>
      <c r="N4" s="106"/>
      <c r="O4" s="106"/>
      <c r="P4" s="106"/>
      <c r="Q4" s="106"/>
      <c r="R4" s="106"/>
      <c r="S4" s="106"/>
      <c r="T4" s="106"/>
      <c r="U4" s="106"/>
      <c r="V4" s="107"/>
      <c r="W4" s="116" t="s">
        <v>1</v>
      </c>
      <c r="X4" s="117"/>
      <c r="Y4" s="117"/>
      <c r="Z4" s="117"/>
      <c r="AA4" s="118"/>
      <c r="AB4" s="105" t="s">
        <v>21</v>
      </c>
      <c r="AC4" s="106"/>
      <c r="AD4" s="106"/>
      <c r="AE4" s="106"/>
      <c r="AF4" s="106"/>
      <c r="AG4" s="107"/>
      <c r="AH4" s="8"/>
      <c r="AI4" s="8"/>
      <c r="AJ4" s="8"/>
      <c r="AK4" s="6"/>
    </row>
    <row r="5" spans="1:37" s="9" customFormat="1" ht="12.75" customHeight="1" x14ac:dyDescent="0.25">
      <c r="A5" s="99" t="s">
        <v>132</v>
      </c>
      <c r="B5" s="100"/>
      <c r="C5" s="100"/>
      <c r="D5" s="100"/>
      <c r="E5" s="100"/>
      <c r="F5" s="100"/>
      <c r="G5" s="100"/>
      <c r="H5" s="100"/>
      <c r="I5" s="100"/>
      <c r="J5" s="100"/>
      <c r="K5" s="100"/>
      <c r="L5" s="100"/>
      <c r="M5" s="100"/>
      <c r="N5" s="100"/>
      <c r="O5" s="100"/>
      <c r="P5" s="100"/>
      <c r="Q5" s="100"/>
      <c r="R5" s="100"/>
      <c r="S5" s="100"/>
      <c r="T5" s="100"/>
      <c r="U5" s="100"/>
      <c r="V5" s="101"/>
      <c r="W5" s="99" t="str">
        <f ca="1" xml:space="preserve"> IFERROR(IF([1]!alvDocProperty("MXCurrent.Localized")="","Template released",[1]!alvDocProperty("MXCurrent.Localized")),"Template released")</f>
        <v>Template released</v>
      </c>
      <c r="X5" s="100"/>
      <c r="Y5" s="100"/>
      <c r="Z5" s="100"/>
      <c r="AA5" s="101"/>
      <c r="AB5" s="99" t="str">
        <f ca="1" xml:space="preserve"> IFERROR(IF([1]!alvDocProperty("MXActual_state_Released")="","TBD",[1]!alvDocProperty("MXActual_state_Released")),"TBD")</f>
        <v>TBD</v>
      </c>
      <c r="AC5" s="100"/>
      <c r="AD5" s="100"/>
      <c r="AE5" s="100"/>
      <c r="AF5" s="100"/>
      <c r="AG5" s="101"/>
    </row>
    <row r="6" spans="1:37" s="36" customFormat="1" ht="11.15" customHeight="1" x14ac:dyDescent="0.25">
      <c r="A6" s="116" t="s">
        <v>2</v>
      </c>
      <c r="B6" s="117"/>
      <c r="C6" s="117"/>
      <c r="D6" s="118"/>
      <c r="E6" s="116" t="s">
        <v>3</v>
      </c>
      <c r="F6" s="117"/>
      <c r="G6" s="117"/>
      <c r="H6" s="117"/>
      <c r="I6" s="117"/>
      <c r="J6" s="117"/>
      <c r="K6" s="117"/>
      <c r="L6" s="117"/>
      <c r="M6" s="117"/>
      <c r="N6" s="117"/>
      <c r="O6" s="117"/>
      <c r="P6" s="117"/>
      <c r="Q6" s="117"/>
      <c r="R6" s="117"/>
      <c r="S6" s="117"/>
      <c r="T6" s="117"/>
      <c r="U6" s="117"/>
      <c r="V6" s="118"/>
      <c r="W6" s="105" t="s">
        <v>16</v>
      </c>
      <c r="X6" s="106"/>
      <c r="Y6" s="106"/>
      <c r="Z6" s="106"/>
      <c r="AA6" s="107"/>
      <c r="AB6" s="116"/>
      <c r="AC6" s="117"/>
      <c r="AD6" s="118"/>
      <c r="AE6" s="116" t="s">
        <v>4</v>
      </c>
      <c r="AF6" s="117"/>
      <c r="AG6" s="118"/>
    </row>
    <row r="7" spans="1:37" s="9" customFormat="1" ht="12.75" customHeight="1" x14ac:dyDescent="0.25">
      <c r="A7" s="99" t="str">
        <f ca="1" xml:space="preserve"> IFERROR(IF([1]!alvDocProperty("MXName")="","TBD",[1]!alvDocProperty("MXName")),"TBD")</f>
        <v>TBD</v>
      </c>
      <c r="B7" s="100"/>
      <c r="C7" s="100"/>
      <c r="D7" s="101"/>
      <c r="E7" s="99" t="s">
        <v>133</v>
      </c>
      <c r="F7" s="100"/>
      <c r="G7" s="100"/>
      <c r="H7" s="100"/>
      <c r="I7" s="100"/>
      <c r="J7" s="100"/>
      <c r="K7" s="100"/>
      <c r="L7" s="100"/>
      <c r="M7" s="100"/>
      <c r="N7" s="100"/>
      <c r="O7" s="100"/>
      <c r="P7" s="100"/>
      <c r="Q7" s="100"/>
      <c r="R7" s="100"/>
      <c r="S7" s="100"/>
      <c r="T7" s="100"/>
      <c r="U7" s="100"/>
      <c r="V7" s="101"/>
      <c r="W7" s="99" t="str">
        <f ca="1" xml:space="preserve"> IFERROR(IF([1]!alvDocProperty("MXDocTemplate_Name")="","SW04TEM001",[1]!alvDocProperty("MXDocTemplate_Name")),"SW04TEM001")</f>
        <v>SW04TEM001</v>
      </c>
      <c r="X7" s="100"/>
      <c r="Y7" s="100"/>
      <c r="Z7" s="100"/>
      <c r="AA7" s="101"/>
      <c r="AB7" s="99" t="str">
        <f ca="1" xml:space="preserve"> IFERROR(IF([1]!alvDocProperty("MXRevision")="","TBD",[1]!alvDocProperty("MXRevision")),"TBD")</f>
        <v>TBD</v>
      </c>
      <c r="AC7" s="100"/>
      <c r="AD7" s="101"/>
      <c r="AE7" s="99" t="str">
        <f ca="1" xml:space="preserve"> IFERROR(IF([1]!alvDocProperty("MXVersion")="","TBD",[1]!alvDocProperty("MXVersion")),"TBD")</f>
        <v>TBD</v>
      </c>
      <c r="AF7" s="100"/>
      <c r="AG7" s="101"/>
    </row>
    <row r="8" spans="1:37" s="9" customFormat="1" ht="13" x14ac:dyDescent="0.25">
      <c r="A8" s="37"/>
      <c r="B8" s="37"/>
      <c r="C8" s="37"/>
      <c r="D8" s="37"/>
      <c r="E8" s="37"/>
      <c r="F8" s="37"/>
      <c r="G8" s="37"/>
      <c r="H8" s="37"/>
      <c r="I8" s="37"/>
      <c r="J8" s="37"/>
      <c r="K8" s="37"/>
      <c r="L8" s="37"/>
      <c r="M8" s="37"/>
      <c r="N8" s="37"/>
      <c r="O8" s="37"/>
      <c r="P8" s="37"/>
      <c r="Q8" s="37"/>
      <c r="R8" s="37"/>
      <c r="S8" s="37"/>
      <c r="T8" s="37"/>
      <c r="U8" s="37"/>
      <c r="V8" s="37"/>
      <c r="W8" s="38"/>
      <c r="X8" s="38"/>
      <c r="Y8" s="38"/>
      <c r="Z8" s="38"/>
      <c r="AA8" s="38"/>
      <c r="AB8" s="37"/>
      <c r="AC8" s="37"/>
      <c r="AD8" s="37"/>
      <c r="AE8" s="37"/>
      <c r="AF8" s="37"/>
      <c r="AG8" s="37"/>
    </row>
    <row r="9" spans="1:37" ht="11.15" customHeight="1" x14ac:dyDescent="0.25">
      <c r="A9" s="110" t="s">
        <v>22</v>
      </c>
      <c r="B9" s="111"/>
      <c r="C9" s="111"/>
      <c r="D9" s="111"/>
      <c r="E9" s="111"/>
      <c r="F9" s="111"/>
      <c r="G9" s="111"/>
      <c r="H9" s="111"/>
      <c r="I9" s="111"/>
      <c r="J9" s="111"/>
      <c r="K9" s="112"/>
      <c r="L9" s="110" t="s">
        <v>23</v>
      </c>
      <c r="M9" s="111"/>
      <c r="N9" s="111"/>
      <c r="O9" s="111"/>
      <c r="P9" s="111"/>
      <c r="Q9" s="111"/>
      <c r="R9" s="111"/>
      <c r="S9" s="111"/>
      <c r="T9" s="111"/>
      <c r="U9" s="111"/>
      <c r="V9" s="112"/>
      <c r="W9" s="110" t="s">
        <v>24</v>
      </c>
      <c r="X9" s="111"/>
      <c r="Y9" s="111"/>
      <c r="Z9" s="111"/>
      <c r="AA9" s="111"/>
      <c r="AB9" s="111"/>
      <c r="AC9" s="111"/>
      <c r="AD9" s="111"/>
      <c r="AE9" s="111"/>
      <c r="AF9" s="111"/>
      <c r="AG9" s="112"/>
      <c r="AH9" s="10"/>
      <c r="AI9" s="10"/>
    </row>
    <row r="10" spans="1:37" s="39" customFormat="1" ht="28.5" customHeight="1" x14ac:dyDescent="0.25">
      <c r="A10" s="108" t="s">
        <v>134</v>
      </c>
      <c r="B10" s="109"/>
      <c r="C10" s="109"/>
      <c r="D10" s="109"/>
      <c r="E10" s="109"/>
      <c r="F10" s="133" t="s">
        <v>135</v>
      </c>
      <c r="G10" s="133"/>
      <c r="H10" s="133"/>
      <c r="I10" s="133"/>
      <c r="J10" s="133"/>
      <c r="K10" s="134"/>
      <c r="L10" s="113" t="s">
        <v>40</v>
      </c>
      <c r="M10" s="114"/>
      <c r="N10" s="114"/>
      <c r="O10" s="114"/>
      <c r="P10" s="114"/>
      <c r="Q10" s="114"/>
      <c r="R10" s="114"/>
      <c r="S10" s="114"/>
      <c r="T10" s="114"/>
      <c r="U10" s="114"/>
      <c r="V10" s="115"/>
      <c r="W10" s="119" t="s">
        <v>40</v>
      </c>
      <c r="X10" s="114"/>
      <c r="Y10" s="114"/>
      <c r="Z10" s="114"/>
      <c r="AA10" s="114"/>
      <c r="AB10" s="114"/>
      <c r="AC10" s="114"/>
      <c r="AD10" s="114"/>
      <c r="AE10" s="114"/>
      <c r="AF10" s="114"/>
      <c r="AG10" s="115"/>
    </row>
    <row r="11" spans="1:37" s="45" customFormat="1" ht="4.5" customHeight="1" x14ac:dyDescent="0.25">
      <c r="A11" s="40"/>
      <c r="B11" s="41"/>
      <c r="C11" s="41"/>
      <c r="D11" s="41"/>
      <c r="E11" s="41"/>
      <c r="F11" s="41"/>
      <c r="G11" s="41"/>
      <c r="H11" s="41"/>
      <c r="I11" s="41"/>
      <c r="J11" s="41"/>
      <c r="K11" s="41"/>
      <c r="L11" s="42"/>
      <c r="M11" s="41"/>
      <c r="N11" s="41"/>
      <c r="O11" s="41"/>
      <c r="P11" s="41"/>
      <c r="Q11" s="41"/>
      <c r="R11" s="41"/>
      <c r="S11" s="41"/>
      <c r="T11" s="41"/>
      <c r="U11" s="41"/>
      <c r="V11" s="41"/>
      <c r="W11" s="42"/>
      <c r="X11" s="41"/>
      <c r="Y11" s="41"/>
      <c r="Z11" s="41"/>
      <c r="AA11" s="41"/>
      <c r="AB11" s="41"/>
      <c r="AC11" s="41"/>
      <c r="AD11" s="41"/>
      <c r="AE11" s="41"/>
      <c r="AF11" s="41"/>
      <c r="AG11" s="43"/>
      <c r="AH11" s="44"/>
      <c r="AI11" s="44"/>
    </row>
    <row r="12" spans="1:37" ht="11.15" customHeight="1" x14ac:dyDescent="0.25">
      <c r="A12" s="102" t="s">
        <v>25</v>
      </c>
      <c r="B12" s="103"/>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104"/>
      <c r="AH12" s="10"/>
      <c r="AI12" s="10"/>
      <c r="AJ12" s="10"/>
      <c r="AK12" s="10"/>
    </row>
    <row r="13" spans="1:37" s="39" customFormat="1" ht="28.5" customHeight="1" x14ac:dyDescent="0.25">
      <c r="A13" s="122" t="s">
        <v>26</v>
      </c>
      <c r="B13" s="123"/>
      <c r="C13" s="123"/>
      <c r="D13" s="123"/>
      <c r="E13" s="123"/>
      <c r="F13" s="123"/>
      <c r="G13" s="123"/>
      <c r="H13" s="123"/>
      <c r="I13" s="123"/>
      <c r="J13" s="123"/>
      <c r="K13" s="124"/>
      <c r="L13" s="119" t="s">
        <v>27</v>
      </c>
      <c r="M13" s="114"/>
      <c r="N13" s="114"/>
      <c r="O13" s="114"/>
      <c r="P13" s="114"/>
      <c r="Q13" s="114"/>
      <c r="R13" s="114"/>
      <c r="S13" s="114"/>
      <c r="T13" s="114"/>
      <c r="U13" s="114"/>
      <c r="V13" s="115"/>
      <c r="W13" s="122" t="s">
        <v>28</v>
      </c>
      <c r="X13" s="123"/>
      <c r="Y13" s="123"/>
      <c r="Z13" s="123"/>
      <c r="AA13" s="123"/>
      <c r="AB13" s="123"/>
      <c r="AC13" s="123"/>
      <c r="AD13" s="123"/>
      <c r="AE13" s="123"/>
      <c r="AF13" s="123"/>
      <c r="AG13" s="124"/>
    </row>
    <row r="14" spans="1:37" s="45" customFormat="1" ht="4.5" customHeight="1" x14ac:dyDescent="0.25">
      <c r="A14" s="42"/>
      <c r="B14" s="41"/>
      <c r="C14" s="41"/>
      <c r="D14" s="41"/>
      <c r="E14" s="41"/>
      <c r="F14" s="41"/>
      <c r="G14" s="41"/>
      <c r="H14" s="41"/>
      <c r="I14" s="41"/>
      <c r="J14" s="41"/>
      <c r="K14" s="41"/>
      <c r="L14" s="42"/>
      <c r="M14" s="41"/>
      <c r="N14" s="41"/>
      <c r="O14" s="41"/>
      <c r="P14" s="41"/>
      <c r="Q14" s="41"/>
      <c r="R14" s="41"/>
      <c r="S14" s="41"/>
      <c r="T14" s="41"/>
      <c r="U14" s="41"/>
      <c r="V14" s="41"/>
      <c r="W14" s="42"/>
      <c r="X14" s="41"/>
      <c r="Y14" s="41"/>
      <c r="Z14" s="41"/>
      <c r="AA14" s="41"/>
      <c r="AB14" s="41"/>
      <c r="AC14" s="41"/>
      <c r="AD14" s="41"/>
      <c r="AE14" s="41"/>
      <c r="AF14" s="41"/>
      <c r="AG14" s="41"/>
      <c r="AH14" s="44"/>
      <c r="AI14" s="44"/>
    </row>
    <row r="15" spans="1:37" s="12" customFormat="1" ht="37.5" customHeight="1" x14ac:dyDescent="0.25">
      <c r="A15" s="128" t="s">
        <v>29</v>
      </c>
      <c r="B15" s="128"/>
      <c r="C15" s="128"/>
      <c r="D15" s="128"/>
      <c r="E15" s="125" t="s">
        <v>136</v>
      </c>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7"/>
    </row>
    <row r="16" spans="1:37" s="12" customFormat="1" ht="37.5" customHeight="1" x14ac:dyDescent="0.25">
      <c r="A16" s="129"/>
      <c r="B16" s="129"/>
      <c r="C16" s="129"/>
      <c r="D16" s="129"/>
      <c r="E16" s="130"/>
      <c r="F16" s="131"/>
      <c r="G16" s="131"/>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c r="AG16" s="132"/>
    </row>
    <row r="17" spans="1:33" s="12" customFormat="1" x14ac:dyDescent="0.25"/>
    <row r="18" spans="1:33" s="12" customFormat="1" x14ac:dyDescent="0.25"/>
    <row r="19" spans="1:33" s="12" customFormat="1" x14ac:dyDescent="0.25"/>
    <row r="20" spans="1:33" s="12" customFormat="1" x14ac:dyDescent="0.25"/>
    <row r="21" spans="1:33" s="12" customFormat="1" ht="15.75" customHeight="1" x14ac:dyDescent="0.25">
      <c r="Q21" s="46"/>
    </row>
    <row r="22" spans="1:33" s="12" customFormat="1" ht="12" customHeight="1" x14ac:dyDescent="0.25">
      <c r="Q22" s="46"/>
    </row>
    <row r="23" spans="1:33" s="12" customFormat="1" ht="60" customHeight="1" x14ac:dyDescent="0.25">
      <c r="A23" s="120" t="str">
        <f>MXTitle</f>
        <v>DAI_MMA Delivery Test Specification Report</v>
      </c>
      <c r="B23" s="121"/>
      <c r="C23" s="121"/>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121"/>
      <c r="AB23" s="121"/>
      <c r="AC23" s="121"/>
      <c r="AD23" s="121"/>
      <c r="AE23" s="121"/>
      <c r="AF23" s="121"/>
      <c r="AG23" s="121"/>
    </row>
    <row r="24" spans="1:33" s="12" customFormat="1" ht="25" x14ac:dyDescent="0.25">
      <c r="Q24" s="46"/>
    </row>
    <row r="25" spans="1:33" s="12" customFormat="1" x14ac:dyDescent="0.25"/>
    <row r="26" spans="1:33" x14ac:dyDescent="0.25"/>
  </sheetData>
  <sheetProtection formatCells="0" formatRows="0" insertColumns="0" insertRows="0" insertHyperlinks="0" deleteRows="0" selectLockedCells="1" sort="0" autoFilter="0" pivotTables="0"/>
  <dataConsolidate/>
  <mergeCells count="31">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s>
  <phoneticPr fontId="3" type="noConversion"/>
  <conditionalFormatting sqref="W5:AA5">
    <cfRule type="cellIs" dxfId="63" priority="1" operator="equal">
      <formula>"In-Work"</formula>
    </cfRule>
    <cfRule type="cellIs" dxfId="62" priority="2" stopIfTrue="1" operator="equal">
      <formula>"draft"</formula>
    </cfRule>
    <cfRule type="cellIs" dxfId="61" priority="3" operator="equal">
      <formula>"In-Work"</formula>
    </cfRule>
    <cfRule type="cellIs" dxfId="60" priority="4" stopIfTrue="1" operator="equal">
      <formula>"draft"</formula>
    </cfRule>
    <cfRule type="cellIs" dxfId="59" priority="5" operator="equal">
      <formula>"In-Work"</formula>
    </cfRule>
    <cfRule type="cellIs" dxfId="58" priority="6" stopIfTrue="1" operator="equal">
      <formula>"draft"</formula>
    </cfRule>
    <cfRule type="cellIs" dxfId="57" priority="7" operator="equal">
      <formula>"In-Work"</formula>
    </cfRule>
    <cfRule type="cellIs" dxfId="56" priority="8" stopIfTrue="1" operator="equal">
      <formula>"draft"</formula>
    </cfRule>
    <cfRule type="cellIs" dxfId="55" priority="9" operator="equal">
      <formula>"In-Work"</formula>
    </cfRule>
    <cfRule type="cellIs" dxfId="54" priority="10" stopIfTrue="1" operator="equal">
      <formula>"draft"</formula>
    </cfRule>
    <cfRule type="cellIs" dxfId="53" priority="11" operator="equal">
      <formula>"In-Work"</formula>
    </cfRule>
    <cfRule type="cellIs" dxfId="52" priority="12" stopIfTrue="1" operator="equal">
      <formula>"draft"</formula>
    </cfRule>
    <cfRule type="cellIs" dxfId="51" priority="13" operator="equal">
      <formula>"In-Work"</formula>
    </cfRule>
    <cfRule type="cellIs" dxfId="50" priority="14" stopIfTrue="1" operator="equal">
      <formula>"draft"</formula>
    </cfRule>
    <cfRule type="cellIs" dxfId="49" priority="15" operator="equal">
      <formula>"In-Work"</formula>
    </cfRule>
    <cfRule type="cellIs" dxfId="48" priority="16" stopIfTrue="1" operator="equal">
      <formula>"draft"</formula>
    </cfRule>
    <cfRule type="cellIs" dxfId="47" priority="17" operator="equal">
      <formula>"In-Work"</formula>
    </cfRule>
    <cfRule type="cellIs" dxfId="46" priority="18" stopIfTrue="1" operator="equal">
      <formula>"draft"</formula>
    </cfRule>
    <cfRule type="cellIs" dxfId="45" priority="19" operator="equal">
      <formula>"In-Work"</formula>
    </cfRule>
    <cfRule type="cellIs" dxfId="44" priority="20" stopIfTrue="1" operator="equal">
      <formula>"draft"</formula>
    </cfRule>
    <cfRule type="cellIs" dxfId="43" priority="21" operator="equal">
      <formula>"In-Work"</formula>
    </cfRule>
    <cfRule type="cellIs" dxfId="42" priority="22" stopIfTrue="1" operator="equal">
      <formula>"draft"</formula>
    </cfRule>
    <cfRule type="cellIs" dxfId="41" priority="23" operator="equal">
      <formula>"In-Work"</formula>
    </cfRule>
    <cfRule type="cellIs" dxfId="40" priority="24" stopIfTrue="1" operator="equal">
      <formula>"draft"</formula>
    </cfRule>
    <cfRule type="cellIs" dxfId="39" priority="25" operator="equal">
      <formula>"In-Work"</formula>
    </cfRule>
    <cfRule type="cellIs" dxfId="38" priority="26" stopIfTrue="1" operator="equal">
      <formula>"draft"</formula>
    </cfRule>
    <cfRule type="cellIs" dxfId="37" priority="27" operator="equal">
      <formula>"In-Work"</formula>
    </cfRule>
    <cfRule type="cellIs" dxfId="36" priority="28" stopIfTrue="1" operator="equal">
      <formula>"draft"</formula>
    </cfRule>
    <cfRule type="cellIs" dxfId="35" priority="29" operator="equal">
      <formula>"In-Work"</formula>
    </cfRule>
    <cfRule type="cellIs" dxfId="34" priority="30" stopIfTrue="1" operator="equal">
      <formula>"draft"</formula>
    </cfRule>
    <cfRule type="cellIs" dxfId="33" priority="31" operator="equal">
      <formula>"In-Work"</formula>
    </cfRule>
    <cfRule type="cellIs" dxfId="32" priority="32" stopIfTrue="1" operator="equal">
      <formula>"draft"</formula>
    </cfRule>
    <cfRule type="cellIs" dxfId="31" priority="33" operator="equal">
      <formula>"In-Work"</formula>
    </cfRule>
    <cfRule type="cellIs" dxfId="30" priority="34" stopIfTrue="1" operator="equal">
      <formula>"draft"</formula>
    </cfRule>
    <cfRule type="cellIs" dxfId="29" priority="35" operator="equal">
      <formula>"In-Work"</formula>
    </cfRule>
    <cfRule type="cellIs" dxfId="28" priority="36" stopIfTrue="1" operator="equal">
      <formula>"draft"</formula>
    </cfRule>
    <cfRule type="cellIs" dxfId="27" priority="37" operator="equal">
      <formula>"In-Work"</formula>
    </cfRule>
    <cfRule type="cellIs" dxfId="26" priority="38" stopIfTrue="1" operator="equal">
      <formula>"draft"</formula>
    </cfRule>
    <cfRule type="cellIs" dxfId="25" priority="39" operator="equal">
      <formula>"In-Work"</formula>
    </cfRule>
    <cfRule type="cellIs" dxfId="24" priority="40"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ignoredErrors>
    <ignoredError sqref="A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3"/>
  <sheetViews>
    <sheetView showGridLines="0" topLeftCell="A37" zoomScaleNormal="100" workbookViewId="0"/>
  </sheetViews>
  <sheetFormatPr defaultColWidth="0" defaultRowHeight="12.5" zeroHeight="1" x14ac:dyDescent="0.25"/>
  <cols>
    <col min="1" max="33" width="2.6328125" style="11" customWidth="1"/>
    <col min="34" max="34" width="1.36328125" style="11" customWidth="1"/>
    <col min="35" max="60" width="3.36328125" style="11" hidden="1" customWidth="1"/>
    <col min="61" max="16384" width="0" style="11"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1" customFormat="1" x14ac:dyDescent="0.25">
      <c r="C3" s="6"/>
      <c r="D3" s="6"/>
      <c r="E3" s="6"/>
      <c r="F3" s="6"/>
      <c r="G3" s="6"/>
      <c r="H3" s="6"/>
      <c r="I3" s="6"/>
      <c r="J3" s="6"/>
      <c r="K3" s="6"/>
      <c r="L3" s="6"/>
      <c r="M3" s="6"/>
      <c r="N3" s="6"/>
      <c r="O3" s="6"/>
      <c r="P3" s="6"/>
      <c r="Q3" s="6"/>
      <c r="R3" s="6"/>
      <c r="S3" s="6"/>
      <c r="T3" s="6"/>
      <c r="U3" s="6"/>
      <c r="V3" s="6"/>
      <c r="W3" s="6"/>
      <c r="X3" s="6"/>
      <c r="Y3" s="6"/>
      <c r="Z3" s="6"/>
      <c r="AA3" s="6"/>
      <c r="AB3" s="6"/>
      <c r="AC3" s="6"/>
      <c r="AD3" s="7" t="str">
        <f ca="1">FileName</f>
        <v>DAI_MMA Delivery  Test Specification Report.xlsm</v>
      </c>
      <c r="AE3" s="6"/>
      <c r="AF3" s="6"/>
      <c r="AG3" s="6"/>
      <c r="AH3" s="6"/>
      <c r="AI3" s="6"/>
      <c r="AJ3" s="6"/>
      <c r="AK3" s="6"/>
    </row>
    <row r="4" spans="1:37" s="1" customFormat="1" ht="11.15" customHeight="1" x14ac:dyDescent="0.25">
      <c r="A4" s="105" t="s">
        <v>0</v>
      </c>
      <c r="B4" s="106"/>
      <c r="C4" s="106"/>
      <c r="D4" s="106"/>
      <c r="E4" s="106"/>
      <c r="F4" s="106"/>
      <c r="G4" s="106"/>
      <c r="H4" s="106"/>
      <c r="I4" s="106"/>
      <c r="J4" s="106"/>
      <c r="K4" s="106"/>
      <c r="L4" s="106"/>
      <c r="M4" s="106"/>
      <c r="N4" s="106"/>
      <c r="O4" s="106"/>
      <c r="P4" s="106"/>
      <c r="Q4" s="106"/>
      <c r="R4" s="106"/>
      <c r="S4" s="106"/>
      <c r="T4" s="106"/>
      <c r="U4" s="106"/>
      <c r="V4" s="107"/>
      <c r="W4" s="138" t="s">
        <v>1</v>
      </c>
      <c r="X4" s="139"/>
      <c r="Y4" s="139"/>
      <c r="Z4" s="139"/>
      <c r="AA4" s="140"/>
      <c r="AB4" s="105" t="s">
        <v>21</v>
      </c>
      <c r="AC4" s="106"/>
      <c r="AD4" s="106"/>
      <c r="AE4" s="106"/>
      <c r="AF4" s="106"/>
      <c r="AG4" s="107"/>
      <c r="AH4" s="8"/>
      <c r="AI4" s="8"/>
      <c r="AJ4" s="8"/>
      <c r="AK4" s="6"/>
    </row>
    <row r="5" spans="1:37" s="9" customFormat="1" ht="13" x14ac:dyDescent="0.25">
      <c r="A5" s="99" t="str">
        <f>MXAuthority</f>
        <v>254888 MERCEDES BENZ AG MER W174W178 EL SB</v>
      </c>
      <c r="B5" s="100"/>
      <c r="C5" s="100"/>
      <c r="D5" s="100"/>
      <c r="E5" s="100"/>
      <c r="F5" s="100"/>
      <c r="G5" s="100"/>
      <c r="H5" s="100"/>
      <c r="I5" s="100"/>
      <c r="J5" s="100"/>
      <c r="K5" s="100"/>
      <c r="L5" s="100"/>
      <c r="M5" s="100"/>
      <c r="N5" s="100"/>
      <c r="O5" s="100"/>
      <c r="P5" s="100"/>
      <c r="Q5" s="100"/>
      <c r="R5" s="100"/>
      <c r="S5" s="100"/>
      <c r="T5" s="100"/>
      <c r="U5" s="100"/>
      <c r="V5" s="101"/>
      <c r="W5" s="135" t="str">
        <f ca="1">MXCurrent.Localized</f>
        <v>Template released</v>
      </c>
      <c r="X5" s="136"/>
      <c r="Y5" s="136"/>
      <c r="Z5" s="136"/>
      <c r="AA5" s="137"/>
      <c r="AB5" s="99" t="str">
        <f ca="1">MXActual_state_Released</f>
        <v>TBD</v>
      </c>
      <c r="AC5" s="100"/>
      <c r="AD5" s="100"/>
      <c r="AE5" s="100"/>
      <c r="AF5" s="100"/>
      <c r="AG5" s="101"/>
    </row>
    <row r="6" spans="1:37" s="1" customFormat="1" ht="11.15" customHeight="1" x14ac:dyDescent="0.25">
      <c r="A6" s="141" t="s">
        <v>2</v>
      </c>
      <c r="B6" s="142"/>
      <c r="C6" s="142"/>
      <c r="D6" s="143"/>
      <c r="E6" s="141" t="s">
        <v>3</v>
      </c>
      <c r="F6" s="142"/>
      <c r="G6" s="142"/>
      <c r="H6" s="142"/>
      <c r="I6" s="142"/>
      <c r="J6" s="142"/>
      <c r="K6" s="142"/>
      <c r="L6" s="142"/>
      <c r="M6" s="142"/>
      <c r="N6" s="142"/>
      <c r="O6" s="142"/>
      <c r="P6" s="142"/>
      <c r="Q6" s="142"/>
      <c r="R6" s="142"/>
      <c r="S6" s="142"/>
      <c r="T6" s="142"/>
      <c r="U6" s="142"/>
      <c r="V6" s="143"/>
      <c r="W6" s="105" t="s">
        <v>16</v>
      </c>
      <c r="X6" s="106"/>
      <c r="Y6" s="106"/>
      <c r="Z6" s="106"/>
      <c r="AA6" s="107"/>
      <c r="AB6" s="138"/>
      <c r="AC6" s="139"/>
      <c r="AD6" s="140"/>
      <c r="AE6" s="138" t="s">
        <v>4</v>
      </c>
      <c r="AF6" s="139"/>
      <c r="AG6" s="140"/>
      <c r="AH6" s="6"/>
      <c r="AI6" s="6"/>
      <c r="AJ6" s="6"/>
      <c r="AK6" s="6"/>
    </row>
    <row r="7" spans="1:37" s="9" customFormat="1" ht="13" x14ac:dyDescent="0.25">
      <c r="A7" s="135" t="str">
        <f ca="1">MXName</f>
        <v>TBD</v>
      </c>
      <c r="B7" s="136"/>
      <c r="C7" s="136"/>
      <c r="D7" s="137"/>
      <c r="E7" s="135" t="str">
        <f>MXTitle</f>
        <v>DAI_MMA Delivery Test Specification Report</v>
      </c>
      <c r="F7" s="136"/>
      <c r="G7" s="136"/>
      <c r="H7" s="136"/>
      <c r="I7" s="136"/>
      <c r="J7" s="136"/>
      <c r="K7" s="136"/>
      <c r="L7" s="136"/>
      <c r="M7" s="136"/>
      <c r="N7" s="136"/>
      <c r="O7" s="136"/>
      <c r="P7" s="136"/>
      <c r="Q7" s="136"/>
      <c r="R7" s="136"/>
      <c r="S7" s="136"/>
      <c r="T7" s="136"/>
      <c r="U7" s="136"/>
      <c r="V7" s="137"/>
      <c r="W7" s="135" t="str">
        <f ca="1">TemplateRef</f>
        <v>SW04TEM001</v>
      </c>
      <c r="X7" s="136"/>
      <c r="Y7" s="136"/>
      <c r="Z7" s="136"/>
      <c r="AA7" s="137"/>
      <c r="AB7" s="135"/>
      <c r="AC7" s="136"/>
      <c r="AD7" s="137"/>
      <c r="AE7" s="135" t="str">
        <f ca="1">MXVersion</f>
        <v>TBD</v>
      </c>
      <c r="AF7" s="136"/>
      <c r="AG7" s="137"/>
    </row>
    <row r="8" spans="1:37" ht="11.15" customHeight="1" x14ac:dyDescent="0.25">
      <c r="A8" s="141" t="s">
        <v>10</v>
      </c>
      <c r="B8" s="142"/>
      <c r="C8" s="142"/>
      <c r="D8" s="142"/>
      <c r="E8" s="142"/>
      <c r="F8" s="142"/>
      <c r="G8" s="142"/>
      <c r="H8" s="142"/>
      <c r="I8" s="142"/>
      <c r="J8" s="142"/>
      <c r="K8" s="142"/>
      <c r="L8" s="142"/>
      <c r="M8" s="142"/>
      <c r="N8" s="142"/>
      <c r="O8" s="142"/>
      <c r="P8" s="142"/>
      <c r="Q8" s="142"/>
      <c r="R8" s="142"/>
      <c r="S8" s="142"/>
      <c r="T8" s="142"/>
      <c r="U8" s="142"/>
      <c r="V8" s="142"/>
      <c r="W8" s="142"/>
      <c r="X8" s="142"/>
      <c r="Y8" s="142"/>
      <c r="Z8" s="142"/>
      <c r="AA8" s="142"/>
      <c r="AB8" s="142"/>
      <c r="AC8" s="142"/>
      <c r="AD8" s="142"/>
      <c r="AE8" s="142"/>
      <c r="AF8" s="142"/>
      <c r="AG8" s="143"/>
      <c r="AH8" s="10"/>
      <c r="AI8" s="10"/>
      <c r="AJ8" s="10"/>
      <c r="AK8" s="10"/>
    </row>
    <row r="9" spans="1:37" s="12" customFormat="1" ht="13" x14ac:dyDescent="0.25">
      <c r="A9" s="163" t="s">
        <v>14</v>
      </c>
      <c r="B9" s="164"/>
      <c r="C9" s="164"/>
      <c r="D9" s="164"/>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164"/>
      <c r="AG9" s="165"/>
    </row>
    <row r="10" spans="1:37" x14ac:dyDescent="0.25"/>
    <row r="11" spans="1:37" x14ac:dyDescent="0.25"/>
    <row r="12" spans="1:37" ht="25" x14ac:dyDescent="0.25">
      <c r="B12" s="13" t="s">
        <v>17</v>
      </c>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row>
    <row r="13" spans="1:37" x14ac:dyDescent="0.25"/>
    <row r="14" spans="1:37" ht="20" x14ac:dyDescent="0.25">
      <c r="B14" s="15" t="s">
        <v>18</v>
      </c>
      <c r="C14" s="16"/>
    </row>
    <row r="15" spans="1:37" ht="13" x14ac:dyDescent="0.25">
      <c r="B15" s="152" t="s">
        <v>6</v>
      </c>
      <c r="C15" s="166"/>
      <c r="D15" s="166"/>
      <c r="E15" s="166"/>
      <c r="F15" s="166"/>
      <c r="G15" s="152" t="s">
        <v>5</v>
      </c>
      <c r="H15" s="152"/>
      <c r="I15" s="152"/>
      <c r="J15" s="152"/>
      <c r="K15" s="152"/>
      <c r="L15" s="152"/>
      <c r="M15" s="152"/>
      <c r="N15" s="152"/>
      <c r="O15" s="152"/>
      <c r="P15" s="152"/>
      <c r="Q15" s="152"/>
      <c r="R15" s="152"/>
      <c r="S15" s="152"/>
      <c r="T15" s="152"/>
      <c r="U15" s="152"/>
      <c r="V15" s="152"/>
      <c r="W15" s="152"/>
      <c r="X15" s="152"/>
      <c r="Y15" s="152"/>
      <c r="Z15" s="152"/>
      <c r="AA15" s="152"/>
      <c r="AB15" s="152"/>
      <c r="AC15" s="152"/>
      <c r="AD15" s="152"/>
      <c r="AE15" s="152"/>
      <c r="AF15" s="152"/>
    </row>
    <row r="16" spans="1:37" ht="24" customHeight="1" x14ac:dyDescent="0.25">
      <c r="B16" s="157" t="s">
        <v>37</v>
      </c>
      <c r="C16" s="157"/>
      <c r="D16" s="157"/>
      <c r="E16" s="157"/>
      <c r="F16" s="157"/>
      <c r="G16" s="153" t="s">
        <v>39</v>
      </c>
      <c r="H16" s="153"/>
      <c r="I16" s="153"/>
      <c r="J16" s="153"/>
      <c r="K16" s="153"/>
      <c r="L16" s="153"/>
      <c r="M16" s="153"/>
      <c r="N16" s="153"/>
      <c r="O16" s="153"/>
      <c r="P16" s="153"/>
      <c r="Q16" s="153"/>
      <c r="R16" s="153"/>
      <c r="S16" s="153"/>
      <c r="T16" s="153"/>
      <c r="U16" s="153"/>
      <c r="V16" s="153"/>
      <c r="W16" s="153"/>
      <c r="X16" s="153"/>
      <c r="Y16" s="153"/>
      <c r="Z16" s="153"/>
      <c r="AA16" s="153"/>
      <c r="AB16" s="153"/>
      <c r="AC16" s="153"/>
      <c r="AD16" s="153"/>
      <c r="AE16" s="153"/>
      <c r="AF16" s="153"/>
    </row>
    <row r="17" spans="1:45" ht="24" customHeight="1" x14ac:dyDescent="0.25">
      <c r="B17" s="157" t="s">
        <v>38</v>
      </c>
      <c r="C17" s="157"/>
      <c r="D17" s="157"/>
      <c r="E17" s="157"/>
      <c r="F17" s="157"/>
      <c r="G17" s="161" t="s">
        <v>124</v>
      </c>
      <c r="H17" s="153"/>
      <c r="I17" s="153"/>
      <c r="J17" s="153"/>
      <c r="K17" s="153"/>
      <c r="L17" s="153"/>
      <c r="M17" s="153"/>
      <c r="N17" s="153"/>
      <c r="O17" s="153"/>
      <c r="P17" s="153"/>
      <c r="Q17" s="153"/>
      <c r="R17" s="153"/>
      <c r="S17" s="153"/>
      <c r="T17" s="153"/>
      <c r="U17" s="153"/>
      <c r="V17" s="153"/>
      <c r="W17" s="153"/>
      <c r="X17" s="153"/>
      <c r="Y17" s="153"/>
      <c r="Z17" s="153"/>
      <c r="AA17" s="153"/>
      <c r="AB17" s="153"/>
      <c r="AC17" s="153"/>
      <c r="AD17" s="153"/>
      <c r="AE17" s="153"/>
      <c r="AF17" s="153"/>
    </row>
    <row r="18" spans="1:45" ht="24" customHeight="1" x14ac:dyDescent="0.25">
      <c r="B18" s="162" t="s">
        <v>119</v>
      </c>
      <c r="C18" s="157"/>
      <c r="D18" s="157"/>
      <c r="E18" s="157"/>
      <c r="F18" s="157"/>
      <c r="G18" s="161" t="s">
        <v>131</v>
      </c>
      <c r="H18" s="153"/>
      <c r="I18" s="153"/>
      <c r="J18" s="153"/>
      <c r="K18" s="153"/>
      <c r="L18" s="153"/>
      <c r="M18" s="153"/>
      <c r="N18" s="153"/>
      <c r="O18" s="153"/>
      <c r="P18" s="153"/>
      <c r="Q18" s="153"/>
      <c r="R18" s="153"/>
      <c r="S18" s="153"/>
      <c r="T18" s="153"/>
      <c r="U18" s="153"/>
      <c r="V18" s="153"/>
      <c r="W18" s="153"/>
      <c r="X18" s="153"/>
      <c r="Y18" s="153"/>
      <c r="Z18" s="153"/>
      <c r="AA18" s="153"/>
      <c r="AB18" s="153"/>
      <c r="AC18" s="153"/>
      <c r="AD18" s="153"/>
      <c r="AE18" s="153"/>
      <c r="AF18" s="153"/>
    </row>
    <row r="19" spans="1:45" ht="24" customHeight="1" x14ac:dyDescent="0.25">
      <c r="B19" s="162" t="s">
        <v>120</v>
      </c>
      <c r="C19" s="157"/>
      <c r="D19" s="157"/>
      <c r="E19" s="157"/>
      <c r="F19" s="157"/>
      <c r="G19" s="161" t="s">
        <v>126</v>
      </c>
      <c r="H19" s="153"/>
      <c r="I19" s="153"/>
      <c r="J19" s="153"/>
      <c r="K19" s="153"/>
      <c r="L19" s="153"/>
      <c r="M19" s="153"/>
      <c r="N19" s="153"/>
      <c r="O19" s="153"/>
      <c r="P19" s="153"/>
      <c r="Q19" s="153"/>
      <c r="R19" s="153"/>
      <c r="S19" s="153"/>
      <c r="T19" s="153"/>
      <c r="U19" s="153"/>
      <c r="V19" s="153"/>
      <c r="W19" s="153"/>
      <c r="X19" s="153"/>
      <c r="Y19" s="153"/>
      <c r="Z19" s="153"/>
      <c r="AA19" s="153"/>
      <c r="AB19" s="153"/>
      <c r="AC19" s="153"/>
      <c r="AD19" s="153"/>
      <c r="AE19" s="153"/>
      <c r="AF19" s="153"/>
      <c r="AS19" s="17"/>
    </row>
    <row r="20" spans="1:45" ht="24" customHeight="1" x14ac:dyDescent="0.25">
      <c r="B20" s="162" t="s">
        <v>49</v>
      </c>
      <c r="C20" s="157"/>
      <c r="D20" s="157"/>
      <c r="E20" s="157"/>
      <c r="F20" s="157"/>
      <c r="G20" s="161" t="s">
        <v>127</v>
      </c>
      <c r="H20" s="153"/>
      <c r="I20" s="153"/>
      <c r="J20" s="153"/>
      <c r="K20" s="153"/>
      <c r="L20" s="153"/>
      <c r="M20" s="153"/>
      <c r="N20" s="153"/>
      <c r="O20" s="153"/>
      <c r="P20" s="153"/>
      <c r="Q20" s="153"/>
      <c r="R20" s="153"/>
      <c r="S20" s="153"/>
      <c r="T20" s="153"/>
      <c r="U20" s="153"/>
      <c r="V20" s="153"/>
      <c r="W20" s="153"/>
      <c r="X20" s="153"/>
      <c r="Y20" s="153"/>
      <c r="Z20" s="153"/>
      <c r="AA20" s="153"/>
      <c r="AB20" s="153"/>
      <c r="AC20" s="153"/>
      <c r="AD20" s="153"/>
      <c r="AE20" s="153"/>
      <c r="AF20" s="153"/>
      <c r="AS20" s="17"/>
    </row>
    <row r="21" spans="1:45" ht="24" customHeight="1" x14ac:dyDescent="0.25">
      <c r="B21" s="162" t="s">
        <v>121</v>
      </c>
      <c r="C21" s="157"/>
      <c r="D21" s="157"/>
      <c r="E21" s="157"/>
      <c r="F21" s="157"/>
      <c r="G21" s="161" t="s">
        <v>125</v>
      </c>
      <c r="H21" s="153"/>
      <c r="I21" s="153"/>
      <c r="J21" s="153"/>
      <c r="K21" s="153"/>
      <c r="L21" s="153"/>
      <c r="M21" s="153"/>
      <c r="N21" s="153"/>
      <c r="O21" s="153"/>
      <c r="P21" s="153"/>
      <c r="Q21" s="153"/>
      <c r="R21" s="153"/>
      <c r="S21" s="153"/>
      <c r="T21" s="153"/>
      <c r="U21" s="153"/>
      <c r="V21" s="153"/>
      <c r="W21" s="153"/>
      <c r="X21" s="153"/>
      <c r="Y21" s="153"/>
      <c r="Z21" s="153"/>
      <c r="AA21" s="153"/>
      <c r="AB21" s="153"/>
      <c r="AC21" s="153"/>
      <c r="AD21" s="153"/>
      <c r="AE21" s="153"/>
      <c r="AF21" s="153"/>
      <c r="AS21" s="17"/>
    </row>
    <row r="22" spans="1:45" ht="13" x14ac:dyDescent="0.25">
      <c r="C22" s="18"/>
      <c r="I22" s="19"/>
    </row>
    <row r="23" spans="1:45" ht="20" x14ac:dyDescent="0.25">
      <c r="A23" s="15"/>
      <c r="B23" s="15" t="s">
        <v>31</v>
      </c>
      <c r="C23" s="18"/>
      <c r="I23" s="19"/>
    </row>
    <row r="24" spans="1:45" ht="13" x14ac:dyDescent="0.25">
      <c r="B24" s="152" t="s">
        <v>4</v>
      </c>
      <c r="C24" s="156"/>
      <c r="D24" s="156"/>
      <c r="E24" s="152" t="s">
        <v>11</v>
      </c>
      <c r="F24" s="152"/>
      <c r="G24" s="152"/>
      <c r="H24" s="152"/>
      <c r="I24" s="152" t="s">
        <v>12</v>
      </c>
      <c r="J24" s="156"/>
      <c r="K24" s="156"/>
      <c r="L24" s="156"/>
      <c r="M24" s="156"/>
      <c r="N24" s="156"/>
      <c r="O24" s="156"/>
      <c r="P24" s="156"/>
      <c r="Q24" s="156"/>
      <c r="R24" s="152" t="s">
        <v>13</v>
      </c>
      <c r="S24" s="152"/>
      <c r="T24" s="152"/>
      <c r="U24" s="152"/>
      <c r="V24" s="152"/>
      <c r="W24" s="152"/>
      <c r="X24" s="152"/>
      <c r="Y24" s="152"/>
      <c r="Z24" s="152"/>
      <c r="AA24" s="152"/>
      <c r="AB24" s="152"/>
      <c r="AC24" s="152"/>
      <c r="AD24" s="152"/>
      <c r="AE24" s="152"/>
      <c r="AF24" s="152"/>
    </row>
    <row r="25" spans="1:45" x14ac:dyDescent="0.25">
      <c r="B25" s="157"/>
      <c r="C25" s="158"/>
      <c r="D25" s="158"/>
      <c r="E25" s="153"/>
      <c r="F25" s="153"/>
      <c r="G25" s="153"/>
      <c r="H25" s="153"/>
      <c r="I25" s="153" t="s">
        <v>15</v>
      </c>
      <c r="J25" s="159"/>
      <c r="K25" s="159"/>
      <c r="L25" s="159"/>
      <c r="M25" s="159"/>
      <c r="N25" s="159"/>
      <c r="O25" s="159"/>
      <c r="P25" s="159"/>
      <c r="Q25" s="159"/>
      <c r="R25" s="153"/>
      <c r="S25" s="153"/>
      <c r="T25" s="153"/>
      <c r="U25" s="153"/>
      <c r="V25" s="153"/>
      <c r="W25" s="153"/>
      <c r="X25" s="153"/>
      <c r="Y25" s="153"/>
      <c r="Z25" s="153"/>
      <c r="AA25" s="153"/>
      <c r="AB25" s="153"/>
      <c r="AC25" s="153"/>
      <c r="AD25" s="153"/>
      <c r="AE25" s="153"/>
      <c r="AF25" s="153"/>
    </row>
    <row r="26" spans="1:45" x14ac:dyDescent="0.25">
      <c r="B26" s="157"/>
      <c r="C26" s="158"/>
      <c r="D26" s="158"/>
      <c r="E26" s="153"/>
      <c r="F26" s="153"/>
      <c r="G26" s="153"/>
      <c r="H26" s="153"/>
      <c r="I26" s="153"/>
      <c r="J26" s="159"/>
      <c r="K26" s="159"/>
      <c r="L26" s="159"/>
      <c r="M26" s="159"/>
      <c r="N26" s="159"/>
      <c r="O26" s="159"/>
      <c r="P26" s="159"/>
      <c r="Q26" s="159"/>
      <c r="R26" s="153"/>
      <c r="S26" s="153"/>
      <c r="T26" s="153"/>
      <c r="U26" s="153"/>
      <c r="V26" s="153"/>
      <c r="W26" s="153"/>
      <c r="X26" s="153"/>
      <c r="Y26" s="153"/>
      <c r="Z26" s="153"/>
      <c r="AA26" s="153"/>
      <c r="AB26" s="153"/>
      <c r="AC26" s="153"/>
      <c r="AD26" s="153"/>
      <c r="AE26" s="153"/>
      <c r="AF26" s="153"/>
    </row>
    <row r="27" spans="1:45" x14ac:dyDescent="0.25">
      <c r="B27" s="157"/>
      <c r="C27" s="158"/>
      <c r="D27" s="158"/>
      <c r="E27" s="153"/>
      <c r="F27" s="153"/>
      <c r="G27" s="153"/>
      <c r="H27" s="153"/>
      <c r="I27" s="153"/>
      <c r="J27" s="159"/>
      <c r="K27" s="159"/>
      <c r="L27" s="159"/>
      <c r="M27" s="159"/>
      <c r="N27" s="159"/>
      <c r="O27" s="159"/>
      <c r="P27" s="159"/>
      <c r="Q27" s="159"/>
      <c r="R27" s="153"/>
      <c r="S27" s="153"/>
      <c r="T27" s="153"/>
      <c r="U27" s="153"/>
      <c r="V27" s="153"/>
      <c r="W27" s="153"/>
      <c r="X27" s="153"/>
      <c r="Y27" s="153"/>
      <c r="Z27" s="153"/>
      <c r="AA27" s="153"/>
      <c r="AB27" s="153"/>
      <c r="AC27" s="153"/>
      <c r="AD27" s="153"/>
      <c r="AE27" s="153"/>
      <c r="AF27" s="153"/>
    </row>
    <row r="28" spans="1:45" x14ac:dyDescent="0.25">
      <c r="B28" s="157"/>
      <c r="C28" s="158"/>
      <c r="D28" s="158"/>
      <c r="E28" s="153"/>
      <c r="F28" s="153"/>
      <c r="G28" s="153"/>
      <c r="H28" s="153"/>
      <c r="I28" s="153"/>
      <c r="J28" s="159"/>
      <c r="K28" s="159"/>
      <c r="L28" s="159"/>
      <c r="M28" s="159"/>
      <c r="N28" s="159"/>
      <c r="O28" s="159"/>
      <c r="P28" s="159"/>
      <c r="Q28" s="159"/>
      <c r="R28" s="153"/>
      <c r="S28" s="153"/>
      <c r="T28" s="153"/>
      <c r="U28" s="153"/>
      <c r="V28" s="153"/>
      <c r="W28" s="153"/>
      <c r="X28" s="153"/>
      <c r="Y28" s="153"/>
      <c r="Z28" s="153"/>
      <c r="AA28" s="153"/>
      <c r="AB28" s="153"/>
      <c r="AC28" s="153"/>
      <c r="AD28" s="153"/>
      <c r="AE28" s="153"/>
      <c r="AF28" s="153"/>
    </row>
    <row r="29" spans="1:45" x14ac:dyDescent="0.25">
      <c r="B29" s="20" t="s">
        <v>30</v>
      </c>
      <c r="C29" s="21"/>
      <c r="D29" s="21"/>
      <c r="E29" s="22"/>
      <c r="F29" s="22"/>
      <c r="G29" s="22"/>
      <c r="H29" s="22"/>
      <c r="I29" s="22"/>
      <c r="J29" s="23"/>
      <c r="K29" s="23"/>
      <c r="L29" s="23"/>
      <c r="M29" s="23"/>
      <c r="N29" s="23"/>
      <c r="O29" s="23"/>
      <c r="P29" s="23"/>
      <c r="Q29" s="23"/>
      <c r="R29" s="22"/>
      <c r="S29" s="22"/>
      <c r="T29" s="22"/>
      <c r="U29" s="22"/>
      <c r="V29" s="22"/>
      <c r="W29" s="22"/>
      <c r="X29" s="22"/>
      <c r="Y29" s="22"/>
      <c r="Z29" s="22"/>
      <c r="AA29" s="22"/>
      <c r="AB29" s="22"/>
      <c r="AC29" s="22"/>
      <c r="AD29" s="22"/>
      <c r="AE29" s="22"/>
      <c r="AF29" s="22"/>
    </row>
    <row r="30" spans="1:45" ht="13" x14ac:dyDescent="0.25">
      <c r="C30" s="18"/>
      <c r="I30" s="19"/>
    </row>
    <row r="31" spans="1:45" ht="20" x14ac:dyDescent="0.25">
      <c r="B31" s="15" t="s">
        <v>19</v>
      </c>
      <c r="I31" s="19"/>
    </row>
    <row r="32" spans="1:45" ht="66.75" customHeight="1" x14ac:dyDescent="0.25">
      <c r="B32" s="160" t="s">
        <v>130</v>
      </c>
      <c r="C32" s="160"/>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160"/>
      <c r="AB32" s="160"/>
      <c r="AC32" s="160"/>
      <c r="AD32" s="160"/>
      <c r="AE32" s="160"/>
      <c r="AF32" s="160"/>
      <c r="AG32" s="24"/>
    </row>
    <row r="33" spans="2:32" x14ac:dyDescent="0.25">
      <c r="J33" s="25"/>
    </row>
    <row r="34" spans="2:32" ht="20" x14ac:dyDescent="0.25">
      <c r="B34" s="15" t="s">
        <v>20</v>
      </c>
      <c r="C34" s="16"/>
      <c r="I34" s="19"/>
    </row>
    <row r="35" spans="2:32" ht="24.75" customHeight="1" x14ac:dyDescent="0.25">
      <c r="B35" s="26" t="s">
        <v>32</v>
      </c>
      <c r="C35" s="16"/>
      <c r="I35" s="19"/>
    </row>
    <row r="36" spans="2:32" ht="12.75" customHeight="1" x14ac:dyDescent="0.25">
      <c r="B36" s="152" t="s">
        <v>7</v>
      </c>
      <c r="C36" s="152"/>
      <c r="D36" s="152"/>
      <c r="E36" s="152" t="s">
        <v>8</v>
      </c>
      <c r="F36" s="156"/>
      <c r="G36" s="156"/>
      <c r="H36" s="156"/>
      <c r="I36" s="156"/>
      <c r="J36" s="156"/>
      <c r="K36" s="156"/>
      <c r="L36" s="156"/>
      <c r="M36" s="156"/>
      <c r="N36" s="156"/>
      <c r="O36" s="156"/>
      <c r="P36" s="156"/>
      <c r="Q36" s="156"/>
      <c r="R36" s="156"/>
      <c r="S36" s="156"/>
      <c r="T36" s="156"/>
      <c r="U36" s="156"/>
      <c r="V36" s="156"/>
      <c r="W36" s="156"/>
      <c r="X36" s="156"/>
      <c r="Y36" s="152" t="s">
        <v>9</v>
      </c>
      <c r="Z36" s="152"/>
      <c r="AA36" s="152"/>
      <c r="AB36" s="152"/>
      <c r="AC36" s="152"/>
      <c r="AD36" s="152"/>
      <c r="AE36" s="152"/>
      <c r="AF36" s="152"/>
    </row>
    <row r="37" spans="2:32" x14ac:dyDescent="0.25">
      <c r="B37" s="155"/>
      <c r="C37" s="155"/>
      <c r="D37" s="155"/>
      <c r="E37" s="153"/>
      <c r="F37" s="154"/>
      <c r="G37" s="154"/>
      <c r="H37" s="154"/>
      <c r="I37" s="154"/>
      <c r="J37" s="154"/>
      <c r="K37" s="154"/>
      <c r="L37" s="154"/>
      <c r="M37" s="154"/>
      <c r="N37" s="154"/>
      <c r="O37" s="154"/>
      <c r="P37" s="154"/>
      <c r="Q37" s="154"/>
      <c r="R37" s="154"/>
      <c r="S37" s="154"/>
      <c r="T37" s="154"/>
      <c r="U37" s="154"/>
      <c r="V37" s="154"/>
      <c r="W37" s="154"/>
      <c r="X37" s="154"/>
      <c r="Y37" s="153"/>
      <c r="Z37" s="154"/>
      <c r="AA37" s="154"/>
      <c r="AB37" s="154"/>
      <c r="AC37" s="154"/>
      <c r="AD37" s="154"/>
      <c r="AE37" s="154"/>
      <c r="AF37" s="154"/>
    </row>
    <row r="38" spans="2:32" x14ac:dyDescent="0.25">
      <c r="B38" s="155"/>
      <c r="C38" s="155"/>
      <c r="D38" s="155"/>
      <c r="E38" s="153"/>
      <c r="F38" s="154"/>
      <c r="G38" s="154"/>
      <c r="H38" s="154"/>
      <c r="I38" s="154"/>
      <c r="J38" s="154"/>
      <c r="K38" s="154"/>
      <c r="L38" s="154"/>
      <c r="M38" s="154"/>
      <c r="N38" s="154"/>
      <c r="O38" s="154"/>
      <c r="P38" s="154"/>
      <c r="Q38" s="154"/>
      <c r="R38" s="154"/>
      <c r="S38" s="154"/>
      <c r="T38" s="154"/>
      <c r="U38" s="154"/>
      <c r="V38" s="154"/>
      <c r="W38" s="154"/>
      <c r="X38" s="154"/>
      <c r="Y38" s="153"/>
      <c r="Z38" s="154"/>
      <c r="AA38" s="154"/>
      <c r="AB38" s="154"/>
      <c r="AC38" s="154"/>
      <c r="AD38" s="154"/>
      <c r="AE38" s="154"/>
      <c r="AF38" s="154"/>
    </row>
    <row r="39" spans="2:32" x14ac:dyDescent="0.25">
      <c r="B39" s="155"/>
      <c r="C39" s="155"/>
      <c r="D39" s="155"/>
      <c r="E39" s="153"/>
      <c r="F39" s="154"/>
      <c r="G39" s="154"/>
      <c r="H39" s="154"/>
      <c r="I39" s="154"/>
      <c r="J39" s="154"/>
      <c r="K39" s="154"/>
      <c r="L39" s="154"/>
      <c r="M39" s="154"/>
      <c r="N39" s="154"/>
      <c r="O39" s="154"/>
      <c r="P39" s="154"/>
      <c r="Q39" s="154"/>
      <c r="R39" s="154"/>
      <c r="S39" s="154"/>
      <c r="T39" s="154"/>
      <c r="U39" s="154"/>
      <c r="V39" s="154"/>
      <c r="W39" s="154"/>
      <c r="X39" s="154"/>
      <c r="Y39" s="153"/>
      <c r="Z39" s="154"/>
      <c r="AA39" s="154"/>
      <c r="AB39" s="154"/>
      <c r="AC39" s="154"/>
      <c r="AD39" s="154"/>
      <c r="AE39" s="154"/>
      <c r="AF39" s="154"/>
    </row>
    <row r="40" spans="2:32" x14ac:dyDescent="0.25">
      <c r="B40" s="155"/>
      <c r="C40" s="155"/>
      <c r="D40" s="155"/>
      <c r="E40" s="153"/>
      <c r="F40" s="154"/>
      <c r="G40" s="154"/>
      <c r="H40" s="154"/>
      <c r="I40" s="154"/>
      <c r="J40" s="154"/>
      <c r="K40" s="154"/>
      <c r="L40" s="154"/>
      <c r="M40" s="154"/>
      <c r="N40" s="154"/>
      <c r="O40" s="154"/>
      <c r="P40" s="154"/>
      <c r="Q40" s="154"/>
      <c r="R40" s="154"/>
      <c r="S40" s="154"/>
      <c r="T40" s="154"/>
      <c r="U40" s="154"/>
      <c r="V40" s="154"/>
      <c r="W40" s="154"/>
      <c r="X40" s="154"/>
      <c r="Y40" s="153"/>
      <c r="Z40" s="154"/>
      <c r="AA40" s="154"/>
      <c r="AB40" s="154"/>
      <c r="AC40" s="154"/>
      <c r="AD40" s="154"/>
      <c r="AE40" s="154"/>
      <c r="AF40" s="154"/>
    </row>
    <row r="41" spans="2:32" ht="24.75" customHeight="1" x14ac:dyDescent="0.25">
      <c r="B41" s="26" t="s">
        <v>33</v>
      </c>
      <c r="C41" s="16"/>
      <c r="I41" s="19"/>
    </row>
    <row r="42" spans="2:32" ht="12.75" customHeight="1" x14ac:dyDescent="0.25">
      <c r="B42" s="152" t="s">
        <v>7</v>
      </c>
      <c r="C42" s="152"/>
      <c r="D42" s="152"/>
      <c r="E42" s="152" t="s">
        <v>8</v>
      </c>
      <c r="F42" s="156"/>
      <c r="G42" s="156"/>
      <c r="H42" s="156"/>
      <c r="I42" s="156"/>
      <c r="J42" s="156"/>
      <c r="K42" s="156"/>
      <c r="L42" s="156"/>
      <c r="M42" s="156"/>
      <c r="N42" s="156"/>
      <c r="O42" s="156"/>
      <c r="P42" s="156"/>
      <c r="Q42" s="156"/>
      <c r="R42" s="156"/>
      <c r="S42" s="156"/>
      <c r="T42" s="156"/>
      <c r="U42" s="156"/>
      <c r="V42" s="156"/>
      <c r="W42" s="156"/>
      <c r="X42" s="156"/>
      <c r="Y42" s="152" t="s">
        <v>9</v>
      </c>
      <c r="Z42" s="152"/>
      <c r="AA42" s="152"/>
      <c r="AB42" s="152"/>
      <c r="AC42" s="152"/>
      <c r="AD42" s="152"/>
      <c r="AE42" s="152"/>
      <c r="AF42" s="152"/>
    </row>
    <row r="43" spans="2:32" x14ac:dyDescent="0.25">
      <c r="B43" s="155"/>
      <c r="C43" s="155"/>
      <c r="D43" s="155"/>
      <c r="E43" s="153"/>
      <c r="F43" s="154"/>
      <c r="G43" s="154"/>
      <c r="H43" s="154"/>
      <c r="I43" s="154"/>
      <c r="J43" s="154"/>
      <c r="K43" s="154"/>
      <c r="L43" s="154"/>
      <c r="M43" s="154"/>
      <c r="N43" s="154"/>
      <c r="O43" s="154"/>
      <c r="P43" s="154"/>
      <c r="Q43" s="154"/>
      <c r="R43" s="154"/>
      <c r="S43" s="154"/>
      <c r="T43" s="154"/>
      <c r="U43" s="154"/>
      <c r="V43" s="154"/>
      <c r="W43" s="154"/>
      <c r="X43" s="154"/>
      <c r="Y43" s="153"/>
      <c r="Z43" s="154"/>
      <c r="AA43" s="154"/>
      <c r="AB43" s="154"/>
      <c r="AC43" s="154"/>
      <c r="AD43" s="154"/>
      <c r="AE43" s="154"/>
      <c r="AF43" s="154"/>
    </row>
    <row r="44" spans="2:32" x14ac:dyDescent="0.25">
      <c r="B44" s="155"/>
      <c r="C44" s="155"/>
      <c r="D44" s="155"/>
      <c r="E44" s="153"/>
      <c r="F44" s="154"/>
      <c r="G44" s="154"/>
      <c r="H44" s="154"/>
      <c r="I44" s="154"/>
      <c r="J44" s="154"/>
      <c r="K44" s="154"/>
      <c r="L44" s="154"/>
      <c r="M44" s="154"/>
      <c r="N44" s="154"/>
      <c r="O44" s="154"/>
      <c r="P44" s="154"/>
      <c r="Q44" s="154"/>
      <c r="R44" s="154"/>
      <c r="S44" s="154"/>
      <c r="T44" s="154"/>
      <c r="U44" s="154"/>
      <c r="V44" s="154"/>
      <c r="W44" s="154"/>
      <c r="X44" s="154"/>
      <c r="Y44" s="153"/>
      <c r="Z44" s="154"/>
      <c r="AA44" s="154"/>
      <c r="AB44" s="154"/>
      <c r="AC44" s="154"/>
      <c r="AD44" s="154"/>
      <c r="AE44" s="154"/>
      <c r="AF44" s="154"/>
    </row>
    <row r="45" spans="2:32" x14ac:dyDescent="0.25">
      <c r="B45" s="155"/>
      <c r="C45" s="155"/>
      <c r="D45" s="155"/>
      <c r="E45" s="153"/>
      <c r="F45" s="154"/>
      <c r="G45" s="154"/>
      <c r="H45" s="154"/>
      <c r="I45" s="154"/>
      <c r="J45" s="154"/>
      <c r="K45" s="154"/>
      <c r="L45" s="154"/>
      <c r="M45" s="154"/>
      <c r="N45" s="154"/>
      <c r="O45" s="154"/>
      <c r="P45" s="154"/>
      <c r="Q45" s="154"/>
      <c r="R45" s="154"/>
      <c r="S45" s="154"/>
      <c r="T45" s="154"/>
      <c r="U45" s="154"/>
      <c r="V45" s="154"/>
      <c r="W45" s="154"/>
      <c r="X45" s="154"/>
      <c r="Y45" s="153"/>
      <c r="Z45" s="154"/>
      <c r="AA45" s="154"/>
      <c r="AB45" s="154"/>
      <c r="AC45" s="154"/>
      <c r="AD45" s="154"/>
      <c r="AE45" s="154"/>
      <c r="AF45" s="154"/>
    </row>
    <row r="46" spans="2:32" x14ac:dyDescent="0.25">
      <c r="B46" s="155"/>
      <c r="C46" s="155"/>
      <c r="D46" s="155"/>
      <c r="E46" s="153"/>
      <c r="F46" s="154"/>
      <c r="G46" s="154"/>
      <c r="H46" s="154"/>
      <c r="I46" s="154"/>
      <c r="J46" s="154"/>
      <c r="K46" s="154"/>
      <c r="L46" s="154"/>
      <c r="M46" s="154"/>
      <c r="N46" s="154"/>
      <c r="O46" s="154"/>
      <c r="P46" s="154"/>
      <c r="Q46" s="154"/>
      <c r="R46" s="154"/>
      <c r="S46" s="154"/>
      <c r="T46" s="154"/>
      <c r="U46" s="154"/>
      <c r="V46" s="154"/>
      <c r="W46" s="154"/>
      <c r="X46" s="154"/>
      <c r="Y46" s="153"/>
      <c r="Z46" s="154"/>
      <c r="AA46" s="154"/>
      <c r="AB46" s="154"/>
      <c r="AC46" s="154"/>
      <c r="AD46" s="154"/>
      <c r="AE46" s="154"/>
      <c r="AF46" s="154"/>
    </row>
    <row r="47" spans="2:32" ht="13" x14ac:dyDescent="0.25">
      <c r="C47" s="18"/>
      <c r="I47" s="19"/>
    </row>
    <row r="48" spans="2:32" ht="20" x14ac:dyDescent="0.25">
      <c r="B48" s="15" t="s">
        <v>35</v>
      </c>
      <c r="C48" s="16"/>
      <c r="I48" s="19"/>
    </row>
    <row r="49" spans="2:32" ht="12.75" customHeight="1" x14ac:dyDescent="0.25">
      <c r="B49" s="152" t="s">
        <v>34</v>
      </c>
      <c r="C49" s="152"/>
      <c r="D49" s="152"/>
      <c r="E49" s="152"/>
      <c r="F49" s="152"/>
      <c r="G49" s="152"/>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row>
    <row r="50" spans="2:32" ht="33.75" customHeight="1" x14ac:dyDescent="0.25">
      <c r="B50" s="144" t="s">
        <v>114</v>
      </c>
      <c r="C50" s="145"/>
      <c r="D50" s="145"/>
      <c r="E50" s="145"/>
      <c r="F50" s="145"/>
      <c r="G50" s="146"/>
      <c r="H50" s="151" t="s">
        <v>118</v>
      </c>
      <c r="I50" s="149"/>
      <c r="J50" s="149"/>
      <c r="K50" s="149"/>
      <c r="L50" s="149"/>
      <c r="M50" s="149"/>
      <c r="N50" s="149"/>
      <c r="O50" s="149"/>
      <c r="P50" s="149"/>
      <c r="Q50" s="149"/>
      <c r="R50" s="149"/>
      <c r="S50" s="149"/>
      <c r="T50" s="149"/>
      <c r="U50" s="149"/>
      <c r="V50" s="149"/>
      <c r="W50" s="149"/>
      <c r="X50" s="149"/>
      <c r="Y50" s="149"/>
      <c r="Z50" s="149"/>
      <c r="AA50" s="149"/>
      <c r="AB50" s="149"/>
      <c r="AC50" s="149"/>
      <c r="AD50" s="149"/>
      <c r="AE50" s="149"/>
      <c r="AF50" s="150"/>
    </row>
    <row r="51" spans="2:32" ht="36.75" customHeight="1" x14ac:dyDescent="0.25">
      <c r="B51" s="144" t="s">
        <v>77</v>
      </c>
      <c r="C51" s="145"/>
      <c r="D51" s="145"/>
      <c r="E51" s="145"/>
      <c r="F51" s="145"/>
      <c r="G51" s="146"/>
      <c r="H51" s="148" t="s">
        <v>78</v>
      </c>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50"/>
    </row>
    <row r="52" spans="2:32" ht="45.75" customHeight="1" x14ac:dyDescent="0.25">
      <c r="B52" s="144" t="s">
        <v>79</v>
      </c>
      <c r="C52" s="145"/>
      <c r="D52" s="145"/>
      <c r="E52" s="145"/>
      <c r="F52" s="145"/>
      <c r="G52" s="146"/>
      <c r="H52" s="148" t="s">
        <v>84</v>
      </c>
      <c r="I52" s="149"/>
      <c r="J52" s="149"/>
      <c r="K52" s="149"/>
      <c r="L52" s="149"/>
      <c r="M52" s="149"/>
      <c r="N52" s="149"/>
      <c r="O52" s="149"/>
      <c r="P52" s="149"/>
      <c r="Q52" s="149"/>
      <c r="R52" s="149"/>
      <c r="S52" s="149"/>
      <c r="T52" s="149"/>
      <c r="U52" s="149"/>
      <c r="V52" s="149"/>
      <c r="W52" s="149"/>
      <c r="X52" s="149"/>
      <c r="Y52" s="149"/>
      <c r="Z52" s="149"/>
      <c r="AA52" s="149"/>
      <c r="AB52" s="149"/>
      <c r="AC52" s="149"/>
      <c r="AD52" s="149"/>
      <c r="AE52" s="149"/>
      <c r="AF52" s="150"/>
    </row>
    <row r="53" spans="2:32" ht="45.75" customHeight="1" x14ac:dyDescent="0.25">
      <c r="B53" s="144" t="s">
        <v>80</v>
      </c>
      <c r="C53" s="145"/>
      <c r="D53" s="145"/>
      <c r="E53" s="145"/>
      <c r="F53" s="145"/>
      <c r="G53" s="146"/>
      <c r="H53" s="148" t="s">
        <v>83</v>
      </c>
      <c r="I53" s="149"/>
      <c r="J53" s="149"/>
      <c r="K53" s="149"/>
      <c r="L53" s="149"/>
      <c r="M53" s="149"/>
      <c r="N53" s="149"/>
      <c r="O53" s="149"/>
      <c r="P53" s="149"/>
      <c r="Q53" s="149"/>
      <c r="R53" s="149"/>
      <c r="S53" s="149"/>
      <c r="T53" s="149"/>
      <c r="U53" s="149"/>
      <c r="V53" s="149"/>
      <c r="W53" s="149"/>
      <c r="X53" s="149"/>
      <c r="Y53" s="149"/>
      <c r="Z53" s="149"/>
      <c r="AA53" s="149"/>
      <c r="AB53" s="149"/>
      <c r="AC53" s="149"/>
      <c r="AD53" s="149"/>
      <c r="AE53" s="149"/>
      <c r="AF53" s="150"/>
    </row>
    <row r="54" spans="2:32" ht="37.5" customHeight="1" x14ac:dyDescent="0.25">
      <c r="B54" s="144" t="s">
        <v>81</v>
      </c>
      <c r="C54" s="145"/>
      <c r="D54" s="145"/>
      <c r="E54" s="145"/>
      <c r="F54" s="145"/>
      <c r="G54" s="146"/>
      <c r="H54" s="148" t="s">
        <v>82</v>
      </c>
      <c r="I54" s="149"/>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50"/>
    </row>
    <row r="55" spans="2:32" x14ac:dyDescent="0.25">
      <c r="B55" s="22"/>
      <c r="C55" s="22"/>
      <c r="D55" s="22"/>
      <c r="E55" s="22"/>
      <c r="F55" s="22"/>
      <c r="G55" s="22"/>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row>
    <row r="56" spans="2:32" x14ac:dyDescent="0.25">
      <c r="B56" s="22"/>
      <c r="C56" s="22"/>
      <c r="D56" s="22"/>
      <c r="E56" s="22"/>
      <c r="F56" s="22"/>
      <c r="G56" s="22"/>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row>
    <row r="57" spans="2:32" ht="25" x14ac:dyDescent="0.25">
      <c r="B57" s="28" t="s">
        <v>36</v>
      </c>
      <c r="C57" s="29"/>
      <c r="D57" s="29"/>
      <c r="E57" s="29"/>
      <c r="F57" s="29"/>
      <c r="G57" s="29"/>
      <c r="H57" s="30"/>
      <c r="I57" s="30"/>
      <c r="J57" s="30"/>
      <c r="K57" s="30"/>
      <c r="L57" s="30"/>
      <c r="M57" s="30"/>
      <c r="N57" s="30"/>
      <c r="O57" s="30"/>
      <c r="P57" s="30"/>
      <c r="Q57" s="30"/>
      <c r="R57" s="30"/>
      <c r="S57" s="30"/>
      <c r="T57" s="30"/>
      <c r="U57" s="30"/>
      <c r="V57" s="30"/>
      <c r="W57" s="30"/>
      <c r="X57" s="30"/>
      <c r="Y57" s="30"/>
      <c r="Z57" s="30"/>
      <c r="AA57" s="30"/>
      <c r="AB57" s="30"/>
      <c r="AC57" s="30"/>
      <c r="AD57" s="30"/>
      <c r="AE57" s="30"/>
      <c r="AF57" s="30"/>
    </row>
    <row r="58" spans="2:32" ht="15.75" customHeight="1" x14ac:dyDescent="0.25">
      <c r="B58" s="31"/>
      <c r="C58" s="22"/>
      <c r="D58" s="22"/>
      <c r="E58" s="22"/>
      <c r="F58" s="22"/>
      <c r="G58" s="22"/>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row>
    <row r="59" spans="2:32" x14ac:dyDescent="0.25">
      <c r="B59" s="82" t="s">
        <v>85</v>
      </c>
      <c r="C59" s="32"/>
      <c r="D59" s="32"/>
      <c r="E59" s="32"/>
      <c r="F59" s="32"/>
      <c r="G59" s="32"/>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row>
    <row r="60" spans="2:32" x14ac:dyDescent="0.25">
      <c r="B60" s="82" t="s">
        <v>116</v>
      </c>
      <c r="C60" s="32"/>
      <c r="D60" s="32"/>
      <c r="E60" s="32"/>
      <c r="F60" s="32"/>
      <c r="G60" s="32"/>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row>
    <row r="61" spans="2:32" x14ac:dyDescent="0.25">
      <c r="B61" s="32"/>
      <c r="C61" s="32"/>
      <c r="D61" s="32"/>
      <c r="E61" s="32"/>
      <c r="F61" s="32"/>
      <c r="G61" s="32"/>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row>
    <row r="62" spans="2:32" x14ac:dyDescent="0.25">
      <c r="B62" s="32"/>
      <c r="C62" s="32"/>
      <c r="D62" s="32"/>
      <c r="E62" s="32"/>
      <c r="F62" s="32"/>
      <c r="G62" s="32"/>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row>
    <row r="63" spans="2:32" x14ac:dyDescent="0.25">
      <c r="B63" s="32"/>
      <c r="C63" s="32"/>
      <c r="D63" s="32"/>
      <c r="E63" s="32"/>
      <c r="F63" s="32"/>
      <c r="G63" s="32"/>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row>
    <row r="64" spans="2:32" x14ac:dyDescent="0.25">
      <c r="B64" s="32"/>
      <c r="C64" s="32"/>
      <c r="D64" s="32"/>
      <c r="E64" s="32"/>
      <c r="F64" s="32"/>
      <c r="G64" s="32"/>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row>
    <row r="65" spans="2:33" x14ac:dyDescent="0.25">
      <c r="B65" s="32"/>
      <c r="C65" s="32"/>
      <c r="D65" s="32"/>
      <c r="E65" s="32"/>
      <c r="F65" s="32"/>
      <c r="G65" s="32"/>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row>
    <row r="66" spans="2:33" x14ac:dyDescent="0.25">
      <c r="B66" s="32"/>
      <c r="C66" s="32"/>
      <c r="D66" s="32"/>
      <c r="E66" s="32"/>
      <c r="F66" s="32"/>
      <c r="G66" s="32"/>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row>
    <row r="67" spans="2:33" x14ac:dyDescent="0.25">
      <c r="B67" s="32"/>
      <c r="C67" s="32"/>
      <c r="D67" s="32"/>
      <c r="E67" s="32"/>
      <c r="F67" s="32"/>
      <c r="G67" s="32"/>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row>
    <row r="68" spans="2:33" x14ac:dyDescent="0.25">
      <c r="B68" s="32"/>
      <c r="C68" s="32"/>
      <c r="D68" s="32"/>
      <c r="E68" s="32"/>
      <c r="F68" s="32"/>
      <c r="G68" s="32"/>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row>
    <row r="69" spans="2:33" x14ac:dyDescent="0.25">
      <c r="B69" s="32"/>
      <c r="C69" s="32"/>
      <c r="D69" s="32"/>
      <c r="E69" s="32"/>
      <c r="F69" s="32"/>
      <c r="G69" s="32"/>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row>
    <row r="70" spans="2:33" x14ac:dyDescent="0.25">
      <c r="B70" s="32"/>
      <c r="C70" s="32"/>
      <c r="D70" s="32"/>
      <c r="E70" s="32"/>
      <c r="F70" s="32"/>
      <c r="G70" s="32"/>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row>
    <row r="71" spans="2:33" x14ac:dyDescent="0.25">
      <c r="B71" s="32"/>
      <c r="C71" s="32"/>
      <c r="D71" s="32"/>
      <c r="E71" s="32"/>
      <c r="F71" s="32"/>
      <c r="G71" s="32"/>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row>
    <row r="72" spans="2:33" ht="12" customHeight="1" x14ac:dyDescent="0.25"/>
    <row r="73" spans="2:33" ht="12.75" hidden="1" customHeight="1" x14ac:dyDescent="0.25">
      <c r="B73" s="11" t="s">
        <v>86</v>
      </c>
    </row>
    <row r="74" spans="2:33" ht="12.75" hidden="1" customHeight="1" x14ac:dyDescent="0.25">
      <c r="B74" s="11" t="s">
        <v>87</v>
      </c>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row>
    <row r="75" spans="2:33" ht="12.75" hidden="1" customHeight="1" x14ac:dyDescent="0.25">
      <c r="B75" s="11" t="s">
        <v>88</v>
      </c>
      <c r="G75" s="32"/>
      <c r="H75" s="32"/>
      <c r="I75" s="32"/>
      <c r="J75" s="32"/>
      <c r="K75" s="32"/>
      <c r="L75" s="32"/>
      <c r="M75" s="32"/>
      <c r="N75" s="32"/>
      <c r="O75" s="32"/>
      <c r="P75" s="32"/>
      <c r="Q75" s="32"/>
      <c r="R75" s="32"/>
      <c r="S75" s="32"/>
      <c r="T75" s="32"/>
      <c r="U75" s="32"/>
      <c r="V75" s="32"/>
      <c r="W75" s="32"/>
      <c r="X75" s="32"/>
      <c r="Y75" s="32"/>
      <c r="Z75" s="32"/>
      <c r="AA75" s="32"/>
      <c r="AB75" s="32"/>
      <c r="AC75" s="32"/>
      <c r="AD75" s="32"/>
      <c r="AE75" s="32"/>
      <c r="AF75" s="32"/>
      <c r="AG75" s="32"/>
    </row>
    <row r="76" spans="2:33" ht="12.75" hidden="1" customHeight="1" x14ac:dyDescent="0.25">
      <c r="B76" s="11" t="s">
        <v>89</v>
      </c>
      <c r="G76" s="32"/>
      <c r="H76" s="32"/>
      <c r="I76" s="32"/>
      <c r="J76" s="32"/>
      <c r="K76" s="32"/>
      <c r="L76" s="32"/>
      <c r="M76" s="32"/>
      <c r="N76" s="32"/>
      <c r="O76" s="32"/>
      <c r="P76" s="32"/>
      <c r="Q76" s="32"/>
      <c r="R76" s="32"/>
      <c r="S76" s="32"/>
      <c r="T76" s="32"/>
      <c r="U76" s="32"/>
      <c r="V76" s="32"/>
      <c r="W76" s="32"/>
      <c r="X76" s="32"/>
      <c r="Y76" s="32"/>
      <c r="Z76" s="32"/>
      <c r="AA76" s="32"/>
      <c r="AB76" s="32"/>
      <c r="AC76" s="32"/>
      <c r="AD76" s="32"/>
      <c r="AE76" s="32"/>
      <c r="AF76" s="32"/>
      <c r="AG76" s="32"/>
    </row>
    <row r="77" spans="2:33" ht="12.75" hidden="1" customHeight="1" x14ac:dyDescent="0.25">
      <c r="B77" s="11" t="s">
        <v>90</v>
      </c>
      <c r="F77" s="35"/>
      <c r="G77" s="35"/>
      <c r="H77" s="35"/>
      <c r="I77" s="35"/>
      <c r="S77" s="35"/>
      <c r="T77" s="35"/>
      <c r="U77" s="35"/>
      <c r="V77" s="35"/>
      <c r="W77" s="35"/>
      <c r="X77" s="35"/>
      <c r="Y77" s="35"/>
      <c r="Z77" s="35"/>
      <c r="AA77" s="35"/>
      <c r="AB77" s="35"/>
      <c r="AC77" s="35"/>
      <c r="AD77" s="35"/>
      <c r="AE77" s="35"/>
      <c r="AF77" s="35"/>
      <c r="AG77" s="35"/>
    </row>
    <row r="78" spans="2:33" ht="12.75" hidden="1" customHeight="1" x14ac:dyDescent="0.25">
      <c r="B78" s="11" t="s">
        <v>91</v>
      </c>
      <c r="F78" s="35"/>
      <c r="G78" s="35"/>
      <c r="H78" s="35"/>
      <c r="I78" s="35"/>
      <c r="S78" s="35"/>
      <c r="T78" s="35"/>
      <c r="U78" s="35"/>
      <c r="V78" s="35"/>
      <c r="W78" s="35"/>
      <c r="X78" s="35"/>
      <c r="Y78" s="35"/>
      <c r="Z78" s="35"/>
      <c r="AA78" s="35"/>
      <c r="AB78" s="35"/>
      <c r="AC78" s="35"/>
      <c r="AD78" s="35"/>
      <c r="AE78" s="35"/>
      <c r="AF78" s="35"/>
      <c r="AG78" s="35"/>
    </row>
    <row r="79" spans="2:33" ht="12.75" hidden="1" customHeight="1" x14ac:dyDescent="0.25">
      <c r="B79" s="11" t="s">
        <v>92</v>
      </c>
      <c r="S79" s="35"/>
      <c r="T79" s="35"/>
      <c r="U79" s="35"/>
      <c r="V79" s="35"/>
      <c r="W79" s="35"/>
      <c r="X79" s="35"/>
      <c r="Y79" s="35"/>
      <c r="Z79" s="35"/>
      <c r="AA79" s="35"/>
      <c r="AB79" s="35"/>
      <c r="AC79" s="35"/>
      <c r="AD79" s="35"/>
      <c r="AE79" s="35"/>
      <c r="AF79" s="35"/>
      <c r="AG79" s="35"/>
    </row>
    <row r="80" spans="2:33" ht="12.75" hidden="1" customHeight="1" x14ac:dyDescent="0.25">
      <c r="B80" s="11" t="s">
        <v>93</v>
      </c>
    </row>
    <row r="81" spans="2:2" ht="12.75" hidden="1" customHeight="1" x14ac:dyDescent="0.25">
      <c r="B81" s="11" t="s">
        <v>94</v>
      </c>
    </row>
    <row r="82" spans="2:2" ht="12.75" hidden="1" customHeight="1" x14ac:dyDescent="0.25">
      <c r="B82" s="11" t="s">
        <v>95</v>
      </c>
    </row>
    <row r="83" spans="2:2" ht="12.75" hidden="1" customHeight="1" x14ac:dyDescent="0.25">
      <c r="B83" s="11" t="s">
        <v>96</v>
      </c>
    </row>
    <row r="84" spans="2:2" ht="12.75" hidden="1" customHeight="1" x14ac:dyDescent="0.25">
      <c r="B84" s="11" t="s">
        <v>97</v>
      </c>
    </row>
    <row r="85" spans="2:2" ht="12.75" hidden="1" customHeight="1" x14ac:dyDescent="0.25">
      <c r="B85" s="11" t="s">
        <v>98</v>
      </c>
    </row>
    <row r="86" spans="2:2" ht="12.75" hidden="1" customHeight="1" x14ac:dyDescent="0.25">
      <c r="B86" s="11" t="s">
        <v>99</v>
      </c>
    </row>
    <row r="87" spans="2:2" ht="12.75" hidden="1" customHeight="1" x14ac:dyDescent="0.25">
      <c r="B87" s="11" t="s">
        <v>100</v>
      </c>
    </row>
    <row r="88" spans="2:2" ht="12.75" hidden="1" customHeight="1" x14ac:dyDescent="0.25">
      <c r="B88" s="11" t="s">
        <v>101</v>
      </c>
    </row>
    <row r="89" spans="2:2" ht="12.75" hidden="1" customHeight="1" x14ac:dyDescent="0.25">
      <c r="B89" s="11" t="s">
        <v>102</v>
      </c>
    </row>
    <row r="90" spans="2:2" ht="12.75" hidden="1" customHeight="1" x14ac:dyDescent="0.25">
      <c r="B90" s="11" t="s">
        <v>103</v>
      </c>
    </row>
    <row r="91" spans="2:2" ht="12.75" hidden="1" customHeight="1" x14ac:dyDescent="0.25">
      <c r="B91" s="11" t="s">
        <v>104</v>
      </c>
    </row>
    <row r="92" spans="2:2" ht="12.75" hidden="1" customHeight="1" x14ac:dyDescent="0.25">
      <c r="B92" s="11" t="s">
        <v>105</v>
      </c>
    </row>
    <row r="93" spans="2:2" ht="12.75" hidden="1" customHeight="1" x14ac:dyDescent="0.25">
      <c r="B93" s="11" t="s">
        <v>106</v>
      </c>
    </row>
    <row r="94" spans="2:2" ht="12.75" hidden="1" customHeight="1" x14ac:dyDescent="0.25">
      <c r="B94" s="11" t="s">
        <v>107</v>
      </c>
    </row>
    <row r="95" spans="2:2" ht="12.75" hidden="1" customHeight="1" x14ac:dyDescent="0.25">
      <c r="B95" s="11" t="s">
        <v>108</v>
      </c>
    </row>
    <row r="96" spans="2:2" ht="12.75" hidden="1" customHeight="1" x14ac:dyDescent="0.25">
      <c r="B96" s="11" t="s">
        <v>109</v>
      </c>
    </row>
    <row r="97" spans="2:2" ht="12.75" hidden="1" customHeight="1" x14ac:dyDescent="0.25">
      <c r="B97" s="11" t="s">
        <v>110</v>
      </c>
    </row>
    <row r="98" spans="2:2" ht="12.75" hidden="1" customHeight="1" x14ac:dyDescent="0.25">
      <c r="B98" s="11" t="s">
        <v>111</v>
      </c>
    </row>
    <row r="99" spans="2:2" ht="12.75" hidden="1" customHeight="1" x14ac:dyDescent="0.25">
      <c r="B99" s="11" t="s">
        <v>112</v>
      </c>
    </row>
    <row r="100" spans="2:2" ht="12.75" hidden="1" customHeight="1" x14ac:dyDescent="0.25">
      <c r="B100" s="11" t="s">
        <v>113</v>
      </c>
    </row>
    <row r="171" x14ac:dyDescent="0.25"/>
    <row r="172" x14ac:dyDescent="0.25"/>
    <row r="173" x14ac:dyDescent="0.25"/>
  </sheetData>
  <sheetProtection formatCells="0" formatRows="0" insertColumns="0" insertRows="0" insertHyperlinks="0" deleteRows="0" selectLockedCells="1" sort="0" autoFilter="0" pivotTables="0"/>
  <mergeCells count="95">
    <mergeCell ref="E42:X42"/>
    <mergeCell ref="E43:X43"/>
    <mergeCell ref="AB4:AG4"/>
    <mergeCell ref="AB5:AG5"/>
    <mergeCell ref="AE6:AG6"/>
    <mergeCell ref="AE7:AG7"/>
    <mergeCell ref="A8:AG8"/>
    <mergeCell ref="AB6:AD6"/>
    <mergeCell ref="AB7:AD7"/>
    <mergeCell ref="E6:V6"/>
    <mergeCell ref="B15:F15"/>
    <mergeCell ref="B24:D24"/>
    <mergeCell ref="B18:F18"/>
    <mergeCell ref="G18:AF18"/>
    <mergeCell ref="W7:AA7"/>
    <mergeCell ref="G15:AF15"/>
    <mergeCell ref="G16:AF16"/>
    <mergeCell ref="G21:AF21"/>
    <mergeCell ref="B21:F21"/>
    <mergeCell ref="G17:AF17"/>
    <mergeCell ref="A9:AG9"/>
    <mergeCell ref="B17:F17"/>
    <mergeCell ref="B16:F16"/>
    <mergeCell ref="B20:F20"/>
    <mergeCell ref="G20:AF20"/>
    <mergeCell ref="B19:F19"/>
    <mergeCell ref="G19:AF19"/>
    <mergeCell ref="I28:Q28"/>
    <mergeCell ref="B26:D26"/>
    <mergeCell ref="I26:Q26"/>
    <mergeCell ref="B40:D40"/>
    <mergeCell ref="E40:X40"/>
    <mergeCell ref="I25:Q25"/>
    <mergeCell ref="B37:D37"/>
    <mergeCell ref="I24:Q24"/>
    <mergeCell ref="R24:AF24"/>
    <mergeCell ref="E27:H27"/>
    <mergeCell ref="I27:Q27"/>
    <mergeCell ref="R27:AF27"/>
    <mergeCell ref="R25:AF25"/>
    <mergeCell ref="R26:AF26"/>
    <mergeCell ref="B32:AF32"/>
    <mergeCell ref="E24:H24"/>
    <mergeCell ref="E25:H25"/>
    <mergeCell ref="E26:H26"/>
    <mergeCell ref="E28:H28"/>
    <mergeCell ref="B27:D27"/>
    <mergeCell ref="B25:D25"/>
    <mergeCell ref="Y42:AF42"/>
    <mergeCell ref="R28:AF28"/>
    <mergeCell ref="Y36:AF36"/>
    <mergeCell ref="B36:D36"/>
    <mergeCell ref="E36:X36"/>
    <mergeCell ref="E39:X39"/>
    <mergeCell ref="E38:X38"/>
    <mergeCell ref="E37:X37"/>
    <mergeCell ref="B38:D38"/>
    <mergeCell ref="Y37:AF37"/>
    <mergeCell ref="Y38:AF38"/>
    <mergeCell ref="Y40:AF40"/>
    <mergeCell ref="B42:D42"/>
    <mergeCell ref="Y39:AF39"/>
    <mergeCell ref="B39:D39"/>
    <mergeCell ref="B28:D28"/>
    <mergeCell ref="Y45:AF45"/>
    <mergeCell ref="Y46:AF46"/>
    <mergeCell ref="B44:D44"/>
    <mergeCell ref="B46:D46"/>
    <mergeCell ref="B43:D43"/>
    <mergeCell ref="B45:D45"/>
    <mergeCell ref="Y44:AF44"/>
    <mergeCell ref="E44:X44"/>
    <mergeCell ref="E46:X46"/>
    <mergeCell ref="Y43:AF43"/>
    <mergeCell ref="E45:X45"/>
    <mergeCell ref="B54:G54"/>
    <mergeCell ref="H49:AF49"/>
    <mergeCell ref="H54:AF54"/>
    <mergeCell ref="B52:G52"/>
    <mergeCell ref="H52:AF52"/>
    <mergeCell ref="B51:G51"/>
    <mergeCell ref="H51:AF51"/>
    <mergeCell ref="H53:AF53"/>
    <mergeCell ref="B53:G53"/>
    <mergeCell ref="B50:G50"/>
    <mergeCell ref="H50:AF50"/>
    <mergeCell ref="B49:G49"/>
    <mergeCell ref="E7:V7"/>
    <mergeCell ref="A4:V4"/>
    <mergeCell ref="A5:V5"/>
    <mergeCell ref="W4:AA4"/>
    <mergeCell ref="W5:AA5"/>
    <mergeCell ref="A6:D6"/>
    <mergeCell ref="A7:D7"/>
    <mergeCell ref="W6:AA6"/>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election activeCell="B1" sqref="B1:AG37"/>
    </sheetView>
  </sheetViews>
  <sheetFormatPr defaultColWidth="0" defaultRowHeight="12.75" customHeight="1" zeroHeight="1" x14ac:dyDescent="0.25"/>
  <cols>
    <col min="1" max="33" width="2.6328125" style="11" customWidth="1"/>
    <col min="34" max="34" width="1.36328125" style="11" customWidth="1"/>
    <col min="35" max="60" width="3.36328125" style="11" hidden="1" customWidth="1"/>
    <col min="61" max="16384" width="0" style="11" hidden="1"/>
  </cols>
  <sheetData>
    <row r="1" spans="2:33" ht="12.5" x14ac:dyDescent="0.25">
      <c r="B1" s="167" t="s">
        <v>128</v>
      </c>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row>
    <row r="2" spans="2:33" ht="20.25" customHeight="1" x14ac:dyDescent="0.25">
      <c r="B2" s="167"/>
      <c r="C2" s="167"/>
      <c r="D2" s="167"/>
      <c r="E2" s="167"/>
      <c r="F2" s="167"/>
      <c r="G2" s="167"/>
      <c r="H2" s="167"/>
      <c r="I2" s="167"/>
      <c r="J2" s="167"/>
      <c r="K2" s="167"/>
      <c r="L2" s="167"/>
      <c r="M2" s="167"/>
      <c r="N2" s="167"/>
      <c r="O2" s="167"/>
      <c r="P2" s="167"/>
      <c r="Q2" s="167"/>
      <c r="R2" s="167"/>
      <c r="S2" s="167"/>
      <c r="T2" s="167"/>
      <c r="U2" s="167"/>
      <c r="V2" s="167"/>
      <c r="W2" s="167"/>
      <c r="X2" s="167"/>
      <c r="Y2" s="167"/>
      <c r="Z2" s="167"/>
      <c r="AA2" s="167"/>
      <c r="AB2" s="167"/>
      <c r="AC2" s="167"/>
      <c r="AD2" s="167"/>
      <c r="AE2" s="167"/>
      <c r="AF2" s="167"/>
      <c r="AG2" s="167"/>
    </row>
    <row r="3" spans="2:33" ht="12.5" x14ac:dyDescent="0.25">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c r="AC3" s="167"/>
      <c r="AD3" s="167"/>
      <c r="AE3" s="167"/>
      <c r="AF3" s="167"/>
      <c r="AG3" s="167"/>
    </row>
    <row r="4" spans="2:33" ht="12.5" x14ac:dyDescent="0.25">
      <c r="B4" s="167"/>
      <c r="C4" s="167"/>
      <c r="D4" s="167"/>
      <c r="E4" s="167"/>
      <c r="F4" s="167"/>
      <c r="G4" s="167"/>
      <c r="H4" s="167"/>
      <c r="I4" s="167"/>
      <c r="J4" s="167"/>
      <c r="K4" s="167"/>
      <c r="L4" s="167"/>
      <c r="M4" s="167"/>
      <c r="N4" s="167"/>
      <c r="O4" s="167"/>
      <c r="P4" s="167"/>
      <c r="Q4" s="167"/>
      <c r="R4" s="167"/>
      <c r="S4" s="167"/>
      <c r="T4" s="167"/>
      <c r="U4" s="167"/>
      <c r="V4" s="167"/>
      <c r="W4" s="167"/>
      <c r="X4" s="167"/>
      <c r="Y4" s="167"/>
      <c r="Z4" s="167"/>
      <c r="AA4" s="167"/>
      <c r="AB4" s="167"/>
      <c r="AC4" s="167"/>
      <c r="AD4" s="167"/>
      <c r="AE4" s="167"/>
      <c r="AF4" s="167"/>
      <c r="AG4" s="167"/>
    </row>
    <row r="5" spans="2:33" ht="12.5" x14ac:dyDescent="0.25">
      <c r="B5" s="167"/>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167"/>
      <c r="AE5" s="167"/>
      <c r="AF5" s="167"/>
      <c r="AG5" s="167"/>
    </row>
    <row r="6" spans="2:33" ht="12.5" x14ac:dyDescent="0.25">
      <c r="B6" s="167"/>
      <c r="C6" s="167"/>
      <c r="D6" s="167"/>
      <c r="E6" s="167"/>
      <c r="F6" s="167"/>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row>
    <row r="7" spans="2:33" ht="12.5" x14ac:dyDescent="0.25">
      <c r="B7" s="167"/>
      <c r="C7" s="167"/>
      <c r="D7" s="167"/>
      <c r="E7" s="167"/>
      <c r="F7" s="167"/>
      <c r="G7" s="167"/>
      <c r="H7" s="167"/>
      <c r="I7" s="167"/>
      <c r="J7" s="167"/>
      <c r="K7" s="167"/>
      <c r="L7" s="167"/>
      <c r="M7" s="167"/>
      <c r="N7" s="167"/>
      <c r="O7" s="167"/>
      <c r="P7" s="167"/>
      <c r="Q7" s="167"/>
      <c r="R7" s="167"/>
      <c r="S7" s="167"/>
      <c r="T7" s="167"/>
      <c r="U7" s="167"/>
      <c r="V7" s="167"/>
      <c r="W7" s="167"/>
      <c r="X7" s="167"/>
      <c r="Y7" s="167"/>
      <c r="Z7" s="167"/>
      <c r="AA7" s="167"/>
      <c r="AB7" s="167"/>
      <c r="AC7" s="167"/>
      <c r="AD7" s="167"/>
      <c r="AE7" s="167"/>
      <c r="AF7" s="167"/>
      <c r="AG7" s="167"/>
    </row>
    <row r="8" spans="2:33" ht="12.5" x14ac:dyDescent="0.25">
      <c r="B8" s="167"/>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7"/>
    </row>
    <row r="9" spans="2:33" ht="12.5" x14ac:dyDescent="0.25">
      <c r="B9" s="167"/>
      <c r="C9" s="167"/>
      <c r="D9" s="167"/>
      <c r="E9" s="167"/>
      <c r="F9" s="167"/>
      <c r="G9" s="167"/>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row>
    <row r="10" spans="2:33" ht="12.5" x14ac:dyDescent="0.25">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row>
    <row r="11" spans="2:33" ht="12.5" x14ac:dyDescent="0.25">
      <c r="B11" s="167"/>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167"/>
      <c r="AE11" s="167"/>
      <c r="AF11" s="167"/>
      <c r="AG11" s="167"/>
    </row>
    <row r="12" spans="2:33" ht="12.5" x14ac:dyDescent="0.25">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row>
    <row r="13" spans="2:33" ht="12.5" x14ac:dyDescent="0.25">
      <c r="B13" s="167"/>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row>
    <row r="14" spans="2:33" ht="12.5" x14ac:dyDescent="0.25">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167"/>
      <c r="AE14" s="167"/>
      <c r="AF14" s="167"/>
      <c r="AG14" s="167"/>
    </row>
    <row r="15" spans="2:33" ht="12.5" x14ac:dyDescent="0.25">
      <c r="B15" s="167"/>
      <c r="C15" s="167"/>
      <c r="D15" s="167"/>
      <c r="E15" s="167"/>
      <c r="F15" s="167"/>
      <c r="G15" s="167"/>
      <c r="H15" s="167"/>
      <c r="I15" s="167"/>
      <c r="J15" s="167"/>
      <c r="K15" s="167"/>
      <c r="L15" s="167"/>
      <c r="M15" s="167"/>
      <c r="N15" s="167"/>
      <c r="O15" s="167"/>
      <c r="P15" s="167"/>
      <c r="Q15" s="167"/>
      <c r="R15" s="167"/>
      <c r="S15" s="167"/>
      <c r="T15" s="167"/>
      <c r="U15" s="167"/>
      <c r="V15" s="167"/>
      <c r="W15" s="167"/>
      <c r="X15" s="167"/>
      <c r="Y15" s="167"/>
      <c r="Z15" s="167"/>
      <c r="AA15" s="167"/>
      <c r="AB15" s="167"/>
      <c r="AC15" s="167"/>
      <c r="AD15" s="167"/>
      <c r="AE15" s="167"/>
      <c r="AF15" s="167"/>
      <c r="AG15" s="167"/>
    </row>
    <row r="16" spans="2:33" ht="12.5" x14ac:dyDescent="0.25">
      <c r="B16" s="167"/>
      <c r="C16" s="16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167"/>
      <c r="AE16" s="167"/>
      <c r="AF16" s="167"/>
      <c r="AG16" s="167"/>
    </row>
    <row r="17" spans="2:33" ht="12.5" x14ac:dyDescent="0.25">
      <c r="B17" s="167"/>
      <c r="C17" s="167"/>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row>
    <row r="18" spans="2:33" ht="12.5" x14ac:dyDescent="0.25">
      <c r="B18" s="167"/>
      <c r="C18" s="167"/>
      <c r="D18" s="167"/>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row>
    <row r="19" spans="2:33" ht="12.5" x14ac:dyDescent="0.25">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row>
    <row r="20" spans="2:33" ht="12.5" x14ac:dyDescent="0.25">
      <c r="B20" s="167"/>
      <c r="C20" s="167"/>
      <c r="D20" s="167"/>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row>
    <row r="21" spans="2:33" ht="12.5" x14ac:dyDescent="0.25">
      <c r="B21" s="167"/>
      <c r="C21" s="167"/>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G21" s="167"/>
    </row>
    <row r="22" spans="2:33" ht="12.5" x14ac:dyDescent="0.25">
      <c r="B22" s="167"/>
      <c r="C22" s="167"/>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7"/>
      <c r="AB22" s="167"/>
      <c r="AC22" s="167"/>
      <c r="AD22" s="167"/>
      <c r="AE22" s="167"/>
      <c r="AF22" s="167"/>
      <c r="AG22" s="167"/>
    </row>
    <row r="23" spans="2:33" ht="12.5" x14ac:dyDescent="0.25">
      <c r="B23" s="167"/>
      <c r="C23" s="167"/>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c r="AG23" s="167"/>
    </row>
    <row r="24" spans="2:33" ht="12.5" x14ac:dyDescent="0.25">
      <c r="B24" s="167"/>
      <c r="C24" s="167"/>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7"/>
      <c r="AB24" s="167"/>
      <c r="AC24" s="167"/>
      <c r="AD24" s="167"/>
      <c r="AE24" s="167"/>
      <c r="AF24" s="167"/>
      <c r="AG24" s="167"/>
    </row>
    <row r="25" spans="2:33" ht="12.5" x14ac:dyDescent="0.25">
      <c r="B25" s="167"/>
      <c r="C25" s="167"/>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7"/>
      <c r="AB25" s="167"/>
      <c r="AC25" s="167"/>
      <c r="AD25" s="167"/>
      <c r="AE25" s="167"/>
      <c r="AF25" s="167"/>
      <c r="AG25" s="167"/>
    </row>
    <row r="26" spans="2:33" ht="12.5" x14ac:dyDescent="0.25">
      <c r="B26" s="167"/>
      <c r="C26" s="167"/>
      <c r="D26" s="167"/>
      <c r="E26" s="167"/>
      <c r="F26" s="167"/>
      <c r="G26" s="167"/>
      <c r="H26" s="167"/>
      <c r="I26" s="167"/>
      <c r="J26" s="167"/>
      <c r="K26" s="167"/>
      <c r="L26" s="167"/>
      <c r="M26" s="167"/>
      <c r="N26" s="167"/>
      <c r="O26" s="167"/>
      <c r="P26" s="167"/>
      <c r="Q26" s="167"/>
      <c r="R26" s="167"/>
      <c r="S26" s="167"/>
      <c r="T26" s="167"/>
      <c r="U26" s="167"/>
      <c r="V26" s="167"/>
      <c r="W26" s="167"/>
      <c r="X26" s="167"/>
      <c r="Y26" s="167"/>
      <c r="Z26" s="167"/>
      <c r="AA26" s="167"/>
      <c r="AB26" s="167"/>
      <c r="AC26" s="167"/>
      <c r="AD26" s="167"/>
      <c r="AE26" s="167"/>
      <c r="AF26" s="167"/>
      <c r="AG26" s="167"/>
    </row>
    <row r="27" spans="2:33" ht="12.5" x14ac:dyDescent="0.25">
      <c r="B27" s="167"/>
      <c r="C27" s="167"/>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7"/>
      <c r="AB27" s="167"/>
      <c r="AC27" s="167"/>
      <c r="AD27" s="167"/>
      <c r="AE27" s="167"/>
      <c r="AF27" s="167"/>
      <c r="AG27" s="167"/>
    </row>
    <row r="28" spans="2:33" ht="12.5" x14ac:dyDescent="0.25">
      <c r="B28" s="167"/>
      <c r="C28" s="167"/>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7"/>
      <c r="AB28" s="167"/>
      <c r="AC28" s="167"/>
      <c r="AD28" s="167"/>
      <c r="AE28" s="167"/>
      <c r="AF28" s="167"/>
      <c r="AG28" s="167"/>
    </row>
    <row r="29" spans="2:33" ht="12.5" x14ac:dyDescent="0.25">
      <c r="B29" s="167"/>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c r="AG29" s="167"/>
    </row>
    <row r="30" spans="2:33" ht="12.5" x14ac:dyDescent="0.25">
      <c r="B30" s="167"/>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c r="AA30" s="167"/>
      <c r="AB30" s="167"/>
      <c r="AC30" s="167"/>
      <c r="AD30" s="167"/>
      <c r="AE30" s="167"/>
      <c r="AF30" s="167"/>
      <c r="AG30" s="167"/>
    </row>
    <row r="31" spans="2:33" ht="12.5" x14ac:dyDescent="0.25">
      <c r="B31" s="167"/>
      <c r="C31" s="167"/>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67"/>
      <c r="AB31" s="167"/>
      <c r="AC31" s="167"/>
      <c r="AD31" s="167"/>
      <c r="AE31" s="167"/>
      <c r="AF31" s="167"/>
      <c r="AG31" s="167"/>
    </row>
    <row r="32" spans="2:33" ht="12.5" x14ac:dyDescent="0.25">
      <c r="B32" s="167"/>
      <c r="C32" s="167"/>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row>
    <row r="33" spans="2:33" ht="12.5" x14ac:dyDescent="0.25">
      <c r="B33" s="167"/>
      <c r="C33" s="167"/>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row>
    <row r="34" spans="2:33" ht="12.5" x14ac:dyDescent="0.25">
      <c r="B34" s="167"/>
      <c r="C34" s="167"/>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row>
    <row r="35" spans="2:33" ht="12.75" customHeight="1" x14ac:dyDescent="0.25">
      <c r="B35" s="167"/>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row>
    <row r="36" spans="2:33" ht="12.75" customHeight="1" x14ac:dyDescent="0.25">
      <c r="B36" s="167"/>
      <c r="C36" s="167"/>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67"/>
      <c r="AB36" s="167"/>
      <c r="AC36" s="167"/>
      <c r="AD36" s="167"/>
      <c r="AE36" s="167"/>
      <c r="AF36" s="167"/>
      <c r="AG36" s="167"/>
    </row>
    <row r="37" spans="2:33" ht="12.75" customHeight="1" x14ac:dyDescent="0.25">
      <c r="B37" s="167"/>
      <c r="C37" s="167"/>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167"/>
      <c r="AD37" s="167"/>
      <c r="AE37" s="167"/>
      <c r="AF37" s="167"/>
      <c r="AG37" s="167"/>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7"/>
  <sheetViews>
    <sheetView tabSelected="1" topLeftCell="F1" zoomScale="90" zoomScaleNormal="90" workbookViewId="0">
      <selection activeCell="J3" sqref="J3:J7"/>
    </sheetView>
  </sheetViews>
  <sheetFormatPr defaultRowHeight="12.5" x14ac:dyDescent="0.25"/>
  <cols>
    <col min="1" max="1" width="2.54296875" customWidth="1"/>
    <col min="2" max="2" width="5.36328125" customWidth="1"/>
    <col min="3" max="3" width="23.54296875" customWidth="1"/>
    <col min="4" max="4" width="16" customWidth="1"/>
    <col min="5" max="5" width="14" customWidth="1"/>
    <col min="6" max="6" width="88.453125" customWidth="1"/>
    <col min="7" max="7" width="11.6328125" customWidth="1"/>
    <col min="8" max="8" width="7.54296875" bestFit="1" customWidth="1"/>
    <col min="9" max="9" width="9.36328125" customWidth="1"/>
    <col min="10" max="10" width="18.453125" customWidth="1"/>
    <col min="12" max="12" width="19" customWidth="1"/>
    <col min="13" max="13" width="11.453125" customWidth="1"/>
    <col min="14" max="14" width="18.36328125" customWidth="1"/>
  </cols>
  <sheetData>
    <row r="1" spans="2:14" ht="13" thickBot="1" x14ac:dyDescent="0.3"/>
    <row r="2" spans="2:14" ht="44" thickBot="1" x14ac:dyDescent="0.3">
      <c r="B2" s="48" t="s">
        <v>41</v>
      </c>
      <c r="C2" s="49" t="s">
        <v>42</v>
      </c>
      <c r="D2" s="50" t="s">
        <v>72</v>
      </c>
      <c r="E2" s="50" t="s">
        <v>114</v>
      </c>
      <c r="F2" s="50" t="s">
        <v>43</v>
      </c>
      <c r="G2" s="50" t="s">
        <v>129</v>
      </c>
      <c r="H2" s="50" t="s">
        <v>74</v>
      </c>
      <c r="I2" s="49" t="s">
        <v>11</v>
      </c>
      <c r="J2" s="49" t="s">
        <v>73</v>
      </c>
      <c r="K2" s="49" t="s">
        <v>63</v>
      </c>
      <c r="L2" s="51" t="s">
        <v>44</v>
      </c>
      <c r="M2" s="51" t="s">
        <v>75</v>
      </c>
      <c r="N2" s="52" t="s">
        <v>76</v>
      </c>
    </row>
    <row r="3" spans="2:14" s="74" customFormat="1" ht="29.5" thickBot="1" x14ac:dyDescent="0.35">
      <c r="B3" s="73">
        <v>1</v>
      </c>
      <c r="C3" s="81" t="s">
        <v>169</v>
      </c>
      <c r="D3" s="87">
        <f ca="1">IF(C3&lt;&gt;"",INDIRECT(C3&amp;"!B3"),"")</f>
        <v>0</v>
      </c>
      <c r="E3" s="56" t="str">
        <f ca="1">IF(C3&lt;&gt;"",INDIRECT(C3&amp;"!B5"),"")</f>
        <v>Nominal</v>
      </c>
      <c r="F3" s="56" t="str">
        <f ca="1">IF(C3&lt;&gt;"",INDIRECT(C3&amp;"!B1"),"")</f>
        <v>Check wakeup and sleep functionality</v>
      </c>
      <c r="G3" s="75"/>
      <c r="H3" s="76">
        <v>1</v>
      </c>
      <c r="I3" s="77" t="s">
        <v>210</v>
      </c>
      <c r="J3" s="78" t="s">
        <v>211</v>
      </c>
      <c r="K3" s="85" t="str">
        <f ca="1">IF(C3&lt;&gt;"",INDIRECT(C3&amp;"!B9"),"")</f>
        <v>Ok</v>
      </c>
      <c r="L3" s="83" t="s">
        <v>189</v>
      </c>
      <c r="M3" s="79"/>
      <c r="N3" s="80"/>
    </row>
    <row r="4" spans="2:14" ht="29.5" thickBot="1" x14ac:dyDescent="0.3">
      <c r="B4" s="54">
        <v>2</v>
      </c>
      <c r="C4" s="81" t="s">
        <v>170</v>
      </c>
      <c r="D4" s="87">
        <f t="shared" ref="D4:D7" ca="1" si="0">IF(C4&lt;&gt;"",INDIRECT(C4&amp;"!B3"),"")</f>
        <v>0</v>
      </c>
      <c r="E4" s="56" t="str">
        <f t="shared" ref="E4:E6" ca="1" si="1">IF(C4&lt;&gt;"",INDIRECT(C4&amp;"!B5"),"")</f>
        <v>Nominal</v>
      </c>
      <c r="F4" s="56" t="str">
        <f t="shared" ref="F4:F6" ca="1" si="2">IF(C4&lt;&gt;"",INDIRECT(C4&amp;"!B1"),"")</f>
        <v>Testing HWA request and HWA repetition.</v>
      </c>
      <c r="G4" s="75"/>
      <c r="H4" s="76">
        <v>1</v>
      </c>
      <c r="I4" s="77" t="s">
        <v>210</v>
      </c>
      <c r="J4" s="78" t="s">
        <v>211</v>
      </c>
      <c r="K4" s="85" t="str">
        <f t="shared" ref="K4:K6" ca="1" si="3">IF(C4&lt;&gt;"",INDIRECT(C4&amp;"!B9"),"")</f>
        <v>Ok</v>
      </c>
      <c r="L4" s="83" t="s">
        <v>189</v>
      </c>
      <c r="M4" s="79"/>
      <c r="N4" s="80"/>
    </row>
    <row r="5" spans="2:14" ht="29.5" thickBot="1" x14ac:dyDescent="0.3">
      <c r="B5" s="54">
        <v>3</v>
      </c>
      <c r="C5" s="81" t="s">
        <v>171</v>
      </c>
      <c r="D5" s="87">
        <f t="shared" ca="1" si="0"/>
        <v>0</v>
      </c>
      <c r="E5" s="56" t="str">
        <f t="shared" ca="1" si="1"/>
        <v>Nominal</v>
      </c>
      <c r="F5" s="56" t="str">
        <f t="shared" ca="1" si="2"/>
        <v>Check Under/Over voltage detection</v>
      </c>
      <c r="G5" s="75"/>
      <c r="H5" s="76">
        <v>1</v>
      </c>
      <c r="I5" s="77" t="s">
        <v>210</v>
      </c>
      <c r="J5" s="78" t="s">
        <v>211</v>
      </c>
      <c r="K5" s="85" t="str">
        <f t="shared" ca="1" si="3"/>
        <v>Ok</v>
      </c>
      <c r="L5" s="83" t="s">
        <v>189</v>
      </c>
      <c r="M5" s="79"/>
      <c r="N5" s="80"/>
    </row>
    <row r="6" spans="2:14" ht="29.5" thickBot="1" x14ac:dyDescent="0.3">
      <c r="B6" s="54">
        <v>4</v>
      </c>
      <c r="C6" s="81" t="s">
        <v>172</v>
      </c>
      <c r="D6" s="87">
        <f t="shared" ca="1" si="0"/>
        <v>0</v>
      </c>
      <c r="E6" s="56" t="str">
        <f t="shared" ca="1" si="1"/>
        <v>Nominal</v>
      </c>
      <c r="F6" s="56" t="str">
        <f t="shared" ca="1" si="2"/>
        <v>Check if strat-up cycle is being executed</v>
      </c>
      <c r="G6" s="75"/>
      <c r="H6" s="76">
        <v>1</v>
      </c>
      <c r="I6" s="77" t="s">
        <v>210</v>
      </c>
      <c r="J6" s="78" t="s">
        <v>211</v>
      </c>
      <c r="K6" s="85" t="str">
        <f t="shared" ca="1" si="3"/>
        <v>Ok</v>
      </c>
      <c r="L6" s="83" t="s">
        <v>189</v>
      </c>
      <c r="M6" s="79"/>
      <c r="N6" s="80"/>
    </row>
    <row r="7" spans="2:14" ht="29" x14ac:dyDescent="0.25">
      <c r="B7" s="54">
        <v>5</v>
      </c>
      <c r="C7" s="81" t="s">
        <v>202</v>
      </c>
      <c r="D7" s="87">
        <f t="shared" ca="1" si="0"/>
        <v>0</v>
      </c>
      <c r="E7" s="56" t="s">
        <v>138</v>
      </c>
      <c r="F7" s="56" t="str">
        <f t="shared" ref="F7:F47" ca="1" si="4">IF(C7&lt;&gt;"",INDIRECT(C7&amp;"!B1"),"")</f>
        <v>Check if variant coding works</v>
      </c>
      <c r="G7" s="75"/>
      <c r="H7" s="76">
        <v>1</v>
      </c>
      <c r="I7" s="77" t="s">
        <v>210</v>
      </c>
      <c r="J7" s="78" t="s">
        <v>211</v>
      </c>
      <c r="K7" s="85" t="str">
        <f t="shared" ref="K7" ca="1" si="5">IF(C7&lt;&gt;"",INDIRECT(C7&amp;"!B9"),"")</f>
        <v>Ok</v>
      </c>
      <c r="L7" s="83" t="s">
        <v>189</v>
      </c>
      <c r="M7" s="79"/>
      <c r="N7" s="80"/>
    </row>
    <row r="8" spans="2:14" ht="14.5" x14ac:dyDescent="0.25">
      <c r="B8" s="54">
        <v>6</v>
      </c>
      <c r="C8" s="55"/>
      <c r="D8" s="56" t="str">
        <f t="shared" ref="D8:D47" ca="1" si="6">IF(C8&lt;&gt;"",INDIRECT(C8&amp;"!B5"),"")</f>
        <v/>
      </c>
      <c r="E8" s="56" t="str">
        <f t="shared" ref="E8:E47" ca="1" si="7">IF(C8&lt;&gt;"",INDIRECT(C8&amp;"!B7"),"")</f>
        <v/>
      </c>
      <c r="F8" s="56" t="str">
        <f t="shared" ca="1" si="4"/>
        <v/>
      </c>
      <c r="G8" s="56"/>
      <c r="H8" s="56"/>
      <c r="I8" s="57"/>
      <c r="J8" s="58"/>
      <c r="K8" s="86" t="str">
        <f t="shared" ref="K8:K47" ca="1" si="8">IF(C8&lt;&gt;"",INDIRECT(C8&amp;"!B11"),"")</f>
        <v/>
      </c>
      <c r="L8" s="84"/>
      <c r="M8" s="72"/>
      <c r="N8" s="59"/>
    </row>
    <row r="9" spans="2:14" ht="14.5" x14ac:dyDescent="0.25">
      <c r="B9" s="54">
        <v>7</v>
      </c>
      <c r="C9" s="55"/>
      <c r="D9" s="56" t="str">
        <f t="shared" ca="1" si="6"/>
        <v/>
      </c>
      <c r="E9" s="56" t="str">
        <f t="shared" ca="1" si="7"/>
        <v/>
      </c>
      <c r="F9" s="56" t="str">
        <f t="shared" ca="1" si="4"/>
        <v/>
      </c>
      <c r="G9" s="56"/>
      <c r="H9" s="56"/>
      <c r="I9" s="57"/>
      <c r="J9" s="58"/>
      <c r="K9" s="86" t="str">
        <f t="shared" ca="1" si="8"/>
        <v/>
      </c>
      <c r="L9" s="84"/>
      <c r="M9" s="72"/>
      <c r="N9" s="59"/>
    </row>
    <row r="10" spans="2:14" ht="14.5" x14ac:dyDescent="0.25">
      <c r="B10" s="54">
        <v>8</v>
      </c>
      <c r="C10" s="55"/>
      <c r="D10" s="56" t="str">
        <f t="shared" ca="1" si="6"/>
        <v/>
      </c>
      <c r="E10" s="56" t="str">
        <f t="shared" ca="1" si="7"/>
        <v/>
      </c>
      <c r="F10" s="56" t="str">
        <f ca="1">IF(C10&lt;&gt;"",INDIRECT(C10&amp;"!B1"),"")</f>
        <v/>
      </c>
      <c r="G10" s="56"/>
      <c r="H10" s="56"/>
      <c r="I10" s="57"/>
      <c r="J10" s="58"/>
      <c r="K10" s="86" t="str">
        <f t="shared" ca="1" si="8"/>
        <v/>
      </c>
      <c r="L10" s="84"/>
      <c r="M10" s="72"/>
      <c r="N10" s="59"/>
    </row>
    <row r="11" spans="2:14" ht="14.5" x14ac:dyDescent="0.25">
      <c r="B11" s="54">
        <v>9</v>
      </c>
      <c r="C11" s="55"/>
      <c r="D11" s="56" t="str">
        <f t="shared" ca="1" si="6"/>
        <v/>
      </c>
      <c r="E11" s="56" t="str">
        <f t="shared" ca="1" si="7"/>
        <v/>
      </c>
      <c r="F11" s="56" t="str">
        <f t="shared" ca="1" si="4"/>
        <v/>
      </c>
      <c r="G11" s="56"/>
      <c r="H11" s="56"/>
      <c r="I11" s="57"/>
      <c r="J11" s="58"/>
      <c r="K11" s="86" t="str">
        <f t="shared" ca="1" si="8"/>
        <v/>
      </c>
      <c r="L11" s="84"/>
      <c r="M11" s="72"/>
      <c r="N11" s="59"/>
    </row>
    <row r="12" spans="2:14" ht="14.5" x14ac:dyDescent="0.25">
      <c r="B12" s="53">
        <v>10</v>
      </c>
      <c r="C12" s="55"/>
      <c r="D12" s="56" t="str">
        <f t="shared" ca="1" si="6"/>
        <v/>
      </c>
      <c r="E12" s="56" t="str">
        <f t="shared" ca="1" si="7"/>
        <v/>
      </c>
      <c r="F12" s="56" t="str">
        <f t="shared" ca="1" si="4"/>
        <v/>
      </c>
      <c r="G12" s="56"/>
      <c r="H12" s="56"/>
      <c r="I12" s="57"/>
      <c r="J12" s="58"/>
      <c r="K12" s="86" t="str">
        <f t="shared" ca="1" si="8"/>
        <v/>
      </c>
      <c r="L12" s="84"/>
      <c r="M12" s="72"/>
      <c r="N12" s="59"/>
    </row>
    <row r="13" spans="2:14" ht="14.5" x14ac:dyDescent="0.25">
      <c r="B13" s="54">
        <v>11</v>
      </c>
      <c r="C13" s="55"/>
      <c r="D13" s="56" t="str">
        <f t="shared" ca="1" si="6"/>
        <v/>
      </c>
      <c r="E13" s="56" t="str">
        <f t="shared" ca="1" si="7"/>
        <v/>
      </c>
      <c r="F13" s="56" t="str">
        <f t="shared" ca="1" si="4"/>
        <v/>
      </c>
      <c r="G13" s="56"/>
      <c r="H13" s="56"/>
      <c r="I13" s="57"/>
      <c r="J13" s="58"/>
      <c r="K13" s="86" t="str">
        <f t="shared" ca="1" si="8"/>
        <v/>
      </c>
      <c r="L13" s="84"/>
      <c r="M13" s="72"/>
      <c r="N13" s="59"/>
    </row>
    <row r="14" spans="2:14" ht="14.5" x14ac:dyDescent="0.25">
      <c r="B14" s="54">
        <v>12</v>
      </c>
      <c r="C14" s="55"/>
      <c r="D14" s="56" t="str">
        <f t="shared" ca="1" si="6"/>
        <v/>
      </c>
      <c r="E14" s="56" t="str">
        <f t="shared" ca="1" si="7"/>
        <v/>
      </c>
      <c r="F14" s="56" t="str">
        <f t="shared" ca="1" si="4"/>
        <v/>
      </c>
      <c r="G14" s="56"/>
      <c r="H14" s="56"/>
      <c r="I14" s="57"/>
      <c r="J14" s="58"/>
      <c r="K14" s="86" t="str">
        <f t="shared" ca="1" si="8"/>
        <v/>
      </c>
      <c r="L14" s="84"/>
      <c r="M14" s="72"/>
      <c r="N14" s="59"/>
    </row>
    <row r="15" spans="2:14" ht="14.5" x14ac:dyDescent="0.25">
      <c r="B15" s="54">
        <v>13</v>
      </c>
      <c r="C15" s="55"/>
      <c r="D15" s="56" t="str">
        <f t="shared" ca="1" si="6"/>
        <v/>
      </c>
      <c r="E15" s="56" t="str">
        <f t="shared" ca="1" si="7"/>
        <v/>
      </c>
      <c r="F15" s="56" t="str">
        <f t="shared" ca="1" si="4"/>
        <v/>
      </c>
      <c r="G15" s="56"/>
      <c r="H15" s="56"/>
      <c r="I15" s="57"/>
      <c r="J15" s="58"/>
      <c r="K15" s="86" t="str">
        <f t="shared" ca="1" si="8"/>
        <v/>
      </c>
      <c r="L15" s="84"/>
      <c r="M15" s="72"/>
      <c r="N15" s="59"/>
    </row>
    <row r="16" spans="2:14" ht="14.5" x14ac:dyDescent="0.25">
      <c r="B16" s="54">
        <v>14</v>
      </c>
      <c r="C16" s="55"/>
      <c r="D16" s="56" t="str">
        <f t="shared" ca="1" si="6"/>
        <v/>
      </c>
      <c r="E16" s="56" t="str">
        <f t="shared" ca="1" si="7"/>
        <v/>
      </c>
      <c r="F16" s="56" t="str">
        <f t="shared" ca="1" si="4"/>
        <v/>
      </c>
      <c r="G16" s="56"/>
      <c r="H16" s="56"/>
      <c r="I16" s="57"/>
      <c r="J16" s="58"/>
      <c r="K16" s="86" t="str">
        <f t="shared" ca="1" si="8"/>
        <v/>
      </c>
      <c r="L16" s="84"/>
      <c r="M16" s="72"/>
      <c r="N16" s="59"/>
    </row>
    <row r="17" spans="2:14" ht="14.5" x14ac:dyDescent="0.25">
      <c r="B17" s="54">
        <v>15</v>
      </c>
      <c r="C17" s="55"/>
      <c r="D17" s="56" t="str">
        <f t="shared" ca="1" si="6"/>
        <v/>
      </c>
      <c r="E17" s="56" t="str">
        <f t="shared" ca="1" si="7"/>
        <v/>
      </c>
      <c r="F17" s="56" t="str">
        <f t="shared" ca="1" si="4"/>
        <v/>
      </c>
      <c r="G17" s="56"/>
      <c r="H17" s="56"/>
      <c r="I17" s="57"/>
      <c r="J17" s="58"/>
      <c r="K17" s="86" t="str">
        <f t="shared" ca="1" si="8"/>
        <v/>
      </c>
      <c r="L17" s="84"/>
      <c r="M17" s="72"/>
      <c r="N17" s="59"/>
    </row>
    <row r="18" spans="2:14" ht="14.5" x14ac:dyDescent="0.25">
      <c r="B18" s="54">
        <v>16</v>
      </c>
      <c r="C18" s="55"/>
      <c r="D18" s="56" t="str">
        <f t="shared" ca="1" si="6"/>
        <v/>
      </c>
      <c r="E18" s="56" t="str">
        <f t="shared" ca="1" si="7"/>
        <v/>
      </c>
      <c r="F18" s="56" t="str">
        <f t="shared" ca="1" si="4"/>
        <v/>
      </c>
      <c r="G18" s="56"/>
      <c r="H18" s="56"/>
      <c r="I18" s="57"/>
      <c r="J18" s="58"/>
      <c r="K18" s="86" t="str">
        <f t="shared" ca="1" si="8"/>
        <v/>
      </c>
      <c r="L18" s="84"/>
      <c r="M18" s="72"/>
      <c r="N18" s="59"/>
    </row>
    <row r="19" spans="2:14" ht="14.5" x14ac:dyDescent="0.25">
      <c r="B19" s="54">
        <v>17</v>
      </c>
      <c r="C19" s="55"/>
      <c r="D19" s="56" t="str">
        <f t="shared" ca="1" si="6"/>
        <v/>
      </c>
      <c r="E19" s="56" t="str">
        <f t="shared" ca="1" si="7"/>
        <v/>
      </c>
      <c r="F19" s="56" t="str">
        <f t="shared" ca="1" si="4"/>
        <v/>
      </c>
      <c r="G19" s="56"/>
      <c r="H19" s="56"/>
      <c r="I19" s="57"/>
      <c r="J19" s="58"/>
      <c r="K19" s="86" t="str">
        <f t="shared" ca="1" si="8"/>
        <v/>
      </c>
      <c r="L19" s="84"/>
      <c r="M19" s="72"/>
      <c r="N19" s="59"/>
    </row>
    <row r="20" spans="2:14" ht="14.5" x14ac:dyDescent="0.25">
      <c r="B20" s="54">
        <v>18</v>
      </c>
      <c r="C20" s="55"/>
      <c r="D20" s="56" t="str">
        <f t="shared" ca="1" si="6"/>
        <v/>
      </c>
      <c r="E20" s="56" t="str">
        <f t="shared" ca="1" si="7"/>
        <v/>
      </c>
      <c r="F20" s="56" t="str">
        <f t="shared" ca="1" si="4"/>
        <v/>
      </c>
      <c r="G20" s="56"/>
      <c r="H20" s="56"/>
      <c r="I20" s="57"/>
      <c r="J20" s="58"/>
      <c r="K20" s="86" t="str">
        <f t="shared" ca="1" si="8"/>
        <v/>
      </c>
      <c r="L20" s="84"/>
      <c r="M20" s="72"/>
      <c r="N20" s="59"/>
    </row>
    <row r="21" spans="2:14" ht="14.5" x14ac:dyDescent="0.25">
      <c r="B21" s="53">
        <v>19</v>
      </c>
      <c r="C21" s="55"/>
      <c r="D21" s="56" t="str">
        <f t="shared" ca="1" si="6"/>
        <v/>
      </c>
      <c r="E21" s="56" t="str">
        <f t="shared" ca="1" si="7"/>
        <v/>
      </c>
      <c r="F21" s="56" t="str">
        <f t="shared" ca="1" si="4"/>
        <v/>
      </c>
      <c r="G21" s="56"/>
      <c r="H21" s="56"/>
      <c r="I21" s="57"/>
      <c r="J21" s="58"/>
      <c r="K21" s="86" t="str">
        <f t="shared" ca="1" si="8"/>
        <v/>
      </c>
      <c r="L21" s="84"/>
      <c r="M21" s="72"/>
      <c r="N21" s="59"/>
    </row>
    <row r="22" spans="2:14" ht="14.5" x14ac:dyDescent="0.25">
      <c r="B22" s="54">
        <v>20</v>
      </c>
      <c r="C22" s="55"/>
      <c r="D22" s="56" t="str">
        <f t="shared" ca="1" si="6"/>
        <v/>
      </c>
      <c r="E22" s="56" t="str">
        <f t="shared" ca="1" si="7"/>
        <v/>
      </c>
      <c r="F22" s="56" t="str">
        <f t="shared" ca="1" si="4"/>
        <v/>
      </c>
      <c r="G22" s="56"/>
      <c r="H22" s="56"/>
      <c r="I22" s="57"/>
      <c r="J22" s="58"/>
      <c r="K22" s="86" t="str">
        <f t="shared" ca="1" si="8"/>
        <v/>
      </c>
      <c r="L22" s="84"/>
      <c r="M22" s="72"/>
      <c r="N22" s="59"/>
    </row>
    <row r="23" spans="2:14" ht="14.5" x14ac:dyDescent="0.25">
      <c r="B23" s="54">
        <v>21</v>
      </c>
      <c r="C23" s="55"/>
      <c r="D23" s="56" t="str">
        <f t="shared" ca="1" si="6"/>
        <v/>
      </c>
      <c r="E23" s="56" t="str">
        <f t="shared" ca="1" si="7"/>
        <v/>
      </c>
      <c r="F23" s="56" t="str">
        <f t="shared" ca="1" si="4"/>
        <v/>
      </c>
      <c r="G23" s="56"/>
      <c r="H23" s="56"/>
      <c r="I23" s="57"/>
      <c r="J23" s="58"/>
      <c r="K23" s="86" t="str">
        <f t="shared" ca="1" si="8"/>
        <v/>
      </c>
      <c r="L23" s="84"/>
      <c r="M23" s="72"/>
      <c r="N23" s="59"/>
    </row>
    <row r="24" spans="2:14" ht="14.5" x14ac:dyDescent="0.25">
      <c r="B24" s="54">
        <v>22</v>
      </c>
      <c r="C24" s="55"/>
      <c r="D24" s="56" t="str">
        <f t="shared" ca="1" si="6"/>
        <v/>
      </c>
      <c r="E24" s="56" t="str">
        <f t="shared" ca="1" si="7"/>
        <v/>
      </c>
      <c r="F24" s="56" t="str">
        <f t="shared" ca="1" si="4"/>
        <v/>
      </c>
      <c r="G24" s="56"/>
      <c r="H24" s="56"/>
      <c r="I24" s="57"/>
      <c r="J24" s="58"/>
      <c r="K24" s="86" t="str">
        <f t="shared" ca="1" si="8"/>
        <v/>
      </c>
      <c r="L24" s="84"/>
      <c r="M24" s="72"/>
      <c r="N24" s="59"/>
    </row>
    <row r="25" spans="2:14" ht="14.5" x14ac:dyDescent="0.25">
      <c r="B25" s="54">
        <v>23</v>
      </c>
      <c r="C25" s="55"/>
      <c r="D25" s="56" t="str">
        <f t="shared" ca="1" si="6"/>
        <v/>
      </c>
      <c r="E25" s="56" t="str">
        <f t="shared" ca="1" si="7"/>
        <v/>
      </c>
      <c r="F25" s="56" t="str">
        <f t="shared" ca="1" si="4"/>
        <v/>
      </c>
      <c r="G25" s="56"/>
      <c r="H25" s="56"/>
      <c r="I25" s="57"/>
      <c r="J25" s="58"/>
      <c r="K25" s="86" t="str">
        <f t="shared" ca="1" si="8"/>
        <v/>
      </c>
      <c r="L25" s="84"/>
      <c r="M25" s="72"/>
      <c r="N25" s="59"/>
    </row>
    <row r="26" spans="2:14" ht="14.5" x14ac:dyDescent="0.25">
      <c r="B26" s="54">
        <v>24</v>
      </c>
      <c r="C26" s="55"/>
      <c r="D26" s="56" t="str">
        <f t="shared" ca="1" si="6"/>
        <v/>
      </c>
      <c r="E26" s="56" t="str">
        <f t="shared" ca="1" si="7"/>
        <v/>
      </c>
      <c r="F26" s="56" t="str">
        <f t="shared" ca="1" si="4"/>
        <v/>
      </c>
      <c r="G26" s="56"/>
      <c r="H26" s="56"/>
      <c r="I26" s="57"/>
      <c r="J26" s="58"/>
      <c r="K26" s="86" t="str">
        <f t="shared" ca="1" si="8"/>
        <v/>
      </c>
      <c r="L26" s="84"/>
      <c r="M26" s="72"/>
      <c r="N26" s="59"/>
    </row>
    <row r="27" spans="2:14" ht="14.5" x14ac:dyDescent="0.25">
      <c r="B27" s="54">
        <v>25</v>
      </c>
      <c r="C27" s="55"/>
      <c r="D27" s="56" t="str">
        <f t="shared" ca="1" si="6"/>
        <v/>
      </c>
      <c r="E27" s="56" t="str">
        <f t="shared" ca="1" si="7"/>
        <v/>
      </c>
      <c r="F27" s="56" t="str">
        <f t="shared" ca="1" si="4"/>
        <v/>
      </c>
      <c r="G27" s="56"/>
      <c r="H27" s="56"/>
      <c r="I27" s="57"/>
      <c r="J27" s="58"/>
      <c r="K27" s="86" t="str">
        <f t="shared" ca="1" si="8"/>
        <v/>
      </c>
      <c r="L27" s="84"/>
      <c r="M27" s="72"/>
      <c r="N27" s="59"/>
    </row>
    <row r="28" spans="2:14" ht="14.5" x14ac:dyDescent="0.25">
      <c r="B28" s="54">
        <v>26</v>
      </c>
      <c r="C28" s="55"/>
      <c r="D28" s="56" t="str">
        <f t="shared" ca="1" si="6"/>
        <v/>
      </c>
      <c r="E28" s="56" t="str">
        <f t="shared" ca="1" si="7"/>
        <v/>
      </c>
      <c r="F28" s="56" t="str">
        <f t="shared" ca="1" si="4"/>
        <v/>
      </c>
      <c r="G28" s="56"/>
      <c r="H28" s="56"/>
      <c r="I28" s="57"/>
      <c r="J28" s="58"/>
      <c r="K28" s="86" t="str">
        <f t="shared" ca="1" si="8"/>
        <v/>
      </c>
      <c r="L28" s="84"/>
      <c r="M28" s="72"/>
      <c r="N28" s="59"/>
    </row>
    <row r="29" spans="2:14" ht="14.5" x14ac:dyDescent="0.25">
      <c r="B29" s="54">
        <v>27</v>
      </c>
      <c r="C29" s="55"/>
      <c r="D29" s="56" t="str">
        <f t="shared" ca="1" si="6"/>
        <v/>
      </c>
      <c r="E29" s="56" t="str">
        <f t="shared" ca="1" si="7"/>
        <v/>
      </c>
      <c r="F29" s="56" t="str">
        <f t="shared" ca="1" si="4"/>
        <v/>
      </c>
      <c r="G29" s="56"/>
      <c r="H29" s="56"/>
      <c r="I29" s="57"/>
      <c r="J29" s="58"/>
      <c r="K29" s="86" t="str">
        <f t="shared" ca="1" si="8"/>
        <v/>
      </c>
      <c r="L29" s="84"/>
      <c r="M29" s="72"/>
      <c r="N29" s="59"/>
    </row>
    <row r="30" spans="2:14" ht="14.5" x14ac:dyDescent="0.25">
      <c r="B30" s="53">
        <v>28</v>
      </c>
      <c r="C30" s="55"/>
      <c r="D30" s="56" t="str">
        <f t="shared" ca="1" si="6"/>
        <v/>
      </c>
      <c r="E30" s="56" t="str">
        <f t="shared" ca="1" si="7"/>
        <v/>
      </c>
      <c r="F30" s="56" t="str">
        <f t="shared" ca="1" si="4"/>
        <v/>
      </c>
      <c r="G30" s="56"/>
      <c r="H30" s="56"/>
      <c r="I30" s="57"/>
      <c r="J30" s="58"/>
      <c r="K30" s="86" t="str">
        <f t="shared" ca="1" si="8"/>
        <v/>
      </c>
      <c r="L30" s="84"/>
      <c r="M30" s="72"/>
      <c r="N30" s="59"/>
    </row>
    <row r="31" spans="2:14" ht="14.5" x14ac:dyDescent="0.25">
      <c r="B31" s="54">
        <v>29</v>
      </c>
      <c r="C31" s="55"/>
      <c r="D31" s="56" t="str">
        <f t="shared" ca="1" si="6"/>
        <v/>
      </c>
      <c r="E31" s="56" t="str">
        <f t="shared" ca="1" si="7"/>
        <v/>
      </c>
      <c r="F31" s="56" t="str">
        <f t="shared" ca="1" si="4"/>
        <v/>
      </c>
      <c r="G31" s="56"/>
      <c r="H31" s="56"/>
      <c r="I31" s="57"/>
      <c r="J31" s="58"/>
      <c r="K31" s="86" t="str">
        <f t="shared" ca="1" si="8"/>
        <v/>
      </c>
      <c r="L31" s="84"/>
      <c r="M31" s="72"/>
      <c r="N31" s="59"/>
    </row>
    <row r="32" spans="2:14" ht="14.5" x14ac:dyDescent="0.25">
      <c r="B32" s="54">
        <v>30</v>
      </c>
      <c r="C32" s="55"/>
      <c r="D32" s="56" t="str">
        <f t="shared" ca="1" si="6"/>
        <v/>
      </c>
      <c r="E32" s="56" t="str">
        <f t="shared" ca="1" si="7"/>
        <v/>
      </c>
      <c r="F32" s="56" t="str">
        <f t="shared" ca="1" si="4"/>
        <v/>
      </c>
      <c r="G32" s="56"/>
      <c r="H32" s="56"/>
      <c r="I32" s="57"/>
      <c r="J32" s="58"/>
      <c r="K32" s="86" t="str">
        <f t="shared" ca="1" si="8"/>
        <v/>
      </c>
      <c r="L32" s="84"/>
      <c r="M32" s="72"/>
      <c r="N32" s="59"/>
    </row>
    <row r="33" spans="2:14" ht="14.5" x14ac:dyDescent="0.25">
      <c r="B33" s="54">
        <v>31</v>
      </c>
      <c r="C33" s="55"/>
      <c r="D33" s="56" t="str">
        <f t="shared" ca="1" si="6"/>
        <v/>
      </c>
      <c r="E33" s="56" t="str">
        <f t="shared" ca="1" si="7"/>
        <v/>
      </c>
      <c r="F33" s="56" t="str">
        <f t="shared" ca="1" si="4"/>
        <v/>
      </c>
      <c r="G33" s="56"/>
      <c r="H33" s="56"/>
      <c r="I33" s="57"/>
      <c r="J33" s="58"/>
      <c r="K33" s="86" t="str">
        <f t="shared" ca="1" si="8"/>
        <v/>
      </c>
      <c r="L33" s="84"/>
      <c r="M33" s="72"/>
      <c r="N33" s="59"/>
    </row>
    <row r="34" spans="2:14" ht="14.5" x14ac:dyDescent="0.25">
      <c r="B34" s="54">
        <v>32</v>
      </c>
      <c r="C34" s="55"/>
      <c r="D34" s="56" t="str">
        <f t="shared" ca="1" si="6"/>
        <v/>
      </c>
      <c r="E34" s="56" t="str">
        <f t="shared" ca="1" si="7"/>
        <v/>
      </c>
      <c r="F34" s="56" t="str">
        <f t="shared" ca="1" si="4"/>
        <v/>
      </c>
      <c r="G34" s="56"/>
      <c r="H34" s="56"/>
      <c r="I34" s="57"/>
      <c r="J34" s="58"/>
      <c r="K34" s="86" t="str">
        <f t="shared" ca="1" si="8"/>
        <v/>
      </c>
      <c r="L34" s="84"/>
      <c r="M34" s="72"/>
      <c r="N34" s="59"/>
    </row>
    <row r="35" spans="2:14" ht="14.5" x14ac:dyDescent="0.25">
      <c r="B35" s="54">
        <v>33</v>
      </c>
      <c r="C35" s="55"/>
      <c r="D35" s="56" t="str">
        <f t="shared" ca="1" si="6"/>
        <v/>
      </c>
      <c r="E35" s="56" t="str">
        <f t="shared" ca="1" si="7"/>
        <v/>
      </c>
      <c r="F35" s="56" t="str">
        <f t="shared" ca="1" si="4"/>
        <v/>
      </c>
      <c r="G35" s="56"/>
      <c r="H35" s="56"/>
      <c r="I35" s="57"/>
      <c r="J35" s="58"/>
      <c r="K35" s="86" t="str">
        <f t="shared" ca="1" si="8"/>
        <v/>
      </c>
      <c r="L35" s="84"/>
      <c r="M35" s="72"/>
      <c r="N35" s="59"/>
    </row>
    <row r="36" spans="2:14" ht="14.5" x14ac:dyDescent="0.25">
      <c r="B36" s="54">
        <v>34</v>
      </c>
      <c r="C36" s="55"/>
      <c r="D36" s="56" t="str">
        <f t="shared" ca="1" si="6"/>
        <v/>
      </c>
      <c r="E36" s="56" t="str">
        <f t="shared" ca="1" si="7"/>
        <v/>
      </c>
      <c r="F36" s="56" t="str">
        <f t="shared" ca="1" si="4"/>
        <v/>
      </c>
      <c r="G36" s="56"/>
      <c r="H36" s="56"/>
      <c r="I36" s="57"/>
      <c r="J36" s="58"/>
      <c r="K36" s="86" t="str">
        <f t="shared" ca="1" si="8"/>
        <v/>
      </c>
      <c r="L36" s="84"/>
      <c r="M36" s="72"/>
      <c r="N36" s="59"/>
    </row>
    <row r="37" spans="2:14" ht="14.5" x14ac:dyDescent="0.25">
      <c r="B37" s="54">
        <v>35</v>
      </c>
      <c r="C37" s="55"/>
      <c r="D37" s="56" t="str">
        <f t="shared" ca="1" si="6"/>
        <v/>
      </c>
      <c r="E37" s="56" t="str">
        <f t="shared" ca="1" si="7"/>
        <v/>
      </c>
      <c r="F37" s="56" t="str">
        <f t="shared" ca="1" si="4"/>
        <v/>
      </c>
      <c r="G37" s="56"/>
      <c r="H37" s="56"/>
      <c r="I37" s="57"/>
      <c r="J37" s="58"/>
      <c r="K37" s="86" t="str">
        <f t="shared" ca="1" si="8"/>
        <v/>
      </c>
      <c r="L37" s="84"/>
      <c r="M37" s="72"/>
      <c r="N37" s="59"/>
    </row>
    <row r="38" spans="2:14" ht="14.5" x14ac:dyDescent="0.25">
      <c r="B38" s="54">
        <v>36</v>
      </c>
      <c r="C38" s="55"/>
      <c r="D38" s="56" t="str">
        <f t="shared" ca="1" si="6"/>
        <v/>
      </c>
      <c r="E38" s="56" t="str">
        <f t="shared" ca="1" si="7"/>
        <v/>
      </c>
      <c r="F38" s="56" t="str">
        <f t="shared" ca="1" si="4"/>
        <v/>
      </c>
      <c r="G38" s="56"/>
      <c r="H38" s="56"/>
      <c r="I38" s="57"/>
      <c r="J38" s="58"/>
      <c r="K38" s="86" t="str">
        <f t="shared" ca="1" si="8"/>
        <v/>
      </c>
      <c r="L38" s="84"/>
      <c r="M38" s="72"/>
      <c r="N38" s="59"/>
    </row>
    <row r="39" spans="2:14" ht="14.5" x14ac:dyDescent="0.25">
      <c r="B39" s="53">
        <v>37</v>
      </c>
      <c r="C39" s="55"/>
      <c r="D39" s="56" t="str">
        <f t="shared" ca="1" si="6"/>
        <v/>
      </c>
      <c r="E39" s="56" t="str">
        <f t="shared" ca="1" si="7"/>
        <v/>
      </c>
      <c r="F39" s="56" t="str">
        <f t="shared" ca="1" si="4"/>
        <v/>
      </c>
      <c r="G39" s="56"/>
      <c r="H39" s="56"/>
      <c r="I39" s="57"/>
      <c r="J39" s="58"/>
      <c r="K39" s="86" t="str">
        <f t="shared" ca="1" si="8"/>
        <v/>
      </c>
      <c r="L39" s="84"/>
      <c r="M39" s="72"/>
      <c r="N39" s="59"/>
    </row>
    <row r="40" spans="2:14" ht="14.5" x14ac:dyDescent="0.25">
      <c r="B40" s="54">
        <v>38</v>
      </c>
      <c r="C40" s="55"/>
      <c r="D40" s="56" t="str">
        <f t="shared" ca="1" si="6"/>
        <v/>
      </c>
      <c r="E40" s="56" t="str">
        <f t="shared" ca="1" si="7"/>
        <v/>
      </c>
      <c r="F40" s="56" t="str">
        <f t="shared" ca="1" si="4"/>
        <v/>
      </c>
      <c r="G40" s="56"/>
      <c r="H40" s="56"/>
      <c r="I40" s="57"/>
      <c r="J40" s="58"/>
      <c r="K40" s="86" t="str">
        <f t="shared" ca="1" si="8"/>
        <v/>
      </c>
      <c r="L40" s="84"/>
      <c r="M40" s="72"/>
      <c r="N40" s="59"/>
    </row>
    <row r="41" spans="2:14" ht="14.5" x14ac:dyDescent="0.25">
      <c r="B41" s="54">
        <v>39</v>
      </c>
      <c r="C41" s="55"/>
      <c r="D41" s="56" t="str">
        <f t="shared" ca="1" si="6"/>
        <v/>
      </c>
      <c r="E41" s="56" t="str">
        <f t="shared" ca="1" si="7"/>
        <v/>
      </c>
      <c r="F41" s="56" t="str">
        <f t="shared" ca="1" si="4"/>
        <v/>
      </c>
      <c r="G41" s="56"/>
      <c r="H41" s="56"/>
      <c r="I41" s="57"/>
      <c r="J41" s="58"/>
      <c r="K41" s="86" t="str">
        <f t="shared" ca="1" si="8"/>
        <v/>
      </c>
      <c r="L41" s="84"/>
      <c r="M41" s="72"/>
      <c r="N41" s="59"/>
    </row>
    <row r="42" spans="2:14" ht="14.5" x14ac:dyDescent="0.25">
      <c r="B42" s="54">
        <v>40</v>
      </c>
      <c r="C42" s="55"/>
      <c r="D42" s="56" t="str">
        <f t="shared" ca="1" si="6"/>
        <v/>
      </c>
      <c r="E42" s="56" t="str">
        <f t="shared" ca="1" si="7"/>
        <v/>
      </c>
      <c r="F42" s="56" t="str">
        <f t="shared" ca="1" si="4"/>
        <v/>
      </c>
      <c r="G42" s="56"/>
      <c r="H42" s="56"/>
      <c r="I42" s="57"/>
      <c r="J42" s="58"/>
      <c r="K42" s="86" t="str">
        <f t="shared" ca="1" si="8"/>
        <v/>
      </c>
      <c r="L42" s="84"/>
      <c r="M42" s="72"/>
      <c r="N42" s="59"/>
    </row>
    <row r="43" spans="2:14" ht="14.5" x14ac:dyDescent="0.25">
      <c r="B43" s="54">
        <v>41</v>
      </c>
      <c r="C43" s="55"/>
      <c r="D43" s="56" t="str">
        <f t="shared" ca="1" si="6"/>
        <v/>
      </c>
      <c r="E43" s="56" t="str">
        <f t="shared" ca="1" si="7"/>
        <v/>
      </c>
      <c r="F43" s="56" t="str">
        <f t="shared" ca="1" si="4"/>
        <v/>
      </c>
      <c r="G43" s="56"/>
      <c r="H43" s="56"/>
      <c r="I43" s="57"/>
      <c r="J43" s="58"/>
      <c r="K43" s="86" t="str">
        <f t="shared" ca="1" si="8"/>
        <v/>
      </c>
      <c r="L43" s="84"/>
      <c r="M43" s="72"/>
      <c r="N43" s="59"/>
    </row>
    <row r="44" spans="2:14" ht="14.5" x14ac:dyDescent="0.25">
      <c r="B44" s="54">
        <v>42</v>
      </c>
      <c r="C44" s="55"/>
      <c r="D44" s="56" t="str">
        <f t="shared" ca="1" si="6"/>
        <v/>
      </c>
      <c r="E44" s="56" t="str">
        <f t="shared" ca="1" si="7"/>
        <v/>
      </c>
      <c r="F44" s="56" t="str">
        <f t="shared" ca="1" si="4"/>
        <v/>
      </c>
      <c r="G44" s="56"/>
      <c r="H44" s="56"/>
      <c r="I44" s="57"/>
      <c r="J44" s="58"/>
      <c r="K44" s="86" t="str">
        <f t="shared" ca="1" si="8"/>
        <v/>
      </c>
      <c r="L44" s="84"/>
      <c r="M44" s="72"/>
      <c r="N44" s="59"/>
    </row>
    <row r="45" spans="2:14" ht="14.5" x14ac:dyDescent="0.25">
      <c r="B45" s="54">
        <v>43</v>
      </c>
      <c r="C45" s="55"/>
      <c r="D45" s="56" t="str">
        <f t="shared" ca="1" si="6"/>
        <v/>
      </c>
      <c r="E45" s="56" t="str">
        <f t="shared" ca="1" si="7"/>
        <v/>
      </c>
      <c r="F45" s="56" t="str">
        <f t="shared" ca="1" si="4"/>
        <v/>
      </c>
      <c r="G45" s="56"/>
      <c r="H45" s="56"/>
      <c r="I45" s="57"/>
      <c r="J45" s="58"/>
      <c r="K45" s="86" t="str">
        <f t="shared" ca="1" si="8"/>
        <v/>
      </c>
      <c r="L45" s="84"/>
      <c r="M45" s="72"/>
      <c r="N45" s="59"/>
    </row>
    <row r="46" spans="2:14" ht="14.5" x14ac:dyDescent="0.25">
      <c r="B46" s="54">
        <v>44</v>
      </c>
      <c r="C46" s="55"/>
      <c r="D46" s="56" t="str">
        <f t="shared" ca="1" si="6"/>
        <v/>
      </c>
      <c r="E46" s="56" t="str">
        <f t="shared" ca="1" si="7"/>
        <v/>
      </c>
      <c r="F46" s="56" t="str">
        <f t="shared" ca="1" si="4"/>
        <v/>
      </c>
      <c r="G46" s="56"/>
      <c r="H46" s="56"/>
      <c r="I46" s="57"/>
      <c r="J46" s="58"/>
      <c r="K46" s="86" t="str">
        <f t="shared" ca="1" si="8"/>
        <v/>
      </c>
      <c r="L46" s="84"/>
      <c r="M46" s="72"/>
      <c r="N46" s="59"/>
    </row>
    <row r="47" spans="2:14" ht="15" thickBot="1" x14ac:dyDescent="0.3">
      <c r="B47" s="60">
        <v>45</v>
      </c>
      <c r="C47" s="61"/>
      <c r="D47" s="56" t="str">
        <f t="shared" ca="1" si="6"/>
        <v/>
      </c>
      <c r="E47" s="56" t="str">
        <f t="shared" ca="1" si="7"/>
        <v/>
      </c>
      <c r="F47" s="56" t="str">
        <f t="shared" ca="1" si="4"/>
        <v/>
      </c>
      <c r="G47" s="56"/>
      <c r="H47" s="56"/>
      <c r="I47" s="57"/>
      <c r="J47" s="58"/>
      <c r="K47" s="86" t="str">
        <f t="shared" ca="1" si="8"/>
        <v/>
      </c>
      <c r="L47" s="84"/>
      <c r="M47" s="72"/>
      <c r="N47" s="59"/>
    </row>
  </sheetData>
  <phoneticPr fontId="42" type="noConversion"/>
  <conditionalFormatting sqref="K3:K47">
    <cfRule type="cellIs" dxfId="23" priority="1" operator="equal">
      <formula>"Nok"</formula>
    </cfRule>
    <cfRule type="cellIs" dxfId="22" priority="2" operator="equal">
      <formula>"Ok"</formula>
    </cfRule>
  </conditionalFormatting>
  <dataValidations count="3">
    <dataValidation type="list" allowBlank="1" showInputMessage="1" showErrorMessage="1" sqref="E7:E47" xr:uid="{00000000-0002-0000-0300-000000000000}">
      <formula1>"Nominal, Robustness, Endurance, Qualification, Other"</formula1>
    </dataValidation>
    <dataValidation type="list" allowBlank="1" showInputMessage="1" showErrorMessage="1" sqref="G3:G7" xr:uid="{00000000-0002-0000-0300-000001000000}">
      <formula1>",X,"</formula1>
    </dataValidation>
    <dataValidation type="list" allowBlank="1" showInputMessage="1" showErrorMessage="1" sqref="H3:H7" xr:uid="{00000000-0002-0000-0300-000002000000}">
      <formula1>"1,2,3,"</formula1>
    </dataValidation>
  </dataValidations>
  <hyperlinks>
    <hyperlink ref="C3" location="SW_IT_xxx!A1" display="SW_IT_xxx" xr:uid="{00000000-0004-0000-0300-000000000000}"/>
    <hyperlink ref="C4" location="SW_IT_xxx!A1" display="SW_IT_xxx" xr:uid="{D17C9A3C-CB12-40F7-87C3-6AD003E9C3FF}"/>
    <hyperlink ref="C5" location="SW_IT_xxx!A1" display="SW_IT_xxx" xr:uid="{B87D034B-BE49-4BB7-98D7-2939A7F04F88}"/>
    <hyperlink ref="C6" location="SW_IT_xxx!A1" display="SW_IT_xxx" xr:uid="{17C1F6B2-34CF-4C9A-9D76-72CB930D82A2}"/>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BFDF2-15E0-4EAC-88EF-A1C0287C2FD9}">
  <sheetPr codeName="Sheet7"/>
  <dimension ref="A1:P32"/>
  <sheetViews>
    <sheetView topLeftCell="A8" workbookViewId="0">
      <selection activeCell="B26" sqref="B26:G26"/>
    </sheetView>
  </sheetViews>
  <sheetFormatPr defaultColWidth="9.36328125" defaultRowHeight="12.5" x14ac:dyDescent="0.25"/>
  <cols>
    <col min="1" max="1" width="20.36328125" style="92" customWidth="1"/>
    <col min="2" max="2" width="18.453125" style="88" customWidth="1"/>
    <col min="3" max="7" width="9.36328125" style="88"/>
    <col min="8" max="15" width="9.54296875" style="88" customWidth="1"/>
    <col min="16" max="16384" width="9.36328125" style="88"/>
  </cols>
  <sheetData>
    <row r="1" spans="1:15" ht="13.5" thickBot="1" x14ac:dyDescent="0.35">
      <c r="A1" s="93" t="s">
        <v>45</v>
      </c>
      <c r="B1" s="193" t="s">
        <v>137</v>
      </c>
      <c r="C1" s="194"/>
      <c r="D1" s="194"/>
      <c r="E1" s="194"/>
      <c r="F1" s="194"/>
      <c r="G1" s="195"/>
      <c r="H1" s="63"/>
      <c r="I1" s="63"/>
      <c r="J1" s="63"/>
      <c r="K1" s="63"/>
      <c r="L1" s="63"/>
      <c r="M1" s="63"/>
      <c r="N1" s="63"/>
      <c r="O1" s="63"/>
    </row>
    <row r="2" spans="1:15" ht="13" thickBot="1" x14ac:dyDescent="0.3">
      <c r="A2" s="62"/>
      <c r="B2" s="63"/>
      <c r="C2" s="63"/>
      <c r="D2" s="63"/>
      <c r="E2" s="63"/>
      <c r="F2" s="63"/>
      <c r="G2" s="63"/>
      <c r="H2" s="63"/>
      <c r="I2" s="63"/>
      <c r="J2" s="63"/>
      <c r="K2" s="63"/>
      <c r="L2" s="63"/>
      <c r="M2" s="63"/>
      <c r="N2" s="63"/>
      <c r="O2" s="63"/>
    </row>
    <row r="3" spans="1:15" ht="26.5" thickBot="1" x14ac:dyDescent="0.3">
      <c r="A3" s="94" t="s">
        <v>50</v>
      </c>
      <c r="B3" s="196"/>
      <c r="C3" s="197"/>
      <c r="D3" s="197"/>
      <c r="E3" s="197"/>
      <c r="F3" s="197"/>
      <c r="G3" s="198"/>
      <c r="H3" s="63"/>
      <c r="I3" s="63"/>
      <c r="J3" s="63"/>
      <c r="K3" s="63"/>
      <c r="L3" s="63"/>
      <c r="M3" s="63"/>
      <c r="N3" s="63"/>
      <c r="O3" s="63"/>
    </row>
    <row r="4" spans="1:15" ht="13" thickBot="1" x14ac:dyDescent="0.3">
      <c r="A4" s="62"/>
      <c r="B4" s="63"/>
      <c r="C4" s="63"/>
      <c r="D4" s="63"/>
      <c r="E4" s="63"/>
      <c r="F4" s="63"/>
      <c r="G4" s="63"/>
      <c r="H4" s="63"/>
      <c r="I4" s="63"/>
      <c r="J4" s="63"/>
      <c r="K4" s="63"/>
      <c r="L4" s="63"/>
      <c r="M4" s="63"/>
      <c r="N4" s="63"/>
      <c r="O4" s="63"/>
    </row>
    <row r="5" spans="1:15" ht="13.5" thickBot="1" x14ac:dyDescent="0.35">
      <c r="A5" s="93" t="s">
        <v>115</v>
      </c>
      <c r="B5" s="66" t="s">
        <v>138</v>
      </c>
      <c r="C5" s="63"/>
      <c r="D5" s="63"/>
      <c r="E5" s="63"/>
      <c r="F5" s="63"/>
      <c r="G5" s="63"/>
      <c r="H5" s="63"/>
      <c r="I5" s="63"/>
      <c r="J5" s="63"/>
      <c r="K5" s="63"/>
      <c r="L5" s="63"/>
      <c r="M5" s="63"/>
      <c r="N5" s="63"/>
      <c r="O5" s="63"/>
    </row>
    <row r="6" spans="1:15" ht="13" thickBot="1" x14ac:dyDescent="0.3">
      <c r="A6" s="62"/>
      <c r="B6" s="63"/>
      <c r="C6" s="63"/>
      <c r="D6" s="63"/>
      <c r="E6" s="63"/>
      <c r="F6" s="63"/>
      <c r="G6" s="63"/>
      <c r="H6" s="63"/>
      <c r="I6" s="63"/>
      <c r="J6" s="63"/>
      <c r="K6" s="63"/>
      <c r="L6" s="63"/>
      <c r="M6" s="63"/>
      <c r="N6" s="63"/>
      <c r="O6" s="63"/>
    </row>
    <row r="7" spans="1:15" ht="13.5" thickBot="1" x14ac:dyDescent="0.35">
      <c r="A7" s="93" t="s">
        <v>46</v>
      </c>
      <c r="B7" s="196" t="s">
        <v>139</v>
      </c>
      <c r="C7" s="197"/>
      <c r="D7" s="197"/>
      <c r="E7" s="197"/>
      <c r="F7" s="197"/>
      <c r="G7" s="198"/>
      <c r="H7" s="63"/>
      <c r="I7" s="63"/>
      <c r="J7" s="63"/>
      <c r="K7" s="63"/>
      <c r="L7" s="63"/>
      <c r="M7" s="63"/>
      <c r="N7" s="63"/>
      <c r="O7" s="63"/>
    </row>
    <row r="8" spans="1:15" ht="13" thickBot="1" x14ac:dyDescent="0.3">
      <c r="A8" s="65"/>
      <c r="B8" s="64"/>
      <c r="C8" s="64"/>
      <c r="D8" s="64"/>
      <c r="E8" s="64"/>
      <c r="F8" s="64"/>
      <c r="G8" s="64"/>
      <c r="H8" s="63"/>
      <c r="I8" s="63"/>
      <c r="J8" s="63"/>
      <c r="K8" s="63"/>
      <c r="L8" s="63"/>
      <c r="M8" s="63"/>
      <c r="N8" s="63"/>
      <c r="O8" s="63"/>
    </row>
    <row r="9" spans="1:15" ht="13.5" thickBot="1" x14ac:dyDescent="0.35">
      <c r="A9" s="93" t="s">
        <v>47</v>
      </c>
      <c r="B9" s="98" t="s">
        <v>173</v>
      </c>
      <c r="C9" s="63"/>
      <c r="D9" s="63"/>
      <c r="E9" s="63"/>
      <c r="F9" s="63"/>
      <c r="G9" s="63"/>
      <c r="H9" s="63"/>
      <c r="I9" s="63"/>
      <c r="J9" s="63"/>
      <c r="K9" s="63"/>
      <c r="L9" s="63"/>
      <c r="M9" s="63"/>
      <c r="N9" s="63"/>
      <c r="O9" s="63"/>
    </row>
    <row r="10" spans="1:15" ht="13.5" thickBot="1" x14ac:dyDescent="0.3">
      <c r="A10" s="65"/>
      <c r="B10" s="89"/>
      <c r="C10" s="63"/>
      <c r="D10" s="63"/>
      <c r="E10" s="63"/>
      <c r="F10" s="63"/>
      <c r="G10" s="63"/>
      <c r="H10" s="63"/>
      <c r="I10" s="63"/>
      <c r="J10" s="63"/>
      <c r="K10" s="63"/>
      <c r="L10" s="63"/>
      <c r="M10" s="63"/>
      <c r="N10" s="63"/>
      <c r="O10" s="63"/>
    </row>
    <row r="11" spans="1:15" ht="12" customHeight="1" x14ac:dyDescent="0.25">
      <c r="A11" s="182" t="s">
        <v>117</v>
      </c>
      <c r="B11" s="184" t="s">
        <v>154</v>
      </c>
      <c r="C11" s="185"/>
      <c r="D11" s="185"/>
      <c r="E11" s="185"/>
      <c r="F11" s="185"/>
      <c r="G11" s="186"/>
      <c r="H11" s="63"/>
      <c r="I11" s="63"/>
      <c r="J11" s="63"/>
      <c r="K11" s="63"/>
      <c r="L11" s="63"/>
      <c r="M11" s="63"/>
      <c r="N11" s="63"/>
      <c r="O11" s="63"/>
    </row>
    <row r="12" spans="1:15" x14ac:dyDescent="0.25">
      <c r="A12" s="183"/>
      <c r="B12" s="187"/>
      <c r="C12" s="188"/>
      <c r="D12" s="188"/>
      <c r="E12" s="188"/>
      <c r="F12" s="188"/>
      <c r="G12" s="189"/>
      <c r="H12" s="63"/>
      <c r="I12" s="63"/>
      <c r="J12" s="63"/>
      <c r="K12" s="63"/>
      <c r="L12" s="63"/>
      <c r="M12" s="63"/>
      <c r="N12" s="63"/>
      <c r="O12" s="63"/>
    </row>
    <row r="13" spans="1:15" x14ac:dyDescent="0.25">
      <c r="A13" s="183"/>
      <c r="B13" s="187"/>
      <c r="C13" s="188"/>
      <c r="D13" s="188"/>
      <c r="E13" s="188"/>
      <c r="F13" s="188"/>
      <c r="G13" s="189"/>
      <c r="H13" s="62"/>
      <c r="I13" s="63"/>
      <c r="J13" s="63"/>
      <c r="K13" s="63"/>
      <c r="L13" s="63"/>
      <c r="M13" s="63"/>
      <c r="N13" s="63"/>
      <c r="O13" s="63"/>
    </row>
    <row r="14" spans="1:15" ht="22.25" customHeight="1" thickBot="1" x14ac:dyDescent="0.3">
      <c r="A14" s="183"/>
      <c r="B14" s="190"/>
      <c r="C14" s="191"/>
      <c r="D14" s="191"/>
      <c r="E14" s="191"/>
      <c r="F14" s="191"/>
      <c r="G14" s="192"/>
      <c r="H14" s="67"/>
      <c r="I14" s="63"/>
      <c r="J14" s="63"/>
      <c r="K14" s="63"/>
      <c r="L14" s="63"/>
      <c r="M14" s="63"/>
      <c r="N14" s="63"/>
      <c r="O14" s="63"/>
    </row>
    <row r="15" spans="1:15" ht="13.5" thickBot="1" x14ac:dyDescent="0.3">
      <c r="A15" s="62"/>
      <c r="B15" s="62"/>
      <c r="C15" s="62"/>
      <c r="D15" s="62"/>
      <c r="E15" s="62"/>
      <c r="F15" s="62"/>
      <c r="G15" s="62"/>
      <c r="H15" s="67"/>
      <c r="I15" s="63"/>
      <c r="J15" s="63"/>
      <c r="K15" s="63"/>
      <c r="L15" s="63"/>
      <c r="M15" s="63"/>
      <c r="N15" s="63"/>
      <c r="O15" s="63"/>
    </row>
    <row r="16" spans="1:15" x14ac:dyDescent="0.25">
      <c r="A16" s="182" t="s">
        <v>48</v>
      </c>
      <c r="B16" s="184" t="s">
        <v>140</v>
      </c>
      <c r="C16" s="185"/>
      <c r="D16" s="185"/>
      <c r="E16" s="185"/>
      <c r="F16" s="185"/>
      <c r="G16" s="186"/>
      <c r="H16" s="63"/>
      <c r="I16" s="63"/>
      <c r="J16" s="63"/>
      <c r="K16" s="63"/>
      <c r="L16" s="63"/>
      <c r="M16" s="63"/>
      <c r="N16" s="63"/>
      <c r="O16" s="63"/>
    </row>
    <row r="17" spans="1:16" x14ac:dyDescent="0.25">
      <c r="A17" s="183"/>
      <c r="B17" s="187"/>
      <c r="C17" s="188"/>
      <c r="D17" s="188"/>
      <c r="E17" s="188"/>
      <c r="F17" s="188"/>
      <c r="G17" s="189"/>
      <c r="H17" s="63"/>
      <c r="I17" s="63"/>
      <c r="J17" s="63"/>
      <c r="K17" s="63"/>
      <c r="L17" s="63"/>
      <c r="M17" s="63"/>
      <c r="N17" s="63"/>
      <c r="O17" s="63"/>
    </row>
    <row r="18" spans="1:16" x14ac:dyDescent="0.25">
      <c r="A18" s="183"/>
      <c r="B18" s="187"/>
      <c r="C18" s="188"/>
      <c r="D18" s="188"/>
      <c r="E18" s="188"/>
      <c r="F18" s="188"/>
      <c r="G18" s="189"/>
      <c r="H18" s="62"/>
      <c r="I18" s="63"/>
      <c r="J18" s="63"/>
      <c r="K18" s="63"/>
      <c r="L18" s="63"/>
      <c r="M18" s="63"/>
      <c r="N18" s="63"/>
      <c r="O18" s="63"/>
    </row>
    <row r="19" spans="1:16" ht="13.5" thickBot="1" x14ac:dyDescent="0.3">
      <c r="A19" s="183"/>
      <c r="B19" s="190"/>
      <c r="C19" s="191"/>
      <c r="D19" s="191"/>
      <c r="E19" s="191"/>
      <c r="F19" s="191"/>
      <c r="G19" s="192"/>
      <c r="H19" s="67"/>
      <c r="I19" s="63"/>
      <c r="J19" s="63"/>
      <c r="K19" s="63"/>
      <c r="L19" s="63"/>
      <c r="M19" s="63"/>
      <c r="N19" s="63"/>
      <c r="O19" s="63"/>
    </row>
    <row r="20" spans="1:16" ht="13.5" thickBot="1" x14ac:dyDescent="0.3">
      <c r="A20" s="62"/>
      <c r="B20" s="62"/>
      <c r="C20" s="62"/>
      <c r="D20" s="62"/>
      <c r="E20" s="62"/>
      <c r="F20" s="62"/>
      <c r="G20" s="62"/>
      <c r="H20" s="67"/>
      <c r="I20" s="63"/>
      <c r="J20" s="63"/>
      <c r="K20" s="63"/>
      <c r="L20" s="63"/>
      <c r="M20" s="63"/>
      <c r="N20" s="63"/>
      <c r="O20" s="63"/>
    </row>
    <row r="21" spans="1:16" ht="12.75" customHeight="1" x14ac:dyDescent="0.3">
      <c r="A21" s="179" t="s">
        <v>52</v>
      </c>
      <c r="B21" s="180"/>
      <c r="C21" s="180"/>
      <c r="D21" s="180"/>
      <c r="E21" s="180"/>
      <c r="F21" s="180"/>
      <c r="G21" s="181"/>
      <c r="H21" s="179" t="s">
        <v>53</v>
      </c>
      <c r="I21" s="180"/>
      <c r="J21" s="180"/>
      <c r="K21" s="181"/>
      <c r="L21" s="179" t="s">
        <v>64</v>
      </c>
      <c r="M21" s="180"/>
      <c r="N21" s="180"/>
      <c r="O21" s="181"/>
      <c r="P21" s="95" t="s">
        <v>51</v>
      </c>
    </row>
    <row r="22" spans="1:16" ht="13" x14ac:dyDescent="0.25">
      <c r="A22" s="96" t="s">
        <v>54</v>
      </c>
      <c r="B22" s="168" t="s">
        <v>141</v>
      </c>
      <c r="C22" s="169"/>
      <c r="D22" s="169"/>
      <c r="E22" s="169"/>
      <c r="F22" s="169"/>
      <c r="G22" s="170"/>
      <c r="H22" s="171" t="s">
        <v>142</v>
      </c>
      <c r="I22" s="171"/>
      <c r="J22" s="171"/>
      <c r="K22" s="171"/>
      <c r="L22" s="171" t="s">
        <v>142</v>
      </c>
      <c r="M22" s="171"/>
      <c r="N22" s="171"/>
      <c r="O22" s="171"/>
      <c r="P22" s="90" t="s">
        <v>173</v>
      </c>
    </row>
    <row r="23" spans="1:16" ht="13" x14ac:dyDescent="0.25">
      <c r="A23" s="96" t="s">
        <v>55</v>
      </c>
      <c r="B23" s="168" t="s">
        <v>143</v>
      </c>
      <c r="C23" s="169"/>
      <c r="D23" s="169"/>
      <c r="E23" s="169"/>
      <c r="F23" s="169"/>
      <c r="G23" s="170"/>
      <c r="H23" s="171" t="s">
        <v>144</v>
      </c>
      <c r="I23" s="171"/>
      <c r="J23" s="171"/>
      <c r="K23" s="171"/>
      <c r="L23" s="171" t="s">
        <v>144</v>
      </c>
      <c r="M23" s="171"/>
      <c r="N23" s="171"/>
      <c r="O23" s="171"/>
      <c r="P23" s="90" t="s">
        <v>173</v>
      </c>
    </row>
    <row r="24" spans="1:16" ht="13.5" customHeight="1" x14ac:dyDescent="0.25">
      <c r="A24" s="96" t="s">
        <v>56</v>
      </c>
      <c r="B24" s="176" t="s">
        <v>145</v>
      </c>
      <c r="C24" s="177"/>
      <c r="D24" s="177"/>
      <c r="E24" s="177"/>
      <c r="F24" s="177"/>
      <c r="G24" s="178"/>
      <c r="H24" s="171" t="s">
        <v>146</v>
      </c>
      <c r="I24" s="171"/>
      <c r="J24" s="171"/>
      <c r="K24" s="171"/>
      <c r="L24" s="171" t="s">
        <v>146</v>
      </c>
      <c r="M24" s="171"/>
      <c r="N24" s="171"/>
      <c r="O24" s="171"/>
      <c r="P24" s="90" t="s">
        <v>173</v>
      </c>
    </row>
    <row r="25" spans="1:16" ht="13" x14ac:dyDescent="0.25">
      <c r="A25" s="96" t="s">
        <v>57</v>
      </c>
      <c r="B25" s="168"/>
      <c r="C25" s="169"/>
      <c r="D25" s="169"/>
      <c r="E25" s="169"/>
      <c r="F25" s="169"/>
      <c r="G25" s="170"/>
      <c r="H25" s="171"/>
      <c r="I25" s="171"/>
      <c r="J25" s="171"/>
      <c r="K25" s="171"/>
      <c r="L25" s="171"/>
      <c r="M25" s="171"/>
      <c r="N25" s="171"/>
      <c r="O25" s="171"/>
      <c r="P25" s="90"/>
    </row>
    <row r="26" spans="1:16" ht="13" x14ac:dyDescent="0.25">
      <c r="A26" s="96" t="s">
        <v>58</v>
      </c>
      <c r="B26" s="168"/>
      <c r="C26" s="169"/>
      <c r="D26" s="169"/>
      <c r="E26" s="169"/>
      <c r="F26" s="169"/>
      <c r="G26" s="170"/>
      <c r="H26" s="171"/>
      <c r="I26" s="171"/>
      <c r="J26" s="171"/>
      <c r="K26" s="171"/>
      <c r="L26" s="171"/>
      <c r="M26" s="171"/>
      <c r="N26" s="171"/>
      <c r="O26" s="171"/>
      <c r="P26" s="90"/>
    </row>
    <row r="27" spans="1:16" ht="13" x14ac:dyDescent="0.25">
      <c r="A27" s="96" t="s">
        <v>59</v>
      </c>
      <c r="B27" s="168"/>
      <c r="C27" s="169"/>
      <c r="D27" s="169"/>
      <c r="E27" s="169"/>
      <c r="F27" s="169"/>
      <c r="G27" s="170"/>
      <c r="H27" s="171"/>
      <c r="I27" s="171"/>
      <c r="J27" s="171"/>
      <c r="K27" s="171"/>
      <c r="L27" s="171"/>
      <c r="M27" s="171"/>
      <c r="N27" s="171"/>
      <c r="O27" s="171"/>
      <c r="P27" s="90"/>
    </row>
    <row r="28" spans="1:16" ht="13" x14ac:dyDescent="0.25">
      <c r="A28" s="96" t="s">
        <v>60</v>
      </c>
      <c r="B28" s="168"/>
      <c r="C28" s="169"/>
      <c r="D28" s="169"/>
      <c r="E28" s="169"/>
      <c r="F28" s="169"/>
      <c r="G28" s="170"/>
      <c r="H28" s="171"/>
      <c r="I28" s="171"/>
      <c r="J28" s="171"/>
      <c r="K28" s="171"/>
      <c r="L28" s="171"/>
      <c r="M28" s="171"/>
      <c r="N28" s="171"/>
      <c r="O28" s="171"/>
      <c r="P28" s="90"/>
    </row>
    <row r="29" spans="1:16" ht="13" x14ac:dyDescent="0.25">
      <c r="A29" s="96" t="s">
        <v>61</v>
      </c>
      <c r="B29" s="168"/>
      <c r="C29" s="169"/>
      <c r="D29" s="169"/>
      <c r="E29" s="169"/>
      <c r="F29" s="169"/>
      <c r="G29" s="170"/>
      <c r="H29" s="171"/>
      <c r="I29" s="171"/>
      <c r="J29" s="171"/>
      <c r="K29" s="171"/>
      <c r="L29" s="171"/>
      <c r="M29" s="171"/>
      <c r="N29" s="171"/>
      <c r="O29" s="171"/>
      <c r="P29" s="90"/>
    </row>
    <row r="30" spans="1:16" ht="13.5" thickBot="1" x14ac:dyDescent="0.3">
      <c r="A30" s="97" t="s">
        <v>62</v>
      </c>
      <c r="B30" s="172"/>
      <c r="C30" s="173"/>
      <c r="D30" s="173"/>
      <c r="E30" s="173"/>
      <c r="F30" s="173"/>
      <c r="G30" s="174"/>
      <c r="H30" s="175"/>
      <c r="I30" s="175"/>
      <c r="J30" s="175"/>
      <c r="K30" s="175"/>
      <c r="L30" s="175"/>
      <c r="M30" s="175"/>
      <c r="N30" s="175"/>
      <c r="O30" s="175"/>
      <c r="P30" s="91"/>
    </row>
    <row r="31" spans="1:16" x14ac:dyDescent="0.25">
      <c r="B31" s="92"/>
      <c r="C31" s="92"/>
      <c r="D31" s="92"/>
      <c r="E31" s="92"/>
      <c r="F31" s="92"/>
      <c r="G31" s="92"/>
      <c r="H31" s="92"/>
    </row>
    <row r="32" spans="1:16" x14ac:dyDescent="0.25">
      <c r="B32" s="92"/>
      <c r="C32" s="92"/>
      <c r="D32" s="92"/>
      <c r="E32" s="92"/>
      <c r="F32" s="92"/>
      <c r="G32" s="92"/>
      <c r="H32" s="92"/>
    </row>
  </sheetData>
  <mergeCells count="3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s>
  <conditionalFormatting sqref="B9:B10">
    <cfRule type="cellIs" dxfId="21" priority="3" operator="equal">
      <formula>"Nok"</formula>
    </cfRule>
    <cfRule type="cellIs" dxfId="20" priority="4" operator="equal">
      <formula>"Ok"</formula>
    </cfRule>
  </conditionalFormatting>
  <conditionalFormatting sqref="P22:P30">
    <cfRule type="cellIs" dxfId="19" priority="1" operator="equal">
      <formula>"Nok"</formula>
    </cfRule>
    <cfRule type="cellIs" dxfId="18" priority="2" operator="equal">
      <formula>"Ok"</formula>
    </cfRule>
  </conditionalFormatting>
  <dataValidations count="3">
    <dataValidation type="list" allowBlank="1" showInputMessage="1" showErrorMessage="1" sqref="P22:P30" xr:uid="{486DA1B6-8637-45BD-B652-A2B2D4A96426}">
      <formula1>"Ok, Nok, Not run, ,"</formula1>
    </dataValidation>
    <dataValidation type="list" allowBlank="1" showInputMessage="1" showErrorMessage="1" sqref="B9" xr:uid="{4650D68B-4E21-4168-9469-B8F26E0191DA}">
      <formula1>"Ok, Nok, Not run, NA"</formula1>
    </dataValidation>
    <dataValidation type="list" allowBlank="1" showInputMessage="1" showErrorMessage="1" sqref="B5" xr:uid="{6ECD0B7D-7197-4D8C-8AA5-A451A53F2D8A}">
      <formula1>"Nominal, Robustness, Endurance, Qualification"</formula1>
    </dataValidation>
  </dataValidations>
  <pageMargins left="0.7" right="0.7" top="0.75" bottom="0.75" header="0.3" footer="0.3"/>
  <pageSetup paperSize="9" orientation="portrait" r:id="rId1"/>
  <headerFooter>
    <oddFooter>&amp;LTBD rev TBD ver TBD&amp;R&amp;P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81796-B2A3-4C32-ADBB-5CD6BA64EB05}">
  <sheetPr codeName="Sheet8"/>
  <dimension ref="A1:P32"/>
  <sheetViews>
    <sheetView topLeftCell="A10" workbookViewId="0">
      <selection activeCell="B22" sqref="B22:G22"/>
    </sheetView>
  </sheetViews>
  <sheetFormatPr defaultColWidth="9.36328125" defaultRowHeight="12.5" x14ac:dyDescent="0.25"/>
  <cols>
    <col min="1" max="1" width="20.36328125" style="92" customWidth="1"/>
    <col min="2" max="2" width="18.453125" style="88" customWidth="1"/>
    <col min="3" max="7" width="9.36328125" style="88"/>
    <col min="8" max="15" width="9.54296875" style="88" customWidth="1"/>
    <col min="16" max="16384" width="9.36328125" style="88"/>
  </cols>
  <sheetData>
    <row r="1" spans="1:15" ht="13.5" thickBot="1" x14ac:dyDescent="0.35">
      <c r="A1" s="93" t="s">
        <v>45</v>
      </c>
      <c r="B1" s="193" t="s">
        <v>186</v>
      </c>
      <c r="C1" s="205"/>
      <c r="D1" s="205"/>
      <c r="E1" s="205"/>
      <c r="F1" s="205"/>
      <c r="G1" s="206"/>
      <c r="H1" s="63"/>
      <c r="I1" s="63"/>
      <c r="J1" s="63"/>
      <c r="K1" s="63"/>
      <c r="L1" s="63"/>
      <c r="M1" s="63"/>
      <c r="N1" s="63"/>
      <c r="O1" s="63"/>
    </row>
    <row r="2" spans="1:15" ht="13" thickBot="1" x14ac:dyDescent="0.3">
      <c r="A2" s="62"/>
      <c r="B2" s="63"/>
      <c r="C2" s="63"/>
      <c r="D2" s="63"/>
      <c r="E2" s="63"/>
      <c r="F2" s="63"/>
      <c r="G2" s="63"/>
      <c r="H2" s="63"/>
      <c r="I2" s="63"/>
      <c r="J2" s="63"/>
      <c r="K2" s="63"/>
      <c r="L2" s="63"/>
      <c r="M2" s="63"/>
      <c r="N2" s="63"/>
      <c r="O2" s="63"/>
    </row>
    <row r="3" spans="1:15" ht="26.5" thickBot="1" x14ac:dyDescent="0.3">
      <c r="A3" s="94" t="s">
        <v>50</v>
      </c>
      <c r="B3" s="196"/>
      <c r="C3" s="197"/>
      <c r="D3" s="197"/>
      <c r="E3" s="197"/>
      <c r="F3" s="197"/>
      <c r="G3" s="198"/>
      <c r="H3" s="63"/>
      <c r="I3" s="63"/>
      <c r="J3" s="63"/>
      <c r="K3" s="63"/>
      <c r="L3" s="63"/>
      <c r="M3" s="63"/>
      <c r="N3" s="63"/>
      <c r="O3" s="63"/>
    </row>
    <row r="4" spans="1:15" ht="13" thickBot="1" x14ac:dyDescent="0.3">
      <c r="A4" s="62"/>
      <c r="B4" s="63"/>
      <c r="C4" s="63"/>
      <c r="D4" s="63"/>
      <c r="E4" s="63"/>
      <c r="F4" s="63"/>
      <c r="G4" s="63"/>
      <c r="H4" s="63"/>
      <c r="I4" s="63"/>
      <c r="J4" s="63"/>
      <c r="K4" s="63"/>
      <c r="L4" s="63"/>
      <c r="M4" s="63"/>
      <c r="N4" s="63"/>
      <c r="O4" s="63"/>
    </row>
    <row r="5" spans="1:15" ht="13.5" thickBot="1" x14ac:dyDescent="0.35">
      <c r="A5" s="93" t="s">
        <v>115</v>
      </c>
      <c r="B5" s="66" t="s">
        <v>138</v>
      </c>
      <c r="C5" s="63"/>
      <c r="D5" s="63"/>
      <c r="E5" s="63"/>
      <c r="F5" s="63"/>
      <c r="G5" s="63"/>
      <c r="H5" s="63"/>
      <c r="I5" s="63"/>
      <c r="J5" s="63"/>
      <c r="K5" s="63"/>
      <c r="L5" s="63"/>
      <c r="M5" s="63"/>
      <c r="N5" s="63"/>
      <c r="O5" s="63"/>
    </row>
    <row r="6" spans="1:15" ht="13" thickBot="1" x14ac:dyDescent="0.3">
      <c r="A6" s="62"/>
      <c r="B6" s="63"/>
      <c r="C6" s="63"/>
      <c r="D6" s="63"/>
      <c r="E6" s="63"/>
      <c r="F6" s="63"/>
      <c r="G6" s="63"/>
      <c r="H6" s="63"/>
      <c r="I6" s="63"/>
      <c r="J6" s="63"/>
      <c r="K6" s="63"/>
      <c r="L6" s="63"/>
      <c r="M6" s="63"/>
      <c r="N6" s="63"/>
      <c r="O6" s="63"/>
    </row>
    <row r="7" spans="1:15" ht="13.5" thickBot="1" x14ac:dyDescent="0.35">
      <c r="A7" s="93" t="s">
        <v>46</v>
      </c>
      <c r="B7" s="196" t="s">
        <v>183</v>
      </c>
      <c r="C7" s="197"/>
      <c r="D7" s="197"/>
      <c r="E7" s="197"/>
      <c r="F7" s="197"/>
      <c r="G7" s="198"/>
      <c r="H7" s="63"/>
      <c r="I7" s="63"/>
      <c r="J7" s="63"/>
      <c r="K7" s="63"/>
      <c r="L7" s="63"/>
      <c r="M7" s="63"/>
      <c r="N7" s="63"/>
      <c r="O7" s="63"/>
    </row>
    <row r="8" spans="1:15" ht="13" thickBot="1" x14ac:dyDescent="0.3">
      <c r="A8" s="65"/>
      <c r="B8" s="64"/>
      <c r="C8" s="64"/>
      <c r="D8" s="64"/>
      <c r="E8" s="64"/>
      <c r="F8" s="64"/>
      <c r="G8" s="64"/>
      <c r="H8" s="63"/>
      <c r="I8" s="63"/>
      <c r="J8" s="63"/>
      <c r="K8" s="63"/>
      <c r="L8" s="63"/>
      <c r="M8" s="63"/>
      <c r="N8" s="63"/>
      <c r="O8" s="63"/>
    </row>
    <row r="9" spans="1:15" ht="13.5" thickBot="1" x14ac:dyDescent="0.35">
      <c r="A9" s="93" t="s">
        <v>47</v>
      </c>
      <c r="B9" s="90" t="s">
        <v>173</v>
      </c>
      <c r="C9" s="63"/>
      <c r="D9" s="63"/>
      <c r="E9" s="63"/>
      <c r="F9" s="63"/>
      <c r="G9" s="63"/>
      <c r="H9" s="63"/>
      <c r="I9" s="63"/>
      <c r="J9" s="63"/>
      <c r="K9" s="63"/>
      <c r="L9" s="63"/>
      <c r="M9" s="63"/>
      <c r="N9" s="63"/>
      <c r="O9" s="63"/>
    </row>
    <row r="10" spans="1:15" ht="13.5" thickBot="1" x14ac:dyDescent="0.3">
      <c r="A10" s="65"/>
      <c r="B10" s="89"/>
      <c r="C10" s="63"/>
      <c r="D10" s="63"/>
      <c r="E10" s="63"/>
      <c r="F10" s="63"/>
      <c r="G10" s="63"/>
      <c r="H10" s="63"/>
      <c r="I10" s="63"/>
      <c r="J10" s="63"/>
      <c r="K10" s="63"/>
      <c r="L10" s="63"/>
      <c r="M10" s="63"/>
      <c r="N10" s="63"/>
      <c r="O10" s="63"/>
    </row>
    <row r="11" spans="1:15" ht="12" customHeight="1" x14ac:dyDescent="0.25">
      <c r="A11" s="182" t="s">
        <v>117</v>
      </c>
      <c r="B11" s="184" t="s">
        <v>154</v>
      </c>
      <c r="C11" s="185"/>
      <c r="D11" s="185"/>
      <c r="E11" s="185"/>
      <c r="F11" s="185"/>
      <c r="G11" s="186"/>
      <c r="H11" s="63"/>
      <c r="I11" s="63"/>
      <c r="J11" s="63"/>
      <c r="K11" s="63"/>
      <c r="L11" s="63"/>
      <c r="M11" s="63"/>
      <c r="N11" s="63"/>
      <c r="O11" s="63"/>
    </row>
    <row r="12" spans="1:15" x14ac:dyDescent="0.25">
      <c r="A12" s="183"/>
      <c r="B12" s="187"/>
      <c r="C12" s="188"/>
      <c r="D12" s="188"/>
      <c r="E12" s="188"/>
      <c r="F12" s="188"/>
      <c r="G12" s="189"/>
      <c r="H12" s="63"/>
      <c r="I12" s="63"/>
      <c r="J12" s="63"/>
      <c r="K12" s="63"/>
      <c r="L12" s="63"/>
      <c r="M12" s="63"/>
      <c r="N12" s="63"/>
      <c r="O12" s="63"/>
    </row>
    <row r="13" spans="1:15" x14ac:dyDescent="0.25">
      <c r="A13" s="183"/>
      <c r="B13" s="187"/>
      <c r="C13" s="188"/>
      <c r="D13" s="188"/>
      <c r="E13" s="188"/>
      <c r="F13" s="188"/>
      <c r="G13" s="189"/>
      <c r="H13" s="62"/>
      <c r="I13" s="63"/>
      <c r="J13" s="63"/>
      <c r="K13" s="63"/>
      <c r="L13" s="63"/>
      <c r="M13" s="63"/>
      <c r="N13" s="63"/>
      <c r="O13" s="63"/>
    </row>
    <row r="14" spans="1:15" ht="25.25" customHeight="1" thickBot="1" x14ac:dyDescent="0.3">
      <c r="A14" s="183"/>
      <c r="B14" s="190"/>
      <c r="C14" s="191"/>
      <c r="D14" s="191"/>
      <c r="E14" s="191"/>
      <c r="F14" s="191"/>
      <c r="G14" s="192"/>
      <c r="H14" s="67"/>
      <c r="I14" s="63"/>
      <c r="J14" s="63"/>
      <c r="K14" s="63"/>
      <c r="L14" s="63"/>
      <c r="M14" s="63"/>
      <c r="N14" s="63"/>
      <c r="O14" s="63"/>
    </row>
    <row r="15" spans="1:15" ht="13.5" thickBot="1" x14ac:dyDescent="0.3">
      <c r="A15" s="62"/>
      <c r="B15" s="62"/>
      <c r="C15" s="62"/>
      <c r="D15" s="62"/>
      <c r="E15" s="62"/>
      <c r="F15" s="62"/>
      <c r="G15" s="62"/>
      <c r="H15" s="67"/>
      <c r="I15" s="63"/>
      <c r="J15" s="63"/>
      <c r="K15" s="63"/>
      <c r="L15" s="63"/>
      <c r="M15" s="63"/>
      <c r="N15" s="63"/>
      <c r="O15" s="63"/>
    </row>
    <row r="16" spans="1:15" ht="13.25" customHeight="1" x14ac:dyDescent="0.25">
      <c r="A16" s="182" t="s">
        <v>48</v>
      </c>
      <c r="B16" s="184" t="s">
        <v>157</v>
      </c>
      <c r="C16" s="185"/>
      <c r="D16" s="185"/>
      <c r="E16" s="185"/>
      <c r="F16" s="185"/>
      <c r="G16" s="186"/>
      <c r="H16" s="63"/>
      <c r="I16" s="63"/>
      <c r="J16" s="63"/>
      <c r="K16" s="63"/>
      <c r="L16" s="63"/>
      <c r="M16" s="63"/>
      <c r="N16" s="63"/>
      <c r="O16" s="63"/>
    </row>
    <row r="17" spans="1:16" x14ac:dyDescent="0.25">
      <c r="A17" s="183"/>
      <c r="B17" s="187"/>
      <c r="C17" s="188"/>
      <c r="D17" s="188"/>
      <c r="E17" s="188"/>
      <c r="F17" s="188"/>
      <c r="G17" s="189"/>
      <c r="H17" s="63"/>
      <c r="I17" s="63"/>
      <c r="J17" s="63"/>
      <c r="K17" s="63"/>
      <c r="L17" s="63"/>
      <c r="M17" s="63"/>
      <c r="N17" s="63"/>
      <c r="O17" s="63"/>
    </row>
    <row r="18" spans="1:16" x14ac:dyDescent="0.25">
      <c r="A18" s="183"/>
      <c r="B18" s="187"/>
      <c r="C18" s="188"/>
      <c r="D18" s="188"/>
      <c r="E18" s="188"/>
      <c r="F18" s="188"/>
      <c r="G18" s="189"/>
      <c r="H18" s="62"/>
      <c r="I18" s="63"/>
      <c r="J18" s="63"/>
      <c r="K18" s="63"/>
      <c r="L18" s="63"/>
      <c r="M18" s="63"/>
      <c r="N18" s="63"/>
      <c r="O18" s="63"/>
    </row>
    <row r="19" spans="1:16" ht="13.5" thickBot="1" x14ac:dyDescent="0.3">
      <c r="A19" s="183"/>
      <c r="B19" s="190"/>
      <c r="C19" s="191"/>
      <c r="D19" s="191"/>
      <c r="E19" s="191"/>
      <c r="F19" s="191"/>
      <c r="G19" s="192"/>
      <c r="H19" s="67"/>
      <c r="I19" s="63"/>
      <c r="J19" s="63"/>
      <c r="K19" s="63"/>
      <c r="L19" s="63"/>
      <c r="M19" s="63"/>
      <c r="N19" s="63"/>
      <c r="O19" s="63"/>
    </row>
    <row r="20" spans="1:16" ht="13.5" thickBot="1" x14ac:dyDescent="0.3">
      <c r="A20" s="62"/>
      <c r="B20" s="62"/>
      <c r="C20" s="62"/>
      <c r="D20" s="62"/>
      <c r="E20" s="62"/>
      <c r="F20" s="62"/>
      <c r="G20" s="62"/>
      <c r="H20" s="67"/>
      <c r="I20" s="63"/>
      <c r="J20" s="63"/>
      <c r="K20" s="63"/>
      <c r="L20" s="63"/>
      <c r="M20" s="63"/>
      <c r="N20" s="63"/>
      <c r="O20" s="63"/>
    </row>
    <row r="21" spans="1:16" ht="12.75" customHeight="1" x14ac:dyDescent="0.3">
      <c r="A21" s="179" t="s">
        <v>52</v>
      </c>
      <c r="B21" s="180"/>
      <c r="C21" s="180"/>
      <c r="D21" s="180"/>
      <c r="E21" s="180"/>
      <c r="F21" s="180"/>
      <c r="G21" s="181"/>
      <c r="H21" s="179" t="s">
        <v>53</v>
      </c>
      <c r="I21" s="180"/>
      <c r="J21" s="180"/>
      <c r="K21" s="181"/>
      <c r="L21" s="179" t="s">
        <v>64</v>
      </c>
      <c r="M21" s="180"/>
      <c r="N21" s="180"/>
      <c r="O21" s="181"/>
      <c r="P21" s="95" t="s">
        <v>51</v>
      </c>
    </row>
    <row r="22" spans="1:16" ht="36.65" customHeight="1" x14ac:dyDescent="0.25">
      <c r="A22" s="96" t="s">
        <v>54</v>
      </c>
      <c r="B22" s="199" t="s">
        <v>148</v>
      </c>
      <c r="C22" s="200"/>
      <c r="D22" s="200"/>
      <c r="E22" s="200"/>
      <c r="F22" s="200"/>
      <c r="G22" s="201"/>
      <c r="H22" s="202" t="s">
        <v>174</v>
      </c>
      <c r="I22" s="203"/>
      <c r="J22" s="203"/>
      <c r="K22" s="204"/>
      <c r="L22" s="202" t="s">
        <v>175</v>
      </c>
      <c r="M22" s="203"/>
      <c r="N22" s="203"/>
      <c r="O22" s="204"/>
      <c r="P22" s="90" t="s">
        <v>173</v>
      </c>
    </row>
    <row r="23" spans="1:16" ht="45.65" customHeight="1" x14ac:dyDescent="0.25">
      <c r="A23" s="96" t="s">
        <v>55</v>
      </c>
      <c r="B23" s="199" t="s">
        <v>149</v>
      </c>
      <c r="C23" s="200"/>
      <c r="D23" s="200"/>
      <c r="E23" s="200"/>
      <c r="F23" s="200"/>
      <c r="G23" s="201"/>
      <c r="H23" s="171" t="s">
        <v>150</v>
      </c>
      <c r="I23" s="171"/>
      <c r="J23" s="171"/>
      <c r="K23" s="171"/>
      <c r="L23" s="171" t="s">
        <v>151</v>
      </c>
      <c r="M23" s="171"/>
      <c r="N23" s="171"/>
      <c r="O23" s="171"/>
      <c r="P23" s="90" t="s">
        <v>173</v>
      </c>
    </row>
    <row r="24" spans="1:16" ht="30" customHeight="1" x14ac:dyDescent="0.25">
      <c r="A24" s="96" t="s">
        <v>56</v>
      </c>
      <c r="B24" s="199" t="s">
        <v>152</v>
      </c>
      <c r="C24" s="200"/>
      <c r="D24" s="200"/>
      <c r="E24" s="200"/>
      <c r="F24" s="200"/>
      <c r="G24" s="201"/>
      <c r="H24" s="171" t="s">
        <v>153</v>
      </c>
      <c r="I24" s="171"/>
      <c r="J24" s="171"/>
      <c r="K24" s="171"/>
      <c r="L24" s="171" t="s">
        <v>184</v>
      </c>
      <c r="M24" s="171"/>
      <c r="N24" s="171"/>
      <c r="O24" s="171"/>
      <c r="P24" s="90" t="s">
        <v>173</v>
      </c>
    </row>
    <row r="25" spans="1:16" ht="13" x14ac:dyDescent="0.25">
      <c r="A25" s="96" t="s">
        <v>57</v>
      </c>
      <c r="B25" s="168"/>
      <c r="C25" s="169"/>
      <c r="D25" s="169"/>
      <c r="E25" s="169"/>
      <c r="F25" s="169"/>
      <c r="G25" s="170"/>
      <c r="H25" s="171"/>
      <c r="I25" s="171"/>
      <c r="J25" s="171"/>
      <c r="K25" s="171"/>
      <c r="L25" s="171"/>
      <c r="M25" s="171"/>
      <c r="N25" s="171"/>
      <c r="O25" s="171"/>
      <c r="P25" s="90"/>
    </row>
    <row r="26" spans="1:16" ht="13" x14ac:dyDescent="0.25">
      <c r="A26" s="96" t="s">
        <v>58</v>
      </c>
      <c r="B26" s="168"/>
      <c r="C26" s="169"/>
      <c r="D26" s="169"/>
      <c r="E26" s="169"/>
      <c r="F26" s="169"/>
      <c r="G26" s="170"/>
      <c r="H26" s="171"/>
      <c r="I26" s="171"/>
      <c r="J26" s="171"/>
      <c r="K26" s="171"/>
      <c r="L26" s="171"/>
      <c r="M26" s="171"/>
      <c r="N26" s="171"/>
      <c r="O26" s="171"/>
      <c r="P26" s="90"/>
    </row>
    <row r="27" spans="1:16" ht="13" x14ac:dyDescent="0.25">
      <c r="A27" s="96" t="s">
        <v>59</v>
      </c>
      <c r="B27" s="168"/>
      <c r="C27" s="169"/>
      <c r="D27" s="169"/>
      <c r="E27" s="169"/>
      <c r="F27" s="169"/>
      <c r="G27" s="170"/>
      <c r="H27" s="171"/>
      <c r="I27" s="171"/>
      <c r="J27" s="171"/>
      <c r="K27" s="171"/>
      <c r="L27" s="171"/>
      <c r="M27" s="171"/>
      <c r="N27" s="171"/>
      <c r="O27" s="171"/>
      <c r="P27" s="90"/>
    </row>
    <row r="28" spans="1:16" ht="13" x14ac:dyDescent="0.25">
      <c r="A28" s="96" t="s">
        <v>60</v>
      </c>
      <c r="B28" s="168"/>
      <c r="C28" s="169"/>
      <c r="D28" s="169"/>
      <c r="E28" s="169"/>
      <c r="F28" s="169"/>
      <c r="G28" s="170"/>
      <c r="H28" s="171"/>
      <c r="I28" s="171"/>
      <c r="J28" s="171"/>
      <c r="K28" s="171"/>
      <c r="L28" s="171"/>
      <c r="M28" s="171"/>
      <c r="N28" s="171"/>
      <c r="O28" s="171"/>
      <c r="P28" s="90"/>
    </row>
    <row r="29" spans="1:16" ht="13" x14ac:dyDescent="0.25">
      <c r="A29" s="96" t="s">
        <v>61</v>
      </c>
      <c r="B29" s="168"/>
      <c r="C29" s="169"/>
      <c r="D29" s="169"/>
      <c r="E29" s="169"/>
      <c r="F29" s="169"/>
      <c r="G29" s="170"/>
      <c r="H29" s="171"/>
      <c r="I29" s="171"/>
      <c r="J29" s="171"/>
      <c r="K29" s="171"/>
      <c r="L29" s="171"/>
      <c r="M29" s="171"/>
      <c r="N29" s="171"/>
      <c r="O29" s="171"/>
      <c r="P29" s="90"/>
    </row>
    <row r="30" spans="1:16" ht="13.5" thickBot="1" x14ac:dyDescent="0.3">
      <c r="A30" s="97" t="s">
        <v>62</v>
      </c>
      <c r="B30" s="172"/>
      <c r="C30" s="173"/>
      <c r="D30" s="173"/>
      <c r="E30" s="173"/>
      <c r="F30" s="173"/>
      <c r="G30" s="174"/>
      <c r="H30" s="175"/>
      <c r="I30" s="175"/>
      <c r="J30" s="175"/>
      <c r="K30" s="175"/>
      <c r="L30" s="175"/>
      <c r="M30" s="175"/>
      <c r="N30" s="175"/>
      <c r="O30" s="175"/>
      <c r="P30" s="91"/>
    </row>
    <row r="31" spans="1:16" x14ac:dyDescent="0.25">
      <c r="B31" s="92"/>
      <c r="C31" s="92"/>
      <c r="D31" s="92"/>
      <c r="E31" s="92"/>
      <c r="F31" s="92"/>
      <c r="G31" s="92"/>
      <c r="H31" s="92"/>
    </row>
    <row r="32" spans="1:16" x14ac:dyDescent="0.25">
      <c r="B32" s="92"/>
      <c r="C32" s="92"/>
      <c r="D32" s="92"/>
      <c r="E32" s="92"/>
      <c r="F32" s="92"/>
      <c r="G32" s="92"/>
      <c r="H32" s="92"/>
    </row>
  </sheetData>
  <mergeCells count="3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s>
  <conditionalFormatting sqref="P22:P30">
    <cfRule type="cellIs" dxfId="17" priority="5" operator="equal">
      <formula>"Nok"</formula>
    </cfRule>
    <cfRule type="cellIs" dxfId="16" priority="6" operator="equal">
      <formula>"Ok"</formula>
    </cfRule>
  </conditionalFormatting>
  <conditionalFormatting sqref="B10">
    <cfRule type="cellIs" dxfId="15" priority="3" operator="equal">
      <formula>"Nok"</formula>
    </cfRule>
    <cfRule type="cellIs" dxfId="14" priority="4" operator="equal">
      <formula>"Ok"</formula>
    </cfRule>
  </conditionalFormatting>
  <conditionalFormatting sqref="B9">
    <cfRule type="cellIs" dxfId="13" priority="1" operator="equal">
      <formula>"Nok"</formula>
    </cfRule>
    <cfRule type="cellIs" dxfId="12" priority="2" operator="equal">
      <formula>"Ok"</formula>
    </cfRule>
  </conditionalFormatting>
  <dataValidations count="2">
    <dataValidation type="list" allowBlank="1" showInputMessage="1" showErrorMessage="1" sqref="P22:P30 B9" xr:uid="{9CD8E63C-D92A-427B-83EB-9173CB74853A}">
      <formula1>"Ok, Nok, Not run, ,"</formula1>
    </dataValidation>
    <dataValidation type="list" allowBlank="1" showInputMessage="1" showErrorMessage="1" sqref="B5" xr:uid="{03997AC4-644A-4BA8-84AD-3A401B039CEF}">
      <formula1>"Nominal, Robustness, Endurance, Qualification"</formula1>
    </dataValidation>
  </dataValidations>
  <pageMargins left="0.7" right="0.7" top="0.75" bottom="0.75" header="0.3" footer="0.3"/>
  <pageSetup paperSize="9" orientation="portrait" r:id="rId1"/>
  <headerFooter>
    <oddFooter>&amp;LTBD rev TBD ver TBD&amp;R&amp;P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77CC3-3304-4B86-A4AA-0376B1DDD4B8}">
  <sheetPr codeName="Sheet9"/>
  <dimension ref="A1:P33"/>
  <sheetViews>
    <sheetView topLeftCell="A11" workbookViewId="0">
      <selection activeCell="B25" sqref="B25:G25"/>
    </sheetView>
  </sheetViews>
  <sheetFormatPr defaultColWidth="9.36328125" defaultRowHeight="12.5" x14ac:dyDescent="0.25"/>
  <cols>
    <col min="1" max="1" width="20.36328125" style="92" customWidth="1"/>
    <col min="2" max="2" width="18.453125" style="88" customWidth="1"/>
    <col min="3" max="7" width="9.36328125" style="88"/>
    <col min="8" max="15" width="9.54296875" style="88" customWidth="1"/>
    <col min="16" max="16384" width="9.36328125" style="88"/>
  </cols>
  <sheetData>
    <row r="1" spans="1:15" ht="13.5" thickBot="1" x14ac:dyDescent="0.35">
      <c r="A1" s="93" t="s">
        <v>45</v>
      </c>
      <c r="B1" s="193" t="s">
        <v>155</v>
      </c>
      <c r="C1" s="194"/>
      <c r="D1" s="194"/>
      <c r="E1" s="194"/>
      <c r="F1" s="194"/>
      <c r="G1" s="195"/>
      <c r="H1" s="63"/>
      <c r="I1" s="63"/>
      <c r="J1" s="63"/>
      <c r="K1" s="63"/>
      <c r="L1" s="63"/>
      <c r="M1" s="63"/>
      <c r="N1" s="63"/>
      <c r="O1" s="63"/>
    </row>
    <row r="2" spans="1:15" ht="13" thickBot="1" x14ac:dyDescent="0.3">
      <c r="A2" s="62"/>
      <c r="B2" s="63"/>
      <c r="C2" s="63"/>
      <c r="D2" s="63"/>
      <c r="E2" s="63"/>
      <c r="F2" s="63"/>
      <c r="G2" s="63"/>
      <c r="H2" s="63"/>
      <c r="I2" s="63"/>
      <c r="J2" s="63"/>
      <c r="K2" s="63"/>
      <c r="L2" s="63"/>
      <c r="M2" s="63"/>
      <c r="N2" s="63"/>
      <c r="O2" s="63"/>
    </row>
    <row r="3" spans="1:15" ht="26.5" thickBot="1" x14ac:dyDescent="0.3">
      <c r="A3" s="94" t="s">
        <v>50</v>
      </c>
      <c r="B3" s="196"/>
      <c r="C3" s="197"/>
      <c r="D3" s="197"/>
      <c r="E3" s="197"/>
      <c r="F3" s="197"/>
      <c r="G3" s="198"/>
      <c r="H3" s="63"/>
      <c r="I3" s="63"/>
      <c r="J3" s="63"/>
      <c r="K3" s="63"/>
      <c r="L3" s="63"/>
      <c r="M3" s="63"/>
      <c r="N3" s="63"/>
      <c r="O3" s="63"/>
    </row>
    <row r="4" spans="1:15" ht="13" thickBot="1" x14ac:dyDescent="0.3">
      <c r="A4" s="62"/>
      <c r="B4" s="63"/>
      <c r="C4" s="63"/>
      <c r="D4" s="63"/>
      <c r="E4" s="63"/>
      <c r="F4" s="63"/>
      <c r="G4" s="63"/>
      <c r="H4" s="63"/>
      <c r="I4" s="63"/>
      <c r="J4" s="63"/>
      <c r="K4" s="63"/>
      <c r="L4" s="63"/>
      <c r="M4" s="63"/>
      <c r="N4" s="63"/>
      <c r="O4" s="63"/>
    </row>
    <row r="5" spans="1:15" ht="13.5" thickBot="1" x14ac:dyDescent="0.35">
      <c r="A5" s="93" t="s">
        <v>115</v>
      </c>
      <c r="B5" s="66" t="s">
        <v>138</v>
      </c>
      <c r="C5" s="63"/>
      <c r="D5" s="63"/>
      <c r="E5" s="63"/>
      <c r="F5" s="63"/>
      <c r="G5" s="63"/>
      <c r="H5" s="63"/>
      <c r="I5" s="63"/>
      <c r="J5" s="63"/>
      <c r="K5" s="63"/>
      <c r="L5" s="63"/>
      <c r="M5" s="63"/>
      <c r="N5" s="63"/>
      <c r="O5" s="63"/>
    </row>
    <row r="6" spans="1:15" ht="13" thickBot="1" x14ac:dyDescent="0.3">
      <c r="A6" s="62"/>
      <c r="B6" s="63"/>
      <c r="C6" s="63"/>
      <c r="D6" s="63"/>
      <c r="E6" s="63"/>
      <c r="F6" s="63"/>
      <c r="G6" s="63"/>
      <c r="H6" s="63"/>
      <c r="I6" s="63"/>
      <c r="J6" s="63"/>
      <c r="K6" s="63"/>
      <c r="L6" s="63"/>
      <c r="M6" s="63"/>
      <c r="N6" s="63"/>
      <c r="O6" s="63"/>
    </row>
    <row r="7" spans="1:15" ht="13.5" thickBot="1" x14ac:dyDescent="0.35">
      <c r="A7" s="93" t="s">
        <v>46</v>
      </c>
      <c r="B7" s="196" t="s">
        <v>156</v>
      </c>
      <c r="C7" s="197"/>
      <c r="D7" s="197"/>
      <c r="E7" s="197"/>
      <c r="F7" s="197"/>
      <c r="G7" s="198"/>
      <c r="H7" s="63"/>
      <c r="I7" s="63"/>
      <c r="J7" s="63"/>
      <c r="K7" s="63"/>
      <c r="L7" s="63"/>
      <c r="M7" s="63"/>
      <c r="N7" s="63"/>
      <c r="O7" s="63"/>
    </row>
    <row r="8" spans="1:15" ht="13" thickBot="1" x14ac:dyDescent="0.3">
      <c r="A8" s="65"/>
      <c r="B8" s="64"/>
      <c r="C8" s="64"/>
      <c r="D8" s="64"/>
      <c r="E8" s="64"/>
      <c r="F8" s="64"/>
      <c r="G8" s="64"/>
      <c r="H8" s="63"/>
      <c r="I8" s="63"/>
      <c r="J8" s="63"/>
      <c r="K8" s="63"/>
      <c r="L8" s="63"/>
      <c r="M8" s="63"/>
      <c r="N8" s="63"/>
      <c r="O8" s="63"/>
    </row>
    <row r="9" spans="1:15" ht="13.5" thickBot="1" x14ac:dyDescent="0.35">
      <c r="A9" s="93" t="s">
        <v>47</v>
      </c>
      <c r="B9" s="98" t="s">
        <v>173</v>
      </c>
      <c r="C9" s="63"/>
      <c r="D9" s="63"/>
      <c r="E9" s="63"/>
      <c r="F9" s="63"/>
      <c r="G9" s="63"/>
      <c r="H9" s="63"/>
      <c r="I9" s="63"/>
      <c r="J9" s="63"/>
      <c r="K9" s="63"/>
      <c r="L9" s="63"/>
      <c r="M9" s="63"/>
      <c r="N9" s="63"/>
      <c r="O9" s="63"/>
    </row>
    <row r="10" spans="1:15" ht="13.5" thickBot="1" x14ac:dyDescent="0.3">
      <c r="A10" s="65"/>
      <c r="B10" s="89"/>
      <c r="C10" s="63"/>
      <c r="D10" s="63"/>
      <c r="E10" s="63"/>
      <c r="F10" s="63"/>
      <c r="G10" s="63"/>
      <c r="H10" s="63"/>
      <c r="I10" s="63"/>
      <c r="J10" s="63"/>
      <c r="K10" s="63"/>
      <c r="L10" s="63"/>
      <c r="M10" s="63"/>
      <c r="N10" s="63"/>
      <c r="O10" s="63"/>
    </row>
    <row r="11" spans="1:15" ht="12" customHeight="1" x14ac:dyDescent="0.25">
      <c r="A11" s="182" t="s">
        <v>117</v>
      </c>
      <c r="B11" s="184" t="s">
        <v>154</v>
      </c>
      <c r="C11" s="185"/>
      <c r="D11" s="185"/>
      <c r="E11" s="185"/>
      <c r="F11" s="185"/>
      <c r="G11" s="186"/>
      <c r="H11" s="63"/>
      <c r="I11" s="63"/>
      <c r="J11" s="63"/>
      <c r="K11" s="63"/>
      <c r="L11" s="63"/>
      <c r="M11" s="63"/>
      <c r="N11" s="63"/>
      <c r="O11" s="63"/>
    </row>
    <row r="12" spans="1:15" x14ac:dyDescent="0.25">
      <c r="A12" s="183"/>
      <c r="B12" s="187"/>
      <c r="C12" s="188"/>
      <c r="D12" s="188"/>
      <c r="E12" s="188"/>
      <c r="F12" s="188"/>
      <c r="G12" s="189"/>
      <c r="H12" s="63"/>
      <c r="I12" s="63"/>
      <c r="J12" s="63"/>
      <c r="K12" s="63"/>
      <c r="L12" s="63"/>
      <c r="M12" s="63"/>
      <c r="N12" s="63"/>
      <c r="O12" s="63"/>
    </row>
    <row r="13" spans="1:15" x14ac:dyDescent="0.25">
      <c r="A13" s="183"/>
      <c r="B13" s="187"/>
      <c r="C13" s="188"/>
      <c r="D13" s="188"/>
      <c r="E13" s="188"/>
      <c r="F13" s="188"/>
      <c r="G13" s="189"/>
      <c r="H13" s="62"/>
      <c r="I13" s="63"/>
      <c r="J13" s="63"/>
      <c r="K13" s="63"/>
      <c r="L13" s="63"/>
      <c r="M13" s="63"/>
      <c r="N13" s="63"/>
      <c r="O13" s="63"/>
    </row>
    <row r="14" spans="1:15" ht="13.5" thickBot="1" x14ac:dyDescent="0.3">
      <c r="A14" s="183"/>
      <c r="B14" s="190"/>
      <c r="C14" s="191"/>
      <c r="D14" s="191"/>
      <c r="E14" s="191"/>
      <c r="F14" s="191"/>
      <c r="G14" s="192"/>
      <c r="H14" s="67"/>
      <c r="I14" s="63"/>
      <c r="J14" s="63"/>
      <c r="K14" s="63"/>
      <c r="L14" s="63"/>
      <c r="M14" s="63"/>
      <c r="N14" s="63"/>
      <c r="O14" s="63"/>
    </row>
    <row r="15" spans="1:15" ht="13.5" thickBot="1" x14ac:dyDescent="0.3">
      <c r="A15" s="62"/>
      <c r="B15" s="62"/>
      <c r="C15" s="62"/>
      <c r="D15" s="62"/>
      <c r="E15" s="62"/>
      <c r="F15" s="62"/>
      <c r="G15" s="62"/>
      <c r="H15" s="67"/>
      <c r="I15" s="63"/>
      <c r="J15" s="63"/>
      <c r="K15" s="63"/>
      <c r="L15" s="63"/>
      <c r="M15" s="63"/>
      <c r="N15" s="63"/>
      <c r="O15" s="63"/>
    </row>
    <row r="16" spans="1:15" x14ac:dyDescent="0.25">
      <c r="A16" s="182" t="s">
        <v>48</v>
      </c>
      <c r="B16" s="184" t="s">
        <v>147</v>
      </c>
      <c r="C16" s="185"/>
      <c r="D16" s="185"/>
      <c r="E16" s="185"/>
      <c r="F16" s="185"/>
      <c r="G16" s="186"/>
      <c r="H16" s="63"/>
      <c r="I16" s="63"/>
      <c r="J16" s="63"/>
      <c r="K16" s="63"/>
      <c r="L16" s="63"/>
      <c r="M16" s="63"/>
      <c r="N16" s="63"/>
      <c r="O16" s="63"/>
    </row>
    <row r="17" spans="1:16" x14ac:dyDescent="0.25">
      <c r="A17" s="183"/>
      <c r="B17" s="187"/>
      <c r="C17" s="188"/>
      <c r="D17" s="188"/>
      <c r="E17" s="188"/>
      <c r="F17" s="188"/>
      <c r="G17" s="189"/>
      <c r="H17" s="63"/>
      <c r="I17" s="63"/>
      <c r="J17" s="63"/>
      <c r="K17" s="63"/>
      <c r="L17" s="63"/>
      <c r="M17" s="63"/>
      <c r="N17" s="63"/>
      <c r="O17" s="63"/>
    </row>
    <row r="18" spans="1:16" x14ac:dyDescent="0.25">
      <c r="A18" s="183"/>
      <c r="B18" s="187"/>
      <c r="C18" s="188"/>
      <c r="D18" s="188"/>
      <c r="E18" s="188"/>
      <c r="F18" s="188"/>
      <c r="G18" s="189"/>
      <c r="H18" s="62"/>
      <c r="I18" s="63"/>
      <c r="J18" s="63"/>
      <c r="K18" s="63"/>
      <c r="L18" s="63"/>
      <c r="M18" s="63"/>
      <c r="N18" s="63"/>
      <c r="O18" s="63"/>
    </row>
    <row r="19" spans="1:16" ht="13.5" thickBot="1" x14ac:dyDescent="0.3">
      <c r="A19" s="183"/>
      <c r="B19" s="190"/>
      <c r="C19" s="191"/>
      <c r="D19" s="191"/>
      <c r="E19" s="191"/>
      <c r="F19" s="191"/>
      <c r="G19" s="192"/>
      <c r="H19" s="67"/>
      <c r="I19" s="63"/>
      <c r="J19" s="63"/>
      <c r="K19" s="63"/>
      <c r="L19" s="63"/>
      <c r="M19" s="63"/>
      <c r="N19" s="63"/>
      <c r="O19" s="63"/>
    </row>
    <row r="20" spans="1:16" ht="13.5" thickBot="1" x14ac:dyDescent="0.3">
      <c r="A20" s="62"/>
      <c r="B20" s="62"/>
      <c r="C20" s="62"/>
      <c r="D20" s="62"/>
      <c r="E20" s="62"/>
      <c r="F20" s="62"/>
      <c r="G20" s="62"/>
      <c r="H20" s="67"/>
      <c r="I20" s="63"/>
      <c r="J20" s="63"/>
      <c r="K20" s="63"/>
      <c r="L20" s="63"/>
      <c r="M20" s="63"/>
      <c r="N20" s="63"/>
      <c r="O20" s="63"/>
    </row>
    <row r="21" spans="1:16" ht="12.75" customHeight="1" x14ac:dyDescent="0.3">
      <c r="A21" s="179" t="s">
        <v>52</v>
      </c>
      <c r="B21" s="180"/>
      <c r="C21" s="180"/>
      <c r="D21" s="180"/>
      <c r="E21" s="180"/>
      <c r="F21" s="180"/>
      <c r="G21" s="181"/>
      <c r="H21" s="179" t="s">
        <v>53</v>
      </c>
      <c r="I21" s="180"/>
      <c r="J21" s="180"/>
      <c r="K21" s="181"/>
      <c r="L21" s="179" t="s">
        <v>64</v>
      </c>
      <c r="M21" s="180"/>
      <c r="N21" s="180"/>
      <c r="O21" s="181"/>
      <c r="P21" s="95" t="s">
        <v>51</v>
      </c>
    </row>
    <row r="22" spans="1:16" ht="12.75" customHeight="1" x14ac:dyDescent="0.25">
      <c r="A22" s="96" t="s">
        <v>54</v>
      </c>
      <c r="B22" s="168" t="s">
        <v>208</v>
      </c>
      <c r="C22" s="169"/>
      <c r="D22" s="169"/>
      <c r="E22" s="169"/>
      <c r="F22" s="169"/>
      <c r="G22" s="170"/>
      <c r="H22" s="171" t="s">
        <v>209</v>
      </c>
      <c r="I22" s="171"/>
      <c r="J22" s="171"/>
      <c r="K22" s="171"/>
      <c r="L22" s="171" t="s">
        <v>209</v>
      </c>
      <c r="M22" s="171"/>
      <c r="N22" s="171"/>
      <c r="O22" s="171"/>
      <c r="P22" s="90" t="s">
        <v>173</v>
      </c>
    </row>
    <row r="23" spans="1:16" ht="13" x14ac:dyDescent="0.25">
      <c r="A23" s="96" t="s">
        <v>55</v>
      </c>
      <c r="B23" s="168" t="s">
        <v>187</v>
      </c>
      <c r="C23" s="169"/>
      <c r="D23" s="169"/>
      <c r="E23" s="169"/>
      <c r="F23" s="169"/>
      <c r="G23" s="170"/>
      <c r="H23" s="171" t="s">
        <v>158</v>
      </c>
      <c r="I23" s="171"/>
      <c r="J23" s="171"/>
      <c r="K23" s="171"/>
      <c r="L23" s="171" t="s">
        <v>185</v>
      </c>
      <c r="M23" s="171"/>
      <c r="N23" s="171"/>
      <c r="O23" s="171"/>
      <c r="P23" s="90" t="s">
        <v>173</v>
      </c>
    </row>
    <row r="24" spans="1:16" ht="13" x14ac:dyDescent="0.25">
      <c r="A24" s="96" t="s">
        <v>56</v>
      </c>
      <c r="B24" s="168" t="s">
        <v>159</v>
      </c>
      <c r="C24" s="169"/>
      <c r="D24" s="169"/>
      <c r="E24" s="169"/>
      <c r="F24" s="169"/>
      <c r="G24" s="170"/>
      <c r="H24" s="171" t="s">
        <v>161</v>
      </c>
      <c r="I24" s="171"/>
      <c r="J24" s="171"/>
      <c r="K24" s="171"/>
      <c r="L24" s="171" t="s">
        <v>179</v>
      </c>
      <c r="M24" s="171"/>
      <c r="N24" s="171"/>
      <c r="O24" s="171"/>
      <c r="P24" s="90" t="s">
        <v>173</v>
      </c>
    </row>
    <row r="25" spans="1:16" ht="13.5" customHeight="1" x14ac:dyDescent="0.25">
      <c r="A25" s="96" t="s">
        <v>57</v>
      </c>
      <c r="B25" s="176" t="s">
        <v>188</v>
      </c>
      <c r="C25" s="177"/>
      <c r="D25" s="177"/>
      <c r="E25" s="177"/>
      <c r="F25" s="177"/>
      <c r="G25" s="178"/>
      <c r="H25" s="171" t="s">
        <v>160</v>
      </c>
      <c r="I25" s="171"/>
      <c r="J25" s="171"/>
      <c r="K25" s="171"/>
      <c r="L25" s="171" t="s">
        <v>178</v>
      </c>
      <c r="M25" s="171"/>
      <c r="N25" s="171"/>
      <c r="O25" s="171"/>
      <c r="P25" s="90" t="s">
        <v>173</v>
      </c>
    </row>
    <row r="26" spans="1:16" ht="13" x14ac:dyDescent="0.25">
      <c r="A26" s="96" t="s">
        <v>58</v>
      </c>
      <c r="B26" s="168" t="s">
        <v>159</v>
      </c>
      <c r="C26" s="169"/>
      <c r="D26" s="169"/>
      <c r="E26" s="169"/>
      <c r="F26" s="169"/>
      <c r="G26" s="170"/>
      <c r="H26" s="171" t="s">
        <v>162</v>
      </c>
      <c r="I26" s="171"/>
      <c r="J26" s="171"/>
      <c r="K26" s="171"/>
      <c r="L26" s="171" t="s">
        <v>179</v>
      </c>
      <c r="M26" s="171"/>
      <c r="N26" s="171"/>
      <c r="O26" s="171"/>
      <c r="P26" s="90" t="s">
        <v>173</v>
      </c>
    </row>
    <row r="27" spans="1:16" ht="13" x14ac:dyDescent="0.25">
      <c r="A27" s="96" t="s">
        <v>59</v>
      </c>
      <c r="B27" s="168"/>
      <c r="C27" s="169"/>
      <c r="D27" s="169"/>
      <c r="E27" s="169"/>
      <c r="F27" s="169"/>
      <c r="G27" s="170"/>
      <c r="H27" s="171"/>
      <c r="I27" s="171"/>
      <c r="J27" s="171"/>
      <c r="K27" s="171"/>
      <c r="L27" s="171"/>
      <c r="M27" s="171"/>
      <c r="N27" s="171"/>
      <c r="O27" s="171"/>
      <c r="P27" s="90"/>
    </row>
    <row r="28" spans="1:16" ht="13" x14ac:dyDescent="0.25">
      <c r="A28" s="96" t="s">
        <v>60</v>
      </c>
      <c r="B28" s="168"/>
      <c r="C28" s="169"/>
      <c r="D28" s="169"/>
      <c r="E28" s="169"/>
      <c r="F28" s="169"/>
      <c r="G28" s="170"/>
      <c r="H28" s="171"/>
      <c r="I28" s="171"/>
      <c r="J28" s="171"/>
      <c r="K28" s="171"/>
      <c r="L28" s="171"/>
      <c r="M28" s="171"/>
      <c r="N28" s="171"/>
      <c r="O28" s="171"/>
      <c r="P28" s="90"/>
    </row>
    <row r="29" spans="1:16" ht="13" x14ac:dyDescent="0.25">
      <c r="A29" s="96" t="s">
        <v>61</v>
      </c>
      <c r="B29" s="168"/>
      <c r="C29" s="169"/>
      <c r="D29" s="169"/>
      <c r="E29" s="169"/>
      <c r="F29" s="169"/>
      <c r="G29" s="170"/>
      <c r="H29" s="171"/>
      <c r="I29" s="171"/>
      <c r="J29" s="171"/>
      <c r="K29" s="171"/>
      <c r="L29" s="171"/>
      <c r="M29" s="171"/>
      <c r="N29" s="171"/>
      <c r="O29" s="171"/>
      <c r="P29" s="90"/>
    </row>
    <row r="30" spans="1:16" ht="13" x14ac:dyDescent="0.25">
      <c r="A30" s="96" t="s">
        <v>62</v>
      </c>
      <c r="B30" s="168"/>
      <c r="C30" s="169"/>
      <c r="D30" s="169"/>
      <c r="E30" s="169"/>
      <c r="F30" s="169"/>
      <c r="G30" s="170"/>
      <c r="H30" s="171"/>
      <c r="I30" s="171"/>
      <c r="J30" s="171"/>
      <c r="K30" s="171"/>
      <c r="L30" s="171"/>
      <c r="M30" s="171"/>
      <c r="N30" s="171"/>
      <c r="O30" s="171"/>
      <c r="P30" s="90"/>
    </row>
    <row r="31" spans="1:16" ht="13.5" thickBot="1" x14ac:dyDescent="0.3">
      <c r="A31" s="96" t="s">
        <v>197</v>
      </c>
      <c r="B31" s="172"/>
      <c r="C31" s="173"/>
      <c r="D31" s="173"/>
      <c r="E31" s="173"/>
      <c r="F31" s="173"/>
      <c r="G31" s="174"/>
      <c r="H31" s="175"/>
      <c r="I31" s="175"/>
      <c r="J31" s="175"/>
      <c r="K31" s="175"/>
      <c r="L31" s="175"/>
      <c r="M31" s="175"/>
      <c r="N31" s="175"/>
      <c r="O31" s="175"/>
      <c r="P31" s="91"/>
    </row>
    <row r="32" spans="1:16" x14ac:dyDescent="0.25">
      <c r="B32" s="92"/>
      <c r="C32" s="92"/>
      <c r="D32" s="92"/>
      <c r="E32" s="92"/>
      <c r="F32" s="92"/>
      <c r="G32" s="92"/>
      <c r="H32" s="92"/>
    </row>
    <row r="33" spans="2:8" x14ac:dyDescent="0.25">
      <c r="B33" s="92"/>
      <c r="C33" s="92"/>
      <c r="D33" s="92"/>
      <c r="E33" s="92"/>
      <c r="F33" s="92"/>
      <c r="G33" s="92"/>
      <c r="H33" s="92"/>
    </row>
  </sheetData>
  <mergeCells count="40">
    <mergeCell ref="A16:A19"/>
    <mergeCell ref="B16:G19"/>
    <mergeCell ref="B1:G1"/>
    <mergeCell ref="B3:G3"/>
    <mergeCell ref="B7:G7"/>
    <mergeCell ref="A11:A14"/>
    <mergeCell ref="B11:G14"/>
    <mergeCell ref="A21:G21"/>
    <mergeCell ref="H21:K21"/>
    <mergeCell ref="L21:O21"/>
    <mergeCell ref="B23:G23"/>
    <mergeCell ref="H23:K23"/>
    <mergeCell ref="L23:O23"/>
    <mergeCell ref="B22:G22"/>
    <mergeCell ref="H22:K22"/>
    <mergeCell ref="L22:O22"/>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s>
  <phoneticPr fontId="42" type="noConversion"/>
  <conditionalFormatting sqref="B9:B10">
    <cfRule type="cellIs" dxfId="11" priority="3" operator="equal">
      <formula>"Nok"</formula>
    </cfRule>
    <cfRule type="cellIs" dxfId="10" priority="4" operator="equal">
      <formula>"Ok"</formula>
    </cfRule>
  </conditionalFormatting>
  <conditionalFormatting sqref="P22:P31">
    <cfRule type="cellIs" dxfId="9" priority="1" operator="equal">
      <formula>"Nok"</formula>
    </cfRule>
    <cfRule type="cellIs" dxfId="8" priority="2" operator="equal">
      <formula>"Ok"</formula>
    </cfRule>
  </conditionalFormatting>
  <dataValidations count="3">
    <dataValidation type="list" allowBlank="1" showInputMessage="1" showErrorMessage="1" sqref="P23:P31" xr:uid="{B44CF394-5596-43D9-8F75-FA39E5DADE4C}">
      <formula1>"Ok, Nok, Not run, ,"</formula1>
    </dataValidation>
    <dataValidation type="list" allowBlank="1" showInputMessage="1" showErrorMessage="1" sqref="B9" xr:uid="{FAF13D1F-986B-4836-95F4-50E8BE1B3E65}">
      <formula1>"Ok, Nok, Not run, NA"</formula1>
    </dataValidation>
    <dataValidation type="list" allowBlank="1" showInputMessage="1" showErrorMessage="1" sqref="B5" xr:uid="{0804BE21-6FBE-4698-A56D-9CEEECE7BF6D}">
      <formula1>"Nominal, Robustness, Endurance, Qualification"</formula1>
    </dataValidation>
  </dataValidations>
  <pageMargins left="0.7" right="0.7" top="0.75" bottom="0.75" header="0.3" footer="0.3"/>
  <pageSetup paperSize="9" orientation="portrait" r:id="rId1"/>
  <headerFooter>
    <oddFooter>&amp;LTBD rev TBD ver TBD&amp;R&amp;P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13D1B-B04A-4600-BAF1-9F8916D11857}">
  <sheetPr codeName="Sheet10"/>
  <dimension ref="A1:P32"/>
  <sheetViews>
    <sheetView topLeftCell="A10" workbookViewId="0">
      <selection activeCell="B24" sqref="B24:G24"/>
    </sheetView>
  </sheetViews>
  <sheetFormatPr defaultColWidth="9.36328125" defaultRowHeight="12.5" x14ac:dyDescent="0.25"/>
  <cols>
    <col min="1" max="1" width="20.36328125" style="92" customWidth="1"/>
    <col min="2" max="2" width="18.453125" style="88" customWidth="1"/>
    <col min="3" max="7" width="9.36328125" style="88"/>
    <col min="8" max="15" width="9.54296875" style="88" customWidth="1"/>
    <col min="16" max="16384" width="9.36328125" style="88"/>
  </cols>
  <sheetData>
    <row r="1" spans="1:15" ht="13.5" thickBot="1" x14ac:dyDescent="0.35">
      <c r="A1" s="93" t="s">
        <v>45</v>
      </c>
      <c r="B1" s="193" t="s">
        <v>163</v>
      </c>
      <c r="C1" s="194"/>
      <c r="D1" s="194"/>
      <c r="E1" s="194"/>
      <c r="F1" s="194"/>
      <c r="G1" s="195"/>
      <c r="H1" s="63"/>
      <c r="I1" s="63"/>
      <c r="J1" s="63"/>
      <c r="K1" s="63"/>
      <c r="L1" s="63"/>
      <c r="M1" s="63"/>
      <c r="N1" s="63"/>
      <c r="O1" s="63"/>
    </row>
    <row r="2" spans="1:15" ht="13" thickBot="1" x14ac:dyDescent="0.3">
      <c r="A2" s="62"/>
      <c r="B2" s="63"/>
      <c r="C2" s="63"/>
      <c r="D2" s="63"/>
      <c r="E2" s="63"/>
      <c r="F2" s="63"/>
      <c r="G2" s="63"/>
      <c r="H2" s="63"/>
      <c r="I2" s="63"/>
      <c r="J2" s="63"/>
      <c r="K2" s="63"/>
      <c r="L2" s="63"/>
      <c r="M2" s="63"/>
      <c r="N2" s="63"/>
      <c r="O2" s="63"/>
    </row>
    <row r="3" spans="1:15" ht="26.5" thickBot="1" x14ac:dyDescent="0.3">
      <c r="A3" s="94" t="s">
        <v>50</v>
      </c>
      <c r="B3" s="196"/>
      <c r="C3" s="197"/>
      <c r="D3" s="197"/>
      <c r="E3" s="197"/>
      <c r="F3" s="197"/>
      <c r="G3" s="198"/>
      <c r="H3" s="63"/>
      <c r="I3" s="63"/>
      <c r="J3" s="63"/>
      <c r="K3" s="63"/>
      <c r="L3" s="63"/>
      <c r="M3" s="63"/>
      <c r="N3" s="63"/>
      <c r="O3" s="63"/>
    </row>
    <row r="4" spans="1:15" ht="13" thickBot="1" x14ac:dyDescent="0.3">
      <c r="A4" s="62"/>
      <c r="B4" s="63"/>
      <c r="C4" s="63"/>
      <c r="D4" s="63"/>
      <c r="E4" s="63"/>
      <c r="F4" s="63"/>
      <c r="G4" s="63"/>
      <c r="H4" s="63"/>
      <c r="I4" s="63"/>
      <c r="J4" s="63"/>
      <c r="K4" s="63"/>
      <c r="L4" s="63"/>
      <c r="M4" s="63"/>
      <c r="N4" s="63"/>
      <c r="O4" s="63"/>
    </row>
    <row r="5" spans="1:15" ht="13.5" thickBot="1" x14ac:dyDescent="0.35">
      <c r="A5" s="93" t="s">
        <v>115</v>
      </c>
      <c r="B5" s="66" t="s">
        <v>138</v>
      </c>
      <c r="C5" s="63"/>
      <c r="D5" s="63"/>
      <c r="E5" s="63"/>
      <c r="F5" s="63"/>
      <c r="G5" s="63"/>
      <c r="H5" s="63"/>
      <c r="I5" s="63"/>
      <c r="J5" s="63"/>
      <c r="K5" s="63"/>
      <c r="L5" s="63"/>
      <c r="M5" s="63"/>
      <c r="N5" s="63"/>
      <c r="O5" s="63"/>
    </row>
    <row r="6" spans="1:15" ht="13" thickBot="1" x14ac:dyDescent="0.3">
      <c r="A6" s="62"/>
      <c r="B6" s="63"/>
      <c r="C6" s="63"/>
      <c r="D6" s="63"/>
      <c r="E6" s="63"/>
      <c r="F6" s="63"/>
      <c r="G6" s="63"/>
      <c r="H6" s="63"/>
      <c r="I6" s="63"/>
      <c r="J6" s="63"/>
      <c r="K6" s="63"/>
      <c r="L6" s="63"/>
      <c r="M6" s="63"/>
      <c r="N6" s="63"/>
      <c r="O6" s="63"/>
    </row>
    <row r="7" spans="1:15" ht="13.5" thickBot="1" x14ac:dyDescent="0.35">
      <c r="A7" s="93" t="s">
        <v>46</v>
      </c>
      <c r="B7" s="196" t="s">
        <v>164</v>
      </c>
      <c r="C7" s="197"/>
      <c r="D7" s="197"/>
      <c r="E7" s="197"/>
      <c r="F7" s="197"/>
      <c r="G7" s="198"/>
      <c r="H7" s="63"/>
      <c r="I7" s="63"/>
      <c r="J7" s="63"/>
      <c r="K7" s="63"/>
      <c r="L7" s="63"/>
      <c r="M7" s="63"/>
      <c r="N7" s="63"/>
      <c r="O7" s="63"/>
    </row>
    <row r="8" spans="1:15" ht="13" thickBot="1" x14ac:dyDescent="0.3">
      <c r="A8" s="65"/>
      <c r="B8" s="64"/>
      <c r="C8" s="64"/>
      <c r="D8" s="64"/>
      <c r="E8" s="64"/>
      <c r="F8" s="64"/>
      <c r="G8" s="64"/>
      <c r="H8" s="63"/>
      <c r="I8" s="63"/>
      <c r="J8" s="63"/>
      <c r="K8" s="63"/>
      <c r="L8" s="63"/>
      <c r="M8" s="63"/>
      <c r="N8" s="63"/>
      <c r="O8" s="63"/>
    </row>
    <row r="9" spans="1:15" ht="13.5" thickBot="1" x14ac:dyDescent="0.35">
      <c r="A9" s="93" t="s">
        <v>47</v>
      </c>
      <c r="B9" s="98" t="s">
        <v>173</v>
      </c>
      <c r="C9" s="63"/>
      <c r="D9" s="63"/>
      <c r="E9" s="63"/>
      <c r="F9" s="63"/>
      <c r="G9" s="63"/>
      <c r="H9" s="63"/>
      <c r="I9" s="63"/>
      <c r="J9" s="63"/>
      <c r="K9" s="63"/>
      <c r="L9" s="63"/>
      <c r="M9" s="63"/>
      <c r="N9" s="63"/>
      <c r="O9" s="63"/>
    </row>
    <row r="10" spans="1:15" ht="13.5" thickBot="1" x14ac:dyDescent="0.3">
      <c r="A10" s="65"/>
      <c r="B10" s="89"/>
      <c r="C10" s="63"/>
      <c r="D10" s="63"/>
      <c r="E10" s="63"/>
      <c r="F10" s="63"/>
      <c r="G10" s="63"/>
      <c r="H10" s="63"/>
      <c r="I10" s="63"/>
      <c r="J10" s="63"/>
      <c r="K10" s="63"/>
      <c r="L10" s="63"/>
      <c r="M10" s="63"/>
      <c r="N10" s="63"/>
      <c r="O10" s="63"/>
    </row>
    <row r="11" spans="1:15" ht="12" customHeight="1" x14ac:dyDescent="0.25">
      <c r="A11" s="182" t="s">
        <v>117</v>
      </c>
      <c r="B11" s="184" t="s">
        <v>154</v>
      </c>
      <c r="C11" s="185"/>
      <c r="D11" s="185"/>
      <c r="E11" s="185"/>
      <c r="F11" s="185"/>
      <c r="G11" s="186"/>
      <c r="H11" s="63"/>
      <c r="I11" s="63"/>
      <c r="J11" s="63"/>
      <c r="K11" s="63"/>
      <c r="L11" s="63"/>
      <c r="M11" s="63"/>
      <c r="N11" s="63"/>
      <c r="O11" s="63"/>
    </row>
    <row r="12" spans="1:15" x14ac:dyDescent="0.25">
      <c r="A12" s="183"/>
      <c r="B12" s="187"/>
      <c r="C12" s="188"/>
      <c r="D12" s="188"/>
      <c r="E12" s="188"/>
      <c r="F12" s="188"/>
      <c r="G12" s="189"/>
      <c r="H12" s="63"/>
      <c r="I12" s="63"/>
      <c r="J12" s="63"/>
      <c r="K12" s="63"/>
      <c r="L12" s="63"/>
      <c r="M12" s="63"/>
      <c r="N12" s="63"/>
      <c r="O12" s="63"/>
    </row>
    <row r="13" spans="1:15" x14ac:dyDescent="0.25">
      <c r="A13" s="183"/>
      <c r="B13" s="187"/>
      <c r="C13" s="188"/>
      <c r="D13" s="188"/>
      <c r="E13" s="188"/>
      <c r="F13" s="188"/>
      <c r="G13" s="189"/>
      <c r="H13" s="62"/>
      <c r="I13" s="63"/>
      <c r="J13" s="63"/>
      <c r="K13" s="63"/>
      <c r="L13" s="63"/>
      <c r="M13" s="63"/>
      <c r="N13" s="63"/>
      <c r="O13" s="63"/>
    </row>
    <row r="14" spans="1:15" ht="13.5" thickBot="1" x14ac:dyDescent="0.3">
      <c r="A14" s="183"/>
      <c r="B14" s="190"/>
      <c r="C14" s="191"/>
      <c r="D14" s="191"/>
      <c r="E14" s="191"/>
      <c r="F14" s="191"/>
      <c r="G14" s="192"/>
      <c r="H14" s="67"/>
      <c r="I14" s="63"/>
      <c r="J14" s="63"/>
      <c r="K14" s="63"/>
      <c r="L14" s="63"/>
      <c r="M14" s="63"/>
      <c r="N14" s="63"/>
      <c r="O14" s="63"/>
    </row>
    <row r="15" spans="1:15" ht="13.5" thickBot="1" x14ac:dyDescent="0.3">
      <c r="A15" s="62"/>
      <c r="B15" s="62"/>
      <c r="C15" s="62"/>
      <c r="D15" s="62"/>
      <c r="E15" s="62"/>
      <c r="F15" s="62"/>
      <c r="G15" s="62"/>
      <c r="H15" s="67"/>
      <c r="I15" s="63"/>
      <c r="J15" s="63"/>
      <c r="K15" s="63"/>
      <c r="L15" s="63"/>
      <c r="M15" s="63"/>
      <c r="N15" s="63"/>
      <c r="O15" s="63"/>
    </row>
    <row r="16" spans="1:15" x14ac:dyDescent="0.25">
      <c r="A16" s="182" t="s">
        <v>48</v>
      </c>
      <c r="B16" s="184" t="s">
        <v>207</v>
      </c>
      <c r="C16" s="185"/>
      <c r="D16" s="185"/>
      <c r="E16" s="185"/>
      <c r="F16" s="185"/>
      <c r="G16" s="186"/>
      <c r="H16" s="63"/>
      <c r="I16" s="63"/>
      <c r="J16" s="63"/>
      <c r="K16" s="63"/>
      <c r="L16" s="63"/>
      <c r="M16" s="63"/>
      <c r="N16" s="63"/>
      <c r="O16" s="63"/>
    </row>
    <row r="17" spans="1:16" x14ac:dyDescent="0.25">
      <c r="A17" s="183"/>
      <c r="B17" s="187"/>
      <c r="C17" s="188"/>
      <c r="D17" s="188"/>
      <c r="E17" s="188"/>
      <c r="F17" s="188"/>
      <c r="G17" s="189"/>
      <c r="H17" s="63"/>
      <c r="I17" s="63"/>
      <c r="J17" s="63"/>
      <c r="K17" s="63"/>
      <c r="L17" s="63"/>
      <c r="M17" s="63"/>
      <c r="N17" s="63"/>
      <c r="O17" s="63"/>
    </row>
    <row r="18" spans="1:16" x14ac:dyDescent="0.25">
      <c r="A18" s="183"/>
      <c r="B18" s="187"/>
      <c r="C18" s="188"/>
      <c r="D18" s="188"/>
      <c r="E18" s="188"/>
      <c r="F18" s="188"/>
      <c r="G18" s="189"/>
      <c r="H18" s="62"/>
      <c r="I18" s="63"/>
      <c r="J18" s="63"/>
      <c r="K18" s="63"/>
      <c r="L18" s="63"/>
      <c r="M18" s="63"/>
      <c r="N18" s="63"/>
      <c r="O18" s="63"/>
    </row>
    <row r="19" spans="1:16" ht="13.5" thickBot="1" x14ac:dyDescent="0.3">
      <c r="A19" s="183"/>
      <c r="B19" s="190"/>
      <c r="C19" s="191"/>
      <c r="D19" s="191"/>
      <c r="E19" s="191"/>
      <c r="F19" s="191"/>
      <c r="G19" s="192"/>
      <c r="H19" s="67"/>
      <c r="I19" s="63"/>
      <c r="J19" s="63"/>
      <c r="K19" s="63"/>
      <c r="L19" s="63"/>
      <c r="M19" s="63"/>
      <c r="N19" s="63"/>
      <c r="O19" s="63"/>
    </row>
    <row r="20" spans="1:16" ht="13.5" thickBot="1" x14ac:dyDescent="0.3">
      <c r="A20" s="62"/>
      <c r="B20" s="62"/>
      <c r="C20" s="62"/>
      <c r="D20" s="62"/>
      <c r="E20" s="62"/>
      <c r="F20" s="62"/>
      <c r="G20" s="62"/>
      <c r="H20" s="67"/>
      <c r="I20" s="63"/>
      <c r="J20" s="63"/>
      <c r="K20" s="63"/>
      <c r="L20" s="63"/>
      <c r="M20" s="63"/>
      <c r="N20" s="63"/>
      <c r="O20" s="63"/>
    </row>
    <row r="21" spans="1:16" ht="12.75" customHeight="1" x14ac:dyDescent="0.3">
      <c r="A21" s="179" t="s">
        <v>52</v>
      </c>
      <c r="B21" s="180"/>
      <c r="C21" s="180"/>
      <c r="D21" s="180"/>
      <c r="E21" s="180"/>
      <c r="F21" s="180"/>
      <c r="G21" s="181"/>
      <c r="H21" s="179" t="s">
        <v>53</v>
      </c>
      <c r="I21" s="180"/>
      <c r="J21" s="180"/>
      <c r="K21" s="181"/>
      <c r="L21" s="179" t="s">
        <v>64</v>
      </c>
      <c r="M21" s="180"/>
      <c r="N21" s="180"/>
      <c r="O21" s="181"/>
      <c r="P21" s="95" t="s">
        <v>51</v>
      </c>
    </row>
    <row r="22" spans="1:16" ht="13" x14ac:dyDescent="0.25">
      <c r="A22" s="96" t="s">
        <v>54</v>
      </c>
      <c r="B22" s="168" t="s">
        <v>165</v>
      </c>
      <c r="C22" s="169"/>
      <c r="D22" s="169"/>
      <c r="E22" s="169"/>
      <c r="F22" s="169"/>
      <c r="G22" s="170"/>
      <c r="H22" s="171" t="s">
        <v>166</v>
      </c>
      <c r="I22" s="171"/>
      <c r="J22" s="171"/>
      <c r="K22" s="171"/>
      <c r="L22" s="171" t="s">
        <v>176</v>
      </c>
      <c r="M22" s="171"/>
      <c r="N22" s="171"/>
      <c r="O22" s="171"/>
      <c r="P22" s="90" t="s">
        <v>173</v>
      </c>
    </row>
    <row r="23" spans="1:16" ht="13" x14ac:dyDescent="0.25">
      <c r="A23" s="96" t="s">
        <v>55</v>
      </c>
      <c r="B23" s="168" t="s">
        <v>167</v>
      </c>
      <c r="C23" s="169"/>
      <c r="D23" s="169"/>
      <c r="E23" s="169"/>
      <c r="F23" s="169"/>
      <c r="G23" s="170"/>
      <c r="H23" s="171" t="s">
        <v>168</v>
      </c>
      <c r="I23" s="171"/>
      <c r="J23" s="171"/>
      <c r="K23" s="171"/>
      <c r="L23" s="171" t="s">
        <v>177</v>
      </c>
      <c r="M23" s="171"/>
      <c r="N23" s="171"/>
      <c r="O23" s="171"/>
      <c r="P23" s="90" t="s">
        <v>173</v>
      </c>
    </row>
    <row r="24" spans="1:16" ht="34.25" customHeight="1" x14ac:dyDescent="0.25">
      <c r="A24" s="96" t="s">
        <v>56</v>
      </c>
      <c r="B24" s="176" t="s">
        <v>182</v>
      </c>
      <c r="C24" s="177"/>
      <c r="D24" s="177"/>
      <c r="E24" s="177"/>
      <c r="F24" s="177"/>
      <c r="G24" s="178"/>
      <c r="H24" s="171" t="s">
        <v>180</v>
      </c>
      <c r="I24" s="171"/>
      <c r="J24" s="171"/>
      <c r="K24" s="171"/>
      <c r="L24" s="171" t="s">
        <v>181</v>
      </c>
      <c r="M24" s="171"/>
      <c r="N24" s="171"/>
      <c r="O24" s="171"/>
      <c r="P24" s="90" t="s">
        <v>173</v>
      </c>
    </row>
    <row r="25" spans="1:16" ht="13" x14ac:dyDescent="0.25">
      <c r="A25" s="96" t="s">
        <v>57</v>
      </c>
      <c r="B25" s="168"/>
      <c r="C25" s="169"/>
      <c r="D25" s="169"/>
      <c r="E25" s="169"/>
      <c r="F25" s="169"/>
      <c r="G25" s="170"/>
      <c r="H25" s="171"/>
      <c r="I25" s="171"/>
      <c r="J25" s="171"/>
      <c r="K25" s="171"/>
      <c r="L25" s="171"/>
      <c r="M25" s="171"/>
      <c r="N25" s="171"/>
      <c r="O25" s="171"/>
      <c r="P25" s="90"/>
    </row>
    <row r="26" spans="1:16" ht="13" x14ac:dyDescent="0.25">
      <c r="A26" s="96" t="s">
        <v>58</v>
      </c>
      <c r="B26" s="168"/>
      <c r="C26" s="169"/>
      <c r="D26" s="169"/>
      <c r="E26" s="169"/>
      <c r="F26" s="169"/>
      <c r="G26" s="170"/>
      <c r="H26" s="171"/>
      <c r="I26" s="171"/>
      <c r="J26" s="171"/>
      <c r="K26" s="171"/>
      <c r="L26" s="171"/>
      <c r="M26" s="171"/>
      <c r="N26" s="171"/>
      <c r="O26" s="171"/>
      <c r="P26" s="90"/>
    </row>
    <row r="27" spans="1:16" ht="13" x14ac:dyDescent="0.25">
      <c r="A27" s="96" t="s">
        <v>59</v>
      </c>
      <c r="B27" s="168"/>
      <c r="C27" s="169"/>
      <c r="D27" s="169"/>
      <c r="E27" s="169"/>
      <c r="F27" s="169"/>
      <c r="G27" s="170"/>
      <c r="H27" s="171"/>
      <c r="I27" s="171"/>
      <c r="J27" s="171"/>
      <c r="K27" s="171"/>
      <c r="L27" s="171"/>
      <c r="M27" s="171"/>
      <c r="N27" s="171"/>
      <c r="O27" s="171"/>
      <c r="P27" s="90"/>
    </row>
    <row r="28" spans="1:16" ht="13" x14ac:dyDescent="0.25">
      <c r="A28" s="96" t="s">
        <v>60</v>
      </c>
      <c r="B28" s="168"/>
      <c r="C28" s="169"/>
      <c r="D28" s="169"/>
      <c r="E28" s="169"/>
      <c r="F28" s="169"/>
      <c r="G28" s="170"/>
      <c r="H28" s="171"/>
      <c r="I28" s="171"/>
      <c r="J28" s="171"/>
      <c r="K28" s="171"/>
      <c r="L28" s="171"/>
      <c r="M28" s="171"/>
      <c r="N28" s="171"/>
      <c r="O28" s="171"/>
      <c r="P28" s="90"/>
    </row>
    <row r="29" spans="1:16" ht="13" x14ac:dyDescent="0.25">
      <c r="A29" s="96" t="s">
        <v>61</v>
      </c>
      <c r="B29" s="168"/>
      <c r="C29" s="169"/>
      <c r="D29" s="169"/>
      <c r="E29" s="169"/>
      <c r="F29" s="169"/>
      <c r="G29" s="170"/>
      <c r="H29" s="171"/>
      <c r="I29" s="171"/>
      <c r="J29" s="171"/>
      <c r="K29" s="171"/>
      <c r="L29" s="171"/>
      <c r="M29" s="171"/>
      <c r="N29" s="171"/>
      <c r="O29" s="171"/>
      <c r="P29" s="90"/>
    </row>
    <row r="30" spans="1:16" ht="13.5" thickBot="1" x14ac:dyDescent="0.3">
      <c r="A30" s="97" t="s">
        <v>62</v>
      </c>
      <c r="B30" s="172"/>
      <c r="C30" s="173"/>
      <c r="D30" s="173"/>
      <c r="E30" s="173"/>
      <c r="F30" s="173"/>
      <c r="G30" s="174"/>
      <c r="H30" s="175"/>
      <c r="I30" s="175"/>
      <c r="J30" s="175"/>
      <c r="K30" s="175"/>
      <c r="L30" s="175"/>
      <c r="M30" s="175"/>
      <c r="N30" s="175"/>
      <c r="O30" s="175"/>
      <c r="P30" s="91"/>
    </row>
    <row r="31" spans="1:16" x14ac:dyDescent="0.25">
      <c r="B31" s="92"/>
      <c r="C31" s="92"/>
      <c r="D31" s="92"/>
      <c r="E31" s="92"/>
      <c r="F31" s="92"/>
      <c r="G31" s="92"/>
      <c r="H31" s="92"/>
    </row>
    <row r="32" spans="1:16" x14ac:dyDescent="0.25">
      <c r="B32" s="92"/>
      <c r="C32" s="92"/>
      <c r="D32" s="92"/>
      <c r="E32" s="92"/>
      <c r="F32" s="92"/>
      <c r="G32" s="92"/>
      <c r="H32" s="92"/>
    </row>
  </sheetData>
  <mergeCells count="3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s>
  <conditionalFormatting sqref="B9:B10">
    <cfRule type="cellIs" dxfId="7" priority="3" operator="equal">
      <formula>"Nok"</formula>
    </cfRule>
    <cfRule type="cellIs" dxfId="6" priority="4" operator="equal">
      <formula>"Ok"</formula>
    </cfRule>
  </conditionalFormatting>
  <conditionalFormatting sqref="P22:P30">
    <cfRule type="cellIs" dxfId="5" priority="1" operator="equal">
      <formula>"Nok"</formula>
    </cfRule>
    <cfRule type="cellIs" dxfId="4" priority="2" operator="equal">
      <formula>"Ok"</formula>
    </cfRule>
  </conditionalFormatting>
  <dataValidations count="3">
    <dataValidation type="list" allowBlank="1" showInputMessage="1" showErrorMessage="1" sqref="P22:P30" xr:uid="{E740E74E-0DFC-481B-B0E8-73B2DF353A69}">
      <formula1>"Ok, Nok, Not run, ,"</formula1>
    </dataValidation>
    <dataValidation type="list" allowBlank="1" showInputMessage="1" showErrorMessage="1" sqref="B9" xr:uid="{01181E47-F3FA-44E5-838D-A80077F86D0F}">
      <formula1>"Ok, Nok, Not run, NA"</formula1>
    </dataValidation>
    <dataValidation type="list" allowBlank="1" showInputMessage="1" showErrorMessage="1" sqref="B5" xr:uid="{9E54FDE5-E954-43DE-B6E4-2C7C684D133E}">
      <formula1>"Nominal, Robustness, Endurance, Qualification"</formula1>
    </dataValidation>
  </dataValidations>
  <pageMargins left="0.7" right="0.7" top="0.75" bottom="0.75" header="0.3" footer="0.3"/>
  <pageSetup paperSize="9" orientation="portrait" r:id="rId1"/>
  <headerFooter>
    <oddFooter>&amp;LTBD rev TBD ver TBD&amp;R&amp;P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33"/>
  <sheetViews>
    <sheetView topLeftCell="A10" zoomScaleNormal="100" workbookViewId="0">
      <selection activeCell="B23" sqref="B23:G23"/>
    </sheetView>
  </sheetViews>
  <sheetFormatPr defaultColWidth="9.36328125" defaultRowHeight="12.5" x14ac:dyDescent="0.25"/>
  <cols>
    <col min="1" max="1" width="20.36328125" style="92" customWidth="1"/>
    <col min="2" max="2" width="18.453125" style="88" customWidth="1"/>
    <col min="3" max="6" width="9.36328125" style="88"/>
    <col min="7" max="7" width="9.36328125" style="88" customWidth="1"/>
    <col min="8" max="15" width="9.54296875" style="88" customWidth="1"/>
    <col min="16" max="16384" width="9.36328125" style="88"/>
  </cols>
  <sheetData>
    <row r="1" spans="1:15" ht="13.5" thickBot="1" x14ac:dyDescent="0.35">
      <c r="A1" s="93" t="s">
        <v>45</v>
      </c>
      <c r="B1" s="193" t="s">
        <v>203</v>
      </c>
      <c r="C1" s="194"/>
      <c r="D1" s="194"/>
      <c r="E1" s="194"/>
      <c r="F1" s="194"/>
      <c r="G1" s="195"/>
      <c r="H1" s="63"/>
      <c r="I1" s="63"/>
      <c r="J1" s="63"/>
      <c r="K1" s="63"/>
      <c r="L1" s="63"/>
      <c r="M1" s="63"/>
      <c r="N1" s="63"/>
      <c r="O1" s="63"/>
    </row>
    <row r="2" spans="1:15" ht="13" thickBot="1" x14ac:dyDescent="0.3">
      <c r="A2" s="62"/>
      <c r="B2" s="63"/>
      <c r="C2" s="63"/>
      <c r="D2" s="63"/>
      <c r="E2" s="63"/>
      <c r="F2" s="63"/>
      <c r="G2" s="63"/>
      <c r="H2" s="63"/>
      <c r="I2" s="63"/>
      <c r="J2" s="63"/>
      <c r="K2" s="63"/>
      <c r="L2" s="63"/>
      <c r="M2" s="63"/>
      <c r="N2" s="63"/>
      <c r="O2" s="63"/>
    </row>
    <row r="3" spans="1:15" ht="26.5" thickBot="1" x14ac:dyDescent="0.3">
      <c r="A3" s="94" t="s">
        <v>50</v>
      </c>
      <c r="B3" s="196"/>
      <c r="C3" s="197"/>
      <c r="D3" s="197"/>
      <c r="E3" s="197"/>
      <c r="F3" s="197"/>
      <c r="G3" s="198"/>
      <c r="H3" s="63"/>
      <c r="I3" s="63"/>
      <c r="J3" s="63"/>
      <c r="K3" s="63"/>
      <c r="L3" s="63"/>
      <c r="M3" s="63"/>
      <c r="N3" s="63"/>
      <c r="O3" s="63"/>
    </row>
    <row r="4" spans="1:15" ht="13" thickBot="1" x14ac:dyDescent="0.3">
      <c r="A4" s="62"/>
      <c r="B4" s="63"/>
      <c r="C4" s="63"/>
      <c r="D4" s="63"/>
      <c r="E4" s="63"/>
      <c r="F4" s="63"/>
      <c r="G4" s="63"/>
      <c r="H4" s="63"/>
      <c r="I4" s="63"/>
      <c r="J4" s="63"/>
      <c r="K4" s="63"/>
      <c r="L4" s="63"/>
      <c r="M4" s="63"/>
      <c r="N4" s="63"/>
      <c r="O4" s="63"/>
    </row>
    <row r="5" spans="1:15" ht="13.5" thickBot="1" x14ac:dyDescent="0.35">
      <c r="A5" s="93" t="s">
        <v>115</v>
      </c>
      <c r="B5" s="66" t="s">
        <v>138</v>
      </c>
      <c r="C5" s="63"/>
      <c r="D5" s="63"/>
      <c r="E5" s="63"/>
      <c r="F5" s="63"/>
      <c r="G5" s="63"/>
      <c r="H5" s="63"/>
      <c r="I5" s="63"/>
      <c r="J5" s="63"/>
      <c r="K5" s="63"/>
      <c r="L5" s="63"/>
      <c r="M5" s="63"/>
      <c r="N5" s="63"/>
      <c r="O5" s="63"/>
    </row>
    <row r="6" spans="1:15" ht="13" thickBot="1" x14ac:dyDescent="0.3">
      <c r="A6" s="62"/>
      <c r="B6" s="63"/>
      <c r="C6" s="63"/>
      <c r="D6" s="63"/>
      <c r="E6" s="63"/>
      <c r="F6" s="63"/>
      <c r="G6" s="63"/>
      <c r="H6" s="63"/>
      <c r="I6" s="63"/>
      <c r="J6" s="63"/>
      <c r="K6" s="63"/>
      <c r="L6" s="63"/>
      <c r="M6" s="63"/>
      <c r="N6" s="63"/>
      <c r="O6" s="63"/>
    </row>
    <row r="7" spans="1:15" ht="13.5" thickBot="1" x14ac:dyDescent="0.35">
      <c r="A7" s="93" t="s">
        <v>46</v>
      </c>
      <c r="B7" s="196" t="s">
        <v>190</v>
      </c>
      <c r="C7" s="197"/>
      <c r="D7" s="197"/>
      <c r="E7" s="197"/>
      <c r="F7" s="197"/>
      <c r="G7" s="198"/>
      <c r="H7" s="63"/>
      <c r="I7" s="63"/>
      <c r="J7" s="63"/>
      <c r="K7" s="63"/>
      <c r="L7" s="63"/>
      <c r="M7" s="63"/>
      <c r="N7" s="63"/>
      <c r="O7" s="63"/>
    </row>
    <row r="8" spans="1:15" ht="13" thickBot="1" x14ac:dyDescent="0.3">
      <c r="A8" s="65"/>
      <c r="B8" s="64"/>
      <c r="C8" s="64"/>
      <c r="D8" s="64"/>
      <c r="E8" s="64"/>
      <c r="F8" s="64"/>
      <c r="G8" s="64"/>
      <c r="H8" s="63"/>
      <c r="I8" s="63"/>
      <c r="J8" s="63"/>
      <c r="K8" s="63"/>
      <c r="L8" s="63"/>
      <c r="M8" s="63"/>
      <c r="N8" s="63"/>
      <c r="O8" s="63"/>
    </row>
    <row r="9" spans="1:15" ht="13.5" thickBot="1" x14ac:dyDescent="0.35">
      <c r="A9" s="93" t="s">
        <v>47</v>
      </c>
      <c r="B9" s="98" t="s">
        <v>173</v>
      </c>
      <c r="C9" s="63"/>
      <c r="D9" s="63"/>
      <c r="E9" s="63"/>
      <c r="F9" s="63"/>
      <c r="G9" s="63"/>
      <c r="H9" s="63"/>
      <c r="I9" s="63"/>
      <c r="J9" s="63"/>
      <c r="K9" s="63"/>
      <c r="L9" s="63"/>
      <c r="M9" s="63"/>
      <c r="N9" s="63"/>
      <c r="O9" s="63"/>
    </row>
    <row r="10" spans="1:15" ht="13.5" thickBot="1" x14ac:dyDescent="0.3">
      <c r="A10" s="65"/>
      <c r="B10" s="89"/>
      <c r="C10" s="63"/>
      <c r="D10" s="63"/>
      <c r="E10" s="63"/>
      <c r="F10" s="63"/>
      <c r="G10" s="63"/>
      <c r="H10" s="63"/>
      <c r="I10" s="63"/>
      <c r="J10" s="63"/>
      <c r="K10" s="63"/>
      <c r="L10" s="63"/>
      <c r="M10" s="63"/>
      <c r="N10" s="63"/>
      <c r="O10" s="63"/>
    </row>
    <row r="11" spans="1:15" ht="12" customHeight="1" x14ac:dyDescent="0.25">
      <c r="A11" s="182" t="s">
        <v>117</v>
      </c>
      <c r="B11" s="184" t="s">
        <v>154</v>
      </c>
      <c r="C11" s="185"/>
      <c r="D11" s="185"/>
      <c r="E11" s="185"/>
      <c r="F11" s="185"/>
      <c r="G11" s="186"/>
      <c r="H11" s="63"/>
      <c r="I11" s="63"/>
      <c r="J11" s="63"/>
      <c r="K11" s="63"/>
      <c r="L11" s="63"/>
      <c r="M11" s="63"/>
      <c r="N11" s="63"/>
      <c r="O11" s="63"/>
    </row>
    <row r="12" spans="1:15" x14ac:dyDescent="0.25">
      <c r="A12" s="183"/>
      <c r="B12" s="187"/>
      <c r="C12" s="188"/>
      <c r="D12" s="188"/>
      <c r="E12" s="188"/>
      <c r="F12" s="188"/>
      <c r="G12" s="189"/>
      <c r="H12" s="63"/>
      <c r="I12" s="63"/>
      <c r="J12" s="63"/>
      <c r="K12" s="63"/>
      <c r="L12" s="63"/>
      <c r="M12" s="63"/>
      <c r="N12" s="63"/>
      <c r="O12" s="63"/>
    </row>
    <row r="13" spans="1:15" x14ac:dyDescent="0.25">
      <c r="A13" s="183"/>
      <c r="B13" s="187"/>
      <c r="C13" s="188"/>
      <c r="D13" s="188"/>
      <c r="E13" s="188"/>
      <c r="F13" s="188"/>
      <c r="G13" s="189"/>
      <c r="H13" s="62"/>
      <c r="I13" s="63"/>
      <c r="J13" s="63"/>
      <c r="K13" s="63"/>
      <c r="L13" s="63"/>
      <c r="M13" s="63"/>
      <c r="N13" s="63"/>
      <c r="O13" s="63"/>
    </row>
    <row r="14" spans="1:15" ht="13.5" thickBot="1" x14ac:dyDescent="0.3">
      <c r="A14" s="183"/>
      <c r="B14" s="190"/>
      <c r="C14" s="191"/>
      <c r="D14" s="191"/>
      <c r="E14" s="191"/>
      <c r="F14" s="191"/>
      <c r="G14" s="192"/>
      <c r="H14" s="67"/>
      <c r="I14" s="63"/>
      <c r="J14" s="63"/>
      <c r="K14" s="63"/>
      <c r="L14" s="63"/>
      <c r="M14" s="63"/>
      <c r="N14" s="63"/>
      <c r="O14" s="63"/>
    </row>
    <row r="15" spans="1:15" ht="13.5" thickBot="1" x14ac:dyDescent="0.3">
      <c r="A15" s="62"/>
      <c r="B15" s="62"/>
      <c r="C15" s="62"/>
      <c r="D15" s="62"/>
      <c r="E15" s="62"/>
      <c r="F15" s="62"/>
      <c r="G15" s="62"/>
      <c r="H15" s="67"/>
      <c r="I15" s="63"/>
      <c r="J15" s="63"/>
      <c r="K15" s="63"/>
      <c r="L15" s="63"/>
      <c r="M15" s="63"/>
      <c r="N15" s="63"/>
      <c r="O15" s="63"/>
    </row>
    <row r="16" spans="1:15" x14ac:dyDescent="0.25">
      <c r="A16" s="182" t="s">
        <v>48</v>
      </c>
      <c r="B16" s="184" t="s">
        <v>198</v>
      </c>
      <c r="C16" s="185"/>
      <c r="D16" s="185"/>
      <c r="E16" s="185"/>
      <c r="F16" s="185"/>
      <c r="G16" s="186"/>
      <c r="H16" s="63"/>
      <c r="I16" s="63"/>
      <c r="J16" s="63"/>
      <c r="K16" s="63"/>
      <c r="L16" s="63"/>
      <c r="M16" s="63"/>
      <c r="N16" s="63"/>
      <c r="O16" s="63"/>
    </row>
    <row r="17" spans="1:16" x14ac:dyDescent="0.25">
      <c r="A17" s="183"/>
      <c r="B17" s="187"/>
      <c r="C17" s="188"/>
      <c r="D17" s="188"/>
      <c r="E17" s="188"/>
      <c r="F17" s="188"/>
      <c r="G17" s="189"/>
      <c r="H17" s="63"/>
      <c r="I17" s="63"/>
      <c r="J17" s="63"/>
      <c r="K17" s="63"/>
      <c r="L17" s="63"/>
      <c r="M17" s="63"/>
      <c r="N17" s="63"/>
      <c r="O17" s="63"/>
    </row>
    <row r="18" spans="1:16" x14ac:dyDescent="0.25">
      <c r="A18" s="183"/>
      <c r="B18" s="187"/>
      <c r="C18" s="188"/>
      <c r="D18" s="188"/>
      <c r="E18" s="188"/>
      <c r="F18" s="188"/>
      <c r="G18" s="189"/>
      <c r="H18" s="62"/>
      <c r="I18" s="63"/>
      <c r="J18" s="63"/>
      <c r="K18" s="63"/>
      <c r="L18" s="63"/>
      <c r="M18" s="63"/>
      <c r="N18" s="63"/>
      <c r="O18" s="63"/>
    </row>
    <row r="19" spans="1:16" ht="13.5" thickBot="1" x14ac:dyDescent="0.3">
      <c r="A19" s="183"/>
      <c r="B19" s="190"/>
      <c r="C19" s="191"/>
      <c r="D19" s="191"/>
      <c r="E19" s="191"/>
      <c r="F19" s="191"/>
      <c r="G19" s="192"/>
      <c r="H19" s="67"/>
      <c r="I19" s="63"/>
      <c r="J19" s="63"/>
      <c r="K19" s="63"/>
      <c r="L19" s="63"/>
      <c r="M19" s="63"/>
      <c r="N19" s="63"/>
      <c r="O19" s="63"/>
    </row>
    <row r="20" spans="1:16" ht="13.5" thickBot="1" x14ac:dyDescent="0.3">
      <c r="A20" s="62"/>
      <c r="B20" s="62"/>
      <c r="C20" s="62"/>
      <c r="D20" s="62"/>
      <c r="E20" s="62"/>
      <c r="F20" s="62"/>
      <c r="G20" s="62"/>
      <c r="H20" s="67"/>
      <c r="I20" s="63"/>
      <c r="J20" s="63"/>
      <c r="K20" s="63"/>
      <c r="L20" s="63"/>
      <c r="M20" s="63"/>
      <c r="N20" s="63"/>
      <c r="O20" s="63"/>
    </row>
    <row r="21" spans="1:16" ht="12.75" customHeight="1" x14ac:dyDescent="0.3">
      <c r="A21" s="179" t="s">
        <v>52</v>
      </c>
      <c r="B21" s="180"/>
      <c r="C21" s="180"/>
      <c r="D21" s="180"/>
      <c r="E21" s="180"/>
      <c r="F21" s="180"/>
      <c r="G21" s="181"/>
      <c r="H21" s="179" t="s">
        <v>53</v>
      </c>
      <c r="I21" s="180"/>
      <c r="J21" s="180"/>
      <c r="K21" s="181"/>
      <c r="L21" s="179" t="s">
        <v>64</v>
      </c>
      <c r="M21" s="180"/>
      <c r="N21" s="180"/>
      <c r="O21" s="181"/>
      <c r="P21" s="95" t="s">
        <v>51</v>
      </c>
    </row>
    <row r="22" spans="1:16" ht="12.75" customHeight="1" x14ac:dyDescent="0.25">
      <c r="A22" s="96" t="s">
        <v>54</v>
      </c>
      <c r="B22" s="168" t="s">
        <v>199</v>
      </c>
      <c r="C22" s="169"/>
      <c r="D22" s="169"/>
      <c r="E22" s="169"/>
      <c r="F22" s="169"/>
      <c r="G22" s="170"/>
      <c r="H22" s="171" t="s">
        <v>200</v>
      </c>
      <c r="I22" s="171"/>
      <c r="J22" s="171"/>
      <c r="K22" s="171"/>
      <c r="L22" s="171" t="s">
        <v>200</v>
      </c>
      <c r="M22" s="171"/>
      <c r="N22" s="171"/>
      <c r="O22" s="171"/>
      <c r="P22" s="90" t="s">
        <v>173</v>
      </c>
    </row>
    <row r="23" spans="1:16" ht="13" x14ac:dyDescent="0.25">
      <c r="A23" s="96" t="s">
        <v>55</v>
      </c>
      <c r="B23" s="168" t="s">
        <v>204</v>
      </c>
      <c r="C23" s="169"/>
      <c r="D23" s="169"/>
      <c r="E23" s="169"/>
      <c r="F23" s="169"/>
      <c r="G23" s="170"/>
      <c r="H23" s="171" t="s">
        <v>191</v>
      </c>
      <c r="I23" s="171"/>
      <c r="J23" s="171"/>
      <c r="K23" s="171"/>
      <c r="L23" s="171" t="s">
        <v>191</v>
      </c>
      <c r="M23" s="171"/>
      <c r="N23" s="171"/>
      <c r="O23" s="171"/>
      <c r="P23" s="90" t="s">
        <v>173</v>
      </c>
    </row>
    <row r="24" spans="1:16" ht="13" customHeight="1" x14ac:dyDescent="0.25">
      <c r="A24" s="96" t="s">
        <v>56</v>
      </c>
      <c r="B24" s="168" t="s">
        <v>193</v>
      </c>
      <c r="C24" s="169"/>
      <c r="D24" s="169"/>
      <c r="E24" s="169"/>
      <c r="F24" s="169"/>
      <c r="G24" s="170"/>
      <c r="H24" s="168" t="s">
        <v>192</v>
      </c>
      <c r="I24" s="169"/>
      <c r="J24" s="169"/>
      <c r="K24" s="170"/>
      <c r="L24" s="168" t="s">
        <v>192</v>
      </c>
      <c r="M24" s="169"/>
      <c r="N24" s="169"/>
      <c r="O24" s="170"/>
      <c r="P24" s="90" t="s">
        <v>173</v>
      </c>
    </row>
    <row r="25" spans="1:16" ht="13.5" customHeight="1" x14ac:dyDescent="0.25">
      <c r="A25" s="96" t="s">
        <v>57</v>
      </c>
      <c r="B25" s="63" t="s">
        <v>205</v>
      </c>
      <c r="H25" s="168" t="s">
        <v>191</v>
      </c>
      <c r="I25" s="169"/>
      <c r="J25" s="169"/>
      <c r="K25" s="170"/>
      <c r="L25" s="168" t="s">
        <v>191</v>
      </c>
      <c r="M25" s="169"/>
      <c r="N25" s="169"/>
      <c r="O25" s="170"/>
      <c r="P25" s="90" t="s">
        <v>173</v>
      </c>
    </row>
    <row r="26" spans="1:16" ht="13" customHeight="1" x14ac:dyDescent="0.25">
      <c r="A26" s="96" t="s">
        <v>58</v>
      </c>
      <c r="B26" s="168" t="s">
        <v>194</v>
      </c>
      <c r="C26" s="169"/>
      <c r="D26" s="169"/>
      <c r="E26" s="169"/>
      <c r="F26" s="169"/>
      <c r="G26" s="170"/>
      <c r="H26" s="168" t="s">
        <v>195</v>
      </c>
      <c r="I26" s="169"/>
      <c r="J26" s="169"/>
      <c r="K26" s="170"/>
      <c r="L26" s="168" t="s">
        <v>195</v>
      </c>
      <c r="M26" s="169"/>
      <c r="N26" s="169"/>
      <c r="O26" s="170"/>
      <c r="P26" s="90" t="s">
        <v>173</v>
      </c>
    </row>
    <row r="27" spans="1:16" ht="13" customHeight="1" x14ac:dyDescent="0.25">
      <c r="A27" s="96" t="s">
        <v>59</v>
      </c>
      <c r="B27" s="168" t="s">
        <v>201</v>
      </c>
      <c r="C27" s="169"/>
      <c r="D27" s="169"/>
      <c r="E27" s="169"/>
      <c r="F27" s="169"/>
      <c r="G27" s="170"/>
      <c r="H27" s="168" t="s">
        <v>191</v>
      </c>
      <c r="I27" s="169"/>
      <c r="J27" s="169"/>
      <c r="K27" s="170"/>
      <c r="L27" s="168" t="s">
        <v>191</v>
      </c>
      <c r="M27" s="169"/>
      <c r="N27" s="169"/>
      <c r="O27" s="170"/>
      <c r="P27" s="90" t="s">
        <v>173</v>
      </c>
    </row>
    <row r="28" spans="1:16" ht="13" customHeight="1" x14ac:dyDescent="0.25">
      <c r="A28" s="96" t="s">
        <v>60</v>
      </c>
      <c r="B28" s="63" t="s">
        <v>206</v>
      </c>
      <c r="H28" s="168" t="s">
        <v>196</v>
      </c>
      <c r="I28" s="169"/>
      <c r="J28" s="169"/>
      <c r="K28" s="170"/>
      <c r="L28" s="171" t="s">
        <v>196</v>
      </c>
      <c r="M28" s="169"/>
      <c r="N28" s="169"/>
      <c r="O28" s="170"/>
      <c r="P28" s="90" t="s">
        <v>173</v>
      </c>
    </row>
    <row r="29" spans="1:16" ht="13" x14ac:dyDescent="0.25">
      <c r="A29" s="96" t="s">
        <v>61</v>
      </c>
      <c r="B29" s="168"/>
      <c r="C29" s="169"/>
      <c r="D29" s="169"/>
      <c r="E29" s="169"/>
      <c r="F29" s="169"/>
      <c r="G29" s="170"/>
      <c r="H29" s="168"/>
      <c r="I29" s="169"/>
      <c r="J29" s="169"/>
      <c r="K29" s="170"/>
      <c r="L29" s="168"/>
      <c r="M29" s="169"/>
      <c r="N29" s="169"/>
      <c r="O29" s="170"/>
      <c r="P29" s="90"/>
    </row>
    <row r="30" spans="1:16" ht="13" x14ac:dyDescent="0.25">
      <c r="A30" s="96" t="s">
        <v>62</v>
      </c>
      <c r="B30" s="168"/>
      <c r="C30" s="169"/>
      <c r="D30" s="169"/>
      <c r="E30" s="169"/>
      <c r="F30" s="169"/>
      <c r="G30" s="170"/>
      <c r="H30" s="168"/>
      <c r="I30" s="169"/>
      <c r="J30" s="169"/>
      <c r="K30" s="170"/>
      <c r="L30" s="168"/>
      <c r="M30" s="169"/>
      <c r="N30" s="169"/>
      <c r="O30" s="170"/>
      <c r="P30" s="90"/>
    </row>
    <row r="31" spans="1:16" ht="13.5" thickBot="1" x14ac:dyDescent="0.3">
      <c r="A31" s="96" t="s">
        <v>197</v>
      </c>
      <c r="B31" s="172"/>
      <c r="C31" s="173"/>
      <c r="D31" s="173"/>
      <c r="E31" s="173"/>
      <c r="F31" s="173"/>
      <c r="G31" s="174"/>
      <c r="H31" s="175"/>
      <c r="I31" s="175"/>
      <c r="J31" s="175"/>
      <c r="K31" s="175"/>
      <c r="L31" s="175"/>
      <c r="M31" s="175"/>
      <c r="N31" s="175"/>
      <c r="O31" s="175"/>
      <c r="P31" s="91"/>
    </row>
    <row r="32" spans="1:16" x14ac:dyDescent="0.25">
      <c r="B32" s="92"/>
      <c r="C32" s="92"/>
      <c r="D32" s="92"/>
      <c r="E32" s="92"/>
      <c r="F32" s="92"/>
      <c r="G32" s="92"/>
      <c r="H32" s="92"/>
    </row>
    <row r="33" spans="2:8" x14ac:dyDescent="0.25">
      <c r="B33" s="92"/>
      <c r="C33" s="92"/>
      <c r="D33" s="92"/>
      <c r="E33" s="92"/>
      <c r="F33" s="92"/>
      <c r="G33" s="92"/>
      <c r="H33" s="92"/>
    </row>
  </sheetData>
  <mergeCells count="38">
    <mergeCell ref="L31:O31"/>
    <mergeCell ref="B31:G31"/>
    <mergeCell ref="H31:K31"/>
    <mergeCell ref="B22:G22"/>
    <mergeCell ref="H22:K22"/>
    <mergeCell ref="L22:O22"/>
    <mergeCell ref="L26:O26"/>
    <mergeCell ref="L27:O27"/>
    <mergeCell ref="B30:G30"/>
    <mergeCell ref="B26:G26"/>
    <mergeCell ref="H24:K24"/>
    <mergeCell ref="H25:K25"/>
    <mergeCell ref="B27:G27"/>
    <mergeCell ref="H30:K30"/>
    <mergeCell ref="H29:K29"/>
    <mergeCell ref="B29:G29"/>
    <mergeCell ref="A11:A14"/>
    <mergeCell ref="A16:A19"/>
    <mergeCell ref="A21:G21"/>
    <mergeCell ref="B23:G23"/>
    <mergeCell ref="B11:G14"/>
    <mergeCell ref="B16:G19"/>
    <mergeCell ref="B1:G1"/>
    <mergeCell ref="B3:G3"/>
    <mergeCell ref="B7:G7"/>
    <mergeCell ref="H21:K21"/>
    <mergeCell ref="H23:K23"/>
    <mergeCell ref="L21:O21"/>
    <mergeCell ref="L23:O23"/>
    <mergeCell ref="L25:O25"/>
    <mergeCell ref="L24:O24"/>
    <mergeCell ref="L30:O30"/>
    <mergeCell ref="B24:G24"/>
    <mergeCell ref="H28:K28"/>
    <mergeCell ref="H27:K27"/>
    <mergeCell ref="L29:O29"/>
    <mergeCell ref="L28:O28"/>
    <mergeCell ref="H26:K26"/>
  </mergeCells>
  <phoneticPr fontId="42" type="noConversion"/>
  <conditionalFormatting sqref="B9:B10">
    <cfRule type="cellIs" dxfId="3" priority="3" operator="equal">
      <formula>"Nok"</formula>
    </cfRule>
    <cfRule type="cellIs" dxfId="2" priority="4" operator="equal">
      <formula>"Ok"</formula>
    </cfRule>
  </conditionalFormatting>
  <conditionalFormatting sqref="P22:P31">
    <cfRule type="cellIs" dxfId="1" priority="1" operator="equal">
      <formula>"Nok"</formula>
    </cfRule>
    <cfRule type="cellIs" dxfId="0" priority="2" operator="equal">
      <formula>"Ok"</formula>
    </cfRule>
  </conditionalFormatting>
  <dataValidations count="3">
    <dataValidation type="list" allowBlank="1" showInputMessage="1" showErrorMessage="1" sqref="B5" xr:uid="{00000000-0002-0000-0400-000000000000}">
      <formula1>"Nominal, Robustness, Endurance, Qualification"</formula1>
    </dataValidation>
    <dataValidation type="list" allowBlank="1" showInputMessage="1" showErrorMessage="1" sqref="B9" xr:uid="{00000000-0002-0000-0400-000001000000}">
      <formula1>"Ok, Nok, Not run, NA"</formula1>
    </dataValidation>
    <dataValidation type="list" allowBlank="1" showInputMessage="1" showErrorMessage="1" sqref="P23:P31" xr:uid="{00000000-0002-0000-0400-000002000000}">
      <formula1>"Ok, Nok, Not run, ,"</formula1>
    </dataValidation>
  </dataValidations>
  <pageMargins left="0.7" right="0.7" top="0.75" bottom="0.75" header="0.3" footer="0.3"/>
  <pageSetup paperSize="9" orientation="portrait" r:id="rId1"/>
  <headerFooter>
    <oddFooter>&amp;LTBD rev TBD ver TBD&amp;R&amp;P</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heetViews>
  <sheetFormatPr defaultColWidth="9.36328125" defaultRowHeight="14.5" x14ac:dyDescent="0.35"/>
  <cols>
    <col min="1" max="1" width="4.36328125" style="68" customWidth="1"/>
    <col min="2" max="2" width="24.6328125" style="68" customWidth="1"/>
    <col min="3" max="3" width="4.54296875" style="68" customWidth="1"/>
    <col min="4" max="4" width="4.453125" style="68" customWidth="1"/>
    <col min="5" max="5" width="29.6328125" style="68" bestFit="1" customWidth="1"/>
    <col min="6" max="6" width="7.6328125" style="68" bestFit="1" customWidth="1"/>
    <col min="7" max="16384" width="9.36328125" style="68"/>
  </cols>
  <sheetData>
    <row r="2" spans="2:6" x14ac:dyDescent="0.35">
      <c r="B2" s="69" t="s">
        <v>65</v>
      </c>
      <c r="C2" s="69">
        <f ca="1">COUNTIF('Tests Synthesis'!K3:K47, "Ok")</f>
        <v>5</v>
      </c>
      <c r="E2" s="70" t="s">
        <v>66</v>
      </c>
      <c r="F2" s="71">
        <f ca="1">IF(C6=0,0,C2/C6)</f>
        <v>1</v>
      </c>
    </row>
    <row r="3" spans="2:6" x14ac:dyDescent="0.35">
      <c r="B3" s="69" t="s">
        <v>67</v>
      </c>
      <c r="C3" s="69">
        <f ca="1">COUNTIF('Tests Synthesis'!K3:K47, "Nok")</f>
        <v>0</v>
      </c>
      <c r="E3" s="70" t="s">
        <v>68</v>
      </c>
      <c r="F3" s="71">
        <f ca="1">IF(C6=0,0,C3/C6)</f>
        <v>0</v>
      </c>
    </row>
    <row r="4" spans="2:6" x14ac:dyDescent="0.35">
      <c r="B4" s="69" t="s">
        <v>69</v>
      </c>
      <c r="C4" s="69">
        <f ca="1">COUNTIF('Tests Synthesis'!K3:K47, "not run")</f>
        <v>0</v>
      </c>
      <c r="E4" s="69" t="s">
        <v>70</v>
      </c>
      <c r="F4" s="71">
        <f ca="1">IF(C6=0,0,C4/C6)</f>
        <v>0</v>
      </c>
    </row>
    <row r="5" spans="2:6" x14ac:dyDescent="0.35">
      <c r="B5" s="69" t="s">
        <v>122</v>
      </c>
      <c r="C5" s="69">
        <f ca="1">COUNTIF('Tests Synthesis'!K4:K48, "NA")</f>
        <v>0</v>
      </c>
      <c r="E5" s="69" t="s">
        <v>123</v>
      </c>
      <c r="F5" s="71">
        <f>IF(C7=0,0,C5/C7)</f>
        <v>0</v>
      </c>
    </row>
    <row r="6" spans="2:6" x14ac:dyDescent="0.35">
      <c r="B6" s="69" t="s">
        <v>71</v>
      </c>
      <c r="C6" s="69">
        <f ca="1">SUM(C2:C4)</f>
        <v>5</v>
      </c>
    </row>
  </sheetData>
  <pageMargins left="0.7" right="0.7" top="0.75" bottom="0.75" header="0.3" footer="0.3"/>
  <pageSetup paperSize="9" orientation="portrait" r:id="rId1"/>
  <headerFooter>
    <oddFooter>&amp;LTBD rev TBD ver TBD&amp;R&amp;P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FrontPage</vt:lpstr>
      <vt:lpstr>General info</vt:lpstr>
      <vt:lpstr>Guide (help)</vt:lpstr>
      <vt:lpstr>Tests Synthesis</vt:lpstr>
      <vt:lpstr>SW_DLV_0001</vt:lpstr>
      <vt:lpstr>SW_DLV_0002</vt:lpstr>
      <vt:lpstr>SW_DLV_0003</vt:lpstr>
      <vt:lpstr>SW_DLV_0004</vt:lpstr>
      <vt:lpstr>SW_DLV_0005</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Software Integration Test Specification Report (SITS-SITR)</dc:title>
  <dc:creator>Johannes Kask</dc:creator>
  <cp:lastModifiedBy>Madalina Serban</cp:lastModifiedBy>
  <cp:lastPrinted>2011-11-28T23:54:39Z</cp:lastPrinted>
  <dcterms:created xsi:type="dcterms:W3CDTF">2008-08-11T11:06:44Z</dcterms:created>
  <dcterms:modified xsi:type="dcterms:W3CDTF">2024-03-27T09:24:29Z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Mihai Ianos</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