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4.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S:\Tools\Reqtify\Workspace\Reports\"/>
    </mc:Choice>
  </mc:AlternateContent>
  <xr:revisionPtr revIDLastSave="0" documentId="8_{B81C96CC-5FEC-465F-847D-8DCEB47E801A}" xr6:coauthVersionLast="47" xr6:coauthVersionMax="47" xr10:uidLastSave="{00000000-0000-0000-0000-000000000000}"/>
  <bookViews>
    <workbookView xWindow="3360" yWindow="3360" windowWidth="17280" windowHeight="9030" tabRatio="787" firstSheet="8" activeTab="15" xr2:uid="{00000000-000D-0000-FFFF-FFFF00000000}"/>
  </bookViews>
  <sheets>
    <sheet name="FrontPage" sheetId="4" r:id="rId1"/>
    <sheet name="General info" sheetId="11" r:id="rId2"/>
    <sheet name="User Guide" sheetId="14" r:id="rId3"/>
    <sheet name="Statistics" sheetId="15" r:id="rId4"/>
    <sheet name="Requirement Status" sheetId="21" r:id="rId5"/>
    <sheet name="Req List Without Satisfies" sheetId="49" r:id="rId6"/>
    <sheet name="BS_7" sheetId="48" r:id="rId7"/>
    <sheet name="BSM_PS_RBTM_1" sheetId="50" r:id="rId8"/>
    <sheet name="BSM_SC_RBTM_2" sheetId="51" r:id="rId9"/>
    <sheet name="CAD_8" sheetId="52" r:id="rId10"/>
    <sheet name="CompReqSpec_1" sheetId="53" r:id="rId11"/>
    <sheet name="EE_3" sheetId="54" r:id="rId12"/>
    <sheet name="EMC_2" sheetId="55" r:id="rId13"/>
    <sheet name="SW_6" sheetId="56" r:id="rId14"/>
    <sheet name="Fl_10" sheetId="57" r:id="rId15"/>
    <sheet name="Lifetime_1" sheetId="58" r:id="rId16"/>
  </sheets>
  <externalReferences>
    <externalReference r:id="rId17"/>
  </externalReferences>
  <definedNames>
    <definedName name="_xlnm._FilterDatabase" localSheetId="6" hidden="1">BS_7!$A$2:$N$2</definedName>
    <definedName name="_xlnm._FilterDatabase" localSheetId="7" hidden="1">BSM_PS_RBTM_1!$A$2:$N$2</definedName>
    <definedName name="_xlnm._FilterDatabase" localSheetId="8" hidden="1">BSM_SC_RBTM_2!$A$2:$N$2</definedName>
    <definedName name="_xlnm._FilterDatabase" localSheetId="9" hidden="1">CAD_8!$A$2:$N$2</definedName>
    <definedName name="_xlnm._FilterDatabase" localSheetId="10" hidden="1">CompReqSpec_1!$A$2:$N$2</definedName>
    <definedName name="_xlnm._FilterDatabase" localSheetId="11" hidden="1">EE_3!$A$2:$N$2</definedName>
    <definedName name="_xlnm._FilterDatabase" localSheetId="12" hidden="1">EMC_2!$A$2:$N$2</definedName>
    <definedName name="_xlnm._FilterDatabase" localSheetId="14" hidden="1">Fl_10!$A$2:$N$2</definedName>
    <definedName name="_xlnm._FilterDatabase" localSheetId="15" hidden="1">Lifetime_1!$A$2:$N$2</definedName>
    <definedName name="_xlnm._FilterDatabase" localSheetId="4" hidden="1">'Requirement Status'!$A$3:$E$3</definedName>
    <definedName name="_xlnm._FilterDatabase" localSheetId="3" hidden="1">Statistics!$A$4:$M$4</definedName>
    <definedName name="_xlnm._FilterDatabase" localSheetId="13" hidden="1">SW_6!$A$2:$N$2</definedName>
    <definedName name="CoveredByLowReq">Statistics!$D$7</definedName>
    <definedName name="CoveredReq">Statistics!$E$7</definedName>
    <definedName name="DesiredDiscipline">Statistics!$B$1</definedName>
    <definedName name="Discipline">Statistics!$B$69</definedName>
    <definedName name="FileName">FrontPage!$AD$3</definedName>
    <definedName name="FunctReq">Statistics!$B$13</definedName>
    <definedName name="ImplementedReq">Statistics!$C$7</definedName>
    <definedName name="ListOfDisciplines">Statistics!#REF!</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OKFunctReq">Statistics!$M$7</definedName>
    <definedName name="NOKReq">Statistics!$J$7</definedName>
    <definedName name="NonFunctReq">Statistics!$B$14</definedName>
    <definedName name="OKFunctReq">Statistics!$K$7</definedName>
    <definedName name="OKReq">Statistics!$H$7</definedName>
    <definedName name="PartialOKFunctReq">Statistics!$L$7</definedName>
    <definedName name="PartialOKReq">Statistics!$I$7</definedName>
    <definedName name="PLMDocAuthor">FrontPage!$F$10</definedName>
    <definedName name="_xlnm.Print_Area" localSheetId="4">'Requirement Status'!$A$1:$M$4</definedName>
    <definedName name="_xlnm.Print_Area" localSheetId="3">Statistics!$A$1:$DG$152</definedName>
    <definedName name="_xlnm.Print_Area" localSheetId="2">'User Guide'!$A$1:$O$15</definedName>
    <definedName name="_xlnm.Print_Titles" localSheetId="1">'General info'!$1:$10</definedName>
    <definedName name="ReviewTable_LastLine" localSheetId="4">'Requirement Status'!$7:$7</definedName>
    <definedName name="START_REPORT" localSheetId="7">BSM_PS_RBTM_1!$A$1</definedName>
    <definedName name="START_REPORT" localSheetId="8">BSM_SC_RBTM_2!$A$1</definedName>
    <definedName name="START_REPORT" localSheetId="9">CAD_8!$A$1</definedName>
    <definedName name="START_REPORT" localSheetId="10">CompReqSpec_1!$A$1</definedName>
    <definedName name="START_REPORT" localSheetId="11">EE_3!$A$1</definedName>
    <definedName name="START_REPORT" localSheetId="12">EMC_2!$A$1</definedName>
    <definedName name="START_REPORT" localSheetId="14">Fl_10!$A$1</definedName>
    <definedName name="START_REPORT" localSheetId="15">Lifetime_1!$A$1</definedName>
    <definedName name="START_REPORT" localSheetId="13">SW_6!$A$1</definedName>
    <definedName name="START_REPORT">BS_7!$A$1</definedName>
    <definedName name="SumForStatistics">Statistics!$A$7</definedName>
    <definedName name="SWVersion">FrontPage!$O$24</definedName>
    <definedName name="TemplateRef">FrontPage!$W$7</definedName>
    <definedName name="TestedReq">Statistics!$F$7</definedName>
    <definedName name="TitleCoveredByLowReqs">Statistics!$D$4</definedName>
    <definedName name="TitleCoveredByTests">Statistics!$E$4</definedName>
    <definedName name="TitleCumulatedNOK">Statistics!$J$4</definedName>
    <definedName name="TitleCumulatedOK">Statistics!$H$4</definedName>
    <definedName name="TitleCumulatedPartiallyOK">Statistics!$I$4</definedName>
    <definedName name="TitleCumulatedTested">Statistics!$G$4</definedName>
    <definedName name="TitleFnctCumulatedNOK">Statistics!$M$4</definedName>
    <definedName name="TitleFnctCumulatedOK">Statistics!$K$4</definedName>
    <definedName name="TitleFnctCumulatedPartiallyOK">Statistics!$L$4</definedName>
    <definedName name="TitleImplemented">Statistics!$C$4</definedName>
    <definedName name="TitleListOfDisciplines">Statistics!#REF!</definedName>
    <definedName name="TitleModuleName" localSheetId="4">'Requirement Status'!$A$3</definedName>
    <definedName name="TitleModuleName">Statistics!$A$4</definedName>
    <definedName name="TitleReqNumber">Statistics!$B$4</definedName>
    <definedName name="TitleTested">Statistics!$F$4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18" i="15" l="1"/>
  <c r="B116" i="15"/>
  <c r="B50" i="15" l="1"/>
  <c r="A1" i="21" l="1"/>
  <c r="B32" i="15" l="1"/>
  <c r="B3" i="21"/>
  <c r="B92" i="15"/>
  <c r="G4" i="21"/>
  <c r="H4" i="21" s="1"/>
  <c r="F4" i="21"/>
  <c r="E4" i="21"/>
  <c r="D4" i="21"/>
  <c r="C4" i="21"/>
  <c r="B117" i="15"/>
  <c r="B14" i="15"/>
  <c r="B13" i="15"/>
  <c r="B4" i="21"/>
  <c r="P1" i="15"/>
  <c r="G1" i="21"/>
  <c r="AD3" i="4"/>
  <c r="AD3" i="11" s="1"/>
  <c r="A23" i="4"/>
  <c r="B51" i="15" l="1"/>
  <c r="B33" i="15"/>
  <c r="B93"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W7" authorId="0" shapeId="0" xr:uid="{00000000-0006-0000-0000-000001000000}">
      <text>
        <r>
          <rPr>
            <sz val="8"/>
            <color indexed="81"/>
            <rFont val="Tahoma"/>
            <family val="2"/>
          </rPr>
          <t>from e:/MKSProjects/Tools/AEEC/Reqtify_Project_Template/Project_Information/Coverage_Analysis/doc_templates/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6" authorId="0" shapeId="0" xr:uid="{00000000-0006-0000-0100-00000300000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6" authorId="0" shapeId="0" xr:uid="{00000000-0006-0000-0100-000004000000}">
      <text>
        <r>
          <rPr>
            <sz val="8"/>
            <color indexed="81"/>
            <rFont val="Tahoma"/>
            <family val="2"/>
          </rPr>
          <t>Date when the Revision is released</t>
        </r>
      </text>
    </comment>
    <comment ref="I26" authorId="0" shapeId="0" xr:uid="{00000000-0006-0000-0100-000005000000}">
      <text>
        <r>
          <rPr>
            <sz val="8"/>
            <color indexed="81"/>
            <rFont val="Tahoma"/>
            <family val="2"/>
          </rPr>
          <t>Author of the document. Authors if several.</t>
        </r>
      </text>
    </comment>
    <comment ref="R26" authorId="0" shapeId="0" xr:uid="{00000000-0006-0000-0100-000006000000}">
      <text>
        <r>
          <rPr>
            <sz val="8"/>
            <color indexed="81"/>
            <rFont val="Tahoma"/>
            <family val="2"/>
          </rPr>
          <t>Description or comment on the version. E.g. updated after meeting etc.</t>
        </r>
      </text>
    </comment>
    <comment ref="B38" authorId="0" shapeId="0" xr:uid="{00000000-0006-0000-0100-000007000000}">
      <text>
        <r>
          <rPr>
            <sz val="8"/>
            <color indexed="81"/>
            <rFont val="Tahoma"/>
            <family val="2"/>
          </rPr>
          <t>ID of possible reference documents. Any ID can be used, suggestion is [Int1], [Int2] etc. for internal references and [Ext1], [Ext2] etc. for external references</t>
        </r>
      </text>
    </comment>
    <comment ref="E38" authorId="0" shapeId="0" xr:uid="{00000000-0006-0000-0100-000008000000}">
      <text>
        <r>
          <rPr>
            <sz val="8"/>
            <color indexed="81"/>
            <rFont val="Tahoma"/>
            <family val="2"/>
          </rPr>
          <t>Title of reference documents.</t>
        </r>
      </text>
    </comment>
    <comment ref="Y38" authorId="0" shapeId="0" xr:uid="{00000000-0006-0000-0100-000009000000}">
      <text>
        <r>
          <rPr>
            <sz val="8"/>
            <color indexed="81"/>
            <rFont val="Tahoma"/>
            <family val="2"/>
          </rPr>
          <t>Reference number, e.g. E123456 and revision of the reference.</t>
        </r>
      </text>
    </comment>
    <comment ref="B44" authorId="0" shapeId="0" xr:uid="{00000000-0006-0000-0100-00000A000000}">
      <text>
        <r>
          <rPr>
            <sz val="8"/>
            <color indexed="81"/>
            <rFont val="Tahoma"/>
            <family val="2"/>
          </rPr>
          <t>ID of possible reference documents. Any ID can be used, suggestion is [Int1], [Int2] etc. for internal references and [Ext1], [Ext2] etc. for external references</t>
        </r>
      </text>
    </comment>
    <comment ref="E44" authorId="0" shapeId="0" xr:uid="{00000000-0006-0000-0100-00000B000000}">
      <text>
        <r>
          <rPr>
            <sz val="8"/>
            <color indexed="81"/>
            <rFont val="Tahoma"/>
            <family val="2"/>
          </rPr>
          <t>Title of reference documents.</t>
        </r>
      </text>
    </comment>
    <comment ref="Y44" authorId="0" shapeId="0" xr:uid="{00000000-0006-0000-0100-00000C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1" authorId="0" shapeId="0" xr:uid="{00000000-0006-0000-0300-000001000000}">
      <text>
        <r>
          <rPr>
            <b/>
            <sz val="9"/>
            <color indexed="81"/>
            <rFont val="Tahoma"/>
            <family val="2"/>
          </rPr>
          <t>If the discipline is not displayed, add a new discipline in the list of discipline (ListOfDisciplines cells name)</t>
        </r>
      </text>
    </comment>
    <comment ref="B4" authorId="0" shapeId="0" xr:uid="{00000000-0006-0000-0300-000002000000}">
      <text>
        <r>
          <rPr>
            <sz val="9"/>
            <color indexed="81"/>
            <rFont val="Tahoma"/>
            <family val="2"/>
          </rPr>
          <t>number of requirements
corresponding to the number of Requirement Id listed in the first column of the module sheet different from "Not Applicable") / number of Functional Requirements only</t>
        </r>
      </text>
    </comment>
    <comment ref="C4" authorId="0" shapeId="0" xr:uid="{00000000-0006-0000-0300-000003000000}">
      <text>
        <r>
          <rPr>
            <sz val="9"/>
            <color indexed="81"/>
            <rFont val="Tahoma"/>
            <family val="2"/>
          </rPr>
          <t xml:space="preserve">number and % of Implemented Requirements </t>
        </r>
      </text>
    </comment>
    <comment ref="D4" authorId="0" shapeId="0" xr:uid="{00000000-0006-0000-0300-000004000000}">
      <text>
        <r>
          <rPr>
            <sz val="9"/>
            <color indexed="81"/>
            <rFont val="Tahoma"/>
            <family val="2"/>
          </rPr>
          <t>number and % of requirements satisfied by a lower level requirement (downstream coverage requirement)</t>
        </r>
      </text>
    </comment>
    <comment ref="E4" authorId="0" shapeId="0" xr:uid="{00000000-0006-0000-0300-000005000000}">
      <text>
        <r>
          <rPr>
            <sz val="9"/>
            <color indexed="81"/>
            <rFont val="Tahoma"/>
            <family val="2"/>
          </rPr>
          <t>number and % of  Requirements covered by a test scenario.</t>
        </r>
      </text>
    </comment>
    <comment ref="F4" authorId="0" shapeId="0" xr:uid="{00000000-0006-0000-0300-000006000000}">
      <text>
        <r>
          <rPr>
            <sz val="9"/>
            <color indexed="81"/>
            <rFont val="Tahoma"/>
            <family val="2"/>
          </rPr>
          <t>number and % of  Requirements  tested (OK, NOK or partially OK) only for this PRM on this version</t>
        </r>
      </text>
    </comment>
    <comment ref="G4" authorId="0" shapeId="0" xr:uid="{00000000-0006-0000-0300-000007000000}">
      <text>
        <r>
          <rPr>
            <sz val="9"/>
            <color indexed="81"/>
            <rFont val="Tahoma"/>
            <family val="2"/>
          </rPr>
          <t>number and % of Requirements  tested on this version plus other previous versions (thanks to "import PRM" button)</t>
        </r>
      </text>
    </comment>
    <comment ref="H4" authorId="0" shapeId="0" xr:uid="{00000000-0006-0000-0300-000008000000}">
      <text>
        <r>
          <rPr>
            <sz val="9"/>
            <color indexed="81"/>
            <rFont val="Tahoma"/>
            <family val="2"/>
          </rPr>
          <t>number and % of Requirements which have all its tests performed and successfully "OK" on this version plus other previous versions (thanks to "import PRM" button)</t>
        </r>
      </text>
    </comment>
    <comment ref="I4" authorId="0" shapeId="0" xr:uid="{00000000-0006-0000-0300-000009000000}">
      <text>
        <r>
          <rPr>
            <sz val="9"/>
            <color indexed="81"/>
            <rFont val="Tahoma"/>
            <family val="2"/>
          </rPr>
          <t xml:space="preserve">number and % of Requirements which have:
- no "NOK" test and 
- not all its tests "OK" (req not fully tested)
on this version plus the other previous versions (thanks to "import PRM" button)
</t>
        </r>
      </text>
    </comment>
    <comment ref="J4" authorId="0" shapeId="0" xr:uid="{00000000-0006-0000-0300-00000A000000}">
      <text>
        <r>
          <rPr>
            <sz val="9"/>
            <color indexed="81"/>
            <rFont val="Tahoma"/>
            <family val="2"/>
          </rPr>
          <t>number and % of Requirements which have one of its test results with "NOK" on this version plus other previous versions (thanks to "import PRM" button)</t>
        </r>
      </text>
    </comment>
    <comment ref="K4" authorId="0" shapeId="0" xr:uid="{00000000-0006-0000-0300-00000B000000}">
      <text>
        <r>
          <rPr>
            <sz val="9"/>
            <color indexed="81"/>
            <rFont val="Tahoma"/>
            <family val="2"/>
          </rPr>
          <t>number and % of Requirements which have all its test results "OK" on this version plus other previous versions (thanks to "import PRM" button)</t>
        </r>
      </text>
    </comment>
    <comment ref="L4" authorId="0" shapeId="0" xr:uid="{00000000-0006-0000-0300-00000C000000}">
      <text>
        <r>
          <rPr>
            <sz val="9"/>
            <color indexed="81"/>
            <rFont val="Tahoma"/>
            <family val="2"/>
          </rPr>
          <t>number and % of Requirements which have:
- no "NOK" test and
- not all its tests "OK" (req not fully tested)
on this version plus the other previous versions (thanks to "import PRM" button)</t>
        </r>
      </text>
    </comment>
    <comment ref="M4" authorId="0" shapeId="0" xr:uid="{00000000-0006-0000-0300-00000D000000}">
      <text>
        <r>
          <rPr>
            <sz val="9"/>
            <color indexed="81"/>
            <rFont val="Tahoma"/>
            <family val="2"/>
          </rPr>
          <t>number and % of Requirements which have one of its test results with "NOK" on this version plus other previous versions (thanks to "import PRM" button)</t>
        </r>
      </text>
    </comment>
    <comment ref="O71" authorId="0" shapeId="0" xr:uid="{00000000-0006-0000-0300-00000E000000}">
      <text>
        <r>
          <rPr>
            <b/>
            <sz val="9"/>
            <color indexed="81"/>
            <rFont val="Tahoma"/>
            <family val="2"/>
          </rPr>
          <t>This black cell is used to define the validation of desired discipline</t>
        </r>
      </text>
    </comment>
    <comment ref="A72" authorId="0" shapeId="0" xr:uid="{00000000-0006-0000-0300-00000F000000}">
      <text>
        <r>
          <rPr>
            <b/>
            <sz val="9"/>
            <color indexed="81"/>
            <rFont val="Tahoma"/>
            <family val="2"/>
          </rPr>
          <t>Warning this cell is used by the VBA macro</t>
        </r>
      </text>
    </comment>
    <comment ref="A73" authorId="0" shapeId="0" xr:uid="{00000000-0006-0000-0300-000010000000}">
      <text>
        <r>
          <rPr>
            <b/>
            <sz val="9"/>
            <color indexed="81"/>
            <rFont val="Tahoma"/>
            <family val="2"/>
          </rPr>
          <t>Warning : this cell is used by VBA macro</t>
        </r>
      </text>
    </comment>
    <comment ref="A85" authorId="0" shapeId="0" xr:uid="{00000000-0006-0000-0300-000011000000}">
      <text>
        <r>
          <rPr>
            <b/>
            <sz val="9"/>
            <color indexed="81"/>
            <rFont val="Tahoma"/>
            <family val="2"/>
          </rPr>
          <t>This black cell is used to define the validation of desired discipline</t>
        </r>
      </text>
    </comment>
  </commentList>
</comments>
</file>

<file path=xl/sharedStrings.xml><?xml version="1.0" encoding="utf-8"?>
<sst xmlns="http://schemas.openxmlformats.org/spreadsheetml/2006/main" count="27090" uniqueCount="1267">
  <si>
    <t>Revision</t>
  </si>
  <si>
    <t>Project Number &amp; Name</t>
  </si>
  <si>
    <t>Document state</t>
  </si>
  <si>
    <t>Document id</t>
  </si>
  <si>
    <t>Document title</t>
  </si>
  <si>
    <t>Version</t>
  </si>
  <si>
    <t>Description/comment</t>
  </si>
  <si>
    <t>Tab</t>
  </si>
  <si>
    <t>ID</t>
  </si>
  <si>
    <t>Title</t>
  </si>
  <si>
    <t>Reference &amp; revision</t>
  </si>
  <si>
    <t>Date</t>
  </si>
  <si>
    <t>Author(s)</t>
  </si>
  <si>
    <t>Description/Comment</t>
  </si>
  <si>
    <t>Title: Name</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</si>
  <si>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</si>
  <si>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</si>
  <si>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</si>
  <si>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</si>
  <si>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</si>
  <si>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</si>
  <si>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</si>
  <si>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</si>
  <si>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</si>
  <si>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</si>
  <si>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</si>
  <si>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</si>
  <si>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</si>
  <si>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</si>
  <si>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</si>
  <si>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</si>
  <si>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</si>
  <si>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</si>
  <si>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</si>
  <si>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</si>
  <si>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</si>
  <si>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This sheet : contains history, reference, purpose, scope, definition and guide</t>
  </si>
  <si>
    <t>The front page contains information about the document.
Note : the blue cells are automatically filled by PLM and/or formula</t>
  </si>
  <si>
    <t>1. HOW to use "Statistics" sheet...</t>
  </si>
  <si>
    <r>
      <t>3. You may click on button "</t>
    </r>
    <r>
      <rPr>
        <b/>
        <sz val="10"/>
        <rFont val="Arial"/>
        <family val="2"/>
      </rPr>
      <t>Import PRM</t>
    </r>
    <r>
      <rPr>
        <sz val="10"/>
        <rFont val="Arial"/>
        <family val="2"/>
      </rPr>
      <t>"… Give the name of a previous PRM… A progress bar appears… 
If some tests are not performed again on this version for this PRM but available on a previous version/PRM, this PRM will be filled with the results found for the previous version/PRM with the mention "</t>
    </r>
    <r>
      <rPr>
        <i/>
        <sz val="10"/>
        <rFont val="Arial"/>
        <family val="2"/>
      </rPr>
      <t>OK</t>
    </r>
    <r>
      <rPr>
        <sz val="10"/>
        <rFont val="Arial"/>
        <family val="2"/>
      </rPr>
      <t>" or "</t>
    </r>
    <r>
      <rPr>
        <i/>
        <sz val="10"/>
        <rFont val="Arial"/>
        <family val="2"/>
      </rPr>
      <t>NOK</t>
    </r>
    <r>
      <rPr>
        <sz val="10"/>
        <rFont val="Arial"/>
        <family val="2"/>
      </rPr>
      <t>" on "</t>
    </r>
    <r>
      <rPr>
        <i/>
        <sz val="10"/>
        <rFont val="Arial"/>
        <family val="2"/>
      </rPr>
      <t>version number</t>
    </r>
    <r>
      <rPr>
        <sz val="10"/>
        <rFont val="Arial"/>
        <family val="2"/>
      </rPr>
      <t>".
To have the correct "</t>
    </r>
    <r>
      <rPr>
        <i/>
        <sz val="10"/>
        <rFont val="Arial"/>
        <family val="2"/>
      </rPr>
      <t>version number</t>
    </r>
    <r>
      <rPr>
        <sz val="10"/>
        <rFont val="Arial"/>
        <family val="2"/>
      </rPr>
      <t>", don't forget to correctly inform the "</t>
    </r>
    <r>
      <rPr>
        <i/>
        <sz val="10"/>
        <rFont val="Arial"/>
        <family val="2"/>
      </rPr>
      <t>version</t>
    </r>
    <r>
      <rPr>
        <sz val="10"/>
        <rFont val="Arial"/>
        <family val="2"/>
      </rPr>
      <t>" in the title given by the "</t>
    </r>
    <r>
      <rPr>
        <i/>
        <sz val="10"/>
        <rFont val="Arial"/>
        <family val="2"/>
      </rPr>
      <t>1st page</t>
    </r>
    <r>
      <rPr>
        <sz val="10"/>
        <rFont val="Arial"/>
        <family val="2"/>
      </rPr>
      <t>" sheet.</t>
    </r>
  </si>
  <si>
    <t>Customer Requirement Id</t>
  </si>
  <si>
    <t>Type</t>
  </si>
  <si>
    <t>Implemented</t>
  </si>
  <si>
    <t>Discipline</t>
  </si>
  <si>
    <t>Test Id</t>
  </si>
  <si>
    <t>Result</t>
  </si>
  <si>
    <t>Justification</t>
  </si>
  <si>
    <t>Issue</t>
  </si>
  <si>
    <t>if a test result is "failed" (NOK) or not done then a justification must be given.</t>
  </si>
  <si>
    <t xml:space="preserve">if a test result is "failed" (NOK) or not done then an issue is needed </t>
  </si>
  <si>
    <t xml:space="preserve">if OK is extracted, the cell is green, the test is successfull. </t>
  </si>
  <si>
    <t xml:space="preserve"> </t>
  </si>
  <si>
    <t xml:space="preserve">if NOK is extracted, the cell is red, the test is failed. </t>
  </si>
  <si>
    <t xml:space="preserve">NA (Not Applicale) is extracted, the cell is gray, the test is counted with OK results for statistic . </t>
  </si>
  <si>
    <t>Module Name</t>
  </si>
  <si>
    <t>In Review</t>
  </si>
  <si>
    <t>Total</t>
  </si>
  <si>
    <t>for</t>
  </si>
  <si>
    <t>User Guide</t>
  </si>
  <si>
    <t>Explanation about this document</t>
  </si>
  <si>
    <t>Statistics</t>
  </si>
  <si>
    <t>Styles</t>
  </si>
  <si>
    <t>Styles for this document</t>
  </si>
  <si>
    <t>Other sheets…</t>
  </si>
  <si>
    <t>Automatic generated sheets</t>
  </si>
  <si>
    <t>Requirement Status</t>
  </si>
  <si>
    <t>The purpose of this document is to have a summary about customer requirements</t>
  </si>
  <si>
    <t>See User Guide sheet</t>
  </si>
  <si>
    <t>Total (in number)</t>
  </si>
  <si>
    <t>Total (in %)</t>
  </si>
  <si>
    <t>Tested</t>
  </si>
  <si>
    <t>Tested (cumulated)</t>
  </si>
  <si>
    <t>Functional requirements</t>
  </si>
  <si>
    <t>Non-functional requirements</t>
  </si>
  <si>
    <t xml:space="preserve">1. After having required the Product Requirement Matrix through Reqtify project and waiting few minutes, a PRM is ready to be opened but sheets are not correctly named (Feuil1, Feuil2,…). </t>
  </si>
  <si>
    <t>Tested OK (cumulated)</t>
  </si>
  <si>
    <t>Tested NOK (cumulated)</t>
  </si>
  <si>
    <t>Tested partially OK (cumulated)</t>
  </si>
  <si>
    <t>All requirements (cumulated)</t>
  </si>
  <si>
    <t>Not implemented</t>
  </si>
  <si>
    <t>Init</t>
  </si>
  <si>
    <t>Applicable (or agreed) with deviation</t>
  </si>
  <si>
    <t>% Ready (Applicable, deviation included)</t>
  </si>
  <si>
    <t>Current release</t>
  </si>
  <si>
    <t>Not covered by a test</t>
  </si>
  <si>
    <t>tbd</t>
  </si>
  <si>
    <t xml:space="preserve"> 0  /   0</t>
  </si>
  <si>
    <t>Covered by a test</t>
  </si>
  <si>
    <t>Applicable 
(or Agreed/Yes)</t>
  </si>
  <si>
    <t xml:space="preserve">if CA (Caution) is extracted, the cell is orange, the test must be analyzed to decide if it is OK or NOK.  </t>
  </si>
  <si>
    <t xml:space="preserve">if NS (Not Started) is extracted, the cell is orange, is-it normal? NA or empty would be better? </t>
  </si>
  <si>
    <t>Requirement Number / ReqF Only</t>
  </si>
  <si>
    <t xml:space="preserve">The PRM lists every Stakeholder requirements which are identified as:
- Requirement,
- not obsolete and 
- targeted.
</t>
  </si>
  <si>
    <t>Summary about requirements coverages</t>
  </si>
  <si>
    <t>Summary about requirements reviews</t>
  </si>
  <si>
    <t xml:space="preserve">if In Progress is extracted, the cell is orange, is-it normal? NA or empty would be better? </t>
  </si>
  <si>
    <t>CA or NS or In Progress  is counted as empty result</t>
  </si>
  <si>
    <t xml:space="preserve">if the SHR Requirement is not reviewed, agreed then the cell is red. </t>
  </si>
  <si>
    <t>For every "Requirement" of the SHR module which is:
- targeted according to an attribute containing Target and
- not obsolete ( "_ReqStatusSHR" not "Obsolete") and,
- Requirement or Functional or Non-Functional (_TypeSHR or _ObjectType),
 write …</t>
  </si>
  <si>
    <t>Its associated Customer ID Number (automatically extracted from DOORS when it exists)</t>
  </si>
  <si>
    <t>Name of discipline in charge of the implementation of the requirement  (automatically extracted from DOORS)</t>
  </si>
  <si>
    <r>
      <t xml:space="preserve">All the data used to fill these blue columns are extracted from </t>
    </r>
    <r>
      <rPr>
        <b/>
        <u/>
        <sz val="10"/>
        <rFont val="Arial"/>
        <family val="2"/>
      </rPr>
      <t>DOORS</t>
    </r>
    <r>
      <rPr>
        <b/>
        <sz val="10"/>
        <rFont val="Arial"/>
        <family val="2"/>
      </rPr>
      <t xml:space="preserve"> (one sheet per SHR module)</t>
    </r>
  </si>
  <si>
    <t>2. HOW SHR module sheet is filled...</t>
  </si>
  <si>
    <r>
      <rPr>
        <u/>
        <sz val="10"/>
        <rFont val="Arial"/>
        <family val="2"/>
      </rPr>
      <t>Remarks</t>
    </r>
    <r>
      <rPr>
        <sz val="10"/>
        <rFont val="Arial"/>
        <family val="2"/>
      </rPr>
      <t>: In the "Statistics" sheet,
 - the statistics don't take into account the "</t>
    </r>
    <r>
      <rPr>
        <b/>
        <sz val="10"/>
        <rFont val="Arial"/>
        <family val="2"/>
      </rPr>
      <t>Not_Applicable</t>
    </r>
    <r>
      <rPr>
        <sz val="10"/>
        <rFont val="Arial"/>
        <family val="2"/>
      </rPr>
      <t xml:space="preserve">" requirements, but you can find this kind of requirements in each SHRR module sheet.
- ReqF corresponds to Functional requirement when a distinction is made between non-functional and functional requirement.
 </t>
    </r>
  </si>
  <si>
    <r>
      <t>2. You must click on button "</t>
    </r>
    <r>
      <rPr>
        <b/>
        <sz val="10"/>
        <rFont val="Arial"/>
        <family val="2"/>
      </rPr>
      <t>Update Statistics</t>
    </r>
    <r>
      <rPr>
        <sz val="10"/>
        <rFont val="Arial"/>
        <family val="2"/>
      </rPr>
      <t xml:space="preserve">"… A progress bar appears… All statistics are updated and every sheet is updated with the SHR module name (extracted from DOORS). </t>
    </r>
  </si>
  <si>
    <t xml:space="preserve">The PRM lists every requirements, extracted from SHR modules (under DOORS), which are:
- not obsolete ( "_ReqStatusSHR" not "Obsolete") and,
- targeted according to an attribute containing Target and, 
- requirement only or Non-Functional or Functional requirement or requirement (_TypeSHR or _ObjectType)  </t>
  </si>
  <si>
    <t>Satisfied by a low level requirement</t>
  </si>
  <si>
    <t>List of requirements not satisfied by a low level requirement</t>
  </si>
  <si>
    <t>Req Without Satisfies</t>
  </si>
  <si>
    <t>Satisfied by</t>
  </si>
  <si>
    <t>Its associated low level requirement ID Number (automatically extracted from DOORS thanks to Satisfies links)</t>
  </si>
  <si>
    <t>4. You may click on button "Generate List of Requirements without Satisfies"… It displays all requirements without low level requirement (if required) in a new Sheet</t>
  </si>
  <si>
    <t>To be clarified 
(or To be discussed improved / Not Agreed)</t>
  </si>
  <si>
    <t>See PCIM for the roles and Project Members List for the name of people</t>
  </si>
  <si>
    <t>Product Requirements Matrix(PRM)</t>
  </si>
  <si>
    <t>Functional / Non-functional requirements</t>
  </si>
  <si>
    <t>Implemented requirements</t>
  </si>
  <si>
    <t>Not satisfied by a low level requirement</t>
  </si>
  <si>
    <t>Low level coverage</t>
  </si>
  <si>
    <t>Test coverage</t>
  </si>
  <si>
    <t>Tests results</t>
  </si>
  <si>
    <t>Passed</t>
  </si>
  <si>
    <t>Failed</t>
  </si>
  <si>
    <t>Not Tested</t>
  </si>
  <si>
    <t>PRM Requirements</t>
  </si>
  <si>
    <t>Functional requirements only</t>
  </si>
  <si>
    <t>Parameters</t>
  </si>
  <si>
    <t>Computed discipline</t>
  </si>
  <si>
    <t>All</t>
  </si>
  <si>
    <t>&lt;= do not change this cell which is filled automatically by the VBA macro</t>
  </si>
  <si>
    <t>List of disciplines</t>
  </si>
  <si>
    <t>empty</t>
  </si>
  <si>
    <t>SW</t>
  </si>
  <si>
    <t>HW</t>
  </si>
  <si>
    <t>SYS</t>
  </si>
  <si>
    <t>Algo</t>
  </si>
  <si>
    <t>Calib</t>
  </si>
  <si>
    <t>Mecha</t>
  </si>
  <si>
    <t>Product</t>
  </si>
  <si>
    <t>Quality</t>
  </si>
  <si>
    <t>Target</t>
  </si>
  <si>
    <t>Status Supplier</t>
  </si>
  <si>
    <t>(automatically extracted from DOORS)</t>
  </si>
  <si>
    <t>Its SHR softwareTarget
(automatically extracted from DOORS)</t>
  </si>
  <si>
    <t>Type of SHR req (automatically extracted from DOORS)</t>
  </si>
  <si>
    <r>
      <t xml:space="preserve"> X</t>
    </r>
    <r>
      <rPr>
        <sz val="8"/>
        <rFont val="Arial"/>
        <family val="2"/>
      </rPr>
      <t xml:space="preserve"> 
(Not used for PRM). SHR req is considered impplemented if has traceability to a lover level req</t>
    </r>
  </si>
  <si>
    <t xml:space="preserve">Not used for PRM: Its associated Test number (extracted from  Integration/Verification tests) </t>
  </si>
  <si>
    <t xml:space="preserve">Not used for PRM: Extracted from Tests results </t>
  </si>
  <si>
    <t>THIS SHEET IS AUTOMATICALLY CLEARED AND FILLED BY THE COMMAND BUTTON :</t>
  </si>
  <si>
    <t>Generate List of Requirements Without Satisfies</t>
  </si>
  <si>
    <t>Process and method</t>
  </si>
  <si>
    <t>TBD</t>
  </si>
  <si>
    <t>Draft</t>
  </si>
  <si>
    <t>AEF1126</t>
  </si>
  <si>
    <t>SW00TEM007 Generic Excel Template</t>
  </si>
  <si>
    <t>Requirement Id</t>
  </si>
  <si>
    <t>Test/Artifact Id</t>
  </si>
  <si>
    <t>Requirement Description</t>
  </si>
  <si>
    <t>ACR_DAI_BS_25</t>
  </si>
  <si>
    <t>agreed</t>
  </si>
  <si>
    <t>Requirement</t>
  </si>
  <si>
    <t>X</t>
  </si>
  <si>
    <t>Mechanics</t>
  </si>
  <si>
    <t>R05.0</t>
  </si>
  <si>
    <t>The insulation of the electrical cables used (also within components or cable tails) must meet the test conditions of the test guideline (see Electrical cables for motor vehicles [MBN LV 112-1]).,The insulation of the electric cables used (also within components or cable tails) must satisfy the test conditions of Test Guideline (see Electrical cables for motor vehicles [MBN LV 112-1]).</t>
  </si>
  <si>
    <t>ACR_DAI_BS_21</t>
  </si>
  <si>
    <t>Contact housings must be designed to prevent confusion (for control units with multiple connectors, color-code and geometrically code, see e.g. Design guideline for connections systems [A2210002699]).,Contact housing must be designed risk of confusion (for control units with multiple plugs, colored and geometrically coded, see for example design guideline for connections system [A2210002699]).</t>
  </si>
  <si>
    <t>ACR_DAI_BS_17</t>
  </si>
  <si>
    <t>Control devices in the passenger compartment must be designed to withstand condensation without malfunction. (e.g. Electrical and electronic components in motor vehicles - Environmental requirements and tests [MBN 10306], test 9.9 K-09 Damp heat, cyclic (with frost)).,Control devices in the interior must be designed so that they bear a condensation trouble-free. (For example, electric and electronic components in motor vehicles - Environmental requirements and tests [MBN 10306], testing 9.9 K-09 Humid heat, with frost cycle ())</t>
  </si>
  <si>
    <t>ACR_DAI_BS_22</t>
  </si>
  <si>
    <t>partly agreed</t>
  </si>
  <si>
    <t>For all ECUs that are additionally selectively soldered, the fluxes must comply with [DIN EN 61190-1-1] or [IPC J-STD-004B]. Surface cleanliness according to [IPC 2221A] Basic Guideline for the Design of Printed Circuit Boards is required.,In all ECUs that are additionally selectively soldered, the flux of the [DIN EN 61190-1-1] need or [IPC J-STD-004B] sector. It is called a surface cleanliness for [IPC 2221A] basic guideline for the design of printed circuit boards.</t>
  </si>
  <si>
    <t>ACR_DAI_BSM_PS_29</t>
  </si>
  <si>
    <t>BSM_PS_RBTM</t>
  </si>
  <si>
    <t>SYS_DAI_MF08_81</t>
  </si>
  <si>
    <t>Electronics</t>
  </si>
  <si>
    <t>R03.0</t>
  </si>
  <si>
    <t>The control unit provides an interface to the RevAS service provider.,The controller provides an interface for REVAS service provider ready.</t>
  </si>
  <si>
    <t>SYS_DAI_MF08_86</t>
  </si>
  <si>
    <t>SYS_DAI_MF08_95</t>
  </si>
  <si>
    <t>ACR_DAI_BSM_PS_30</t>
  </si>
  <si>
    <t>to clarify</t>
  </si>
  <si>
    <t>SYS_DAI_MF05_111</t>
  </si>
  <si>
    <t>R03.0,R05.0,R06.0</t>
  </si>
  <si>
    <t>The RBTM control unit provides a total of at least 25 parameterizable tightening profiles:
8x PRE-SAFE (reserved for tuning by PRE-SAFE system)
6x PRE-SAFE (only available via API)
4x haptic warning (one of them reserved forCMS-Usecase)
3x GLR (one of them reserved for tuning by belt comfort system)
4x PRE-SAFE Curve,The RBTM controller stelltinsgesamt min 25 Firming configurable profiles.:
8x PRE-SAFE (reserved for voting by PRE-Safe System)
6x PRE-SAFE (only available via API)
4x haptic warning (one reserved fürCMS-Usecase)
3x GLR (one of which is reserved for voting by Gurtkomfort System)
4x PRE-SAFE Curve</t>
  </si>
  <si>
    <t>SYS_DAI_MF05_112</t>
  </si>
  <si>
    <t>SYS_DAI_MF05_113</t>
  </si>
  <si>
    <t>SYS_DAI_MF05_114</t>
  </si>
  <si>
    <t>SYS_DAI_MF02_21</t>
  </si>
  <si>
    <t>SYS_DAI_MF02_28</t>
  </si>
  <si>
    <t>SYS_DAI_MF02_127</t>
  </si>
  <si>
    <t>ACR_DAI_BSM_PS_31</t>
  </si>
  <si>
    <t>R03.0,R06.0</t>
  </si>
  <si>
    <t>All available types of belt tensioning can be started and stopped via this interface. Status information is also sent to the service provider.,Through this interface may all available types of Gurtstraffungen started and are stopped. In addition, status information to the service provider Sent.</t>
  </si>
  <si>
    <t>ACR_DAI_BSM_PS_33</t>
  </si>
  <si>
    <t>SYS_DAI_MF01_15</t>
  </si>
  <si>
    <t>R01.0,R02.0,R05.0</t>
  </si>
  <si>
    <t>The following preconditions must all be met for the "Seat belt tensioning via vehicle interface" function (AND):
-the last valid steering variant (StStyle) of the vehicle matches that of the respective RevAS
-the measured supply voltage is within the operating voltage range,The following preconditions must be alleerfüllt fürdie function "on vehicle interface belt tightening" (AND):
-the last valid Steering variant (StStyle) desFahrzeuges agrees with that of the respective REVAS match
-the measured supply voltage is within desBetriebsspannungsbereiches</t>
  </si>
  <si>
    <t>SYS_DAI_MF01_16</t>
  </si>
  <si>
    <t>SYS_DAI_MF01_265</t>
  </si>
  <si>
    <t>SYS_DAI_MF02_98</t>
  </si>
  <si>
    <t>SYS_DAI_MF02_185</t>
  </si>
  <si>
    <t>ACR_DAI_BSM_PS_36</t>
  </si>
  <si>
    <t>SYS_DAI_MF01_251</t>
  </si>
  <si>
    <t>R01.0,R02.0,R03.0,R04.0,R05.0,R06.0</t>
  </si>
  <si>
    <t>The following functional requirements must all be met for the "Belt tensioning via vehicle interface" function (AND):
-the measured supply voltage is within the extended operating voltage range
-the belt buckle status (Bckl_Sw_D_Stat or Bckl_Sw_FP_Stat) of the associated belt buckle has the value "belt buckle inserted" (OK)
-There is no tensioning request via the interfaces to the PRE-SAFE master (Presf_Lvl) or the ORC (Impact).
-no belt adjustment is performed,The following functional requirements need for the "belt tightening over the vehicle interface" all be fulfilled (AND):
-the measured supply voltage is within defected wide operating voltage range Erten
-The Gurtschlossstatus (Bckl_Sw_D_Stat bzw.Bckl_Sw_FP_Stat) of the corresponding buckle is "buckle plugged" (OK)
-There is no tensioning request via dieSchnittstellen for PRE-SAFE Master (Presf_Lvl) or the ORC (Impact) before
-It is not performed belt adjustment</t>
  </si>
  <si>
    <t>SYS_DAI_MF01_131</t>
  </si>
  <si>
    <t>SYS_DAI_MF01_132</t>
  </si>
  <si>
    <t>SYS_DAI_MF01_133</t>
  </si>
  <si>
    <t>SYS_DAI_MF01_354</t>
  </si>
  <si>
    <t>SYS_DAI_MF05_127</t>
  </si>
  <si>
    <t>SYS_DAI_MF05_128</t>
  </si>
  <si>
    <t>SYS_DAI_MF05_129</t>
  </si>
  <si>
    <t>SYS_DAI_MF05_204</t>
  </si>
  <si>
    <t>SYS_DAI_MF02_117</t>
  </si>
  <si>
    <t>SYS_DAI_MF02_133</t>
  </si>
  <si>
    <t>SYS_DAI_MF02_134</t>
  </si>
  <si>
    <t>SYS_DAI_MF02_135</t>
  </si>
  <si>
    <t>ACR_DAI_BSM_PS_38</t>
  </si>
  <si>
    <t>SYS_DAI_MF01_258</t>
  </si>
  <si>
    <t>R03.0,R04.0,R05.0,R06.0</t>
  </si>
  <si>
    <t>The following state-based function trigger triggers the function:
-the penalty request via theRBTMFx_API_Lvl_Rq signal takes a valid value != "No Request".,The following zustandsbasierterFunktionsauslöser triggers the function:
-the tightening request over the SignalRBTMFx_API_Lvl_Rq takes a valid value! = to "No Request".</t>
  </si>
  <si>
    <t>SYS_DAI_MF01_257</t>
  </si>
  <si>
    <t>SYS_DAI_MF01_256</t>
  </si>
  <si>
    <t>SYS_DAI_MF01_255</t>
  </si>
  <si>
    <t>SYS_DAI_MF01_35</t>
  </si>
  <si>
    <t>SYS_DAI_MF01_215</t>
  </si>
  <si>
    <t>SYS_DAI_MF01_128</t>
  </si>
  <si>
    <t>SYS_DAI_MF01_150</t>
  </si>
  <si>
    <t>SYS_DAI_MF01_151</t>
  </si>
  <si>
    <t>SYS_DAI_MF01_152</t>
  </si>
  <si>
    <t>SYS_DAI_MF01_155</t>
  </si>
  <si>
    <t>SYS_DAI_MF01_193</t>
  </si>
  <si>
    <t>SYS_DAI_MF01_205</t>
  </si>
  <si>
    <t>SYS_DAI_MF01_206</t>
  </si>
  <si>
    <t>SYS_DAI_MF01_207</t>
  </si>
  <si>
    <t>SYS_DAI_MF01_208</t>
  </si>
  <si>
    <t>SYS_DAI_MF01_209</t>
  </si>
  <si>
    <t>SYS_DAI_MF01_210</t>
  </si>
  <si>
    <t>ACR_DAI_BSM_PS_39</t>
  </si>
  <si>
    <t>SYS_DAI_MF05_188</t>
  </si>
  <si>
    <t>R06.0</t>
  </si>
  <si>
    <t>In case of a function end due to an inherent end criterion, there is no re-triggering by a constantly applied function request.,In the case of a functional end through a final criterion inherent no re-triggering is performed by a constant-fitting function request.</t>
  </si>
  <si>
    <t>SYS_DAI_MF02_54</t>
  </si>
  <si>
    <t>SYS_DAI_MF02_176</t>
  </si>
  <si>
    <t>ACR_DAI_BSM_PS_42</t>
  </si>
  <si>
    <t>SYS_DAI_MF01_32</t>
  </si>
  <si>
    <t>R01.0,R02.0</t>
  </si>
  <si>
    <t>The belt tensioning that is stored in the parameter set for the requested tensioning level is executed. This can be a PRE-SAFE tightening, a PRE-CRASHS tightening, a belt adjustment, a haptic warning or a PRE-SAFECurve tightening.,It runs the belt tightening, which is beyond the parameter set to the requested level taut rear Sets. This can be a PRE-SAFE tightening, a PRE-Crash tightening a belt adjustment, a haptic warning or PRE-Safe Curve tightening.</t>
  </si>
  <si>
    <t>SYS_DAI_MF01_37</t>
  </si>
  <si>
    <t>ACR_DAI_BSM_PS_43</t>
  </si>
  <si>
    <t>R01.1,R02.0</t>
  </si>
  <si>
    <t>The implementation is carried out for each type of belt tightening according to the requirements from the respectivesubject content.,The process is performed for jedeArt of belt tightening in accordance with the requirements of the jeweiligenFachinhalt.</t>
  </si>
  <si>
    <t>ACR_DAI_BSM_PS_45</t>
  </si>
  <si>
    <t>SYS_DAI_MF01_142</t>
  </si>
  <si>
    <t>R04.0,R06.0</t>
  </si>
  <si>
    <t>The following conditions must all be met in order to terminate the "Belt tensioning via vehicle interface" function (AND):
-the RBTMFx_API_Lvl_Rq tightening request has the value "No Request" OR an inherent end criterion of the tightening scenario is reached (e.g. BSR).
AND
-the release information from the PRE-SAFE master (PresfAccel_Reset_NotExcd) has the value "Reverse operation possible".
AND
-a parameterizable waiting time (default = 300ms) has expired.,The following conditions must be alleerfüllt to the "belt tightening over the vehicle interface" to end (AND):
-the tightening request RBTMFx_API_Lvl_Rq has the "No Request" OR value reaches a final criterion of the inherent Straffszenariosist (e.g., BSR).
AND
-the release of information from the PRE-SAFE Master (PresfAccel_Reset_NotExcd) has "possible reversing" the value
AND
-a parametrierbareWartezeit (default = 300ms) has expired</t>
  </si>
  <si>
    <t>SYS_DAI_MF05_58</t>
  </si>
  <si>
    <t>SYS_DAI_MF05_168</t>
  </si>
  <si>
    <t>SYS_DAI_MF02_136</t>
  </si>
  <si>
    <t>ACR_DAI_BSM_PS_47</t>
  </si>
  <si>
    <t>SYS_DAI_MF03_28</t>
  </si>
  <si>
    <t>R03.0,R04.0</t>
  </si>
  <si>
    <t>When the "Belt tensioning via vehicle interface" function is terminated by the above-mentioned conditions, a release process is performed to bring about a belt release.,When terminating the "belt tensioning on vehicle interface" by the conditions mentioned, dissolution process is carried out to bring about einerGurtbandfreigängigkeit.</t>
  </si>
  <si>
    <t>SYS_DAI_MF03_19</t>
  </si>
  <si>
    <t>SYS_DAI_MF03_31</t>
  </si>
  <si>
    <t>SYS_DAI_MF03_25</t>
  </si>
  <si>
    <t>SYS_DAI_MF03_32</t>
  </si>
  <si>
    <t>SYS_DAI_MF03_67</t>
  </si>
  <si>
    <t>ACR_DAI_BSM_PS_48</t>
  </si>
  <si>
    <t>SYS_DAI_MF08_339</t>
  </si>
  <si>
    <t>If the signal release information from thePRE-SAFE master (PresfAccel_Reset_NotExcd) has one of the following states:
-Timeout
-SNA
the value "yes" (Reversirvoang possible) is to be assumed as a substitute value.,Has the signal information vomPRE solvent-SAFE Master (PresfAccel_Reset_NotExcd) one of the following states:
-Time-out
-SNa
the value "yes" is (Reversirvoang possible) to accept alser set value.</t>
  </si>
  <si>
    <t>ACR_DAI_BSM_PS_50</t>
  </si>
  <si>
    <t>SYS_DAI_MF01_60</t>
  </si>
  <si>
    <t>R01.0,R02.0,R03.0,R05.0,R06.0</t>
  </si>
  <si>
    <t>The "reversible belt tensioning" function is canceled if one of the following conditions is met (OR):
-the belt buckle status (Bckl_Sw_D_Stat or Bckl_Sw_FP_Stat) of the associated belt buckle has one of the following values:
⦁ "Seatbelt buckle not inserted" (NOT).
⦁ "Signal not available" (SNA)
⦁ "Signal faulty" (FLT)
⦁ Message error - crc error/ message counter error
⦁ Message failure - timeout message
-the measured supply voltage is outside the extended operating voltage range
-the RBTM control unit detects an internal error
-the control message of the vehicle interface hasone of the following values:
⦁ "Signal not available" (SNA).
⦁ message failure - timeout message
-a penalty request is made via the interface to the PRE-SAFE master.
-A penalty request is made via the interface to the airbag control unit. (Impact signals),The "reversibleGurtstraffung" function is canceled if one of the subsequent conditions is satisfied (OR):
-the Gurtschlossstatus (Bckl_Sw_D_Stat bzw.Bckl_Sw_FP_Stat) of the associated belt buckle has a of the following values:
⦁ "buckle not connected" (NOT)
⦁ "signal not available" (SNA)
⦁ "signal failed" (FLT)
⦁ message Error
⦁ Embassy failure
-the measured supply voltage is outside defected wide operating voltage range Erten
-the RBTM control unit detects an internal fault
-the Ansteuerbotschaft the vehicle interface hateinen of the following:
⦁ "signal not available" (SNA)
⦁ Embassy failure
-It takes place a taut request via dieSchnittstelle for PRE-SAFE Master
-It takes place a taut request via dieSchnittstelle the airbag control unit</t>
  </si>
  <si>
    <t>SYS_DAI_MF01_259</t>
  </si>
  <si>
    <t>SYS_DAI_MF01_260</t>
  </si>
  <si>
    <t>SYS_DAI_MF01_140</t>
  </si>
  <si>
    <t>SYS_DAI_MF01_217</t>
  </si>
  <si>
    <t>SYS_DAI_MF01_216</t>
  </si>
  <si>
    <t>SYS_DAI_MF01_136</t>
  </si>
  <si>
    <t>SYS_DAI_MF01_141</t>
  </si>
  <si>
    <t>SYS_DAI_MF01_135</t>
  </si>
  <si>
    <t>SYS_DAI_MF01_146</t>
  </si>
  <si>
    <t>SYS_DAI_MF01_147</t>
  </si>
  <si>
    <t>SYS_DAI_MF01_139</t>
  </si>
  <si>
    <t>SYS_DAI_MF08_133</t>
  </si>
  <si>
    <t>SYS_DAI_MF08_136</t>
  </si>
  <si>
    <t>SYS_DAI_MF05_133</t>
  </si>
  <si>
    <t>SYS_DAI_MF05_142</t>
  </si>
  <si>
    <t>SYS_DAI_MF05_106</t>
  </si>
  <si>
    <t>SYS_DAI_MF05_107</t>
  </si>
  <si>
    <t>SYS_DAI_MF05_134</t>
  </si>
  <si>
    <t>SYS_DAI_MF05_136</t>
  </si>
  <si>
    <t>SYS_DAI_MF05_137</t>
  </si>
  <si>
    <t>SYS_DAI_MF02_43</t>
  </si>
  <si>
    <t>SYS_DAI_MF02_101</t>
  </si>
  <si>
    <t>SYS_DAI_MF02_106</t>
  </si>
  <si>
    <t>SYS_DAI_MF02_107</t>
  </si>
  <si>
    <t>SYS_DAI_MF02_108</t>
  </si>
  <si>
    <t>SYS_DAI_MF02_137</t>
  </si>
  <si>
    <t>SYS_DAI_MF02_138</t>
  </si>
  <si>
    <t>SYS_DAI_MF02_139</t>
  </si>
  <si>
    <t>SYS_DAI_MF02_141</t>
  </si>
  <si>
    <t>ACR_DAI_BSM_PS_51</t>
  </si>
  <si>
    <t>SYS_DAI_MF03_33</t>
  </si>
  <si>
    <t>R04.0,R05.0</t>
  </si>
  <si>
    <t>If the function is interrupted due to undervoltage or overvoltage, a release process to make the belt free is only carried out when the measured supply voltage of the RevAS is within the operating voltage range again.,The demolition of durchUnter- function or overvoltage a release operation is only carried out to bring about one Gurtbandfreigängigkeit when the gemesseneVersorgungsspannung of REVAS is again within desBetriebsspannungsbereiches.</t>
  </si>
  <si>
    <t>SYS_DAI_MF03_17</t>
  </si>
  <si>
    <t>ACR_DAI_BSM_PS_52</t>
  </si>
  <si>
    <t>R05.0,R06.0</t>
  </si>
  <si>
    <t>If the function is interrupted by a force request from the PRE-SAFE master or the ORC, the system immediately switches to this force level. Switching is only done to a higher force level, if a lower force level is requested, the previous active force is maintained.,The demolition of the function by a firming demand from the PRE-SAFE master or the ORC will be changed immediately limited to these. Switching is only to a higher level of force should be a lower level of force will be requested the previously active retained.</t>
  </si>
  <si>
    <t>ACR_DAI_BSM_PS_53</t>
  </si>
  <si>
    <t>R04.0</t>
  </si>
  <si>
    <t>If the function is interrupted by one of the other criteria, a release operation is performed immediately to release the webbing.,The demolition of the function by einesder other criteria, a release operation is performed to bring about one Gurtbandfreigängigkeit immediately.</t>
  </si>
  <si>
    <t>ACR_DAI_BSM_PS_58</t>
  </si>
  <si>
    <t>SYS_DAI_MF08_230</t>
  </si>
  <si>
    <t>Each status bit in theRBTMFs_API_Stat signal represents an unfulfilled function condition for belt tensioning via theAPI interface. One or more conditions may not be fulfilled at the same time.,Each status bit in SignalRBTMFs_API_Stat represents an unfulfilled operational conditions for a belt tensioning on dieAPI interface. It can not be met one or more conditions simultaneously.</t>
  </si>
  <si>
    <t>ACR_DAI_BSM_PS_60</t>
  </si>
  <si>
    <t>SYS_DAI_MF08_340</t>
  </si>
  <si>
    <t>If a function condition can only be checked when the tightening is requested or active or becomes invalid during tightening, the corresponding bit in RBTMFs_API_Stat is set as long as the request is present via the signalRBTMFx_API_Lvl_Rq.,If a function condition can only be checked when the tightening is requested or active or becomes invalid when tightening, the corresponding bit in RBTMFs_API_Stat is set as long as the request is present via the signalRBTMFx_API_Lvl_Rq.</t>
  </si>
  <si>
    <t>ACR_DAI_BSM_PS_62</t>
  </si>
  <si>
    <t>SYS_DAI_MF08_107</t>
  </si>
  <si>
    <t>The RBTMFx_API_Fctn_Stat signal indicates which interface or function performs the currently active belt tensioning.,The signal RBTMFx_API_Fctn_Stat gibtaus which interface or function performs the currently aktiveGurtstraffung.</t>
  </si>
  <si>
    <t>ACR_DAI_BSM_PS_63</t>
  </si>
  <si>
    <t>The RBTMFx_API_Cycl_Actv signal outputs the currently executed tensioning level, regardless of the request source (API, PRE-SAFE,...).,The signal outputs the RBTMFx_API_Cycl_Actv currently running Firming level, regardless of the source of the request (API, PRE-SAFE, ...)</t>
  </si>
  <si>
    <t>ACR_DAI_BSM_PS_66</t>
  </si>
  <si>
    <t>SYS_DAI_MF08_22</t>
  </si>
  <si>
    <t>The RBTM control unit sends the status of the setting cyclically to the RevAS service provider (RBTMFx_API_BltSlckDec_Md_Stat).,The RBTM control unit transmits the setting denStatus cyclically to the REVAS Service Provider (RBTMFx_API_BltSlckDec_Md_Stat).</t>
  </si>
  <si>
    <t>ACR_DAI_BSM_PS_67</t>
  </si>
  <si>
    <t>SYS_DAI_MF08_179</t>
  </si>
  <si>
    <t>The RBTM control unit accepts valid status changes via the request signal from the RevAS ServiceProvider (RBTMFx_API_BltSlckDec_Md_Rq).,The RBTM controller accepts valid status change by the request signal from REVAS Service Provider (RBTMFx_API_BltSlckDec_Md_Rq).</t>
  </si>
  <si>
    <t>SYS_DAI_MF08_343</t>
  </si>
  <si>
    <t>SYS_DAI_MF08_341</t>
  </si>
  <si>
    <t>ACR_DAI_BSM_PS_69</t>
  </si>
  <si>
    <t>SYS_DAI_MF08_342</t>
  </si>
  <si>
    <t>If the request signal for the function status belt adjustment is not sent ("timeout" or signal value "not defined"), the last valid value of the menu setting (signal value "on" or "off") is used.,If the request signal for belt adjustment denFunktionstatus not be sent ( "timeout" or. Signal value "not defined") will fall back to the last valid value of the menu setting (signal value "on" or "off").</t>
  </si>
  <si>
    <t>SYS_DAI_MF08_344</t>
  </si>
  <si>
    <t>ACR_DAI_BSM_PS_70</t>
  </si>
  <si>
    <t>SYS_DAI_MF08_345</t>
  </si>
  <si>
    <t>To realize this software function also over a power cycle, the last valid menu setting must be stored in the non-volatile memory (NvM).,To realize this software function using a power cycle of time is to store the last valid menu setting in the non-volatile memory (NVM).</t>
  </si>
  <si>
    <t>ACR_DAI_BSM_PS_72</t>
  </si>
  <si>
    <t>The hardware requirements from the subject contents PRE-SAFE and belt comfort apply.,the specialized content PRE-SAFE and the Gurtkomfort Hardwareanforderungenaus apply.</t>
  </si>
  <si>
    <t>SYS_DAI_MF05_20</t>
  </si>
  <si>
    <t>SYS_DAI_MF02_27</t>
  </si>
  <si>
    <t>ACR_DAI_BSM_PS_75</t>
  </si>
  <si>
    <t>Transmit signal:RBTMFL_API_Cycl_Actv 
Description:currently executed penalty level
Receiver:LRI
Transmit conditions:cyclic
Value range:tbd (NCD)
Signal behavior in case of missing input variables: SNA,Transmission signal: RBTMFL_API_Cycl_Actv
Description: currently running Firming Level
Receiver: LRI
Transmission conditions: cyclic
Range: tbd (NCD)
Signal behavior in the absence end input sizes: SNA</t>
  </si>
  <si>
    <t>ACR_DAI_BSM_PS_76</t>
  </si>
  <si>
    <t>Transmit signal:RBTMFL_API_Stat 
Description:Bit field with status of individual function conditions
Receiver:LRI
Transmit conditions:cyclic
Value range:tbd (NCD)
Signal behavior in case of missing input variables: SNA,Transmission signal: RBTMFL_API_Stat
Description: bit field with the status of individual operating conditions
Receiver: LRI
Transmission conditions: cyclic
Range: tbd (NCD)
Signal behavior in the absence end input sizes: SNA</t>
  </si>
  <si>
    <t>ACR_DAI_BSM_PS_77</t>
  </si>
  <si>
    <t>SYS_DAI_MF08_20</t>
  </si>
  <si>
    <t>R01.0,R05.0</t>
  </si>
  <si>
    <t>Transmit signal:RBTMFL_API_Disp_Rq 
Description:Request for combined message "PRE-SAFE without function" by theRBTMFL
Receiver: LRI
Transmission conditions:cyclic
Value range: tbd (NCD)
Signal behavior in case of missing input variables: SNA,Transmission signal: RBTMFL_API_Disp_Rq
Description: Request combined message "PRE-SAFE without function" by denRBTMFL
Receiver: LRI
Transmission conditions: cyclic
Range: tbd (NCD)
Signalverhaltenbei missing input variables: SNA</t>
  </si>
  <si>
    <t>SYS_DAI_MF08_229</t>
  </si>
  <si>
    <t>ACR_DAI_BSM_PS_78</t>
  </si>
  <si>
    <t>SYS_DAI_MF08_92</t>
  </si>
  <si>
    <t>Transmit signal:RBTMFL_API_Fctn_Stat
Description:currently executed tightening (Pre-Safe, ORC, BSR, API)
Receiver:LRI
Sending conditions:cyclic
Value range:tbd (NCD)
Signal behavior in case of missing input variables: SNA,Transmission signal: RBTMFL_API_Fctn_Stat
Description: currently running lift (Pre-Safe, ORC, BSR, API)
Receiver: LRI
Transmission conditions: cyclic
Range: tbd (NCD)
Signal behavior in the absence end input sizes: SNA</t>
  </si>
  <si>
    <t>ACR_DAI_BSM_PS_80</t>
  </si>
  <si>
    <t>Transmit signal:RBTMFL_API_BltSlckDec_Md_Stat
Description:Mode Gurtlosereduction status front left
Receiver:LRI
Transmit conditions:cyclic
Value range:tbd (NCD)
Signal behavior in case of missing input variables: SNA,Transmission signal: RBTMFL_API_BltSlckDec_Md_Stat
Description: Mode Gurtlosereduktion status front left
Receiver: LRI
Transmission conditions: cyclic
Range: tbd (NCD)
Signal behavior in the absence end input sizes: SNA</t>
  </si>
  <si>
    <t>ACR_DAI_BSM_PS_81</t>
  </si>
  <si>
    <t>Transmit signal:RBTMFR_API_Cycl_Actv 
Description:currently executed penalty level
Receiver:LRI
Transmit conditions:cyclic
Value range:tbd (NCD)
Signal behavior in case of missing input variables: SNA,Transmission signal: RBTMFR_API_Cycl_Actv
Description: currently running Firming Level
Receiver: LRI
Transmission conditions: cyclic
Range: tbd (NCD)
Signal behavior in the absence end input sizes: SNA</t>
  </si>
  <si>
    <t>ACR_DAI_BSM_PS_82</t>
  </si>
  <si>
    <t>Transmit signal:RBTMFR_API_Stat 
Description:Bit field with status of individual function conditions
Receiver:LRI
Transmit conditions:cyclic
Value range:tbd (NCD)
Signal behavior in case of missing input variables: SNA,Transmission signal: RBTMFR_API_Stat
Description: bit field with the status of individual operating conditions
Receiver: LRI
Transmission conditions: cyclic
Range: tbd (NCD)
Signal behavior in the absence end input sizes: SNA</t>
  </si>
  <si>
    <t>ACR_DAI_BSM_PS_83</t>
  </si>
  <si>
    <t>Transmit signal:RBTMFR_API_Disp_Rq 
Description:Request for combined message "PRE-SAFE without function" by theRBTMFL
Receiver: LRI
Transmission conditions:cyclic
Value range: tbd (NCD)
Signal behaviorin the absence of input variables: SNA,Transmission signal: RBTMFR_API_Disp_Rq
Description: Request combined message "PRE-SAFE without function" by denRBTMFL
Receiver: LRI
Transmission conditions: cyclic
Range: tbd (NCD)
Signalverhaltenbei missing input variables: SNA</t>
  </si>
  <si>
    <t>ACR_DAI_BSM_PS_84</t>
  </si>
  <si>
    <t>Transmit signal:RBTMFR_API_Fctn_Stat
Description:currently executed tightening (Pre-Safe, ORC, BSR, API)
Receiver:LRI
Sending conditions:cyclic
Value range:tbd (NCD)
Signal behavior in case of missing input variables: SNA,Transmission signal: RBTMFR_API_Fctn_Stat
Description: currently running lift (Pre-Safe, ORC, BSR, API)
Receiver: LRI
Transmission conditions: cyclic
Range: tbd (NCD)
Signal behavior in the absence end input sizes: SNA</t>
  </si>
  <si>
    <t>ACR_DAI_BSM_PS_85</t>
  </si>
  <si>
    <t>Transmit signal:RBTMFR_API_BltSlckDec_Md_Stat
Description:Mode Gurtlosereduction status front right
Receiver:LRI
Transmit conditions:cyclic
Value range:tbd (NCD)
Signal behavior in case of missing input variables: SNA,Transmission signal: RBTMFR_API_BltSlckDec_Md_Stat
Description: Mode Gurtlosereduktion status front right
Receiver: LRI
Transmission conditions: cyclic
Range: tbd (NCD)
Signal behavior in the absence end input sizes: SNA</t>
  </si>
  <si>
    <t>ACR_DAI_BSM_PS_86</t>
  </si>
  <si>
    <t>SYS_DAI_MF08_77</t>
  </si>
  <si>
    <t>Received signal:RBTMFL_API_Lvl_Rq
Description:Request tight level
Transmitter: LRI
Wake-up input: "no".
Assumed signal content atBotschaftsausfall: "not available".,Received signal: RBTMFL_API_Lvl_Rq
Description: Request Firming Level
Channel: LRI
WeckfähigerEingang: "No."
Assumable signal content beiBotschaftsausfall "not available"</t>
  </si>
  <si>
    <t>ACR_DAI_BSM_PS_87</t>
  </si>
  <si>
    <t>Received signal:RBTMFL_API_BltSlckDec_Md_Rq
Description:Request mode Gurtlosereduction from headunit front left
Transmitter:LRI
Wake-up input: "no
AssumedSignalContent in case of message failure: "not available".,Received signal: RBTMFL_API_BltSlckDec_Md_Rq
Description: Request Mode Gurtlosereduktion Head Unit front left
Channel: LRI
Weckfähiger input: "No."
Assumable signal content at Embassy failure, "not available"</t>
  </si>
  <si>
    <t>ACR_DAI_BSM_PS_88</t>
  </si>
  <si>
    <t>Receive signal:RBTMFR_API_Lvl_Rq
Description:Request tight level
Transmitter: LRI
Wake-up input: "no".
Assumed signal content in case of message failure: "not available".,Receive signal:RBTMFR_API_Lvl_Rq
Description:Request tight level
Transmitter: LRI
Wake-up input: "no".
Assumed signal content in case of message failure: "not available".</t>
  </si>
  <si>
    <t>ACR_DAI_BSM_PS_89</t>
  </si>
  <si>
    <t>Received signal:RBTMFR_API_BltSlckDec_Md_Rq
Description:Request mode beltless reduction from front right headunit
Transmitter:LRI
Wake-up input: "no
AssumedSignalContent in case of message failure: "not available".,Received signal: RBTMFR_API_BltSlckDec_Md_Rq
Description: Request Mode Gurtlosereduktion Head Unit front right
Channel: LRI
Weckfähiger input: "No."
Assumable signal content at Embassy failure, "not available"</t>
  </si>
  <si>
    <t>ACR_DAI_BSM_PS_97</t>
  </si>
  <si>
    <t>SYS_DAI_MF01_187</t>
  </si>
  <si>
    <t>The "Seat belt tensioning via vehicle interface" function should be able to be switched on and off via the variant coding.,The "Seat belt tensioning via vehicle interface" function should be able to be switched on and off via the variant coding.</t>
  </si>
  <si>
    <t>SYS_DAI_MF07_346</t>
  </si>
  <si>
    <t>SYS_DAI_MF02_65</t>
  </si>
  <si>
    <t>ACR_DAI_BSM_PS_96</t>
  </si>
  <si>
    <t>SYS_DAI_MF09_120</t>
  </si>
  <si>
    <t>The RBTM control unit monitors the control message of the vehicle interface for timeout. If necessary, a DTC is stored.
Error code: tbd (cdd-file),The RBTM control unit monitors dieAnsteuerbotschaft the vehicle interface to timeout. If necessary, there is provided a DTC stored.
Error code: tbd (cdd file)</t>
  </si>
  <si>
    <t>ACR_DAI_BSM_PS_99</t>
  </si>
  <si>
    <t>SYS_DAI_MF08_50</t>
  </si>
  <si>
    <t>The respective values from the PRE-SAFE and seat belt comfort contents apply.,The respective values from the PRE-SAFE and seat belt comfort contents apply.</t>
  </si>
  <si>
    <t>SYS_DAI_MF08_222</t>
  </si>
  <si>
    <t>ACR_DAI_BSM_SC_23</t>
  </si>
  <si>
    <t>BSM_SC_RBTM</t>
  </si>
  <si>
    <t>R02.0,R05.0,R06.0</t>
  </si>
  <si>
    <t>The following preconditions must all be fulfilled for the "Seat BSR" function (AND):
⦁ the last valid steering variant (StStyle) of the vehicle matches that of the respective RevAS.     
⦁ the measured supply voltage (ECU connector) of the RevAS is in the range 9V ≤ UBat ≤ 16 volts.     
⦁ The function mode BSR has the value "BSR on" (ON).     
⦁ the drive train of the vehicle is ready for at least a parameterizable time tDelay (value range 0 - 10,000ms, default 1,000ms, step size 50ms) (PT_Rdy_V2 = 1)  ,The following preconditions must fürdie function "BSR" all be fulfilled (AND):
the last valid Steering variant (StStyle) of the vehicle coincides with that of the respective REVAS match
the measured supply voltage (ECU plug) of the REVAS is 16 volts in the range of 9V UBat ≤ ≤.
The Function Mode BSR is "a BSR" (ON)
the drive train of the vehicle at least for a set time tDelay. (range 0 - 10.000ms, default 1.000ms, increment 50ms) ready (PT_Rdy_V2 = 1)</t>
  </si>
  <si>
    <t>SYS_DAI_MF02_146</t>
  </si>
  <si>
    <t>SYS_DAI_MF02_99</t>
  </si>
  <si>
    <t>SYS_DAI_MF02_100</t>
  </si>
  <si>
    <t>SYS_DAI_MF02_181</t>
  </si>
  <si>
    <t>ACR_DAI_BSM_SC_34</t>
  </si>
  <si>
    <t>SYS_DAI_MF02_118</t>
  </si>
  <si>
    <t>Note: If the conditions measured supply voltage (control unit plug) or the drive train ready are not yet fulfilled when all functional requirements are met, the BSR should be postponed until these preconditions are fulfilled. (no general rejection),Note: Should be met willing not yet the conditions Measured supply voltage (ECU connector) or changed rubbed strand upon fulfillment of all functional requirements, the BSR should be postponed, until these preconditions are satisfied. (No generelleAblehnung)</t>
  </si>
  <si>
    <t>SYS_DAI_MF02_119</t>
  </si>
  <si>
    <t>ACR_DAI_BSM_SC_56</t>
  </si>
  <si>
    <t>R02.0,R05.0</t>
  </si>
  <si>
    <t>The following functional prerequisiteswithout trigger character must all be fulfilled (AND) for the "Seat BSR" function:
⦁ the belt buckle status (Bckl_Sw_D_Stat or Bckl_Sw_Fp_Stat) of the associated belt buckle has the value "Belt buckle inserted" (OK).   ,The following functional requirements without triggering character must for the "BSR" all be fulfilled (AND):
the Gurtschlossstatus (Bckl_Sw_D_Stat or Bckl_Sw_Fp_Stat) of the associated belt buckle has the value "buckle plugged" (OK).</t>
  </si>
  <si>
    <t>ACR_DAI_BSM_SC_64</t>
  </si>
  <si>
    <t>SYS_DAI_MF02_102</t>
  </si>
  <si>
    <t>The following function prerequisites with a triggering character must all be fulfilled for the "BSR" function (AND):
⦁ if a belt carrier is present, the belt carrier status (BeltHdOvr_Lt_Stat or BeltHdOvr_Rt_Stat) of the associated belt carrier has the value "belt carrier retracted" (RETRACT)
⦁ the status of the reverse gear (RevGr_Engg) has one of the following values:     
⦁ "Reverse gear not engaged"(Disengaged).     
⦁ "not defined" (NDEF2)     
⦁ "Signal not available" (SNA)     ,The following functional requirements mitAuslösecharakter must be for the "BSR" alleerfüllt (AND):
with existing belt feeder of Gurtbringerstatus (BeltHdOvr_Lt_Stat or BeltHdOvr_Rt_Stat) has the associated belt hand the value "belt feeder retracted" (RETRACT)
the status of the reverse gear (RevGr_Engg) has one of the following:
"Reverse gear not engaged" (Disengaged)
"Undefined" (NDEF2)
"Signal not available" (SNA)</t>
  </si>
  <si>
    <t>SYS_DAI_MF02_103</t>
  </si>
  <si>
    <t>SYS_DAI_MF02_104</t>
  </si>
  <si>
    <t>SYS_DAI_MF02_105</t>
  </si>
  <si>
    <t>ACR_DAI_BSM_SC_65</t>
  </si>
  <si>
    <t>SYS_DAI_MF02_148</t>
  </si>
  <si>
    <t>As long as no termination condition is fulfilled, the function must wait for the fulfilment of all function prerequisites with trigger character.,As long as no termination condition is satisfied, the function must wait all functional requirements with trip character to meet.</t>
  </si>
  <si>
    <t>SYS_DAI_MF02_149</t>
  </si>
  <si>
    <t>ACR_DAI_BSM_SC_72</t>
  </si>
  <si>
    <t>SYS_DAI_MF02_16</t>
  </si>
  <si>
    <t>R02.0,R06.0</t>
  </si>
  <si>
    <t>⦁	
⦁ the belt buckle status (Bckl_Sw_D_Stat or Bckl_Sw_Fp_Stat) of the associated belt buckle performs a status change from the value "belt buckle not inserted" (NOT) to "belt buckle inserted" (OK)     
⦁	
AND
⦁ a parameterizable time tbckl_Delay (value range 0 - 5,000ms, default 1,000ms, step size 50ms) has elapsed since the status change to "Seatbelt buckle inserted" of the respective seatbelt buckle.,⦁ the belt buckle status (Bckl_Sw_D_Stat or Bckl_Sw_Fp_Stat) of the associated belt buckle performs a status change from the value "belt buckle not inserted" (NOT) to "belt buckle inserted" (OK)     
⦁	
AND
⦁ a parameterizable time tbckl_Delay (value range 0 - 5,000ms, default 1,000ms, step size 50ms) has elapsed since the status change to "Seatbelt buckle inserted" of the respective seatbelt buckle.</t>
  </si>
  <si>
    <t>SYS_DAI_MF02_17</t>
  </si>
  <si>
    <t>SYS_DAI_MF02_179</t>
  </si>
  <si>
    <t>ACR_DAI_BSM_SC_77</t>
  </si>
  <si>
    <t>1.start conditionBSR: 
The RevAS control unit is in standby mode and has checked the plausibility of all input and ambient data. After the start condition has been fulfilled, the internal GLR logic initiates the tightening scenario for the reduction of the seat belt load.,1.start condition belt adjustment: 
The RevAS control unit is in standby mode and has checked the plausibility of all input and ambient data. After the start condition has been fulfilled, the internal GLR logic initiates the tightening scenario for the reduction of the seat belt load.</t>
  </si>
  <si>
    <t>SYS_DAI_MF02_110</t>
  </si>
  <si>
    <t>ACR_DAI_BSM_SC_78</t>
  </si>
  <si>
    <t>2. start-up gradient BSR: 
The starting gradient can be parameterized.,2. start-up gradient for belt adjustment: 
The start-up gradient can be parameterized</t>
  </si>
  <si>
    <t>ACR_DAI_BSM_SC_79</t>
  </si>
  <si>
    <t>3. target speed BSR: 
If the predefined, freely parameterizable belt retraction speed is reached, then this is kept at the predefined level.
If the target speed is not reached because belt slack has already been eliminated, the target force level can be implemented immediately.,3. target speed belt adjustment: 
If the predefined, freely parameterizable belt speed is reached, it is kept at the predefined level.
If the target speed is not reached because belt slack has already been eliminated, the target force level can be started immediately.</t>
  </si>
  <si>
    <t>ACR_DAI_BSM_SC_81</t>
  </si>
  <si>
    <t>4.force increase BSR: 
When the force increase due to the eliminated belt slack sets in, the belt retraction speed must be kept at the predefined level until the predefined force plateau is reached.,4. force increase belt adjustment: 
When the force starts to increase due to the eliminated belt slack, the belt tensioning speed must be kept at the predefined level until the predefined force plateau is reached.</t>
  </si>
  <si>
    <t>ACR_DAI_BSM_SC_82</t>
  </si>
  <si>
    <t>5.force plateau BSR:
Once the predefined, parameterizable belt force level has been reached, it must be maintained at the predefined level.
The force level incl. tolerances must be achieved in the entire automotive temperature range.,5. force plateau belt adjustment:
Once the predefined, parameterizable belt force level has been reached, it must be kept at the predefined level.
The force level including tolerances must be achieved throughout the entire automotive temperature range.</t>
  </si>
  <si>
    <t>ACR_DAI_BSM_SC_83</t>
  </si>
  <si>
    <t>SYS_DAI_MF03_36</t>
  </si>
  <si>
    <t>6. BSR switch-off condition: 
After expiration of a parameterizable holding time of the force plateau and simultaneous presence of a low vehicle acceleration, the process for releasing the increased belt tension is initiated by the respective RevAS-SG.
If there is a permanent high vehicle acceleration during a GLR cycle, which delays a release process time, a release process may be initiated after 60s at the earliest without a low vehicle acceleration being present.,6. belt adjustment switch-off condition: 
After expiry of a parameterizable holding time of the force plateau and simultaneous presence of a low vehicle acceleration, the process for releasing the increased belt tension is initiated by the respective RevAS-SG.
If a high vehicle acceleration is permanently present during a GLR cycle, which delays a release process time, a release process may be initiated after 60s at the earliest without a low vehicle acceleration being present.</t>
  </si>
  <si>
    <t>ACR_DAI_BSM_SC_84</t>
  </si>
  <si>
    <t>SYS_DAI_MF03_34</t>
  </si>
  <si>
    <t>R02.1,R03.0,R06.0</t>
  </si>
  <si>
    <t>7. release procedure:
During the release process, the belt should be released smoothly and without jerks. Strong increases in force to achieve belt release should be avoided.
The force reduction during the release process must also be parameterized.
Measures for checking or estimating the success of whether the belt tension has been reduced and the belt is free must be taken with the integration of all internal and external sensor data.
If the first release process was not successful, a maximum second release attempt may be initiated.,7. release procedure:
During the release process, a smooth and jerk-free release of the belt is to be aimed for. Strong increases in force to achieve belt release must be avoided.
The force reduction during the release process must also be parameterized.
Measures for checking or estimating the success of whether the belt tension has been reduced and the belt is free must be carried out using all internal and external sensor data.
If the first release process was not successful, a maximum second release attempt may be initiated.</t>
  </si>
  <si>
    <t>SYS_DAI_MF03_68</t>
  </si>
  <si>
    <t>SYS_DAI_MF07_99</t>
  </si>
  <si>
    <t>SYS_DAI_MF09_19</t>
  </si>
  <si>
    <t>ACR_DAI_BSM_SC_85</t>
  </si>
  <si>
    <t>8 End of beltless reduction:
The relevant RevAS-SG returns to the standby state after the Beltless reduction function has ended.,8 End of beltless reduction:
The respective RevAS-SG returns to the standby state after completion of the beltless reduction function.</t>
  </si>
  <si>
    <t>ACR_DAI_BSM_SC_87</t>
  </si>
  <si>
    <t>SYS_DAI_MF02_32</t>
  </si>
  <si>
    <t>The following conditions must all be met to end the "BSR" function (AND):
⦁ The parameterizable tightening force level FBSR has been reached.     
⦁ The internally parameterizable waiting time thold has expired.     
⦁ The information from the PRE-SAFE master (Presf_AccelReset_NotExcd) has the value "Reversing process possible" (logical "1").     
⦁	
and an internally parameterizable waiting time t4wait (reference value 0.3s) has expired.,The following conditions must be alleerfüllt to the "BSR" to end (AND):
Reconfiguring the tensioning force level was reached FBSR
The internally configurable waiting time t hold has expired
the Informataion from PRE-SAFE Master (Presf_AccelReset_NotExcd) has the value "reversing possible" (logic "1")
and a internparametrierbare wait t4warten (approximate value 0.3 s) has elapsed</t>
  </si>
  <si>
    <t>ACR_DAI_BSM_SC_88</t>
  </si>
  <si>
    <t>R01.0,R04.0</t>
  </si>
  <si>
    <t>When the "BSR" function is terminated by the above-mentioned conditions, a release operation is performed to bring about a belt release.,Ending the "BSR" by the above-mentioned conditions redemption process is to induce a Gurtbandfreigängigkeitdurchgeführt.</t>
  </si>
  <si>
    <t>ACR_DAI_BSM_SC_90</t>
  </si>
  <si>
    <t>The seat BSR function is aborted if one of the following conditions is met(OR): 
⦁ the respective belt buckle status (Bckl_Sw_D_Stat or Bckl_Sw_FP_Stat) of the associated belt buckle has one of the following values:   
⦁	
⦁ "Seatbelt buckle not inserted" (NOT).     
⦁ "Signal not available" (SNA)     
⦁ "Signal faulty" (FLT)     
⦁ Message error (message counter or CRC checksum incorrect).     
⦁ Message failure        
⦁	
⦁ the RevAS control unit has detected an internal error that is relevant for the function     
⦁	
⦁ the measured supply voltage (control unit connector) of the RevAS is UBat ≤ 7.5 volts     
⦁	
⦁ the measured supply voltage (control unit connector) of the RevAS is UBat ≥ 18 volts     
⦁	
⦁ the accident event (impact) "any accident event" (Impact_X) is received from the airbag control unit     
⦁	
⦁ the tightening request from the PRE-SAFE master (Prsf_Lvl) has one of the values in the range "belt tightening level 1 - 8" (LVL 1 - 8).     ,The BSR function wirdabgebrochen if one of the following conditions is satisfied (OR):
the respective Gurtschlossstatus (Bckl_Sw_D_Stat or Bckl_Sw_FP_Stat) of the associated belt buckle has the following values:
"Buckle not connected" (NOT)
"Signal not available" (SNA)
"Signal failed" (FLT)
Embassy Error (Message-counter or CRC checksum wrong)
Embassy failure
REVAS, the controller has detected an error interen is relevant for the function
the measured supply voltage (ECU plug) of the REVAS UBat is ≤ 7.5 volts
the measured supply voltage (ECU plug) of the REVAS is UBat ≥ 18 volts
the accident (impact) "any accident" (Impact_X) is received by the airbag control unit
the tensioning request from the PRE-SAFE Master (Prsf_Lvl) has one of the values ​​in the "belt tensioning step 1 - 8" (LVL 1-8)</t>
  </si>
  <si>
    <t>SYS_DAI_MF02_150</t>
  </si>
  <si>
    <t>SYS_DAI_MF02_44</t>
  </si>
  <si>
    <t>SYS_DAI_MF02_45</t>
  </si>
  <si>
    <t>ACR_DAI_BSM_SC_92</t>
  </si>
  <si>
    <t>R04.0,R05.0,R06.0</t>
  </si>
  <si>
    <t>When the "Seat BSR" function is canceled by the seat belt buckle status or the reverse gear, a release operation is performed immediately to bring about a seat belt release.,The demolition of the "BSR" function by the Gurtschloßstatus or denRückwärtsgang a release operation is performed to bring about einerGurtbandfreigängigkeit immediately.</t>
  </si>
  <si>
    <t>ACR_DAI_BSM_SC_93</t>
  </si>
  <si>
    <t>If the "BSR" function is aborted due to undervoltage or overvoltage, a release process to bring about belt release is only carried out when the measured supply voltage of the RevAS is again in the range 9 volts ≤ UBat ≤16 volts.,At the termination of the "BSR" by under- or over-voltage redemption process is to induce a erstdurchgeführt Gurtbandfreigängigkeit when the measured supply voltage of the REVAS wiederim the range 9 volts ≤ UBat ≤16 volts.</t>
  </si>
  <si>
    <t>ACR_DAI_BSM_SC_94</t>
  </si>
  <si>
    <t>SYS_DAI_MF03_23</t>
  </si>
  <si>
    <t>If the "Seat BSR" function is aborted by an "any accident event" (Impact_X), NO release process is carried out to bring about a seat belt release. The current supply to the motor output stages must be interrupted. 
Note: The general Impact_X is sent at the same time as the specific Impact signals.,The demolition of the "BSR" function by "any accident" (Impact_X), NO release operation is performed to bring about einerGurtbandfreigängigkeit. The current supply is derMotorendstufen cancel
Note: The general Impact_X is sent simultaneously to denspezifischen Impact signals.</t>
  </si>
  <si>
    <t>ACR_DAI_BSM_SC_95</t>
  </si>
  <si>
    <t>SYS_DAI_MF02_55</t>
  </si>
  <si>
    <t>When a BSR is aborted by the PRE-SAFE Master's tightening request, the corresponding tightening scenario 1-8 must be performed immediately, taking into account all other functional conditions. (see special cases),Upon termination of a request from the tautening Gurtanpassungdurch PRE-SAFE master is immediately daszugehörige tensioning scenario 1-8, allerweiteren taking into account operating conditions to perform. (See special cases)</t>
  </si>
  <si>
    <t>ACR_DAI_BSM_SC_97</t>
  </si>
  <si>
    <t>SYS_DAI_MF02_56</t>
  </si>
  <si>
    <t>If the seat BSR function was aborted by the Impact_X accident event, a new ignition run is required to restore the RevAS to a ready state.,the function was canceled Gurtanpassungdurch the accident Impact_X, it requires zurWiederherstellung a standby state of REVAS eineserneuten ignition barrel.</t>
  </si>
  <si>
    <t>SYS_DAI_MF02_174</t>
  </si>
  <si>
    <t>ACR_DAI_BSM_SC_98</t>
  </si>
  <si>
    <t>SYS_DAI_MF02_69</t>
  </si>
  <si>
    <t>R02.1</t>
  </si>
  <si>
    <t>If the maximum number of switching functions for the "BSR" function has been reached, the "BSR" function must be disabled. This disabling must not be reversible. (see RevAS-DIAG-98).,If the maximum number angarantierten switching functions for the "BSR" is reached then the "BSR" function may not be reversible to sperren.Diese blocking. (See REVAS-DIAG 98).</t>
  </si>
  <si>
    <t>ACR_DAI_BSM_SC_101</t>
  </si>
  <si>
    <t>If a PRE-SAFE belt tensioning is requested during the performance of a BSR, the BSR must be cancelled immediately and the requested PRE-SAFE belt tensioning must be performed.,If a PRE-SAFE belt tightening are required during the implementation of a BSR, the BSR must be stopped immediately and to put the angefordertePRE-SAFE belt tightening.</t>
  </si>
  <si>
    <t>ACR_DAI_BSM_SC_104</t>
  </si>
  <si>
    <t>SYS_DAI_MF01_120</t>
  </si>
  <si>
    <t>R02.0,R02.1</t>
  </si>
  <si>
    <t>To compensate for temperature-related influences on the mechanics and the electrical hardware, the speed and force characteristics must be adjusted or manipulated as a function of the temperature on the reversible belt tensioner (e.g. temperature sensor on the RevAS-SG board).,vontemperaturbedingten for compensating influences of mechanical and electrical hardware is an adaptation or manipulation derGeschwindigkeits- and force characteristics as a function of temperature at the reversible belt tensioner (eg. temperature sensor derRevAS-SG-board) to be provided.</t>
  </si>
  <si>
    <t>SYS_DAI_MF02_61</t>
  </si>
  <si>
    <t>ACR_DAI_BSM_SC_107</t>
  </si>
  <si>
    <t>The "BSR" function is also triggered by a change in the status of the BSR function mode from the value "BSR off" (OFF) to "BSR on" (ON).,The "BSR" function is also triggered by a status change desFunktionsmodus BSR of the value "of BSR" (OFF) to "BSR on" (ON).</t>
  </si>
  <si>
    <t>ACR_DAI_BSM_SC_108</t>
  </si>
  <si>
    <t>In this case, any unsatisfied precondition or function requirement results in an immediate termination of the function. (SC-256 does not apply in this case).,In this case, any unfulfilled condition or functional requirement leads to einemsofortigen cancel the function. (SC-256 does not apply in this case)</t>
  </si>
  <si>
    <t>SYS_DAI_MF02_147</t>
  </si>
  <si>
    <t>SYS_DAI_MF02_163</t>
  </si>
  <si>
    <t>ACR_DAI_BSM_SC_109</t>
  </si>
  <si>
    <t>The condition Drive train of the vehicle is ready (PT_Rdy_V2 = 1) is not to be considered in this special case, the function is also available without drive train ready. (SC-255 is restricted in this case).,The condition drivetrain desFahrzeuges is ready (PT_Rdy_V2 = 1) nichtzu considered in this particular case, the function is available even without a roadworthy power train. (SC-255 is limited in this case).</t>
  </si>
  <si>
    <t>ACR_DAI_BSM_SC_111</t>
  </si>
  <si>
    <t>SYS_DAI_MF02_97</t>
  </si>
  <si>
    <t>The BSR takes place when triggered by the status change of the function mode BSR after a parameterizable timer has elapsed (value range 0 -2,500ms, default 100ms, step width 50ms).,The BSR is carried beiTriggerung by the status change of the function mode Gurtanpassungnach expiry of a programmable timer (range 0 -2.500ms, default 100 ms, in steps of 50 ms).</t>
  </si>
  <si>
    <t>SYS_DAI_MF02_180</t>
  </si>
  <si>
    <t>ACR_DAI_BSM_SC_118</t>
  </si>
  <si>
    <t>SYS_DAI_MF05_9</t>
  </si>
  <si>
    <t>⦁ the last valid steering variant (StStyle) of the vehicle matches that of the respective RevAS     
⦁ the measured supply voltage is within the operating voltage range     
⦁ the haptic warning function is coded in for the respective RBTM,the last valid Steering variant (StStyle) of the vehicle coincides with that of the respective REVAS match
the measured supply voltage is within the operating voltage range
the function haptic warning is encoded for each RBTM</t>
  </si>
  <si>
    <t>SYS_DAI_MF05_155</t>
  </si>
  <si>
    <t>SYS_DAI_MF05_108</t>
  </si>
  <si>
    <t>ACR_DAI_BSM_SC_120</t>
  </si>
  <si>
    <t>SYS_DAI_MF05_143</t>
  </si>
  <si>
    <t>R02.0,R04.0,R05.0</t>
  </si>
  <si>
    <t>The following functional requirements must all be met for the "Reversible belt tensioning" function (AND):
⦁ the measured supply voltage is within the extended operating voltage range     
⦁ the terminal status (ISw_Stat) has the value "ignition on" (IGN_ON)     
⦁ the belt buckle status (Bckl_Sw_D_Stat or Bckl_Sw_Fp_Stat) of the associated belt buckle has the value "belt buckle inserted" (OK)     
⦁ the tension suppression of the PRE-SAFE master (PresfAct_RBTM_FL_TensSupp_Rq or PresfAct_RBTM_FR_TensSupp_Rq) has the value "no tension suppression" (logical "0") ,The following functional requirements need for the "Reversible belt tightening" all fulfillment (AND):
the measured supply voltage is within the extended operating voltage range
the terminal status (ISw_Stat) has the value "ignition on" (IGN_ON)
the Gurtschlossstatus (Bckl_Sw_D_Stat or Bckl_Sw_Fp_Stat) of the associated belt buckle has the value "buckle plugged" (OK)
the firmness suppression of PRE-SAFE Master (PresfAct_RBTM_FL_TensSupp_Rq or PresfAct_RBTM_FR_TensSupp_Rq) is "no tightening repression" (logic "0")</t>
  </si>
  <si>
    <t>SYS_DAI_MF05_92</t>
  </si>
  <si>
    <t>SYS_DAI_MF05_146</t>
  </si>
  <si>
    <t>SYS_DAI_MF05_90</t>
  </si>
  <si>
    <t>SYS_DAI_MF05_150</t>
  </si>
  <si>
    <t>ACR_DAI_BSM_SC_123</t>
  </si>
  <si>
    <t>SYS_DAI_MF05_94</t>
  </si>
  <si>
    <t>The signal Strain request from thePRE-SAFE master (Prsf_Lvl) assumes the value Lvl2.,The signal tensioning request vomPRE-SAFE Master (Prsf_Lvl) takes the value LVL2.</t>
  </si>
  <si>
    <t>ACR_DAI_BSM_SC_127</t>
  </si>
  <si>
    <t>R02.0</t>
  </si>
  <si>
    <t>At least the properties of a haptic warning taut profile shown in the graphic must be parameterizable.,At least the properties of a haptic warning profile shown in the graphic must be parameterisable.</t>
  </si>
  <si>
    <t>SYS_DAI_MF05_198</t>
  </si>
  <si>
    <t>ACR_DAI_BSM_SC_129</t>
  </si>
  <si>
    <t>These parameters must be supplemented by other parameters that are functional or necessary for better and reproducible haptics.,These parameters must be supplemented with other parameters that are functional or necessary for better and reproducible haptics.</t>
  </si>
  <si>
    <t>ACR_DAI_BSM_SC_130</t>
  </si>
  <si>
    <t>SYS_DAI_MF07_10</t>
  </si>
  <si>
    <t>All parameters must be configurable via the variant coding.,All parameters must be configurable via dieVariantencodierung.</t>
  </si>
  <si>
    <t>ACR_DAI_BSM_SC_131</t>
  </si>
  <si>
    <t>Since belt loops may first have to be pulled out of the belt system at the start of the haptic profile, the "FirstCycle" can be parameterized separately.,must be since the beginning of the haptic profile ggf.erst slack from the belt system is considered the "First Cycle" execute separately configured.</t>
  </si>
  <si>
    <t>SYS_DAI_MF05_23</t>
  </si>
  <si>
    <t>ACR_DAI_BSM_SC_132</t>
  </si>
  <si>
    <t>Since the duration of the "Rise" phase in the "First Cycle" depends on the belt lot, a min and max time must be implemented for it. The phase ends when the max time is reached or the target force level is reached after the min time.,As the duration of the "Rise" phase in the "First Cycle" depends on the belt slack, a min and max time must be implemented for it. The phase ends when the max time is reached or the target force level is reached after the min time.</t>
  </si>
  <si>
    <t>ACR_DAI_BSM_SC_133</t>
  </si>
  <si>
    <t>The Consecutive Cycles are to be implemented in a time-controlled manner.,The Consecutive Cycles are timed to implement.</t>
  </si>
  <si>
    <t>ACR_DAI_BSM_SC_134</t>
  </si>
  <si>
    <t>The duration of the haptic warning penalty profile can be defined optionally (repeat n-times).,The duration of the haptic warning taut profile can be optionally defined (repeat n times).</t>
  </si>
  <si>
    <t>ACR_DAI_BSM_SC_136</t>
  </si>
  <si>
    <t>In order to ensure a defined end, the "End Ramp" is always started from the "top" force level. If this is not active at the time of the end of the function, the cycle is continued to the "top" force level and then the "End Ramp" is started.,In order to guarantee a defined end, the "End Ramp" always starts from the "top" force level. If this is not active at the time of the end of the function, the cycle continues to the "top" force level and then enters the "end ramp".</t>
  </si>
  <si>
    <t>SYS_DAI_MF05_180</t>
  </si>
  <si>
    <t>ACR_DAI_BSM_SC_138</t>
  </si>
  <si>
    <t>Depending on whether a duration is defined for the hapticwarning penalty profile:
The defined duration of the profile is reached (case duration defined). This also applies if the function trigger is still present or has already been cancelled.
OR
the function trigger is no longer present (case no duration defined). The function trigger is state-based.,Depending on whether the hapticwarning taut profile a period is defined:
The defined length of the profile (defined event duration) is reached. This also applies if the Funktionsauslöserweiterhin is present or has been previously withdrawn.
OR
the trigger function is no longer present (defined case none). The function trigger is condition-based.</t>
  </si>
  <si>
    <t>ACR_DAI_BSM_SC_139</t>
  </si>
  <si>
    <t>AND The parameterizable waiting time has expired (default 300ms).,AND The programmable wait istabgelaufen (default 300ms).</t>
  </si>
  <si>
    <t>ACR_DAI_BSM_SC_140</t>
  </si>
  <si>
    <t>AND the release information from the PRE-SAFEMaster (PresfAccelReset_notExcd_ST3) has the value "Reversing operation possible" (Logic "1").,And the solvents information from the PRE-Safemaster (PresfAccelReset_notExcd_ST3) has the value "Reversiervorgangmöglich" (logic "1").</t>
  </si>
  <si>
    <t>ACR_DAI_BSM_SC_142</t>
  </si>
  <si>
    <t>SYS_DAI_MF05_160</t>
  </si>
  <si>
    <t>The "haptic belt warning" function is cancelled if one of the following conditions is fulfilled (OR):
-the terminal status (Isw_Stat_ST3) has one of the following values:
"radio on" (IGN_ACC)
"Ignition off" (IGN_OFF)
"Ignition lock locked" (IGN_LOCK)
"Signal not available" (SNA)
Message failure
Message failure
-The seat belt buckle status (Bckl_Sw_XX_Stat_ST3) of the associated seat belt buckle has one of the following values:
"Seatbelt buckle not inserted" (NOT).
"Signal not available" (SNA)
"Signal faulty" (FLT)
Message error
Message failure
-the measured supply voltage is outside the extended operating voltage range
-the tight suppression of the PRE-SAFE master (PresfAct_TensSupp_Rq_ST3) has the value "tight suppression requested".
-The ready state of the PRE-SAFE master (Presf_Enbl_ST3) has the value "not available" (logical "0").
Exception: An abort is not to be performed when the PRE-SAFE function is initiated by flashover events (Impact_RO_type1_ST3 or Impact_RO_type2_ST3).
6 : The PRE-SAFE control message from the PRE-SAFE master (PresfAct_Adj_ST3) has one of the following values:
Message failure
Message failure
Exception: An abort is not to be performed when the PRE-SAFE function is initiated by flashover events (Impact_RO_type1_ST3 or Impact_RO_type2_ST3).
-An accident event (Impact) with the value "any accident event" (Impact_X_ST3) is received.
Exception: An abort is not to be performed when the PRE-SAFE function is initiated by rollover events (Impact_RO_type1 or Impact_RO_type2).
-The tensioning request from the PRE-SAFE master (Prsf_Lvl) has one of the values in the range "Belt tensioning level 1" or "Belt tensioning level 3 - 8".,The "haptic belt warning" function is cancelled if one of the following conditions is fulfilled (OR):
-the terminal status (Isw_Stat_ST3) has one of the following values:
"radio on" (IGN_ACC)
"Ignition off" (IGN_OFF)
"Ignition lock locked" (IGN_LOCK)
"Signal not available" (SNA)
Message failure
Message failure
-The seat belt buckle status (Bckl_Sw_XX_Stat_ST3) of the associated seat belt buckle has one of the following values:
"Seatbelt buckle not inserted" (NOT).
"Signal not available" (SNA)
"Signal faulty" (FLT)
Message error
Message failure
-the measured supply voltage is outside the extended operating voltage range
-the tight suppression of the PRE-SAFE master (PresfAct_TensSupp_Rq_ST3) has the value "tight suppression requested".
-The ready state of the PRE-SAFE master (Presf_Enbl_ST3) has the value "not available" (logical "0").
Exception: An abort is not to be performed when the PRE-SAFE function is initiated by flashover events (Impact_RO_type1_ST3 or Impact_RO_type2_ST3).
-The PRE-SAFE control message from the PRE-SAFE master (PresfAct_Adj_ST3) has one of the following values:
Message failure
Message failure
Exception: An abort is not to be performed when the PRE-SAFE function is initiated by flashover events (Impact_RO_type1_ST3 or Impact_RO_type2_ST3).
-An accident event (Impact) with the value "any accident event" (Impact_X_ST3) is received.
Exception: An abort is not to be performed when the PRE-SAFE function is initiated by rollover events (Impact_RO_type1 or Impact_RO_type2).
-The tensioning request from the PRE-SAFE master (Prsf_Lvl) has one of the values in the range "Belt tensioning level 1" or "Belt tensioning level 3 - 8".</t>
  </si>
  <si>
    <t>SYS_DAI_MF05_36</t>
  </si>
  <si>
    <t>SYS_DAI_MF05_144</t>
  </si>
  <si>
    <t>SYS_DAI_MF05_145</t>
  </si>
  <si>
    <t>SYS_DAI_MF05_98</t>
  </si>
  <si>
    <t>SYS_DAI_MF05_99</t>
  </si>
  <si>
    <t>SYS_DAI_MF05_100</t>
  </si>
  <si>
    <t>SYS_DAI_MF05_42</t>
  </si>
  <si>
    <t>SYS_DAI_MF05_35</t>
  </si>
  <si>
    <t>SYS_DAI_MF05_151</t>
  </si>
  <si>
    <t>SYS_DAI_MF05_96</t>
  </si>
  <si>
    <t>SYS_DAI_MF05_97</t>
  </si>
  <si>
    <t>SYS_DAI_MF05_95</t>
  </si>
  <si>
    <t>SYS_DAI_MF05_152</t>
  </si>
  <si>
    <t>SYS_DAI_MF05_101</t>
  </si>
  <si>
    <t>SYS_DAI_MF05_147</t>
  </si>
  <si>
    <t>SYS_DAI_MF05_102</t>
  </si>
  <si>
    <t>SYS_DAI_MF05_149</t>
  </si>
  <si>
    <t>SYS_DAI_MF05_148</t>
  </si>
  <si>
    <t>SYS_DAI_MF05_103</t>
  </si>
  <si>
    <t>SYS_DAI_MF05_104</t>
  </si>
  <si>
    <t>SYS_DAI_MF05_105</t>
  </si>
  <si>
    <t>ACR_DAI_BSM_SC_143</t>
  </si>
  <si>
    <t>If the "haptic belt warning" function is canceled by the terminal status, the belt buckle status, the retraction suppression or the detection of an internal fault, a release process is performed immediately to bring about a belt release.,At the termination of the "haptischeGurtwarnung" function by the terminal status, the Gurtschlossstatus, dieStraffunterdrückung or detection of an internal fault, it is an immediate release operation to effect einerGurtbandfreigängigkeit performed.</t>
  </si>
  <si>
    <t>ACR_DAI_BSM_SC_144</t>
  </si>
  <si>
    <t>If the "haptic belt warning" function is aborted due to undervoltage or overvoltage, a release process to bring about belt release is only carried out when the measured supply voltage of the RevAS is within the operating voltage range again.,The demolition of the "haptischeGurtwarnung" by undervoltage or overvoltage a Lösevorgangzur is reaching an Gurtbandfreigängigkeit only carried out if the measured supply voltage of REVAS again within desBetriebsspannungsbereiches is.</t>
  </si>
  <si>
    <t>ACR_DAI_BSM_SC_145</t>
  </si>
  <si>
    <t>If the "haptic belt warning" function is cancelled by an "any accident event" (Impact_X_ST3), NO release process is carried out to bring about belt release. The power supply to the motor output stages must be interrupted.,If the "haptic belt warning" function is cancelled by an "any accident event" (Impact_X_ST3), NO release process is carried out to bring about belt release. The power supply to the motor output stages must be interrupted.</t>
  </si>
  <si>
    <t>ACR_DAI_BSM_SC_147</t>
  </si>
  <si>
    <t>If the "haptic belt warning" function is aborted by a pre-safe level, the system immediately switches to this penalty scenario. The same requirements apply as in the case of "Request for higher-priority tightening scenario".,The demolition of the "haptischeGurtwarnung" function by a pre-safe level is changed immediately to this tight scenario. Incase as "request higher priority Firming scenario", the same requirements apply.</t>
  </si>
  <si>
    <t>ACR_DAI_BSM_SC_153</t>
  </si>
  <si>
    <t>The performance verification is carried out on the basis of a tautness measurement on the shoulder belt using a 50% dummy without foam batches on an AK test rig.,The power detection is anhandeiner tensioning force measurement on the shoulder by means of a 50% dummy without foam loosely on an AK-test.</t>
  </si>
  <si>
    <t>ACR_DAI_BSM_SC_154</t>
  </si>
  <si>
    <t>SYS_DAI_MF02_167</t>
  </si>
  <si>
    <t>A tolerance of see definition in [FI-SHG-2054] over the voltage range of 10.8 volts ≥ UBat ≥16 volts shall be maintained for all tightening curves.,For all taut curves a tolerance is [SHG-FI-2054] complied with by see definition in over denSpannungsbereich of 10.8 volts ≥ UBat ≥16 volts.</t>
  </si>
  <si>
    <t>ACR_DAI_BSM_SC_156</t>
  </si>
  <si>
    <t>The following specification values must be met by the reversible belt tensioner in order to implement the BSR function: 
Maximum belt retraction speed: v BSR_max =60mm/s 
Minimum belt retraction speed: v BSR_min= 30mm/s
Upper force plateau: FBSR_max = 40N
Lowerforceplateau: F BSR_min = 25N,The following specification values ​​need from reversible belt tensioners are met to implement the FunktionGurtanpassung:
MaximaleGurteinzugsgeschwindigkeit: v BSR_max = 60mm / s
MinimaleGurteinzugsgeschwindigkeit: v BSR_min = 30mm / s
Upper force Plateau: FBSR_max = 40N
UnteresKraftplateau: F = 25N BSR_min</t>
  </si>
  <si>
    <t>ACR_DAI_BSM_SC_13</t>
  </si>
  <si>
    <t>The following specification values must be met by the reversible belt tensioner in order to implement the haptic belt warning function:
Maximum dynamics during force build-up and reduction: 45N/35ms
Maximum frequency: 16 Hz
Lower force level: 25 N
Upper force level: 140 N
Minimum belt retraction speed: 30mm/s,The following specification values ​​need from reversible belt tensioners are met to implement the Funktionhaptische seat belt warning:
Maximum dynamics in force assembling and dismantling: 45N / 35ms
Maximum frequency: 16 Hz
On the lower level of force: 25 N
Upper level of force: 140 N
Minimum Gurteinzugsgeschwindigkeit: 30mm / s</t>
  </si>
  <si>
    <t>ACR_DAI_BSM_SC_15</t>
  </si>
  <si>
    <t>Ole Object (= )
Graph: Current consumption BSR,OLE Object (=)
Graphics: Current consumption BSR</t>
  </si>
  <si>
    <t>ACR_DAI_BSM_SC_16</t>
  </si>
  <si>
    <t>For the implementation of a BSR, the following maximum permissible current consumption per actuator (measured in the supply lines of the control unit) is defined as follows:
Maximum permissible current per actuator: I max_GLR = 10 A
tI_max_GLR = 10 s,defined to implement a BSR istdie subsequent maximum permissible current consumption per actuator (measured in the supply lines of the control unit) as follows:
Maximum permissible current jeAktor: I = 10 A max_GLR
tI_max_GLR = 10 s</t>
  </si>
  <si>
    <t>ACR_DAI_BSM_SC_17</t>
  </si>
  <si>
    <t>Electronics,Mechanics</t>
  </si>
  <si>
    <t>To implement a haptic Warning tightening profile, the same guidelines apply as for a reversibleGurtstraffung (PRE-SAFE).</t>
  </si>
  <si>
    <t>ACR_DAI_BSM_SC_19</t>
  </si>
  <si>
    <t>The reversible belt tensioner must be designed in such a way that at least 30 successive BSRs with F BSR_max are possible.,The belt tensioner interpreted Reversible istgrundsätzlich so that at least 30 consecutive Gurtanpassungen with F BSR_maxmöglich are.</t>
  </si>
  <si>
    <t>ACR_DAI_BSM_SC_20</t>
  </si>
  <si>
    <t>The reversible pretensioner shall be designed to allow at least 3 consecutive haptic belt warnings (with the test profile defined in the retractor FI and 1 second between activations).,The reversible belt tensioner is soauszulegen that at least 3 consecutive haptischeGurtwarnungen are possible (with the reel-in-FI definiertenPrüfprofil and 1 second interval between activations).</t>
  </si>
  <si>
    <t>SYS_DAI_MF05_183</t>
  </si>
  <si>
    <t>ACR_DAI_BSM_SC_21</t>
  </si>
  <si>
    <t>If the max. permissible temperature T max is reached at the motor output stages during the 30th adjustment, the control unit can cancel the function of the actuator and switch to temperature protection.,If the max.zulässige temperature T max reached denMotorendstufen at the 30th adjustment, so the controller can cancel the function desAktor and go into thermal protection.</t>
  </si>
  <si>
    <t>ACR_DAI_BSM_SC_22</t>
  </si>
  <si>
    <t>SYS_DAI_MF09_3</t>
  </si>
  <si>
    <t>R01.1,R05.0,R06.0</t>
  </si>
  <si>
    <t>If the BSR or haptic belt warning is interrupted, a release process is initiated immediately to make the belt free.  
After a recovery time of max. 5 min, the reversible belt tensioner must be ready for use again. 
Once readiness for use has been restored, the previously aborted function is not restarted.,The demolition of the BSR Seat belt warning oderhaptischen a dissolution process for producing the Gurtbandfreigängigkeit is initiated immediately.
After a recovery time. Max 5 min must dieEinsatzbereitschaft the reversible belt tensioner again hergestelltsein.
If the commitment is restored, the previously aborted function Then, not restarted.</t>
  </si>
  <si>
    <t>SYS_DAI_MF09_95</t>
  </si>
  <si>
    <t>SYS_DAI_MF05_193</t>
  </si>
  <si>
    <t>ACR_DAI_BSM_SC_28</t>
  </si>
  <si>
    <t>SYS_DAI_MF02_68</t>
  </si>
  <si>
    <t>R02.1,R06.0</t>
  </si>
  <si>
    <t>Guaranteed switching functions with F max_BSR of60000 cycles with a respective total duration of 5 seconds and approx. 10 seconds recovery time in each case are required in all temperature ranges. 
DistributionTest cycles/temperatures:
∙ 12,000 cycles atbottom temperature.
∙ 36,000 cycles at room temperature
∙ 12,000 cycles at high temperature,It demanded guaranteed switching functions with F max_BSR von60000 cycles with a respective total duration of 5 seconds, each about 10 SekundenErholzeit in all temperature ranges.
VerteilungPrüfzyklen / temperature:
∙ 12,000 cycles beiTieftermperatur
∙ 36,000 cycles at room temperature
∙ 12,000 cycles at high temperature</t>
  </si>
  <si>
    <t>ACR_DAI_BSM_SC_29</t>
  </si>
  <si>
    <t>Guaranteed switching functions of 10,000 cycles with the haptic test profile defined in the RCD reel in the entire temperature range (NT, RT, HT) are required. The temperature distribution is defined in the FI reel.,It demanded guaranteed switching functions of 10000 cycles with the FI-reel definiertenhaptic check profile across the temperature range (NT, RT, HT). The temperature distribution is defined in the FI reel.</t>
  </si>
  <si>
    <t>ACR_DAI_BSM_SC_35</t>
  </si>
  <si>
    <t>SYS_DAI_MF02_63</t>
  </si>
  <si>
    <t>The memory in the RevAS control unit must be designed in such a way that at least 1 parameterizable tensioning force curve can be displayed for the BSR.,The memory in REVAS control unit must be designed so that at least 1 parametrierbarerStraffkraftverlauf for BSR is displayed.</t>
  </si>
  <si>
    <t>ACR_DAI_BSM_SC_36</t>
  </si>
  <si>
    <t>SYS_DAI_MF05_50</t>
  </si>
  <si>
    <t>The memory in the RevAS control unit must be designed in such a way that at least 1 parameterizable tightening force curve can be displayed for the haptic belt warning.,The memory in REVAS control unit must be designed so that at least 1 parametrierbarerStraffkraftverlauf for the haptic seat belt warning is displayed.</t>
  </si>
  <si>
    <t>ACR_DAI_BSM_SC_38</t>
  </si>
  <si>
    <t>SYS_DAI_MF05_51</t>
  </si>
  <si>
    <t>Starting from the defined speed/force characteristic at room temperature (default), 6 further offset characteristics are to be implemented.,Starting from the definiertenGeschwindigkeits- / force characteristic at room temperature (default) are to be implemented 6weitere offset characteristics.</t>
  </si>
  <si>
    <t>ACR_DAI_BSM_SC_41</t>
  </si>
  <si>
    <t>SYS_DAI_MF05_115</t>
  </si>
  <si>
    <t>If the respectiveRevAS control unit detects a permanent or temporary error in the associated retractor, the retractor motor must not be activated.
An internal event entry is generated.,If the jeweiligeRevAS control unit detect a permanent or temporary error imzugehörigen reel tensioners, no control desStraffermotors may take place.
It generates an internal event entry.</t>
  </si>
  <si>
    <t>SYS_DAI_MF05_119</t>
  </si>
  <si>
    <t>SYS_DAI_MF05_157</t>
  </si>
  <si>
    <t>SYS_DAI_MF05_173</t>
  </si>
  <si>
    <t>ACR_DAI_BSM_SC_42</t>
  </si>
  <si>
    <t>SYS_DAI_MF09_66</t>
  </si>
  <si>
    <t>R02.1,R05.0</t>
  </si>
  <si>
    <t>If the number of permissibleGLR tightening cycles is reached, the GLR function in the respectiveRevAS unit must be suppressed. 
An internal event entry is generated. No warning/instruction message is generated.,If the number of zulässigenGLR-tightening cycles have been reached, the GLR function in jeweiligenRevAS aggregate is to be suppressed.
It generates an internal event entry. Eswird produces no warning / information message.</t>
  </si>
  <si>
    <t>SYS_DAI_MF09_67</t>
  </si>
  <si>
    <t>ACR_DAI_BSM_SC_46</t>
  </si>
  <si>
    <t>Ole Object (= )
Table: Default parameter set BSR,OLE Object (=)
Table: Default parameter set BSR</t>
  </si>
  <si>
    <t>ACR_DAI_BSM_SC_47</t>
  </si>
  <si>
    <t>Ole Object (= )
Table: Default parameter set hapticBeltWarning,OLE Object (=)
Table: Default parameter set haptischeGurtwarnung</t>
  </si>
  <si>
    <t>ACR_DAI_BSM_SC_49</t>
  </si>
  <si>
    <t>Ole Object (= )
Table: Temperature correctionBSR,OLE Object (=)
Table: TemperaturkorrekturGurtanpassung</t>
  </si>
  <si>
    <t>ACR_DAI_BSM_SC_51</t>
  </si>
  <si>
    <t>A status display must be provided for the BSR function. For this purpose, the availability of the BSR of the respective RevAS is reported back to the HMI interface.,Is to provide a status display for dieFunktion BSR. To this end, the availability derGurtanpassung is the respective REVAS to the HMI interface Back Reported.</t>
  </si>
  <si>
    <t>SYS_DAI_MF08_231</t>
  </si>
  <si>
    <t>ACR_DAI_BSM_SC_54</t>
  </si>
  <si>
    <t>If the BSR or haptic belt warning fails, no warning/instruction message is generated.,If the belt adjustment or haptic belt warning fails, no warning/instruction message is generated.</t>
  </si>
  <si>
    <t>DAI_EXT_TF_B_2351</t>
  </si>
  <si>
    <t>ACR_DAI_CompReqSpec_9</t>
  </si>
  <si>
    <t>The following preconditions must all be fulfilled for the "Reversible belt tensioning" function (AND):
⦁ the last valid steering variant (EVC_List03_StStyle_ST3) of the vehicle matches that of the respective RevAS
and
⦁ the measured supply voltage is within the operating voltage range
and
⦁ the PRE-SAFE function is coded in.,The following preconditions must be met for the "Reversible belt tightening" all (AND):
the last valid Steering variant (EVC_List03_StStyle_ST3) of the vehicle coincides with that of the respective REVAS match
and
the measured supply voltage is within the operating voltage range
and
PRE-SAFE function is encoded</t>
  </si>
  <si>
    <t>SYS_DAI_MF01_271</t>
  </si>
  <si>
    <t>SYS_DAI_MF01_355</t>
  </si>
  <si>
    <t>SYS_DAI_MF08_377</t>
  </si>
  <si>
    <t>ACR_DAI_CompReqSpec_251</t>
  </si>
  <si>
    <t>The reversible belt tensioner control unit must evaluate the steering variant.,The controller Reversible belt tensioners must Steering variant evaluate.</t>
  </si>
  <si>
    <t>SYS_DAI_MF08_193</t>
  </si>
  <si>
    <t>SYS_DAI_MF08_196</t>
  </si>
  <si>
    <t>ACR_DAI_CompReqSpec_212</t>
  </si>
  <si>
    <t>The reversible belt tensioner control unit must detect the supply voltage at the control unit connector.,The controller Reversible belt tensioners must capture the supply voltage at the ECU plug.</t>
  </si>
  <si>
    <t>ACR_DAI_CompReqSpec_87</t>
  </si>
  <si>
    <t>The reversible belt tensioner control unit must evaluate the coding status.,The controller Reversible belt tensioners must evaluate the coding state.</t>
  </si>
  <si>
    <t>ACR_DAI_CompReqSpec_420</t>
  </si>
  <si>
    <t>R01.0,R01.1,R04.0,R05.0</t>
  </si>
  <si>
    <t>The following functional requirements must all be met for the "Reversible belt tensioning" function (AND):
⦁ the measured supply voltage is within the extended operating voltage range 
and
⦁ the terminal status (ISw_Stat_ST3) has the value "ignition on" (IGN_ON)
and
⦁ the belt buckle status (Bckl_Sw_XX_Stat_ST3) of the associated belt buckle has the value "belt buckle inserted" (OK)
and
⦁ the tension suppression from the PRE-SAFE master (PresfAct_TensSupp_Rq_ST3) has the value "no tension suppression" (logical "0") 
and
⦁ the ready state of the PRE-SAFE master (Presf_Enbl_ST3) has the value "available" (logical "1").
⦁ Exception: Triggering of an edge-based flashover event (Impact_RO_Type1_ST3 or Impact_RO_Type2_ST3) occurs.,The following functional requirements must be met for the "Reversible belt tightening" all (AND):
the measured supply voltage is within the extended operating voltage range
and
the terminal status (ISw_Stat_ST3) has the value "ignition on" (IGN_ON)
and
the Gurtschlossstatus (Bckl_Sw_XX_Stat_ST3) of the corresponding buckle is "buckle plugged" (OK)
and
the firmness suppression of PRE-SAFE Master (PresfAct_TensSupp_Rq_ST3) is "no tightening repression" (logic "0")
and
the standby state of the PRE-SAFE Masters (Presf_Enbl_ST3) has the value "available" (logic "1")
Exception: There is triggering an edge-based rollover event (Impact_RO_Type1_ST3 or Impact_RO_Type2_ST3).</t>
  </si>
  <si>
    <t>SYS_DAI_MF01_226</t>
  </si>
  <si>
    <t>SYS_DAI_MF01_227</t>
  </si>
  <si>
    <t>SYS_DAI_MF01_228</t>
  </si>
  <si>
    <t>SYS_DAI_MF01_190</t>
  </si>
  <si>
    <t>SYS_DAI_MF01_268</t>
  </si>
  <si>
    <t>SYS_DAI_MF01_191</t>
  </si>
  <si>
    <t>SYS_DAI_MF01_269</t>
  </si>
  <si>
    <t>SYS_DAI_MF01_229</t>
  </si>
  <si>
    <t>SYS_DAI_MF01_230</t>
  </si>
  <si>
    <t>SYS_DAI_MF01_231</t>
  </si>
  <si>
    <t>SYS_DAI_MF01_192</t>
  </si>
  <si>
    <t>SYS_DAI_MF01_238</t>
  </si>
  <si>
    <t>SYS_DAI_MF01_239</t>
  </si>
  <si>
    <t>SYS_DAI_MF01_185</t>
  </si>
  <si>
    <t>SYS_DAI_MF01_232</t>
  </si>
  <si>
    <t>SYS_DAI_MF01_270</t>
  </si>
  <si>
    <t>SYS_DAI_MF08_25</t>
  </si>
  <si>
    <t>SYS_DAI_MF08_48</t>
  </si>
  <si>
    <t>SYS_DAI_MF08_29</t>
  </si>
  <si>
    <t>SYS_DAI_MF08_31</t>
  </si>
  <si>
    <t>SYS_DAI_MF08_39</t>
  </si>
  <si>
    <t>SYS_DAI_MF08_42</t>
  </si>
  <si>
    <t>SYS_DAI_MF08_44</t>
  </si>
  <si>
    <t>SYS_DAI_MF08_46</t>
  </si>
  <si>
    <t>SYS_DAI_MF08_70</t>
  </si>
  <si>
    <t>SYS_DAI_MF08_72</t>
  </si>
  <si>
    <t>ACR_DAI_CompReqSpec_476</t>
  </si>
  <si>
    <t>SYS_DAI_MF09_9</t>
  </si>
  <si>
    <t>R01.0,R01.1,R02.1</t>
  </si>
  <si>
    <t>SYS_DAI_MF09_21</t>
  </si>
  <si>
    <t>ACR_DAI_CompReqSpec_216</t>
  </si>
  <si>
    <t>R01.0,R04.0,R05.0</t>
  </si>
  <si>
    <t>The reversible belt tensioner control unit must evaluate the terminal status.,The controller Reversible belt tensioners must the terminal status evaluated.</t>
  </si>
  <si>
    <t>SYS_DAI_MF01_59</t>
  </si>
  <si>
    <t>SYS_DAI_MF01_245</t>
  </si>
  <si>
    <t>ACR_DAI_CompReqSpec_139</t>
  </si>
  <si>
    <t>The reversible belt tensioner control unit must evaluate the belt buckle status.,The controller Reversible belt tensioners must evaluate the Gurtschlossstatus.</t>
  </si>
  <si>
    <t>SYS_DAI_MF08_187</t>
  </si>
  <si>
    <t>SYS_DAI_MF08_190</t>
  </si>
  <si>
    <t>ACR_DAI_CompReqSpec_455</t>
  </si>
  <si>
    <t>The reversible belt tensioner control unit must evaluate the tensioning suppression request.,The controller Reversible belt tensioners must tightening squelch request to evaluate.</t>
  </si>
  <si>
    <t>SYS_DAI_MF01_261</t>
  </si>
  <si>
    <t>SYS_DAI_MF01_184</t>
  </si>
  <si>
    <t>ACR_DAI_CompReqSpec_521</t>
  </si>
  <si>
    <t>The reversible belt tensioner control unit must evaluate the width status of the PRE-SAFE master.,The controller Reversible belt tensioners need to Breitschaft state of PRE-SAFE Masters evaluate.</t>
  </si>
  <si>
    <t>SYS_DAI_MF01_63</t>
  </si>
  <si>
    <t>SYS_DAI_MF01_65</t>
  </si>
  <si>
    <t>SYS_DAI_MF01_222</t>
  </si>
  <si>
    <t>SYS_DAI_MF01_221</t>
  </si>
  <si>
    <t>SYS_DAI_MF01_288</t>
  </si>
  <si>
    <t>ACR_DAI_CompReqSpec_342</t>
  </si>
  <si>
    <t>SYS_DAI_MF01_254</t>
  </si>
  <si>
    <t>R01.0,R02.0,R02.1,R03.0,R05.0</t>
  </si>
  <si>
    <t>The following state-based function trigger initiates the "Reversible belt tensioning" function:
⦁ the tightening request from the PRE-SAFE master (Presf_Lvl_ST3) assumes a value in the range "Belt Tightening Level 1 - 8" (LVL 1 - 8).,The following state-based function timer triggers the function "Reversible-belt tightening" of:
the tensioning request from the PRE-SAFE Master (Presf_Lvl_ST3) takes a value in the "belt tensioning stage 1 - 8" - at (8 1 Ls).</t>
  </si>
  <si>
    <t>SYS_DAI_MF01_253</t>
  </si>
  <si>
    <t>SYS_DAI_MF01_252</t>
  </si>
  <si>
    <t>SYS_DAI_MF01_220</t>
  </si>
  <si>
    <t>SYS_DAI_MF01_186</t>
  </si>
  <si>
    <t>SYS_DAI_MF01_29</t>
  </si>
  <si>
    <t>SYS_DAI_MF01_200</t>
  </si>
  <si>
    <t>SYS_DAI_MF08_27</t>
  </si>
  <si>
    <t>ACR_DAI_CompReqSpec_98</t>
  </si>
  <si>
    <t>The reversible belt tensioner control unit must evaluate the PRE-SAFE status from the PRE-SAFE master.,The controller Reversible belt tensioners must PRE-SAFE status from PRE-SAFE Master evaluate.</t>
  </si>
  <si>
    <t>ACR_DAI_CompReqSpec_167</t>
  </si>
  <si>
    <t>SYS_DAI_MF01_30</t>
  </si>
  <si>
    <t>The following edge-based function trigger triggers the "Reversible belt tensioning" function:
⦁ an accident event (Impact) is received and takes a value in the range "Rollover event type 1- 2" (Impact_RO_type1_ST3 or Impact_RO_type2_ST3).,The following edge-based function timer triggers the "Reversible belt tightening" function:
an accident (impact) is received and takes a value in the "rollover event type 1 2" (Impact_RO_type1_ST3 or Impact_RO_type2_ST3).</t>
  </si>
  <si>
    <t>ACR_DAI_CompReqSpec_272</t>
  </si>
  <si>
    <t>The Reversible Belt Tensioner control unit must evaluate the crash message from the Post-Crash Master.,The controller Reversible belt tensioners must the crash message of the post-crash Master evaluate.</t>
  </si>
  <si>
    <t>ACR_DAI_CompReqSpec_551</t>
  </si>
  <si>
    <t>R01.0</t>
  </si>
  <si>
    <t>In the event of a positive triggering decision, the webbing is tightened with a requested tightening force level by a webbing retraction.,For a positive decision to trigger the belt is tightened with tensioning force on the requested level by a belt retraction.</t>
  </si>
  <si>
    <t>ACR_DAI_CompReqSpec_28</t>
  </si>
  <si>
    <t>Information</t>
  </si>
  <si>
    <t>SYS_DAI_MF01_33</t>
  </si>
  <si>
    <t>The RevAS is in standby mode and has plausibilized all input and environmental data.,The Reva is in standby mode and has a plausibility check all input and environment data.</t>
  </si>
  <si>
    <t>ACR_DAI_CompReqSpec_232</t>
  </si>
  <si>
    <t>The PRE-SAFE logic in the RevAS control unit initiates belt tensioning at the actuator for the respective tensioning scenario requested.,The PRE-SAFE logic in REVAS control unit initiates a belt tensioning for the respective requested tensioning scenario on the actuator.</t>
  </si>
  <si>
    <t>ACR_DAI_CompReqSpec_347</t>
  </si>
  <si>
    <t>R01.0,R06.0</t>
  </si>
  <si>
    <t>In the case of belt tightening without existing belt slack, a tightening force must be achieved in accordance with the performance requirement [PS-1354 ff].,In a belt-tightening without existing belt slack, has a tensioning force in accordance with power demand [PS-1354 et seq.] Can be achieved.</t>
  </si>
  <si>
    <t>ACR_DAI_CompReqSpec_48</t>
  </si>
  <si>
    <t>R02.0,R03.0</t>
  </si>
  <si>
    <t>The force level and the time required to reach it (gradient) can be parameterized.,The force level and time duration to achieve the same (gradient) to execute parameterized.</t>
  </si>
  <si>
    <t>ACR_DAI_CompReqSpec_500</t>
  </si>
  <si>
    <t>All tightening curves within the envelopes (upper/lower envelope) must be displayable and parameterizable.,All tightening curves within the envelope (upper / lower envelope) have to be represented and configured.</t>
  </si>
  <si>
    <t>ACR_DAI_CompReqSpec_531</t>
  </si>
  <si>
    <t>In the case of belt tensioning with belt slack present, belt retraction shall be achieved in accordance with the performance requirement [PS-1361 et seq.],With a belt tensioning with existing belt slack, has a belt retraction according to the power requirement [PS-1361 et seq.] Can be achieved.</t>
  </si>
  <si>
    <t>ACR_DAI_CompReqSpec_156</t>
  </si>
  <si>
    <t>The belt pull-in speed can be parameterized.,The Gurtbandeinzugsgeschwindigkeit is run parameterized.</t>
  </si>
  <si>
    <t>ACR_DAI_CompReqSpec_62</t>
  </si>
  <si>
    <t>During the transition from the tightening process to the holding process, force overshoots must be minimized by suitable measures.,In the transition from the tensioning process for holding operation force overshoots should be minimized by appropriate measures.</t>
  </si>
  <si>
    <t>ACR_DAI_CompReqSpec_405</t>
  </si>
  <si>
    <t>Once the required force level has been reached, it must be maintained at the same level. It must be possible to maintain the holding plateu for a defined period of time [PS-1354 ff].,If the requested power level is reached, this must be kept at the same level. The Halteplateu need for a defined period of time [PS-1354 et seq.] Can be maintained.</t>
  </si>
  <si>
    <t>ACR_DAI_CompReqSpec_253</t>
  </si>
  <si>
    <t>No force drops are permitted during the holding phase. Tolerance bands are specified in the performance requirements [PS-1354 ff.],During the holding phase, no power waste are allowed. Tolerance bands are named in the performance requirements [PS-1354 et seq.].</t>
  </si>
  <si>
    <t>ACR_DAI_CompReqSpec_366</t>
  </si>
  <si>
    <t>Resulting belt slack must be minimized during an existing PRE-SAFE requirement.,Resulting slack needs during an existing PRE-SAFE request be reduced to a minimum.</t>
  </si>
  <si>
    <t>ACR_DAI_CompReqSpec_239</t>
  </si>
  <si>
    <t>When the PRE-SAFE request is reset, the PRE-SAFE release information is received simultaneously and the parameterizable waiting time has elapsed, the RevAS control unit initiates a process for the actuator to release the increased belt tension.
Corresponding filters are to be implemented for the plausibility check whether a release process can be initiated.,In the resetting of the PRE-SAFE request, while receiving the PRE-SAFE release information and elapsed, programmable waiting time, which REVAS control unit initiates a procedure for releasing the belt tension increased for the actuator.
Appropriate filters must be implemented to Plausibilierung whether a release operation may be initiated.</t>
  </si>
  <si>
    <t>ACR_DAI_CompReqSpec_307</t>
  </si>
  <si>
    <t>During the release process, the belt pretensioning must be reduced smoothly and without jerks.  ,When dissolution process a smooth and jerk-free removal of the belt pretensioning must be implemented.</t>
  </si>
  <si>
    <t>ACR_DAI_CompReqSpec_159</t>
  </si>
  <si>
    <t>SYS_DAI_MF03_3</t>
  </si>
  <si>
    <t>R01.1,R02.0,R03.0</t>
  </si>
  <si>
    <t>The force reduction during the release process can be parameterized.,The force reduction during the dissolution process is run parameterized.</t>
  </si>
  <si>
    <t>SYS_DAI_MF03_15</t>
  </si>
  <si>
    <t>ACR_DAI_CompReqSpec_268</t>
  </si>
  <si>
    <t>If a first release operation has not been successful, a maximum second release attempt may be initiated.,If a first release operation has not been successful, so a maximum of the second attempt to release must be initiated.</t>
  </si>
  <si>
    <t>ACR_DAI_CompReqSpec_555</t>
  </si>
  <si>
    <t>The end of reversible belt tensioning is reached when the belt pre-tensioner has been removed again and the belt is free to move.,The end of the reversible belt tensioning is achieved when the Gurtbandvorspannung was dismantled and the belt can move freely.</t>
  </si>
  <si>
    <t>ACR_DAI_CompReqSpec_23</t>
  </si>
  <si>
    <t>Measures to check whether the belt tension has been completely relieved and the belt is free to move must be brought about with the involvement of all internal and external sensor data.,Measures to check whether the belt tension has been completely dismantled and the belt can move freely is to bring all domestic and external sensor data integration.</t>
  </si>
  <si>
    <t>ACR_DAI_CompReqSpec_469</t>
  </si>
  <si>
    <t>SYS_DAI_MF01_54</t>
  </si>
  <si>
    <t>R01.0,R03.0,R04.0</t>
  </si>
  <si>
    <t>The following conditions must all be met to end the "reversible belt tensioning " function (AND):
⦁ the ready state of the PRE-SAFE master (Presf_Enbl_ST3) has the value "available" (logical "1")
and
⦁ the penalty request from the PRE-SAFE master (Presf_Lvl_ST3) has the value "no penalty request" (LVL 0)
and
⦁ the release information from the PRE-SAFE master (PresfAccelReset_NotExcd_ST3) has the value "reverse operation possible" (Logic "1")
and
⦁ a parameterizable waiting time has expired.,The following conditions must all be met in order to end the "reversible belt tensioning" (AND):
the standby state of the PRE-SAFE Masters (Presf_Enbl_ST3) has the value "available" (logic "1")
and
the firmness request from the PRE-SAFE Master (Presf_Lvl_ST3) is "no Firming request" (LVL 0)
and
the release information from the PRE-SAFE Master (PresfAccelReset_NotExcd_ST3) has the value "reversing possible" (logic "1")
and
a configurable waiting period has expired.</t>
  </si>
  <si>
    <t>SYS_DAI_MF01_51</t>
  </si>
  <si>
    <t>SYS_DAI_MF01_153</t>
  </si>
  <si>
    <t>SYS_DAI_MF01_56</t>
  </si>
  <si>
    <t>ACR_DAI_CompReqSpec_118</t>
  </si>
  <si>
    <t>The reversible belt tensioner control unit must evaluate the readiness status from the PRE-SAFE master.,The controller Reversible belt tensioners must standby status from PRE-SAFE Master evaluate.</t>
  </si>
  <si>
    <t>ACR_DAI_CompReqSpec_175</t>
  </si>
  <si>
    <t>ACR_DAI_CompReqSpec_102</t>
  </si>
  <si>
    <t>The reversible belt tensioner control unit must evaluate the release information from the PRE-SAFE master.,The controller Reversible belt tensioners must be the release of information from the PRE-SAFE Master evaluate.</t>
  </si>
  <si>
    <t>SYS_DAI_MF08_100</t>
  </si>
  <si>
    <t>ACR_DAI_CompReqSpec_179</t>
  </si>
  <si>
    <t>The reversible belt tensioner control unit must detect the expiry of a parameterizable waiting time (parameter t = 300ms).  ,determine the control unit reversible belt retractor has the expiration of a specified waiting time (parameter t = 300ms).</t>
  </si>
  <si>
    <t>ACR_DAI_CompReqSpec_530</t>
  </si>
  <si>
    <t>SYS_DAI_MF03_6</t>
  </si>
  <si>
    <t>When the "reversible belt tensioning " function is terminated by the above-mentioned conditions, a release operation is performed to bring about belt unbuckling.,When terminating the "reversible belt tensioning" by the above-mentioned conditions, a release operation is carried out to achieve a Gurtbandfreigängigkeit.</t>
  </si>
  <si>
    <t>SYS_DAI_MF03_29</t>
  </si>
  <si>
    <t>ACR_DAI_CompReqSpec_227</t>
  </si>
  <si>
    <t>R01.0,R01.1,R02.1,R03.0,R04.0,R05.0</t>
  </si>
  <si>
    <t>The "reversible belt tensioning" function is canceled if one of the following conditions is met (OR):
⦁ the terminal status (Isw_Stat_ST3) has one of the following values:
⦁ "radio on" (IGN_ACC).
⦁ "Ignition off" (IGN_OFF)
⦁ "Ignition lock locked" (IGN_LOCK).
⦁ "Signal not available" (SNA)
⦁ Message error 
⦁ Message failure
⦁ the seat belt buckle status (Bckl_Sw_XX_Stat_ST3) of the associated seat belt buckle has one of the following values:
⦁ "Seatbelt buckle not inserted" (NOT).
⦁ "Signal not available" (SNA)
⦁ "Signal faulty" (FLT)
⦁ Message error
⦁ Message failure
⦁ the measured supply voltage is outside the extended operating voltage range 
⦁ the tight suppression from the PRE-SAFE master (PresfAct_TensSupp_Rq_ST3) has the value "tight suppression requested".
⦁ the ready state of the PRE-SAFE master (Presf_Enbl_ST3) has the value "not available" (logical "0").
Exception: An abort is not to be performed when the PRE-SAFE function is initiated by flashover events (Impact_RO_type1_ST3 or Impact_RO_type2_ST3). 
⦁ the PRE-SAFE actuation message from the PRE-SAFE master (PresfAct_Adj_ST3) has one of the following values:
⦁ message error 
⦁ Message failure 
Exception: an abort is not to be performed when the PRE-SAFE function is initiated by rollover events (Impact_RO_type1_ST3 or Impact_RO_type2_ST3). 
∙ an accident event (Impact) with the value "any accident event" (Impact_X_ST3 ) is received.
Exception: An abort is not to be performed with initiated PRE-SAFE function by rollover events (Impact_RO_type1 or Impact_RO_type2).,The "reversible belt tensioning" is canceled if one of the following conditions is satisfied (OR):
the terminal status (Isw_Stat_ST3) has one of the following values:
"Radio on" (IGN_ACC)
"Ignition" (IGN_OFF)
"Ignition switch closed" (IGN_LOCK)
"Signal not available" (SNA)
Embassy error
Embassy failure
the Gurtschlossstatus (Bckl_Sw_XX_Stat_ST3) of the associated belt buckle has the following values:
"Buckle not connected" (NOT)
"Signal not available" (SNA)
"Signal failed" (FLT)
Embassy error
Embassy failure
the measured supply voltage is outside the extended operating voltage range
the firmness suppression of PRE-SAFE Master (PresfAct_TensSupp_Rq_ST3) has "requested Firming suppressing" the value.
the ready state of the PRE-SAFE Masters (Presf_Enbl_ST3) is "not available" (logic "0")
Exception: An abort is to be performed with triggered PRE-SAFE function by rollover events (Impact_RO_type1_ST3 or Impact_RO_type2_ST3).
the PRE-SAFE Ansteuerbotschaft from PRE-SAFE Master (PresfAct_Adj_ST3) has one of the following values:
Embassy error
Embassy failure
Exception: An abort is to be performed with triggered PRE-SAFE function by rollover events (Impact_RO_type1_ST3 or Impact_RO_type2_ST3).
∙ an accident (impact) by the value "any accident" (Impact_X_ST3 ) is received
Exception: An abort is to be performed with triggered PRE-SAFE function by rollover events (Impact_RO_type1 or Impact_RO_type2).</t>
  </si>
  <si>
    <t>SYS_DAI_MF01_199</t>
  </si>
  <si>
    <t>SYS_DAI_MF01_218</t>
  </si>
  <si>
    <t>SYS_DAI_MF01_149</t>
  </si>
  <si>
    <t>SYS_DAI_MF01_148</t>
  </si>
  <si>
    <t>SYS_DAI_MF01_202</t>
  </si>
  <si>
    <t>SYS_DAI_MF01_281</t>
  </si>
  <si>
    <t>SYS_DAI_MF01_201</t>
  </si>
  <si>
    <t>SYS_DAI_MF01_203</t>
  </si>
  <si>
    <t>SYS_DAI_MF01_204</t>
  </si>
  <si>
    <t>SYS_DAI_MF01_246</t>
  </si>
  <si>
    <t>SYS_DAI_MF01_247</t>
  </si>
  <si>
    <t>SYS_DAI_MF01_248</t>
  </si>
  <si>
    <t>SYS_DAI_MF08_65</t>
  </si>
  <si>
    <t>SYS_DAI_MF08_67</t>
  </si>
  <si>
    <t>ACR_DAI_CompReqSpec_277</t>
  </si>
  <si>
    <t>SYS_DAI_MF09_44</t>
  </si>
  <si>
    <t>SYS_DAI_MF09_41</t>
  </si>
  <si>
    <t>SYS_DAI_MF09_42</t>
  </si>
  <si>
    <t>SYS_DAI_MF09_43</t>
  </si>
  <si>
    <t>SYS_DAI_MF08_126</t>
  </si>
  <si>
    <t>SYS_DAI_MF08_130</t>
  </si>
  <si>
    <t>ACR_DAI_CompReqSpec_76</t>
  </si>
  <si>
    <t>SYS_DAI_MF09_45</t>
  </si>
  <si>
    <t>SYS_DAI_MF09_46</t>
  </si>
  <si>
    <t>SYS_DAI_MF09_47</t>
  </si>
  <si>
    <t>SYS_DAI_MF09_163</t>
  </si>
  <si>
    <t>ACR_DAI_CompReqSpec_479</t>
  </si>
  <si>
    <t>The reversible belt tensioner control unit must evaluate the supply voltage at the control unit connector.,The controller Reversible belt tensioners must supply voltage to the ECU connector evaluate.</t>
  </si>
  <si>
    <t>ACR_DAI_CompReqSpec_588</t>
  </si>
  <si>
    <t>The reversible belt tensioner control unit must evaluate the ready state of the PRE-SAFE master.,The controller Reversible belt tensioners must the standby state of the PRE-SAFE Masters evaluate.</t>
  </si>
  <si>
    <t>ACR_DAI_CompReqSpec_282</t>
  </si>
  <si>
    <t>The reversible belt tensioner control unit must evaluate the PRE-SAFE status of the PRE-SAFE master.,The controller Reversible belt tensioners must PRE-SAFE status of the PRE-SAFE Masters evaluate.</t>
  </si>
  <si>
    <t>SYS_DAI_MF09_38</t>
  </si>
  <si>
    <t>SYS_DAI_MF09_37</t>
  </si>
  <si>
    <t>SYS_DAI_MF09_40</t>
  </si>
  <si>
    <t>SYS_DAI_MF09_39</t>
  </si>
  <si>
    <t>SYS_DAI_MF08_166</t>
  </si>
  <si>
    <t>SYS_DAI_MF08_169</t>
  </si>
  <si>
    <t>ACR_DAI_CompReqSpec_527</t>
  </si>
  <si>
    <t>The reversible belt tensioner control unit must evaluate the PRE-SAFE master's tensioning suppression request.,The controller Reversible belt tensioners must tightening squelch request of the PRE-SAFE Masters evaluate.</t>
  </si>
  <si>
    <t>ACR_DAI_CompReqSpec_93</t>
  </si>
  <si>
    <t>R01.1,R03.0</t>
  </si>
  <si>
    <t>The Reversible Belt Tensioner control unit must evaluate the crash message from the Post-Crash Master.,The controller Reversible belt tensioners of the post-crash Masters must Crash Embassy evaluate.</t>
  </si>
  <si>
    <t>ACR_DAI_CompReqSpec_401</t>
  </si>
  <si>
    <t>When the " Reversible belt tensioning" function is canceled by the terminal status, the belt buckle status, the tensioning suppression or detection of an internal fault, a release operation is performed immediately to bring about a belt release.,At the termination of the "belt tensioning Reversible" function by the terminal status, the Gurtschlossstatus, the tightening suppression or detection of an internal fault, a release operation is carried out to achieve a Gurtbandfreigängigkeit immediately.</t>
  </si>
  <si>
    <t>ACR_DAI_CompReqSpec_341</t>
  </si>
  <si>
    <t>If the "Reversible belt tensioning" function is aborted due to undervoltage or overvoltage, a release operation to bring about belt unrestraint is not performed until the measured supply voltage of the RevAS is within the operating voltage range again.,The demolition of the "Reversible belt tightening" by under- or over-voltage, a release operation is only carried out to achieve a Gurtbandfreigängigkeit when the measured supply voltage of REVAS is back within the operating voltage range.</t>
  </si>
  <si>
    <t>ACR_DAI_CompReqSpec_123</t>
  </si>
  <si>
    <t>not agreed</t>
  </si>
  <si>
    <t>When the "reversible belt tensioning" function is canceled by an "any accident event" (Impact_X_ST3), NO release process is performed to bring about belt unbuckling. The energization of the motor output stages must be cancelled.,At the termination of the function "reversible belt tensioning" by an "any accident" (Impact_X_ST3), NO release operation is carried out to achieve a Gurtbandfreigängigkeit. The energization of the motor power amplifiers should be discontinued.</t>
  </si>
  <si>
    <t>SYS_DAI_MF03_22</t>
  </si>
  <si>
    <t>SYS_DAI_MF03_54</t>
  </si>
  <si>
    <t>ACR_DAI_CompReqSpec_355</t>
  </si>
  <si>
    <t>If PRE-SAFE criticality 8 (PRESF_LVL 8) or a rollover event (Impact_RO_type1_ST3 or Impact_RO_type2_ST3) is present, the belt tensioner behaves as follows, in deviation from the required functional performance [PS-667 ff]:,In the present PRE-SAFE criticality 8 or present rollover event (PRESF_LVL 8) (Impact_RO_type1_ST3 or Impact_RO_type2_ST3) behaves the belt tensioner, in deviation from the required function performing [PS-667 et seq.], As follows:</t>
  </si>
  <si>
    <t>SYS_DAI_MF01_284</t>
  </si>
  <si>
    <t>ACR_DAI_CompReqSpec_270</t>
  </si>
  <si>
    <t>The PRE-SAFE logic in the RevAS control unit initiates belt tensioning at the actuator for tensioning scenario No. 8.,The PRE-SAFE logic in REVAS controller directs the actuator a belt tensioning the tensioning scenario No. 8 a.</t>
  </si>
  <si>
    <t>ACR_DAI_CompReqSpec_494</t>
  </si>
  <si>
    <t>SYS_DAI_MF01_352</t>
  </si>
  <si>
    <t>The reversible belt tensioner control unit must start a parameterizable timer (parameter t= 5s) at the start of tensioning.,The controller reversible belt tensioner for tensioning must start a configurable timer (parameter t = 5s) to start.</t>
  </si>
  <si>
    <t>SYS_DAI_MF01_285</t>
  </si>
  <si>
    <t>ACR_DAI_CompReqSpec_472</t>
  </si>
  <si>
    <t>After the parameterizable timer has expired, the tightening process is aborted.,After expiration of an adjustable timer of the tightening process is aborted.</t>
  </si>
  <si>
    <t>ACR_DAI_CompReqSpec_203</t>
  </si>
  <si>
    <t>SYS_DAI_MF01_286</t>
  </si>
  <si>
    <t>When the tightening process is aborted, only the motor output stages must be switched off. A subsequent release process is not initiated.,The demolition of the tensioning process, only the motor amplifiers are off. A subsequent dissolution process is not initiated.</t>
  </si>
  <si>
    <t>SYS_DAI_MF05_153</t>
  </si>
  <si>
    <t>SYS_DAI_MF02_145</t>
  </si>
  <si>
    <t>ACR_DAI_CompReqSpec_361</t>
  </si>
  <si>
    <t>SYS_DAI_MF01_287</t>
  </si>
  <si>
    <t>Restoring the RevAS to a ready state requires a new ignition run.,The restoration of a standby state of REVAS requires another ignition barrel.</t>
  </si>
  <si>
    <t>ACR_DAI_CompReqSpec_562</t>
  </si>
  <si>
    <t>SYS_DAI_MF01_293</t>
  </si>
  <si>
    <t>In the event of a dominant penalty requirement, the higher priority penalty scenario must be initiated immediately, in deviation from the required functional performance [PS-667 ff].,is at a request of a dominant Firming requirement, notwithstanding [PS-667 et seq.] on the required function performing to initiate each higher priority Firming scenario immediately.</t>
  </si>
  <si>
    <t>SYS_DAI_MF01_298</t>
  </si>
  <si>
    <t>ACR_DAI_CompReqSpec_491</t>
  </si>
  <si>
    <t>SYS_DAI_MF01_294</t>
  </si>
  <si>
    <t>When changing to a higher force level (2), no force collapses must occur.,When changing to a higher level of force (2) no force slumps may arise.</t>
  </si>
  <si>
    <t>ACR_DAI_CompReqSpec_478</t>
  </si>
  <si>
    <t>When implementing the higher-priority tightening scenario, care must be taken to ensure that the specified force characteristic (4) of the newly requested scenario is achieved as far as possible by suitable measures. 
If necessary, intelligent control of the starting gradient (3) must be implemented.,In implementing the higher priority tightening scenario, ensure that the specified power curve (4) of the newly angeoforderten scenario reaches as far as possible by appropriate measures.
It may be necessary to implement an intelligent control of the Anlaufgradients (3).</t>
  </si>
  <si>
    <t>ACR_DAI_CompReqSpec_396</t>
  </si>
  <si>
    <t>When a penalty scenario is implemented and a low-priority penalty requirement is requested at the same time, no low-priority penalty scenario is initiated, in deviation from the required functional implementation [PS-667 ff].,When implementing a tightening scenario and simultaneous request for a low-priority request is taut, notwithstanding [PS-667 et seq.], Initiated any low priority Firming scenario on the required function execution.</t>
  </si>
  <si>
    <t>ACR_DAI_CompReqSpec_180</t>
  </si>
  <si>
    <t>SYS_DAI_MF01_296</t>
  </si>
  <si>
    <t>The holding plateau of the higher priority initial scenario (2) is maintained until the lower priority request is also reset and an end condition exists.,The retaining plateau of the higher-priority output scenario (2) is maintained until the low-priority request is reset, and an end condition is present.</t>
  </si>
  <si>
    <t>ACR_DAI_CompReqSpec_240</t>
  </si>
  <si>
    <t>Without existing belt slacks, the following tightening forces on the shoulder belt must be achieved on a working circle belt test rig with a 50% dummy as follows: 
Upper force plateu: FOP = 250 N 
                tOP_max = 200 ms (target 120ms)
Standard force plateau: FStrd = 140 N 
                t F_Strd = 120 ms 
Lower force plateau: FUP = 50 N 
                tUP_min = 1500 ms
Holding time: t hold = 30 s,Without existing belt slack subsequent tightening forces on the shoulder strap must on a working group-Gurtprüfstand with a 50% dummy how to achieve this:
Upper Kraftplateu: FOP = 250 N
tOP_max = 200 ms (target 120ms)
Standard power Plateau: FStrd = 140 N
t = 120 ms F_Strd
Lower Kraftplateu: FUP = 50 N
tUP_min = 1500 ms
Holding period: keep t = 30 s</t>
  </si>
  <si>
    <t>ACR_DAI_CompReqSpec_320</t>
  </si>
  <si>
    <t>SYS_DAI_MF07_103</t>
  </si>
  <si>
    <t>ACR_DAI_CompReqSpec_127</t>
  </si>
  <si>
    <t>A force tolerance of +15/-10% must be maintained for all tightening curves over the entire automotive temperature range and over the voltage range of 10.8 volts ≥ UBat ≥ 16 volts.,For all taut curves a power tolerance of + 15 / -10% over the entire automotive temperature range and over the voltage range of 10.8 volts ≥ ≥ UBat be observed 16 volts.</t>
  </si>
  <si>
    <t>ACR_DAI_CompReqSpec_489</t>
  </si>
  <si>
    <t>SYS_DAI_MF01_76</t>
  </si>
  <si>
    <t>Below a voltage of 10.8V, the so-called degradation concept is applied (see AV Bordnetz in the applicable documents). 
Deviations from the required RevAS performance must be submitted to Daimler AG and agreed.,Below a voltage of 10.8 V, the so-called Degradationskonzept comes to the application (see AV-board network in the applicable documents).
Deviations from the required REVAS-performance must be submitted to Daimler AG and vote.</t>
  </si>
  <si>
    <t>ACR_DAI_CompReqSpec_580</t>
  </si>
  <si>
    <t>With existing belt slack of 200mm (100mm in lap belt and 100mm in shoulder belt with predefined foam profile on working group belt test rig with 50% dummy according to KLH RevAS), the RevAS must retract 80mm of webbing within 120 ms after a tensioning request. 
Webbing retraction PRE-SAFE: sPRESAFE = 80mm
Maximum time allowed: tPRESAFE = 120ms,move in existing slack of 200 mm (100 mm in the lap and shoulder belt with a predefined 100mm in foam profile to work circle Gurtprüfstand with 50% dummy according to KLH REVAS) has the REVAS 80mm webbing within 120 ms after a tensioning requirement.
Belt retraction PRE-SAFE: case-safe = 80mm
Maximum permissible period: tPRESAFE = 120ms</t>
  </si>
  <si>
    <t>ACR_DAI_CompReqSpec_337</t>
  </si>
  <si>
    <t>ACR_DAI_CompReqSpec_333</t>
  </si>
  <si>
    <t>ACR_DAI_CompReqSpec_195</t>
  </si>
  <si>
    <t>To implement reversible belt tensioning, the following maximum permissible current consumption per actuator (measured in the supply lines of the control unit) is defined as follows: 
Maximum permissible current per actuator: I max_PRESAFE = 40 A
                    t I_max_PRESAFE = 300 ms
Reduced operating current per actuator: I red_PRESAFE = 10 A
                    t I_red_PRESAFE = 30 s,In order to implement a reversible belt tensioning, the following maximum permissible current consumption per actuator (measured in the supply lines of the control unit) is defined as follows:
Maximum permissible current per actuator: I max_PRESAFE = 40 A
t = 300 ms I_max_PRESAFE
Reduced working current of each actuator: I = 10 A red_PRESAFE
t = 30 s I_red_PRESAFE</t>
  </si>
  <si>
    <t>ACR_DAI_CompReqSpec_509</t>
  </si>
  <si>
    <t>The reversible belt tensioner control unit must be functionally available within the "operating voltage range" and within the "extended operating voltage range".  ,The controller Reversible belt tensioners must be within the "operating voltage range" and within the "extended operating voltage range" be functionally available.</t>
  </si>
  <si>
    <t>ACR_DAI_CompReqSpec_65</t>
  </si>
  <si>
    <t>The operating voltage range is: 9 Volt ≤ UBat ≤ 16 Volt,The operating voltage range applies: 9 volts ≤ UBat ≤ 16 volts</t>
  </si>
  <si>
    <t>ACR_DAI_CompReqSpec_485</t>
  </si>
  <si>
    <t>The following applies as extended operating voltage range: 7.5Volt ≤ UBat ≤ 18 Volt,As an extended operating voltage range applies: 7,5Volt UBat ≤ ≤ 18 volts</t>
  </si>
  <si>
    <t>ACR_DAI_CompReqSpec_402</t>
  </si>
  <si>
    <t>The reversible belt tensioner must have at least
⦁ 3 consecutive, 
or 
⦁ 3 Successive 
resp.
⦁ 3 successive or ⦁ 3 successive 
belt tightening with FStrd and a tightening time (1, 2) of t = 30s.  ,The Reversible Gurstraffer must be at least
3 consecutive,
or.
3 each following
or.
3 merging
Gurtstraffungen with FStrd and a tensioning of time (1, 2) from t = 30s can transpose.</t>
  </si>
  <si>
    <t>SYS_DAI_MF01_337</t>
  </si>
  <si>
    <t>ACR_DAI_CompReqSpec_417</t>
  </si>
  <si>
    <t>Successive tightenings are considered to be tightenings with a time interval of 1 second (3) between the reduction and the renewed build-up of a belt pretensioning force  ,As successive tightening tightening a belt pretensioning apply with a time interval of 1 second (3) between the extraction and re-assembly</t>
  </si>
  <si>
    <t>ACR_DAI_CompReqSpec_535</t>
  </si>
  <si>
    <t>Consecutive tightening scenarios are belt tightening scenarios that are immediately adjacent to the previous tightening scenario.,As one another following tightening Gurtstraffszenarien are understood to be immediately adjacent to the previous tightening scenario.</t>
  </si>
  <si>
    <t>ACR_DAI_CompReqSpec_518</t>
  </si>
  <si>
    <t>Tightening scenarios that are started during the release process of the previous tightening scenario are to be understood as tightening scenarios that run into each other.,When merging tightening tensioning scenarios are to be understood to be started during the dissolution process of the previous tensioning scenario.</t>
  </si>
  <si>
    <t>ACR_DAI_CompReqSpec_158</t>
  </si>
  <si>
    <t>R01.0,R01.1,R06.0</t>
  </si>
  <si>
    <t>If the max. permissible temperature Tmax is reached at the motor end stages during the 3rd tightening, the control unit can abort the belt tightening and switch to temperature protection.,Is in the third tightening the max. Allowable temperature Tmax reached to the motor output stages, the control unit can stop the belt tightening and go into thermal protection.</t>
  </si>
  <si>
    <t>ACR_DAI_CompReqSpec_378</t>
  </si>
  <si>
    <t>When tightening is interrupted due to excess temperature, a release procedure must be initiated immediately to bring about belt release.,The demolition of tightening due to excess temperature, a release procedure is instituted immediately to achieve a Gurtbandfreigängigkeit.</t>
  </si>
  <si>
    <t>ACR_DAI_CompReqSpec_92</t>
  </si>
  <si>
    <t>After a tensioning break due to overtemperature, the reversible belt tensioner must be ready for use again after a recovery time of max. 5 min.,After tightening discontinuation due to overheating the operational readiness of the reversible belt tensioner must after a recovery time of max. Be restored 5 min.</t>
  </si>
  <si>
    <t>ACR_DAI_CompReqSpec_40</t>
  </si>
  <si>
    <t>SYS_DAI_MF01_93</t>
  </si>
  <si>
    <t>R02.1,R05.0,R06.0</t>
  </si>
  <si>
    <t>Guaranteed switching functions of 1550 cycles with 15 seconds hold time each and approx. 60 seconds recovery time each in the entire temperature range (NT, RT, HT) are required.,It demanded guaranteed switching functions of 1550 cycles with 15 seconds hold, each about 60 seconds recovery time the entire temperature range (NT, RT, HT).</t>
  </si>
  <si>
    <t>SYS_DAI_MF01_99</t>
  </si>
  <si>
    <t>ACR_DAI_CompReqSpec_131</t>
  </si>
  <si>
    <t>1500 test cycles must be performed with FStrd.,1500 test cycles must be carried out with FStrd.</t>
  </si>
  <si>
    <t>ACR_DAI_CompReqSpec_351</t>
  </si>
  <si>
    <t>50 test cycles must be performed with FOP.,50 test cycles must be carried out with FOP.</t>
  </si>
  <si>
    <t>ACR_DAI_CompReqSpec_453</t>
  </si>
  <si>
    <t>50% of the tests with FStrd must be performed taking into account an occupant forward displacement and a resulting counterforce of 650N (roll-up force).,50% of the tests with FStrd be carried out in consideration of an occupant and a resultant reaction force of 650N (Aufrollerkraft).</t>
  </si>
  <si>
    <t>ACR_DAI_CompReqSpec_214</t>
  </si>
  <si>
    <t>The memory in the RevAS control unit must be designed in such a way that at least 8 parameterizable tightening force curves can be displayed within the required power spectrum.,The memory to be construed in REVAS controller must so that at least 8 programmable tensioning force gradients can be displayed within the required power spectrum.</t>
  </si>
  <si>
    <t>ACR_DAI_CompReqSpec_247</t>
  </si>
  <si>
    <t>SYS_DAI_MF01_304</t>
  </si>
  <si>
    <t>R01.1,R02.1,R06.0</t>
  </si>
  <si>
    <t>If the respective reversible belt tensioner control unit detects a permanent or temporary fault in the associated retractor, in the control unit itself or in the associated sensor system, the tensioner motor must not be activated. 
An internal event entry is generated. A corresponding seat-related PRE-SAFE error message is set.  ,If the respective controller Reversible belt tensioners a permanent or temporary error in the associated reel tensioners, seen in the controller itself or in the associated sensor, no control may be made of Straffermotors.
It generates an internal event entry. A corresponding seating based PRE-SAFE error message is set.</t>
  </si>
  <si>
    <t>SYS_DAI_MF01_224</t>
  </si>
  <si>
    <t>SYS_DAI_MF01_309</t>
  </si>
  <si>
    <t>ACR_DAI_CompReqSpec_126</t>
  </si>
  <si>
    <t>SYS_DAI_MF07_352</t>
  </si>
  <si>
    <t>If a PRE-SAFE situation is detected by the respective RevAS unit, the environmental data must be stored in the RevAs-SG.
Access to this data content is reserved for development.,If by the respective REVAS aggregate a PRE-SAFE situation be identified, the environmental data in REVAS-SG are to be stored.
Access to this information is reserved for content development.</t>
  </si>
  <si>
    <t>SYS_DAI_MF07_353</t>
  </si>
  <si>
    <t>ACR_DAI_CompReqSpec_345</t>
  </si>
  <si>
    <t>SYS_DAI_MF07_355</t>
  </si>
  <si>
    <t>Ambient data are: 
⦁ Time when the PRE-SAFE event was triggered (system time).
⦁ Status of the driver's and front passenger's seat belt buckle switches at that time.
⦁ Status of driver's and passenger's seat belt retractor at this time.
⦁ Time of the eventual associated crash event (system time).
⦁ The absolute number of PRE-SAFE situations detected.
⦁ The requested activation level
⦁ The absolute number of effective belt tensions by PRE-SAFE actuation.,Environmental data are:
The time of initiation of the PRE-SAFE event (system time)
Status of the buckle driver and passenger at this time
Status of the seatbelt for the driver and front passenger at this time
At the time of any, associated crash event (system time)
The absolute number of detected PRE-SAFE situations
The requested activation stage
The absolute number of effective Gurtstraffungen by PRE-SAFE drive</t>
  </si>
  <si>
    <t>SYS_DAI_MF07_356</t>
  </si>
  <si>
    <t>SYS_DAI_MF07_357</t>
  </si>
  <si>
    <t>ACR_DAI_CompReqSpec_482</t>
  </si>
  <si>
    <t>SYS_DAI_MF01_310</t>
  </si>
  <si>
    <t>If the number of permissible PRE-SAFE tensioning cycles is reached, the Reversible belt tensioning function is disabled. 
An error entry is generated. 
A warning/instruction message is generated.,If the number of permissible PRE-SAFE-tightening cycles have been reached, then the function reversible belt tensioning is blocked.
It generates an error entry.
There is generated a warning / notice message.</t>
  </si>
  <si>
    <t>SYS_DAI_MF09_62</t>
  </si>
  <si>
    <t>SYS_DAI_MF08_228</t>
  </si>
  <si>
    <t>ACR_DAI_CompReqSpec_53</t>
  </si>
  <si>
    <t>SYS_DAI_MF01_262</t>
  </si>
  <si>
    <t>If the number of permissible PRE-SAFE tightening cycles with FOP_PRESAFE is reached, only one tightening with FStrd is to be performed when a reversible belt tightening with FOP_PRESAFE is requested again.
An error entry (development) is generated. 
No warning/instruction message is generated.,Should the number be reached the permissible PRE-SAFE-tightening cycles FOP_PRESAFE so with a renewed request for a reversible belt tensioning with FOP_PRESAFE only perform more streamlined with FStrd.
It generates an error entry (development).
It will not generate warning / information message.</t>
  </si>
  <si>
    <t>ACR_DAI_CompReqSpec_24</t>
  </si>
  <si>
    <t>If the "Reversible belt tensioning" function fails, a warning message is generated for the associated shoring location.,Upon failure of the "Reversible belt tightening" feature, a warning message for the associated assembly location is generated.</t>
  </si>
  <si>
    <t>ACR_DAI_CompReqSpec_58</t>
  </si>
  <si>
    <t>SYS_DAI_MF07_108</t>
  </si>
  <si>
    <t>The Reversible Belt Tightening function is to be designed to be individually codeable in the respective RevAS control unit. 
As this is a safety function, this may be performed by authorized persons (access authorization/no DAS service).,The function Reversible belt tightening should individually in each REVAS-control unit are designed auscodierbar.
Since this is a safety feature, this must by authorized persons (access permission / no DAS service) are made.</t>
  </si>
  <si>
    <t>SYS_DAI_MF07_114</t>
  </si>
  <si>
    <t>SYS_DAI_MF07_97</t>
  </si>
  <si>
    <t>SYS_DAI_MF07_110</t>
  </si>
  <si>
    <t>SYS_DAI_MF07_112</t>
  </si>
  <si>
    <t>ACR_DAI_CompReqSpec_130</t>
  </si>
  <si>
    <t>R01.0,R03.0,R05.0</t>
  </si>
  <si>
    <t>The assignment of the penalty curves to the respective trigger scenario can be parameterized and is defined as follows:
Table: Coding of control message,The assignment of the tightening curves for each release scenario is run parameterized and defined as follows:
Table: Coding Ansteuerbotschaft</t>
  </si>
  <si>
    <t>ACR_DAI_CompReqSpec_464</t>
  </si>
  <si>
    <t>Chapter STLH-2026 describes "General contacting requirements". These must be observed.,In Chapter STLH-2026 "General Kontaktierungsanforderungen" are described. These must be adhered to.</t>
  </si>
  <si>
    <t>ACR_DAI_CompReqSpec_374</t>
  </si>
  <si>
    <t>All subsequent contact details must be documented on release drawings.,All of the following information on the contacts must be documented to enable drawings.</t>
  </si>
  <si>
    <t>ACR_DAI_CompReqSpec_228</t>
  </si>
  <si>
    <t>Contacting: "ECU RevAS
Execution rule: "A 207 000 78 99".
Coding: "A
Surface of pins / blade contacts: "Sn" "A 003 002 99 99"
Matching wiring harness coupling: "A 007 540 46 81",Contact, "ECU REVAS"
Implementing regulation: "A 207 000 78 99"
Encoding: "A"
Surface of the pins / blade contacts: "Sn" "A 003,002 99 99"
Matching lead set clutch: "A 007 540 46 81"</t>
  </si>
  <si>
    <t>ACR_DAI_CompReqSpec_414</t>
  </si>
  <si>
    <t>Pin No: "1"
Pin designation "n.c."
Remark: "not connected"</t>
  </si>
  <si>
    <t>ACR_DAI_CompReqSpec_207</t>
  </si>
  <si>
    <t>Pin No "2"
Pin designation "CAN low"
Rated voltage: "12" V
Rated current: "0.5" A
Max. Current: "0.5" A</t>
  </si>
  <si>
    <t>ACR_DAI_CompReqSpec_507</t>
  </si>
  <si>
    <t>Pin No: "3"
Pin designation "CAN high"
Rated voltage: "12" V
Rated current: "0.5" A
Max. Current: "0.5" A</t>
  </si>
  <si>
    <t>ACR_DAI_CompReqSpec_416</t>
  </si>
  <si>
    <t>Pin No: "4"
Pin designation "term. 30 "
Rated voltage: "12" V
Rated current: "10" A
Max. Current "40" A
Remark: "max. current for 300 ms "</t>
  </si>
  <si>
    <t>ACR_DAI_CompReqSpec_248</t>
  </si>
  <si>
    <t>Pin No: "5"
Pin designation "term. 31 "
Rated voltage: "12" V
Rated current: "10" A
Max. Current "40" A
Remark: "max. current for 300 ms "</t>
  </si>
  <si>
    <t>ACR_DAI_SW_468</t>
  </si>
  <si>
    <t>SYS_DAI_MF07_172</t>
  </si>
  <si>
    <t>A diagnostic service is to be implemented that can be used to read out environmental data on the last two PRE-SAFE belt tensions. (two separate diagnostic services: PRE-SAFE memory 1 and PRE-SAFE memory 2).,It is to be implemented, a diagnostic service, Gurtstraffungen can be read with the environmental data for the last two PRE-SAFE. (Two separate diagnostic services: PRE-SAFE memory 1 and memory 2 PRE-SAFE)</t>
  </si>
  <si>
    <t>ACR_DAI_SW_224</t>
  </si>
  <si>
    <t>Predefinition</t>
  </si>
  <si>
    <t>PRE-SAFE belt tightening is assumed to be the tightening triggered via interface to the PRE-SAFE master with levels 1 and 3-8, as well as the tightening triggered via the impact signals.,When PRE-SAFE belt tensioning are to adopt the above interface to the PRE-SAFE Master Level 1 and 3-8, as well as the induced signals on the Impact-tightening.</t>
  </si>
  <si>
    <t>ACR_DAI_SW_91</t>
  </si>
  <si>
    <t>SYS_DAI_MF07_173</t>
  </si>
  <si>
    <t>The two PRE-SAFE accumulators are to be described alternately.,The two PRE-SAFE storage are described abwechslend.</t>
  </si>
  <si>
    <t>ACR_DAI_SW_402</t>
  </si>
  <si>
    <t>Each PRE-SAFE memory shall be divided into three blocks:
⦁ Ambient data at penalty request (start block).
⦁ Environmental data at tightening end/abort (end block).
⦁ Interpretation of the tightening (status block),Each PRE-SAFE memory is to be divided into three blocks:
⦁ environment data for tensioning request (start block)
⦁ environment data at tensioning end / abort (end of block)
⦁ interpretation of the lift (status block)</t>
  </si>
  <si>
    <t>ACR_DAI_SW_473</t>
  </si>
  <si>
    <t>The following environment data is to be stored in the start block:
⦁ Status belt buckle of the associated side.
⦁ Status seatbelt carrier of the associated side
⦁ PRE-SAFE level
⦁ Rollover event (Impact_RO_type1 or Impact_RO_type2)
⦁ ECU supply (voltage)
⦁ ECU temperature
⦁ System time (ECU system time, not the global vehicle time GTS. The time must have a resolution of min. 10ms).,The following environmental data to be stored in the starting block:
⦁ status buckle the associated side
⦁ Status belt feeders the associated side
⦁ PRE-SAFE Level
⦁ rollover event (Impact_RO_type1 or Impact_RO_type2)
⦁ ECU supply (voltage)
⦁ ECU temperature
⦁ system time (ECU system time, not the global vehicle time GTS. The time has a resolution of min. 10 ms have).</t>
  </si>
  <si>
    <t>ACR_DAI_SW_495</t>
  </si>
  <si>
    <t>The following environment data is to be stored in the end block:
⦁ Status belt buckle of the associated side.
⦁ Status seat belt carrier of the associated side
⦁ PRE-SAFE level
⦁ Rollover event (Impact_RO_type1 or Impact_RO_type2)
⦁ ECU supply (voltage)
⦁ ECU temperature
⦁ System time (ECU system time, not the global vehicle time GTS. The time must have a resolution of min. 10ms).,The following environmental data to be stored in the end block:
⦁ status buckle the associated side
⦁ Status belt feeders the associated side
⦁ PRE-SAFE Level
⦁ rollover event (Impact_RO_type1 or Impact_RO_type2)
⦁ ECU supply (voltage)
⦁ ECU temperature
⦁ system time (ECU system time, not the global vehicle time GTS. The time has a resolution of min. 10 ms have).</t>
  </si>
  <si>
    <t>ACR_DAI_SW_175</t>
  </si>
  <si>
    <t>In the status block, the result of reversible belt tensioning should be
⦁ successful
⦁ canceled
⦁ rejected
and a reason for this must be stored:
⦁ Impact_X
⦁ PRE-SAFE disabled
⦁ Stare suppression
⦁ Message error with impact
⦁ Terminal 15 off
⦁ Under-/overvoltage
⦁ Overtemperature
⦁ PRE-SAFE counter full
⦁ System/component error,In the status block are the result of the reversible belt tensioning
⦁ successfully
⦁ canceled
⦁ rejected
and the reasons for it are stored:
⦁ Impact_X
⦁ PRE-SAFE disabled
⦁ Starffunterdrückung
⦁ Embassy errors affecting
⦁ terminal 15
⦁ under / overvoltage
⦁ overtemperature
⦁ PRE-SAFE counter full
⦁ system / component failure</t>
  </si>
  <si>
    <t>ACR_DAI_SW_185</t>
  </si>
  <si>
    <t>SYS_DAI_MF07_391</t>
  </si>
  <si>
    <t>All data should be transferred to non-volatile memory immediately after end/cancel/reject.,All data should be transmitted immediately after the end / termination / rejection in the non-volatile memory.</t>
  </si>
  <si>
    <t>SYS_DAI_MF07_456</t>
  </si>
  <si>
    <t>ACR_DAI_SW_204</t>
  </si>
  <si>
    <t>SYS_DAI_MF01_315</t>
  </si>
  <si>
    <t>Resulting from the various system requirements are the following function activations to be guaranteed:
⦁ 60000x BSR
⦁ 10000x haptic Warning / PRE-SAFE &lt;=100N (Lvl3)
⦁ 1500x PRE-SAFE (Fstd, 140N)
⦁ 50x PRE-CRASH (Fop, 250N),As a result arising from the different system requirements, the following function activations must be guaranteed:
60000x BSR
10000x haptic Warning / PRE-SAFE &lt;= 100N (LVL3)
1500x PRE-SAFE (Fstd, 140N)
50x PRE-CRASH (Fop, 250N)</t>
  </si>
  <si>
    <t>SYS_DAI_MF01_316</t>
  </si>
  <si>
    <t>SYS_DAI_MF01_317</t>
  </si>
  <si>
    <t>SYS_DAI_MF01_318</t>
  </si>
  <si>
    <t>ACR_DAI_SW_345</t>
  </si>
  <si>
    <t>SYS_DAI_MF01_339</t>
  </si>
  <si>
    <t>The information in which counter a belt tightening is counted is part of the parameter set in the variant coding.,The information, in which a counter is counted belt tensioning is part of the parameter set in the variant coding.</t>
  </si>
  <si>
    <t>ACR_DAI_SW_23</t>
  </si>
  <si>
    <t>SYS_DAI_MF02_67</t>
  </si>
  <si>
    <t>In this counter the actually executed belt adjustments are counted (BSR).,In this counter the actually executed belt adjustments are counted (BSR).</t>
  </si>
  <si>
    <t>ACR_DAI_SW_26</t>
  </si>
  <si>
    <t>If a belt adjustment is performed, the value of the counter is incremented by 1.,A belt adjustment is performed, the value of the counter is incremented by first</t>
  </si>
  <si>
    <t>ACR_DAI_SW_99</t>
  </si>
  <si>
    <t>This counter has the limit: 60000 tightenings,This counter has reached the limit: 60000 tightening</t>
  </si>
  <si>
    <t>ACR_DAI_SW_411</t>
  </si>
  <si>
    <t>SYS_DAI_MF07_26</t>
  </si>
  <si>
    <t>A diagnostic service must be implemented to read the current value of the "Comfort" counter.,It is to implement a diagnostic service that allows the current value of "Comfort" counter can be read.</t>
  </si>
  <si>
    <t>ACR_DAI_SW_476</t>
  </si>
  <si>
    <t>SYS_DAI_MF01_307</t>
  </si>
  <si>
    <t>The counter is to be incremented by the value '1' for each request.,The counter is to be incremented for each request to set the value '1'.</t>
  </si>
  <si>
    <t>SYS_DAI_MF05_172</t>
  </si>
  <si>
    <t>ACR_DAI_SW_92</t>
  </si>
  <si>
    <t>This counter counts the number of all requested "Safety" belt tightenings (everything except BSR).,This counter registers the number of all requested "Safety" Gurtstraffungen is counted (everything except BSR).</t>
  </si>
  <si>
    <t>ACR_DAI_SW_310</t>
  </si>
  <si>
    <t>SYS_DAI_MF07_342</t>
  </si>
  <si>
    <t>A diagnostic service must be implemented to read the current value of the "Request" counter.,It is to implement a diagnostic service that allows the current value of the "Request" counter can be read.</t>
  </si>
  <si>
    <t>ACR_DAI_SW_281</t>
  </si>
  <si>
    <t>SYS_DAI_MF07_167</t>
  </si>
  <si>
    <t>A diagnostic service is to be implemented with which the signal RBTM_XX_Disp_Rq is controlled for three seconds with the signal value SRV_DISP_RQ.,It is a diagnostic service to be implemented, with the signal RBTM_XX_Disp_Rq is activated three seconds with the signal value SRV_DISP_RQ.</t>
  </si>
  <si>
    <t>SYS_DAI_MF07_168</t>
  </si>
  <si>
    <t>ACR_DAI_SW_90</t>
  </si>
  <si>
    <t>SYS_DAI_MF07_105</t>
  </si>
  <si>
    <t>A diagnostic service is to be implemented, with which a belt adjustment is started.,It is a diagnostic service to be implemented, is started by a belt adjustment.</t>
  </si>
  <si>
    <t>SYS_DAI_MF07_91</t>
  </si>
  <si>
    <t>ACR_DAI_SW_280</t>
  </si>
  <si>
    <t>The same set of parameters is used that is used for belt adjustment according to BSM Belt Comfort System.,It is used the same set of parameters in accordance with the BSM belt adjustment Gurtkomfortsystem is used.</t>
  </si>
  <si>
    <t>ACR_DAI_SW_157</t>
  </si>
  <si>
    <t>SYS_DAI_MF07_106</t>
  </si>
  <si>
    <t>The following functional prerequisites must be met when the diagnostic service is executed (AND):
⦁ associated belt is worn
⦁ no system/component error,The following functional requirements must be met when running the Diagnostic Service (AND):
⦁ associated belt is applied
⦁ no system / component failure</t>
  </si>
  <si>
    <t>ACR_DAI_SW_271</t>
  </si>
  <si>
    <t>SYS_DAI_MF07_8</t>
  </si>
  <si>
    <t>A diagnostic service is to be implemented to start reversible belt tightening.,It is to be implemented, a diagnostic service that allows a reversible belt tensioning starts.</t>
  </si>
  <si>
    <t>ACR_DAI_SW_489</t>
  </si>
  <si>
    <t>All available tightenings can be controlled via the service.,About the service all available tightening are controllable.</t>
  </si>
  <si>
    <t>ACR_DAI_SW_446</t>
  </si>
  <si>
    <t>The following values must be adjustable in the diagnostic service:
⦁ Tightening curve
⦁ Duration of tightening,In the diagnostic service the following values ​​must be set:
⦁ taut curve
⦁ duration of the tightening</t>
  </si>
  <si>
    <t>DAI_EXT_TF_E_8522</t>
  </si>
  <si>
    <t>ACR_DAI_SW_112</t>
  </si>
  <si>
    <t>DAI_EXT_TF_E_8521</t>
  </si>
  <si>
    <t>ACR_DAI_SW_72</t>
  </si>
  <si>
    <t>SYS_DAI_MF07_344</t>
  </si>
  <si>
    <t>According to the DDS [STLH-5607], information on the obsolescence and availability of the component shall be provided.,To develop the DDS [STLH-5607] Information of the component are provided to meet the aging state (Obsolescence Data) and availability (Availability Data).</t>
  </si>
  <si>
    <t>SYS_DAI_MF07_345</t>
  </si>
  <si>
    <t>SYS_DAI_MF07_165</t>
  </si>
  <si>
    <t>SYS_DAI_MF08_227</t>
  </si>
  <si>
    <t>SYS_DAI_MF08_225</t>
  </si>
  <si>
    <t>ACR_DAI_SW_456</t>
  </si>
  <si>
    <t>The counters from the chapter "Lifetime counters for mechanical elements" should be used.,There are the counters are used in the chapter "Lifetime counter for mechanical elements."</t>
  </si>
  <si>
    <t>ACR_DAI_SW_346</t>
  </si>
  <si>
    <t>Basis for the "availability" of the component are system/component errors, which request a warning message according to the diagnostic data.,Basis for the "availability" of the component are system / component failure Request, which according to the Diagnosebedatung a warning message.</t>
  </si>
  <si>
    <t>DAI_EXT_TF_E_10085</t>
  </si>
  <si>
    <t>ACR_DAI_SW_46</t>
  </si>
  <si>
    <t>SYS_DAI_MF07_23</t>
  </si>
  <si>
    <t>A diagnostic service shall be implemented to read the traceability number of the overall belt.,It is to implement a diagnostic service that allows traceability number of the total belt can be read.</t>
  </si>
  <si>
    <t>ACR_DAI_SW_96</t>
  </si>
  <si>
    <t>SYS_DAI_MF07_359</t>
  </si>
  <si>
    <t>Diagnostic services must be implemented that can be used to read the current actual values of the CAN signals and the ECU-internal variables.,It must be implemented diagnostic services with which the actual values ​​of the CAN signals and ECU internal variables can be read.</t>
  </si>
  <si>
    <t>ACR_DAI_SW_124</t>
  </si>
  <si>
    <t>SYS_DAI_MF01_18</t>
  </si>
  <si>
    <t>In this counter, the actually performed PRE-SAFE tightenings with low force or slow force build-up are counted (e.g. PRE-SAFE Level 1+3).,This counter is actually executed PRE-SAFE low tightening force or slow strength building are counted (e.g. PRE-SAFE Level 1 + 3).</t>
  </si>
  <si>
    <t>SYS_DAI_MF01_88</t>
  </si>
  <si>
    <t>SYS_DAI_MF05_55</t>
  </si>
  <si>
    <t>ACR_DAI_SW_434</t>
  </si>
  <si>
    <t>Tightenings with a haptic-warning tightening profile are also counted in this counter.,Tightening with a haptic Warning taut profile also be counted in this counter.</t>
  </si>
  <si>
    <t>ACR_DAI_SW_176</t>
  </si>
  <si>
    <t>If a tightening is performed with this force level, the value of the counter is incremented by 1.,A tightening performed with this power level, the value of the counter is incremented by first</t>
  </si>
  <si>
    <t>ACR_DAI_SW_226</t>
  </si>
  <si>
    <t>SYS_DAI_MF01_90</t>
  </si>
  <si>
    <t>This counter has the limit: 10000 tightenings,This counter has reached the limit: 10000 tightening</t>
  </si>
  <si>
    <t>ACR_DAI_SW_375</t>
  </si>
  <si>
    <t>SYS_DAI_MF01_86</t>
  </si>
  <si>
    <t>In this counter, the actually executed PRE-SAFE tightenings with high force or fast force build-up are counted (e.g. PRE-SAFE Level 4+5).,This counter is actually executed PRE-SAFE high tightening force or rapid force build-up to be counted (e.g. PRE-SAFE Level 4 + 5).</t>
  </si>
  <si>
    <t>SYS_DAI_MF01_91</t>
  </si>
  <si>
    <t>ACR_DAI_SW_241</t>
  </si>
  <si>
    <t>ACR_DAI_SW_512</t>
  </si>
  <si>
    <t>SYS_DAI_MF01_92</t>
  </si>
  <si>
    <t>If a tightening is performed with this force level, the value of the "Safety Low Force" counter is also incremented by 1.,Is streamlining performed with this power level, the value of counter "Safety Low Force" is also incremented by the first</t>
  </si>
  <si>
    <t>ACR_DAI_SW_148</t>
  </si>
  <si>
    <t>This counter has the limit: 1500 tightenings,This counter has reached the limit: 1500 tightening</t>
  </si>
  <si>
    <t>ACR_DAI_SW_45</t>
  </si>
  <si>
    <t>SYS_DAI_MF07_7</t>
  </si>
  <si>
    <t>A diagnostic service shall be implemented to read the current value of the "Safety Low Force" "Saftey High Force" and "Safety Max Force" counter.,It is to implement a diagnostic service that allows the current value of "Safety Low Force" - "Saftey High Force" - and "Safety Max Force" counter can be read.</t>
  </si>
  <si>
    <t>SYS_DAI_MF07_5</t>
  </si>
  <si>
    <t>SYS_DAI_MF07_6</t>
  </si>
  <si>
    <t>ACR_DAI_SW_443</t>
  </si>
  <si>
    <t>SYS_DAI_MF01_96</t>
  </si>
  <si>
    <t>In this counter, the actually performed PRE-CRASH tightenings are counted (e.g. PRE-SAFE Level 6-8 and Impact tightenings).,This counter is actually executed pre-crash tightening are counted (e.g. PRE-SAFE Level 6-8 and impact tightening).</t>
  </si>
  <si>
    <t>SYS_DAI_MF01_97</t>
  </si>
  <si>
    <t>SYS_DAI_MF01_98</t>
  </si>
  <si>
    <t>ACR_DAI_SW_108</t>
  </si>
  <si>
    <t>ACR_DAI_SW_22</t>
  </si>
  <si>
    <t>This counter has the limit: 50 tightenings,This counter has reached the limit: 50 tightening</t>
  </si>
  <si>
    <t>ACR_DAI_SW_450</t>
  </si>
  <si>
    <t>SYS_DAI_MF01_360</t>
  </si>
  <si>
    <t>The functionality of a component must not be restricted during ongoing diagnostic communication with this or other components. 
Functional restrictions are only permissible if write or control interventions are made by diagnostic commands.,The functionality of a component should not be limited in current diagnostic communication with these or other components.
Functional limitations are only permissible when typing or-addressing procedures are performed by diagnostic commands.</t>
  </si>
  <si>
    <t>SYS_DAI_MF05_207</t>
  </si>
  <si>
    <t>SYS_DAI_MF02_189</t>
  </si>
  <si>
    <t>ACR_DAI_SW_30</t>
  </si>
  <si>
    <t>If technically possible, diagnostic-capable ECUs must be flashable as defined in [DDS].,If technically possible, diagnosable control units, as defined in [DDS] must be upgradeable.</t>
  </si>
  <si>
    <t>ACR_DAI_SW_342</t>
  </si>
  <si>
    <t>If the controller is upgradeable in series production, the control unit must already be in the development phase flashable.</t>
  </si>
  <si>
    <t>ACR_DAI_SW_484</t>
  </si>
  <si>
    <t>The control unit should have a Daimler-compliant flashable bootloader.,The control device should have a Daimler-compliant flashable boot loader.</t>
  </si>
  <si>
    <t>ACR_DAI_SW_78</t>
  </si>
  <si>
    <t>To ensure OTA update capability, ECUs that are flashable according to [Daimler Diagnostic Specifications] must implement the requirements from [MGU00000836].,The OTA update capability to ensure must that are upgradeable for [Daimler Diagnostic Specifications], implement control devices with the requirements of [MGU00000836].</t>
  </si>
  <si>
    <t>ACR_DAI_SW_447</t>
  </si>
  <si>
    <t>It must be possible to perform the overall software update of the component within 300 seconds via the OBD port.,The overall software update component must be able to be carried out within 300 seconds through the OBD port.</t>
  </si>
  <si>
    <t>ACR_DAI_SW_109</t>
  </si>
  <si>
    <t>Flash operations must work with each control unit at terminal 15=off.,Flash operations must 15 = Off work with any controller with terminal.</t>
  </si>
  <si>
    <t>ACR_DAI_SW_410</t>
  </si>
  <si>
    <t>The coding duration of an ECU in the vehicle topology from the OBD connection to the individual ECU must not exceed 10 seconds.,The Codierdauer of a control unit in the vehicle topology from OBD connection to the individual control unit may not exceed 10 seconds.</t>
  </si>
  <si>
    <t>ACR_DAI_SW_439</t>
  </si>
  <si>
    <t>Control unit electronics and connectors must be designed so that plugging and unplugging under voltage is possible in production.,Control device electronics and connectors must be designed so that a connection and disconnection under tension in the production is possible.</t>
  </si>
  <si>
    <t>ACR_DAI_SW_186</t>
  </si>
  <si>
    <t>SYS_DAI_MF09_10</t>
  </si>
  <si>
    <t>The peripherals on the ECU and the ECU itself (e.g. sensors, USB connections, etc.) must enable an automated contact check. This can be done either via a cyclic ECU-internal check including diagnostic error codes or a diagnostics-triggered check with a corresponding return value.,The periphery on the control device and the control device itself (eg. Sensors, USB ports, etc.) must allow for an automated Kontaktierungsprüfung. This can be done either internal ECU through a recurrence test including diagnostic trouble codes or triggered by diagnostic testing with a corresponding return value.</t>
  </si>
  <si>
    <t>SYS_DAI_MF09_22</t>
  </si>
  <si>
    <t>SYS_DAI_MF09_25</t>
  </si>
  <si>
    <t>SYS_DAI_MF09_30</t>
  </si>
  <si>
    <t>ACR_DAI_SW_356</t>
  </si>
  <si>
    <t>The control units should provide a uniform mechanism for collecting data internal to the control unit as well as communication data.
Uniform and flexible configuration interfaces must be provided to enable data collections for different purposes and users.
The configurability also decouples the definition of the individual data collections from the development process of the ECU.
The contractor must implement the requirements from [MGU00001754] for this.,The control units are designed to provide a common mechanism for the collection of internal ECU data and communication data.
To data collections for different purposes and users to enable must be provided consistent and flexible configuration interface.
About the configurability also the definition of individual data collections will be decoupled from the development process of the controller.
for this, the contractor must implement the requirements of [MGU00001754].</t>
  </si>
  <si>
    <t>ACR_DAI_SW_355</t>
  </si>
  <si>
    <t>The RAM memory for the measurement data tables of the application and parameterization interface (DISTAB, OLDA) must be placed in the emulation memory (EMEM) of the ECU microcontrollers.,The RAM can be set for the measurement data tables of the application and configuration interface (DISTAB, Olda) should be in the emulation memory (EMEM) of the control device microcontroller.</t>
  </si>
  <si>
    <t>ACR_DAI_SW_420</t>
  </si>
  <si>
    <t>The DAQ events in the control unit are to be prioritized as follows:
- Bypass events have a higher priority, like measurement events.
- 1ms bypass events (or faster time synchronous bypass events) have the highest prio
- Then come the angle-synchronous bypass events
- Then come the time-based bypass events such as 10 ms and 100 ms
- Then comes the 1 ms measurement event (or faster time-synchronous measurement events)
- Then comes the angle-synchronous measurement event.
- The lowest priority is given to the time-based measurement events such as 5 ms, 10 ms and 100 ms.,The DAQ events in the control unit as to prioritize follows:
- bypass events have a higher priority, such as measurement events
- 1ms bypass event (or faster time-synchronous bypass events) have the highest Prio
- Then the angle-synchronous bypass events coming
- After that time-based events such as bypass follow 10 ms and 100 ms
- After that comes the 1 ms measurement event (or faster time-synchronous measurement events)
- After that, the angle-synchronous measurement event can do
- The lowest Prio have the time-based measurement events such as 5 ms, 10 ms and 100 ms</t>
  </si>
  <si>
    <t>ACR_DAI_SW_57</t>
  </si>
  <si>
    <t>In order to be able to monitor the runtime of the time and angle synchronous tasks, especially when integrating on-target bypasses, measurement labels must be provided in the ECU software for all time and angle synchronous tasks:
- Current gross runtime 
- Maximum runtime
- Maximum runtime over lifetime. This value is stored in the EEPROM when the motor is switched off and can be reset via application parameters.
- Application parameters for resetting the maximum values,To the term of the time and angle Synchronous monitor tasks in particular with the integration of on-target bypasses, software control devices measuring tasks labels must be made available for all time and single position in:
- Current gross runtime
- Maximum duration
- Maximum term of more than life. This value is stored when the engine in the EEPROM and can be application parameter reset.
- Application parameters reset the maximum values</t>
  </si>
  <si>
    <t>ACR_DAI_SW_453</t>
  </si>
  <si>
    <t>In addition, information about the maximum runtime that the individual tasks may not exceed (due to on-target bypassing) is provided by Tier1 (e.g. in the A2L file in the long identifier of the measurement labels for the task runtimes).,In addition, information which maximum term each task may not exceed (by bypassing On Target), supplied by Tier1 (for example, in the A2L file in Long identifiers of measurement labels for the task runtimes).</t>
  </si>
  <si>
    <t>ACR_DAI_SW_116</t>
  </si>
  <si>
    <t>When the control units are delivered to the customer, it must be ensured that
- the date and time are not in the future.
- the "Tick Count" is less than 1 year.
- the "SecOC Standard Keys" are set (delivery status of the control unit manufacturer).
- the Default VIN is set (delivery state of the ECU manufacturer).
- the ECU certificates are stored in the ECU (ECU manufacturer ensures this).
- the appropriate private key for the public key/ ECU certificate is stored.
This applies to both series and development statuses.,When the control units are delivered to the customer to be sure of that
- the date and time are not in the future.
- the "Tick Count" is less than 1 year.
- the "SecOC Standard Keys" are set (standard installation of control equipment manufacturer).
- the default VIN is set (standard installation of control equipment manufacturer).
- The control unit certificates are stored in the control unit (ECU provides manufacturers safe).
- the matching private key to the public key / control device certificate is stored.
This applies to both series as well as levels of development.</t>
  </si>
  <si>
    <t>ACR_DAI_SW_261</t>
  </si>
  <si>
    <t>Flashware protection must be implemented according to the reference documents [MSS 10809].,The flashware protection reference documents must be implemented in accordance with [MSS 10809].</t>
  </si>
  <si>
    <t>ACR_DAI_SW_205</t>
  </si>
  <si>
    <t>The component must provide security mechanisms to prevent remote attacks (e.g., via remote interfaces).,The component must safety mechanisms to prevent attacks from remote (e.g., via remote interfaces) provide.</t>
  </si>
  <si>
    <t>ACR_DAI_SW_317</t>
  </si>
  <si>
    <t>The component must provide mechanisms that prevent an attacker from manipulating software or data of the component without authorization.,provide the component needs mechanisms that prevent an attacker can manipulate unauthorized software or data of the component.</t>
  </si>
  <si>
    <t>ACR_DAI_SW_155</t>
  </si>
  <si>
    <t>The component must provide mechanisms to protect the integrity of the software and data of the system and its components.
The behavior in the event of a detected manipulation must be coordinated with the client.
In the case of a multiprocessor system, this mechanism must be examined individually for each processor / memory.,The component must mechanisms to protect the integrity of the software and the data of the system and its components provide.
The behavior in case of a detected manipulation is agreed with the client.
In the case of a multiprocessor system has this mechanism for each processor individually examined memory /.</t>
  </si>
  <si>
    <t>ACR_DAI_SW_80</t>
  </si>
  <si>
    <t>Internal parameters that relate to the state of the system with respect to security must not be manipulable via diagnostic or debug mechanisms.,Internal parameters that relate to the state of the system with respect to security, must not be manipulated via diagnostic or debug mechanisms.</t>
  </si>
  <si>
    <t>ACR_DAI_SW_48</t>
  </si>
  <si>
    <t>Sensitive information must be protected against unauthorized use. Examples of sensitive information are cryptographic keys and passwords.,Sensitive information must be protected from unauthorized use. Examples of sensitive information are cryptographic keys and passwords.</t>
  </si>
  <si>
    <t>ACR_DAI_SW_510</t>
  </si>
  <si>
    <t>R01.1</t>
  </si>
  <si>
    <t>The component must include a hardware security module (HSM).,The component must include a hardware security module (HSM).</t>
  </si>
  <si>
    <t>ACR_DAI_SW_431</t>
  </si>
  <si>
    <t>If the selected microcontroller has a hardware security module (HSM), the requirements STLH-7167 to STLH-7171 must be implemented, as well as the chapter "Asymmetric cryptography" (STLH-7173) or (STM-1317006). ,If the selected microcontroller has a hardware security module (HSM), the request STLH-7167 to-7171 are STLH implement mandatory, as the chapter "Asymmetric Cryptography" (grad-7173) or (STM-1317006)</t>
  </si>
  <si>
    <t>ACR_DAI_SW_65</t>
  </si>
  <si>
    <t>All cryptographic operations that use keys stored in the HSM must be implemented in the HSM. Exceptions require the written consent of the client.,All cryptographic operations using keys stored in the HSM must be implemented in the HSM. Exceptions require the written consent of the client.</t>
  </si>
  <si>
    <t>ACR_DAI_SW_18</t>
  </si>
  <si>
    <t>The private/symmetric key material stored in the HSM shall not be exported or exportable from the HSM during runtime.,The stored in the HSM private / symmetric key material may not be exported from the HSM or exported during the term.</t>
  </si>
  <si>
    <t>ACR_DAI_SW_332</t>
  </si>
  <si>
    <t>Unauthorized access to the functions and data of the HSM must be protected by the HSM, e.g. by access control.,Unauthorized access to the functions and data of the HSM must be protected by the HSM, for example, by access control.</t>
  </si>
  <si>
    <t>ACR_DAI_SW_145</t>
  </si>
  <si>
    <t>The HSM must provide a secured storage mechanism that is resistant to physical attacks.,The HSM has a secured storage mechanism provide, which is resistant to physical attacks.</t>
  </si>
  <si>
    <t>ACR_DAI_SW_239</t>
  </si>
  <si>
    <t>The HSM shall provide means to perform crypto-related operations using internally stored keys on data provided through an external interface.,perform the HSM must provide means to crypto-related operations using internally stored key data that are provided through an external interface.</t>
  </si>
  <si>
    <t>ACR_DAI_SW_479</t>
  </si>
  <si>
    <t>If asymmetric key material is generated at runtime, this shall be performed in an HSM. Exceptions require the written consent of the customer.,Is generated at runtime asymmetric key material, this is carried out in an HSM. Exceptions require the written consent of the client.</t>
  </si>
  <si>
    <t>ACR_DAI_SW_474</t>
  </si>
  <si>
    <t>The HSM must use crypto primitives and algorithms as described in the reference documents.,The HSM must crypto primitives and algorithms, as described in the reference documents.</t>
  </si>
  <si>
    <t>ACR_DAI_SW_165</t>
  </si>
  <si>
    <t>The HSM shall provide random number generators as specified in the reference documents.,The HSM has random number generators provide, as specified in the reference documents.</t>
  </si>
  <si>
    <t>ACR_DAI_SW_266</t>
  </si>
  <si>
    <t>The HSM must have sufficient storage capacity as specified in the reference documents and specific component requirements.,The HSM must have sufficient memory capacity, as it is defined in the reference documents and the specific component requirements.</t>
  </si>
  <si>
    <t>ACR_DAI_SW_107</t>
  </si>
  <si>
    <t>All low-level debug interfaces (e.g., JTAG, SWD, XCP, serial) must be protected by a strong authentication mechanism that uses a key or password and provides a security strength of at least 112 bits. If protection is not possible for a particular interface, an alternative solution must be discussed and approved by the client.,All low-level debug interfaces (e.g., JTAG, SWD, XCP, serial) must be protected by a strong authentication mechanism that uses a key or password and provides a security strength of at least 112 bits. Is the protection for a particular interface not possible, an alternative solution to be discussed and approved by the client.</t>
  </si>
  <si>
    <t>ACR_DAI_SW_47</t>
  </si>
  <si>
    <t>All high-level debug interfaces (e.g., Adb shells, CLI, GUI) must be protected by a strong authentication mechanism using a key or password that provides a security strength of at least 128 bits. If protection is not possible for a particular interface, an alternative solution must be discussed and approved by the client.,All high-level debug interfaces (for example, ADB shells, CLI, GUI) must be protected by a strong authentication mechanism using a key or a password that provides a security strength of at least 128 bits. Is the protection for a particular interface not possible, an alternative solution to be discussed and approved by the client.</t>
  </si>
  <si>
    <t>ACR_DAI_SW_29</t>
  </si>
  <si>
    <t>In the case of protected debug interfaces, the authentication mechanism must use device-specific secrets that are not derived directly from publicly known data (e.g., the serial number of the ECU), but are generated with a strong secret or randomly.,In the case of protected debug interfaces has the authentication mechanism device-specific secrets use, not directly from publicly known data (e.g., the serial number of the control unit) are derived, but are generated with a strong secret or random.</t>
  </si>
  <si>
    <t>ACR_DAI_SW_178</t>
  </si>
  <si>
    <t>The security mechanisms provided by hardware (e.g. NX bit) should be enabled in the operating system.,The provided by hardware security mechanisms (e.g., NX-bit) to be activated in the operating system.</t>
  </si>
  <si>
    <t>ACR_DAI_SW_264</t>
  </si>
  <si>
    <t>Operating system features that are not required must be deactivated. This is especially true for debug features.,Not operating system features required are to be deactivated. This is especially true for debug features.</t>
  </si>
  <si>
    <t>ACR_DAI_SW_409</t>
  </si>
  <si>
    <t>If the component manages sessions, the session validity period should be as small as possible.,If the component Sessions manages the validity of the sessions should be selected as small as possible.</t>
  </si>
  <si>
    <t>ACR_DAI_SW_60</t>
  </si>
  <si>
    <t>Where technically possible, compiler options should be used to protect against buffer overflows.,If technically possible, be used to protect against buffer overflows compiler options.</t>
  </si>
  <si>
    <t>ACR_DAI_SW_219</t>
  </si>
  <si>
    <t>The application must use mechanisms to prevent code injection.,The application must use mechanisms to prevent code injections.</t>
  </si>
  <si>
    <t>ACR_DAI_SW_218</t>
  </si>
  <si>
    <t>Unless key material is stored in an HSM, unencrypted key material shall be kept in RAM or file system only for the shortest possible time as required to perform the crypto operations.,Unless key material is not stored in an HSM, unencrypted key material must be kept for the shortest possible time in the RAM or the file system, as required for the implementation of cryptographic operations.</t>
  </si>
  <si>
    <t>ACR_DAI_SW_249</t>
  </si>
  <si>
    <t>If key material is not stored in an HSM, the key material must be stored and processed in a Trusted Execution Environment (TEE) if this is technically possible and the hardware platform used provides a TEE.,Provided that key material is not stored in an HSM is to store the key material in a trusted execution environment (TEE) and to process, if this is technically possible, and the hardware platform used provides a TEE.</t>
  </si>
  <si>
    <t>ACR_DAI_SW_171</t>
  </si>
  <si>
    <t>Communication interfaces that are not used in a specific ECU configuration or operating state must be switched off during operation. This applies in particular to radio interfaces.,Communication interfaces, which are not used in a particular device configuration or operation control state should be disabled in operation. This is especially true for radio interfaces.</t>
  </si>
  <si>
    <t>ACR_DAI_SW_368</t>
  </si>
  <si>
    <t>Communication interfaces that are generally not used in a particular hardware variant must be irreversibly deactivated on the hardware side (e.g. by missing contact on the printed circuit board, short circuit, fuses, or similar).,Communication interfaces, the variant hardware generally not used in a given are to deactivate irreversibly in hardware (e.g., by the lack of contact on the circuit board, short circuit, fuses, etc.).</t>
  </si>
  <si>
    <t>ACR_DAI_SW_269</t>
  </si>
  <si>
    <t>The component must discard faulty or unexpected messages, packets and data. The function of the component must not be disturbed by this.,The component messages, packages and data must incorrect or unexpected discard. The function of the component may thus not be disturbed.</t>
  </si>
  <si>
    <t>ACR_DAI_SW_486</t>
  </si>
  <si>
    <t>The component must check all received signals ("input validation").,Check the component must all thanked signals ( "input validation").</t>
  </si>
  <si>
    <t>ACR_DAI_SW_454</t>
  </si>
  <si>
    <t>Consumer electronic interfaces that are not accessible to the customer must be secured with cryptographically secure passwords. Standard passwords are not permitted.,Consumer electronics interfaces that are not accessible to the customer, must be secured with a cryptographically secure passwords. Default passwords are not allowed.</t>
  </si>
  <si>
    <t>ACR_DAI_SW_126</t>
  </si>
  <si>
    <t>The access data must be transmitted confidentially (using encryption) on the vehicle bus. ,These must be confidentially transmitted (through encryption) on the vehicle bus.</t>
  </si>
  <si>
    <t>ACR_DAI_SW_115</t>
  </si>
  <si>
    <t>Message forwarding mechanisms must be implemented using the "whitelist" approach (with "default-deny").,The mechanisms for routing messages must using the approach of "White List" (with "default deny") to be implemented.</t>
  </si>
  <si>
    <t>ACR_DAI_SW_191</t>
  </si>
  <si>
    <t>Each component that contains a cryptographic routine must be capable of changing or replacing the affected algorithm. 
Rationale: As soon as a cryptographic algorithm is broken, it must be changed or replaced.,Each component that includes a cryptographic routine must be able to change the affected algorithm or replaced.
Reason: Once a cryptographic algorithm is broken, he must be modified or replaced.</t>
  </si>
  <si>
    <t>ACR_DAI_SW_412</t>
  </si>
  <si>
    <t>Image: fault detection time, fault response time and fault tolerance interval</t>
  </si>
  <si>
    <t>ACR_DAI_SW_327</t>
  </si>
  <si>
    <t>Fault detection time (tFD) is the time span for fault detection according to [ISO 26262-1]. In the E2E context: tFD is taken as the basis for E2E parameterization. If tFD is documented in XDIS dialog "Edit Safety Parameters", it can be referenced here.
Fault reaction time (tFR) is the time span from fault detection to reaching a safe state according to [ISO 26262-1].
Fault tolerance time interval (FTTI) is the time period during which one or more faults can be present in a system without causing a dangerous event, according to [ISO 26262-1]. FTTI is defined in SLH and referenced here.,Fault detection time (fault detection / tFD) is the time for error detection in accordance with [ISO 26262-1]. In E2E Context: tFD is taken as the basis for E2E parameterization. If tFD is documented in Xdis dialogue "Edit Safety Parameters", it can be referenced here.
Fault response time (Fault reaction / tFR) is the time from error detection until a safe condition in accordance with [ISO 26262-1].
Fault tolerance interval (fault tolerance time interval / FTTI) in accordance with [ISO 26262-1] is the period in which one or more errors in a system can be present without creating a dangerous event. FTTI is defined in SLH and referenced here.</t>
  </si>
  <si>
    <t>ACR_DAI_SW_325</t>
  </si>
  <si>
    <t>All ECUs that are connected via CAN, CANFD, FlexRay or Ethernet participate in the global clock synchronization. In addition to the component and system specifications, you must observe [MSS 21001].,All control devices that are connected via CAN, CANFD, FlexRay or Ethernet, participate clock synchronization in the Global. You need to consider in addition to the component and system specifications, the [MSS 21001].</t>
  </si>
  <si>
    <t>ACR_DAI_SW_429</t>
  </si>
  <si>
    <t>- A task configuration under AUTOSAR-OS. The tasks receive the function calls of the generated functions. A data exchange concept must also be implemented for the secure exchange of data between tasks (e.g. using message services).,- A task configuration in AUTOSAR OS. The tasks take on the function calls the generated functions. Likewise, should a data exchange concept for secure data exchange realized between tasks (eg. by Message Services)</t>
  </si>
  <si>
    <t>ACR_DAI_SW_405</t>
  </si>
  <si>
    <t>- A variant decoding that allows a choice between different parameter sets and the associated initialization.,- A Variant decoding that allows a choice between different parameter sets and initialization related.</t>
  </si>
  <si>
    <t>ACR_DAI_SW_461</t>
  </si>
  <si>
    <t>- Signal conditioning for analog and digital input and output signals - for both HW and bus signals. The signal interface to the function software contains a substitute value formation for all signals, as well as a status byte,- Signal processing for analog and digital input and output signals - for HW as well as for bus signals. Signal interface for functional software contains a substitute values ​​for all signals as well as a status</t>
  </si>
  <si>
    <t>ACR_DAI_SW_247</t>
  </si>
  <si>
    <t>- Self test (at system start and cyclic) of RAM/ROM, EEPROM, periphery and CPU,- Self-Test (at system startup and cyclic) of RAM / ROM, EEPROM, and CPU peripherals</t>
  </si>
  <si>
    <t>ACR_DAI_SW_289</t>
  </si>
  <si>
    <t>- A function for operating one or more watchdogs. The watchdogs can be connected internally (SW watchdog) or externally (HW watchdog). Furthermore a function to trigger a system reset and to detect the reset cause (e.g. power-on reset, soft reset, reset by diagnostic request).,- A function for the operation of one or more watchdogs. The watchdog can be internally connected (SW watchdog) or external (hardware watchdog). Furthermore, a function to trigger a system reset and identifying the reset cause (e.g. power-on reset, soft reset, reset by diagnostic request).</t>
  </si>
  <si>
    <t>ACR_DAI_SW_147</t>
  </si>
  <si>
    <t>- A function for monitoring the system/processor load (e.g. runtime monitoring of tasks), which enables controlled intervention in the function sequence if required (e.g. shutdown of non-critical functions in the event of processor overload).,- A processor load (. Eg runtime monitoring tasks) function to monitor the system /, which allows a controlled intervention in the functional flow when necessary (for example, switching off non-critical functions in processor overload.)</t>
  </si>
  <si>
    <t>ACR_DAI_SW_435</t>
  </si>
  <si>
    <t>SYS_DAI_Project_51</t>
  </si>
  <si>
    <t>At the start of series production, a maximum of 80% of the processor resources (RAM, ROM, EEPROM and computing time) may be used. At the start of the C sample phase, a maximum of 60% of the processor resources may be in use.,80% of the processor resources (RAM, ROM, EEPROM and computing time). The start of production may be used max. At the beginning of the C-pattern phase, the processor resources maximum of 60% be in use.</t>
  </si>
  <si>
    <t>SYS_DAI_Project_52</t>
  </si>
  <si>
    <t>ACR_DAI_SW_154</t>
  </si>
  <si>
    <t>SYS_DAI_MF01_109</t>
  </si>
  <si>
    <t>The ECU monitors all types of faults that can lead to an overload of the RevAS ECU and, if necessary, initiates fault responses to prevent damage from them.,The ECU monitors all types of errors that can lead to overloading of REVAS ECU and, if necessary error reactions initiated by damage to be prevented by this.</t>
  </si>
  <si>
    <t>SYS_DAI_MF01_108</t>
  </si>
  <si>
    <t>SYS_DAI_MF09_16</t>
  </si>
  <si>
    <t>ACR_DAI_SW_293</t>
  </si>
  <si>
    <t>SYS_DAI_MF03_5</t>
  </si>
  <si>
    <t>All subcomponents required for belt tightening or loosening must be tested by the monitors before these functions are activated.,All sub-components that need to be tested by the monitoring are required for a belt tightening or loosening before these functions are activated.</t>
  </si>
  <si>
    <t>ACR_DAI_SW_201</t>
  </si>
  <si>
    <t>SYS_DAI_MF07_22</t>
  </si>
  <si>
    <t>Any fault that prevents belt tensioning or release must be associated with a DTC.,Any error that prevents must be associated with a DTC a belt tensioning or loosening.</t>
  </si>
  <si>
    <t>SYS_DAI_MF09_4</t>
  </si>
  <si>
    <t>ACR_DAI_SW_318</t>
  </si>
  <si>
    <t>Break down the individual monitoring in the associated DTC as sub-failures.,The individual monitoring broken down as a failure in the associated DTC.</t>
  </si>
  <si>
    <t>ACR_DAI_SW_504</t>
  </si>
  <si>
    <t>SYS_DAI_MF09_8</t>
  </si>
  <si>
    <t>The RevAS motor is initially monitored for interruptions and short-circuits at startup and continuously during operation.,The REVAS-motor is initially continuously monitored for opens and shorts at startup and operation.</t>
  </si>
  <si>
    <t>ACR_DAI_SW_297</t>
  </si>
  <si>
    <t>The voltage supply at the ECU contact is initially monitored during startup and continuously during operation.,The power supply to the ECU contacting is initially monitored continuously during startup and operation.</t>
  </si>
  <si>
    <t>ACR_DAI_SW_222</t>
  </si>
  <si>
    <t>Monitoring for CAN-HW errors is continuous.,The monitoring on CAN HW error occurs continuously.</t>
  </si>
  <si>
    <t>ACR_DAI_SW_143</t>
  </si>
  <si>
    <t>SYS_DAI_MF09_23</t>
  </si>
  <si>
    <t>The driver stage of the RevAS motor is initially monitored for interruptions and short circuits during startup and operation.,The driver stage of REVAS-motor is initially continuously monitored for opens and shorts at startup and operation.</t>
  </si>
  <si>
    <t>SYS_DAI_MF09_24</t>
  </si>
  <si>
    <t>SYS_DAI_MF09_29</t>
  </si>
  <si>
    <t>ACR_DAI_SW_326</t>
  </si>
  <si>
    <t>The RevAS motor and associated mechanics are initially monitored for blockage at startup and during tightening operations.,The REVAS-engine and the mechanics involved is initially monitored at startup and during tensioning operations on blockade.</t>
  </si>
  <si>
    <t>ACR_DAI_SW_516</t>
  </si>
  <si>
    <t>The temperature of the RevAS motor is continuously monitored.,The temperature of the REVAS motor is continuously monitored.</t>
  </si>
  <si>
    <t>ACR_DAI_SW_254</t>
  </si>
  <si>
    <t>SYS_DAI_MF07_32</t>
  </si>
  <si>
    <t>The HW watchdog monitoring also runs during the ECU startup.,HW watchdog monitoring also runs during the startup ECU.</t>
  </si>
  <si>
    <t>ACR_DAI_SW_493</t>
  </si>
  <si>
    <t>The CPU-HW is initially monitored for errors at startup and continuously during operation.,The CPU hardware is monitored initially at startup and during operation continuously for errors.</t>
  </si>
  <si>
    <t>ACR_DAI_SW_505</t>
  </si>
  <si>
    <t>SYS_DAI_MF08_288</t>
  </si>
  <si>
    <t>All internal status, target and actual values related to penalty functionality must be able to be output via the measurement messages for testing purposes.,All internal status, desired and actual values ​​need to be output via the measurement messages for testing purposes in connection with the Strafffunkttionalität.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</si>
</sst>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72" x14ac:knownFonts="1">
    <font>
      <sz val="10"/>
      <name val="Arial"/>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name val="Arial"/>
      <family val="2"/>
    </font>
    <font>
      <b/>
      <sz val="12"/>
      <name val="Arial"/>
      <family val="2"/>
    </font>
    <font>
      <u/>
      <sz val="10"/>
      <name val="Arial"/>
      <family val="2"/>
    </font>
    <font>
      <b/>
      <u/>
      <sz val="10"/>
      <name val="Arial"/>
      <family val="2"/>
    </font>
    <font>
      <b/>
      <sz val="8"/>
      <name val="Arial"/>
      <family val="2"/>
    </font>
    <font>
      <sz val="11"/>
      <name val="Arial"/>
      <family val="2"/>
    </font>
    <font>
      <sz val="12"/>
      <name val="Arial"/>
      <family val="2"/>
    </font>
    <font>
      <u/>
      <sz val="10"/>
      <color indexed="12"/>
      <name val="Arial"/>
      <family val="2"/>
    </font>
    <font>
      <sz val="10"/>
      <name val="Arial"/>
      <family val="2"/>
    </font>
    <font>
      <sz val="9"/>
      <color indexed="81"/>
      <name val="Tahoma"/>
      <family val="2"/>
    </font>
    <font>
      <b/>
      <sz val="14"/>
      <color indexed="9"/>
      <name val="Calibri"/>
      <family val="2"/>
    </font>
    <font>
      <sz val="11"/>
      <color theme="1"/>
      <name val="Calibri"/>
      <family val="2"/>
      <scheme val="minor"/>
    </font>
    <font>
      <sz val="11"/>
      <color theme="0"/>
      <name val="Calibri"/>
      <family val="2"/>
      <scheme val="minor"/>
    </font>
    <font>
      <b/>
      <sz val="11"/>
      <color rgb="FFFA7D00"/>
      <name val="Calibri"/>
      <family val="2"/>
      <scheme val="minor"/>
    </font>
    <font>
      <b/>
      <sz val="12"/>
      <color rgb="FFFA7D00"/>
      <name val="Calibri"/>
      <family val="2"/>
      <scheme val="minor"/>
    </font>
    <font>
      <b/>
      <sz val="12"/>
      <color theme="0"/>
      <name val="Calibri"/>
      <family val="2"/>
      <scheme val="minor"/>
    </font>
    <font>
      <u/>
      <sz val="10"/>
      <color theme="10"/>
      <name val="Arial"/>
      <family val="2"/>
    </font>
    <font>
      <sz val="11"/>
      <color rgb="FF3F3F76"/>
      <name val="Calibri"/>
      <family val="2"/>
      <scheme val="minor"/>
    </font>
    <font>
      <sz val="11"/>
      <color rgb="FFFA7D00"/>
      <name val="Calibri"/>
      <family val="2"/>
      <scheme val="minor"/>
    </font>
    <font>
      <b/>
      <sz val="12"/>
      <color rgb="FF3F3F3F"/>
      <name val="Calibri"/>
      <family val="2"/>
      <scheme val="minor"/>
    </font>
    <font>
      <b/>
      <sz val="18"/>
      <color theme="3"/>
      <name val="Cambria"/>
      <family val="2"/>
      <scheme val="major"/>
    </font>
    <font>
      <sz val="11"/>
      <color rgb="FFFF0000"/>
      <name val="Calibri"/>
      <family val="2"/>
      <scheme val="minor"/>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b/>
      <sz val="12"/>
      <color rgb="FFFF0000"/>
      <name val="Arial"/>
      <family val="2"/>
    </font>
    <font>
      <b/>
      <u/>
      <sz val="10"/>
      <color theme="10"/>
      <name val="Arial"/>
      <family val="2"/>
    </font>
    <font>
      <sz val="11"/>
      <color theme="0"/>
      <name val="Arial"/>
      <family val="2"/>
    </font>
    <font>
      <sz val="14"/>
      <color rgb="FFFF0000"/>
      <name val="Calibri"/>
      <family val="2"/>
      <scheme val="minor"/>
    </font>
    <font>
      <b/>
      <sz val="11"/>
      <color theme="6" tint="-0.499984740745262"/>
      <name val="Calibri"/>
      <family val="2"/>
      <scheme val="minor"/>
    </font>
    <font>
      <b/>
      <sz val="11"/>
      <color rgb="FFFF0000"/>
      <name val="Calibri"/>
      <family val="2"/>
      <scheme val="minor"/>
    </font>
    <font>
      <b/>
      <sz val="18"/>
      <color rgb="FFFF0000"/>
      <name val="Cambria"/>
      <family val="2"/>
      <scheme val="major"/>
    </font>
    <font>
      <sz val="11"/>
      <name val="Calibri"/>
      <family val="2"/>
      <scheme val="minor"/>
    </font>
    <font>
      <sz val="12"/>
      <name val="Calibri"/>
      <family val="2"/>
      <scheme val="minor"/>
    </font>
    <font>
      <sz val="12"/>
      <color rgb="FFFF0000"/>
      <name val="Calibri"/>
      <family val="2"/>
      <scheme val="minor"/>
    </font>
    <font>
      <sz val="10"/>
      <color rgb="FFFFFFFF"/>
      <name val="Arial"/>
      <family val="2"/>
    </font>
    <font>
      <b/>
      <i/>
      <sz val="10"/>
      <color rgb="FF000080"/>
      <name val="Arial"/>
      <family val="2"/>
    </font>
    <font>
      <b/>
      <sz val="8"/>
      <color theme="0"/>
      <name val="Arial"/>
      <family val="2"/>
    </font>
    <font>
      <b/>
      <sz val="20"/>
      <color rgb="FF3F3F76"/>
      <name val="Calibri"/>
      <family val="2"/>
      <scheme val="minor"/>
    </font>
    <font>
      <sz val="10"/>
      <color rgb="FF000080"/>
      <name val="Arial"/>
      <family val="2"/>
    </font>
    <font>
      <b/>
      <sz val="10"/>
      <color theme="0"/>
      <name val="Arial"/>
      <family val="2"/>
    </font>
    <font>
      <b/>
      <sz val="20"/>
      <color theme="1"/>
      <name val="Calibri"/>
      <family val="2"/>
      <scheme val="minor"/>
    </font>
    <font>
      <b/>
      <sz val="11"/>
      <color rgb="FF3F3F3F"/>
      <name val="Calibri"/>
      <family val="2"/>
      <scheme val="minor"/>
    </font>
    <font>
      <sz val="12"/>
      <color theme="0"/>
      <name val="Calibri"/>
      <family val="2"/>
      <scheme val="minor"/>
    </font>
    <font>
      <sz val="12"/>
      <color theme="1"/>
      <name val="Calibri"/>
      <family val="2"/>
      <scheme val="minor"/>
    </font>
    <font>
      <sz val="12"/>
      <color rgb="FF3F3F76"/>
      <name val="Calibri"/>
      <family val="2"/>
      <scheme val="minor"/>
    </font>
    <font>
      <sz val="12"/>
      <color theme="0"/>
      <name val="Arial"/>
      <family val="2"/>
    </font>
    <font>
      <b/>
      <sz val="9"/>
      <color indexed="81"/>
      <name val="Tahoma"/>
      <family val="2"/>
    </font>
    <font>
      <b/>
      <sz val="12"/>
      <color rgb="FF3F3F76"/>
      <name val="Calibri"/>
      <family val="2"/>
      <scheme val="minor"/>
    </font>
    <font>
      <sz val="22"/>
      <color rgb="FFFF0000"/>
      <name val="Arial"/>
      <family val="2"/>
    </font>
    <font>
      <sz val="12"/>
      <color rgb="FF000000"/>
      <name val="Arial"/>
      <family val="2"/>
    </font>
    <font>
      <b/>
      <sz val="14"/>
      <color rgb="FF3F3F3F"/>
      <name val="Calibri"/>
      <family val="2"/>
      <scheme val="minor"/>
    </font>
  </fonts>
  <fills count="48">
    <fill>
      <patternFill patternType="none"/>
    </fill>
    <fill>
      <patternFill patternType="gray125"/>
    </fill>
    <fill>
      <patternFill patternType="solid">
        <fgColor indexed="51"/>
        <bgColor indexed="64"/>
      </patternFill>
    </fill>
    <fill>
      <patternFill patternType="solid">
        <fgColor indexed="52"/>
        <bgColor indexed="64"/>
      </patternFill>
    </fill>
    <fill>
      <patternFill patternType="solid">
        <fgColor indexed="55"/>
        <bgColor indexed="64"/>
      </patternFill>
    </fill>
    <fill>
      <patternFill patternType="solid">
        <fgColor indexed="10"/>
        <bgColor indexed="64"/>
      </patternFill>
    </fill>
    <fill>
      <patternFill patternType="solid">
        <fgColor indexed="50"/>
        <bgColor indexed="64"/>
      </patternFill>
    </fill>
    <fill>
      <patternFill patternType="solid">
        <fgColor indexed="43"/>
        <bgColor indexed="64"/>
      </patternFill>
    </fill>
    <fill>
      <patternFill patternType="solid">
        <fgColor indexed="23"/>
        <bgColor indexed="64"/>
      </patternFill>
    </fill>
    <fill>
      <patternFill patternType="solid">
        <fgColor indexed="41"/>
        <bgColor indexed="64"/>
      </patternFill>
    </fill>
    <fill>
      <patternFill patternType="solid">
        <fgColor indexed="11"/>
        <bgColor indexed="64"/>
      </patternFill>
    </fill>
    <fill>
      <patternFill patternType="solid">
        <fgColor indexed="47"/>
        <bgColor indexed="64"/>
      </patternFill>
    </fill>
    <fill>
      <patternFill patternType="solid">
        <fgColor indexed="42"/>
        <bgColor indexed="64"/>
      </patternFill>
    </fill>
    <fill>
      <patternFill patternType="solid">
        <fgColor indexed="26"/>
        <bgColor indexed="64"/>
      </patternFill>
    </fill>
    <fill>
      <patternFill patternType="solid">
        <fgColor indexed="22"/>
        <bgColor indexed="64"/>
      </patternFill>
    </fill>
    <fill>
      <patternFill patternType="solid">
        <fgColor indexed="18"/>
        <bgColor indexed="64"/>
      </patternFill>
    </fill>
    <fill>
      <patternFill patternType="solid">
        <fgColor indexed="65"/>
        <bgColor indexed="10"/>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7" tint="0.59999389629810485"/>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8"/>
      </patternFill>
    </fill>
    <fill>
      <patternFill patternType="solid">
        <fgColor theme="9"/>
      </patternFill>
    </fill>
    <fill>
      <patternFill patternType="solid">
        <fgColor rgb="FFF2F2F2"/>
      </patternFill>
    </fill>
    <fill>
      <patternFill patternType="solid">
        <fgColor rgb="FFA5A5A5"/>
      </patternFill>
    </fill>
    <fill>
      <patternFill patternType="solid">
        <fgColor rgb="FFFFCC99"/>
      </patternFill>
    </fill>
    <fill>
      <patternFill patternType="solid">
        <fgColor theme="0"/>
        <bgColor indexed="64"/>
      </patternFill>
    </fill>
    <fill>
      <patternFill patternType="solid">
        <fgColor theme="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2F2F2"/>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rgb="FF000080"/>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theme="2"/>
        <bgColor indexed="64"/>
      </patternFill>
    </fill>
    <fill>
      <patternFill patternType="solid">
        <fgColor theme="4" tint="0.79998168889431442"/>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thin">
        <color rgb="FF000080"/>
      </bottom>
      <diagonal/>
    </border>
    <border>
      <left style="thick">
        <color theme="0"/>
      </left>
      <right/>
      <top/>
      <bottom/>
      <diagonal/>
    </border>
    <border>
      <left/>
      <right/>
      <top/>
      <bottom style="thick">
        <color theme="0"/>
      </bottom>
      <diagonal/>
    </border>
    <border>
      <left style="thick">
        <color theme="0"/>
      </left>
      <right/>
      <top style="thick">
        <color theme="0"/>
      </top>
      <bottom/>
      <diagonal/>
    </border>
    <border>
      <left/>
      <right/>
      <top style="thick">
        <color theme="0"/>
      </top>
      <bottom/>
      <diagonal/>
    </border>
    <border>
      <left style="thick">
        <color theme="0"/>
      </left>
      <right style="thin">
        <color indexed="64"/>
      </right>
      <top style="thin">
        <color indexed="64"/>
      </top>
      <bottom style="thin">
        <color indexed="64"/>
      </bottom>
      <diagonal/>
    </border>
    <border>
      <left/>
      <right style="thick">
        <color theme="0"/>
      </right>
      <top/>
      <bottom/>
      <diagonal/>
    </border>
    <border>
      <left style="thick">
        <color theme="0"/>
      </left>
      <right/>
      <top/>
      <bottom style="thick">
        <color theme="0"/>
      </bottom>
      <diagonal/>
    </border>
    <border>
      <left/>
      <right/>
      <top/>
      <bottom style="thin">
        <color theme="0"/>
      </bottom>
      <diagonal/>
    </border>
    <border>
      <left style="thick">
        <color theme="0"/>
      </left>
      <right style="thin">
        <color indexed="64"/>
      </right>
      <top style="thin">
        <color indexed="64"/>
      </top>
      <bottom/>
      <diagonal/>
    </border>
    <border>
      <left style="thick">
        <color theme="0"/>
      </left>
      <right style="thin">
        <color indexed="64"/>
      </right>
      <top style="medium">
        <color indexed="64"/>
      </top>
      <bottom style="thin">
        <color indexed="64"/>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thin">
        <color indexed="64"/>
      </right>
      <top style="thin">
        <color indexed="64"/>
      </top>
      <bottom style="thin">
        <color indexed="64"/>
      </bottom>
      <diagonal/>
    </border>
    <border>
      <left/>
      <right style="thick">
        <color theme="0"/>
      </right>
      <top style="thick">
        <color theme="0"/>
      </top>
      <bottom/>
      <diagonal/>
    </border>
    <border>
      <left style="thick">
        <color theme="0"/>
      </left>
      <right style="thin">
        <color rgb="FF7F7F7F"/>
      </right>
      <top style="thin">
        <color rgb="FF7F7F7F"/>
      </top>
      <bottom style="thin">
        <color rgb="FF7F7F7F"/>
      </bottom>
      <diagonal/>
    </border>
    <border>
      <left/>
      <right style="thick">
        <color theme="0"/>
      </right>
      <top/>
      <bottom style="thick">
        <color theme="0"/>
      </bottom>
      <diagonal/>
    </border>
    <border>
      <left/>
      <right/>
      <top style="thin">
        <color theme="0"/>
      </top>
      <bottom/>
      <diagonal/>
    </border>
    <border>
      <left style="thin">
        <color theme="0"/>
      </left>
      <right/>
      <top style="thin">
        <color theme="0"/>
      </top>
      <bottom/>
      <diagonal/>
    </border>
    <border>
      <left/>
      <right style="thin">
        <color theme="0"/>
      </right>
      <top style="thin">
        <color theme="0"/>
      </top>
      <bottom/>
      <diagonal/>
    </border>
    <border>
      <left/>
      <right style="thin">
        <color theme="0"/>
      </right>
      <top/>
      <bottom/>
      <diagonal/>
    </border>
    <border>
      <left/>
      <right style="thin">
        <color theme="0"/>
      </right>
      <top/>
      <bottom style="thick">
        <color theme="0"/>
      </bottom>
      <diagonal/>
    </border>
    <border>
      <left/>
      <right style="thin">
        <color theme="0"/>
      </right>
      <top style="thick">
        <color theme="0"/>
      </top>
      <bottom/>
      <diagonal/>
    </border>
    <border>
      <left/>
      <right style="thin">
        <color theme="0"/>
      </right>
      <top/>
      <bottom style="thin">
        <color theme="0"/>
      </bottom>
      <diagonal/>
    </border>
    <border>
      <left style="medium">
        <color theme="0"/>
      </left>
      <right/>
      <top style="medium">
        <color theme="0"/>
      </top>
      <bottom/>
      <diagonal/>
    </border>
    <border>
      <left/>
      <right/>
      <top style="medium">
        <color theme="0"/>
      </top>
      <bottom/>
      <diagonal/>
    </border>
    <border>
      <left style="medium">
        <color theme="0"/>
      </left>
      <right/>
      <top/>
      <bottom/>
      <diagonal/>
    </border>
    <border>
      <left/>
      <right style="medium">
        <color theme="0"/>
      </right>
      <top/>
      <bottom/>
      <diagonal/>
    </border>
    <border>
      <left style="medium">
        <color theme="0"/>
      </left>
      <right style="thin">
        <color indexed="64"/>
      </right>
      <top style="thin">
        <color indexed="64"/>
      </top>
      <bottom style="thin">
        <color indexed="64"/>
      </bottom>
      <diagonal/>
    </border>
    <border>
      <left style="medium">
        <color theme="0"/>
      </left>
      <right/>
      <top/>
      <bottom style="thick">
        <color theme="0"/>
      </bottom>
      <diagonal/>
    </border>
    <border>
      <left/>
      <right/>
      <top/>
      <bottom style="medium">
        <color theme="0"/>
      </bottom>
      <diagonal/>
    </border>
    <border>
      <left/>
      <right style="medium">
        <color theme="0"/>
      </right>
      <top style="thick">
        <color theme="0"/>
      </top>
      <bottom/>
      <diagonal/>
    </border>
    <border>
      <left style="medium">
        <color theme="0"/>
      </left>
      <right/>
      <top/>
      <bottom style="thin">
        <color indexed="64"/>
      </bottom>
      <diagonal/>
    </border>
    <border>
      <left style="thin">
        <color indexed="64"/>
      </left>
      <right style="thick">
        <color theme="0"/>
      </right>
      <top style="thin">
        <color indexed="64"/>
      </top>
      <bottom style="thin">
        <color indexed="64"/>
      </bottom>
      <diagonal/>
    </border>
  </borders>
  <cellStyleXfs count="88">
    <xf numFmtId="0" fontId="0" fillId="0" borderId="0"/>
    <xf numFmtId="0" fontId="29" fillId="17" borderId="0" applyNumberFormat="0" applyBorder="0" applyAlignment="0" applyProtection="0"/>
    <xf numFmtId="0" fontId="29" fillId="18" borderId="0" applyNumberFormat="0" applyBorder="0" applyAlignment="0" applyProtection="0"/>
    <xf numFmtId="0" fontId="29" fillId="19" borderId="0" applyNumberFormat="0" applyBorder="0" applyAlignment="0" applyProtection="0"/>
    <xf numFmtId="0" fontId="29" fillId="20" borderId="0" applyNumberFormat="0" applyBorder="0" applyAlignment="0" applyProtection="0"/>
    <xf numFmtId="0" fontId="29" fillId="21" borderId="0" applyNumberFormat="0" applyBorder="0" applyAlignment="0" applyProtection="0"/>
    <xf numFmtId="0" fontId="29" fillId="22" borderId="0" applyNumberFormat="0" applyBorder="0" applyAlignment="0" applyProtection="0"/>
    <xf numFmtId="0" fontId="29" fillId="23" borderId="0" applyNumberFormat="0" applyBorder="0" applyAlignment="0" applyProtection="0"/>
    <xf numFmtId="0" fontId="30" fillId="24" borderId="0" applyNumberFormat="0" applyBorder="0" applyAlignment="0" applyProtection="0"/>
    <xf numFmtId="0" fontId="30" fillId="25" borderId="0" applyNumberFormat="0" applyBorder="0" applyAlignment="0" applyProtection="0"/>
    <xf numFmtId="0" fontId="30" fillId="26" borderId="0" applyNumberFormat="0" applyBorder="0" applyAlignment="0" applyProtection="0"/>
    <xf numFmtId="0" fontId="30" fillId="27" borderId="0" applyNumberFormat="0" applyBorder="0" applyAlignment="0" applyProtection="0"/>
    <xf numFmtId="0" fontId="30" fillId="28" borderId="0" applyNumberFormat="0" applyBorder="0" applyAlignment="0" applyProtection="0"/>
    <xf numFmtId="0" fontId="30" fillId="29" borderId="0" applyNumberFormat="0" applyBorder="0" applyAlignment="0" applyProtection="0"/>
    <xf numFmtId="0" fontId="3" fillId="2" borderId="1">
      <alignment horizontal="center" vertical="center"/>
    </xf>
    <xf numFmtId="0" fontId="31" fillId="30" borderId="18" applyNumberFormat="0" applyAlignment="0" applyProtection="0"/>
    <xf numFmtId="0" fontId="32" fillId="30" borderId="18" applyNumberFormat="0" applyAlignment="0" applyProtection="0"/>
    <xf numFmtId="0" fontId="33" fillId="31" borderId="19" applyNumberFormat="0" applyAlignment="0" applyProtection="0"/>
    <xf numFmtId="0" fontId="2" fillId="0" borderId="1"/>
    <xf numFmtId="0" fontId="5" fillId="0" borderId="1"/>
    <xf numFmtId="0" fontId="5" fillId="0" borderId="1"/>
    <xf numFmtId="0" fontId="5" fillId="0" borderId="1"/>
    <xf numFmtId="0" fontId="5" fillId="0" borderId="1"/>
    <xf numFmtId="0" fontId="5" fillId="0" borderId="1"/>
    <xf numFmtId="0" fontId="26" fillId="0" borderId="1"/>
    <xf numFmtId="0" fontId="34" fillId="0" borderId="0" applyNumberFormat="0" applyFill="0" applyBorder="0" applyAlignment="0" applyProtection="0"/>
    <xf numFmtId="0" fontId="25" fillId="0" borderId="0" applyNumberFormat="0" applyFill="0" applyBorder="0" applyAlignment="0" applyProtection="0">
      <alignment vertical="top"/>
      <protection locked="0"/>
    </xf>
    <xf numFmtId="0" fontId="2" fillId="3" borderId="1">
      <alignment horizontal="center"/>
    </xf>
    <xf numFmtId="0" fontId="5" fillId="3" borderId="1">
      <alignment horizontal="center"/>
    </xf>
    <xf numFmtId="0" fontId="5" fillId="3" borderId="1">
      <alignment horizontal="center"/>
    </xf>
    <xf numFmtId="0" fontId="5" fillId="3" borderId="1">
      <alignment horizontal="center"/>
    </xf>
    <xf numFmtId="0" fontId="35" fillId="32" borderId="18" applyNumberFormat="0" applyAlignment="0" applyProtection="0"/>
    <xf numFmtId="0" fontId="3" fillId="4" borderId="1">
      <alignment horizontal="center" vertical="center"/>
    </xf>
    <xf numFmtId="0" fontId="3" fillId="5" borderId="1">
      <alignment horizontal="center"/>
    </xf>
    <xf numFmtId="0" fontId="5" fillId="0" borderId="0"/>
    <xf numFmtId="0" fontId="5" fillId="0" borderId="0"/>
    <xf numFmtId="0" fontId="5" fillId="0" borderId="0"/>
    <xf numFmtId="0" fontId="5" fillId="0" borderId="0"/>
    <xf numFmtId="0" fontId="5" fillId="0" borderId="0"/>
    <xf numFmtId="10" fontId="23" fillId="0" borderId="0"/>
    <xf numFmtId="0" fontId="2" fillId="0" borderId="0"/>
    <xf numFmtId="0" fontId="3" fillId="6" borderId="1">
      <alignment horizontal="center"/>
    </xf>
    <xf numFmtId="0" fontId="37" fillId="30" borderId="20" applyNumberFormat="0" applyAlignment="0" applyProtection="0"/>
    <xf numFmtId="0" fontId="5" fillId="0" borderId="0"/>
    <xf numFmtId="0" fontId="5" fillId="0" borderId="0"/>
    <xf numFmtId="10" fontId="2" fillId="0" borderId="0" applyFont="0" applyFill="0" applyBorder="0" applyAlignment="0" applyProtection="0"/>
    <xf numFmtId="9" fontId="5" fillId="0" borderId="0" applyFont="0" applyFill="0" applyBorder="0" applyAlignment="0" applyProtection="0"/>
    <xf numFmtId="0" fontId="19" fillId="0" borderId="0">
      <alignment horizontal="center"/>
    </xf>
    <xf numFmtId="0" fontId="19" fillId="0" borderId="1"/>
    <xf numFmtId="0" fontId="3" fillId="0" borderId="0"/>
    <xf numFmtId="0" fontId="20"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3" fillId="0" borderId="1">
      <alignment horizontal="center" textRotation="60"/>
    </xf>
    <xf numFmtId="0" fontId="12" fillId="7" borderId="1">
      <alignment horizontal="center"/>
    </xf>
    <xf numFmtId="0" fontId="38" fillId="0" borderId="0" applyNumberFormat="0" applyFill="0" applyBorder="0" applyAlignment="0" applyProtection="0"/>
    <xf numFmtId="0" fontId="8" fillId="0" borderId="2"/>
    <xf numFmtId="0" fontId="39" fillId="0" borderId="0" applyNumberFormat="0" applyFill="0" applyBorder="0" applyAlignment="0" applyProtection="0"/>
    <xf numFmtId="49" fontId="2" fillId="0" borderId="1">
      <alignment horizontal="center"/>
    </xf>
    <xf numFmtId="0" fontId="5" fillId="0" borderId="1">
      <alignment horizontal="center"/>
    </xf>
    <xf numFmtId="0" fontId="5" fillId="0" borderId="1">
      <alignment horizontal="center"/>
    </xf>
    <xf numFmtId="0" fontId="5" fillId="0" borderId="1">
      <alignment horizontal="center"/>
    </xf>
    <xf numFmtId="0" fontId="5" fillId="0" borderId="1">
      <alignment horizontal="center"/>
    </xf>
    <xf numFmtId="0" fontId="5" fillId="0" borderId="1">
      <alignment horizontal="center"/>
    </xf>
    <xf numFmtId="0" fontId="26" fillId="0" borderId="1">
      <alignment horizontal="center"/>
    </xf>
    <xf numFmtId="0" fontId="62" fillId="30" borderId="20" applyNumberFormat="0" applyAlignment="0" applyProtection="0"/>
  </cellStyleXfs>
  <cellXfs count="433">
    <xf numFmtId="0" fontId="0" fillId="0" borderId="0" xfId="0"/>
    <xf numFmtId="0" fontId="0" fillId="0" borderId="0" xfId="0" applyAlignment="1">
      <alignment vertical="center"/>
    </xf>
    <xf numFmtId="0" fontId="0" fillId="0" borderId="0" xfId="0" applyAlignment="1" applyProtection="1">
      <alignment vertical="center"/>
    </xf>
    <xf numFmtId="0" fontId="6" fillId="0" borderId="0" xfId="0" applyFont="1" applyFill="1" applyAlignment="1" applyProtection="1">
      <alignment vertical="center" wrapText="1"/>
    </xf>
    <xf numFmtId="164" fontId="6" fillId="0" borderId="0" xfId="0" applyNumberFormat="1" applyFont="1" applyFill="1" applyBorder="1" applyAlignment="1" applyProtection="1">
      <alignment horizontal="center" vertical="center" wrapText="1"/>
    </xf>
    <xf numFmtId="20" fontId="6" fillId="0" borderId="0" xfId="0" applyNumberFormat="1" applyFont="1" applyFill="1" applyBorder="1" applyAlignment="1" applyProtection="1">
      <alignment vertical="center" wrapText="1"/>
    </xf>
    <xf numFmtId="0" fontId="6" fillId="0" borderId="0" xfId="0" applyFont="1" applyFill="1" applyBorder="1" applyAlignment="1" applyProtection="1">
      <alignment horizontal="left" vertical="center" wrapText="1"/>
    </xf>
    <xf numFmtId="0" fontId="2" fillId="0" borderId="0" xfId="0" applyFont="1" applyFill="1" applyAlignment="1" applyProtection="1">
      <alignment vertical="center"/>
    </xf>
    <xf numFmtId="0" fontId="0" fillId="0" borderId="0" xfId="0" applyBorder="1" applyAlignment="1" applyProtection="1">
      <alignment vertical="center"/>
    </xf>
    <xf numFmtId="0" fontId="2" fillId="0" borderId="0" xfId="0" applyFont="1" applyFill="1" applyBorder="1" applyAlignment="1" applyProtection="1">
      <alignment vertical="center"/>
    </xf>
    <xf numFmtId="0" fontId="40" fillId="0" borderId="0" xfId="0" applyFont="1" applyFill="1" applyBorder="1" applyAlignment="1" applyProtection="1">
      <alignment horizontal="right" vertical="center"/>
    </xf>
    <xf numFmtId="0" fontId="7" fillId="0" borderId="0" xfId="0" applyFont="1" applyBorder="1" applyAlignment="1" applyProtection="1">
      <alignment horizontal="left" vertical="center" wrapText="1"/>
    </xf>
    <xf numFmtId="0" fontId="5" fillId="0" borderId="0" xfId="0" applyFont="1" applyFill="1" applyBorder="1" applyAlignment="1" applyProtection="1">
      <alignment vertical="center" shrinkToFit="1"/>
    </xf>
    <xf numFmtId="0" fontId="5" fillId="0" borderId="0" xfId="0" applyFont="1" applyBorder="1" applyAlignment="1" applyProtection="1">
      <alignment vertical="center" shrinkToFit="1"/>
    </xf>
    <xf numFmtId="0" fontId="5" fillId="0" borderId="0" xfId="0" applyFont="1" applyFill="1" applyAlignment="1" applyProtection="1">
      <alignment vertical="center" shrinkToFit="1"/>
    </xf>
    <xf numFmtId="0" fontId="5" fillId="0" borderId="0" xfId="0" applyFont="1" applyAlignment="1" applyProtection="1">
      <alignment vertical="center" shrinkToFit="1"/>
    </xf>
    <xf numFmtId="0" fontId="2" fillId="0" borderId="0" xfId="0" applyFont="1" applyFill="1" applyAlignment="1" applyProtection="1">
      <alignment vertical="center"/>
      <protection locked="0"/>
    </xf>
    <xf numFmtId="0" fontId="0" fillId="0" borderId="0" xfId="0" applyAlignment="1" applyProtection="1">
      <alignment vertical="center"/>
      <protection locked="0"/>
    </xf>
    <xf numFmtId="0" fontId="5" fillId="0" borderId="0" xfId="0" applyFont="1" applyFill="1" applyAlignment="1" applyProtection="1">
      <alignment vertical="center"/>
      <protection locked="0"/>
    </xf>
    <xf numFmtId="0" fontId="5" fillId="0" borderId="0" xfId="0" applyFont="1" applyAlignment="1" applyProtection="1">
      <alignment vertical="center"/>
      <protection locked="0"/>
    </xf>
    <xf numFmtId="0" fontId="41" fillId="0" borderId="21" xfId="0" applyFont="1" applyBorder="1" applyAlignment="1" applyProtection="1">
      <alignment vertical="center"/>
      <protection locked="0"/>
    </xf>
    <xf numFmtId="0" fontId="0" fillId="0" borderId="21" xfId="0" applyBorder="1" applyAlignment="1" applyProtection="1">
      <alignment vertical="center"/>
      <protection locked="0"/>
    </xf>
    <xf numFmtId="0" fontId="13" fillId="0" borderId="0" xfId="0" applyFont="1" applyAlignment="1" applyProtection="1">
      <alignment horizontal="left" vertical="center"/>
      <protection locked="0"/>
    </xf>
    <xf numFmtId="0" fontId="8" fillId="0" borderId="0" xfId="0" applyFont="1" applyAlignment="1" applyProtection="1">
      <alignment horizontal="left" vertical="center"/>
      <protection locked="0"/>
    </xf>
    <xf numFmtId="0" fontId="5" fillId="0" borderId="0" xfId="0" applyFont="1" applyAlignment="1" applyProtection="1">
      <alignment horizontal="left" vertical="center"/>
      <protection locked="0"/>
    </xf>
    <xf numFmtId="0" fontId="10" fillId="0" borderId="0" xfId="0" applyFont="1" applyAlignment="1" applyProtection="1">
      <alignment vertical="center"/>
      <protection locked="0"/>
    </xf>
    <xf numFmtId="0" fontId="3" fillId="0" borderId="0" xfId="0" applyFont="1" applyAlignment="1" applyProtection="1">
      <alignment vertical="center"/>
      <protection locked="0"/>
    </xf>
    <xf numFmtId="49" fontId="17" fillId="0" borderId="0" xfId="0" applyNumberFormat="1" applyFont="1" applyFill="1" applyBorder="1" applyAlignment="1" applyProtection="1">
      <alignment horizontal="left" vertical="center"/>
      <protection locked="0"/>
    </xf>
    <xf numFmtId="49" fontId="5" fillId="0" borderId="0" xfId="0" applyNumberFormat="1" applyFont="1" applyFill="1" applyBorder="1" applyAlignment="1">
      <alignment horizontal="center" vertical="center" wrapText="1"/>
    </xf>
    <xf numFmtId="49" fontId="5" fillId="0" borderId="0" xfId="0" applyNumberFormat="1" applyFont="1" applyFill="1" applyBorder="1" applyAlignment="1" applyProtection="1">
      <alignment horizontal="left" vertical="center" wrapText="1"/>
      <protection locked="0"/>
    </xf>
    <xf numFmtId="49" fontId="5" fillId="0" borderId="0" xfId="0" applyNumberFormat="1" applyFont="1" applyFill="1" applyBorder="1" applyAlignment="1">
      <alignment horizontal="left" vertical="center" wrapText="1"/>
    </xf>
    <xf numFmtId="49" fontId="15"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6" fillId="0" borderId="0" xfId="0" applyFont="1" applyAlignment="1" applyProtection="1">
      <alignment horizontal="left" vertical="center"/>
      <protection locked="0"/>
    </xf>
    <xf numFmtId="0" fontId="0" fillId="0" borderId="0" xfId="0" applyBorder="1" applyAlignment="1">
      <alignment horizontal="left" vertical="center" wrapText="1"/>
    </xf>
    <xf numFmtId="0" fontId="41" fillId="0" borderId="3" xfId="0" applyFont="1" applyBorder="1" applyAlignment="1" applyProtection="1">
      <alignment vertical="center"/>
      <protection locked="0"/>
    </xf>
    <xf numFmtId="49" fontId="5" fillId="0" borderId="3" xfId="0" applyNumberFormat="1" applyFont="1" applyFill="1" applyBorder="1" applyAlignment="1" applyProtection="1">
      <alignment horizontal="left" vertical="center" wrapText="1"/>
      <protection locked="0"/>
    </xf>
    <xf numFmtId="0" fontId="0" fillId="0" borderId="3" xfId="0" applyBorder="1" applyAlignment="1">
      <alignment horizontal="left" vertical="center" wrapText="1"/>
    </xf>
    <xf numFmtId="0" fontId="41" fillId="0" borderId="0" xfId="0" applyFont="1" applyBorder="1" applyAlignment="1" applyProtection="1">
      <alignment vertical="center"/>
      <protection locked="0"/>
    </xf>
    <xf numFmtId="49" fontId="5"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5"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5" fillId="0" borderId="0" xfId="0" applyFont="1" applyFill="1" applyAlignment="1" applyProtection="1">
      <alignment vertical="center"/>
    </xf>
    <xf numFmtId="0" fontId="5" fillId="0" borderId="0" xfId="0" applyFont="1" applyAlignment="1" applyProtection="1">
      <alignment vertical="center"/>
    </xf>
    <xf numFmtId="0" fontId="12" fillId="0" borderId="0" xfId="0" applyFont="1" applyBorder="1" applyAlignment="1" applyProtection="1">
      <alignment horizontal="left" vertical="center" shrinkToFit="1"/>
    </xf>
    <xf numFmtId="0" fontId="3" fillId="0" borderId="0" xfId="0" applyFont="1" applyBorder="1" applyAlignment="1" applyProtection="1">
      <alignment horizontal="left" vertical="center" shrinkToFit="1"/>
    </xf>
    <xf numFmtId="0" fontId="5" fillId="0" borderId="0" xfId="0" applyFont="1" applyFill="1" applyAlignment="1" applyProtection="1">
      <alignment vertical="center" shrinkToFit="1"/>
      <protection locked="0"/>
    </xf>
    <xf numFmtId="0" fontId="5" fillId="0" borderId="0" xfId="0" applyFont="1" applyAlignment="1" applyProtection="1">
      <alignment vertical="center" shrinkToFit="1"/>
      <protection locked="0"/>
    </xf>
    <xf numFmtId="0" fontId="42" fillId="0" borderId="4" xfId="0" applyFont="1" applyFill="1" applyBorder="1" applyAlignment="1" applyProtection="1">
      <alignment horizontal="left" vertical="center" wrapText="1" shrinkToFit="1"/>
      <protection locked="0"/>
    </xf>
    <xf numFmtId="0" fontId="43" fillId="0" borderId="0" xfId="0" applyFont="1" applyFill="1" applyBorder="1" applyAlignment="1" applyProtection="1">
      <alignment horizontal="left" vertical="center" shrinkToFit="1"/>
      <protection locked="0"/>
    </xf>
    <xf numFmtId="0" fontId="42" fillId="0" borderId="0" xfId="0" applyFont="1" applyFill="1" applyBorder="1" applyAlignment="1" applyProtection="1">
      <alignment horizontal="left" vertical="center" wrapText="1" shrinkToFit="1"/>
      <protection locked="0"/>
    </xf>
    <xf numFmtId="0" fontId="43" fillId="0" borderId="5" xfId="0" applyFont="1" applyFill="1" applyBorder="1" applyAlignment="1" applyProtection="1">
      <alignment horizontal="left" vertical="center" shrinkToFit="1"/>
      <protection locked="0"/>
    </xf>
    <xf numFmtId="0" fontId="2"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1" fillId="0" borderId="0" xfId="0" applyFont="1" applyFill="1" applyAlignment="1" applyProtection="1">
      <alignment horizontal="center" vertical="center"/>
      <protection locked="0"/>
    </xf>
    <xf numFmtId="0" fontId="44" fillId="0" borderId="0" xfId="0" quotePrefix="1" applyFont="1" applyFill="1" applyBorder="1" applyAlignment="1" applyProtection="1">
      <alignment horizontal="right" vertical="center"/>
    </xf>
    <xf numFmtId="0" fontId="0" fillId="0" borderId="0" xfId="0" applyAlignment="1">
      <alignment horizontal="left" vertical="center"/>
    </xf>
    <xf numFmtId="0" fontId="18" fillId="0" borderId="0" xfId="0" applyFont="1" applyBorder="1" applyAlignment="1">
      <alignment horizontal="center" vertical="center" wrapText="1"/>
    </xf>
    <xf numFmtId="0" fontId="0" fillId="0" borderId="0" xfId="0" applyAlignment="1">
      <alignment horizontal="left" vertical="top"/>
    </xf>
    <xf numFmtId="0" fontId="9" fillId="8" borderId="1" xfId="75" applyFont="1" applyFill="1">
      <alignment horizontal="center" textRotation="60"/>
    </xf>
    <xf numFmtId="49" fontId="22" fillId="5"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49" fontId="22" fillId="10" borderId="0" xfId="0" applyNumberFormat="1" applyFont="1" applyFill="1" applyBorder="1" applyAlignment="1">
      <alignment horizontal="center" vertical="center" wrapText="1"/>
    </xf>
    <xf numFmtId="49" fontId="22" fillId="5" borderId="0" xfId="0" applyNumberFormat="1" applyFont="1" applyFill="1" applyBorder="1" applyAlignment="1">
      <alignment horizontal="center" vertical="center" wrapText="1"/>
    </xf>
    <xf numFmtId="0" fontId="22" fillId="2" borderId="0" xfId="14" applyFont="1" applyBorder="1" applyAlignment="1">
      <alignment horizontal="center" vertical="center" wrapText="1"/>
    </xf>
    <xf numFmtId="0" fontId="22" fillId="4" borderId="0" xfId="32" applyFont="1" applyBorder="1" applyAlignment="1">
      <alignment horizontal="center" vertical="center" wrapText="1"/>
    </xf>
    <xf numFmtId="0" fontId="0" fillId="0" borderId="0" xfId="0" applyFill="1"/>
    <xf numFmtId="0" fontId="0" fillId="33" borderId="0" xfId="0" applyFill="1" applyAlignment="1">
      <alignment vertical="center"/>
    </xf>
    <xf numFmtId="0" fontId="19" fillId="33" borderId="0" xfId="0" applyFont="1" applyFill="1" applyAlignment="1">
      <alignment vertical="center" textRotation="60"/>
    </xf>
    <xf numFmtId="0" fontId="45" fillId="0" borderId="0" xfId="38" applyFont="1" applyBorder="1" applyAlignment="1">
      <alignment vertical="center" wrapText="1"/>
    </xf>
    <xf numFmtId="10" fontId="23" fillId="0" borderId="0" xfId="39"/>
    <xf numFmtId="10" fontId="19" fillId="0" borderId="0" xfId="39" applyFont="1" applyAlignment="1">
      <alignment textRotation="60"/>
    </xf>
    <xf numFmtId="10" fontId="23" fillId="0" borderId="0" xfId="39" applyAlignment="1">
      <alignment horizontal="center"/>
    </xf>
    <xf numFmtId="0" fontId="23" fillId="0" borderId="0" xfId="39" applyNumberFormat="1" applyAlignment="1">
      <alignment horizontal="center"/>
    </xf>
    <xf numFmtId="0" fontId="23" fillId="0" borderId="0" xfId="39" applyNumberFormat="1"/>
    <xf numFmtId="0" fontId="46" fillId="11" borderId="1" xfId="25" applyFont="1" applyFill="1" applyBorder="1" applyAlignment="1">
      <alignment horizontal="left" vertical="center"/>
    </xf>
    <xf numFmtId="10" fontId="47" fillId="34" borderId="0" xfId="39" applyFont="1" applyFill="1" applyAlignment="1">
      <alignment horizontal="left"/>
    </xf>
    <xf numFmtId="0" fontId="48" fillId="0" borderId="0" xfId="79" applyFont="1" applyBorder="1" applyAlignment="1">
      <alignment vertical="center" wrapText="1"/>
    </xf>
    <xf numFmtId="0" fontId="12" fillId="0" borderId="0" xfId="0" applyFont="1" applyAlignment="1" applyProtection="1">
      <alignment vertical="center"/>
      <protection locked="0"/>
    </xf>
    <xf numFmtId="0" fontId="11" fillId="0" borderId="0" xfId="0" applyFont="1" applyFill="1" applyAlignment="1" applyProtection="1">
      <alignment vertical="center" wrapText="1"/>
      <protection locked="0"/>
    </xf>
    <xf numFmtId="0" fontId="12" fillId="0" borderId="0" xfId="0" applyFont="1" applyAlignment="1">
      <alignment vertical="center" wrapText="1"/>
    </xf>
    <xf numFmtId="0" fontId="11" fillId="0" borderId="0" xfId="0" applyFont="1" applyAlignment="1">
      <alignment vertical="center" wrapText="1"/>
    </xf>
    <xf numFmtId="0" fontId="11" fillId="0" borderId="0" xfId="0" applyFont="1" applyBorder="1" applyAlignment="1">
      <alignment vertical="center"/>
    </xf>
    <xf numFmtId="0" fontId="11" fillId="0" borderId="0" xfId="0" applyFont="1" applyBorder="1" applyAlignment="1">
      <alignment vertical="center" wrapText="1"/>
    </xf>
    <xf numFmtId="0" fontId="12" fillId="0" borderId="0" xfId="0" applyFont="1" applyFill="1" applyAlignment="1" applyProtection="1">
      <alignment vertical="center"/>
      <protection locked="0"/>
    </xf>
    <xf numFmtId="0" fontId="38" fillId="7" borderId="6" xfId="77" applyFill="1" applyBorder="1" applyAlignment="1">
      <alignment vertical="center"/>
    </xf>
    <xf numFmtId="0" fontId="37" fillId="30" borderId="1" xfId="42" applyBorder="1" applyAlignment="1">
      <alignment horizontal="center" vertical="center" wrapText="1"/>
    </xf>
    <xf numFmtId="10" fontId="19" fillId="7" borderId="7" xfId="39" applyFont="1" applyFill="1" applyBorder="1" applyAlignment="1">
      <alignment horizontal="center" vertical="center"/>
    </xf>
    <xf numFmtId="10" fontId="19" fillId="7" borderId="7" xfId="39" applyFont="1" applyFill="1" applyBorder="1" applyAlignment="1">
      <alignment horizontal="center" vertical="center" wrapText="1"/>
    </xf>
    <xf numFmtId="10" fontId="24" fillId="7" borderId="7" xfId="39" applyFont="1" applyFill="1" applyBorder="1" applyAlignment="1">
      <alignment horizontal="center" vertical="center" wrapText="1"/>
    </xf>
    <xf numFmtId="0" fontId="3" fillId="33" borderId="0" xfId="0" applyFont="1" applyFill="1" applyAlignment="1">
      <alignment horizontal="center" vertical="center"/>
    </xf>
    <xf numFmtId="1" fontId="3" fillId="11" borderId="8" xfId="0" applyNumberFormat="1" applyFont="1" applyFill="1" applyBorder="1" applyAlignment="1">
      <alignment horizontal="center" vertical="center"/>
    </xf>
    <xf numFmtId="0" fontId="3" fillId="11" borderId="8" xfId="0" applyNumberFormat="1" applyFont="1" applyFill="1" applyBorder="1" applyAlignment="1">
      <alignment horizontal="center" vertical="center"/>
    </xf>
    <xf numFmtId="0" fontId="3" fillId="12" borderId="8" xfId="0" applyFont="1" applyFill="1" applyBorder="1" applyAlignment="1">
      <alignment horizontal="center" vertical="center"/>
    </xf>
    <xf numFmtId="1" fontId="19" fillId="7" borderId="1" xfId="0" applyNumberFormat="1" applyFont="1" applyFill="1" applyBorder="1" applyAlignment="1">
      <alignment horizontal="center"/>
    </xf>
    <xf numFmtId="0" fontId="38" fillId="7" borderId="9" xfId="77" applyFill="1" applyBorder="1" applyAlignment="1">
      <alignment horizontal="center" vertical="center"/>
    </xf>
    <xf numFmtId="0" fontId="45" fillId="0" borderId="0" xfId="38" applyFont="1" applyBorder="1" applyAlignment="1">
      <alignment horizontal="center" vertical="center" wrapText="1"/>
    </xf>
    <xf numFmtId="10" fontId="23" fillId="0" borderId="0" xfId="39" applyAlignment="1">
      <alignment horizontal="center" vertical="center"/>
    </xf>
    <xf numFmtId="0" fontId="31" fillId="30" borderId="1" xfId="15" applyNumberFormat="1" applyFont="1" applyBorder="1" applyAlignment="1">
      <alignment horizontal="center" vertical="center"/>
    </xf>
    <xf numFmtId="0" fontId="23" fillId="0" borderId="0" xfId="39" applyNumberFormat="1" applyAlignment="1">
      <alignment horizontal="center" vertical="center"/>
    </xf>
    <xf numFmtId="0" fontId="23" fillId="11" borderId="1" xfId="39" applyNumberFormat="1" applyFill="1" applyBorder="1" applyAlignment="1">
      <alignment horizontal="center" vertical="center"/>
    </xf>
    <xf numFmtId="0" fontId="23" fillId="34" borderId="0" xfId="39" applyNumberFormat="1" applyFill="1" applyAlignment="1">
      <alignment horizontal="center" vertical="center"/>
    </xf>
    <xf numFmtId="10" fontId="23" fillId="34" borderId="0" xfId="39" applyNumberFormat="1" applyFill="1" applyAlignment="1">
      <alignment horizontal="center" vertical="center"/>
    </xf>
    <xf numFmtId="10" fontId="23" fillId="0" borderId="0" xfId="39" applyNumberFormat="1" applyAlignment="1">
      <alignment horizontal="center" vertical="center"/>
    </xf>
    <xf numFmtId="0" fontId="36" fillId="30" borderId="1" xfId="15" applyNumberFormat="1" applyFont="1" applyBorder="1" applyAlignment="1">
      <alignment horizontal="center" vertical="center"/>
    </xf>
    <xf numFmtId="0" fontId="36" fillId="30" borderId="6" xfId="15" applyNumberFormat="1" applyFont="1" applyBorder="1" applyAlignment="1">
      <alignment horizontal="center" vertical="center"/>
    </xf>
    <xf numFmtId="0" fontId="0" fillId="33" borderId="0" xfId="0" applyNumberFormat="1" applyFill="1" applyAlignment="1">
      <alignment vertical="center"/>
    </xf>
    <xf numFmtId="0" fontId="31" fillId="30" borderId="1" xfId="15" applyNumberFormat="1" applyBorder="1" applyAlignment="1">
      <alignment horizontal="center" vertical="center"/>
    </xf>
    <xf numFmtId="0" fontId="49" fillId="30" borderId="1" xfId="15" applyNumberFormat="1" applyFont="1" applyBorder="1" applyAlignment="1">
      <alignment horizontal="center" vertical="center"/>
    </xf>
    <xf numFmtId="0" fontId="29" fillId="23" borderId="1" xfId="7" applyNumberFormat="1" applyBorder="1" applyAlignment="1">
      <alignment horizontal="center" vertical="center" wrapText="1"/>
    </xf>
    <xf numFmtId="1" fontId="31" fillId="30" borderId="1" xfId="15" applyNumberFormat="1" applyBorder="1" applyAlignment="1">
      <alignment horizontal="center" vertical="center"/>
    </xf>
    <xf numFmtId="2" fontId="3" fillId="33" borderId="0" xfId="0" applyNumberFormat="1" applyFont="1" applyFill="1" applyAlignment="1">
      <alignment horizontal="center" vertical="center"/>
    </xf>
    <xf numFmtId="10" fontId="24" fillId="7" borderId="1" xfId="39" applyFont="1" applyFill="1" applyBorder="1" applyAlignment="1">
      <alignment horizontal="center" vertical="center" wrapText="1"/>
    </xf>
    <xf numFmtId="10" fontId="23" fillId="11" borderId="10" xfId="45" applyFont="1" applyFill="1" applyBorder="1" applyAlignment="1">
      <alignment horizontal="center" vertical="center"/>
    </xf>
    <xf numFmtId="10" fontId="23" fillId="11" borderId="1" xfId="45" applyFont="1" applyFill="1" applyBorder="1" applyAlignment="1">
      <alignment horizontal="center" vertical="center"/>
    </xf>
    <xf numFmtId="10" fontId="36" fillId="30" borderId="1" xfId="45" applyFont="1" applyFill="1" applyBorder="1" applyAlignment="1">
      <alignment horizontal="center" vertical="center"/>
    </xf>
    <xf numFmtId="0" fontId="0" fillId="0" borderId="0" xfId="0" applyNumberFormat="1" applyFill="1" applyAlignment="1">
      <alignment vertical="center"/>
    </xf>
    <xf numFmtId="0" fontId="0" fillId="36" borderId="0" xfId="0" applyNumberFormat="1" applyFill="1" applyBorder="1" applyAlignment="1">
      <alignment horizontal="center" vertical="center"/>
    </xf>
    <xf numFmtId="0" fontId="0" fillId="36" borderId="0" xfId="0" applyNumberFormat="1" applyFill="1" applyBorder="1" applyAlignment="1">
      <alignment vertical="center"/>
    </xf>
    <xf numFmtId="0" fontId="38" fillId="35" borderId="24" xfId="77" applyFill="1" applyBorder="1" applyAlignment="1">
      <alignment vertical="center"/>
    </xf>
    <xf numFmtId="0" fontId="38" fillId="35" borderId="25" xfId="77" applyFill="1" applyBorder="1" applyAlignment="1">
      <alignment vertical="center"/>
    </xf>
    <xf numFmtId="0" fontId="24" fillId="35" borderId="22" xfId="0" applyNumberFormat="1" applyFont="1" applyFill="1" applyBorder="1" applyAlignment="1">
      <alignment horizontal="center" vertical="center" wrapText="1"/>
    </xf>
    <xf numFmtId="0" fontId="0" fillId="35" borderId="0" xfId="0" applyNumberFormat="1" applyFill="1" applyBorder="1" applyAlignment="1">
      <alignment horizontal="center" vertical="center"/>
    </xf>
    <xf numFmtId="0" fontId="38" fillId="35" borderId="0" xfId="77" applyFill="1" applyBorder="1" applyAlignment="1">
      <alignment vertical="center"/>
    </xf>
    <xf numFmtId="0" fontId="38" fillId="35" borderId="22" xfId="77" applyFill="1" applyBorder="1" applyAlignment="1">
      <alignment vertical="center"/>
    </xf>
    <xf numFmtId="0" fontId="24" fillId="35" borderId="22" xfId="0" applyNumberFormat="1" applyFont="1" applyFill="1" applyBorder="1" applyAlignment="1">
      <alignment horizontal="center" vertical="center"/>
    </xf>
    <xf numFmtId="0" fontId="0" fillId="33" borderId="22" xfId="0" applyFill="1" applyBorder="1" applyAlignment="1">
      <alignment horizontal="center" vertical="center"/>
    </xf>
    <xf numFmtId="1" fontId="0" fillId="33" borderId="0" xfId="0" applyNumberFormat="1" applyFill="1" applyBorder="1" applyAlignment="1">
      <alignment horizontal="center" vertical="center"/>
    </xf>
    <xf numFmtId="0" fontId="0" fillId="33" borderId="0" xfId="0" applyNumberFormat="1" applyFill="1" applyBorder="1" applyAlignment="1">
      <alignment horizontal="center" vertical="center"/>
    </xf>
    <xf numFmtId="10" fontId="0" fillId="33" borderId="0" xfId="0" applyNumberFormat="1" applyFill="1" applyBorder="1" applyAlignment="1">
      <alignment horizontal="center" vertical="center"/>
    </xf>
    <xf numFmtId="0" fontId="0" fillId="33" borderId="0" xfId="0" applyNumberFormat="1" applyFill="1" applyBorder="1" applyAlignment="1">
      <alignment horizontal="right" vertical="center"/>
    </xf>
    <xf numFmtId="0" fontId="0" fillId="33" borderId="0" xfId="0" applyFill="1" applyBorder="1" applyAlignment="1">
      <alignment vertical="center"/>
    </xf>
    <xf numFmtId="0" fontId="0" fillId="33" borderId="0" xfId="0" applyFill="1" applyBorder="1" applyAlignment="1">
      <alignment horizontal="right" vertical="center"/>
    </xf>
    <xf numFmtId="0" fontId="0" fillId="33" borderId="27" xfId="0" applyFill="1" applyBorder="1" applyAlignment="1">
      <alignment vertical="center"/>
    </xf>
    <xf numFmtId="0" fontId="0" fillId="36" borderId="23" xfId="0" applyNumberFormat="1" applyFill="1" applyBorder="1" applyAlignment="1">
      <alignment vertical="center"/>
    </xf>
    <xf numFmtId="0" fontId="29" fillId="20" borderId="0" xfId="4" applyNumberFormat="1" applyBorder="1" applyAlignment="1">
      <alignment horizontal="left" vertical="center"/>
    </xf>
    <xf numFmtId="0" fontId="24" fillId="33" borderId="0" xfId="0" applyFont="1" applyFill="1" applyAlignment="1">
      <alignment vertical="center"/>
    </xf>
    <xf numFmtId="0" fontId="29" fillId="21" borderId="29" xfId="5" applyNumberFormat="1" applyBorder="1" applyAlignment="1">
      <alignment horizontal="right" vertical="center"/>
    </xf>
    <xf numFmtId="0" fontId="29" fillId="21" borderId="0" xfId="5" applyBorder="1" applyAlignment="1">
      <alignment horizontal="center" vertical="center"/>
    </xf>
    <xf numFmtId="0" fontId="24" fillId="35" borderId="0" xfId="0" applyNumberFormat="1" applyFont="1" applyFill="1" applyBorder="1" applyAlignment="1">
      <alignment horizontal="center" vertical="center"/>
    </xf>
    <xf numFmtId="1" fontId="29" fillId="21" borderId="0" xfId="5" applyNumberFormat="1" applyBorder="1" applyAlignment="1">
      <alignment horizontal="center" vertical="center"/>
    </xf>
    <xf numFmtId="0" fontId="29" fillId="21" borderId="0" xfId="5" applyNumberFormat="1" applyBorder="1" applyAlignment="1">
      <alignment horizontal="center" vertical="center"/>
    </xf>
    <xf numFmtId="10" fontId="29" fillId="21" borderId="0" xfId="5" applyNumberFormat="1" applyBorder="1" applyAlignment="1">
      <alignment horizontal="center" vertical="center"/>
    </xf>
    <xf numFmtId="0" fontId="29" fillId="21" borderId="0" xfId="5" applyNumberFormat="1" applyBorder="1" applyAlignment="1">
      <alignment horizontal="right" vertical="center"/>
    </xf>
    <xf numFmtId="0" fontId="29" fillId="21" borderId="0" xfId="5" applyBorder="1" applyAlignment="1">
      <alignment vertical="center"/>
    </xf>
    <xf numFmtId="0" fontId="29" fillId="21" borderId="0" xfId="5" applyBorder="1" applyAlignment="1">
      <alignment horizontal="right" vertical="center"/>
    </xf>
    <xf numFmtId="0" fontId="0" fillId="33" borderId="23" xfId="0" applyFill="1" applyBorder="1" applyAlignment="1">
      <alignment vertical="center"/>
    </xf>
    <xf numFmtId="0" fontId="38" fillId="20" borderId="22" xfId="77" applyNumberFormat="1" applyFill="1" applyBorder="1" applyAlignment="1">
      <alignment horizontal="left" vertical="center"/>
    </xf>
    <xf numFmtId="0" fontId="0" fillId="33" borderId="25" xfId="0" applyFill="1" applyBorder="1" applyAlignment="1">
      <alignment vertical="center"/>
    </xf>
    <xf numFmtId="0" fontId="3" fillId="13" borderId="10" xfId="0" applyFont="1" applyFill="1" applyBorder="1" applyAlignment="1">
      <alignment horizontal="center" vertical="center"/>
    </xf>
    <xf numFmtId="0" fontId="21" fillId="11" borderId="30" xfId="25" applyFont="1" applyFill="1" applyBorder="1" applyAlignment="1">
      <alignment horizontal="left" vertical="center"/>
    </xf>
    <xf numFmtId="1" fontId="2" fillId="11" borderId="7" xfId="0" applyNumberFormat="1" applyFont="1" applyFill="1" applyBorder="1" applyAlignment="1">
      <alignment horizontal="center" vertical="center"/>
    </xf>
    <xf numFmtId="0" fontId="2" fillId="11" borderId="7" xfId="0" applyNumberFormat="1" applyFont="1" applyFill="1" applyBorder="1" applyAlignment="1">
      <alignment horizontal="center" vertical="center"/>
    </xf>
    <xf numFmtId="10" fontId="2" fillId="11" borderId="7" xfId="0" applyNumberFormat="1" applyFont="1" applyFill="1" applyBorder="1" applyAlignment="1">
      <alignment horizontal="center" vertical="center"/>
    </xf>
    <xf numFmtId="0" fontId="2" fillId="12" borderId="7" xfId="0" applyFont="1" applyFill="1" applyBorder="1" applyAlignment="1">
      <alignment horizontal="center" vertical="center"/>
    </xf>
    <xf numFmtId="0" fontId="2" fillId="13" borderId="11" xfId="0" applyFont="1" applyFill="1" applyBorder="1" applyAlignment="1">
      <alignment horizontal="center" vertical="center"/>
    </xf>
    <xf numFmtId="2" fontId="52" fillId="29" borderId="1" xfId="13" applyNumberFormat="1" applyFont="1" applyBorder="1" applyAlignment="1">
      <alignment horizontal="center" vertical="center" wrapText="1"/>
    </xf>
    <xf numFmtId="0" fontId="53" fillId="21" borderId="22" xfId="5" applyFont="1" applyBorder="1" applyAlignment="1">
      <alignment horizontal="center" vertical="center"/>
    </xf>
    <xf numFmtId="0" fontId="53" fillId="21" borderId="0" xfId="5" applyFont="1" applyBorder="1" applyAlignment="1">
      <alignment horizontal="center" vertical="center"/>
    </xf>
    <xf numFmtId="0" fontId="53" fillId="29" borderId="26" xfId="13" applyFont="1" applyBorder="1" applyAlignment="1">
      <alignment horizontal="center" vertical="center" wrapText="1"/>
    </xf>
    <xf numFmtId="0" fontId="53" fillId="29" borderId="1" xfId="13" applyFont="1" applyBorder="1" applyAlignment="1">
      <alignment horizontal="center" vertical="center" wrapText="1"/>
    </xf>
    <xf numFmtId="0" fontId="53" fillId="29" borderId="31" xfId="13" applyFont="1" applyBorder="1" applyAlignment="1">
      <alignment horizontal="center" vertical="center" wrapText="1"/>
    </xf>
    <xf numFmtId="2" fontId="53" fillId="29" borderId="1" xfId="13" applyNumberFormat="1" applyFont="1" applyBorder="1" applyAlignment="1">
      <alignment horizontal="center" vertical="center" wrapText="1"/>
    </xf>
    <xf numFmtId="0" fontId="2" fillId="0" borderId="0" xfId="40"/>
    <xf numFmtId="0" fontId="2" fillId="13" borderId="7" xfId="0" applyFont="1" applyFill="1" applyBorder="1" applyAlignment="1">
      <alignment horizontal="center" vertical="center"/>
    </xf>
    <xf numFmtId="0" fontId="38" fillId="21" borderId="22" xfId="77" applyFill="1" applyBorder="1" applyAlignment="1">
      <alignment horizontal="left" vertical="center"/>
    </xf>
    <xf numFmtId="0" fontId="54" fillId="33" borderId="0" xfId="79" quotePrefix="1" applyFont="1" applyFill="1" applyAlignment="1">
      <alignment vertical="center"/>
    </xf>
    <xf numFmtId="10" fontId="29" fillId="17" borderId="0" xfId="1" applyNumberFormat="1" applyAlignment="1">
      <alignment horizontal="center" vertical="center"/>
    </xf>
    <xf numFmtId="0" fontId="29" fillId="17" borderId="0" xfId="1" applyNumberFormat="1" applyBorder="1" applyAlignment="1">
      <alignment horizontal="right" vertical="center"/>
    </xf>
    <xf numFmtId="0" fontId="29" fillId="17" borderId="0" xfId="1" applyBorder="1" applyAlignment="1">
      <alignment vertical="center"/>
    </xf>
    <xf numFmtId="0" fontId="29" fillId="18" borderId="0" xfId="2" applyNumberFormat="1" applyBorder="1" applyAlignment="1">
      <alignment horizontal="left" vertical="center"/>
    </xf>
    <xf numFmtId="0" fontId="29" fillId="18" borderId="0" xfId="2" applyNumberFormat="1" applyBorder="1" applyAlignment="1">
      <alignment vertical="center"/>
    </xf>
    <xf numFmtId="0" fontId="29" fillId="20" borderId="3" xfId="4" applyNumberFormat="1" applyBorder="1" applyAlignment="1">
      <alignment horizontal="left" vertical="center"/>
    </xf>
    <xf numFmtId="0" fontId="3" fillId="0" borderId="0" xfId="40" applyFont="1"/>
    <xf numFmtId="0" fontId="55" fillId="8" borderId="0" xfId="40" applyFont="1" applyFill="1"/>
    <xf numFmtId="0" fontId="34" fillId="11" borderId="30" xfId="25" applyFill="1" applyBorder="1" applyAlignment="1">
      <alignment horizontal="left" vertical="center"/>
    </xf>
    <xf numFmtId="0" fontId="50" fillId="37" borderId="1" xfId="15" applyNumberFormat="1" applyFont="1" applyFill="1" applyBorder="1" applyAlignment="1">
      <alignment horizontal="center" vertical="center"/>
    </xf>
    <xf numFmtId="49" fontId="2" fillId="0" borderId="0" xfId="40" applyNumberFormat="1"/>
    <xf numFmtId="0" fontId="2" fillId="0" borderId="0" xfId="0"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0" fontId="5" fillId="0" borderId="0" xfId="0" applyFont="1" applyBorder="1" applyAlignment="1" applyProtection="1">
      <alignment vertical="center"/>
      <protection locked="0"/>
    </xf>
    <xf numFmtId="0" fontId="4" fillId="0" borderId="0" xfId="0" applyFont="1" applyFill="1" applyAlignment="1">
      <alignment vertical="center" wrapText="1"/>
    </xf>
    <xf numFmtId="49" fontId="4" fillId="9" borderId="0" xfId="0" applyNumberFormat="1" applyFont="1" applyFill="1" applyAlignment="1">
      <alignment horizontal="center" vertical="center" wrapText="1"/>
    </xf>
    <xf numFmtId="49" fontId="4" fillId="0" borderId="0" xfId="0" applyNumberFormat="1" applyFont="1" applyFill="1" applyAlignment="1">
      <alignment horizontal="center" vertical="center" wrapText="1"/>
    </xf>
    <xf numFmtId="49" fontId="4" fillId="0" borderId="0" xfId="0" applyNumberFormat="1" applyFont="1" applyAlignment="1">
      <alignment horizontal="center" vertical="center" wrapText="1"/>
    </xf>
    <xf numFmtId="0" fontId="53" fillId="24" borderId="1" xfId="8" applyFont="1" applyBorder="1" applyAlignment="1">
      <alignment horizontal="center" vertical="center" wrapText="1"/>
    </xf>
    <xf numFmtId="0" fontId="2" fillId="0" borderId="0" xfId="40" applyAlignment="1">
      <alignment horizontal="centerContinuous"/>
    </xf>
    <xf numFmtId="0" fontId="2" fillId="0" borderId="0" xfId="0" applyFont="1" applyBorder="1" applyAlignment="1">
      <alignment horizontal="left" vertical="center" wrapText="1"/>
    </xf>
    <xf numFmtId="0" fontId="5" fillId="0" borderId="0" xfId="0" applyFont="1" applyAlignment="1">
      <alignment horizontal="left" vertical="top" wrapText="1"/>
    </xf>
    <xf numFmtId="0" fontId="22" fillId="0" borderId="0" xfId="14" applyFont="1" applyFill="1" applyBorder="1" applyAlignment="1">
      <alignment horizontal="center" vertical="center" wrapText="1"/>
    </xf>
    <xf numFmtId="0" fontId="9" fillId="0" borderId="1" xfId="75" applyFont="1" applyFill="1">
      <alignment horizontal="center" textRotation="60"/>
    </xf>
    <xf numFmtId="10" fontId="3" fillId="11" borderId="1" xfId="0" applyNumberFormat="1" applyFont="1" applyFill="1" applyBorder="1" applyAlignment="1">
      <alignment horizontal="center" vertical="center"/>
    </xf>
    <xf numFmtId="10" fontId="3" fillId="12" borderId="1" xfId="0" applyNumberFormat="1" applyFont="1" applyFill="1" applyBorder="1" applyAlignment="1">
      <alignment horizontal="center" vertical="center"/>
    </xf>
    <xf numFmtId="10" fontId="3" fillId="13" borderId="1" xfId="0" applyNumberFormat="1" applyFont="1" applyFill="1" applyBorder="1" applyAlignment="1">
      <alignment horizontal="center" vertical="center"/>
    </xf>
    <xf numFmtId="0" fontId="28" fillId="25" borderId="6" xfId="9" applyNumberFormat="1" applyFont="1" applyBorder="1" applyAlignment="1" applyProtection="1">
      <alignment horizontal="center" vertical="center" wrapText="1"/>
      <protection locked="0"/>
    </xf>
    <xf numFmtId="0" fontId="24" fillId="35" borderId="0" xfId="0" applyFont="1" applyFill="1" applyAlignment="1">
      <alignment vertical="center"/>
    </xf>
    <xf numFmtId="0" fontId="0" fillId="35" borderId="0" xfId="0" applyFill="1" applyAlignment="1">
      <alignment vertical="center"/>
    </xf>
    <xf numFmtId="0" fontId="3" fillId="35" borderId="0" xfId="0" applyFont="1" applyFill="1" applyAlignment="1">
      <alignment horizontal="center" vertical="center"/>
    </xf>
    <xf numFmtId="2" fontId="3" fillId="35" borderId="0" xfId="0" applyNumberFormat="1" applyFont="1" applyFill="1" applyAlignment="1">
      <alignment horizontal="center" vertical="center"/>
    </xf>
    <xf numFmtId="0" fontId="0" fillId="35" borderId="0" xfId="0" applyFill="1" applyBorder="1" applyAlignment="1">
      <alignment vertical="center"/>
    </xf>
    <xf numFmtId="0" fontId="3" fillId="35" borderId="23" xfId="0" applyFont="1" applyFill="1" applyBorder="1" applyAlignment="1">
      <alignment horizontal="center" vertical="center"/>
    </xf>
    <xf numFmtId="0" fontId="38" fillId="43" borderId="25" xfId="77" applyNumberFormat="1" applyFill="1" applyBorder="1" applyAlignment="1">
      <alignment horizontal="left" vertical="center"/>
    </xf>
    <xf numFmtId="0" fontId="0" fillId="43" borderId="0" xfId="0" applyNumberFormat="1" applyFill="1" applyBorder="1" applyAlignment="1">
      <alignment horizontal="center" vertical="center"/>
    </xf>
    <xf numFmtId="0" fontId="29" fillId="43" borderId="0" xfId="3" applyNumberFormat="1" applyFill="1" applyBorder="1" applyAlignment="1">
      <alignment horizontal="center" vertical="center"/>
    </xf>
    <xf numFmtId="0" fontId="29" fillId="43" borderId="0" xfId="3" applyNumberFormat="1" applyFill="1" applyBorder="1" applyAlignment="1">
      <alignment horizontal="left" vertical="center"/>
    </xf>
    <xf numFmtId="0" fontId="38" fillId="43" borderId="22" xfId="77" applyNumberFormat="1" applyFill="1" applyBorder="1" applyAlignment="1">
      <alignment horizontal="left" vertical="center"/>
    </xf>
    <xf numFmtId="0" fontId="51" fillId="43" borderId="22" xfId="77" applyNumberFormat="1" applyFont="1" applyFill="1" applyBorder="1" applyAlignment="1">
      <alignment horizontal="left" vertical="center"/>
    </xf>
    <xf numFmtId="0" fontId="0" fillId="43" borderId="22" xfId="0" applyNumberFormat="1" applyFill="1" applyBorder="1" applyAlignment="1">
      <alignment vertical="center"/>
    </xf>
    <xf numFmtId="0" fontId="0" fillId="43" borderId="0" xfId="0" applyNumberFormat="1" applyFill="1" applyBorder="1" applyAlignment="1">
      <alignment vertical="center"/>
    </xf>
    <xf numFmtId="0" fontId="0" fillId="43" borderId="28" xfId="0" applyNumberFormat="1" applyFill="1" applyBorder="1" applyAlignment="1">
      <alignment vertical="center"/>
    </xf>
    <xf numFmtId="0" fontId="0" fillId="43" borderId="23" xfId="0" applyNumberFormat="1" applyFill="1" applyBorder="1" applyAlignment="1">
      <alignment vertical="center"/>
    </xf>
    <xf numFmtId="0" fontId="31" fillId="0" borderId="1" xfId="15" applyNumberFormat="1" applyFill="1" applyBorder="1" applyAlignment="1">
      <alignment horizontal="center" vertical="center"/>
    </xf>
    <xf numFmtId="1" fontId="31" fillId="0" borderId="1" xfId="15" applyNumberFormat="1" applyFill="1" applyBorder="1" applyAlignment="1">
      <alignment horizontal="center" vertical="center"/>
    </xf>
    <xf numFmtId="0" fontId="29" fillId="44" borderId="0" xfId="2" applyNumberFormat="1" applyFill="1" applyBorder="1" applyAlignment="1">
      <alignment horizontal="left" vertical="center"/>
    </xf>
    <xf numFmtId="0" fontId="29" fillId="44" borderId="0" xfId="2" applyNumberFormat="1" applyFill="1" applyBorder="1" applyAlignment="1">
      <alignment vertical="center"/>
    </xf>
    <xf numFmtId="0" fontId="29" fillId="44" borderId="23" xfId="2" applyNumberFormat="1" applyFill="1" applyBorder="1" applyAlignment="1">
      <alignment vertical="center"/>
    </xf>
    <xf numFmtId="0" fontId="29" fillId="44" borderId="22" xfId="2" applyNumberFormat="1" applyFill="1" applyBorder="1" applyAlignment="1">
      <alignment vertical="center"/>
    </xf>
    <xf numFmtId="0" fontId="29" fillId="44" borderId="28" xfId="2" applyNumberFormat="1" applyFill="1" applyBorder="1" applyAlignment="1">
      <alignment vertical="center"/>
    </xf>
    <xf numFmtId="0" fontId="24" fillId="0" borderId="0" xfId="0" applyFont="1" applyFill="1" applyAlignment="1">
      <alignment vertical="center"/>
    </xf>
    <xf numFmtId="0" fontId="0" fillId="0" borderId="0" xfId="0" applyFill="1" applyAlignment="1">
      <alignment vertical="center"/>
    </xf>
    <xf numFmtId="0" fontId="0" fillId="0" borderId="0" xfId="0" applyFill="1" applyBorder="1" applyAlignment="1">
      <alignment vertical="center"/>
    </xf>
    <xf numFmtId="0" fontId="3" fillId="0" borderId="23"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NumberFormat="1" applyFill="1" applyBorder="1" applyAlignment="1">
      <alignment vertical="center"/>
    </xf>
    <xf numFmtId="0" fontId="0" fillId="0" borderId="23" xfId="0" applyNumberFormat="1" applyFill="1" applyBorder="1" applyAlignment="1">
      <alignment vertical="center"/>
    </xf>
    <xf numFmtId="0" fontId="29" fillId="0" borderId="0" xfId="2" applyNumberFormat="1" applyFill="1" applyBorder="1" applyAlignment="1">
      <alignment horizontal="left" vertical="center"/>
    </xf>
    <xf numFmtId="0" fontId="29" fillId="0" borderId="0" xfId="2" applyNumberFormat="1" applyFill="1" applyBorder="1" applyAlignment="1">
      <alignment vertical="center"/>
    </xf>
    <xf numFmtId="0" fontId="29" fillId="0" borderId="23" xfId="2" applyNumberFormat="1" applyFill="1" applyBorder="1" applyAlignment="1">
      <alignment vertical="center"/>
    </xf>
    <xf numFmtId="0" fontId="38" fillId="0" borderId="25" xfId="77" applyFill="1" applyBorder="1" applyAlignment="1">
      <alignment vertical="center"/>
    </xf>
    <xf numFmtId="0" fontId="38" fillId="0" borderId="0" xfId="77" applyFill="1" applyBorder="1" applyAlignment="1">
      <alignment vertical="center"/>
    </xf>
    <xf numFmtId="0" fontId="0" fillId="0" borderId="0" xfId="0" applyNumberFormat="1" applyFill="1" applyBorder="1" applyAlignment="1">
      <alignment horizontal="right" vertical="center"/>
    </xf>
    <xf numFmtId="0" fontId="52" fillId="45" borderId="1" xfId="11" applyNumberFormat="1" applyFont="1" applyFill="1" applyBorder="1" applyAlignment="1">
      <alignment horizontal="left" vertical="center" wrapText="1"/>
    </xf>
    <xf numFmtId="0" fontId="52" fillId="28" borderId="1" xfId="12" applyNumberFormat="1" applyFont="1" applyBorder="1" applyAlignment="1">
      <alignment horizontal="left" vertical="center" wrapText="1"/>
    </xf>
    <xf numFmtId="0" fontId="1" fillId="23" borderId="35" xfId="7" applyNumberFormat="1" applyFont="1" applyBorder="1" applyAlignment="1">
      <alignment horizontal="left" vertical="center" wrapText="1"/>
    </xf>
    <xf numFmtId="1" fontId="50" fillId="37" borderId="1" xfId="15" applyNumberFormat="1" applyFont="1" applyFill="1" applyBorder="1" applyAlignment="1">
      <alignment horizontal="center" vertical="center"/>
    </xf>
    <xf numFmtId="0" fontId="38" fillId="46" borderId="24" xfId="77" applyNumberFormat="1" applyFill="1" applyBorder="1" applyAlignment="1">
      <alignment horizontal="left" vertical="center"/>
    </xf>
    <xf numFmtId="1" fontId="29" fillId="46" borderId="25" xfId="2" applyNumberFormat="1" applyFill="1" applyBorder="1" applyAlignment="1">
      <alignment horizontal="center" vertical="center"/>
    </xf>
    <xf numFmtId="0" fontId="29" fillId="46" borderId="25" xfId="2" applyNumberFormat="1" applyFill="1" applyBorder="1" applyAlignment="1">
      <alignment horizontal="center" vertical="center"/>
    </xf>
    <xf numFmtId="10" fontId="29" fillId="46" borderId="25" xfId="2" applyNumberFormat="1" applyFill="1" applyBorder="1" applyAlignment="1">
      <alignment horizontal="center" vertical="center"/>
    </xf>
    <xf numFmtId="0" fontId="29" fillId="46" borderId="25" xfId="2" applyNumberFormat="1" applyFill="1" applyBorder="1" applyAlignment="1">
      <alignment horizontal="right" vertical="center"/>
    </xf>
    <xf numFmtId="0" fontId="29" fillId="46" borderId="25" xfId="2" applyFill="1" applyBorder="1" applyAlignment="1">
      <alignment vertical="center"/>
    </xf>
    <xf numFmtId="0" fontId="29" fillId="46" borderId="25" xfId="2" applyFill="1" applyBorder="1" applyAlignment="1">
      <alignment horizontal="right" vertical="center"/>
    </xf>
    <xf numFmtId="0" fontId="0" fillId="46" borderId="0" xfId="0" applyFill="1" applyAlignment="1">
      <alignment vertical="center"/>
    </xf>
    <xf numFmtId="0" fontId="29" fillId="46" borderId="22" xfId="2" applyFill="1" applyBorder="1" applyAlignment="1">
      <alignment horizontal="center" vertical="center"/>
    </xf>
    <xf numFmtId="1" fontId="29" fillId="46" borderId="0" xfId="2" applyNumberFormat="1" applyFill="1" applyBorder="1" applyAlignment="1">
      <alignment horizontal="center" vertical="center"/>
    </xf>
    <xf numFmtId="0" fontId="29" fillId="46" borderId="0" xfId="2" applyNumberFormat="1" applyFill="1" applyBorder="1" applyAlignment="1">
      <alignment horizontal="center" vertical="center"/>
    </xf>
    <xf numFmtId="10" fontId="29" fillId="46" borderId="0" xfId="2" applyNumberFormat="1" applyFill="1" applyBorder="1" applyAlignment="1">
      <alignment horizontal="center" vertical="center"/>
    </xf>
    <xf numFmtId="0" fontId="29" fillId="46" borderId="0" xfId="2" applyNumberFormat="1" applyFill="1" applyBorder="1" applyAlignment="1">
      <alignment horizontal="right" vertical="center"/>
    </xf>
    <xf numFmtId="0" fontId="29" fillId="46" borderId="0" xfId="2" applyFill="1" applyBorder="1" applyAlignment="1">
      <alignment vertical="center"/>
    </xf>
    <xf numFmtId="0" fontId="29" fillId="46" borderId="0" xfId="2" applyFill="1" applyBorder="1" applyAlignment="1">
      <alignment horizontal="right" vertical="center"/>
    </xf>
    <xf numFmtId="0" fontId="29" fillId="46" borderId="27" xfId="2" applyFill="1" applyBorder="1" applyAlignment="1">
      <alignment vertical="center"/>
    </xf>
    <xf numFmtId="0" fontId="30" fillId="46" borderId="26" xfId="10" applyFill="1" applyBorder="1" applyAlignment="1">
      <alignment horizontal="center" vertical="center" wrapText="1"/>
    </xf>
    <xf numFmtId="0" fontId="39" fillId="46" borderId="0" xfId="79" applyNumberFormat="1" applyFill="1" applyBorder="1" applyAlignment="1">
      <alignment horizontal="left" vertical="center"/>
    </xf>
    <xf numFmtId="0" fontId="63" fillId="46" borderId="26" xfId="10" applyFont="1" applyFill="1" applyBorder="1" applyAlignment="1">
      <alignment horizontal="center" vertical="center" wrapText="1"/>
    </xf>
    <xf numFmtId="0" fontId="64" fillId="46" borderId="26" xfId="2" applyFont="1" applyFill="1" applyBorder="1" applyAlignment="1">
      <alignment horizontal="center" vertical="center" wrapText="1"/>
    </xf>
    <xf numFmtId="0" fontId="65" fillId="46" borderId="37" xfId="31" applyFont="1" applyFill="1" applyBorder="1" applyAlignment="1">
      <alignment horizontal="center" vertical="center" wrapText="1"/>
    </xf>
    <xf numFmtId="0" fontId="66" fillId="46" borderId="22" xfId="0" applyFont="1" applyFill="1" applyBorder="1" applyAlignment="1">
      <alignment vertical="center" wrapText="1"/>
    </xf>
    <xf numFmtId="0" fontId="29" fillId="46" borderId="23" xfId="2" applyFill="1" applyBorder="1" applyAlignment="1">
      <alignment vertical="center"/>
    </xf>
    <xf numFmtId="0" fontId="29" fillId="46" borderId="23" xfId="2" applyFill="1" applyBorder="1" applyAlignment="1">
      <alignment horizontal="right" vertical="center"/>
    </xf>
    <xf numFmtId="0" fontId="29" fillId="46" borderId="38" xfId="2" applyFill="1" applyBorder="1" applyAlignment="1">
      <alignment vertical="center"/>
    </xf>
    <xf numFmtId="0" fontId="29" fillId="46" borderId="28" xfId="2" applyNumberFormat="1" applyFill="1" applyBorder="1" applyAlignment="1">
      <alignment vertical="center"/>
    </xf>
    <xf numFmtId="0" fontId="29" fillId="46" borderId="23" xfId="2" applyNumberFormat="1" applyFill="1" applyBorder="1" applyAlignment="1">
      <alignment vertical="center"/>
    </xf>
    <xf numFmtId="10" fontId="61" fillId="47" borderId="0" xfId="1" applyNumberFormat="1" applyFont="1" applyFill="1" applyBorder="1" applyAlignment="1">
      <alignment horizontal="center" vertical="center"/>
    </xf>
    <xf numFmtId="0" fontId="68" fillId="47" borderId="0" xfId="31" applyNumberFormat="1" applyFont="1" applyFill="1" applyBorder="1" applyAlignment="1" applyProtection="1">
      <alignment horizontal="center" vertical="center" wrapText="1"/>
      <protection locked="0"/>
    </xf>
    <xf numFmtId="0" fontId="62" fillId="0" borderId="20" xfId="87" applyFill="1" applyBorder="1" applyAlignment="1">
      <alignment horizontal="center" vertical="center"/>
    </xf>
    <xf numFmtId="0" fontId="0" fillId="33" borderId="40" xfId="0" applyFill="1" applyBorder="1" applyAlignment="1">
      <alignment vertical="center"/>
    </xf>
    <xf numFmtId="0" fontId="19" fillId="0" borderId="39" xfId="0" applyFont="1" applyFill="1" applyBorder="1" applyAlignment="1">
      <alignment vertical="center" textRotation="60"/>
    </xf>
    <xf numFmtId="0" fontId="19" fillId="33" borderId="39" xfId="0" applyFont="1" applyFill="1" applyBorder="1" applyAlignment="1">
      <alignment vertical="center" textRotation="60"/>
    </xf>
    <xf numFmtId="0" fontId="19" fillId="33" borderId="41" xfId="0" applyFont="1" applyFill="1" applyBorder="1" applyAlignment="1">
      <alignment vertical="center" textRotation="60"/>
    </xf>
    <xf numFmtId="0" fontId="0" fillId="33" borderId="42" xfId="0" applyFill="1" applyBorder="1" applyAlignment="1">
      <alignment vertical="center"/>
    </xf>
    <xf numFmtId="0" fontId="3" fillId="0" borderId="0" xfId="0" applyFont="1" applyFill="1" applyBorder="1" applyAlignment="1">
      <alignment horizontal="center" vertical="center"/>
    </xf>
    <xf numFmtId="0" fontId="3" fillId="33" borderId="0" xfId="0" applyFont="1" applyFill="1" applyBorder="1" applyAlignment="1">
      <alignment horizontal="center" vertical="center"/>
    </xf>
    <xf numFmtId="0" fontId="3" fillId="33" borderId="42" xfId="0" applyFont="1" applyFill="1" applyBorder="1" applyAlignment="1">
      <alignment horizontal="center" vertical="center"/>
    </xf>
    <xf numFmtId="2" fontId="3" fillId="0" borderId="0" xfId="0" applyNumberFormat="1" applyFont="1" applyFill="1" applyBorder="1" applyAlignment="1">
      <alignment horizontal="center" vertical="center"/>
    </xf>
    <xf numFmtId="2" fontId="3" fillId="33" borderId="0" xfId="0" applyNumberFormat="1" applyFont="1" applyFill="1" applyBorder="1" applyAlignment="1">
      <alignment horizontal="center" vertical="center"/>
    </xf>
    <xf numFmtId="2" fontId="3" fillId="33" borderId="42" xfId="0" applyNumberFormat="1" applyFont="1" applyFill="1" applyBorder="1" applyAlignment="1">
      <alignment horizontal="center" vertical="center"/>
    </xf>
    <xf numFmtId="0" fontId="0" fillId="33" borderId="43" xfId="0" applyFill="1" applyBorder="1" applyAlignment="1">
      <alignment vertical="center"/>
    </xf>
    <xf numFmtId="0" fontId="0" fillId="33" borderId="44" xfId="0" applyFill="1" applyBorder="1" applyAlignment="1">
      <alignment vertical="center"/>
    </xf>
    <xf numFmtId="0" fontId="0" fillId="0" borderId="42" xfId="0" applyNumberFormat="1" applyFill="1" applyBorder="1" applyAlignment="1">
      <alignment vertical="center"/>
    </xf>
    <xf numFmtId="0" fontId="0" fillId="0" borderId="29" xfId="0" applyNumberFormat="1" applyFill="1" applyBorder="1" applyAlignment="1">
      <alignment horizontal="center" vertical="center"/>
    </xf>
    <xf numFmtId="0" fontId="0" fillId="0" borderId="29" xfId="0" applyNumberFormat="1" applyFill="1" applyBorder="1" applyAlignment="1">
      <alignment vertical="center"/>
    </xf>
    <xf numFmtId="0" fontId="0" fillId="0" borderId="45" xfId="0" applyNumberFormat="1" applyFill="1" applyBorder="1" applyAlignment="1">
      <alignment vertical="center"/>
    </xf>
    <xf numFmtId="0" fontId="38" fillId="36" borderId="46" xfId="77" applyNumberFormat="1" applyFill="1" applyBorder="1" applyAlignment="1">
      <alignment horizontal="left" vertical="center"/>
    </xf>
    <xf numFmtId="0" fontId="0" fillId="36" borderId="47" xfId="0" applyNumberFormat="1" applyFill="1" applyBorder="1" applyAlignment="1">
      <alignment horizontal="center" vertical="center"/>
    </xf>
    <xf numFmtId="0" fontId="38" fillId="36" borderId="48" xfId="77" applyNumberFormat="1" applyFill="1" applyBorder="1" applyAlignment="1">
      <alignment horizontal="left" vertical="center"/>
    </xf>
    <xf numFmtId="0" fontId="29" fillId="22" borderId="50" xfId="6" applyNumberFormat="1" applyBorder="1" applyAlignment="1">
      <alignment horizontal="left" vertical="center" wrapText="1"/>
    </xf>
    <xf numFmtId="0" fontId="51" fillId="36" borderId="48" xfId="77" applyNumberFormat="1" applyFont="1" applyFill="1" applyBorder="1" applyAlignment="1">
      <alignment horizontal="left" vertical="center"/>
    </xf>
    <xf numFmtId="0" fontId="0" fillId="36" borderId="48" xfId="0" applyNumberFormat="1" applyFill="1" applyBorder="1" applyAlignment="1">
      <alignment vertical="center"/>
    </xf>
    <xf numFmtId="0" fontId="0" fillId="36" borderId="51" xfId="0" applyNumberFormat="1" applyFill="1" applyBorder="1" applyAlignment="1">
      <alignment vertical="center"/>
    </xf>
    <xf numFmtId="0" fontId="38" fillId="18" borderId="48" xfId="77" applyNumberFormat="1" applyFill="1" applyBorder="1" applyAlignment="1">
      <alignment horizontal="left" vertical="center"/>
    </xf>
    <xf numFmtId="0" fontId="29" fillId="18" borderId="48" xfId="2" applyNumberFormat="1" applyBorder="1" applyAlignment="1">
      <alignment vertical="center"/>
    </xf>
    <xf numFmtId="0" fontId="29" fillId="18" borderId="49" xfId="2" applyNumberFormat="1" applyBorder="1" applyAlignment="1">
      <alignment vertical="center"/>
    </xf>
    <xf numFmtId="0" fontId="52" fillId="26" borderId="50" xfId="10" applyNumberFormat="1" applyFont="1" applyBorder="1" applyAlignment="1">
      <alignment horizontal="left" vertical="center" wrapText="1"/>
    </xf>
    <xf numFmtId="0" fontId="29" fillId="18" borderId="52" xfId="2" applyNumberFormat="1" applyBorder="1" applyAlignment="1">
      <alignment vertical="center"/>
    </xf>
    <xf numFmtId="0" fontId="0" fillId="43" borderId="25" xfId="0" applyNumberFormat="1" applyFill="1" applyBorder="1" applyAlignment="1">
      <alignment horizontal="center" vertical="center"/>
    </xf>
    <xf numFmtId="0" fontId="29" fillId="18" borderId="25" xfId="2" applyNumberFormat="1" applyBorder="1" applyAlignment="1">
      <alignment horizontal="left" vertical="center"/>
    </xf>
    <xf numFmtId="0" fontId="0" fillId="33" borderId="24" xfId="0" applyFill="1" applyBorder="1" applyAlignment="1">
      <alignment horizontal="center" vertical="center"/>
    </xf>
    <xf numFmtId="1" fontId="0" fillId="33" borderId="25" xfId="0" applyNumberFormat="1" applyFill="1" applyBorder="1" applyAlignment="1">
      <alignment horizontal="center" vertical="center"/>
    </xf>
    <xf numFmtId="0" fontId="0" fillId="33" borderId="25" xfId="0" applyNumberFormat="1" applyFill="1" applyBorder="1" applyAlignment="1">
      <alignment horizontal="center" vertical="center"/>
    </xf>
    <xf numFmtId="10" fontId="0" fillId="33" borderId="25" xfId="0" applyNumberFormat="1" applyFill="1" applyBorder="1" applyAlignment="1">
      <alignment horizontal="center" vertical="center"/>
    </xf>
    <xf numFmtId="0" fontId="0" fillId="33" borderId="25" xfId="0" applyNumberFormat="1" applyFill="1" applyBorder="1" applyAlignment="1">
      <alignment horizontal="right" vertical="center"/>
    </xf>
    <xf numFmtId="0" fontId="0" fillId="33" borderId="25" xfId="0" applyFill="1" applyBorder="1" applyAlignment="1">
      <alignment horizontal="right" vertical="center"/>
    </xf>
    <xf numFmtId="0" fontId="0" fillId="33" borderId="36" xfId="0" applyFill="1" applyBorder="1" applyAlignment="1">
      <alignment vertical="center"/>
    </xf>
    <xf numFmtId="0" fontId="0" fillId="33" borderId="23" xfId="0" applyFill="1" applyBorder="1" applyAlignment="1">
      <alignment horizontal="right" vertical="center"/>
    </xf>
    <xf numFmtId="0" fontId="0" fillId="46" borderId="25" xfId="0" applyFill="1" applyBorder="1" applyAlignment="1">
      <alignment vertical="center"/>
    </xf>
    <xf numFmtId="0" fontId="29" fillId="18" borderId="53" xfId="2" applyNumberFormat="1" applyBorder="1" applyAlignment="1">
      <alignment horizontal="left" vertical="center"/>
    </xf>
    <xf numFmtId="0" fontId="0" fillId="36" borderId="3" xfId="0" applyNumberFormat="1" applyFill="1" applyBorder="1" applyAlignment="1">
      <alignment horizontal="center" vertical="center"/>
    </xf>
    <xf numFmtId="0" fontId="38" fillId="36" borderId="54" xfId="77" applyNumberFormat="1" applyFill="1" applyBorder="1" applyAlignment="1">
      <alignment horizontal="left" vertical="center"/>
    </xf>
    <xf numFmtId="0" fontId="29" fillId="18" borderId="23" xfId="2" applyNumberFormat="1" applyBorder="1" applyAlignment="1">
      <alignment vertical="center"/>
    </xf>
    <xf numFmtId="0" fontId="0" fillId="35" borderId="27" xfId="0" applyFill="1" applyBorder="1" applyAlignment="1">
      <alignment vertical="center"/>
    </xf>
    <xf numFmtId="0" fontId="24" fillId="35" borderId="27" xfId="0" applyFont="1" applyFill="1" applyBorder="1" applyAlignment="1">
      <alignment vertical="center"/>
    </xf>
    <xf numFmtId="0" fontId="3" fillId="35" borderId="27" xfId="0" applyFont="1" applyFill="1" applyBorder="1" applyAlignment="1">
      <alignment horizontal="center" vertical="center"/>
    </xf>
    <xf numFmtId="2" fontId="3" fillId="35" borderId="27" xfId="0" applyNumberFormat="1" applyFont="1" applyFill="1" applyBorder="1" applyAlignment="1">
      <alignment horizontal="center" vertical="center"/>
    </xf>
    <xf numFmtId="0" fontId="3" fillId="35" borderId="38" xfId="0" applyFont="1" applyFill="1" applyBorder="1" applyAlignment="1">
      <alignment horizontal="center" vertical="center"/>
    </xf>
    <xf numFmtId="0" fontId="0" fillId="36" borderId="27" xfId="0" applyNumberFormat="1" applyFill="1" applyBorder="1" applyAlignment="1">
      <alignment horizontal="center" vertical="center"/>
    </xf>
    <xf numFmtId="0" fontId="0" fillId="36" borderId="27" xfId="0" applyNumberFormat="1" applyFill="1" applyBorder="1" applyAlignment="1">
      <alignment vertical="center"/>
    </xf>
    <xf numFmtId="0" fontId="0" fillId="36" borderId="38" xfId="0" applyNumberFormat="1" applyFill="1" applyBorder="1" applyAlignment="1">
      <alignment vertical="center"/>
    </xf>
    <xf numFmtId="0" fontId="29" fillId="18" borderId="27" xfId="2" applyNumberFormat="1" applyBorder="1" applyAlignment="1">
      <alignment vertical="center"/>
    </xf>
    <xf numFmtId="0" fontId="0" fillId="43" borderId="36" xfId="0" applyNumberFormat="1" applyFill="1" applyBorder="1" applyAlignment="1">
      <alignment horizontal="center" vertical="center"/>
    </xf>
    <xf numFmtId="0" fontId="0" fillId="43" borderId="27" xfId="0" applyNumberFormat="1" applyFill="1" applyBorder="1" applyAlignment="1">
      <alignment horizontal="center" vertical="center"/>
    </xf>
    <xf numFmtId="0" fontId="0" fillId="43" borderId="27" xfId="0" applyNumberFormat="1" applyFill="1" applyBorder="1" applyAlignment="1">
      <alignment vertical="center"/>
    </xf>
    <xf numFmtId="0" fontId="0" fillId="43" borderId="38" xfId="0" applyNumberFormat="1" applyFill="1" applyBorder="1" applyAlignment="1">
      <alignment vertical="center"/>
    </xf>
    <xf numFmtId="0" fontId="0" fillId="46" borderId="36" xfId="0" applyFill="1" applyBorder="1" applyAlignment="1">
      <alignment vertical="center"/>
    </xf>
    <xf numFmtId="0" fontId="0" fillId="46" borderId="27" xfId="0" applyFill="1" applyBorder="1" applyAlignment="1">
      <alignment vertical="center"/>
    </xf>
    <xf numFmtId="0" fontId="29" fillId="46" borderId="38" xfId="2" applyNumberFormat="1" applyFill="1" applyBorder="1" applyAlignment="1">
      <alignment vertical="center"/>
    </xf>
    <xf numFmtId="0" fontId="29" fillId="44" borderId="27" xfId="2" applyNumberFormat="1" applyFill="1" applyBorder="1" applyAlignment="1">
      <alignment horizontal="left" vertical="center"/>
    </xf>
    <xf numFmtId="0" fontId="29" fillId="44" borderId="27" xfId="2" applyNumberFormat="1" applyFill="1" applyBorder="1" applyAlignment="1">
      <alignment vertical="center"/>
    </xf>
    <xf numFmtId="0" fontId="29" fillId="44" borderId="38" xfId="2" applyNumberFormat="1" applyFill="1" applyBorder="1" applyAlignment="1">
      <alignment vertical="center"/>
    </xf>
    <xf numFmtId="0" fontId="38" fillId="35" borderId="36" xfId="77" applyFill="1" applyBorder="1" applyAlignment="1">
      <alignment vertical="center"/>
    </xf>
    <xf numFmtId="0" fontId="38" fillId="0" borderId="27" xfId="77" applyFill="1" applyBorder="1" applyAlignment="1">
      <alignment vertical="center"/>
    </xf>
    <xf numFmtId="0" fontId="0" fillId="0" borderId="27" xfId="0" applyNumberFormat="1" applyFill="1" applyBorder="1" applyAlignment="1">
      <alignment horizontal="center" vertical="center"/>
    </xf>
    <xf numFmtId="0" fontId="69" fillId="0" borderId="0" xfId="0" applyFont="1"/>
    <xf numFmtId="49" fontId="71" fillId="30" borderId="55" xfId="42" applyNumberFormat="1" applyFont="1" applyBorder="1" applyAlignment="1">
      <alignment horizontal="center" vertical="center" wrapText="1"/>
    </xf>
    <xf numFmtId="0" fontId="56" fillId="0" borderId="13" xfId="0" applyFont="1" applyBorder="1" applyAlignment="1" applyProtection="1">
      <alignment horizontal="left" vertical="center" shrinkToFit="1"/>
    </xf>
    <xf numFmtId="0" fontId="56" fillId="0" borderId="3" xfId="0" applyFont="1" applyBorder="1" applyAlignment="1" applyProtection="1">
      <alignment horizontal="left" vertical="center" shrinkToFit="1"/>
    </xf>
    <xf numFmtId="0" fontId="56" fillId="0" borderId="14" xfId="0" applyFont="1" applyBorder="1" applyAlignment="1" applyProtection="1">
      <alignment horizontal="left" vertical="center" shrinkToFit="1"/>
    </xf>
    <xf numFmtId="0" fontId="7" fillId="0" borderId="15" xfId="0" applyFont="1" applyBorder="1" applyAlignment="1" applyProtection="1">
      <alignment horizontal="left" vertical="center" wrapText="1"/>
    </xf>
    <xf numFmtId="0" fontId="7" fillId="0" borderId="12" xfId="0" applyFont="1" applyBorder="1" applyAlignment="1" applyProtection="1">
      <alignment horizontal="left" vertical="center" wrapText="1"/>
    </xf>
    <xf numFmtId="0" fontId="7" fillId="0" borderId="16" xfId="0" applyFont="1" applyBorder="1" applyAlignment="1" applyProtection="1">
      <alignment horizontal="left" vertical="center" wrapText="1"/>
    </xf>
    <xf numFmtId="0" fontId="2" fillId="0" borderId="13" xfId="0" applyFont="1" applyFill="1" applyBorder="1" applyAlignment="1" applyProtection="1">
      <alignment horizontal="left" vertical="top" wrapText="1" shrinkToFit="1"/>
      <protection locked="0"/>
    </xf>
    <xf numFmtId="0" fontId="5" fillId="0" borderId="3" xfId="0" applyFont="1" applyFill="1" applyBorder="1" applyAlignment="1" applyProtection="1">
      <alignment horizontal="left" vertical="top" wrapText="1" shrinkToFit="1"/>
      <protection locked="0"/>
    </xf>
    <xf numFmtId="0" fontId="5" fillId="0" borderId="14" xfId="0" applyFont="1" applyFill="1" applyBorder="1" applyAlignment="1" applyProtection="1">
      <alignment horizontal="left" vertical="top" wrapText="1" shrinkToFit="1"/>
      <protection locked="0"/>
    </xf>
    <xf numFmtId="0" fontId="7" fillId="0" borderId="15" xfId="0" applyFont="1" applyFill="1" applyBorder="1" applyAlignment="1" applyProtection="1">
      <alignment horizontal="left" vertical="center" shrinkToFit="1"/>
    </xf>
    <xf numFmtId="0" fontId="7" fillId="0" borderId="12" xfId="0" applyFont="1" applyFill="1" applyBorder="1" applyAlignment="1" applyProtection="1">
      <alignment horizontal="left" vertical="center" shrinkToFit="1"/>
    </xf>
    <xf numFmtId="0" fontId="7" fillId="0" borderId="16" xfId="0" applyFont="1" applyFill="1" applyBorder="1" applyAlignment="1" applyProtection="1">
      <alignment horizontal="left" vertical="center" shrinkToFit="1"/>
    </xf>
    <xf numFmtId="0" fontId="7" fillId="0" borderId="15" xfId="0" applyFont="1" applyBorder="1" applyAlignment="1" applyProtection="1">
      <alignment horizontal="left" vertical="center" shrinkToFit="1"/>
    </xf>
    <xf numFmtId="0" fontId="7" fillId="0" borderId="12" xfId="0" applyFont="1" applyBorder="1" applyAlignment="1" applyProtection="1">
      <alignment horizontal="left" vertical="center" shrinkToFit="1"/>
    </xf>
    <xf numFmtId="0" fontId="7" fillId="0" borderId="16" xfId="0" applyFont="1" applyBorder="1" applyAlignment="1" applyProtection="1">
      <alignment horizontal="left" vertical="center" shrinkToFit="1"/>
    </xf>
    <xf numFmtId="0" fontId="56" fillId="0" borderId="13" xfId="0" applyFont="1" applyBorder="1" applyAlignment="1" applyProtection="1">
      <alignment horizontal="left" vertical="center" wrapText="1" shrinkToFit="1"/>
    </xf>
    <xf numFmtId="0" fontId="57" fillId="38" borderId="4" xfId="0" applyFont="1" applyFill="1" applyBorder="1" applyAlignment="1" applyProtection="1">
      <alignment horizontal="center" vertical="center" shrinkToFit="1"/>
      <protection locked="0"/>
    </xf>
    <xf numFmtId="0" fontId="57" fillId="38" borderId="0" xfId="0" applyFont="1" applyFill="1" applyBorder="1" applyAlignment="1" applyProtection="1">
      <alignment horizontal="center" vertical="center" shrinkToFit="1"/>
      <protection locked="0"/>
    </xf>
    <xf numFmtId="0" fontId="57" fillId="38" borderId="5" xfId="0" applyFont="1" applyFill="1" applyBorder="1" applyAlignment="1" applyProtection="1">
      <alignment horizontal="center" vertical="center" shrinkToFit="1"/>
      <protection locked="0"/>
    </xf>
    <xf numFmtId="0" fontId="58" fillId="32" borderId="32" xfId="31" applyFont="1" applyBorder="1" applyAlignment="1">
      <alignment horizontal="center" vertical="center"/>
    </xf>
    <xf numFmtId="0" fontId="58" fillId="32" borderId="33" xfId="31" applyFont="1" applyBorder="1" applyAlignment="1">
      <alignment horizontal="center" vertical="center"/>
    </xf>
    <xf numFmtId="0" fontId="58" fillId="32" borderId="34" xfId="31" applyFont="1" applyBorder="1" applyAlignment="1">
      <alignment horizontal="center" vertical="center"/>
    </xf>
    <xf numFmtId="0" fontId="59" fillId="0" borderId="3" xfId="0" applyFont="1" applyFill="1" applyBorder="1" applyAlignment="1" applyProtection="1">
      <alignment horizontal="left" vertical="top" wrapText="1" shrinkToFit="1"/>
      <protection locked="0"/>
    </xf>
    <xf numFmtId="0" fontId="59" fillId="0" borderId="14" xfId="0" applyFont="1" applyFill="1" applyBorder="1" applyAlignment="1" applyProtection="1">
      <alignment horizontal="left" vertical="top" wrapText="1" shrinkToFit="1"/>
      <protection locked="0"/>
    </xf>
    <xf numFmtId="0" fontId="11" fillId="0" borderId="0" xfId="0" applyFont="1" applyFill="1" applyAlignment="1" applyProtection="1">
      <alignment horizontal="center" vertical="center" wrapText="1"/>
      <protection locked="0"/>
    </xf>
    <xf numFmtId="0" fontId="2" fillId="0" borderId="15" xfId="0" applyFont="1" applyFill="1" applyBorder="1" applyAlignment="1" applyProtection="1">
      <alignment horizontal="left" vertical="top" wrapText="1"/>
      <protection locked="0"/>
    </xf>
    <xf numFmtId="0" fontId="5" fillId="0" borderId="12" xfId="0" applyFont="1" applyFill="1" applyBorder="1" applyAlignment="1" applyProtection="1">
      <alignment horizontal="left" vertical="top" wrapText="1"/>
      <protection locked="0"/>
    </xf>
    <xf numFmtId="0" fontId="5" fillId="0" borderId="16" xfId="0" applyFont="1" applyFill="1" applyBorder="1" applyAlignment="1" applyProtection="1">
      <alignment horizontal="left" vertical="top" wrapText="1"/>
      <protection locked="0"/>
    </xf>
    <xf numFmtId="0" fontId="57" fillId="38" borderId="15" xfId="0" applyFont="1" applyFill="1" applyBorder="1" applyAlignment="1" applyProtection="1">
      <alignment horizontal="center" vertical="center" shrinkToFit="1"/>
      <protection locked="0"/>
    </xf>
    <xf numFmtId="0" fontId="57" fillId="38" borderId="12" xfId="0" applyFont="1" applyFill="1" applyBorder="1" applyAlignment="1" applyProtection="1">
      <alignment horizontal="center" vertical="center" shrinkToFit="1"/>
      <protection locked="0"/>
    </xf>
    <xf numFmtId="0" fontId="57" fillId="38" borderId="16" xfId="0" applyFont="1" applyFill="1" applyBorder="1" applyAlignment="1" applyProtection="1">
      <alignment horizontal="center" vertical="center" shrinkToFit="1"/>
      <protection locked="0"/>
    </xf>
    <xf numFmtId="0" fontId="5" fillId="0" borderId="13" xfId="0" applyFont="1" applyFill="1" applyBorder="1" applyAlignment="1" applyProtection="1">
      <alignment horizontal="left" vertical="top"/>
      <protection locked="0"/>
    </xf>
    <xf numFmtId="0" fontId="5" fillId="0" borderId="3" xfId="0" applyFont="1" applyFill="1" applyBorder="1" applyAlignment="1" applyProtection="1">
      <alignment horizontal="left" vertical="top"/>
      <protection locked="0"/>
    </xf>
    <xf numFmtId="0" fontId="5" fillId="0" borderId="14" xfId="0" applyFont="1" applyFill="1" applyBorder="1" applyAlignment="1" applyProtection="1">
      <alignment horizontal="left" vertical="top"/>
      <protection locked="0"/>
    </xf>
    <xf numFmtId="0" fontId="5" fillId="0" borderId="13" xfId="0" applyFont="1" applyFill="1" applyBorder="1" applyAlignment="1" applyProtection="1">
      <alignment horizontal="right" vertical="top" wrapText="1" shrinkToFit="1"/>
      <protection locked="0"/>
    </xf>
    <xf numFmtId="0" fontId="5" fillId="0" borderId="3" xfId="0" applyFont="1" applyFill="1" applyBorder="1" applyAlignment="1" applyProtection="1">
      <alignment horizontal="right" vertical="top" wrapText="1" shrinkToFit="1"/>
      <protection locked="0"/>
    </xf>
    <xf numFmtId="0" fontId="57" fillId="38" borderId="12" xfId="0" applyFont="1" applyFill="1" applyBorder="1" applyAlignment="1" applyProtection="1">
      <alignment horizontal="center" vertical="center" wrapText="1"/>
      <protection locked="0"/>
    </xf>
    <xf numFmtId="0" fontId="57" fillId="38" borderId="16" xfId="0" applyFont="1" applyFill="1" applyBorder="1" applyAlignment="1" applyProtection="1">
      <alignment horizontal="center" vertical="center" wrapText="1"/>
      <protection locked="0"/>
    </xf>
    <xf numFmtId="0" fontId="57" fillId="38" borderId="0" xfId="0" applyFont="1" applyFill="1" applyBorder="1" applyAlignment="1" applyProtection="1">
      <alignment horizontal="center" vertical="center" wrapText="1"/>
      <protection locked="0"/>
    </xf>
    <xf numFmtId="0" fontId="57" fillId="38" borderId="5" xfId="0" applyFont="1" applyFill="1" applyBorder="1" applyAlignment="1" applyProtection="1">
      <alignment horizontal="center" vertical="center" wrapText="1"/>
      <protection locked="0"/>
    </xf>
    <xf numFmtId="0" fontId="2" fillId="0" borderId="13" xfId="0" applyFont="1" applyFill="1" applyBorder="1" applyAlignment="1" applyProtection="1">
      <alignment horizontal="center" vertical="top" wrapText="1" shrinkToFit="1"/>
      <protection locked="0"/>
    </xf>
    <xf numFmtId="0" fontId="5" fillId="0" borderId="3" xfId="0" applyFont="1" applyFill="1" applyBorder="1" applyAlignment="1" applyProtection="1">
      <alignment horizontal="center" vertical="top" wrapText="1" shrinkToFit="1"/>
      <protection locked="0"/>
    </xf>
    <xf numFmtId="0" fontId="5" fillId="0" borderId="14" xfId="0" applyFont="1" applyFill="1" applyBorder="1" applyAlignment="1" applyProtection="1">
      <alignment horizontal="center" vertical="top" wrapText="1" shrinkToFit="1"/>
      <protection locked="0"/>
    </xf>
    <xf numFmtId="0" fontId="0" fillId="0" borderId="6" xfId="0" applyBorder="1" applyAlignment="1">
      <alignment horizontal="left" vertical="center" wrapText="1"/>
    </xf>
    <xf numFmtId="0" fontId="0" fillId="0" borderId="9" xfId="0" applyBorder="1" applyAlignment="1">
      <alignment horizontal="left" vertical="center" wrapText="1"/>
    </xf>
    <xf numFmtId="0" fontId="0" fillId="0" borderId="17" xfId="0" applyBorder="1" applyAlignment="1">
      <alignment horizontal="left" vertical="center" wrapText="1"/>
    </xf>
    <xf numFmtId="49" fontId="5" fillId="0" borderId="6" xfId="0" applyNumberFormat="1" applyFont="1" applyFill="1" applyBorder="1" applyAlignment="1" applyProtection="1">
      <alignment horizontal="left" vertical="center" wrapText="1"/>
      <protection locked="0"/>
    </xf>
    <xf numFmtId="49" fontId="5" fillId="0" borderId="9" xfId="0" applyNumberFormat="1" applyFont="1" applyFill="1" applyBorder="1" applyAlignment="1" applyProtection="1">
      <alignment horizontal="left" vertical="center" wrapText="1"/>
      <protection locked="0"/>
    </xf>
    <xf numFmtId="49" fontId="5" fillId="0" borderId="17" xfId="0" applyNumberFormat="1" applyFont="1" applyFill="1" applyBorder="1" applyAlignment="1" applyProtection="1">
      <alignment horizontal="left" vertical="center" wrapText="1"/>
      <protection locked="0"/>
    </xf>
    <xf numFmtId="49" fontId="5" fillId="39" borderId="6" xfId="0" applyNumberFormat="1" applyFont="1" applyFill="1" applyBorder="1" applyAlignment="1" applyProtection="1">
      <alignment horizontal="center" vertical="center" wrapText="1"/>
      <protection locked="0"/>
    </xf>
    <xf numFmtId="49" fontId="5" fillId="39" borderId="9" xfId="0" applyNumberFormat="1" applyFont="1" applyFill="1" applyBorder="1" applyAlignment="1" applyProtection="1">
      <alignment horizontal="center" vertical="center" wrapText="1"/>
      <protection locked="0"/>
    </xf>
    <xf numFmtId="49" fontId="5" fillId="39" borderId="17" xfId="0" applyNumberFormat="1" applyFont="1" applyFill="1" applyBorder="1" applyAlignment="1" applyProtection="1">
      <alignment horizontal="center" vertical="center" wrapText="1"/>
      <protection locked="0"/>
    </xf>
    <xf numFmtId="49" fontId="2" fillId="0" borderId="6" xfId="0" applyNumberFormat="1" applyFont="1" applyFill="1" applyBorder="1" applyAlignment="1" applyProtection="1">
      <alignment horizontal="left" vertical="center" wrapText="1"/>
      <protection locked="0"/>
    </xf>
    <xf numFmtId="49" fontId="5" fillId="0" borderId="6" xfId="0" applyNumberFormat="1" applyFont="1" applyFill="1" applyBorder="1" applyAlignment="1" applyProtection="1">
      <alignment vertical="center" wrapText="1"/>
      <protection locked="0"/>
    </xf>
    <xf numFmtId="49" fontId="5" fillId="0" borderId="9" xfId="0" applyNumberFormat="1" applyFont="1" applyFill="1" applyBorder="1" applyAlignment="1" applyProtection="1">
      <alignment vertical="center" wrapText="1"/>
      <protection locked="0"/>
    </xf>
    <xf numFmtId="49" fontId="5" fillId="0" borderId="17" xfId="0" applyNumberFormat="1" applyFont="1" applyFill="1" applyBorder="1" applyAlignment="1" applyProtection="1">
      <alignment vertical="center" wrapText="1"/>
      <protection locked="0"/>
    </xf>
    <xf numFmtId="0" fontId="34" fillId="0" borderId="0" xfId="25" applyBorder="1" applyAlignment="1">
      <alignment horizontal="center" vertical="center"/>
    </xf>
    <xf numFmtId="49" fontId="2" fillId="39" borderId="6" xfId="0" applyNumberFormat="1" applyFont="1" applyFill="1" applyBorder="1" applyAlignment="1" applyProtection="1">
      <alignment horizontal="center" vertical="center" wrapText="1"/>
      <protection locked="0"/>
    </xf>
    <xf numFmtId="49" fontId="5" fillId="40" borderId="6" xfId="0" applyNumberFormat="1" applyFont="1" applyFill="1" applyBorder="1" applyAlignment="1" applyProtection="1">
      <alignment horizontal="center" vertical="center" wrapText="1"/>
      <protection locked="0"/>
    </xf>
    <xf numFmtId="49" fontId="5" fillId="40" borderId="9" xfId="0" applyNumberFormat="1" applyFont="1" applyFill="1" applyBorder="1" applyAlignment="1" applyProtection="1">
      <alignment horizontal="center" vertical="center" wrapText="1"/>
      <protection locked="0"/>
    </xf>
    <xf numFmtId="49" fontId="5" fillId="40" borderId="17" xfId="0" applyNumberFormat="1" applyFont="1" applyFill="1" applyBorder="1" applyAlignment="1" applyProtection="1">
      <alignment horizontal="center" vertical="center" wrapText="1"/>
      <protection locked="0"/>
    </xf>
    <xf numFmtId="0" fontId="9" fillId="15" borderId="6" xfId="0" applyFont="1" applyFill="1" applyBorder="1" applyAlignment="1" applyProtection="1">
      <alignment horizontal="center" vertical="center" wrapText="1"/>
      <protection locked="0"/>
    </xf>
    <xf numFmtId="0" fontId="9" fillId="15" borderId="9" xfId="0" applyFont="1" applyFill="1" applyBorder="1" applyAlignment="1" applyProtection="1">
      <alignment horizontal="center" vertical="center" wrapText="1"/>
      <protection locked="0"/>
    </xf>
    <xf numFmtId="0" fontId="9" fillId="15" borderId="17" xfId="0" applyFont="1" applyFill="1" applyBorder="1" applyAlignment="1" applyProtection="1">
      <alignment horizontal="center" vertical="center" wrapText="1"/>
      <protection locked="0"/>
    </xf>
    <xf numFmtId="0" fontId="60" fillId="42" borderId="6" xfId="0" applyFont="1" applyFill="1" applyBorder="1" applyAlignment="1">
      <alignment horizontal="center" vertical="center" wrapText="1"/>
    </xf>
    <xf numFmtId="0" fontId="60" fillId="42" borderId="9" xfId="0" applyFont="1" applyFill="1" applyBorder="1" applyAlignment="1">
      <alignment horizontal="center" vertical="center" wrapText="1"/>
    </xf>
    <xf numFmtId="0" fontId="60" fillId="42" borderId="17" xfId="0" applyFont="1" applyFill="1" applyBorder="1" applyAlignment="1">
      <alignment horizontal="center" vertical="center" wrapText="1"/>
    </xf>
    <xf numFmtId="49" fontId="5" fillId="0" borderId="6" xfId="0" applyNumberFormat="1" applyFont="1" applyFill="1" applyBorder="1" applyAlignment="1" applyProtection="1">
      <alignment horizontal="center" vertical="center" wrapText="1"/>
      <protection locked="0"/>
    </xf>
    <xf numFmtId="49" fontId="5" fillId="0" borderId="9" xfId="0" applyNumberFormat="1" applyFont="1" applyFill="1" applyBorder="1" applyAlignment="1" applyProtection="1">
      <alignment horizontal="center" vertical="center" wrapText="1"/>
      <protection locked="0"/>
    </xf>
    <xf numFmtId="49" fontId="5" fillId="0" borderId="17" xfId="0" applyNumberFormat="1" applyFont="1" applyFill="1" applyBorder="1" applyAlignment="1" applyProtection="1">
      <alignment horizontal="center" vertical="center" wrapText="1"/>
      <protection locked="0"/>
    </xf>
    <xf numFmtId="0" fontId="56" fillId="16" borderId="0" xfId="0" applyFont="1" applyFill="1" applyBorder="1" applyAlignment="1" applyProtection="1">
      <alignment horizontal="left" vertical="center" shrinkToFit="1"/>
    </xf>
    <xf numFmtId="49" fontId="5" fillId="41" borderId="6" xfId="0" applyNumberFormat="1" applyFont="1" applyFill="1" applyBorder="1" applyAlignment="1" applyProtection="1">
      <alignment horizontal="center" vertical="center" wrapText="1"/>
      <protection locked="0"/>
    </xf>
    <xf numFmtId="49" fontId="5" fillId="41" borderId="9" xfId="0" applyNumberFormat="1" applyFont="1" applyFill="1" applyBorder="1" applyAlignment="1" applyProtection="1">
      <alignment horizontal="center" vertical="center" wrapText="1"/>
      <protection locked="0"/>
    </xf>
    <xf numFmtId="49" fontId="5" fillId="41" borderId="17" xfId="0" applyNumberFormat="1" applyFont="1" applyFill="1" applyBorder="1" applyAlignment="1" applyProtection="1">
      <alignment horizontal="center" vertical="center" wrapText="1"/>
      <protection locked="0"/>
    </xf>
    <xf numFmtId="0" fontId="12" fillId="16" borderId="0" xfId="0" applyFont="1" applyFill="1" applyBorder="1" applyAlignment="1" applyProtection="1">
      <alignment horizontal="left" vertical="center" shrinkToFit="1"/>
    </xf>
    <xf numFmtId="0" fontId="7" fillId="0" borderId="0" xfId="0" applyFont="1" applyFill="1" applyBorder="1" applyAlignment="1" applyProtection="1">
      <alignment horizontal="left" vertical="center" shrinkToFit="1"/>
    </xf>
    <xf numFmtId="0" fontId="56" fillId="0" borderId="0" xfId="0" applyFont="1" applyBorder="1" applyAlignment="1" applyProtection="1">
      <alignment horizontal="left" vertical="center" shrinkToFit="1"/>
    </xf>
    <xf numFmtId="0" fontId="7" fillId="16" borderId="0" xfId="0" applyFont="1" applyFill="1" applyBorder="1" applyAlignment="1" applyProtection="1">
      <alignment horizontal="left" vertical="center" wrapText="1"/>
    </xf>
    <xf numFmtId="0" fontId="7" fillId="16" borderId="0" xfId="0" applyFont="1" applyFill="1" applyBorder="1" applyAlignment="1" applyProtection="1">
      <alignment horizontal="left" vertical="center" shrinkToFit="1"/>
    </xf>
    <xf numFmtId="0" fontId="7" fillId="0" borderId="0" xfId="0" applyFont="1" applyBorder="1" applyAlignment="1" applyProtection="1">
      <alignment horizontal="left" vertical="center" shrinkToFit="1"/>
    </xf>
    <xf numFmtId="49" fontId="15" fillId="0" borderId="0" xfId="0" applyNumberFormat="1" applyFont="1" applyFill="1" applyAlignment="1" applyProtection="1">
      <alignment horizontal="left" vertical="center" wrapText="1"/>
      <protection locked="0"/>
    </xf>
    <xf numFmtId="0" fontId="38" fillId="14" borderId="0" xfId="77" applyFill="1" applyBorder="1" applyAlignment="1">
      <alignment horizontal="center"/>
    </xf>
    <xf numFmtId="0" fontId="3" fillId="9" borderId="3" xfId="0" applyFont="1" applyFill="1" applyBorder="1" applyAlignment="1">
      <alignment horizontal="center" vertical="center" wrapText="1"/>
    </xf>
    <xf numFmtId="0" fontId="2" fillId="0" borderId="0" xfId="0" applyFont="1" applyBorder="1" applyAlignment="1">
      <alignment horizontal="left" vertical="center" wrapText="1"/>
    </xf>
    <xf numFmtId="0" fontId="2" fillId="0" borderId="0" xfId="0" applyFont="1" applyAlignment="1">
      <alignment horizontal="left" vertical="top" wrapText="1"/>
    </xf>
    <xf numFmtId="0" fontId="5" fillId="0" borderId="0" xfId="0" applyFont="1" applyAlignment="1">
      <alignment horizontal="left" vertical="top" wrapText="1"/>
    </xf>
    <xf numFmtId="0" fontId="0" fillId="0" borderId="0" xfId="0" applyAlignment="1">
      <alignment vertical="center" wrapText="1"/>
    </xf>
    <xf numFmtId="0" fontId="2" fillId="0" borderId="0" xfId="0" applyFont="1" applyAlignment="1">
      <alignment vertical="center" wrapText="1"/>
    </xf>
    <xf numFmtId="0" fontId="5" fillId="0" borderId="0" xfId="0" applyFont="1" applyAlignment="1">
      <alignment vertical="center" wrapText="1"/>
    </xf>
    <xf numFmtId="0" fontId="53" fillId="24" borderId="1" xfId="8" applyFont="1" applyBorder="1" applyAlignment="1">
      <alignment horizontal="center" vertical="center" wrapText="1"/>
    </xf>
    <xf numFmtId="0" fontId="53" fillId="29" borderId="6" xfId="13" applyFont="1" applyBorder="1" applyAlignment="1">
      <alignment horizontal="center" vertical="center" wrapText="1"/>
    </xf>
    <xf numFmtId="0" fontId="53" fillId="29" borderId="9" xfId="13" applyFont="1" applyBorder="1" applyAlignment="1">
      <alignment horizontal="center" vertical="center" wrapText="1"/>
    </xf>
    <xf numFmtId="0" fontId="53" fillId="29" borderId="17" xfId="13" applyFont="1" applyBorder="1" applyAlignment="1">
      <alignment horizontal="center" vertical="center" wrapText="1"/>
    </xf>
    <xf numFmtId="0" fontId="3" fillId="0" borderId="1" xfId="75">
      <alignment horizontal="center" textRotation="60"/>
    </xf>
    <xf numFmtId="0" fontId="2" fillId="0" borderId="1" xfId="18"/>
    <xf numFmtId="0" fontId="2" fillId="0" borderId="1" xfId="18" applyAlignment="1">
      <alignment wrapText="1"/>
    </xf>
  </cellXfs>
  <cellStyles count="88">
    <cellStyle name="20% - Accent1" xfId="1" builtinId="30"/>
    <cellStyle name="20% - Accent2" xfId="2" builtinId="34"/>
    <cellStyle name="20% - Accent3" xfId="3" builtinId="38"/>
    <cellStyle name="20% - Accent5" xfId="4" builtinId="46"/>
    <cellStyle name="20% - Accent6" xfId="5" builtinId="50"/>
    <cellStyle name="40% - Accent4" xfId="6" builtinId="43"/>
    <cellStyle name="40% - Accent6" xfId="7" builtinId="51"/>
    <cellStyle name="60% - Accent6" xfId="8" builtinId="52"/>
    <cellStyle name="Accent1" xfId="9" builtinId="29"/>
    <cellStyle name="Accent2" xfId="10" builtinId="33"/>
    <cellStyle name="Accent3" xfId="11" builtinId="37"/>
    <cellStyle name="Accent5" xfId="12" builtinId="45"/>
    <cellStyle name="Accent6" xfId="13" builtinId="49"/>
    <cellStyle name="CA style" xfId="14" xr:uid="{00000000-0005-0000-0000-00000D000000}"/>
    <cellStyle name="Calculation" xfId="15" builtinId="22"/>
    <cellStyle name="Calculation 2" xfId="16" xr:uid="{00000000-0005-0000-0000-00000F000000}"/>
    <cellStyle name="Check Cell 2" xfId="17" xr:uid="{00000000-0005-0000-0000-000010000000}"/>
    <cellStyle name="entry" xfId="18" xr:uid="{00000000-0005-0000-0000-000011000000}"/>
    <cellStyle name="entry 2" xfId="19" xr:uid="{00000000-0005-0000-0000-000012000000}"/>
    <cellStyle name="entry 2 2" xfId="20" xr:uid="{00000000-0005-0000-0000-000013000000}"/>
    <cellStyle name="entry 3" xfId="21" xr:uid="{00000000-0005-0000-0000-000014000000}"/>
    <cellStyle name="entry 3 2" xfId="22" xr:uid="{00000000-0005-0000-0000-000015000000}"/>
    <cellStyle name="entry 4" xfId="23" xr:uid="{00000000-0005-0000-0000-000016000000}"/>
    <cellStyle name="entry 5" xfId="24" xr:uid="{00000000-0005-0000-0000-000017000000}"/>
    <cellStyle name="Hyperlink" xfId="25" builtinId="8"/>
    <cellStyle name="Hyperlink 2" xfId="26" xr:uid="{00000000-0005-0000-0000-000019000000}"/>
    <cellStyle name="Inconsistent style" xfId="27" xr:uid="{00000000-0005-0000-0000-00001A000000}"/>
    <cellStyle name="Inconsistent style 2" xfId="28" xr:uid="{00000000-0005-0000-0000-00001B000000}"/>
    <cellStyle name="Inconsistent style 2 2" xfId="29" xr:uid="{00000000-0005-0000-0000-00001C000000}"/>
    <cellStyle name="Inconsistent style 3" xfId="30" xr:uid="{00000000-0005-0000-0000-00001D000000}"/>
    <cellStyle name="Input" xfId="31" builtinId="20"/>
    <cellStyle name="NA style" xfId="32" xr:uid="{00000000-0005-0000-0000-00001F000000}"/>
    <cellStyle name="NOK style" xfId="33" xr:uid="{00000000-0005-0000-0000-000020000000}"/>
    <cellStyle name="Normal" xfId="0" builtinId="0"/>
    <cellStyle name="Normal 2" xfId="34" xr:uid="{00000000-0005-0000-0000-000022000000}"/>
    <cellStyle name="Normal 2 2" xfId="35" xr:uid="{00000000-0005-0000-0000-000023000000}"/>
    <cellStyle name="Normal 3" xfId="36" xr:uid="{00000000-0005-0000-0000-000024000000}"/>
    <cellStyle name="Normal 3 2" xfId="37" xr:uid="{00000000-0005-0000-0000-000025000000}"/>
    <cellStyle name="Normal 4" xfId="38" xr:uid="{00000000-0005-0000-0000-000026000000}"/>
    <cellStyle name="Normal 5" xfId="39" xr:uid="{00000000-0005-0000-0000-000027000000}"/>
    <cellStyle name="Normal 6" xfId="40" xr:uid="{00000000-0005-0000-0000-000028000000}"/>
    <cellStyle name="OK style" xfId="41" xr:uid="{00000000-0005-0000-0000-000029000000}"/>
    <cellStyle name="Output" xfId="87" builtinId="21"/>
    <cellStyle name="Output 2" xfId="42" xr:uid="{00000000-0005-0000-0000-00002B000000}"/>
    <cellStyle name="para" xfId="43" xr:uid="{00000000-0005-0000-0000-00002C000000}"/>
    <cellStyle name="para 2" xfId="44" xr:uid="{00000000-0005-0000-0000-00002D000000}"/>
    <cellStyle name="Percent" xfId="45" builtinId="5" customBuiltin="1"/>
    <cellStyle name="Percent 2" xfId="46" xr:uid="{00000000-0005-0000-0000-00002F000000}"/>
    <cellStyle name="sect" xfId="47" xr:uid="{00000000-0005-0000-0000-000030000000}"/>
    <cellStyle name="sect1" xfId="48" xr:uid="{00000000-0005-0000-0000-000031000000}"/>
    <cellStyle name="sect2" xfId="49" xr:uid="{00000000-0005-0000-0000-000032000000}"/>
    <cellStyle name="sect3" xfId="50" xr:uid="{00000000-0005-0000-0000-000033000000}"/>
    <cellStyle name="sect4" xfId="51" xr:uid="{00000000-0005-0000-0000-000034000000}"/>
    <cellStyle name="sect4 2" xfId="52" xr:uid="{00000000-0005-0000-0000-000035000000}"/>
    <cellStyle name="sect4 2 2" xfId="53" xr:uid="{00000000-0005-0000-0000-000036000000}"/>
    <cellStyle name="sect4 3" xfId="54" xr:uid="{00000000-0005-0000-0000-000037000000}"/>
    <cellStyle name="sect5" xfId="55" xr:uid="{00000000-0005-0000-0000-000038000000}"/>
    <cellStyle name="sect5 2" xfId="56" xr:uid="{00000000-0005-0000-0000-000039000000}"/>
    <cellStyle name="sect5 2 2" xfId="57" xr:uid="{00000000-0005-0000-0000-00003A000000}"/>
    <cellStyle name="sect5 3" xfId="58" xr:uid="{00000000-0005-0000-0000-00003B000000}"/>
    <cellStyle name="sect6" xfId="59" xr:uid="{00000000-0005-0000-0000-00003C000000}"/>
    <cellStyle name="sect6 2" xfId="60" xr:uid="{00000000-0005-0000-0000-00003D000000}"/>
    <cellStyle name="sect6 2 2" xfId="61" xr:uid="{00000000-0005-0000-0000-00003E000000}"/>
    <cellStyle name="sect6 3" xfId="62" xr:uid="{00000000-0005-0000-0000-00003F000000}"/>
    <cellStyle name="sect7" xfId="63" xr:uid="{00000000-0005-0000-0000-000040000000}"/>
    <cellStyle name="sect7 2" xfId="64" xr:uid="{00000000-0005-0000-0000-000041000000}"/>
    <cellStyle name="sect7 2 2" xfId="65" xr:uid="{00000000-0005-0000-0000-000042000000}"/>
    <cellStyle name="sect7 3" xfId="66" xr:uid="{00000000-0005-0000-0000-000043000000}"/>
    <cellStyle name="sect8" xfId="67" xr:uid="{00000000-0005-0000-0000-000044000000}"/>
    <cellStyle name="sect8 2" xfId="68" xr:uid="{00000000-0005-0000-0000-000045000000}"/>
    <cellStyle name="sect8 2 2" xfId="69" xr:uid="{00000000-0005-0000-0000-000046000000}"/>
    <cellStyle name="sect8 3" xfId="70" xr:uid="{00000000-0005-0000-0000-000047000000}"/>
    <cellStyle name="sect9" xfId="71" xr:uid="{00000000-0005-0000-0000-000048000000}"/>
    <cellStyle name="sect9 2" xfId="72" xr:uid="{00000000-0005-0000-0000-000049000000}"/>
    <cellStyle name="sect9 2 2" xfId="73" xr:uid="{00000000-0005-0000-0000-00004A000000}"/>
    <cellStyle name="sect9 3" xfId="74" xr:uid="{00000000-0005-0000-0000-00004B000000}"/>
    <cellStyle name="tableTitle" xfId="75" xr:uid="{00000000-0005-0000-0000-00004C000000}"/>
    <cellStyle name="Tested Previously" xfId="76" xr:uid="{00000000-0005-0000-0000-00004D000000}"/>
    <cellStyle name="Title" xfId="77" builtinId="15"/>
    <cellStyle name="title 2" xfId="78" xr:uid="{00000000-0005-0000-0000-00004F000000}"/>
    <cellStyle name="Warning Text" xfId="79" builtinId="11"/>
    <cellStyle name="Without format but centered" xfId="80" xr:uid="{00000000-0005-0000-0000-000051000000}"/>
    <cellStyle name="Without format but centered 2" xfId="81" xr:uid="{00000000-0005-0000-0000-000052000000}"/>
    <cellStyle name="Without format but centered 2 2" xfId="82" xr:uid="{00000000-0005-0000-0000-000053000000}"/>
    <cellStyle name="Without format but centered 3" xfId="83" xr:uid="{00000000-0005-0000-0000-000054000000}"/>
    <cellStyle name="Without format but centered 3 2" xfId="84" xr:uid="{00000000-0005-0000-0000-000055000000}"/>
    <cellStyle name="Without format but centered 4" xfId="85" xr:uid="{00000000-0005-0000-0000-000056000000}"/>
    <cellStyle name="Without format but centered 5" xfId="86" xr:uid="{00000000-0005-0000-0000-000057000000}"/>
  </cellStyles>
  <dxfs count="4">
    <dxf>
      <font>
        <b/>
        <i val="0"/>
        <color rgb="FFFF0000"/>
      </font>
    </dxf>
    <dxf>
      <font>
        <b/>
        <i val="0"/>
        <color rgb="FFFF0000"/>
      </font>
    </dxf>
    <dxf>
      <font>
        <b/>
        <i val="0"/>
        <color rgb="FFFF0000"/>
      </font>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Statistics!$C$115</c:f>
              <c:strCache>
                <c:ptCount val="1"/>
              </c:strCache>
            </c:strRef>
          </c:tx>
          <c:dPt>
            <c:idx val="0"/>
            <c:bubble3D val="0"/>
            <c:spPr>
              <a:solidFill>
                <a:srgbClr val="00B050"/>
              </a:solidFill>
            </c:spPr>
            <c:extLst>
              <c:ext xmlns:c16="http://schemas.microsoft.com/office/drawing/2014/chart" uri="{C3380CC4-5D6E-409C-BE32-E72D297353CC}">
                <c16:uniqueId val="{00000001-1E3F-416E-9660-85D4D70829B3}"/>
              </c:ext>
            </c:extLst>
          </c:dPt>
          <c:dPt>
            <c:idx val="1"/>
            <c:bubble3D val="0"/>
            <c:spPr>
              <a:solidFill>
                <a:srgbClr val="00B0F0"/>
              </a:solidFill>
            </c:spPr>
            <c:extLst>
              <c:ext xmlns:c16="http://schemas.microsoft.com/office/drawing/2014/chart" uri="{C3380CC4-5D6E-409C-BE32-E72D297353CC}">
                <c16:uniqueId val="{00000003-1E3F-416E-9660-85D4D70829B3}"/>
              </c:ext>
            </c:extLst>
          </c:dPt>
          <c:dPt>
            <c:idx val="2"/>
            <c:bubble3D val="0"/>
            <c:spPr>
              <a:solidFill>
                <a:srgbClr val="FF0000"/>
              </a:solidFill>
            </c:spPr>
            <c:extLst>
              <c:ext xmlns:c16="http://schemas.microsoft.com/office/drawing/2014/chart" uri="{C3380CC4-5D6E-409C-BE32-E72D297353CC}">
                <c16:uniqueId val="{00000005-1E3F-416E-9660-85D4D70829B3}"/>
              </c:ext>
            </c:extLst>
          </c:dPt>
          <c:dPt>
            <c:idx val="3"/>
            <c:bubble3D val="0"/>
            <c:spPr>
              <a:solidFill>
                <a:schemeClr val="accent6">
                  <a:lumMod val="75000"/>
                </a:schemeClr>
              </a:solidFill>
            </c:spPr>
            <c:extLst>
              <c:ext xmlns:c16="http://schemas.microsoft.com/office/drawing/2014/chart" uri="{C3380CC4-5D6E-409C-BE32-E72D297353CC}">
                <c16:uniqueId val="{00000007-1E3F-416E-9660-85D4D70829B3}"/>
              </c:ext>
            </c:extLst>
          </c:dPt>
          <c:dPt>
            <c:idx val="4"/>
            <c:bubble3D val="0"/>
            <c:spPr>
              <a:solidFill>
                <a:schemeClr val="accent6">
                  <a:lumMod val="50000"/>
                </a:schemeClr>
              </a:solidFill>
            </c:spPr>
            <c:extLst>
              <c:ext xmlns:c16="http://schemas.microsoft.com/office/drawing/2014/chart" uri="{C3380CC4-5D6E-409C-BE32-E72D297353CC}">
                <c16:uniqueId val="{00000009-1E3F-416E-9660-85D4D70829B3}"/>
              </c:ext>
            </c:extLst>
          </c:dPt>
          <c:dPt>
            <c:idx val="5"/>
            <c:bubble3D val="0"/>
            <c:spPr>
              <a:solidFill>
                <a:srgbClr val="FFFF00"/>
              </a:solidFill>
            </c:spPr>
            <c:extLst>
              <c:ext xmlns:c16="http://schemas.microsoft.com/office/drawing/2014/chart" uri="{C3380CC4-5D6E-409C-BE32-E72D297353CC}">
                <c16:uniqueId val="{0000000B-1E3F-416E-9660-85D4D70829B3}"/>
              </c:ext>
            </c:extLst>
          </c:dPt>
          <c:cat>
            <c:multiLvlStrRef>
              <c:f>Statistics!$A$116:$A$118</c:f>
            </c:multiLvlStrRef>
          </c:cat>
          <c:val>
            <c:numRef>
              <c:f>Statistics!$C$116:$C$118</c:f>
            </c:numRef>
          </c:val>
          <c:extLst>
            <c:ext xmlns:c16="http://schemas.microsoft.com/office/drawing/2014/chart" uri="{C3380CC4-5D6E-409C-BE32-E72D297353CC}">
              <c16:uniqueId val="{0000000C-1E3F-416E-9660-85D4D70829B3}"/>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Statistics!$C$115</c:f>
              <c:strCache>
                <c:ptCount val="1"/>
              </c:strCache>
            </c:strRef>
          </c:tx>
          <c:dPt>
            <c:idx val="0"/>
            <c:bubble3D val="0"/>
            <c:spPr>
              <a:solidFill>
                <a:srgbClr val="00B050"/>
              </a:solidFill>
            </c:spPr>
            <c:extLst>
              <c:ext xmlns:c16="http://schemas.microsoft.com/office/drawing/2014/chart" uri="{C3380CC4-5D6E-409C-BE32-E72D297353CC}">
                <c16:uniqueId val="{00000001-1E3F-416E-9660-85D4D70829B3}"/>
              </c:ext>
            </c:extLst>
          </c:dPt>
          <c:dPt>
            <c:idx val="1"/>
            <c:bubble3D val="0"/>
            <c:spPr>
              <a:solidFill>
                <a:srgbClr val="00B0F0"/>
              </a:solidFill>
            </c:spPr>
            <c:extLst>
              <c:ext xmlns:c16="http://schemas.microsoft.com/office/drawing/2014/chart" uri="{C3380CC4-5D6E-409C-BE32-E72D297353CC}">
                <c16:uniqueId val="{00000003-1E3F-416E-9660-85D4D70829B3}"/>
              </c:ext>
            </c:extLst>
          </c:dPt>
          <c:dPt>
            <c:idx val="2"/>
            <c:bubble3D val="0"/>
            <c:spPr>
              <a:solidFill>
                <a:srgbClr val="FF0000"/>
              </a:solidFill>
            </c:spPr>
            <c:extLst>
              <c:ext xmlns:c16="http://schemas.microsoft.com/office/drawing/2014/chart" uri="{C3380CC4-5D6E-409C-BE32-E72D297353CC}">
                <c16:uniqueId val="{00000005-1E3F-416E-9660-85D4D70829B3}"/>
              </c:ext>
            </c:extLst>
          </c:dPt>
          <c:dPt>
            <c:idx val="3"/>
            <c:bubble3D val="0"/>
            <c:spPr>
              <a:solidFill>
                <a:schemeClr val="accent6">
                  <a:lumMod val="75000"/>
                </a:schemeClr>
              </a:solidFill>
            </c:spPr>
            <c:extLst>
              <c:ext xmlns:c16="http://schemas.microsoft.com/office/drawing/2014/chart" uri="{C3380CC4-5D6E-409C-BE32-E72D297353CC}">
                <c16:uniqueId val="{00000007-1E3F-416E-9660-85D4D70829B3}"/>
              </c:ext>
            </c:extLst>
          </c:dPt>
          <c:dPt>
            <c:idx val="4"/>
            <c:bubble3D val="0"/>
            <c:spPr>
              <a:solidFill>
                <a:schemeClr val="accent6">
                  <a:lumMod val="50000"/>
                </a:schemeClr>
              </a:solidFill>
            </c:spPr>
            <c:extLst>
              <c:ext xmlns:c16="http://schemas.microsoft.com/office/drawing/2014/chart" uri="{C3380CC4-5D6E-409C-BE32-E72D297353CC}">
                <c16:uniqueId val="{00000009-1E3F-416E-9660-85D4D70829B3}"/>
              </c:ext>
            </c:extLst>
          </c:dPt>
          <c:dPt>
            <c:idx val="5"/>
            <c:bubble3D val="0"/>
            <c:spPr>
              <a:solidFill>
                <a:srgbClr val="FFFF00"/>
              </a:solidFill>
            </c:spPr>
            <c:extLst>
              <c:ext xmlns:c16="http://schemas.microsoft.com/office/drawing/2014/chart" uri="{C3380CC4-5D6E-409C-BE32-E72D297353CC}">
                <c16:uniqueId val="{0000000B-1E3F-416E-9660-85D4D70829B3}"/>
              </c:ext>
            </c:extLst>
          </c:dPt>
          <c:cat>
            <c:multiLvlStrRef>
              <c:f>Statistics!$A$116:$A$118</c:f>
            </c:multiLvlStrRef>
          </c:cat>
          <c:val>
            <c:numRef>
              <c:f>Statistics!$C$116:$C$118</c:f>
            </c:numRef>
          </c:val>
          <c:extLst>
            <c:ext xmlns:c16="http://schemas.microsoft.com/office/drawing/2014/chart" uri="{C3380CC4-5D6E-409C-BE32-E72D297353CC}">
              <c16:uniqueId val="{0000000C-1E3F-416E-9660-85D4D70829B3}"/>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Statistics!$A$48</c:f>
              <c:strCache>
                <c:ptCount val="1"/>
                <c:pt idx="0">
                  <c:v>Implemented requirements</c:v>
                </c:pt>
              </c:strCache>
            </c:strRef>
          </c:tx>
          <c:dLbls>
            <c:spPr>
              <a:noFill/>
              <a:ln>
                <a:noFill/>
              </a:ln>
              <a:effectLst/>
            </c:spPr>
            <c:dLblPos val="inEnd"/>
            <c:showLegendKey val="0"/>
            <c:showVal val="0"/>
            <c:showCatName val="0"/>
            <c:showSerName val="0"/>
            <c:showPercent val="1"/>
            <c:showBubbleSize val="0"/>
            <c:showLeaderLines val="1"/>
            <c:extLst>
              <c:ext xmlns:c15="http://schemas.microsoft.com/office/drawing/2012/chart" uri="{CE6537A1-D6FC-4f65-9D91-7224C49458BB}"/>
            </c:extLst>
          </c:dLbls>
          <c:cat>
            <c:multiLvlStrRef>
              <c:f>Statistics!$A$50:$A$51</c:f>
            </c:multiLvlStrRef>
          </c:cat>
          <c:val>
            <c:numRef>
              <c:f>Statistics!$B$50:$B$51</c:f>
            </c:numRef>
          </c:val>
          <c:extLst>
            <c:ext xmlns:c16="http://schemas.microsoft.com/office/drawing/2014/chart" uri="{C3380CC4-5D6E-409C-BE32-E72D297353CC}">
              <c16:uniqueId val="{00000009-2B70-4B23-9FEF-00F5695F1DDA}"/>
            </c:ext>
          </c:extLst>
        </c:ser>
        <c:dLbls>
          <c:dLblPos val="inEnd"/>
          <c:showLegendKey val="0"/>
          <c:showVal val="0"/>
          <c:showCatName val="0"/>
          <c:showSerName val="0"/>
          <c:showPercent val="1"/>
          <c:showBubbleSize val="0"/>
          <c:showLeaderLines val="1"/>
        </c:dLbls>
        <c:firstSliceAng val="0"/>
      </c:pieChart>
    </c:plotArea>
    <c:legend>
      <c:legendPos val="b"/>
      <c:layout>
        <c:manualLayout>
          <c:xMode val="edge"/>
          <c:yMode val="edge"/>
          <c:x val="0.11674219889180519"/>
          <c:y val="0.8957131792952111"/>
          <c:w val="0.75592271799358413"/>
          <c:h val="6.2667550914424469E-2"/>
        </c:manualLayout>
      </c:layout>
      <c:overlay val="0"/>
      <c:spPr>
        <a:solidFill>
          <a:schemeClr val="lt1">
            <a:alpha val="78000"/>
          </a:schemeClr>
        </a:solidFill>
        <a:ln>
          <a:noFill/>
        </a:ln>
        <a:effectLst/>
      </c:spPr>
      <c:txPr>
        <a:bodyPr rot="0" spcFirstLastPara="1" vertOverflow="ellipsis" vert="horz" wrap="square" anchor="ctr" anchorCtr="1"/>
        <a:lstStyle/>
        <a:p>
          <a:pPr rtl="0">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8506668216288463"/>
          <c:y val="0.17836934627357626"/>
          <c:w val="0.60934102333149298"/>
          <c:h val="0.64004425318928138"/>
        </c:manualLayout>
      </c:layout>
      <c:pieChart>
        <c:varyColors val="1"/>
        <c:ser>
          <c:idx val="0"/>
          <c:order val="0"/>
          <c:tx>
            <c:strRef>
              <c:f>Statistics!$A$30</c:f>
              <c:strCache>
                <c:ptCount val="1"/>
                <c:pt idx="0">
                  <c:v>Low level coverage</c:v>
                </c:pt>
              </c:strCache>
            </c:strRef>
          </c:tx>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Statistics!$A$32:$A$33</c:f>
              <c:strCache>
                <c:ptCount val="2"/>
                <c:pt idx="0">
                  <c:v>Satisfied by a low level requirement</c:v>
                </c:pt>
                <c:pt idx="1">
                  <c:v>Not satisfied by a low level requirement</c:v>
                </c:pt>
              </c:strCache>
            </c:strRef>
          </c:cat>
          <c:val>
            <c:numRef>
              <c:f>Statistics!$B$32:$B$33</c:f>
              <c:numCache>
                <c:formatCode>0</c:formatCode>
                <c:ptCount val="2"/>
                <c:pt idx="0" formatCode="General">
                  <c:v>0</c:v>
                </c:pt>
                <c:pt idx="1">
                  <c:v>0</c:v>
                </c:pt>
              </c:numCache>
            </c:numRef>
          </c:val>
          <c:extLst>
            <c:ext xmlns:c16="http://schemas.microsoft.com/office/drawing/2014/chart" uri="{C3380CC4-5D6E-409C-BE32-E72D297353CC}">
              <c16:uniqueId val="{00000000-06B4-4E45-9721-69B66D8D1063}"/>
            </c:ext>
          </c:extLst>
        </c:ser>
        <c:ser>
          <c:idx val="1"/>
          <c:order val="1"/>
          <c:tx>
            <c:strRef>
              <c:f>Statistics!$A$30</c:f>
              <c:strCache>
                <c:ptCount val="1"/>
                <c:pt idx="0">
                  <c:v>Low level coverage</c:v>
                </c:pt>
              </c:strCache>
            </c:strRef>
          </c:tx>
          <c:dLbls>
            <c:spPr>
              <a:noFill/>
              <a:ln>
                <a:noFill/>
              </a:ln>
              <a:effectLst/>
            </c:spPr>
            <c:dLblPos val="inEnd"/>
            <c:showLegendKey val="0"/>
            <c:showVal val="0"/>
            <c:showCatName val="0"/>
            <c:showSerName val="0"/>
            <c:showPercent val="1"/>
            <c:showBubbleSize val="0"/>
            <c:showLeaderLines val="1"/>
            <c:extLst>
              <c:ext xmlns:c15="http://schemas.microsoft.com/office/drawing/2012/chart" uri="{CE6537A1-D6FC-4f65-9D91-7224C49458BB}"/>
            </c:extLst>
          </c:dLbls>
          <c:cat>
            <c:strRef>
              <c:f>Statistics!$A$32:$A$33</c:f>
              <c:strCache>
                <c:ptCount val="2"/>
                <c:pt idx="0">
                  <c:v>Satisfied by a low level requirement</c:v>
                </c:pt>
                <c:pt idx="1">
                  <c:v>Not satisfied by a low level requirement</c:v>
                </c:pt>
              </c:strCache>
            </c:strRef>
          </c:cat>
          <c:val>
            <c:numRef>
              <c:f>Statistics!$B$32:$B$33</c:f>
              <c:numCache>
                <c:formatCode>0</c:formatCode>
                <c:ptCount val="2"/>
                <c:pt idx="0" formatCode="General">
                  <c:v>0</c:v>
                </c:pt>
                <c:pt idx="1">
                  <c:v>0</c:v>
                </c:pt>
              </c:numCache>
            </c:numRef>
          </c:val>
          <c:extLst>
            <c:ext xmlns:c16="http://schemas.microsoft.com/office/drawing/2014/chart" uri="{C3380CC4-5D6E-409C-BE32-E72D297353CC}">
              <c16:uniqueId val="{00000009-2B70-4B23-9FEF-00F5695F1DDA}"/>
            </c:ext>
          </c:extLst>
        </c:ser>
        <c:dLbls>
          <c:dLblPos val="inEnd"/>
          <c:showLegendKey val="0"/>
          <c:showVal val="0"/>
          <c:showCatName val="0"/>
          <c:showSerName val="0"/>
          <c:showPercent val="1"/>
          <c:showBubbleSize val="0"/>
          <c:showLeaderLines val="1"/>
        </c:dLbls>
        <c:firstSliceAng val="0"/>
      </c:pieChart>
    </c:plotArea>
    <c:legend>
      <c:legendPos val="b"/>
      <c:layout>
        <c:manualLayout>
          <c:xMode val="edge"/>
          <c:yMode val="edge"/>
          <c:x val="0.12822209954383007"/>
          <c:y val="0.84836812549594109"/>
          <c:w val="0.74777726123717925"/>
          <c:h val="0.12208525739095445"/>
        </c:manualLayout>
      </c:layout>
      <c:overlay val="0"/>
      <c:spPr>
        <a:solidFill>
          <a:schemeClr val="lt1">
            <a:alpha val="78000"/>
          </a:schemeClr>
        </a:solidFill>
        <a:ln>
          <a:noFill/>
        </a:ln>
        <a:effectLst/>
      </c:spPr>
      <c:txPr>
        <a:bodyPr rot="0" spcFirstLastPara="1" vertOverflow="ellipsis" vert="horz" wrap="square" anchor="ctr" anchorCtr="1"/>
        <a:lstStyle/>
        <a:p>
          <a:pPr rtl="0">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31160460122188749"/>
          <c:y val="0.11330767941686455"/>
          <c:w val="0.40638910622430124"/>
          <c:h val="0.71383707384170558"/>
        </c:manualLayout>
      </c:layout>
      <c:pieChart>
        <c:varyColors val="1"/>
        <c:ser>
          <c:idx val="0"/>
          <c:order val="0"/>
          <c:tx>
            <c:strRef>
              <c:f>Statistics!$A$90</c:f>
              <c:strCache>
                <c:ptCount val="1"/>
                <c:pt idx="0">
                  <c:v>Test coverage</c:v>
                </c:pt>
              </c:strCache>
            </c:strRef>
          </c:tx>
          <c:dLbls>
            <c:spPr>
              <a:noFill/>
              <a:ln>
                <a:noFill/>
              </a:ln>
              <a:effectLst/>
            </c:spPr>
            <c:dLblPos val="inEnd"/>
            <c:showLegendKey val="0"/>
            <c:showVal val="0"/>
            <c:showCatName val="0"/>
            <c:showSerName val="0"/>
            <c:showPercent val="1"/>
            <c:showBubbleSize val="0"/>
            <c:showLeaderLines val="1"/>
            <c:extLst>
              <c:ext xmlns:c15="http://schemas.microsoft.com/office/drawing/2012/chart" uri="{CE6537A1-D6FC-4f65-9D91-7224C49458BB}"/>
            </c:extLst>
          </c:dLbls>
          <c:cat>
            <c:multiLvlStrRef>
              <c:f>Statistics!$A$92:$A$93</c:f>
            </c:multiLvlStrRef>
          </c:cat>
          <c:val>
            <c:numRef>
              <c:f>Statistics!$B$92:$B$93</c:f>
            </c:numRef>
          </c:val>
          <c:extLst>
            <c:ext xmlns:c16="http://schemas.microsoft.com/office/drawing/2014/chart" uri="{C3380CC4-5D6E-409C-BE32-E72D297353CC}">
              <c16:uniqueId val="{00000000-7214-4968-B987-CD1F9D40AFAB}"/>
            </c:ext>
          </c:extLst>
        </c:ser>
        <c:ser>
          <c:idx val="1"/>
          <c:order val="1"/>
          <c:tx>
            <c:strRef>
              <c:f>Statistics!$A$30</c:f>
              <c:strCache>
                <c:ptCount val="1"/>
                <c:pt idx="0">
                  <c:v>Low level coverage</c:v>
                </c:pt>
              </c:strCache>
            </c:strRef>
          </c:tx>
          <c:dLbls>
            <c:spPr>
              <a:noFill/>
              <a:ln>
                <a:noFill/>
              </a:ln>
              <a:effectLst/>
            </c:spPr>
            <c:dLblPos val="inEnd"/>
            <c:showLegendKey val="0"/>
            <c:showVal val="0"/>
            <c:showCatName val="0"/>
            <c:showSerName val="0"/>
            <c:showPercent val="1"/>
            <c:showBubbleSize val="0"/>
            <c:showLeaderLines val="1"/>
            <c:extLst>
              <c:ext xmlns:c15="http://schemas.microsoft.com/office/drawing/2012/chart" uri="{CE6537A1-D6FC-4f65-9D91-7224C49458BB}"/>
            </c:extLst>
          </c:dLbls>
          <c:cat>
            <c:multiLvlStrRef>
              <c:f>Statistics!$A$92:$A$93</c:f>
            </c:multiLvlStrRef>
          </c:cat>
          <c:val>
            <c:numRef>
              <c:f>Statistics!$B$32:$B$33</c:f>
              <c:numCache>
                <c:formatCode>0</c:formatCode>
                <c:ptCount val="2"/>
                <c:pt idx="0" formatCode="General">
                  <c:v>0</c:v>
                </c:pt>
                <c:pt idx="1">
                  <c:v>0</c:v>
                </c:pt>
              </c:numCache>
            </c:numRef>
          </c:val>
          <c:extLst>
            <c:ext xmlns:c16="http://schemas.microsoft.com/office/drawing/2014/chart" uri="{C3380CC4-5D6E-409C-BE32-E72D297353CC}">
              <c16:uniqueId val="{00000009-2B70-4B23-9FEF-00F5695F1DDA}"/>
            </c:ext>
          </c:extLst>
        </c:ser>
        <c:dLbls>
          <c:dLblPos val="inEnd"/>
          <c:showLegendKey val="0"/>
          <c:showVal val="0"/>
          <c:showCatName val="0"/>
          <c:showSerName val="0"/>
          <c:showPercent val="1"/>
          <c:showBubbleSize val="0"/>
          <c:showLeaderLines val="1"/>
        </c:dLbls>
        <c:firstSliceAng val="0"/>
      </c:pieChart>
    </c:plotArea>
    <c:legend>
      <c:legendPos val="b"/>
      <c:layout>
        <c:manualLayout>
          <c:xMode val="edge"/>
          <c:yMode val="edge"/>
          <c:x val="0.22785316729025892"/>
          <c:y val="0.88430685975314327"/>
          <c:w val="0.54851521219422039"/>
          <c:h val="8.2270468507927047E-2"/>
        </c:manualLayout>
      </c:layout>
      <c:overlay val="0"/>
      <c:spPr>
        <a:solidFill>
          <a:schemeClr val="lt1">
            <a:alpha val="78000"/>
          </a:schemeClr>
        </a:solidFill>
        <a:ln>
          <a:noFill/>
        </a:ln>
        <a:effectLst/>
      </c:spPr>
      <c:txPr>
        <a:bodyPr rot="0" spcFirstLastPara="1" vertOverflow="ellipsis" vert="horz" wrap="square" anchor="ctr" anchorCtr="1"/>
        <a:lstStyle/>
        <a:p>
          <a:pPr rtl="0">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31160460122188749"/>
          <c:y val="0.11330767941686455"/>
          <c:w val="0.40638910622430124"/>
          <c:h val="0.71383707384170558"/>
        </c:manualLayout>
      </c:layout>
      <c:pieChart>
        <c:varyColors val="1"/>
        <c:ser>
          <c:idx val="0"/>
          <c:order val="0"/>
          <c:tx>
            <c:strRef>
              <c:f>Statistics!$A$109</c:f>
              <c:strCache>
                <c:ptCount val="1"/>
                <c:pt idx="0">
                  <c:v>Tests results</c:v>
                </c:pt>
              </c:strCache>
            </c:strRef>
          </c:tx>
          <c:dPt>
            <c:idx val="0"/>
            <c:bubble3D val="0"/>
            <c:spPr>
              <a:solidFill>
                <a:srgbClr val="00B050"/>
              </a:solidFill>
            </c:spPr>
            <c:extLst>
              <c:ext xmlns:c16="http://schemas.microsoft.com/office/drawing/2014/chart" uri="{C3380CC4-5D6E-409C-BE32-E72D297353CC}">
                <c16:uniqueId val="{00000001-F659-4797-9A86-95B8ED37F384}"/>
              </c:ext>
            </c:extLst>
          </c:dPt>
          <c:dPt>
            <c:idx val="2"/>
            <c:bubble3D val="0"/>
            <c:spPr>
              <a:solidFill>
                <a:srgbClr val="00B0F0"/>
              </a:solidFill>
            </c:spPr>
            <c:extLst>
              <c:ext xmlns:c16="http://schemas.microsoft.com/office/drawing/2014/chart" uri="{C3380CC4-5D6E-409C-BE32-E72D297353CC}">
                <c16:uniqueId val="{00000003-F659-4797-9A86-95B8ED37F384}"/>
              </c:ext>
            </c:extLst>
          </c:dPt>
          <c:dLbls>
            <c:spPr>
              <a:noFill/>
              <a:ln>
                <a:noFill/>
              </a:ln>
              <a:effectLst/>
            </c:spPr>
            <c:dLblPos val="inEnd"/>
            <c:showLegendKey val="0"/>
            <c:showVal val="0"/>
            <c:showCatName val="0"/>
            <c:showSerName val="0"/>
            <c:showPercent val="1"/>
            <c:showBubbleSize val="0"/>
            <c:showLeaderLines val="1"/>
            <c:extLst>
              <c:ext xmlns:c15="http://schemas.microsoft.com/office/drawing/2012/chart" uri="{CE6537A1-D6FC-4f65-9D91-7224C49458BB}"/>
            </c:extLst>
          </c:dLbls>
          <c:cat>
            <c:multiLvlStrRef>
              <c:f>Statistics!$A$116:$A$118</c:f>
            </c:multiLvlStrRef>
          </c:cat>
          <c:val>
            <c:numRef>
              <c:f>Statistics!$B$116:$B$118</c:f>
            </c:numRef>
          </c:val>
          <c:extLst>
            <c:ext xmlns:c16="http://schemas.microsoft.com/office/drawing/2014/chart" uri="{C3380CC4-5D6E-409C-BE32-E72D297353CC}">
              <c16:uniqueId val="{00000004-F659-4797-9A86-95B8ED37F384}"/>
            </c:ext>
          </c:extLst>
        </c:ser>
        <c:ser>
          <c:idx val="1"/>
          <c:order val="1"/>
          <c:tx>
            <c:strRef>
              <c:f>Statistics!$A$30</c:f>
              <c:strCache>
                <c:ptCount val="1"/>
                <c:pt idx="0">
                  <c:v>Low level coverage</c:v>
                </c:pt>
              </c:strCache>
            </c:strRef>
          </c:tx>
          <c:dLbls>
            <c:spPr>
              <a:noFill/>
              <a:ln>
                <a:noFill/>
              </a:ln>
              <a:effectLst/>
            </c:spPr>
            <c:dLblPos val="inEnd"/>
            <c:showLegendKey val="0"/>
            <c:showVal val="0"/>
            <c:showCatName val="0"/>
            <c:showSerName val="0"/>
            <c:showPercent val="1"/>
            <c:showBubbleSize val="0"/>
            <c:showLeaderLines val="1"/>
            <c:extLst>
              <c:ext xmlns:c15="http://schemas.microsoft.com/office/drawing/2012/chart" uri="{CE6537A1-D6FC-4f65-9D91-7224C49458BB}"/>
            </c:extLst>
          </c:dLbls>
          <c:cat>
            <c:multiLvlStrRef>
              <c:f>Statistics!$A$116:$A$118</c:f>
            </c:multiLvlStrRef>
          </c:cat>
          <c:val>
            <c:numRef>
              <c:f>Statistics!$B$32:$B$33</c:f>
              <c:numCache>
                <c:formatCode>0</c:formatCode>
                <c:ptCount val="2"/>
                <c:pt idx="0" formatCode="General">
                  <c:v>0</c:v>
                </c:pt>
                <c:pt idx="1">
                  <c:v>0</c:v>
                </c:pt>
              </c:numCache>
            </c:numRef>
          </c:val>
          <c:extLst>
            <c:ext xmlns:c16="http://schemas.microsoft.com/office/drawing/2014/chart" uri="{C3380CC4-5D6E-409C-BE32-E72D297353CC}">
              <c16:uniqueId val="{00000009-2B70-4B23-9FEF-00F5695F1DDA}"/>
            </c:ext>
          </c:extLst>
        </c:ser>
        <c:dLbls>
          <c:dLblPos val="inEnd"/>
          <c:showLegendKey val="0"/>
          <c:showVal val="0"/>
          <c:showCatName val="0"/>
          <c:showSerName val="0"/>
          <c:showPercent val="1"/>
          <c:showBubbleSize val="0"/>
          <c:showLeaderLines val="1"/>
        </c:dLbls>
        <c:firstSliceAng val="0"/>
      </c:pieChart>
    </c:plotArea>
    <c:legend>
      <c:legendPos val="b"/>
      <c:layout>
        <c:manualLayout>
          <c:xMode val="edge"/>
          <c:yMode val="edge"/>
          <c:x val="0.22785316729025892"/>
          <c:y val="0.88430685975314327"/>
          <c:w val="0.54851521219422039"/>
          <c:h val="8.2270468507927047E-2"/>
        </c:manualLayout>
      </c:layout>
      <c:overlay val="0"/>
      <c:spPr>
        <a:solidFill>
          <a:schemeClr val="lt1">
            <a:alpha val="78000"/>
          </a:schemeClr>
        </a:solidFill>
        <a:ln>
          <a:noFill/>
        </a:ln>
        <a:effectLst/>
      </c:spPr>
      <c:txPr>
        <a:bodyPr rot="0" spcFirstLastPara="1" vertOverflow="ellipsis" vert="horz" wrap="square" anchor="ctr" anchorCtr="1"/>
        <a:lstStyle/>
        <a:p>
          <a:pPr rtl="0">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20493567077700192"/>
          <c:y val="0.23929255936031252"/>
          <c:w val="0.59012895557866585"/>
          <c:h val="0.6061402063114204"/>
        </c:manualLayout>
      </c:layout>
      <c:pieChart>
        <c:varyColors val="1"/>
        <c:ser>
          <c:idx val="1"/>
          <c:order val="0"/>
          <c:tx>
            <c:strRef>
              <c:f>Statistics!$A$11</c:f>
              <c:strCache>
                <c:ptCount val="1"/>
                <c:pt idx="0">
                  <c:v>Functional / Non-functional requirements</c:v>
                </c:pt>
              </c:strCache>
            </c:strRef>
          </c:tx>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Statistics!$A$13:$A$14</c:f>
              <c:strCache>
                <c:ptCount val="2"/>
                <c:pt idx="0">
                  <c:v>Functional requirements</c:v>
                </c:pt>
                <c:pt idx="1">
                  <c:v>Non-functional requirements</c:v>
                </c:pt>
              </c:strCache>
            </c:strRef>
          </c:cat>
          <c:val>
            <c:numRef>
              <c:f>Statistics!$B$13:$B$14</c:f>
              <c:numCache>
                <c:formatCode>0</c:formatCode>
                <c:ptCount val="2"/>
                <c:pt idx="0" formatCode="General">
                  <c:v>0</c:v>
                </c:pt>
                <c:pt idx="1">
                  <c:v>0</c:v>
                </c:pt>
              </c:numCache>
            </c:numRef>
          </c:val>
          <c:extLst>
            <c:ext xmlns:c16="http://schemas.microsoft.com/office/drawing/2014/chart" uri="{C3380CC4-5D6E-409C-BE32-E72D297353CC}">
              <c16:uniqueId val="{00000009-2B70-4B23-9FEF-00F5695F1DDA}"/>
            </c:ext>
          </c:extLst>
        </c:ser>
        <c:dLbls>
          <c:dLblPos val="inEnd"/>
          <c:showLegendKey val="0"/>
          <c:showVal val="0"/>
          <c:showCatName val="0"/>
          <c:showSerName val="0"/>
          <c:showPercent val="1"/>
          <c:showBubbleSize val="0"/>
          <c:showLeaderLines val="1"/>
        </c:dLbls>
        <c:firstSliceAng val="0"/>
      </c:pieChart>
    </c:plotArea>
    <c:legend>
      <c:legendPos val="b"/>
      <c:layout>
        <c:manualLayout>
          <c:xMode val="edge"/>
          <c:yMode val="edge"/>
          <c:x val="0.1259664240083197"/>
          <c:y val="0.88065403161814071"/>
          <c:w val="0.74474164314366365"/>
          <c:h val="9.7551120063480434E-2"/>
        </c:manualLayout>
      </c:layout>
      <c:overlay val="0"/>
      <c:spPr>
        <a:solidFill>
          <a:schemeClr val="lt1">
            <a:alpha val="78000"/>
          </a:schemeClr>
        </a:solidFill>
        <a:ln>
          <a:noFill/>
        </a:ln>
        <a:effectLst/>
      </c:spPr>
      <c:txPr>
        <a:bodyPr rot="0" spcFirstLastPara="1" vertOverflow="ellipsis" vert="horz" wrap="square" anchor="ctr" anchorCtr="1"/>
        <a:lstStyle/>
        <a:p>
          <a:pPr rtl="0">
            <a:defRPr sz="1000" b="0" i="0" u="none" strike="noStrike" kern="1200" baseline="0">
              <a:solidFill>
                <a:schemeClr val="dk1">
                  <a:lumMod val="65000"/>
                  <a:lumOff val="35000"/>
                </a:schemeClr>
              </a:solidFill>
              <a:latin typeface="+mn-lt"/>
              <a:ea typeface="+mn-ea"/>
              <a:cs typeface="+mn-cs"/>
            </a:defRPr>
          </a:pPr>
          <a:endParaRPr lang="en-US"/>
        </a:p>
      </c:txPr>
    </c:legend>
    <c:plotVisOnly val="0"/>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2090483636150796"/>
          <c:y val="6.7854113655640372E-3"/>
          <c:w val="0.27405561780423754"/>
          <c:h val="0.94636699940066549"/>
        </c:manualLayout>
      </c:layout>
      <c:pieChart>
        <c:varyColors val="1"/>
        <c:ser>
          <c:idx val="0"/>
          <c:order val="0"/>
          <c:dPt>
            <c:idx val="0"/>
            <c:bubble3D val="0"/>
            <c:spPr>
              <a:solidFill>
                <a:schemeClr val="tx1">
                  <a:lumMod val="65000"/>
                  <a:lumOff val="35000"/>
                </a:schemeClr>
              </a:solidFill>
            </c:spPr>
            <c:extLst>
              <c:ext xmlns:c16="http://schemas.microsoft.com/office/drawing/2014/chart" uri="{C3380CC4-5D6E-409C-BE32-E72D297353CC}">
                <c16:uniqueId val="{00000001-E699-45D5-868F-AC2899B06076}"/>
              </c:ext>
            </c:extLst>
          </c:dPt>
          <c:dPt>
            <c:idx val="1"/>
            <c:bubble3D val="0"/>
            <c:spPr>
              <a:solidFill>
                <a:schemeClr val="accent6"/>
              </a:solidFill>
            </c:spPr>
            <c:extLst>
              <c:ext xmlns:c16="http://schemas.microsoft.com/office/drawing/2014/chart" uri="{C3380CC4-5D6E-409C-BE32-E72D297353CC}">
                <c16:uniqueId val="{00000003-E699-45D5-868F-AC2899B06076}"/>
              </c:ext>
            </c:extLst>
          </c:dPt>
          <c:dPt>
            <c:idx val="2"/>
            <c:bubble3D val="0"/>
            <c:spPr>
              <a:solidFill>
                <a:srgbClr val="FFFF00"/>
              </a:solidFill>
            </c:spPr>
            <c:extLst>
              <c:ext xmlns:c16="http://schemas.microsoft.com/office/drawing/2014/chart" uri="{C3380CC4-5D6E-409C-BE32-E72D297353CC}">
                <c16:uniqueId val="{00000005-E699-45D5-868F-AC2899B06076}"/>
              </c:ext>
            </c:extLst>
          </c:dPt>
          <c:dPt>
            <c:idx val="3"/>
            <c:bubble3D val="0"/>
            <c:explosion val="3"/>
            <c:spPr>
              <a:solidFill>
                <a:srgbClr val="00B050"/>
              </a:solidFill>
            </c:spPr>
            <c:extLst>
              <c:ext xmlns:c16="http://schemas.microsoft.com/office/drawing/2014/chart" uri="{C3380CC4-5D6E-409C-BE32-E72D297353CC}">
                <c16:uniqueId val="{00000007-E699-45D5-868F-AC2899B06076}"/>
              </c:ext>
            </c:extLst>
          </c:dPt>
          <c:dPt>
            <c:idx val="4"/>
            <c:bubble3D val="0"/>
            <c:extLst>
              <c:ext xmlns:c16="http://schemas.microsoft.com/office/drawing/2014/chart" uri="{C3380CC4-5D6E-409C-BE32-E72D297353CC}">
                <c16:uniqueId val="{00000008-E699-45D5-868F-AC2899B06076}"/>
              </c:ext>
            </c:extLst>
          </c:dPt>
          <c:dLbls>
            <c:dLbl>
              <c:idx val="0"/>
              <c:spPr/>
              <c:txPr>
                <a:bodyPr/>
                <a:lstStyle/>
                <a:p>
                  <a:pPr>
                    <a:defRPr sz="1000" b="0" i="0" u="none" strike="noStrike" baseline="0">
                      <a:solidFill>
                        <a:srgbClr val="000000"/>
                      </a:solidFill>
                      <a:latin typeface="Calibri"/>
                      <a:ea typeface="Calibri"/>
                      <a:cs typeface="Calibri"/>
                    </a:defRPr>
                  </a:pPr>
                  <a:endParaRPr lang="en-US"/>
                </a:p>
              </c:txPr>
              <c:dLblPos val="inEnd"/>
              <c:showLegendKey val="0"/>
              <c:showVal val="0"/>
              <c:showCatName val="0"/>
              <c:showSerName val="0"/>
              <c:showPercent val="1"/>
              <c:showBubbleSize val="0"/>
              <c:extLst>
                <c:ext xmlns:c16="http://schemas.microsoft.com/office/drawing/2014/chart" uri="{C3380CC4-5D6E-409C-BE32-E72D297353CC}">
                  <c16:uniqueId val="{00000001-E699-45D5-868F-AC2899B06076}"/>
                </c:ext>
              </c:extLst>
            </c:dLbl>
            <c:dLbl>
              <c:idx val="1"/>
              <c:spPr/>
              <c:txPr>
                <a:bodyPr/>
                <a:lstStyle/>
                <a:p>
                  <a:pPr>
                    <a:defRPr sz="1000" b="0" i="0" u="none" strike="noStrike" baseline="0">
                      <a:solidFill>
                        <a:srgbClr val="000000"/>
                      </a:solidFill>
                      <a:latin typeface="Calibri"/>
                      <a:ea typeface="Calibri"/>
                      <a:cs typeface="Calibri"/>
                    </a:defRPr>
                  </a:pPr>
                  <a:endParaRPr lang="en-US"/>
                </a:p>
              </c:txPr>
              <c:dLblPos val="inEnd"/>
              <c:showLegendKey val="0"/>
              <c:showVal val="0"/>
              <c:showCatName val="0"/>
              <c:showSerName val="0"/>
              <c:showPercent val="1"/>
              <c:showBubbleSize val="0"/>
              <c:extLst>
                <c:ext xmlns:c16="http://schemas.microsoft.com/office/drawing/2014/chart" uri="{C3380CC4-5D6E-409C-BE32-E72D297353CC}">
                  <c16:uniqueId val="{00000003-E699-45D5-868F-AC2899B06076}"/>
                </c:ext>
              </c:extLst>
            </c:dLbl>
            <c:dLbl>
              <c:idx val="2"/>
              <c:spPr/>
              <c:txPr>
                <a:bodyPr/>
                <a:lstStyle/>
                <a:p>
                  <a:pPr>
                    <a:defRPr sz="1000" b="0" i="0" u="none" strike="noStrike" baseline="0">
                      <a:solidFill>
                        <a:srgbClr val="000000"/>
                      </a:solidFill>
                      <a:latin typeface="Calibri"/>
                      <a:ea typeface="Calibri"/>
                      <a:cs typeface="Calibri"/>
                    </a:defRPr>
                  </a:pPr>
                  <a:endParaRPr lang="en-US"/>
                </a:p>
              </c:txPr>
              <c:dLblPos val="inEnd"/>
              <c:showLegendKey val="0"/>
              <c:showVal val="0"/>
              <c:showCatName val="0"/>
              <c:showSerName val="0"/>
              <c:showPercent val="1"/>
              <c:showBubbleSize val="0"/>
              <c:extLst>
                <c:ext xmlns:c16="http://schemas.microsoft.com/office/drawing/2014/chart" uri="{C3380CC4-5D6E-409C-BE32-E72D297353CC}">
                  <c16:uniqueId val="{00000005-E699-45D5-868F-AC2899B06076}"/>
                </c:ext>
              </c:extLst>
            </c:dLbl>
            <c:dLbl>
              <c:idx val="4"/>
              <c:spPr/>
              <c:txPr>
                <a:bodyPr/>
                <a:lstStyle/>
                <a:p>
                  <a:pPr>
                    <a:defRPr sz="1000" b="0" i="0" u="none" strike="noStrike" baseline="0">
                      <a:solidFill>
                        <a:srgbClr val="000000"/>
                      </a:solidFill>
                      <a:latin typeface="Calibri"/>
                      <a:ea typeface="Calibri"/>
                      <a:cs typeface="Calibri"/>
                    </a:defRPr>
                  </a:pPr>
                  <a:endParaRPr lang="en-US"/>
                </a:p>
              </c:txPr>
              <c:dLblPos val="inEnd"/>
              <c:showLegendKey val="0"/>
              <c:showVal val="0"/>
              <c:showCatName val="0"/>
              <c:showSerName val="0"/>
              <c:showPercent val="1"/>
              <c:showBubbleSize val="0"/>
              <c:extLst>
                <c:ext xmlns:c16="http://schemas.microsoft.com/office/drawing/2014/chart" uri="{C3380CC4-5D6E-409C-BE32-E72D297353CC}">
                  <c16:uniqueId val="{00000008-E699-45D5-868F-AC2899B06076}"/>
                </c:ext>
              </c:extLst>
            </c:dLbl>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dLblPos val="inEnd"/>
            <c:showLegendKey val="0"/>
            <c:showVal val="0"/>
            <c:showCatName val="0"/>
            <c:showSerName val="0"/>
            <c:showPercent val="1"/>
            <c:showBubbleSize val="0"/>
            <c:showLeaderLines val="1"/>
            <c:extLst>
              <c:ext xmlns:c15="http://schemas.microsoft.com/office/drawing/2012/chart" uri="{CE6537A1-D6FC-4f65-9D91-7224C49458BB}"/>
            </c:extLst>
          </c:dLbls>
          <c:cat>
            <c:strRef>
              <c:f>'Requirement Status'!$C$3:$G$3</c:f>
              <c:strCache>
                <c:ptCount val="5"/>
                <c:pt idx="0">
                  <c:v>Init</c:v>
                </c:pt>
                <c:pt idx="1">
                  <c:v>In Review</c:v>
                </c:pt>
                <c:pt idx="2">
                  <c:v>To be clarified 
(or To be discussed improved / Not Agreed)</c:v>
                </c:pt>
                <c:pt idx="3">
                  <c:v>Applicable 
(or Agreed/Yes)</c:v>
                </c:pt>
                <c:pt idx="4">
                  <c:v>Applicable (or agreed) with deviation</c:v>
                </c:pt>
              </c:strCache>
            </c:strRef>
          </c:cat>
          <c:val>
            <c:numRef>
              <c:f>'Requirement Status'!$C$4:$G$4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9-E699-45D5-868F-AC2899B06076}"/>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71347007993863787"/>
          <c:y val="6.2516791700250075E-3"/>
          <c:w val="0.27740900538117674"/>
          <c:h val="0.97174861016388703"/>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479" name="Picture 12">
          <a:extLst>
            <a:ext uri="{FF2B5EF4-FFF2-40B4-BE49-F238E27FC236}">
              <a16:creationId xmlns:a16="http://schemas.microsoft.com/office/drawing/2014/main" id="{00000000-0008-0000-0000-0000C70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480" name="Picture 13">
          <a:extLst>
            <a:ext uri="{FF2B5EF4-FFF2-40B4-BE49-F238E27FC236}">
              <a16:creationId xmlns:a16="http://schemas.microsoft.com/office/drawing/2014/main" id="{00000000-0008-0000-0000-0000C805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833" name="Picture 1">
          <a:extLst>
            <a:ext uri="{FF2B5EF4-FFF2-40B4-BE49-F238E27FC236}">
              <a16:creationId xmlns:a16="http://schemas.microsoft.com/office/drawing/2014/main" id="{00000000-0008-0000-0100-0000D93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834" name="Picture 2">
          <a:extLst>
            <a:ext uri="{FF2B5EF4-FFF2-40B4-BE49-F238E27FC236}">
              <a16:creationId xmlns:a16="http://schemas.microsoft.com/office/drawing/2014/main" id="{00000000-0008-0000-0100-0000DA3D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104775</xdr:colOff>
          <xdr:row>0</xdr:row>
          <xdr:rowOff>114300</xdr:rowOff>
        </xdr:from>
        <xdr:to>
          <xdr:col>3</xdr:col>
          <xdr:colOff>1533525</xdr:colOff>
          <xdr:row>0</xdr:row>
          <xdr:rowOff>476250</xdr:rowOff>
        </xdr:to>
        <xdr:sp macro="" textlink="">
          <xdr:nvSpPr>
            <xdr:cNvPr id="19457" name="UpdateStatisticsButton" hidden="1">
              <a:extLst>
                <a:ext uri="{63B3BB69-23CF-44E3-9099-C40C66FF867C}">
                  <a14:compatExt spid="_x0000_s19457"/>
                </a:ext>
                <a:ext uri="{FF2B5EF4-FFF2-40B4-BE49-F238E27FC236}">
                  <a16:creationId xmlns:a16="http://schemas.microsoft.com/office/drawing/2014/main" id="{00000000-0008-0000-03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104775</xdr:colOff>
          <xdr:row>0</xdr:row>
          <xdr:rowOff>609600</xdr:rowOff>
        </xdr:from>
        <xdr:to>
          <xdr:col>3</xdr:col>
          <xdr:colOff>1524000</xdr:colOff>
          <xdr:row>0</xdr:row>
          <xdr:rowOff>971550</xdr:rowOff>
        </xdr:to>
        <xdr:sp macro="" textlink="">
          <xdr:nvSpPr>
            <xdr:cNvPr id="19458" name="ImportPRMButton"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1428750</xdr:colOff>
          <xdr:row>0</xdr:row>
          <xdr:rowOff>95250</xdr:rowOff>
        </xdr:from>
        <xdr:to>
          <xdr:col>13</xdr:col>
          <xdr:colOff>2905125</xdr:colOff>
          <xdr:row>0</xdr:row>
          <xdr:rowOff>1000125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300-0000034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Generate List of Requirements Without Satisfies</a:t>
              </a:r>
            </a:p>
          </xdr:txBody>
        </xdr:sp>
        <xdr:clientData fPrintsWithSheet="0"/>
      </xdr:twoCellAnchor>
    </mc:Choice>
    <mc:Fallback/>
  </mc:AlternateContent>
  <xdr:twoCellAnchor>
    <xdr:from>
      <xdr:col>11</xdr:col>
      <xdr:colOff>76200</xdr:colOff>
      <xdr:row>110</xdr:row>
      <xdr:rowOff>104775</xdr:rowOff>
    </xdr:from>
    <xdr:to>
      <xdr:col>14</xdr:col>
      <xdr:colOff>1038225</xdr:colOff>
      <xdr:row>121</xdr:row>
      <xdr:rowOff>47625</xdr:rowOff>
    </xdr:to>
    <xdr:graphicFrame macro="">
      <xdr:nvGraphicFramePr>
        <xdr:cNvPr id="13" name="Chart 1">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76200</xdr:colOff>
      <xdr:row>110</xdr:row>
      <xdr:rowOff>104775</xdr:rowOff>
    </xdr:from>
    <xdr:to>
      <xdr:col>16</xdr:col>
      <xdr:colOff>1038225</xdr:colOff>
      <xdr:row>121</xdr:row>
      <xdr:rowOff>47625</xdr:rowOff>
    </xdr:to>
    <xdr:graphicFrame macro="">
      <xdr:nvGraphicFramePr>
        <xdr:cNvPr id="17" name="Chart 1">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228600</xdr:colOff>
      <xdr:row>48</xdr:row>
      <xdr:rowOff>63500</xdr:rowOff>
    </xdr:from>
    <xdr:to>
      <xdr:col>5</xdr:col>
      <xdr:colOff>457200</xdr:colOff>
      <xdr:row>65</xdr:row>
      <xdr:rowOff>25400</xdr:rowOff>
    </xdr:to>
    <xdr:graphicFrame macro="">
      <xdr:nvGraphicFramePr>
        <xdr:cNvPr id="68" name="Chart 8">
          <a:extLst>
            <a:ext uri="{FF2B5EF4-FFF2-40B4-BE49-F238E27FC236}">
              <a16:creationId xmlns:a16="http://schemas.microsoft.com/office/drawing/2014/main" id="{00000000-0008-0000-03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215900</xdr:colOff>
      <xdr:row>30</xdr:row>
      <xdr:rowOff>12700</xdr:rowOff>
    </xdr:from>
    <xdr:to>
      <xdr:col>13</xdr:col>
      <xdr:colOff>2197100</xdr:colOff>
      <xdr:row>46</xdr:row>
      <xdr:rowOff>88900</xdr:rowOff>
    </xdr:to>
    <xdr:graphicFrame macro="">
      <xdr:nvGraphicFramePr>
        <xdr:cNvPr id="69" name="Chart 8">
          <a:extLst>
            <a:ext uri="{FF2B5EF4-FFF2-40B4-BE49-F238E27FC236}">
              <a16:creationId xmlns:a16="http://schemas.microsoft.com/office/drawing/2014/main" id="{00000000-0008-0000-03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190500</xdr:colOff>
      <xdr:row>90</xdr:row>
      <xdr:rowOff>12700</xdr:rowOff>
    </xdr:from>
    <xdr:to>
      <xdr:col>5</xdr:col>
      <xdr:colOff>596900</xdr:colOff>
      <xdr:row>107</xdr:row>
      <xdr:rowOff>114300</xdr:rowOff>
    </xdr:to>
    <xdr:graphicFrame macro="">
      <xdr:nvGraphicFramePr>
        <xdr:cNvPr id="70" name="Chart 8">
          <a:extLst>
            <a:ext uri="{FF2B5EF4-FFF2-40B4-BE49-F238E27FC236}">
              <a16:creationId xmlns:a16="http://schemas.microsoft.com/office/drawing/2014/main" id="{00000000-0008-0000-0300-00004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190500</xdr:colOff>
      <xdr:row>109</xdr:row>
      <xdr:rowOff>101600</xdr:rowOff>
    </xdr:from>
    <xdr:to>
      <xdr:col>5</xdr:col>
      <xdr:colOff>622300</xdr:colOff>
      <xdr:row>122</xdr:row>
      <xdr:rowOff>25400</xdr:rowOff>
    </xdr:to>
    <xdr:graphicFrame macro="">
      <xdr:nvGraphicFramePr>
        <xdr:cNvPr id="74" name="Chart 8">
          <a:extLst>
            <a:ext uri="{FF2B5EF4-FFF2-40B4-BE49-F238E27FC236}">
              <a16:creationId xmlns:a16="http://schemas.microsoft.com/office/drawing/2014/main" id="{00000000-0008-0000-03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13</xdr:col>
          <xdr:colOff>38100</xdr:colOff>
          <xdr:row>0</xdr:row>
          <xdr:rowOff>114300</xdr:rowOff>
        </xdr:from>
        <xdr:to>
          <xdr:col>13</xdr:col>
          <xdr:colOff>1371600</xdr:colOff>
          <xdr:row>0</xdr:row>
          <xdr:rowOff>1000125</xdr:rowOff>
        </xdr:to>
        <xdr:sp macro="" textlink="">
          <xdr:nvSpPr>
            <xdr:cNvPr id="19932" name="Button 476" hidden="1">
              <a:extLst>
                <a:ext uri="{63B3BB69-23CF-44E3-9099-C40C66FF867C}">
                  <a14:compatExt spid="_x0000_s19932"/>
                </a:ext>
                <a:ext uri="{FF2B5EF4-FFF2-40B4-BE49-F238E27FC236}">
                  <a16:creationId xmlns:a16="http://schemas.microsoft.com/office/drawing/2014/main" id="{00000000-0008-0000-0300-0000DC4D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Generate Requirements Test Status</a:t>
              </a:r>
            </a:p>
          </xdr:txBody>
        </xdr:sp>
        <xdr:clientData fPrintsWithSheet="0"/>
      </xdr:twoCellAnchor>
    </mc:Choice>
    <mc:Fallback/>
  </mc:AlternateContent>
  <xdr:twoCellAnchor editAs="oneCell">
    <xdr:from>
      <xdr:col>3</xdr:col>
      <xdr:colOff>215900</xdr:colOff>
      <xdr:row>11</xdr:row>
      <xdr:rowOff>63500</xdr:rowOff>
    </xdr:from>
    <xdr:to>
      <xdr:col>13</xdr:col>
      <xdr:colOff>2120900</xdr:colOff>
      <xdr:row>27</xdr:row>
      <xdr:rowOff>114300</xdr:rowOff>
    </xdr:to>
    <xdr:graphicFrame macro="">
      <xdr:nvGraphicFramePr>
        <xdr:cNvPr id="67" name="Chart 8">
          <a:extLst>
            <a:ext uri="{FF2B5EF4-FFF2-40B4-BE49-F238E27FC236}">
              <a16:creationId xmlns:a16="http://schemas.microsoft.com/office/drawing/2014/main" id="{00000000-0008-0000-0300-00004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257175</xdr:colOff>
      <xdr:row>1</xdr:row>
      <xdr:rowOff>161925</xdr:rowOff>
    </xdr:from>
    <xdr:to>
      <xdr:col>4</xdr:col>
      <xdr:colOff>28575</xdr:colOff>
      <xdr:row>1</xdr:row>
      <xdr:rowOff>2581275</xdr:rowOff>
    </xdr:to>
    <xdr:graphicFrame macro="">
      <xdr:nvGraphicFramePr>
        <xdr:cNvPr id="20686" name="Chart 1">
          <a:extLst>
            <a:ext uri="{FF2B5EF4-FFF2-40B4-BE49-F238E27FC236}">
              <a16:creationId xmlns:a16="http://schemas.microsoft.com/office/drawing/2014/main" id="{00000000-0008-0000-0400-0000CE5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ools/Reqtify/Workspace/_Full/doc_templates/PR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User Guide"/>
      <sheetName val="Statistics"/>
      <sheetName val="Requirement Status"/>
      <sheetName val="Req List Without Satisfies"/>
      <sheetName val="Req Test Status"/>
      <sheetName val="Feuil1"/>
      <sheetName val="Styles"/>
      <sheetName val="PRM"/>
    </sheetNames>
    <definedNames>
      <definedName name="Feuil1.Req_Test_Status_Click"/>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3.emf"/><Relationship Id="rId10" Type="http://schemas.openxmlformats.org/officeDocument/2006/relationships/comments" Target="../comments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topLeftCell="A4" zoomScaleNormal="100" workbookViewId="0">
      <selection activeCell="E7" sqref="E7:V7"/>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59" t="str">
        <f ca="1">MID(CELL("filename"),FIND("[",CELL("filename"))+1,FIND("]",CELL("filename"))-FIND("[",CELL("filename"))-1)</f>
        <v>PSE_1P1P_SBE_Product_Requirement_Matrix_DAI.xlsm</v>
      </c>
      <c r="AE3" s="9"/>
      <c r="AF3" s="9"/>
      <c r="AG3" s="9"/>
      <c r="AH3" s="9"/>
      <c r="AI3" s="9"/>
      <c r="AJ3" s="9"/>
      <c r="AK3" s="9"/>
    </row>
    <row r="4" spans="1:37" s="8" customFormat="1" ht="11.1" customHeight="1" x14ac:dyDescent="0.2">
      <c r="A4" s="349" t="s">
        <v>1</v>
      </c>
      <c r="B4" s="350"/>
      <c r="C4" s="350"/>
      <c r="D4" s="350"/>
      <c r="E4" s="350"/>
      <c r="F4" s="350"/>
      <c r="G4" s="350"/>
      <c r="H4" s="350"/>
      <c r="I4" s="350"/>
      <c r="J4" s="350"/>
      <c r="K4" s="350"/>
      <c r="L4" s="350"/>
      <c r="M4" s="350"/>
      <c r="N4" s="350"/>
      <c r="O4" s="350"/>
      <c r="P4" s="350"/>
      <c r="Q4" s="350"/>
      <c r="R4" s="350"/>
      <c r="S4" s="350"/>
      <c r="T4" s="350"/>
      <c r="U4" s="350"/>
      <c r="V4" s="351"/>
      <c r="W4" s="340" t="s">
        <v>2</v>
      </c>
      <c r="X4" s="341"/>
      <c r="Y4" s="341"/>
      <c r="Z4" s="341"/>
      <c r="AA4" s="342"/>
      <c r="AB4" s="346" t="s">
        <v>20</v>
      </c>
      <c r="AC4" s="347"/>
      <c r="AD4" s="347"/>
      <c r="AE4" s="347"/>
      <c r="AF4" s="347"/>
      <c r="AG4" s="348"/>
      <c r="AH4" s="11"/>
      <c r="AI4" s="11"/>
      <c r="AJ4" s="11"/>
      <c r="AK4" s="9"/>
    </row>
    <row r="5" spans="1:37" s="13" customFormat="1" ht="12.75" customHeight="1" x14ac:dyDescent="0.2">
      <c r="A5" s="337" t="s">
        <v>150</v>
      </c>
      <c r="B5" s="338"/>
      <c r="C5" s="338"/>
      <c r="D5" s="338"/>
      <c r="E5" s="338"/>
      <c r="F5" s="338"/>
      <c r="G5" s="338"/>
      <c r="H5" s="338"/>
      <c r="I5" s="338"/>
      <c r="J5" s="338"/>
      <c r="K5" s="338"/>
      <c r="L5" s="338"/>
      <c r="M5" s="338"/>
      <c r="N5" s="338"/>
      <c r="O5" s="338"/>
      <c r="P5" s="338"/>
      <c r="Q5" s="338"/>
      <c r="R5" s="338"/>
      <c r="S5" s="338"/>
      <c r="T5" s="338"/>
      <c r="U5" s="338"/>
      <c r="V5" s="339"/>
      <c r="W5" s="337" t="s">
        <v>152</v>
      </c>
      <c r="X5" s="338"/>
      <c r="Y5" s="338"/>
      <c r="Z5" s="338"/>
      <c r="AA5" s="339"/>
      <c r="AB5" s="337" t="s">
        <v>151</v>
      </c>
      <c r="AC5" s="338"/>
      <c r="AD5" s="338"/>
      <c r="AE5" s="338"/>
      <c r="AF5" s="338"/>
      <c r="AG5" s="339"/>
      <c r="AH5" s="12"/>
      <c r="AI5" s="12"/>
      <c r="AJ5" s="12"/>
      <c r="AK5" s="12"/>
    </row>
    <row r="6" spans="1:37" s="46" customFormat="1" ht="11.1" customHeight="1" x14ac:dyDescent="0.2">
      <c r="A6" s="340" t="s">
        <v>3</v>
      </c>
      <c r="B6" s="341"/>
      <c r="C6" s="341"/>
      <c r="D6" s="342"/>
      <c r="E6" s="340" t="s">
        <v>4</v>
      </c>
      <c r="F6" s="341"/>
      <c r="G6" s="341"/>
      <c r="H6" s="341"/>
      <c r="I6" s="341"/>
      <c r="J6" s="341"/>
      <c r="K6" s="341"/>
      <c r="L6" s="341"/>
      <c r="M6" s="341"/>
      <c r="N6" s="341"/>
      <c r="O6" s="341"/>
      <c r="P6" s="341"/>
      <c r="Q6" s="341"/>
      <c r="R6" s="341"/>
      <c r="S6" s="341"/>
      <c r="T6" s="341"/>
      <c r="U6" s="341"/>
      <c r="V6" s="342"/>
      <c r="W6" s="349" t="s">
        <v>15</v>
      </c>
      <c r="X6" s="350"/>
      <c r="Y6" s="350"/>
      <c r="Z6" s="350"/>
      <c r="AA6" s="351"/>
      <c r="AB6" s="340" t="s">
        <v>0</v>
      </c>
      <c r="AC6" s="341"/>
      <c r="AD6" s="342"/>
      <c r="AE6" s="340" t="s">
        <v>5</v>
      </c>
      <c r="AF6" s="341"/>
      <c r="AG6" s="342"/>
      <c r="AH6" s="45"/>
      <c r="AI6" s="45"/>
      <c r="AJ6" s="45"/>
      <c r="AK6" s="45"/>
    </row>
    <row r="7" spans="1:37" s="15" customFormat="1" ht="28.5" customHeight="1" x14ac:dyDescent="0.2">
      <c r="A7" s="337" t="s">
        <v>151</v>
      </c>
      <c r="B7" s="338"/>
      <c r="C7" s="338"/>
      <c r="D7" s="339"/>
      <c r="E7" s="337" t="s">
        <v>154</v>
      </c>
      <c r="F7" s="338"/>
      <c r="G7" s="338"/>
      <c r="H7" s="338"/>
      <c r="I7" s="338"/>
      <c r="J7" s="338"/>
      <c r="K7" s="338"/>
      <c r="L7" s="338"/>
      <c r="M7" s="338"/>
      <c r="N7" s="338"/>
      <c r="O7" s="338"/>
      <c r="P7" s="338"/>
      <c r="Q7" s="338"/>
      <c r="R7" s="338"/>
      <c r="S7" s="338"/>
      <c r="T7" s="338"/>
      <c r="U7" s="338"/>
      <c r="V7" s="339"/>
      <c r="W7" s="352" t="s">
        <v>153</v>
      </c>
      <c r="X7" s="338"/>
      <c r="Y7" s="338"/>
      <c r="Z7" s="338"/>
      <c r="AA7" s="339"/>
      <c r="AB7" s="337" t="s">
        <v>151</v>
      </c>
      <c r="AC7" s="338"/>
      <c r="AD7" s="339"/>
      <c r="AE7" s="337" t="s">
        <v>151</v>
      </c>
      <c r="AF7" s="338"/>
      <c r="AG7" s="339"/>
      <c r="AH7" s="14"/>
      <c r="AI7" s="14"/>
      <c r="AJ7" s="14"/>
      <c r="AK7" s="14"/>
    </row>
    <row r="8" spans="1:37" s="13" customFormat="1" x14ac:dyDescent="0.2">
      <c r="A8" s="47"/>
      <c r="B8" s="47"/>
      <c r="C8" s="47"/>
      <c r="D8" s="47"/>
      <c r="E8" s="47"/>
      <c r="F8" s="47"/>
      <c r="G8" s="47"/>
      <c r="H8" s="47"/>
      <c r="I8" s="47"/>
      <c r="J8" s="47"/>
      <c r="K8" s="47"/>
      <c r="L8" s="47"/>
      <c r="M8" s="47"/>
      <c r="N8" s="47"/>
      <c r="O8" s="47"/>
      <c r="P8" s="47"/>
      <c r="Q8" s="47"/>
      <c r="R8" s="47"/>
      <c r="S8" s="47"/>
      <c r="T8" s="47"/>
      <c r="U8" s="47"/>
      <c r="V8" s="47"/>
      <c r="W8" s="48"/>
      <c r="X8" s="48"/>
      <c r="Y8" s="48"/>
      <c r="Z8" s="48"/>
      <c r="AA8" s="48"/>
      <c r="AB8" s="47"/>
      <c r="AC8" s="47"/>
      <c r="AD8" s="47"/>
      <c r="AE8" s="47"/>
      <c r="AF8" s="47"/>
      <c r="AG8" s="47"/>
      <c r="AH8" s="12"/>
      <c r="AI8" s="12"/>
      <c r="AJ8" s="12"/>
      <c r="AK8" s="12"/>
    </row>
    <row r="9" spans="1:37" ht="11.1" customHeight="1" x14ac:dyDescent="0.2">
      <c r="A9" s="353" t="s">
        <v>21</v>
      </c>
      <c r="B9" s="354"/>
      <c r="C9" s="354"/>
      <c r="D9" s="354"/>
      <c r="E9" s="354"/>
      <c r="F9" s="354"/>
      <c r="G9" s="354"/>
      <c r="H9" s="354"/>
      <c r="I9" s="354"/>
      <c r="J9" s="354"/>
      <c r="K9" s="355"/>
      <c r="L9" s="353" t="s">
        <v>22</v>
      </c>
      <c r="M9" s="354"/>
      <c r="N9" s="354"/>
      <c r="O9" s="354"/>
      <c r="P9" s="354"/>
      <c r="Q9" s="354"/>
      <c r="R9" s="354"/>
      <c r="S9" s="354"/>
      <c r="T9" s="354"/>
      <c r="U9" s="354"/>
      <c r="V9" s="355"/>
      <c r="W9" s="353" t="s">
        <v>23</v>
      </c>
      <c r="X9" s="354"/>
      <c r="Y9" s="354"/>
      <c r="Z9" s="354"/>
      <c r="AA9" s="354"/>
      <c r="AB9" s="354"/>
      <c r="AC9" s="354"/>
      <c r="AD9" s="354"/>
      <c r="AE9" s="354"/>
      <c r="AF9" s="354"/>
      <c r="AG9" s="355"/>
      <c r="AH9" s="16"/>
      <c r="AI9" s="16"/>
    </row>
    <row r="10" spans="1:37" s="50" customFormat="1" ht="28.5" customHeight="1" x14ac:dyDescent="0.2">
      <c r="A10" s="371" t="s">
        <v>33</v>
      </c>
      <c r="B10" s="372"/>
      <c r="C10" s="372"/>
      <c r="D10" s="372"/>
      <c r="E10" s="372"/>
      <c r="F10" s="359" t="s">
        <v>151</v>
      </c>
      <c r="G10" s="359"/>
      <c r="H10" s="359"/>
      <c r="I10" s="359"/>
      <c r="J10" s="359"/>
      <c r="K10" s="360"/>
      <c r="L10" s="343" t="s">
        <v>113</v>
      </c>
      <c r="M10" s="344"/>
      <c r="N10" s="344"/>
      <c r="O10" s="344"/>
      <c r="P10" s="344"/>
      <c r="Q10" s="344"/>
      <c r="R10" s="344"/>
      <c r="S10" s="344"/>
      <c r="T10" s="344"/>
      <c r="U10" s="344"/>
      <c r="V10" s="345"/>
      <c r="W10" s="343" t="s">
        <v>113</v>
      </c>
      <c r="X10" s="344"/>
      <c r="Y10" s="344"/>
      <c r="Z10" s="344"/>
      <c r="AA10" s="344"/>
      <c r="AB10" s="344"/>
      <c r="AC10" s="344"/>
      <c r="AD10" s="344"/>
      <c r="AE10" s="344"/>
      <c r="AF10" s="344"/>
      <c r="AG10" s="345"/>
      <c r="AH10" s="49"/>
      <c r="AI10" s="49"/>
    </row>
    <row r="11" spans="1:37" s="56" customFormat="1" ht="4.5" customHeight="1" x14ac:dyDescent="0.2">
      <c r="A11" s="51"/>
      <c r="B11" s="52"/>
      <c r="C11" s="52"/>
      <c r="D11" s="52"/>
      <c r="E11" s="52"/>
      <c r="F11" s="52"/>
      <c r="G11" s="52"/>
      <c r="H11" s="52"/>
      <c r="I11" s="52"/>
      <c r="J11" s="52"/>
      <c r="K11" s="52"/>
      <c r="L11" s="53"/>
      <c r="M11" s="52"/>
      <c r="N11" s="52"/>
      <c r="O11" s="52"/>
      <c r="P11" s="52"/>
      <c r="Q11" s="52"/>
      <c r="R11" s="52"/>
      <c r="S11" s="52"/>
      <c r="T11" s="52"/>
      <c r="U11" s="52"/>
      <c r="V11" s="52"/>
      <c r="W11" s="53"/>
      <c r="X11" s="52"/>
      <c r="Y11" s="52"/>
      <c r="Z11" s="52"/>
      <c r="AA11" s="52"/>
      <c r="AB11" s="52"/>
      <c r="AC11" s="52"/>
      <c r="AD11" s="52"/>
      <c r="AE11" s="52"/>
      <c r="AF11" s="52"/>
      <c r="AG11" s="54"/>
      <c r="AH11" s="55"/>
      <c r="AI11" s="55"/>
    </row>
    <row r="12" spans="1:37" s="57" customFormat="1" ht="11.1" customHeight="1" x14ac:dyDescent="0.2">
      <c r="A12" s="365" t="s">
        <v>24</v>
      </c>
      <c r="B12" s="366"/>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B12" s="366"/>
      <c r="AC12" s="366"/>
      <c r="AD12" s="366"/>
      <c r="AE12" s="366"/>
      <c r="AF12" s="366"/>
      <c r="AG12" s="367"/>
      <c r="AH12" s="16"/>
      <c r="AI12" s="16"/>
      <c r="AJ12" s="16"/>
      <c r="AK12" s="16"/>
    </row>
    <row r="13" spans="1:37" s="50" customFormat="1" ht="28.5" customHeight="1" x14ac:dyDescent="0.2">
      <c r="A13" s="377" t="s">
        <v>113</v>
      </c>
      <c r="B13" s="378"/>
      <c r="C13" s="378"/>
      <c r="D13" s="378"/>
      <c r="E13" s="378"/>
      <c r="F13" s="378"/>
      <c r="G13" s="378"/>
      <c r="H13" s="378"/>
      <c r="I13" s="378"/>
      <c r="J13" s="378"/>
      <c r="K13" s="378"/>
      <c r="L13" s="378"/>
      <c r="M13" s="378"/>
      <c r="N13" s="378"/>
      <c r="O13" s="378"/>
      <c r="P13" s="378"/>
      <c r="Q13" s="378"/>
      <c r="R13" s="378"/>
      <c r="S13" s="378"/>
      <c r="T13" s="378"/>
      <c r="U13" s="378"/>
      <c r="V13" s="378"/>
      <c r="W13" s="378"/>
      <c r="X13" s="378"/>
      <c r="Y13" s="378"/>
      <c r="Z13" s="378"/>
      <c r="AA13" s="378"/>
      <c r="AB13" s="378"/>
      <c r="AC13" s="378"/>
      <c r="AD13" s="378"/>
      <c r="AE13" s="378"/>
      <c r="AF13" s="378"/>
      <c r="AG13" s="379"/>
      <c r="AH13" s="49"/>
      <c r="AI13" s="49"/>
      <c r="AJ13" s="49"/>
      <c r="AK13" s="49"/>
    </row>
    <row r="14" spans="1:37" s="56" customFormat="1" ht="4.5" customHeight="1" x14ac:dyDescent="0.2">
      <c r="A14" s="53"/>
      <c r="B14" s="52"/>
      <c r="C14" s="52"/>
      <c r="D14" s="52"/>
      <c r="E14" s="52"/>
      <c r="F14" s="52"/>
      <c r="G14" s="52"/>
      <c r="H14" s="52"/>
      <c r="I14" s="52"/>
      <c r="J14" s="52"/>
      <c r="K14" s="52"/>
      <c r="L14" s="53"/>
      <c r="M14" s="52"/>
      <c r="N14" s="52"/>
      <c r="O14" s="52"/>
      <c r="P14" s="52"/>
      <c r="Q14" s="52"/>
      <c r="R14" s="52"/>
      <c r="S14" s="52"/>
      <c r="T14" s="52"/>
      <c r="U14" s="52"/>
      <c r="V14" s="52"/>
      <c r="W14" s="53"/>
      <c r="X14" s="52"/>
      <c r="Y14" s="52"/>
      <c r="Z14" s="52"/>
      <c r="AA14" s="52"/>
      <c r="AB14" s="52"/>
      <c r="AC14" s="52"/>
      <c r="AD14" s="52"/>
      <c r="AE14" s="52"/>
      <c r="AF14" s="52"/>
      <c r="AG14" s="52"/>
      <c r="AH14" s="55"/>
      <c r="AI14" s="55"/>
    </row>
    <row r="15" spans="1:37" s="19" customFormat="1" ht="73.5" customHeight="1" x14ac:dyDescent="0.2">
      <c r="A15" s="373" t="s">
        <v>25</v>
      </c>
      <c r="B15" s="373"/>
      <c r="C15" s="373"/>
      <c r="D15" s="374"/>
      <c r="E15" s="362" t="s">
        <v>92</v>
      </c>
      <c r="F15" s="363"/>
      <c r="G15" s="363"/>
      <c r="H15" s="363"/>
      <c r="I15" s="363"/>
      <c r="J15" s="363"/>
      <c r="K15" s="363"/>
      <c r="L15" s="363"/>
      <c r="M15" s="363"/>
      <c r="N15" s="363"/>
      <c r="O15" s="363"/>
      <c r="P15" s="363"/>
      <c r="Q15" s="363"/>
      <c r="R15" s="363"/>
      <c r="S15" s="363"/>
      <c r="T15" s="363"/>
      <c r="U15" s="363"/>
      <c r="V15" s="363"/>
      <c r="W15" s="363"/>
      <c r="X15" s="363"/>
      <c r="Y15" s="363"/>
      <c r="Z15" s="363"/>
      <c r="AA15" s="363"/>
      <c r="AB15" s="363"/>
      <c r="AC15" s="363"/>
      <c r="AD15" s="363"/>
      <c r="AE15" s="363"/>
      <c r="AF15" s="363"/>
      <c r="AG15" s="364"/>
      <c r="AH15" s="18"/>
      <c r="AI15" s="18"/>
      <c r="AJ15" s="18"/>
      <c r="AK15" s="18"/>
    </row>
    <row r="16" spans="1:37" s="19" customFormat="1" ht="37.5" customHeight="1" x14ac:dyDescent="0.2">
      <c r="A16" s="375"/>
      <c r="B16" s="375"/>
      <c r="C16" s="375"/>
      <c r="D16" s="376"/>
      <c r="E16" s="368"/>
      <c r="F16" s="369"/>
      <c r="G16" s="369"/>
      <c r="H16" s="369"/>
      <c r="I16" s="369"/>
      <c r="J16" s="369"/>
      <c r="K16" s="369"/>
      <c r="L16" s="369"/>
      <c r="M16" s="369"/>
      <c r="N16" s="369"/>
      <c r="O16" s="369"/>
      <c r="P16" s="369"/>
      <c r="Q16" s="369"/>
      <c r="R16" s="369"/>
      <c r="S16" s="369"/>
      <c r="T16" s="369"/>
      <c r="U16" s="369"/>
      <c r="V16" s="369"/>
      <c r="W16" s="369"/>
      <c r="X16" s="369"/>
      <c r="Y16" s="369"/>
      <c r="Z16" s="369"/>
      <c r="AA16" s="369"/>
      <c r="AB16" s="369"/>
      <c r="AC16" s="369"/>
      <c r="AD16" s="369"/>
      <c r="AE16" s="369"/>
      <c r="AF16" s="369"/>
      <c r="AG16" s="370"/>
      <c r="AH16" s="18"/>
      <c r="AI16" s="18"/>
      <c r="AJ16" s="18"/>
      <c r="AK16" s="18"/>
    </row>
    <row r="17" spans="1:37" s="19" customFormat="1" x14ac:dyDescent="0.2">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row>
    <row r="18" spans="1:37" s="19" customFormat="1" x14ac:dyDescent="0.2">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row>
    <row r="19" spans="1:37" s="19" customFormat="1" x14ac:dyDescent="0.2">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row>
    <row r="20" spans="1:37" s="19" customFormat="1" x14ac:dyDescent="0.2">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row>
    <row r="21" spans="1:37" s="19" customFormat="1" ht="15.75" customHeight="1" x14ac:dyDescent="0.2">
      <c r="C21" s="18"/>
      <c r="D21" s="18"/>
      <c r="E21" s="18"/>
      <c r="F21" s="18"/>
      <c r="G21" s="18"/>
      <c r="H21" s="18"/>
      <c r="I21" s="18"/>
      <c r="J21" s="18"/>
      <c r="K21" s="18"/>
      <c r="L21" s="18"/>
      <c r="M21" s="18"/>
      <c r="N21" s="18"/>
      <c r="O21" s="18"/>
      <c r="P21" s="18"/>
      <c r="Q21" s="58"/>
      <c r="R21" s="18"/>
      <c r="S21" s="18"/>
      <c r="T21" s="18"/>
      <c r="U21" s="18"/>
      <c r="V21" s="18"/>
      <c r="W21" s="18"/>
      <c r="X21" s="18"/>
      <c r="Y21" s="18"/>
      <c r="Z21" s="18"/>
      <c r="AA21" s="18"/>
      <c r="AB21" s="18"/>
      <c r="AC21" s="18"/>
      <c r="AD21" s="18"/>
      <c r="AE21" s="18"/>
      <c r="AF21" s="18"/>
      <c r="AG21" s="18"/>
      <c r="AH21" s="18"/>
      <c r="AI21" s="18"/>
      <c r="AJ21" s="18"/>
      <c r="AK21" s="18"/>
    </row>
    <row r="22" spans="1:37" s="19" customFormat="1" ht="12" customHeight="1" x14ac:dyDescent="0.2">
      <c r="C22" s="18"/>
      <c r="D22" s="18"/>
      <c r="E22" s="18"/>
      <c r="F22" s="18"/>
      <c r="G22" s="18"/>
      <c r="H22" s="18"/>
      <c r="I22" s="18"/>
      <c r="J22" s="18"/>
      <c r="K22" s="18"/>
      <c r="L22" s="18"/>
      <c r="M22" s="18"/>
      <c r="N22" s="18"/>
      <c r="O22" s="18"/>
      <c r="P22" s="18"/>
      <c r="Q22" s="58"/>
      <c r="R22" s="18"/>
      <c r="S22" s="18"/>
      <c r="T22" s="18"/>
      <c r="U22" s="18"/>
      <c r="V22" s="18"/>
      <c r="W22" s="18"/>
      <c r="X22" s="18"/>
      <c r="Y22" s="18"/>
      <c r="Z22" s="18"/>
      <c r="AA22" s="18"/>
      <c r="AB22" s="18"/>
      <c r="AC22" s="18"/>
      <c r="AD22" s="18"/>
      <c r="AE22" s="18"/>
      <c r="AF22" s="18"/>
      <c r="AG22" s="18"/>
      <c r="AH22" s="18"/>
      <c r="AI22" s="18"/>
      <c r="AJ22" s="18"/>
      <c r="AK22" s="18"/>
    </row>
    <row r="23" spans="1:37" s="19" customFormat="1" ht="60" customHeight="1" x14ac:dyDescent="0.2">
      <c r="A23" s="361" t="str">
        <f>MXTitle</f>
        <v>SW00TEM007 Generic Excel Template</v>
      </c>
      <c r="B23" s="361"/>
      <c r="C23" s="361"/>
      <c r="D23" s="361"/>
      <c r="E23" s="361"/>
      <c r="F23" s="361"/>
      <c r="G23" s="361"/>
      <c r="H23" s="361"/>
      <c r="I23" s="361"/>
      <c r="J23" s="361"/>
      <c r="K23" s="361"/>
      <c r="L23" s="361"/>
      <c r="M23" s="361"/>
      <c r="N23" s="361"/>
      <c r="O23" s="361"/>
      <c r="P23" s="361"/>
      <c r="Q23" s="361"/>
      <c r="R23" s="361"/>
      <c r="S23" s="361"/>
      <c r="T23" s="361"/>
      <c r="U23" s="361"/>
      <c r="V23" s="361"/>
      <c r="W23" s="361"/>
      <c r="X23" s="361"/>
      <c r="Y23" s="361"/>
      <c r="Z23" s="361"/>
      <c r="AA23" s="361"/>
      <c r="AB23" s="361"/>
      <c r="AC23" s="361"/>
      <c r="AD23" s="361"/>
      <c r="AE23" s="361"/>
      <c r="AF23" s="361"/>
      <c r="AG23" s="361"/>
      <c r="AH23" s="18"/>
      <c r="AI23" s="18"/>
      <c r="AJ23" s="18"/>
      <c r="AK23" s="18"/>
    </row>
    <row r="24" spans="1:37" s="82" customFormat="1" ht="26.25" x14ac:dyDescent="0.2">
      <c r="B24" s="83"/>
      <c r="C24" s="84"/>
      <c r="D24" s="84"/>
      <c r="E24" s="84"/>
      <c r="F24" s="84"/>
      <c r="G24" s="84"/>
      <c r="H24" s="84"/>
      <c r="I24" s="84"/>
      <c r="K24" s="85"/>
      <c r="L24" s="86" t="s">
        <v>57</v>
      </c>
      <c r="M24" s="87"/>
      <c r="N24" s="87"/>
      <c r="O24" s="356" t="s">
        <v>85</v>
      </c>
      <c r="P24" s="357"/>
      <c r="Q24" s="357"/>
      <c r="R24" s="357"/>
      <c r="S24" s="357"/>
      <c r="T24" s="357"/>
      <c r="U24" s="358"/>
      <c r="Z24" s="84"/>
      <c r="AA24" s="84"/>
      <c r="AB24" s="84"/>
      <c r="AC24" s="84"/>
      <c r="AD24" s="84"/>
      <c r="AE24" s="84"/>
      <c r="AF24" s="84"/>
      <c r="AG24" s="84"/>
      <c r="AH24" s="84"/>
      <c r="AI24" s="88"/>
      <c r="AJ24" s="88"/>
      <c r="AK24" s="88"/>
    </row>
    <row r="25" spans="1:37" s="19" customFormat="1" x14ac:dyDescent="0.2">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row>
    <row r="26" spans="1:37" x14ac:dyDescent="0.2"/>
  </sheetData>
  <sheetProtection formatCells="0" formatRows="0" insertColumns="0" insertRows="0" insertHyperlinks="0" deleteRows="0" selectLockedCells="1" sort="0" autoFilter="0" pivotTables="0"/>
  <dataConsolidate/>
  <mergeCells count="30">
    <mergeCell ref="W6:AA6"/>
    <mergeCell ref="O24:U24"/>
    <mergeCell ref="F10:K10"/>
    <mergeCell ref="A23:AG23"/>
    <mergeCell ref="E15:AG15"/>
    <mergeCell ref="A12:AG12"/>
    <mergeCell ref="A9:K9"/>
    <mergeCell ref="A7:D7"/>
    <mergeCell ref="E16:AG16"/>
    <mergeCell ref="L9:V9"/>
    <mergeCell ref="L10:V10"/>
    <mergeCell ref="A10:E10"/>
    <mergeCell ref="A15:D16"/>
    <mergeCell ref="A13:AG13"/>
    <mergeCell ref="AB5:AG5"/>
    <mergeCell ref="E6:V6"/>
    <mergeCell ref="W10:AG10"/>
    <mergeCell ref="AB4:AG4"/>
    <mergeCell ref="W5:AA5"/>
    <mergeCell ref="W4:AA4"/>
    <mergeCell ref="AE7:AG7"/>
    <mergeCell ref="AB7:AD7"/>
    <mergeCell ref="A4:V4"/>
    <mergeCell ref="A5:V5"/>
    <mergeCell ref="A6:D6"/>
    <mergeCell ref="W7:AA7"/>
    <mergeCell ref="W9:AG9"/>
    <mergeCell ref="E7:V7"/>
    <mergeCell ref="AE6:AG6"/>
    <mergeCell ref="AB6:AD6"/>
  </mergeCells>
  <phoneticPr fontId="4"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Reserved&amp;LE905722 rev xxx ver xxx&amp;R&amp;P</oddFooter>
  </headerFooter>
  <ignoredErrors>
    <ignoredError sqref="A23 AH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83"/>
  <sheetViews>
    <sheetView showGridLines="0" topLeftCell="A4" zoomScaleNormal="100" workbookViewId="0">
      <selection activeCell="G19" sqref="G19:AF19"/>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10" t="str">
        <f ca="1">FileName</f>
        <v>PSE_1P1P_SBE_Product_Requirement_Matrix_DAI.xlsm</v>
      </c>
      <c r="AE3" s="9"/>
      <c r="AF3" s="9"/>
      <c r="AG3" s="9"/>
      <c r="AH3" s="9"/>
      <c r="AI3" s="9"/>
      <c r="AJ3" s="9"/>
      <c r="AK3" s="9"/>
    </row>
    <row r="4" spans="1:37" s="8" customFormat="1" ht="11.1" customHeight="1" x14ac:dyDescent="0.2">
      <c r="A4" s="416"/>
      <c r="B4" s="416"/>
      <c r="C4" s="416"/>
      <c r="D4" s="416"/>
      <c r="E4" s="416"/>
      <c r="F4" s="416"/>
      <c r="G4" s="416"/>
      <c r="H4" s="416"/>
      <c r="I4" s="416"/>
      <c r="J4" s="416"/>
      <c r="K4" s="416"/>
      <c r="L4" s="416"/>
      <c r="M4" s="416"/>
      <c r="N4" s="416"/>
      <c r="O4" s="416"/>
      <c r="P4" s="416"/>
      <c r="Q4" s="416"/>
      <c r="R4" s="416"/>
      <c r="S4" s="416"/>
      <c r="T4" s="416"/>
      <c r="U4" s="416"/>
      <c r="V4" s="416"/>
      <c r="W4" s="414"/>
      <c r="X4" s="414"/>
      <c r="Y4" s="414"/>
      <c r="Z4" s="414"/>
      <c r="AA4" s="414"/>
      <c r="AB4" s="412"/>
      <c r="AC4" s="412"/>
      <c r="AD4" s="412"/>
      <c r="AE4" s="412"/>
      <c r="AF4" s="412"/>
      <c r="AG4" s="412"/>
      <c r="AH4" s="11"/>
      <c r="AI4" s="11"/>
      <c r="AJ4" s="11"/>
      <c r="AK4" s="9"/>
    </row>
    <row r="5" spans="1:37" s="13" customFormat="1" x14ac:dyDescent="0.2">
      <c r="A5" s="413"/>
      <c r="B5" s="413"/>
      <c r="C5" s="413"/>
      <c r="D5" s="413"/>
      <c r="E5" s="413"/>
      <c r="F5" s="413"/>
      <c r="G5" s="413"/>
      <c r="H5" s="413"/>
      <c r="I5" s="413"/>
      <c r="J5" s="413"/>
      <c r="K5" s="413"/>
      <c r="L5" s="413"/>
      <c r="M5" s="413"/>
      <c r="N5" s="413"/>
      <c r="O5" s="413"/>
      <c r="P5" s="413"/>
      <c r="Q5" s="413"/>
      <c r="R5" s="413"/>
      <c r="S5" s="413"/>
      <c r="T5" s="413"/>
      <c r="U5" s="413"/>
      <c r="V5" s="413"/>
      <c r="W5" s="407"/>
      <c r="X5" s="407"/>
      <c r="Y5" s="407"/>
      <c r="Z5" s="407"/>
      <c r="AA5" s="407"/>
      <c r="AB5" s="413"/>
      <c r="AC5" s="413"/>
      <c r="AD5" s="413"/>
      <c r="AE5" s="413"/>
      <c r="AF5" s="413"/>
      <c r="AG5" s="413"/>
      <c r="AH5" s="12"/>
      <c r="AI5" s="12"/>
      <c r="AJ5" s="12"/>
      <c r="AK5" s="12"/>
    </row>
    <row r="6" spans="1:37" s="8" customFormat="1" ht="11.1" customHeight="1" x14ac:dyDescent="0.2">
      <c r="A6" s="415"/>
      <c r="B6" s="415"/>
      <c r="C6" s="415"/>
      <c r="D6" s="415"/>
      <c r="E6" s="415"/>
      <c r="F6" s="415"/>
      <c r="G6" s="415"/>
      <c r="H6" s="415"/>
      <c r="I6" s="415"/>
      <c r="J6" s="415"/>
      <c r="K6" s="415"/>
      <c r="L6" s="415"/>
      <c r="M6" s="415"/>
      <c r="N6" s="415"/>
      <c r="O6" s="415"/>
      <c r="P6" s="415"/>
      <c r="Q6" s="415"/>
      <c r="R6" s="415"/>
      <c r="S6" s="415"/>
      <c r="T6" s="415"/>
      <c r="U6" s="415"/>
      <c r="V6" s="415"/>
      <c r="W6" s="416"/>
      <c r="X6" s="416"/>
      <c r="Y6" s="416"/>
      <c r="Z6" s="416"/>
      <c r="AA6" s="416"/>
      <c r="AB6" s="414"/>
      <c r="AC6" s="414"/>
      <c r="AD6" s="414"/>
      <c r="AE6" s="414"/>
      <c r="AF6" s="414"/>
      <c r="AG6" s="414"/>
      <c r="AH6" s="9"/>
      <c r="AI6" s="9"/>
      <c r="AJ6" s="9"/>
      <c r="AK6" s="9"/>
    </row>
    <row r="7" spans="1:37" s="13" customFormat="1" x14ac:dyDescent="0.2">
      <c r="A7" s="407"/>
      <c r="B7" s="407"/>
      <c r="C7" s="407"/>
      <c r="D7" s="407"/>
      <c r="E7" s="407"/>
      <c r="F7" s="407"/>
      <c r="G7" s="407"/>
      <c r="H7" s="407"/>
      <c r="I7" s="407"/>
      <c r="J7" s="407"/>
      <c r="K7" s="407"/>
      <c r="L7" s="407"/>
      <c r="M7" s="407"/>
      <c r="N7" s="407"/>
      <c r="O7" s="407"/>
      <c r="P7" s="407"/>
      <c r="Q7" s="407"/>
      <c r="R7" s="407"/>
      <c r="S7" s="407"/>
      <c r="T7" s="407"/>
      <c r="U7" s="407"/>
      <c r="V7" s="407"/>
      <c r="W7" s="407"/>
      <c r="X7" s="407"/>
      <c r="Y7" s="407"/>
      <c r="Z7" s="407"/>
      <c r="AA7" s="407"/>
      <c r="AB7" s="407"/>
      <c r="AC7" s="407"/>
      <c r="AD7" s="407"/>
      <c r="AE7" s="407"/>
      <c r="AF7" s="407"/>
      <c r="AG7" s="407"/>
      <c r="AH7" s="12"/>
      <c r="AI7" s="12"/>
      <c r="AJ7" s="12"/>
      <c r="AK7" s="12"/>
    </row>
    <row r="8" spans="1:37" s="44" customFormat="1" ht="11.1" customHeight="1" x14ac:dyDescent="0.2">
      <c r="A8" s="415"/>
      <c r="B8" s="415"/>
      <c r="C8" s="415"/>
      <c r="D8" s="415"/>
      <c r="E8" s="415"/>
      <c r="F8" s="415"/>
      <c r="G8" s="415"/>
      <c r="H8" s="415"/>
      <c r="I8" s="415"/>
      <c r="J8" s="415"/>
      <c r="K8" s="415"/>
      <c r="L8" s="415"/>
      <c r="M8" s="415"/>
      <c r="N8" s="415"/>
      <c r="O8" s="415"/>
      <c r="P8" s="415"/>
      <c r="Q8" s="415"/>
      <c r="R8" s="415"/>
      <c r="S8" s="415"/>
      <c r="T8" s="415"/>
      <c r="U8" s="415"/>
      <c r="V8" s="415"/>
      <c r="W8" s="415"/>
      <c r="X8" s="415"/>
      <c r="Y8" s="415"/>
      <c r="Z8" s="415"/>
      <c r="AA8" s="415"/>
      <c r="AB8" s="415"/>
      <c r="AC8" s="415"/>
      <c r="AD8" s="415"/>
      <c r="AE8" s="415"/>
      <c r="AF8" s="415"/>
      <c r="AG8" s="415"/>
      <c r="AH8" s="182"/>
      <c r="AI8" s="182"/>
      <c r="AJ8" s="182"/>
      <c r="AK8" s="182"/>
    </row>
    <row r="9" spans="1:37" s="184" customFormat="1" x14ac:dyDescent="0.2">
      <c r="A9" s="411"/>
      <c r="B9" s="41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183"/>
      <c r="AI9" s="183"/>
      <c r="AJ9" s="183"/>
    </row>
    <row r="10" spans="1:37" x14ac:dyDescent="0.2"/>
    <row r="11" spans="1:37" x14ac:dyDescent="0.2"/>
    <row r="12" spans="1:37" ht="26.25" x14ac:dyDescent="0.2">
      <c r="B12" s="20" t="s">
        <v>16</v>
      </c>
      <c r="C12" s="21"/>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row>
    <row r="13" spans="1:37" x14ac:dyDescent="0.2"/>
    <row r="14" spans="1:37" ht="20.25" x14ac:dyDescent="0.2">
      <c r="B14" s="22" t="s">
        <v>17</v>
      </c>
      <c r="C14" s="23"/>
    </row>
    <row r="15" spans="1:37" ht="12.75" customHeight="1" x14ac:dyDescent="0.2">
      <c r="B15" s="398" t="s">
        <v>7</v>
      </c>
      <c r="C15" s="399"/>
      <c r="D15" s="399"/>
      <c r="E15" s="399"/>
      <c r="F15" s="400"/>
      <c r="G15" s="398" t="s">
        <v>6</v>
      </c>
      <c r="H15" s="399"/>
      <c r="I15" s="399"/>
      <c r="J15" s="399"/>
      <c r="K15" s="399"/>
      <c r="L15" s="399"/>
      <c r="M15" s="399"/>
      <c r="N15" s="399"/>
      <c r="O15" s="399"/>
      <c r="P15" s="399"/>
      <c r="Q15" s="399"/>
      <c r="R15" s="399"/>
      <c r="S15" s="399"/>
      <c r="T15" s="399"/>
      <c r="U15" s="399"/>
      <c r="V15" s="399"/>
      <c r="W15" s="399"/>
      <c r="X15" s="399"/>
      <c r="Y15" s="399"/>
      <c r="Z15" s="399"/>
      <c r="AA15" s="399"/>
      <c r="AB15" s="399"/>
      <c r="AC15" s="399"/>
      <c r="AD15" s="399"/>
      <c r="AE15" s="399"/>
      <c r="AF15" s="400"/>
    </row>
    <row r="16" spans="1:37" ht="24" customHeight="1" x14ac:dyDescent="0.2">
      <c r="B16" s="408" t="s">
        <v>34</v>
      </c>
      <c r="C16" s="409"/>
      <c r="D16" s="409"/>
      <c r="E16" s="409"/>
      <c r="F16" s="410"/>
      <c r="G16" s="383" t="s">
        <v>37</v>
      </c>
      <c r="H16" s="384"/>
      <c r="I16" s="384"/>
      <c r="J16" s="384"/>
      <c r="K16" s="384"/>
      <c r="L16" s="384"/>
      <c r="M16" s="384"/>
      <c r="N16" s="384"/>
      <c r="O16" s="384"/>
      <c r="P16" s="384"/>
      <c r="Q16" s="384"/>
      <c r="R16" s="384"/>
      <c r="S16" s="384"/>
      <c r="T16" s="384"/>
      <c r="U16" s="384"/>
      <c r="V16" s="384"/>
      <c r="W16" s="384"/>
      <c r="X16" s="384"/>
      <c r="Y16" s="384"/>
      <c r="Z16" s="384"/>
      <c r="AA16" s="384"/>
      <c r="AB16" s="384"/>
      <c r="AC16" s="384"/>
      <c r="AD16" s="384"/>
      <c r="AE16" s="384"/>
      <c r="AF16" s="385"/>
    </row>
    <row r="17" spans="1:45" ht="24" customHeight="1" x14ac:dyDescent="0.2">
      <c r="B17" s="408" t="s">
        <v>35</v>
      </c>
      <c r="C17" s="409"/>
      <c r="D17" s="409"/>
      <c r="E17" s="409"/>
      <c r="F17" s="410"/>
      <c r="G17" s="383" t="s">
        <v>36</v>
      </c>
      <c r="H17" s="384"/>
      <c r="I17" s="384"/>
      <c r="J17" s="384"/>
      <c r="K17" s="384"/>
      <c r="L17" s="384"/>
      <c r="M17" s="384"/>
      <c r="N17" s="384"/>
      <c r="O17" s="384"/>
      <c r="P17" s="384"/>
      <c r="Q17" s="384"/>
      <c r="R17" s="384"/>
      <c r="S17" s="384"/>
      <c r="T17" s="384"/>
      <c r="U17" s="384"/>
      <c r="V17" s="384"/>
      <c r="W17" s="384"/>
      <c r="X17" s="384"/>
      <c r="Y17" s="384"/>
      <c r="Z17" s="384"/>
      <c r="AA17" s="384"/>
      <c r="AB17" s="384"/>
      <c r="AC17" s="384"/>
      <c r="AD17" s="384"/>
      <c r="AE17" s="384"/>
      <c r="AF17" s="385"/>
    </row>
    <row r="18" spans="1:45" ht="24" customHeight="1" x14ac:dyDescent="0.2">
      <c r="B18" s="408" t="s">
        <v>58</v>
      </c>
      <c r="C18" s="409"/>
      <c r="D18" s="409"/>
      <c r="E18" s="409"/>
      <c r="F18" s="410"/>
      <c r="G18" s="383" t="s">
        <v>59</v>
      </c>
      <c r="H18" s="384"/>
      <c r="I18" s="384"/>
      <c r="J18" s="384"/>
      <c r="K18" s="384"/>
      <c r="L18" s="384"/>
      <c r="M18" s="384"/>
      <c r="N18" s="384"/>
      <c r="O18" s="384"/>
      <c r="P18" s="384"/>
      <c r="Q18" s="384"/>
      <c r="R18" s="384"/>
      <c r="S18" s="384"/>
      <c r="T18" s="384"/>
      <c r="U18" s="384"/>
      <c r="V18" s="384"/>
      <c r="W18" s="384"/>
      <c r="X18" s="384"/>
      <c r="Y18" s="384"/>
      <c r="Z18" s="384"/>
      <c r="AA18" s="384"/>
      <c r="AB18" s="384"/>
      <c r="AC18" s="384"/>
      <c r="AD18" s="384"/>
      <c r="AE18" s="384"/>
      <c r="AF18" s="385"/>
    </row>
    <row r="19" spans="1:45" ht="24" customHeight="1" x14ac:dyDescent="0.2">
      <c r="B19" s="386" t="s">
        <v>60</v>
      </c>
      <c r="C19" s="387"/>
      <c r="D19" s="387"/>
      <c r="E19" s="387"/>
      <c r="F19" s="388"/>
      <c r="G19" s="389" t="s">
        <v>93</v>
      </c>
      <c r="H19" s="384"/>
      <c r="I19" s="384"/>
      <c r="J19" s="384"/>
      <c r="K19" s="384"/>
      <c r="L19" s="384"/>
      <c r="M19" s="384"/>
      <c r="N19" s="384"/>
      <c r="O19" s="384"/>
      <c r="P19" s="384"/>
      <c r="Q19" s="384"/>
      <c r="R19" s="384"/>
      <c r="S19" s="384"/>
      <c r="T19" s="384"/>
      <c r="U19" s="384"/>
      <c r="V19" s="384"/>
      <c r="W19" s="384"/>
      <c r="X19" s="384"/>
      <c r="Y19" s="384"/>
      <c r="Z19" s="384"/>
      <c r="AA19" s="384"/>
      <c r="AB19" s="384"/>
      <c r="AC19" s="384"/>
      <c r="AD19" s="384"/>
      <c r="AE19" s="384"/>
      <c r="AF19" s="385"/>
      <c r="AS19" s="24"/>
    </row>
    <row r="20" spans="1:45" ht="24" customHeight="1" x14ac:dyDescent="0.2">
      <c r="B20" s="386" t="s">
        <v>65</v>
      </c>
      <c r="C20" s="387"/>
      <c r="D20" s="387"/>
      <c r="E20" s="387"/>
      <c r="F20" s="388"/>
      <c r="G20" s="389" t="s">
        <v>94</v>
      </c>
      <c r="H20" s="384"/>
      <c r="I20" s="384"/>
      <c r="J20" s="384"/>
      <c r="K20" s="384"/>
      <c r="L20" s="384"/>
      <c r="M20" s="384"/>
      <c r="N20" s="384"/>
      <c r="O20" s="384"/>
      <c r="P20" s="384"/>
      <c r="Q20" s="384"/>
      <c r="R20" s="384"/>
      <c r="S20" s="384"/>
      <c r="T20" s="384"/>
      <c r="U20" s="384"/>
      <c r="V20" s="384"/>
      <c r="W20" s="384"/>
      <c r="X20" s="384"/>
      <c r="Y20" s="384"/>
      <c r="Z20" s="384"/>
      <c r="AA20" s="384"/>
      <c r="AB20" s="384"/>
      <c r="AC20" s="384"/>
      <c r="AD20" s="384"/>
      <c r="AE20" s="384"/>
      <c r="AF20" s="385"/>
      <c r="AS20" s="24"/>
    </row>
    <row r="21" spans="1:45" ht="38.25" customHeight="1" x14ac:dyDescent="0.2">
      <c r="B21" s="394" t="s">
        <v>108</v>
      </c>
      <c r="C21" s="387"/>
      <c r="D21" s="387"/>
      <c r="E21" s="387"/>
      <c r="F21" s="388"/>
      <c r="G21" s="389" t="s">
        <v>107</v>
      </c>
      <c r="H21" s="384"/>
      <c r="I21" s="384"/>
      <c r="J21" s="384"/>
      <c r="K21" s="384"/>
      <c r="L21" s="384"/>
      <c r="M21" s="384"/>
      <c r="N21" s="384"/>
      <c r="O21" s="384"/>
      <c r="P21" s="384"/>
      <c r="Q21" s="384"/>
      <c r="R21" s="384"/>
      <c r="S21" s="384"/>
      <c r="T21" s="384"/>
      <c r="U21" s="384"/>
      <c r="V21" s="384"/>
      <c r="W21" s="384"/>
      <c r="X21" s="384"/>
      <c r="Y21" s="384"/>
      <c r="Z21" s="384"/>
      <c r="AA21" s="384"/>
      <c r="AB21" s="384"/>
      <c r="AC21" s="384"/>
      <c r="AD21" s="384"/>
      <c r="AE21" s="384"/>
      <c r="AF21" s="385"/>
      <c r="AS21" s="24"/>
    </row>
    <row r="22" spans="1:45" ht="24" customHeight="1" x14ac:dyDescent="0.2">
      <c r="B22" s="395" t="s">
        <v>61</v>
      </c>
      <c r="C22" s="396"/>
      <c r="D22" s="396"/>
      <c r="E22" s="396"/>
      <c r="F22" s="397"/>
      <c r="G22" s="383" t="s">
        <v>62</v>
      </c>
      <c r="H22" s="384"/>
      <c r="I22" s="384"/>
      <c r="J22" s="384"/>
      <c r="K22" s="384"/>
      <c r="L22" s="384"/>
      <c r="M22" s="384"/>
      <c r="N22" s="384"/>
      <c r="O22" s="384"/>
      <c r="P22" s="384"/>
      <c r="Q22" s="384"/>
      <c r="R22" s="384"/>
      <c r="S22" s="384"/>
      <c r="T22" s="384"/>
      <c r="U22" s="384"/>
      <c r="V22" s="384"/>
      <c r="W22" s="384"/>
      <c r="X22" s="384"/>
      <c r="Y22" s="384"/>
      <c r="Z22" s="384"/>
      <c r="AA22" s="384"/>
      <c r="AB22" s="384"/>
      <c r="AC22" s="384"/>
      <c r="AD22" s="384"/>
      <c r="AE22" s="384"/>
      <c r="AF22" s="385"/>
      <c r="AS22" s="24"/>
    </row>
    <row r="23" spans="1:45" ht="24" customHeight="1" x14ac:dyDescent="0.2">
      <c r="B23" s="395" t="s">
        <v>63</v>
      </c>
      <c r="C23" s="396"/>
      <c r="D23" s="396"/>
      <c r="E23" s="396"/>
      <c r="F23" s="397"/>
      <c r="G23" s="383" t="s">
        <v>64</v>
      </c>
      <c r="H23" s="384"/>
      <c r="I23" s="384"/>
      <c r="J23" s="384"/>
      <c r="K23" s="384"/>
      <c r="L23" s="384"/>
      <c r="M23" s="384"/>
      <c r="N23" s="384"/>
      <c r="O23" s="384"/>
      <c r="P23" s="384"/>
      <c r="Q23" s="384"/>
      <c r="R23" s="384"/>
      <c r="S23" s="384"/>
      <c r="T23" s="384"/>
      <c r="U23" s="384"/>
      <c r="V23" s="384"/>
      <c r="W23" s="384"/>
      <c r="X23" s="384"/>
      <c r="Y23" s="384"/>
      <c r="Z23" s="384"/>
      <c r="AA23" s="384"/>
      <c r="AB23" s="384"/>
      <c r="AC23" s="384"/>
      <c r="AD23" s="384"/>
      <c r="AE23" s="384"/>
      <c r="AF23" s="385"/>
      <c r="AS23" s="24"/>
    </row>
    <row r="24" spans="1:45" x14ac:dyDescent="0.2">
      <c r="C24" s="25"/>
      <c r="I24" s="26"/>
    </row>
    <row r="25" spans="1:45" ht="20.25" x14ac:dyDescent="0.2">
      <c r="A25" s="22"/>
      <c r="B25" s="22" t="s">
        <v>27</v>
      </c>
      <c r="C25" s="25"/>
      <c r="I25" s="26"/>
    </row>
    <row r="26" spans="1:45" ht="12.75" customHeight="1" x14ac:dyDescent="0.2">
      <c r="B26" s="398" t="s">
        <v>0</v>
      </c>
      <c r="C26" s="399"/>
      <c r="D26" s="400"/>
      <c r="E26" s="398" t="s">
        <v>11</v>
      </c>
      <c r="F26" s="399"/>
      <c r="G26" s="399"/>
      <c r="H26" s="400"/>
      <c r="I26" s="398" t="s">
        <v>12</v>
      </c>
      <c r="J26" s="399"/>
      <c r="K26" s="399"/>
      <c r="L26" s="399"/>
      <c r="M26" s="399"/>
      <c r="N26" s="399"/>
      <c r="O26" s="399"/>
      <c r="P26" s="399"/>
      <c r="Q26" s="400"/>
      <c r="R26" s="398" t="s">
        <v>13</v>
      </c>
      <c r="S26" s="399"/>
      <c r="T26" s="399"/>
      <c r="U26" s="399"/>
      <c r="V26" s="399"/>
      <c r="W26" s="399"/>
      <c r="X26" s="399"/>
      <c r="Y26" s="399"/>
      <c r="Z26" s="399"/>
      <c r="AA26" s="399"/>
      <c r="AB26" s="399"/>
      <c r="AC26" s="399"/>
      <c r="AD26" s="399"/>
      <c r="AE26" s="399"/>
      <c r="AF26" s="400"/>
    </row>
    <row r="27" spans="1:45" ht="12.75" customHeight="1" x14ac:dyDescent="0.2">
      <c r="B27" s="404"/>
      <c r="C27" s="405"/>
      <c r="D27" s="406"/>
      <c r="E27" s="383"/>
      <c r="F27" s="384"/>
      <c r="G27" s="384"/>
      <c r="H27" s="385"/>
      <c r="I27" s="383" t="s">
        <v>14</v>
      </c>
      <c r="J27" s="384"/>
      <c r="K27" s="384"/>
      <c r="L27" s="384"/>
      <c r="M27" s="384"/>
      <c r="N27" s="384"/>
      <c r="O27" s="384"/>
      <c r="P27" s="384"/>
      <c r="Q27" s="385"/>
      <c r="R27" s="383"/>
      <c r="S27" s="384"/>
      <c r="T27" s="384"/>
      <c r="U27" s="384"/>
      <c r="V27" s="384"/>
      <c r="W27" s="384"/>
      <c r="X27" s="384"/>
      <c r="Y27" s="384"/>
      <c r="Z27" s="384"/>
      <c r="AA27" s="384"/>
      <c r="AB27" s="384"/>
      <c r="AC27" s="384"/>
      <c r="AD27" s="384"/>
      <c r="AE27" s="384"/>
      <c r="AF27" s="385"/>
    </row>
    <row r="28" spans="1:45" x14ac:dyDescent="0.2">
      <c r="B28" s="404"/>
      <c r="C28" s="405"/>
      <c r="D28" s="406"/>
      <c r="E28" s="383"/>
      <c r="F28" s="384"/>
      <c r="G28" s="384"/>
      <c r="H28" s="385"/>
      <c r="I28" s="383"/>
      <c r="J28" s="384"/>
      <c r="K28" s="384"/>
      <c r="L28" s="384"/>
      <c r="M28" s="384"/>
      <c r="N28" s="384"/>
      <c r="O28" s="384"/>
      <c r="P28" s="384"/>
      <c r="Q28" s="385"/>
      <c r="R28" s="383"/>
      <c r="S28" s="384"/>
      <c r="T28" s="384"/>
      <c r="U28" s="384"/>
      <c r="V28" s="384"/>
      <c r="W28" s="384"/>
      <c r="X28" s="384"/>
      <c r="Y28" s="384"/>
      <c r="Z28" s="384"/>
      <c r="AA28" s="384"/>
      <c r="AB28" s="384"/>
      <c r="AC28" s="384"/>
      <c r="AD28" s="384"/>
      <c r="AE28" s="384"/>
      <c r="AF28" s="385"/>
    </row>
    <row r="29" spans="1:45" x14ac:dyDescent="0.2">
      <c r="B29" s="404"/>
      <c r="C29" s="405"/>
      <c r="D29" s="406"/>
      <c r="E29" s="383"/>
      <c r="F29" s="384"/>
      <c r="G29" s="384"/>
      <c r="H29" s="385"/>
      <c r="I29" s="383"/>
      <c r="J29" s="384"/>
      <c r="K29" s="384"/>
      <c r="L29" s="384"/>
      <c r="M29" s="384"/>
      <c r="N29" s="384"/>
      <c r="O29" s="384"/>
      <c r="P29" s="384"/>
      <c r="Q29" s="385"/>
      <c r="R29" s="383"/>
      <c r="S29" s="384"/>
      <c r="T29" s="384"/>
      <c r="U29" s="384"/>
      <c r="V29" s="384"/>
      <c r="W29" s="384"/>
      <c r="X29" s="384"/>
      <c r="Y29" s="384"/>
      <c r="Z29" s="384"/>
      <c r="AA29" s="384"/>
      <c r="AB29" s="384"/>
      <c r="AC29" s="384"/>
      <c r="AD29" s="384"/>
      <c r="AE29" s="384"/>
      <c r="AF29" s="385"/>
    </row>
    <row r="30" spans="1:45" x14ac:dyDescent="0.2">
      <c r="B30" s="404"/>
      <c r="C30" s="405"/>
      <c r="D30" s="406"/>
      <c r="E30" s="383"/>
      <c r="F30" s="384"/>
      <c r="G30" s="384"/>
      <c r="H30" s="385"/>
      <c r="I30" s="383"/>
      <c r="J30" s="384"/>
      <c r="K30" s="384"/>
      <c r="L30" s="384"/>
      <c r="M30" s="384"/>
      <c r="N30" s="384"/>
      <c r="O30" s="384"/>
      <c r="P30" s="384"/>
      <c r="Q30" s="385"/>
      <c r="R30" s="383"/>
      <c r="S30" s="384"/>
      <c r="T30" s="384"/>
      <c r="U30" s="384"/>
      <c r="V30" s="384"/>
      <c r="W30" s="384"/>
      <c r="X30" s="384"/>
      <c r="Y30" s="384"/>
      <c r="Z30" s="384"/>
      <c r="AA30" s="384"/>
      <c r="AB30" s="384"/>
      <c r="AC30" s="384"/>
      <c r="AD30" s="384"/>
      <c r="AE30" s="384"/>
      <c r="AF30" s="385"/>
    </row>
    <row r="31" spans="1:45" x14ac:dyDescent="0.2">
      <c r="B31" s="27" t="s">
        <v>26</v>
      </c>
      <c r="C31" s="28"/>
      <c r="D31" s="28"/>
      <c r="E31" s="29"/>
      <c r="F31" s="29"/>
      <c r="G31" s="29"/>
      <c r="H31" s="29"/>
      <c r="I31" s="29"/>
      <c r="J31" s="30"/>
      <c r="K31" s="30"/>
      <c r="L31" s="30"/>
      <c r="M31" s="30"/>
      <c r="N31" s="30"/>
      <c r="O31" s="30"/>
      <c r="P31" s="30"/>
      <c r="Q31" s="30"/>
      <c r="R31" s="29"/>
      <c r="S31" s="29"/>
      <c r="T31" s="29"/>
      <c r="U31" s="29"/>
      <c r="V31" s="29"/>
      <c r="W31" s="29"/>
      <c r="X31" s="29"/>
      <c r="Y31" s="29"/>
      <c r="Z31" s="29"/>
      <c r="AA31" s="29"/>
      <c r="AB31" s="29"/>
      <c r="AC31" s="29"/>
      <c r="AD31" s="29"/>
      <c r="AE31" s="29"/>
      <c r="AF31" s="29"/>
    </row>
    <row r="32" spans="1:45" x14ac:dyDescent="0.2">
      <c r="C32" s="25"/>
      <c r="I32" s="26"/>
    </row>
    <row r="33" spans="2:33" ht="20.25" x14ac:dyDescent="0.2">
      <c r="B33" s="22" t="s">
        <v>18</v>
      </c>
      <c r="I33" s="26"/>
    </row>
    <row r="34" spans="2:33" ht="21.75" customHeight="1" x14ac:dyDescent="0.2">
      <c r="B34" s="417" t="s">
        <v>66</v>
      </c>
      <c r="C34" s="417"/>
      <c r="D34" s="417"/>
      <c r="E34" s="417"/>
      <c r="F34" s="417"/>
      <c r="G34" s="417"/>
      <c r="H34" s="417"/>
      <c r="I34" s="417"/>
      <c r="J34" s="417"/>
      <c r="K34" s="417"/>
      <c r="L34" s="417"/>
      <c r="M34" s="417"/>
      <c r="N34" s="417"/>
      <c r="O34" s="417"/>
      <c r="P34" s="417"/>
      <c r="Q34" s="417"/>
      <c r="R34" s="417"/>
      <c r="S34" s="417"/>
      <c r="T34" s="417"/>
      <c r="U34" s="417"/>
      <c r="V34" s="417"/>
      <c r="W34" s="417"/>
      <c r="X34" s="417"/>
      <c r="Y34" s="417"/>
      <c r="Z34" s="417"/>
      <c r="AA34" s="417"/>
      <c r="AB34" s="417"/>
      <c r="AC34" s="417"/>
      <c r="AD34" s="417"/>
      <c r="AE34" s="417"/>
      <c r="AF34" s="417"/>
      <c r="AG34" s="31"/>
    </row>
    <row r="35" spans="2:33" x14ac:dyDescent="0.2">
      <c r="J35" s="32"/>
    </row>
    <row r="36" spans="2:33" ht="20.25" x14ac:dyDescent="0.2">
      <c r="B36" s="22" t="s">
        <v>19</v>
      </c>
      <c r="C36" s="23"/>
      <c r="I36" s="26"/>
    </row>
    <row r="37" spans="2:33" ht="24.75" customHeight="1" x14ac:dyDescent="0.2">
      <c r="B37" s="33" t="s">
        <v>28</v>
      </c>
      <c r="C37" s="23"/>
      <c r="I37" s="26"/>
    </row>
    <row r="38" spans="2:33" ht="12.75" customHeight="1" x14ac:dyDescent="0.2">
      <c r="B38" s="398" t="s">
        <v>8</v>
      </c>
      <c r="C38" s="399"/>
      <c r="D38" s="400"/>
      <c r="E38" s="398" t="s">
        <v>9</v>
      </c>
      <c r="F38" s="399"/>
      <c r="G38" s="399"/>
      <c r="H38" s="399"/>
      <c r="I38" s="399"/>
      <c r="J38" s="399"/>
      <c r="K38" s="399"/>
      <c r="L38" s="399"/>
      <c r="M38" s="399"/>
      <c r="N38" s="399"/>
      <c r="O38" s="399"/>
      <c r="P38" s="399"/>
      <c r="Q38" s="399"/>
      <c r="R38" s="399"/>
      <c r="S38" s="399"/>
      <c r="T38" s="399"/>
      <c r="U38" s="399"/>
      <c r="V38" s="399"/>
      <c r="W38" s="399"/>
      <c r="X38" s="400"/>
      <c r="Y38" s="398" t="s">
        <v>10</v>
      </c>
      <c r="Z38" s="399"/>
      <c r="AA38" s="399"/>
      <c r="AB38" s="399"/>
      <c r="AC38" s="399"/>
      <c r="AD38" s="399"/>
      <c r="AE38" s="399"/>
      <c r="AF38" s="400"/>
    </row>
    <row r="39" spans="2:33" x14ac:dyDescent="0.2">
      <c r="B39" s="390"/>
      <c r="C39" s="391"/>
      <c r="D39" s="392"/>
      <c r="E39" s="383"/>
      <c r="F39" s="384"/>
      <c r="G39" s="384"/>
      <c r="H39" s="384"/>
      <c r="I39" s="384"/>
      <c r="J39" s="384"/>
      <c r="K39" s="384"/>
      <c r="L39" s="384"/>
      <c r="M39" s="384"/>
      <c r="N39" s="384"/>
      <c r="O39" s="384"/>
      <c r="P39" s="384"/>
      <c r="Q39" s="384"/>
      <c r="R39" s="384"/>
      <c r="S39" s="384"/>
      <c r="T39" s="384"/>
      <c r="U39" s="384"/>
      <c r="V39" s="384"/>
      <c r="W39" s="384"/>
      <c r="X39" s="385"/>
      <c r="Y39" s="383"/>
      <c r="Z39" s="384"/>
      <c r="AA39" s="384"/>
      <c r="AB39" s="384"/>
      <c r="AC39" s="384"/>
      <c r="AD39" s="384"/>
      <c r="AE39" s="384"/>
      <c r="AF39" s="385"/>
    </row>
    <row r="40" spans="2:33" x14ac:dyDescent="0.2">
      <c r="B40" s="390"/>
      <c r="C40" s="391"/>
      <c r="D40" s="392"/>
      <c r="E40" s="383"/>
      <c r="F40" s="384"/>
      <c r="G40" s="384"/>
      <c r="H40" s="384"/>
      <c r="I40" s="384"/>
      <c r="J40" s="384"/>
      <c r="K40" s="384"/>
      <c r="L40" s="384"/>
      <c r="M40" s="384"/>
      <c r="N40" s="384"/>
      <c r="O40" s="384"/>
      <c r="P40" s="384"/>
      <c r="Q40" s="384"/>
      <c r="R40" s="384"/>
      <c r="S40" s="384"/>
      <c r="T40" s="384"/>
      <c r="U40" s="384"/>
      <c r="V40" s="384"/>
      <c r="W40" s="384"/>
      <c r="X40" s="385"/>
      <c r="Y40" s="383"/>
      <c r="Z40" s="384"/>
      <c r="AA40" s="384"/>
      <c r="AB40" s="384"/>
      <c r="AC40" s="384"/>
      <c r="AD40" s="384"/>
      <c r="AE40" s="384"/>
      <c r="AF40" s="385"/>
    </row>
    <row r="41" spans="2:33" x14ac:dyDescent="0.2">
      <c r="B41" s="390"/>
      <c r="C41" s="391"/>
      <c r="D41" s="392"/>
      <c r="E41" s="383"/>
      <c r="F41" s="384"/>
      <c r="G41" s="384"/>
      <c r="H41" s="384"/>
      <c r="I41" s="384"/>
      <c r="J41" s="384"/>
      <c r="K41" s="384"/>
      <c r="L41" s="384"/>
      <c r="M41" s="384"/>
      <c r="N41" s="384"/>
      <c r="O41" s="384"/>
      <c r="P41" s="384"/>
      <c r="Q41" s="384"/>
      <c r="R41" s="384"/>
      <c r="S41" s="384"/>
      <c r="T41" s="384"/>
      <c r="U41" s="384"/>
      <c r="V41" s="384"/>
      <c r="W41" s="384"/>
      <c r="X41" s="385"/>
      <c r="Y41" s="383"/>
      <c r="Z41" s="384"/>
      <c r="AA41" s="384"/>
      <c r="AB41" s="384"/>
      <c r="AC41" s="384"/>
      <c r="AD41" s="384"/>
      <c r="AE41" s="384"/>
      <c r="AF41" s="385"/>
    </row>
    <row r="42" spans="2:33" x14ac:dyDescent="0.2">
      <c r="B42" s="390"/>
      <c r="C42" s="391"/>
      <c r="D42" s="392"/>
      <c r="E42" s="383"/>
      <c r="F42" s="384"/>
      <c r="G42" s="384"/>
      <c r="H42" s="384"/>
      <c r="I42" s="384"/>
      <c r="J42" s="384"/>
      <c r="K42" s="384"/>
      <c r="L42" s="384"/>
      <c r="M42" s="384"/>
      <c r="N42" s="384"/>
      <c r="O42" s="384"/>
      <c r="P42" s="384"/>
      <c r="Q42" s="384"/>
      <c r="R42" s="384"/>
      <c r="S42" s="384"/>
      <c r="T42" s="384"/>
      <c r="U42" s="384"/>
      <c r="V42" s="384"/>
      <c r="W42" s="384"/>
      <c r="X42" s="385"/>
      <c r="Y42" s="383"/>
      <c r="Z42" s="384"/>
      <c r="AA42" s="384"/>
      <c r="AB42" s="384"/>
      <c r="AC42" s="384"/>
      <c r="AD42" s="384"/>
      <c r="AE42" s="384"/>
      <c r="AF42" s="385"/>
    </row>
    <row r="43" spans="2:33" ht="24.75" customHeight="1" x14ac:dyDescent="0.2">
      <c r="B43" s="33" t="s">
        <v>29</v>
      </c>
      <c r="C43" s="23"/>
      <c r="I43" s="26"/>
    </row>
    <row r="44" spans="2:33" ht="12.75" customHeight="1" x14ac:dyDescent="0.2">
      <c r="B44" s="398" t="s">
        <v>8</v>
      </c>
      <c r="C44" s="399"/>
      <c r="D44" s="400"/>
      <c r="E44" s="398" t="s">
        <v>9</v>
      </c>
      <c r="F44" s="399"/>
      <c r="G44" s="399"/>
      <c r="H44" s="399"/>
      <c r="I44" s="399"/>
      <c r="J44" s="399"/>
      <c r="K44" s="399"/>
      <c r="L44" s="399"/>
      <c r="M44" s="399"/>
      <c r="N44" s="399"/>
      <c r="O44" s="399"/>
      <c r="P44" s="399"/>
      <c r="Q44" s="399"/>
      <c r="R44" s="399"/>
      <c r="S44" s="399"/>
      <c r="T44" s="399"/>
      <c r="U44" s="399"/>
      <c r="V44" s="399"/>
      <c r="W44" s="399"/>
      <c r="X44" s="400"/>
      <c r="Y44" s="398" t="s">
        <v>10</v>
      </c>
      <c r="Z44" s="399"/>
      <c r="AA44" s="399"/>
      <c r="AB44" s="399"/>
      <c r="AC44" s="399"/>
      <c r="AD44" s="399"/>
      <c r="AE44" s="399"/>
      <c r="AF44" s="400"/>
    </row>
    <row r="45" spans="2:33" x14ac:dyDescent="0.2">
      <c r="B45" s="390"/>
      <c r="C45" s="391"/>
      <c r="D45" s="392"/>
      <c r="E45" s="383"/>
      <c r="F45" s="384"/>
      <c r="G45" s="384"/>
      <c r="H45" s="384"/>
      <c r="I45" s="384"/>
      <c r="J45" s="384"/>
      <c r="K45" s="384"/>
      <c r="L45" s="384"/>
      <c r="M45" s="384"/>
      <c r="N45" s="384"/>
      <c r="O45" s="384"/>
      <c r="P45" s="384"/>
      <c r="Q45" s="384"/>
      <c r="R45" s="384"/>
      <c r="S45" s="384"/>
      <c r="T45" s="384"/>
      <c r="U45" s="384"/>
      <c r="V45" s="384"/>
      <c r="W45" s="384"/>
      <c r="X45" s="385"/>
      <c r="Y45" s="383"/>
      <c r="Z45" s="384"/>
      <c r="AA45" s="384"/>
      <c r="AB45" s="384"/>
      <c r="AC45" s="384"/>
      <c r="AD45" s="384"/>
      <c r="AE45" s="384"/>
      <c r="AF45" s="385"/>
    </row>
    <row r="46" spans="2:33" x14ac:dyDescent="0.2">
      <c r="B46" s="390"/>
      <c r="C46" s="391"/>
      <c r="D46" s="392"/>
      <c r="E46" s="383"/>
      <c r="F46" s="384"/>
      <c r="G46" s="384"/>
      <c r="H46" s="384"/>
      <c r="I46" s="384"/>
      <c r="J46" s="384"/>
      <c r="K46" s="384"/>
      <c r="L46" s="384"/>
      <c r="M46" s="384"/>
      <c r="N46" s="384"/>
      <c r="O46" s="384"/>
      <c r="P46" s="384"/>
      <c r="Q46" s="384"/>
      <c r="R46" s="384"/>
      <c r="S46" s="384"/>
      <c r="T46" s="384"/>
      <c r="U46" s="384"/>
      <c r="V46" s="384"/>
      <c r="W46" s="384"/>
      <c r="X46" s="385"/>
      <c r="Y46" s="383"/>
      <c r="Z46" s="384"/>
      <c r="AA46" s="384"/>
      <c r="AB46" s="384"/>
      <c r="AC46" s="384"/>
      <c r="AD46" s="384"/>
      <c r="AE46" s="384"/>
      <c r="AF46" s="385"/>
    </row>
    <row r="47" spans="2:33" x14ac:dyDescent="0.2">
      <c r="B47" s="390"/>
      <c r="C47" s="391"/>
      <c r="D47" s="392"/>
      <c r="E47" s="383"/>
      <c r="F47" s="384"/>
      <c r="G47" s="384"/>
      <c r="H47" s="384"/>
      <c r="I47" s="384"/>
      <c r="J47" s="384"/>
      <c r="K47" s="384"/>
      <c r="L47" s="384"/>
      <c r="M47" s="384"/>
      <c r="N47" s="384"/>
      <c r="O47" s="384"/>
      <c r="P47" s="384"/>
      <c r="Q47" s="384"/>
      <c r="R47" s="384"/>
      <c r="S47" s="384"/>
      <c r="T47" s="384"/>
      <c r="U47" s="384"/>
      <c r="V47" s="384"/>
      <c r="W47" s="384"/>
      <c r="X47" s="385"/>
      <c r="Y47" s="383"/>
      <c r="Z47" s="384"/>
      <c r="AA47" s="384"/>
      <c r="AB47" s="384"/>
      <c r="AC47" s="384"/>
      <c r="AD47" s="384"/>
      <c r="AE47" s="384"/>
      <c r="AF47" s="385"/>
    </row>
    <row r="48" spans="2:33" x14ac:dyDescent="0.2">
      <c r="B48" s="390"/>
      <c r="C48" s="391"/>
      <c r="D48" s="392"/>
      <c r="E48" s="383"/>
      <c r="F48" s="384"/>
      <c r="G48" s="384"/>
      <c r="H48" s="384"/>
      <c r="I48" s="384"/>
      <c r="J48" s="384"/>
      <c r="K48" s="384"/>
      <c r="L48" s="384"/>
      <c r="M48" s="384"/>
      <c r="N48" s="384"/>
      <c r="O48" s="384"/>
      <c r="P48" s="384"/>
      <c r="Q48" s="384"/>
      <c r="R48" s="384"/>
      <c r="S48" s="384"/>
      <c r="T48" s="384"/>
      <c r="U48" s="384"/>
      <c r="V48" s="384"/>
      <c r="W48" s="384"/>
      <c r="X48" s="385"/>
      <c r="Y48" s="383"/>
      <c r="Z48" s="384"/>
      <c r="AA48" s="384"/>
      <c r="AB48" s="384"/>
      <c r="AC48" s="384"/>
      <c r="AD48" s="384"/>
      <c r="AE48" s="384"/>
      <c r="AF48" s="385"/>
    </row>
    <row r="49" spans="2:32" x14ac:dyDescent="0.2">
      <c r="C49" s="25"/>
      <c r="I49" s="26"/>
    </row>
    <row r="50" spans="2:32" ht="20.25" x14ac:dyDescent="0.2">
      <c r="B50" s="22" t="s">
        <v>31</v>
      </c>
      <c r="C50" s="23"/>
      <c r="I50" s="26"/>
    </row>
    <row r="51" spans="2:32" ht="12.75" customHeight="1" x14ac:dyDescent="0.2">
      <c r="B51" s="398" t="s">
        <v>30</v>
      </c>
      <c r="C51" s="399"/>
      <c r="D51" s="399"/>
      <c r="E51" s="399"/>
      <c r="F51" s="399"/>
      <c r="G51" s="400"/>
      <c r="H51" s="401"/>
      <c r="I51" s="402"/>
      <c r="J51" s="402"/>
      <c r="K51" s="402"/>
      <c r="L51" s="402"/>
      <c r="M51" s="402"/>
      <c r="N51" s="402"/>
      <c r="O51" s="402"/>
      <c r="P51" s="402"/>
      <c r="Q51" s="402"/>
      <c r="R51" s="402"/>
      <c r="S51" s="402"/>
      <c r="T51" s="402"/>
      <c r="U51" s="402"/>
      <c r="V51" s="402"/>
      <c r="W51" s="402"/>
      <c r="X51" s="402"/>
      <c r="Y51" s="402"/>
      <c r="Z51" s="402"/>
      <c r="AA51" s="402"/>
      <c r="AB51" s="402"/>
      <c r="AC51" s="402"/>
      <c r="AD51" s="402"/>
      <c r="AE51" s="402"/>
      <c r="AF51" s="403"/>
    </row>
    <row r="52" spans="2:32" x14ac:dyDescent="0.2">
      <c r="B52" s="383"/>
      <c r="C52" s="384"/>
      <c r="D52" s="384"/>
      <c r="E52" s="384"/>
      <c r="F52" s="384"/>
      <c r="G52" s="385"/>
      <c r="H52" s="380"/>
      <c r="I52" s="381"/>
      <c r="J52" s="381"/>
      <c r="K52" s="381"/>
      <c r="L52" s="381"/>
      <c r="M52" s="381"/>
      <c r="N52" s="381"/>
      <c r="O52" s="381"/>
      <c r="P52" s="381"/>
      <c r="Q52" s="381"/>
      <c r="R52" s="381"/>
      <c r="S52" s="381"/>
      <c r="T52" s="381"/>
      <c r="U52" s="381"/>
      <c r="V52" s="381"/>
      <c r="W52" s="381"/>
      <c r="X52" s="381"/>
      <c r="Y52" s="381"/>
      <c r="Z52" s="381"/>
      <c r="AA52" s="381"/>
      <c r="AB52" s="381"/>
      <c r="AC52" s="381"/>
      <c r="AD52" s="381"/>
      <c r="AE52" s="381"/>
      <c r="AF52" s="382"/>
    </row>
    <row r="53" spans="2:32" x14ac:dyDescent="0.2">
      <c r="B53" s="383"/>
      <c r="C53" s="384"/>
      <c r="D53" s="384"/>
      <c r="E53" s="384"/>
      <c r="F53" s="384"/>
      <c r="G53" s="385"/>
      <c r="H53" s="380"/>
      <c r="I53" s="381"/>
      <c r="J53" s="381"/>
      <c r="K53" s="381"/>
      <c r="L53" s="381"/>
      <c r="M53" s="381"/>
      <c r="N53" s="381"/>
      <c r="O53" s="381"/>
      <c r="P53" s="381"/>
      <c r="Q53" s="381"/>
      <c r="R53" s="381"/>
      <c r="S53" s="381"/>
      <c r="T53" s="381"/>
      <c r="U53" s="381"/>
      <c r="V53" s="381"/>
      <c r="W53" s="381"/>
      <c r="X53" s="381"/>
      <c r="Y53" s="381"/>
      <c r="Z53" s="381"/>
      <c r="AA53" s="381"/>
      <c r="AB53" s="381"/>
      <c r="AC53" s="381"/>
      <c r="AD53" s="381"/>
      <c r="AE53" s="381"/>
      <c r="AF53" s="382"/>
    </row>
    <row r="54" spans="2:32" x14ac:dyDescent="0.2">
      <c r="B54" s="383"/>
      <c r="C54" s="384"/>
      <c r="D54" s="384"/>
      <c r="E54" s="384"/>
      <c r="F54" s="384"/>
      <c r="G54" s="385"/>
      <c r="H54" s="380"/>
      <c r="I54" s="381"/>
      <c r="J54" s="381"/>
      <c r="K54" s="381"/>
      <c r="L54" s="381"/>
      <c r="M54" s="381"/>
      <c r="N54" s="381"/>
      <c r="O54" s="381"/>
      <c r="P54" s="381"/>
      <c r="Q54" s="381"/>
      <c r="R54" s="381"/>
      <c r="S54" s="381"/>
      <c r="T54" s="381"/>
      <c r="U54" s="381"/>
      <c r="V54" s="381"/>
      <c r="W54" s="381"/>
      <c r="X54" s="381"/>
      <c r="Y54" s="381"/>
      <c r="Z54" s="381"/>
      <c r="AA54" s="381"/>
      <c r="AB54" s="381"/>
      <c r="AC54" s="381"/>
      <c r="AD54" s="381"/>
      <c r="AE54" s="381"/>
      <c r="AF54" s="382"/>
    </row>
    <row r="55" spans="2:32" x14ac:dyDescent="0.2">
      <c r="B55" s="383"/>
      <c r="C55" s="384"/>
      <c r="D55" s="384"/>
      <c r="E55" s="384"/>
      <c r="F55" s="384"/>
      <c r="G55" s="385"/>
      <c r="H55" s="380"/>
      <c r="I55" s="381"/>
      <c r="J55" s="381"/>
      <c r="K55" s="381"/>
      <c r="L55" s="381"/>
      <c r="M55" s="381"/>
      <c r="N55" s="381"/>
      <c r="O55" s="381"/>
      <c r="P55" s="381"/>
      <c r="Q55" s="381"/>
      <c r="R55" s="381"/>
      <c r="S55" s="381"/>
      <c r="T55" s="381"/>
      <c r="U55" s="381"/>
      <c r="V55" s="381"/>
      <c r="W55" s="381"/>
      <c r="X55" s="381"/>
      <c r="Y55" s="381"/>
      <c r="Z55" s="381"/>
      <c r="AA55" s="381"/>
      <c r="AB55" s="381"/>
      <c r="AC55" s="381"/>
      <c r="AD55" s="381"/>
      <c r="AE55" s="381"/>
      <c r="AF55" s="382"/>
    </row>
    <row r="56" spans="2:32" x14ac:dyDescent="0.2">
      <c r="B56" s="383"/>
      <c r="C56" s="384"/>
      <c r="D56" s="384"/>
      <c r="E56" s="384"/>
      <c r="F56" s="384"/>
      <c r="G56" s="385"/>
      <c r="H56" s="380"/>
      <c r="I56" s="381"/>
      <c r="J56" s="381"/>
      <c r="K56" s="381"/>
      <c r="L56" s="381"/>
      <c r="M56" s="381"/>
      <c r="N56" s="381"/>
      <c r="O56" s="381"/>
      <c r="P56" s="381"/>
      <c r="Q56" s="381"/>
      <c r="R56" s="381"/>
      <c r="S56" s="381"/>
      <c r="T56" s="381"/>
      <c r="U56" s="381"/>
      <c r="V56" s="381"/>
      <c r="W56" s="381"/>
      <c r="X56" s="381"/>
      <c r="Y56" s="381"/>
      <c r="Z56" s="381"/>
      <c r="AA56" s="381"/>
      <c r="AB56" s="381"/>
      <c r="AC56" s="381"/>
      <c r="AD56" s="381"/>
      <c r="AE56" s="381"/>
      <c r="AF56" s="382"/>
    </row>
    <row r="57" spans="2:32" x14ac:dyDescent="0.2">
      <c r="B57" s="29"/>
      <c r="C57" s="29"/>
      <c r="D57" s="29"/>
      <c r="E57" s="29"/>
      <c r="F57" s="29"/>
      <c r="G57" s="29"/>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row>
    <row r="58" spans="2:32" x14ac:dyDescent="0.2">
      <c r="B58" s="29"/>
      <c r="C58" s="29"/>
      <c r="D58" s="29"/>
      <c r="E58" s="29"/>
      <c r="F58" s="29"/>
      <c r="G58" s="29"/>
      <c r="H58" s="34"/>
      <c r="I58" s="34"/>
      <c r="J58" s="34"/>
      <c r="K58" s="34"/>
      <c r="L58" s="34"/>
      <c r="M58" s="34"/>
      <c r="N58" s="34"/>
      <c r="O58" s="34"/>
      <c r="P58" s="34"/>
      <c r="Q58" s="34"/>
      <c r="R58" s="34"/>
      <c r="S58" s="34"/>
      <c r="T58" s="34"/>
      <c r="U58" s="34"/>
      <c r="V58" s="34"/>
      <c r="W58" s="34"/>
      <c r="X58" s="34"/>
      <c r="Y58" s="34"/>
      <c r="Z58" s="34"/>
      <c r="AA58" s="34"/>
      <c r="AB58" s="34"/>
      <c r="AC58" s="34"/>
      <c r="AD58" s="34"/>
      <c r="AE58" s="34"/>
      <c r="AF58" s="34"/>
    </row>
    <row r="59" spans="2:32" ht="26.25" x14ac:dyDescent="0.2">
      <c r="B59" s="35" t="s">
        <v>32</v>
      </c>
      <c r="C59" s="36"/>
      <c r="D59" s="36"/>
      <c r="E59" s="36"/>
      <c r="F59" s="36"/>
      <c r="G59" s="36"/>
      <c r="H59" s="37"/>
      <c r="I59" s="37"/>
      <c r="J59" s="37"/>
      <c r="K59" s="37"/>
      <c r="L59" s="37"/>
      <c r="M59" s="37"/>
      <c r="N59" s="37"/>
      <c r="O59" s="37"/>
      <c r="P59" s="37"/>
      <c r="Q59" s="37"/>
      <c r="R59" s="37"/>
      <c r="S59" s="37"/>
      <c r="T59" s="37"/>
      <c r="U59" s="37"/>
      <c r="V59" s="37"/>
      <c r="W59" s="37"/>
      <c r="X59" s="37"/>
      <c r="Y59" s="37"/>
      <c r="Z59" s="37"/>
      <c r="AA59" s="37"/>
      <c r="AB59" s="37"/>
      <c r="AC59" s="37"/>
      <c r="AD59" s="37"/>
      <c r="AE59" s="37"/>
      <c r="AF59" s="37"/>
    </row>
    <row r="60" spans="2:32" ht="15.75" customHeight="1" x14ac:dyDescent="0.2">
      <c r="B60" s="38"/>
      <c r="C60" s="29"/>
      <c r="D60" s="29"/>
      <c r="E60" s="29"/>
      <c r="F60" s="29"/>
      <c r="G60" s="29"/>
      <c r="H60" s="34"/>
      <c r="I60" s="34"/>
      <c r="J60" s="34"/>
      <c r="K60" s="34"/>
      <c r="L60" s="34"/>
      <c r="M60" s="34"/>
      <c r="N60" s="34"/>
      <c r="O60" s="34"/>
      <c r="P60" s="34"/>
      <c r="Q60" s="34"/>
      <c r="R60" s="34"/>
      <c r="S60" s="34"/>
      <c r="T60" s="34"/>
      <c r="U60" s="34"/>
      <c r="V60" s="34"/>
      <c r="W60" s="34"/>
      <c r="X60" s="34"/>
      <c r="Y60" s="34"/>
      <c r="Z60" s="34"/>
      <c r="AA60" s="34"/>
      <c r="AB60" s="34"/>
      <c r="AC60" s="34"/>
      <c r="AD60" s="34"/>
      <c r="AE60" s="34"/>
      <c r="AF60" s="34"/>
    </row>
    <row r="61" spans="2:32" x14ac:dyDescent="0.2">
      <c r="B61" s="39"/>
      <c r="C61" s="39"/>
      <c r="D61" s="39"/>
      <c r="E61" s="39"/>
      <c r="F61" s="39"/>
      <c r="G61" s="39"/>
      <c r="H61" s="40"/>
      <c r="I61" s="40"/>
      <c r="J61" s="40"/>
      <c r="K61" s="40"/>
      <c r="L61" s="40"/>
      <c r="N61" s="393" t="s">
        <v>67</v>
      </c>
      <c r="O61" s="393"/>
      <c r="P61" s="393"/>
      <c r="Q61" s="393"/>
      <c r="R61" s="393"/>
      <c r="S61" s="393"/>
      <c r="T61" s="393"/>
      <c r="W61" s="40"/>
      <c r="X61" s="40"/>
      <c r="Y61" s="40"/>
      <c r="Z61" s="40"/>
      <c r="AA61" s="40"/>
      <c r="AB61" s="40"/>
      <c r="AC61" s="40"/>
      <c r="AD61" s="40"/>
      <c r="AE61" s="40"/>
      <c r="AF61" s="40"/>
    </row>
    <row r="62" spans="2:32" x14ac:dyDescent="0.2">
      <c r="B62" s="39"/>
      <c r="C62" s="39"/>
      <c r="D62" s="39"/>
      <c r="E62" s="39"/>
      <c r="F62" s="39"/>
      <c r="G62" s="39"/>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row>
    <row r="63" spans="2:32" x14ac:dyDescent="0.2">
      <c r="B63" s="39"/>
      <c r="C63" s="39"/>
      <c r="D63" s="39"/>
      <c r="E63" s="39"/>
      <c r="F63" s="39"/>
      <c r="G63" s="39"/>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row>
    <row r="64" spans="2:32" x14ac:dyDescent="0.2">
      <c r="B64" s="39"/>
      <c r="C64" s="39"/>
      <c r="D64" s="39"/>
      <c r="E64" s="39"/>
      <c r="F64" s="39"/>
      <c r="G64" s="39"/>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row>
    <row r="65" spans="2:34" hidden="1" x14ac:dyDescent="0.2">
      <c r="B65" s="39"/>
      <c r="C65" s="39"/>
      <c r="D65" s="39"/>
      <c r="E65" s="39"/>
      <c r="F65" s="39"/>
      <c r="G65" s="39"/>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row>
    <row r="66" spans="2:34" hidden="1" x14ac:dyDescent="0.2">
      <c r="B66" s="39"/>
      <c r="C66" s="39"/>
      <c r="D66" s="39"/>
      <c r="E66" s="39"/>
      <c r="F66" s="39"/>
      <c r="G66" s="39"/>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row>
    <row r="67" spans="2:34" hidden="1" x14ac:dyDescent="0.2">
      <c r="B67" s="39"/>
      <c r="C67" s="39"/>
      <c r="D67" s="39"/>
      <c r="E67" s="39"/>
      <c r="F67" s="39"/>
      <c r="G67" s="39"/>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row>
    <row r="68" spans="2:34" hidden="1" x14ac:dyDescent="0.2">
      <c r="B68" s="39"/>
      <c r="C68" s="39"/>
      <c r="D68" s="39"/>
      <c r="E68" s="39"/>
      <c r="F68" s="39"/>
      <c r="G68" s="39"/>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row>
    <row r="69" spans="2:34" hidden="1" x14ac:dyDescent="0.2">
      <c r="B69" s="39"/>
      <c r="C69" s="39"/>
      <c r="D69" s="39"/>
      <c r="E69" s="39"/>
      <c r="F69" s="39"/>
      <c r="G69" s="39"/>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row>
    <row r="70" spans="2:34" hidden="1" x14ac:dyDescent="0.2">
      <c r="B70" s="39"/>
      <c r="C70" s="39"/>
      <c r="D70" s="39"/>
      <c r="E70" s="39"/>
      <c r="F70" s="39"/>
      <c r="G70" s="39"/>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row>
    <row r="71" spans="2:34" hidden="1" x14ac:dyDescent="0.2">
      <c r="B71" s="39"/>
      <c r="C71" s="39"/>
      <c r="D71" s="39"/>
      <c r="E71" s="39"/>
      <c r="F71" s="39"/>
      <c r="G71" s="39"/>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row>
    <row r="72" spans="2:34" hidden="1" x14ac:dyDescent="0.2">
      <c r="B72" s="39"/>
      <c r="C72" s="39"/>
      <c r="D72" s="39"/>
      <c r="E72" s="39"/>
      <c r="F72" s="39"/>
      <c r="G72" s="39"/>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row>
    <row r="73" spans="2:34" hidden="1" x14ac:dyDescent="0.2">
      <c r="B73" s="39"/>
      <c r="C73" s="39"/>
      <c r="D73" s="39"/>
      <c r="E73" s="39"/>
      <c r="F73" s="39"/>
      <c r="G73" s="39"/>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row>
    <row r="74" spans="2:34" ht="12" hidden="1" customHeight="1" x14ac:dyDescent="0.2"/>
    <row r="75" spans="2:34" hidden="1" x14ac:dyDescent="0.2">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row>
    <row r="76" spans="2:34" ht="12.75" hidden="1" customHeight="1" x14ac:dyDescent="0.2">
      <c r="F76" s="41"/>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1"/>
    </row>
    <row r="77" spans="2:34" ht="12.75" hidden="1" customHeight="1" x14ac:dyDescent="0.2">
      <c r="F77" s="41"/>
      <c r="G77" s="39"/>
      <c r="H77" s="39"/>
      <c r="I77" s="39"/>
      <c r="J77" s="39"/>
      <c r="K77" s="39"/>
      <c r="L77" s="39"/>
      <c r="M77" s="39"/>
      <c r="N77" s="39"/>
      <c r="O77" s="39"/>
      <c r="P77" s="39"/>
      <c r="Q77" s="39"/>
      <c r="R77" s="39"/>
      <c r="S77" s="39"/>
      <c r="T77" s="39"/>
      <c r="U77" s="39"/>
      <c r="V77" s="39"/>
      <c r="W77" s="39"/>
      <c r="X77" s="39"/>
      <c r="Y77" s="39"/>
      <c r="Z77" s="39"/>
      <c r="AA77" s="39"/>
      <c r="AB77" s="39"/>
      <c r="AC77" s="39"/>
      <c r="AD77" s="39"/>
      <c r="AE77" s="39"/>
      <c r="AF77" s="39"/>
      <c r="AG77" s="39"/>
      <c r="AH77" s="41"/>
    </row>
    <row r="78" spans="2:34" hidden="1" x14ac:dyDescent="0.2">
      <c r="F78" s="41"/>
      <c r="G78" s="39"/>
      <c r="H78" s="39"/>
      <c r="I78" s="39"/>
      <c r="J78" s="39"/>
      <c r="K78" s="39"/>
      <c r="L78" s="39"/>
      <c r="M78" s="39"/>
      <c r="N78" s="39"/>
      <c r="O78" s="39"/>
      <c r="P78" s="39"/>
      <c r="Q78" s="39"/>
      <c r="R78" s="39"/>
      <c r="S78" s="39"/>
      <c r="T78" s="39"/>
      <c r="U78" s="39"/>
      <c r="V78" s="39"/>
      <c r="W78" s="39"/>
      <c r="X78" s="39"/>
      <c r="Y78" s="39"/>
      <c r="Z78" s="39"/>
      <c r="AA78" s="39"/>
      <c r="AB78" s="39"/>
      <c r="AC78" s="39"/>
      <c r="AD78" s="39"/>
      <c r="AE78" s="39"/>
      <c r="AF78" s="39"/>
      <c r="AG78" s="39"/>
      <c r="AH78" s="41"/>
    </row>
    <row r="79" spans="2:34" hidden="1" x14ac:dyDescent="0.2">
      <c r="F79" s="43"/>
      <c r="G79" s="43"/>
      <c r="H79" s="43"/>
      <c r="I79" s="43"/>
      <c r="J79" s="41"/>
      <c r="K79" s="41"/>
      <c r="L79" s="41"/>
      <c r="M79" s="41"/>
      <c r="N79" s="41"/>
      <c r="O79" s="41"/>
      <c r="P79" s="41"/>
      <c r="Q79" s="41"/>
      <c r="R79" s="41"/>
      <c r="S79" s="43"/>
      <c r="T79" s="43"/>
      <c r="U79" s="43"/>
      <c r="V79" s="43"/>
      <c r="W79" s="43"/>
      <c r="X79" s="43"/>
      <c r="Y79" s="43"/>
      <c r="Z79" s="43"/>
      <c r="AA79" s="43"/>
      <c r="AB79" s="43"/>
      <c r="AC79" s="43"/>
      <c r="AD79" s="43"/>
      <c r="AE79" s="43"/>
      <c r="AF79" s="43"/>
      <c r="AG79" s="43"/>
      <c r="AH79" s="41"/>
    </row>
    <row r="80" spans="2:34" hidden="1" x14ac:dyDescent="0.2">
      <c r="F80" s="43"/>
      <c r="G80" s="43"/>
      <c r="H80" s="43"/>
      <c r="I80" s="43"/>
      <c r="J80" s="41"/>
      <c r="K80" s="41"/>
      <c r="L80" s="41"/>
      <c r="M80" s="41"/>
      <c r="N80" s="41"/>
      <c r="O80" s="41"/>
      <c r="P80" s="41"/>
      <c r="Q80" s="41"/>
      <c r="R80" s="41"/>
      <c r="S80" s="43"/>
      <c r="T80" s="43"/>
      <c r="U80" s="43"/>
      <c r="V80" s="43"/>
      <c r="W80" s="43"/>
      <c r="X80" s="43"/>
      <c r="Y80" s="43"/>
      <c r="Z80" s="43"/>
      <c r="AA80" s="43"/>
      <c r="AB80" s="43"/>
      <c r="AC80" s="43"/>
      <c r="AD80" s="43"/>
      <c r="AE80" s="43"/>
      <c r="AF80" s="43"/>
      <c r="AG80" s="43"/>
      <c r="AH80" s="41"/>
    </row>
    <row r="81" spans="6:34" hidden="1" x14ac:dyDescent="0.2">
      <c r="F81" s="44"/>
      <c r="G81" s="44"/>
      <c r="H81" s="44"/>
      <c r="I81" s="44"/>
      <c r="J81" s="44"/>
      <c r="K81" s="44"/>
      <c r="R81" s="44"/>
      <c r="S81" s="43"/>
      <c r="T81" s="43"/>
      <c r="U81" s="43"/>
      <c r="V81" s="43"/>
      <c r="W81" s="43"/>
      <c r="X81" s="43"/>
      <c r="Y81" s="43"/>
      <c r="Z81" s="43"/>
      <c r="AA81" s="43"/>
      <c r="AB81" s="43"/>
      <c r="AC81" s="43"/>
      <c r="AD81" s="43"/>
      <c r="AE81" s="43"/>
      <c r="AF81" s="43"/>
      <c r="AG81" s="43"/>
      <c r="AH81" s="44"/>
    </row>
    <row r="82" spans="6:34" hidden="1" x14ac:dyDescent="0.2">
      <c r="R82" s="44"/>
      <c r="S82" s="44"/>
      <c r="T82" s="44"/>
      <c r="U82" s="44"/>
      <c r="V82" s="44"/>
      <c r="W82" s="44"/>
      <c r="X82" s="44"/>
      <c r="Y82" s="44"/>
      <c r="Z82" s="44"/>
      <c r="AA82" s="44"/>
      <c r="AB82" s="44"/>
      <c r="AC82" s="44"/>
      <c r="AD82" s="44"/>
      <c r="AE82" s="44"/>
      <c r="AF82" s="44"/>
      <c r="AG82" s="44"/>
      <c r="AH82" s="44"/>
    </row>
    <row r="83" spans="6:34" hidden="1" x14ac:dyDescent="0.2">
      <c r="R83" s="44"/>
      <c r="S83" s="44"/>
      <c r="T83" s="44"/>
      <c r="U83" s="44"/>
      <c r="V83" s="44"/>
      <c r="W83" s="44"/>
      <c r="X83" s="44"/>
      <c r="Y83" s="44"/>
      <c r="Z83" s="44"/>
      <c r="AA83" s="44"/>
      <c r="AB83" s="44"/>
      <c r="AC83" s="44"/>
      <c r="AD83" s="44"/>
      <c r="AE83" s="44"/>
      <c r="AF83" s="44"/>
      <c r="AG83" s="44"/>
      <c r="AH83" s="44"/>
    </row>
  </sheetData>
  <sheetProtection formatCells="0" formatRows="0" insertColumns="0" insertRows="0" insertHyperlinks="0" deleteRows="0" selectLockedCells="1" sort="0" autoFilter="0" pivotTables="0"/>
  <mergeCells count="100">
    <mergeCell ref="B44:D44"/>
    <mergeCell ref="Y46:AF46"/>
    <mergeCell ref="E46:X46"/>
    <mergeCell ref="E48:X48"/>
    <mergeCell ref="Y41:AF41"/>
    <mergeCell ref="B41:D41"/>
    <mergeCell ref="E44:X44"/>
    <mergeCell ref="E45:X45"/>
    <mergeCell ref="Y44:AF44"/>
    <mergeCell ref="Y40:AF40"/>
    <mergeCell ref="B42:D42"/>
    <mergeCell ref="E42:X42"/>
    <mergeCell ref="Y42:AF42"/>
    <mergeCell ref="B40:D40"/>
    <mergeCell ref="E40:X40"/>
    <mergeCell ref="E41:X41"/>
    <mergeCell ref="R27:AF27"/>
    <mergeCell ref="B38:D38"/>
    <mergeCell ref="E38:X38"/>
    <mergeCell ref="B27:D27"/>
    <mergeCell ref="I27:Q27"/>
    <mergeCell ref="E28:H28"/>
    <mergeCell ref="E30:H30"/>
    <mergeCell ref="I29:Q29"/>
    <mergeCell ref="R29:AF29"/>
    <mergeCell ref="B29:D29"/>
    <mergeCell ref="E29:H29"/>
    <mergeCell ref="E27:H27"/>
    <mergeCell ref="R28:AF28"/>
    <mergeCell ref="B34:AF34"/>
    <mergeCell ref="R30:AF30"/>
    <mergeCell ref="B30:D30"/>
    <mergeCell ref="AB4:AG4"/>
    <mergeCell ref="AB5:AG5"/>
    <mergeCell ref="AE6:AG6"/>
    <mergeCell ref="AE7:AG7"/>
    <mergeCell ref="A8:AG8"/>
    <mergeCell ref="AB6:AD6"/>
    <mergeCell ref="AB7:AD7"/>
    <mergeCell ref="A4:V4"/>
    <mergeCell ref="A5:V5"/>
    <mergeCell ref="W4:AA4"/>
    <mergeCell ref="W5:AA5"/>
    <mergeCell ref="A6:D6"/>
    <mergeCell ref="W6:AA6"/>
    <mergeCell ref="E6:V6"/>
    <mergeCell ref="B15:F15"/>
    <mergeCell ref="B26:D26"/>
    <mergeCell ref="W7:AA7"/>
    <mergeCell ref="G15:AF15"/>
    <mergeCell ref="G16:AF16"/>
    <mergeCell ref="G17:AF17"/>
    <mergeCell ref="B16:F16"/>
    <mergeCell ref="I26:Q26"/>
    <mergeCell ref="R26:AF26"/>
    <mergeCell ref="E7:V7"/>
    <mergeCell ref="A9:AG9"/>
    <mergeCell ref="B17:F17"/>
    <mergeCell ref="E26:H26"/>
    <mergeCell ref="A7:D7"/>
    <mergeCell ref="B18:F18"/>
    <mergeCell ref="G18:AF18"/>
    <mergeCell ref="B28:D28"/>
    <mergeCell ref="I28:Q28"/>
    <mergeCell ref="Y38:AF38"/>
    <mergeCell ref="B39:D39"/>
    <mergeCell ref="E39:X39"/>
    <mergeCell ref="Y39:AF39"/>
    <mergeCell ref="N61:T61"/>
    <mergeCell ref="B21:F21"/>
    <mergeCell ref="G21:AF21"/>
    <mergeCell ref="B22:F22"/>
    <mergeCell ref="G22:AF22"/>
    <mergeCell ref="B23:F23"/>
    <mergeCell ref="G23:AF23"/>
    <mergeCell ref="B53:G53"/>
    <mergeCell ref="H53:AF53"/>
    <mergeCell ref="B51:G51"/>
    <mergeCell ref="B56:G56"/>
    <mergeCell ref="H51:AF51"/>
    <mergeCell ref="H54:AF54"/>
    <mergeCell ref="B52:G52"/>
    <mergeCell ref="H52:AF52"/>
    <mergeCell ref="Y45:AF45"/>
    <mergeCell ref="H56:AF56"/>
    <mergeCell ref="B55:G55"/>
    <mergeCell ref="H55:AF55"/>
    <mergeCell ref="B54:G54"/>
    <mergeCell ref="B19:F19"/>
    <mergeCell ref="G19:AF19"/>
    <mergeCell ref="B20:F20"/>
    <mergeCell ref="G20:AF20"/>
    <mergeCell ref="Y47:AF47"/>
    <mergeCell ref="Y48:AF48"/>
    <mergeCell ref="B46:D46"/>
    <mergeCell ref="E47:X47"/>
    <mergeCell ref="B48:D48"/>
    <mergeCell ref="B45:D45"/>
    <mergeCell ref="B47:D47"/>
    <mergeCell ref="I30:Q30"/>
  </mergeCells>
  <phoneticPr fontId="4" type="noConversion"/>
  <hyperlinks>
    <hyperlink ref="N61" location="'User Guide'!A1" display="See User Guide sheet" xr:uid="{00000000-0004-0000-0100-000000000000}"/>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Reserved&amp;LE905722 rev xxx ver xxx&amp;R&amp;P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theme="9" tint="0.59999389629810485"/>
  </sheetPr>
  <dimension ref="A1:O24"/>
  <sheetViews>
    <sheetView zoomScale="80" zoomScaleNormal="80" zoomScaleSheetLayoutView="90" workbookViewId="0">
      <selection activeCell="A6" sqref="A6:O6"/>
    </sheetView>
  </sheetViews>
  <sheetFormatPr defaultColWidth="0" defaultRowHeight="12.75" zeroHeight="1" x14ac:dyDescent="0.2"/>
  <cols>
    <col min="1" max="1" width="28.5703125" customWidth="1"/>
    <col min="2" max="2" width="9.5703125" customWidth="1"/>
    <col min="3" max="3" width="16.28515625" customWidth="1"/>
    <col min="4" max="4" width="14.140625" customWidth="1"/>
    <col min="5" max="5" width="12.7109375" customWidth="1"/>
    <col min="6" max="6" width="12.140625" customWidth="1"/>
    <col min="7" max="7" width="13.85546875" customWidth="1"/>
    <col min="8" max="8" width="14.5703125" customWidth="1"/>
    <col min="9" max="9" width="11.42578125" customWidth="1"/>
    <col min="10" max="10" width="25.140625" customWidth="1"/>
    <col min="11" max="13" width="11.42578125" customWidth="1"/>
    <col min="14" max="14" width="12" customWidth="1"/>
    <col min="15" max="15" width="3.85546875" customWidth="1"/>
  </cols>
  <sheetData>
    <row r="1" spans="1:15" ht="22.5" x14ac:dyDescent="0.3">
      <c r="A1" s="418" t="s">
        <v>38</v>
      </c>
      <c r="B1" s="418"/>
      <c r="C1" s="418"/>
      <c r="D1" s="418"/>
      <c r="E1" s="418"/>
      <c r="F1" s="418"/>
      <c r="G1" s="418"/>
      <c r="H1" s="418"/>
      <c r="I1" s="418"/>
      <c r="J1" s="418"/>
      <c r="K1" s="418"/>
      <c r="L1" s="418"/>
      <c r="M1" s="418"/>
      <c r="N1" s="418"/>
      <c r="O1" s="418"/>
    </row>
    <row r="2" spans="1:15" s="60" customFormat="1" ht="37.5" customHeight="1" x14ac:dyDescent="0.2">
      <c r="A2" s="420" t="s">
        <v>74</v>
      </c>
      <c r="B2" s="420"/>
      <c r="C2" s="420"/>
      <c r="D2" s="420"/>
      <c r="E2" s="420"/>
      <c r="F2" s="420"/>
      <c r="G2" s="420"/>
      <c r="H2" s="420"/>
      <c r="I2" s="420"/>
      <c r="J2" s="420"/>
      <c r="K2" s="420"/>
      <c r="L2" s="420"/>
      <c r="M2" s="420"/>
      <c r="N2" s="420"/>
      <c r="O2" s="420"/>
    </row>
    <row r="3" spans="1:15" s="60" customFormat="1" ht="37.5" customHeight="1" x14ac:dyDescent="0.2">
      <c r="A3" s="420" t="s">
        <v>104</v>
      </c>
      <c r="B3" s="420"/>
      <c r="C3" s="420"/>
      <c r="D3" s="420"/>
      <c r="E3" s="420"/>
      <c r="F3" s="420"/>
      <c r="G3" s="420"/>
      <c r="H3" s="420"/>
      <c r="I3" s="420"/>
      <c r="J3" s="420"/>
      <c r="K3" s="420"/>
      <c r="L3" s="420"/>
      <c r="M3" s="420"/>
      <c r="N3" s="420"/>
      <c r="O3" s="420"/>
    </row>
    <row r="4" spans="1:15" ht="90" customHeight="1" x14ac:dyDescent="0.2">
      <c r="A4" s="420" t="s">
        <v>105</v>
      </c>
      <c r="B4" s="420"/>
      <c r="C4" s="420"/>
      <c r="D4" s="420"/>
      <c r="E4" s="420"/>
      <c r="F4" s="420"/>
      <c r="G4" s="420"/>
      <c r="H4" s="420"/>
      <c r="I4" s="420"/>
      <c r="J4" s="420"/>
      <c r="K4" s="420"/>
      <c r="L4" s="420"/>
      <c r="M4" s="420"/>
      <c r="N4" s="191"/>
    </row>
    <row r="5" spans="1:15" s="62" customFormat="1" ht="53.25" customHeight="1" x14ac:dyDescent="0.2">
      <c r="A5" s="421" t="s">
        <v>103</v>
      </c>
      <c r="B5" s="422"/>
      <c r="C5" s="422"/>
      <c r="D5" s="422"/>
      <c r="E5" s="422"/>
      <c r="F5" s="422"/>
      <c r="G5" s="422"/>
      <c r="H5" s="422"/>
      <c r="I5" s="422"/>
      <c r="J5" s="422"/>
      <c r="K5" s="422"/>
      <c r="L5" s="422"/>
      <c r="M5" s="422"/>
      <c r="N5" s="192"/>
    </row>
    <row r="6" spans="1:15" ht="67.5" customHeight="1" x14ac:dyDescent="0.2">
      <c r="A6" s="423" t="s">
        <v>39</v>
      </c>
      <c r="B6" s="423"/>
      <c r="C6" s="423"/>
      <c r="D6" s="423"/>
      <c r="E6" s="423"/>
      <c r="F6" s="423"/>
      <c r="G6" s="423"/>
      <c r="H6" s="423"/>
      <c r="I6" s="423"/>
      <c r="J6" s="423"/>
      <c r="K6" s="423"/>
      <c r="L6" s="423"/>
      <c r="M6" s="423"/>
      <c r="N6" s="423"/>
      <c r="O6" s="423"/>
    </row>
    <row r="7" spans="1:15" ht="37.5" customHeight="1" x14ac:dyDescent="0.2">
      <c r="A7" s="424" t="s">
        <v>111</v>
      </c>
      <c r="B7" s="425"/>
      <c r="C7" s="425"/>
      <c r="D7" s="425"/>
      <c r="E7" s="425"/>
      <c r="F7" s="425"/>
      <c r="G7" s="425"/>
      <c r="H7" s="425"/>
      <c r="I7" s="425"/>
      <c r="J7" s="425"/>
      <c r="K7" s="425"/>
      <c r="L7" s="425"/>
      <c r="M7" s="425"/>
      <c r="N7" s="425"/>
      <c r="O7" s="425"/>
    </row>
    <row r="8" spans="1:15" ht="22.5" x14ac:dyDescent="0.3">
      <c r="A8" s="418" t="s">
        <v>102</v>
      </c>
      <c r="B8" s="418"/>
      <c r="C8" s="418"/>
      <c r="D8" s="418"/>
      <c r="E8" s="418"/>
      <c r="F8" s="418"/>
      <c r="G8" s="418"/>
      <c r="H8" s="418"/>
      <c r="I8" s="418"/>
      <c r="J8" s="418"/>
      <c r="K8" s="418"/>
      <c r="L8" s="418"/>
      <c r="M8" s="418"/>
      <c r="N8" s="418"/>
      <c r="O8" s="418"/>
    </row>
    <row r="9" spans="1:15" s="1" customFormat="1" ht="74.25" customHeight="1" x14ac:dyDescent="0.2">
      <c r="B9" s="419" t="s">
        <v>101</v>
      </c>
      <c r="C9" s="419"/>
      <c r="D9" s="419"/>
      <c r="E9" s="419"/>
      <c r="F9" s="419"/>
      <c r="G9" s="419"/>
      <c r="H9" s="186"/>
    </row>
    <row r="10" spans="1:15" ht="137.25" customHeight="1" x14ac:dyDescent="0.2">
      <c r="B10" s="63" t="s">
        <v>40</v>
      </c>
      <c r="C10" s="63" t="s">
        <v>40</v>
      </c>
      <c r="D10" s="63" t="s">
        <v>141</v>
      </c>
      <c r="E10" s="63" t="s">
        <v>41</v>
      </c>
      <c r="F10" s="63" t="s">
        <v>42</v>
      </c>
      <c r="G10" s="63" t="s">
        <v>109</v>
      </c>
      <c r="H10" s="63" t="s">
        <v>43</v>
      </c>
      <c r="I10" s="63" t="s">
        <v>44</v>
      </c>
      <c r="J10" s="63" t="s">
        <v>45</v>
      </c>
      <c r="K10" s="63" t="s">
        <v>46</v>
      </c>
      <c r="L10" s="63" t="s">
        <v>47</v>
      </c>
      <c r="M10" s="63" t="s">
        <v>140</v>
      </c>
      <c r="N10" s="194"/>
    </row>
    <row r="11" spans="1:15" s="1" customFormat="1" ht="112.5" x14ac:dyDescent="0.2">
      <c r="A11" s="185" t="s">
        <v>98</v>
      </c>
      <c r="B11" s="186" t="s">
        <v>99</v>
      </c>
      <c r="C11" s="186" t="s">
        <v>99</v>
      </c>
      <c r="D11" s="186" t="s">
        <v>142</v>
      </c>
      <c r="E11" s="186" t="s">
        <v>144</v>
      </c>
      <c r="F11" s="65" t="s">
        <v>145</v>
      </c>
      <c r="G11" s="186" t="s">
        <v>110</v>
      </c>
      <c r="H11" s="186" t="s">
        <v>100</v>
      </c>
      <c r="I11" s="187" t="s">
        <v>146</v>
      </c>
      <c r="J11" s="188" t="s">
        <v>147</v>
      </c>
      <c r="K11" s="61" t="s">
        <v>48</v>
      </c>
      <c r="L11" s="61" t="s">
        <v>49</v>
      </c>
      <c r="M11" s="186" t="s">
        <v>143</v>
      </c>
      <c r="N11"/>
      <c r="O11"/>
    </row>
    <row r="12" spans="1:15" ht="56.25" x14ac:dyDescent="0.2">
      <c r="D12" s="64" t="s">
        <v>97</v>
      </c>
      <c r="E12" s="65"/>
      <c r="J12" s="66" t="s">
        <v>50</v>
      </c>
      <c r="K12" s="65" t="s">
        <v>51</v>
      </c>
    </row>
    <row r="13" spans="1:15" ht="22.5" x14ac:dyDescent="0.2">
      <c r="J13" s="67" t="s">
        <v>52</v>
      </c>
      <c r="K13" s="65"/>
    </row>
    <row r="14" spans="1:15" ht="56.25" x14ac:dyDescent="0.2">
      <c r="J14" s="68" t="s">
        <v>89</v>
      </c>
      <c r="M14" s="68" t="s">
        <v>96</v>
      </c>
      <c r="N14" s="193"/>
    </row>
    <row r="15" spans="1:15" ht="45" x14ac:dyDescent="0.2">
      <c r="J15" s="69" t="s">
        <v>53</v>
      </c>
      <c r="N15" s="70"/>
    </row>
    <row r="16" spans="1:15" ht="56.25" x14ac:dyDescent="0.2">
      <c r="J16" s="68" t="s">
        <v>90</v>
      </c>
      <c r="M16" s="68" t="s">
        <v>96</v>
      </c>
      <c r="N16" s="193"/>
    </row>
    <row r="17" spans="10:14" ht="56.25" x14ac:dyDescent="0.2">
      <c r="J17" s="68" t="s">
        <v>95</v>
      </c>
      <c r="M17" s="68" t="s">
        <v>96</v>
      </c>
      <c r="N17" s="193"/>
    </row>
    <row r="18" spans="10:14" x14ac:dyDescent="0.2"/>
    <row r="19" spans="10:14" x14ac:dyDescent="0.2"/>
    <row r="20" spans="10:14" x14ac:dyDescent="0.2"/>
    <row r="21" spans="10:14" x14ac:dyDescent="0.2"/>
    <row r="22" spans="10:14" x14ac:dyDescent="0.2"/>
    <row r="23" spans="10:14" x14ac:dyDescent="0.2"/>
    <row r="24" spans="10:14" x14ac:dyDescent="0.2"/>
  </sheetData>
  <mergeCells count="9">
    <mergeCell ref="A8:O8"/>
    <mergeCell ref="B9:G9"/>
    <mergeCell ref="A1:O1"/>
    <mergeCell ref="A2:O2"/>
    <mergeCell ref="A5:M5"/>
    <mergeCell ref="A6:O6"/>
    <mergeCell ref="A7:O7"/>
    <mergeCell ref="A4:M4"/>
    <mergeCell ref="A3:O3"/>
  </mergeCells>
  <pageMargins left="0.75" right="0.75" top="1" bottom="1" header="0.4921259845" footer="0.4921259845"/>
  <pageSetup paperSize="9" scale="51" orientation="portrait" r:id="rId1"/>
  <headerFooter alignWithMargins="0">
    <oddFooter>&amp;LE905722 rev xxx ver xxx&amp;R&amp;P</oddFooter>
  </headerFooter>
  <rowBreaks count="1" manualBreakCount="1">
    <brk id="7" max="16383" man="1"/>
  </rowBreaks>
  <colBreaks count="1" manualBreakCount="1">
    <brk id="14" max="14"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tabColor theme="4" tint="0.39997558519241921"/>
    <outlinePr summaryBelow="0"/>
  </sheetPr>
  <dimension ref="A1:AM220"/>
  <sheetViews>
    <sheetView showGridLines="0" zoomScale="75" zoomScaleNormal="75" workbookViewId="0">
      <selection activeCell="V5" sqref="V5"/>
    </sheetView>
  </sheetViews>
  <sheetFormatPr defaultColWidth="0" defaultRowHeight="12.75" zeroHeight="1" outlineLevelRow="1" x14ac:dyDescent="0.2"/>
  <cols>
    <col min="1" max="1" width="60.5703125" style="130" customWidth="1"/>
    <col min="2" max="2" width="25.140625" style="131" customWidth="1"/>
    <col min="3" max="3" width="20.7109375" style="132" hidden="1" customWidth="1"/>
    <col min="4" max="4" width="24" style="133" customWidth="1"/>
    <col min="5" max="5" width="26.140625" style="134" hidden="1" customWidth="1"/>
    <col min="6" max="6" width="24" style="134" hidden="1" customWidth="1"/>
    <col min="7" max="7" width="24" style="135" hidden="1" customWidth="1"/>
    <col min="8" max="8" width="24" style="136" hidden="1" customWidth="1"/>
    <col min="9" max="9" width="26.140625" style="136" hidden="1" customWidth="1"/>
    <col min="10" max="10" width="20" style="136" hidden="1" customWidth="1"/>
    <col min="11" max="11" width="31.42578125" style="136" hidden="1" customWidth="1"/>
    <col min="12" max="12" width="27.42578125" style="135" hidden="1" customWidth="1"/>
    <col min="13" max="13" width="32.85546875" style="137" hidden="1" customWidth="1"/>
    <col min="14" max="14" width="44.42578125" style="71" customWidth="1"/>
    <col min="15" max="15" width="20.140625" style="71" customWidth="1"/>
    <col min="16" max="16" width="20.7109375" style="71" customWidth="1"/>
    <col min="17" max="25" width="11.42578125" style="71" customWidth="1"/>
    <col min="26" max="16384" width="0" style="71" hidden="1"/>
  </cols>
  <sheetData>
    <row r="1" spans="1:39" s="140" customFormat="1" ht="89.25" customHeight="1" x14ac:dyDescent="0.2">
      <c r="A1" s="266" t="s">
        <v>114</v>
      </c>
      <c r="B1" s="267" t="s">
        <v>128</v>
      </c>
      <c r="C1" s="171"/>
      <c r="D1" s="171"/>
      <c r="E1" s="172"/>
      <c r="F1" s="172"/>
      <c r="G1" s="173"/>
      <c r="M1" s="171"/>
      <c r="N1" s="171"/>
      <c r="O1" s="198" t="s">
        <v>83</v>
      </c>
      <c r="P1" s="336" t="str">
        <f>SWVersion</f>
        <v>tbd</v>
      </c>
      <c r="Q1" s="222"/>
      <c r="S1" s="222"/>
      <c r="T1" s="222"/>
      <c r="AM1" s="170"/>
    </row>
    <row r="2" spans="1:39" ht="22.5" x14ac:dyDescent="0.2">
      <c r="A2" s="169"/>
      <c r="B2" s="144"/>
      <c r="C2" s="141"/>
      <c r="D2" s="141"/>
      <c r="E2" s="141"/>
      <c r="F2" s="141"/>
      <c r="G2" s="141"/>
      <c r="H2" s="141"/>
      <c r="I2" s="149"/>
      <c r="J2" s="149"/>
      <c r="K2" s="149"/>
      <c r="L2" s="149"/>
      <c r="M2" s="141"/>
      <c r="N2" s="200"/>
      <c r="O2" s="200"/>
      <c r="P2" s="313"/>
      <c r="Q2" s="223"/>
      <c r="R2" s="223"/>
      <c r="S2" s="223"/>
      <c r="T2" s="223"/>
    </row>
    <row r="3" spans="1:39" s="140" customFormat="1" ht="15.75" customHeight="1" outlineLevel="1" x14ac:dyDescent="0.2">
      <c r="A3" s="161"/>
      <c r="B3" s="162"/>
      <c r="C3" s="427" t="s">
        <v>124</v>
      </c>
      <c r="D3" s="428"/>
      <c r="E3" s="428"/>
      <c r="F3" s="428"/>
      <c r="G3" s="428"/>
      <c r="H3" s="428"/>
      <c r="I3" s="428"/>
      <c r="J3" s="429"/>
      <c r="K3" s="426" t="s">
        <v>125</v>
      </c>
      <c r="L3" s="426"/>
      <c r="M3" s="426"/>
      <c r="N3" s="199"/>
      <c r="O3" s="199"/>
      <c r="P3" s="314"/>
      <c r="Q3" s="222"/>
      <c r="R3" s="222"/>
      <c r="S3" s="222"/>
      <c r="T3" s="222"/>
    </row>
    <row r="4" spans="1:39" s="72" customFormat="1" ht="99" customHeight="1" outlineLevel="1" x14ac:dyDescent="0.2">
      <c r="A4" s="163" t="s">
        <v>54</v>
      </c>
      <c r="B4" s="164" t="s">
        <v>91</v>
      </c>
      <c r="C4" s="164" t="s">
        <v>42</v>
      </c>
      <c r="D4" s="164" t="s">
        <v>106</v>
      </c>
      <c r="E4" s="164" t="s">
        <v>87</v>
      </c>
      <c r="F4" s="164" t="s">
        <v>70</v>
      </c>
      <c r="G4" s="164" t="s">
        <v>71</v>
      </c>
      <c r="H4" s="164" t="s">
        <v>75</v>
      </c>
      <c r="I4" s="164" t="s">
        <v>77</v>
      </c>
      <c r="J4" s="164" t="s">
        <v>76</v>
      </c>
      <c r="K4" s="189" t="s">
        <v>75</v>
      </c>
      <c r="L4" s="189" t="s">
        <v>77</v>
      </c>
      <c r="M4" s="189" t="s">
        <v>76</v>
      </c>
      <c r="N4" s="200"/>
      <c r="O4" s="200"/>
      <c r="P4" s="313"/>
      <c r="Q4" s="270"/>
      <c r="R4" s="270"/>
      <c r="T4" s="270"/>
      <c r="U4" s="271"/>
      <c r="V4" s="271"/>
      <c r="W4" s="271"/>
      <c r="X4" s="272"/>
    </row>
    <row r="5" spans="1:39" outlineLevel="1" x14ac:dyDescent="0.2">
      <c r="A5" s="179"/>
      <c r="B5" s="155"/>
      <c r="C5" s="156"/>
      <c r="D5" s="156"/>
      <c r="E5" s="157"/>
      <c r="F5" s="156"/>
      <c r="G5" s="156"/>
      <c r="H5" s="158"/>
      <c r="I5" s="158"/>
      <c r="J5" s="158"/>
      <c r="K5" s="168"/>
      <c r="L5" s="168"/>
      <c r="M5" s="168"/>
      <c r="N5" s="200"/>
      <c r="O5" s="200"/>
      <c r="P5" s="313"/>
      <c r="Q5" s="224"/>
      <c r="R5" s="224"/>
      <c r="S5" s="224"/>
      <c r="T5" s="224"/>
      <c r="U5" s="135"/>
      <c r="V5" s="269"/>
      <c r="W5" s="135"/>
      <c r="X5" s="273"/>
    </row>
    <row r="6" spans="1:39" ht="13.5" outlineLevel="1" thickBot="1" x14ac:dyDescent="0.25">
      <c r="A6" s="154"/>
      <c r="B6" s="155"/>
      <c r="C6" s="156"/>
      <c r="D6" s="156"/>
      <c r="E6" s="157"/>
      <c r="F6" s="156"/>
      <c r="G6" s="156"/>
      <c r="H6" s="158"/>
      <c r="I6" s="158"/>
      <c r="J6" s="158"/>
      <c r="K6" s="159"/>
      <c r="L6" s="159"/>
      <c r="M6" s="159"/>
      <c r="N6" s="200"/>
      <c r="O6" s="200"/>
      <c r="P6" s="313"/>
      <c r="Q6" s="224"/>
      <c r="R6" s="224"/>
      <c r="S6" s="224"/>
      <c r="T6" s="224"/>
      <c r="U6" s="135"/>
      <c r="V6" s="135"/>
      <c r="W6" s="135"/>
      <c r="X6" s="273"/>
    </row>
    <row r="7" spans="1:39" s="94" customFormat="1" ht="15.75" outlineLevel="1" x14ac:dyDescent="0.2">
      <c r="A7" s="165" t="s">
        <v>68</v>
      </c>
      <c r="B7" s="95" t="s">
        <v>86</v>
      </c>
      <c r="C7" s="96">
        <v>0</v>
      </c>
      <c r="D7" s="96">
        <v>0</v>
      </c>
      <c r="E7" s="96">
        <v>0</v>
      </c>
      <c r="F7" s="96">
        <v>0</v>
      </c>
      <c r="G7" s="96">
        <v>0</v>
      </c>
      <c r="H7" s="97">
        <v>0</v>
      </c>
      <c r="I7" s="97">
        <v>0</v>
      </c>
      <c r="J7" s="97">
        <v>0</v>
      </c>
      <c r="K7" s="153">
        <v>0</v>
      </c>
      <c r="L7" s="153">
        <v>0</v>
      </c>
      <c r="M7" s="153">
        <v>0</v>
      </c>
      <c r="N7" s="201"/>
      <c r="O7" s="201"/>
      <c r="P7" s="315"/>
      <c r="Q7" s="274"/>
      <c r="R7" s="274"/>
      <c r="S7" s="274"/>
      <c r="T7" s="274"/>
      <c r="U7" s="275"/>
      <c r="V7" s="275"/>
      <c r="W7" s="275"/>
      <c r="X7" s="276"/>
    </row>
    <row r="8" spans="1:39" s="115" customFormat="1" ht="15.75" outlineLevel="1" x14ac:dyDescent="0.2">
      <c r="A8" s="166" t="s">
        <v>69</v>
      </c>
      <c r="B8" s="160"/>
      <c r="C8" s="195"/>
      <c r="D8" s="195"/>
      <c r="E8" s="195"/>
      <c r="F8" s="195"/>
      <c r="G8" s="195"/>
      <c r="H8" s="196"/>
      <c r="I8" s="196"/>
      <c r="J8" s="196"/>
      <c r="K8" s="197"/>
      <c r="L8" s="197"/>
      <c r="M8" s="197"/>
      <c r="N8" s="202"/>
      <c r="O8" s="202"/>
      <c r="P8" s="316"/>
      <c r="Q8" s="277"/>
      <c r="R8" s="277"/>
      <c r="S8" s="277"/>
      <c r="T8" s="277"/>
      <c r="U8" s="278"/>
      <c r="V8" s="278"/>
      <c r="W8" s="278"/>
      <c r="X8" s="279"/>
    </row>
    <row r="9" spans="1:39" s="150" customFormat="1" ht="15.75" outlineLevel="1" thickBot="1" x14ac:dyDescent="0.25">
      <c r="A9" s="142"/>
      <c r="B9" s="144"/>
      <c r="C9" s="145"/>
      <c r="D9" s="146"/>
      <c r="E9" s="147"/>
      <c r="F9" s="147"/>
      <c r="G9" s="148"/>
      <c r="H9" s="149"/>
      <c r="I9" s="149"/>
      <c r="J9" s="149"/>
      <c r="K9" s="149"/>
      <c r="L9" s="148"/>
      <c r="M9" s="149"/>
      <c r="N9" s="203"/>
      <c r="O9" s="203"/>
      <c r="P9" s="313"/>
      <c r="Q9" s="224"/>
      <c r="R9" s="224"/>
      <c r="S9" s="224"/>
      <c r="T9" s="224"/>
      <c r="X9" s="280"/>
    </row>
    <row r="10" spans="1:39" s="152" customFormat="1" ht="16.5" outlineLevel="1" thickTop="1" thickBot="1" x14ac:dyDescent="0.25">
      <c r="A10" s="142"/>
      <c r="B10" s="144"/>
      <c r="C10" s="145"/>
      <c r="D10" s="146"/>
      <c r="E10" s="147"/>
      <c r="F10" s="147"/>
      <c r="G10" s="148"/>
      <c r="H10" s="149"/>
      <c r="I10" s="149"/>
      <c r="J10" s="149"/>
      <c r="K10" s="149"/>
      <c r="L10" s="148"/>
      <c r="M10" s="149"/>
      <c r="N10" s="204"/>
      <c r="O10" s="204"/>
      <c r="P10" s="317"/>
      <c r="Q10" s="274"/>
      <c r="R10" s="274"/>
      <c r="S10" s="225"/>
      <c r="T10" s="225"/>
      <c r="X10" s="281"/>
    </row>
    <row r="11" spans="1:39" s="120" customFormat="1" ht="23.25" thickTop="1" x14ac:dyDescent="0.2">
      <c r="A11" s="286" t="s">
        <v>115</v>
      </c>
      <c r="B11" s="287"/>
      <c r="C11" s="287"/>
      <c r="D11" s="287"/>
      <c r="E11" s="287"/>
      <c r="F11" s="287"/>
      <c r="G11" s="287"/>
      <c r="H11" s="287"/>
      <c r="I11" s="287"/>
      <c r="J11" s="287"/>
      <c r="K11" s="287"/>
      <c r="L11" s="287"/>
      <c r="M11" s="287"/>
      <c r="N11" s="121"/>
      <c r="O11" s="121"/>
      <c r="P11" s="318"/>
      <c r="Q11" s="226"/>
      <c r="R11" s="226"/>
      <c r="S11" s="226"/>
      <c r="T11" s="226"/>
      <c r="U11" s="227"/>
      <c r="V11" s="227"/>
      <c r="W11" s="227"/>
      <c r="X11" s="282"/>
    </row>
    <row r="12" spans="1:39" s="120" customFormat="1" ht="35.25" customHeight="1" outlineLevel="1" x14ac:dyDescent="0.2">
      <c r="A12" s="311"/>
      <c r="B12" s="310"/>
      <c r="C12" s="121"/>
      <c r="D12" s="121"/>
      <c r="E12" s="121"/>
      <c r="F12" s="121"/>
      <c r="G12" s="121"/>
      <c r="H12" s="121"/>
      <c r="I12" s="121"/>
      <c r="J12" s="121"/>
      <c r="K12" s="121"/>
      <c r="L12" s="121"/>
      <c r="M12" s="121"/>
      <c r="N12" s="121"/>
      <c r="O12" s="121"/>
      <c r="P12" s="318"/>
      <c r="Q12" s="226"/>
      <c r="R12" s="226"/>
      <c r="S12" s="226"/>
      <c r="T12" s="226"/>
      <c r="U12" s="227"/>
      <c r="V12" s="227"/>
      <c r="W12" s="227"/>
      <c r="X12" s="282"/>
    </row>
    <row r="13" spans="1:39" s="120" customFormat="1" ht="15" outlineLevel="1" x14ac:dyDescent="0.2">
      <c r="A13" s="289" t="s">
        <v>72</v>
      </c>
      <c r="B13" s="111">
        <f>INT(RIGHT(B7,FIND("/",B7)-2))</f>
        <v>0</v>
      </c>
      <c r="C13" s="121"/>
      <c r="D13" s="121"/>
      <c r="E13" s="121"/>
      <c r="F13" s="121"/>
      <c r="G13" s="121"/>
      <c r="H13" s="121"/>
      <c r="I13" s="121"/>
      <c r="J13" s="121"/>
      <c r="K13" s="121"/>
      <c r="L13" s="121"/>
      <c r="M13" s="121"/>
      <c r="N13" s="121"/>
      <c r="O13" s="121"/>
      <c r="P13" s="318"/>
      <c r="Q13" s="226"/>
      <c r="R13" s="226"/>
      <c r="S13" s="226"/>
      <c r="T13" s="226"/>
      <c r="U13" s="227"/>
      <c r="V13" s="227"/>
      <c r="W13" s="227"/>
      <c r="X13" s="282"/>
    </row>
    <row r="14" spans="1:39" s="120" customFormat="1" ht="15" outlineLevel="1" x14ac:dyDescent="0.2">
      <c r="A14" s="289" t="s">
        <v>73</v>
      </c>
      <c r="B14" s="114">
        <f>INT(LEFT(B7,FIND("/",B7)-2)) - INT(RIGHT(B7,FIND("/",B7)-2))</f>
        <v>0</v>
      </c>
      <c r="C14" s="121"/>
      <c r="D14" s="121"/>
      <c r="E14" s="121"/>
      <c r="F14" s="121"/>
      <c r="G14" s="121"/>
      <c r="H14" s="121"/>
      <c r="I14" s="121"/>
      <c r="J14" s="121"/>
      <c r="K14" s="121"/>
      <c r="L14" s="121"/>
      <c r="M14" s="121"/>
      <c r="N14" s="121"/>
      <c r="O14" s="121"/>
      <c r="P14" s="318"/>
      <c r="Q14" s="226"/>
      <c r="R14" s="226"/>
      <c r="S14" s="226"/>
      <c r="T14" s="226"/>
      <c r="U14" s="227"/>
      <c r="V14" s="227"/>
      <c r="W14" s="227"/>
      <c r="X14" s="282"/>
    </row>
    <row r="15" spans="1:39" s="120" customFormat="1" ht="22.5" outlineLevel="1" x14ac:dyDescent="0.2">
      <c r="A15" s="288"/>
      <c r="B15" s="121"/>
      <c r="C15" s="121"/>
      <c r="D15" s="121"/>
      <c r="E15" s="121"/>
      <c r="F15" s="121"/>
      <c r="G15" s="121"/>
      <c r="H15" s="121"/>
      <c r="I15" s="121"/>
      <c r="J15" s="121"/>
      <c r="K15" s="121"/>
      <c r="L15" s="121"/>
      <c r="M15" s="121"/>
      <c r="N15" s="121"/>
      <c r="O15" s="121"/>
      <c r="P15" s="318"/>
      <c r="Q15" s="226"/>
      <c r="R15" s="226"/>
      <c r="S15" s="226"/>
      <c r="T15" s="226"/>
      <c r="U15" s="227"/>
      <c r="V15" s="227"/>
      <c r="W15" s="227"/>
      <c r="X15" s="282"/>
    </row>
    <row r="16" spans="1:39" s="120" customFormat="1" ht="22.5" outlineLevel="1" x14ac:dyDescent="0.2">
      <c r="A16" s="290"/>
      <c r="B16" s="121"/>
      <c r="C16" s="121"/>
      <c r="D16" s="121"/>
      <c r="E16" s="121"/>
      <c r="F16" s="121"/>
      <c r="G16" s="121"/>
      <c r="H16" s="121"/>
      <c r="I16" s="121"/>
      <c r="J16" s="121"/>
      <c r="K16" s="121"/>
      <c r="L16" s="121"/>
      <c r="M16" s="121"/>
      <c r="N16" s="121"/>
      <c r="O16" s="121"/>
      <c r="P16" s="318"/>
      <c r="Q16" s="226"/>
      <c r="R16" s="226"/>
      <c r="S16" s="283"/>
      <c r="T16" s="283"/>
      <c r="U16" s="284"/>
      <c r="V16" s="284"/>
      <c r="W16" s="284"/>
      <c r="X16" s="285"/>
    </row>
    <row r="17" spans="1:20" s="120" customFormat="1" outlineLevel="1" x14ac:dyDescent="0.2">
      <c r="A17" s="291"/>
      <c r="B17" s="122"/>
      <c r="C17" s="122"/>
      <c r="D17" s="122"/>
      <c r="E17" s="122"/>
      <c r="F17" s="122"/>
      <c r="G17" s="122"/>
      <c r="H17" s="122"/>
      <c r="I17" s="122"/>
      <c r="J17" s="122"/>
      <c r="K17" s="122"/>
      <c r="L17" s="122"/>
      <c r="M17" s="122"/>
      <c r="N17" s="122"/>
      <c r="O17" s="122"/>
      <c r="P17" s="319"/>
      <c r="Q17" s="227"/>
      <c r="R17" s="227"/>
      <c r="S17" s="227"/>
      <c r="T17" s="227"/>
    </row>
    <row r="18" spans="1:20" s="120" customFormat="1" outlineLevel="1" x14ac:dyDescent="0.2">
      <c r="A18" s="291"/>
      <c r="B18" s="122"/>
      <c r="C18" s="122"/>
      <c r="D18" s="122"/>
      <c r="E18" s="122"/>
      <c r="F18" s="122"/>
      <c r="G18" s="122"/>
      <c r="H18" s="122"/>
      <c r="I18" s="122"/>
      <c r="J18" s="122"/>
      <c r="K18" s="122"/>
      <c r="L18" s="122"/>
      <c r="M18" s="122"/>
      <c r="N18" s="122"/>
      <c r="O18" s="122"/>
      <c r="P18" s="319"/>
      <c r="Q18" s="227"/>
      <c r="R18" s="227"/>
      <c r="S18" s="227"/>
      <c r="T18" s="227"/>
    </row>
    <row r="19" spans="1:20" s="120" customFormat="1" outlineLevel="1" x14ac:dyDescent="0.2">
      <c r="A19" s="291"/>
      <c r="B19" s="122"/>
      <c r="C19" s="122"/>
      <c r="D19" s="122"/>
      <c r="E19" s="122"/>
      <c r="F19" s="122"/>
      <c r="G19" s="122"/>
      <c r="H19" s="122"/>
      <c r="I19" s="122"/>
      <c r="J19" s="122"/>
      <c r="K19" s="122"/>
      <c r="L19" s="122"/>
      <c r="M19" s="122"/>
      <c r="N19" s="122"/>
      <c r="O19" s="122"/>
      <c r="P19" s="319"/>
      <c r="Q19" s="227"/>
      <c r="R19" s="227"/>
      <c r="S19" s="227"/>
      <c r="T19" s="227"/>
    </row>
    <row r="20" spans="1:20" s="120" customFormat="1" outlineLevel="1" x14ac:dyDescent="0.2">
      <c r="A20" s="291"/>
      <c r="B20" s="122"/>
      <c r="C20" s="122"/>
      <c r="D20" s="122"/>
      <c r="E20" s="122"/>
      <c r="F20" s="122"/>
      <c r="G20" s="122"/>
      <c r="H20" s="122"/>
      <c r="I20" s="122"/>
      <c r="J20" s="122"/>
      <c r="K20" s="122"/>
      <c r="L20" s="122"/>
      <c r="M20" s="122"/>
      <c r="N20" s="122"/>
      <c r="O20" s="122"/>
      <c r="P20" s="319"/>
      <c r="Q20" s="227"/>
      <c r="R20" s="227"/>
      <c r="S20" s="227"/>
      <c r="T20" s="227"/>
    </row>
    <row r="21" spans="1:20" s="120" customFormat="1" outlineLevel="1" x14ac:dyDescent="0.2">
      <c r="A21" s="291"/>
      <c r="B21" s="122"/>
      <c r="C21" s="122"/>
      <c r="D21" s="122"/>
      <c r="E21" s="122"/>
      <c r="F21" s="122"/>
      <c r="G21" s="122"/>
      <c r="H21" s="122"/>
      <c r="I21" s="122"/>
      <c r="J21" s="122"/>
      <c r="K21" s="122"/>
      <c r="L21" s="122"/>
      <c r="M21" s="122"/>
      <c r="N21" s="122"/>
      <c r="O21" s="122"/>
      <c r="P21" s="319"/>
      <c r="Q21" s="227"/>
      <c r="R21" s="227"/>
      <c r="S21" s="227"/>
      <c r="T21" s="227"/>
    </row>
    <row r="22" spans="1:20" s="120" customFormat="1" outlineLevel="1" x14ac:dyDescent="0.2">
      <c r="A22" s="291"/>
      <c r="B22" s="122"/>
      <c r="C22" s="122"/>
      <c r="D22" s="122"/>
      <c r="E22" s="122"/>
      <c r="F22" s="122"/>
      <c r="G22" s="122"/>
      <c r="H22" s="122"/>
      <c r="I22" s="122"/>
      <c r="J22" s="122"/>
      <c r="K22" s="122"/>
      <c r="L22" s="122"/>
      <c r="M22" s="122"/>
      <c r="N22" s="122"/>
      <c r="O22" s="122"/>
      <c r="P22" s="319"/>
      <c r="Q22" s="227"/>
      <c r="R22" s="227"/>
      <c r="S22" s="227"/>
      <c r="T22" s="227"/>
    </row>
    <row r="23" spans="1:20" s="120" customFormat="1" outlineLevel="1" x14ac:dyDescent="0.2">
      <c r="A23" s="291"/>
      <c r="B23" s="122"/>
      <c r="C23" s="122"/>
      <c r="D23" s="122"/>
      <c r="E23" s="122"/>
      <c r="F23" s="122"/>
      <c r="G23" s="122"/>
      <c r="H23" s="122"/>
      <c r="I23" s="122"/>
      <c r="J23" s="122"/>
      <c r="K23" s="122"/>
      <c r="L23" s="122"/>
      <c r="M23" s="122"/>
      <c r="N23" s="122"/>
      <c r="O23" s="122"/>
      <c r="P23" s="319"/>
      <c r="Q23" s="227"/>
      <c r="R23" s="227"/>
      <c r="S23" s="227"/>
      <c r="T23" s="227"/>
    </row>
    <row r="24" spans="1:20" s="120" customFormat="1" outlineLevel="1" x14ac:dyDescent="0.2">
      <c r="A24" s="291"/>
      <c r="B24" s="122"/>
      <c r="C24" s="122"/>
      <c r="D24" s="122"/>
      <c r="E24" s="122"/>
      <c r="F24" s="122"/>
      <c r="G24" s="122"/>
      <c r="H24" s="122"/>
      <c r="I24" s="122"/>
      <c r="J24" s="122"/>
      <c r="K24" s="122"/>
      <c r="L24" s="122"/>
      <c r="M24" s="122"/>
      <c r="N24" s="122"/>
      <c r="O24" s="122"/>
      <c r="P24" s="319"/>
      <c r="Q24" s="227"/>
      <c r="R24" s="227"/>
      <c r="S24" s="227"/>
      <c r="T24" s="227"/>
    </row>
    <row r="25" spans="1:20" s="120" customFormat="1" outlineLevel="1" x14ac:dyDescent="0.2">
      <c r="A25" s="291"/>
      <c r="B25" s="122"/>
      <c r="C25" s="122"/>
      <c r="D25" s="122"/>
      <c r="E25" s="122"/>
      <c r="F25" s="122"/>
      <c r="G25" s="122"/>
      <c r="H25" s="122"/>
      <c r="I25" s="122"/>
      <c r="J25" s="122"/>
      <c r="K25" s="122"/>
      <c r="L25" s="122"/>
      <c r="M25" s="122"/>
      <c r="N25" s="122"/>
      <c r="O25" s="122"/>
      <c r="P25" s="319"/>
      <c r="Q25" s="227"/>
      <c r="R25" s="227"/>
      <c r="S25" s="227"/>
      <c r="T25" s="227"/>
    </row>
    <row r="26" spans="1:20" s="120" customFormat="1" outlineLevel="1" x14ac:dyDescent="0.2">
      <c r="A26" s="291"/>
      <c r="B26" s="122"/>
      <c r="C26" s="122"/>
      <c r="D26" s="122"/>
      <c r="E26" s="122"/>
      <c r="F26" s="122"/>
      <c r="G26" s="122"/>
      <c r="H26" s="122"/>
      <c r="I26" s="122"/>
      <c r="J26" s="122"/>
      <c r="K26" s="122"/>
      <c r="L26" s="122"/>
      <c r="M26" s="122"/>
      <c r="N26" s="122"/>
      <c r="O26" s="122"/>
      <c r="P26" s="319"/>
      <c r="Q26" s="227"/>
      <c r="R26" s="227"/>
      <c r="S26" s="227"/>
      <c r="T26" s="227"/>
    </row>
    <row r="27" spans="1:20" s="120" customFormat="1" outlineLevel="1" x14ac:dyDescent="0.2">
      <c r="A27" s="291"/>
      <c r="B27" s="122"/>
      <c r="C27" s="122"/>
      <c r="D27" s="122"/>
      <c r="E27" s="122"/>
      <c r="F27" s="122"/>
      <c r="G27" s="122"/>
      <c r="H27" s="122"/>
      <c r="I27" s="122"/>
      <c r="J27" s="122"/>
      <c r="K27" s="122"/>
      <c r="L27" s="122"/>
      <c r="M27" s="122"/>
      <c r="N27" s="122"/>
      <c r="O27" s="122"/>
      <c r="P27" s="319"/>
      <c r="Q27" s="227"/>
      <c r="R27" s="227"/>
      <c r="S27" s="227"/>
      <c r="T27" s="227"/>
    </row>
    <row r="28" spans="1:20" s="120" customFormat="1" outlineLevel="1" x14ac:dyDescent="0.2">
      <c r="A28" s="291"/>
      <c r="B28" s="122"/>
      <c r="C28" s="122"/>
      <c r="D28" s="122"/>
      <c r="E28" s="122"/>
      <c r="F28" s="122"/>
      <c r="G28" s="122"/>
      <c r="H28" s="122"/>
      <c r="I28" s="122"/>
      <c r="J28" s="122"/>
      <c r="K28" s="122"/>
      <c r="L28" s="122"/>
      <c r="M28" s="122"/>
      <c r="N28" s="122"/>
      <c r="O28" s="122"/>
      <c r="P28" s="319"/>
      <c r="Q28" s="227"/>
      <c r="R28" s="227"/>
      <c r="S28" s="227"/>
      <c r="T28" s="227"/>
    </row>
    <row r="29" spans="1:20" s="120" customFormat="1" ht="13.5" outlineLevel="1" thickBot="1" x14ac:dyDescent="0.25">
      <c r="A29" s="292"/>
      <c r="B29" s="138"/>
      <c r="C29" s="138"/>
      <c r="D29" s="138"/>
      <c r="E29" s="138"/>
      <c r="F29" s="138"/>
      <c r="G29" s="138"/>
      <c r="H29" s="138"/>
      <c r="I29" s="138"/>
      <c r="J29" s="138"/>
      <c r="K29" s="138"/>
      <c r="L29" s="138"/>
      <c r="M29" s="138"/>
      <c r="N29" s="138"/>
      <c r="O29" s="138"/>
      <c r="P29" s="320"/>
      <c r="Q29" s="227"/>
      <c r="R29" s="227"/>
      <c r="S29" s="228"/>
      <c r="T29" s="228"/>
    </row>
    <row r="30" spans="1:20" s="120" customFormat="1" ht="23.25" thickTop="1" x14ac:dyDescent="0.2">
      <c r="A30" s="293" t="s">
        <v>118</v>
      </c>
      <c r="B30" s="174"/>
      <c r="C30" s="174"/>
      <c r="D30" s="299"/>
      <c r="E30" s="299"/>
      <c r="F30" s="299"/>
      <c r="G30" s="174"/>
      <c r="H30" s="299"/>
      <c r="I30" s="174"/>
      <c r="J30" s="299"/>
      <c r="K30" s="174"/>
      <c r="L30" s="174"/>
      <c r="M30" s="174"/>
      <c r="N30" s="299"/>
      <c r="O30" s="299"/>
      <c r="P30" s="309"/>
      <c r="Q30" s="229"/>
      <c r="R30" s="229"/>
      <c r="S30" s="229"/>
      <c r="T30" s="229"/>
    </row>
    <row r="31" spans="1:20" s="120" customFormat="1" ht="15" outlineLevel="1" x14ac:dyDescent="0.2">
      <c r="A31" s="294"/>
      <c r="B31" s="175"/>
      <c r="C31" s="175"/>
      <c r="D31" s="175"/>
      <c r="E31" s="175"/>
      <c r="F31" s="175"/>
      <c r="G31" s="175"/>
      <c r="H31" s="175"/>
      <c r="I31" s="175"/>
      <c r="J31" s="175"/>
      <c r="K31" s="175"/>
      <c r="L31" s="175"/>
      <c r="M31" s="175"/>
      <c r="N31" s="175"/>
      <c r="O31" s="175"/>
      <c r="P31" s="295"/>
      <c r="Q31" s="230"/>
      <c r="R31" s="230"/>
      <c r="S31" s="230"/>
      <c r="T31" s="230"/>
    </row>
    <row r="32" spans="1:20" s="120" customFormat="1" ht="15" outlineLevel="1" x14ac:dyDescent="0.2">
      <c r="A32" s="296" t="s">
        <v>106</v>
      </c>
      <c r="B32" s="111">
        <f>CoveredByLowReq</f>
        <v>0</v>
      </c>
      <c r="C32" s="175"/>
      <c r="D32" s="175"/>
      <c r="E32" s="175"/>
      <c r="F32" s="175"/>
      <c r="G32" s="175"/>
      <c r="H32" s="175"/>
      <c r="I32" s="175"/>
      <c r="J32" s="175"/>
      <c r="K32" s="175"/>
      <c r="L32" s="175"/>
      <c r="M32" s="175"/>
      <c r="N32" s="175"/>
      <c r="O32" s="175"/>
      <c r="P32" s="295"/>
      <c r="Q32" s="230"/>
      <c r="R32" s="230"/>
      <c r="S32" s="230"/>
      <c r="T32" s="230"/>
    </row>
    <row r="33" spans="1:20" s="120" customFormat="1" ht="15" outlineLevel="1" x14ac:dyDescent="0.2">
      <c r="A33" s="296" t="s">
        <v>117</v>
      </c>
      <c r="B33" s="114">
        <f>FunctReq+NonFunctReq-B32</f>
        <v>0</v>
      </c>
      <c r="C33" s="175"/>
      <c r="D33" s="175"/>
      <c r="E33" s="175"/>
      <c r="F33" s="175"/>
      <c r="G33" s="175"/>
      <c r="H33" s="175"/>
      <c r="I33" s="175"/>
      <c r="J33" s="175"/>
      <c r="K33" s="175"/>
      <c r="L33" s="175"/>
      <c r="M33" s="175"/>
      <c r="N33" s="175"/>
      <c r="O33" s="175"/>
      <c r="P33" s="321"/>
      <c r="Q33" s="230"/>
      <c r="R33" s="230"/>
      <c r="S33" s="230"/>
      <c r="T33" s="230"/>
    </row>
    <row r="34" spans="1:20" s="120" customFormat="1" ht="15" outlineLevel="1" x14ac:dyDescent="0.2">
      <c r="A34" s="294"/>
      <c r="B34" s="175"/>
      <c r="C34" s="175"/>
      <c r="D34" s="175"/>
      <c r="E34" s="175"/>
      <c r="F34" s="175"/>
      <c r="G34" s="175"/>
      <c r="H34" s="175"/>
      <c r="I34" s="175"/>
      <c r="J34" s="175"/>
      <c r="K34" s="175"/>
      <c r="L34" s="175"/>
      <c r="M34" s="175"/>
      <c r="N34" s="175"/>
      <c r="O34" s="175"/>
      <c r="P34" s="321"/>
      <c r="Q34" s="230"/>
      <c r="R34" s="230"/>
      <c r="S34" s="230"/>
      <c r="T34" s="230"/>
    </row>
    <row r="35" spans="1:20" s="120" customFormat="1" ht="15" outlineLevel="1" x14ac:dyDescent="0.2">
      <c r="A35" s="294"/>
      <c r="B35" s="175"/>
      <c r="C35" s="175"/>
      <c r="D35" s="175"/>
      <c r="E35" s="175"/>
      <c r="F35" s="175"/>
      <c r="G35" s="175"/>
      <c r="H35" s="175"/>
      <c r="I35" s="175"/>
      <c r="J35" s="175"/>
      <c r="K35" s="175"/>
      <c r="L35" s="175"/>
      <c r="M35" s="175"/>
      <c r="N35" s="175"/>
      <c r="O35" s="175"/>
      <c r="P35" s="321"/>
      <c r="Q35" s="230"/>
      <c r="R35" s="230"/>
      <c r="S35" s="230"/>
      <c r="T35" s="230"/>
    </row>
    <row r="36" spans="1:20" s="120" customFormat="1" ht="15" outlineLevel="1" x14ac:dyDescent="0.2">
      <c r="A36" s="294"/>
      <c r="B36" s="175"/>
      <c r="C36" s="175"/>
      <c r="D36" s="175"/>
      <c r="E36" s="175"/>
      <c r="F36" s="175"/>
      <c r="G36" s="175"/>
      <c r="H36" s="175"/>
      <c r="I36" s="175"/>
      <c r="J36" s="175"/>
      <c r="K36" s="175"/>
      <c r="L36" s="175"/>
      <c r="M36" s="175"/>
      <c r="N36" s="175"/>
      <c r="O36" s="175"/>
      <c r="P36" s="321"/>
      <c r="Q36" s="230"/>
      <c r="R36" s="230"/>
      <c r="S36" s="230"/>
      <c r="T36" s="230"/>
    </row>
    <row r="37" spans="1:20" s="120" customFormat="1" ht="27" customHeight="1" outlineLevel="1" x14ac:dyDescent="0.2">
      <c r="A37" s="294"/>
      <c r="B37" s="175"/>
      <c r="C37" s="175"/>
      <c r="D37" s="175"/>
      <c r="E37" s="175"/>
      <c r="F37" s="175"/>
      <c r="G37" s="175"/>
      <c r="H37" s="175"/>
      <c r="I37" s="175"/>
      <c r="J37" s="175"/>
      <c r="K37" s="175"/>
      <c r="L37" s="175"/>
      <c r="M37" s="175"/>
      <c r="N37" s="175"/>
      <c r="O37" s="175"/>
      <c r="P37" s="321"/>
      <c r="Q37" s="230"/>
      <c r="R37" s="230"/>
      <c r="S37" s="230"/>
      <c r="T37" s="230"/>
    </row>
    <row r="38" spans="1:20" s="120" customFormat="1" ht="15" outlineLevel="1" x14ac:dyDescent="0.2">
      <c r="A38" s="294"/>
      <c r="B38" s="175"/>
      <c r="C38" s="175"/>
      <c r="D38" s="175"/>
      <c r="E38" s="175"/>
      <c r="F38" s="175"/>
      <c r="G38" s="175"/>
      <c r="H38" s="175"/>
      <c r="I38" s="175"/>
      <c r="J38" s="175"/>
      <c r="K38" s="175"/>
      <c r="L38" s="175"/>
      <c r="M38" s="175"/>
      <c r="N38" s="175"/>
      <c r="O38" s="175"/>
      <c r="P38" s="321"/>
      <c r="Q38" s="230"/>
      <c r="R38" s="230"/>
      <c r="S38" s="230"/>
      <c r="T38" s="230"/>
    </row>
    <row r="39" spans="1:20" s="120" customFormat="1" ht="15" outlineLevel="1" x14ac:dyDescent="0.2">
      <c r="A39" s="294"/>
      <c r="B39" s="175"/>
      <c r="C39" s="175"/>
      <c r="D39" s="175"/>
      <c r="E39" s="175"/>
      <c r="F39" s="175"/>
      <c r="G39" s="175"/>
      <c r="H39" s="175"/>
      <c r="I39" s="175"/>
      <c r="J39" s="175"/>
      <c r="K39" s="175"/>
      <c r="L39" s="175"/>
      <c r="M39" s="175"/>
      <c r="N39" s="175"/>
      <c r="O39" s="175"/>
      <c r="P39" s="321"/>
      <c r="Q39" s="230"/>
      <c r="R39" s="230"/>
      <c r="S39" s="230"/>
      <c r="T39" s="230"/>
    </row>
    <row r="40" spans="1:20" s="120" customFormat="1" ht="15" outlineLevel="1" x14ac:dyDescent="0.2">
      <c r="A40" s="294"/>
      <c r="B40" s="175"/>
      <c r="C40" s="175"/>
      <c r="D40" s="175"/>
      <c r="E40" s="175"/>
      <c r="F40" s="175"/>
      <c r="G40" s="175"/>
      <c r="H40" s="175"/>
      <c r="I40" s="175"/>
      <c r="J40" s="175"/>
      <c r="K40" s="175"/>
      <c r="L40" s="175"/>
      <c r="M40" s="175"/>
      <c r="N40" s="175"/>
      <c r="O40" s="175"/>
      <c r="P40" s="321"/>
      <c r="Q40" s="230"/>
      <c r="R40" s="230"/>
      <c r="S40" s="230"/>
      <c r="T40" s="230"/>
    </row>
    <row r="41" spans="1:20" s="120" customFormat="1" ht="15" outlineLevel="1" x14ac:dyDescent="0.2">
      <c r="A41" s="294"/>
      <c r="B41" s="175"/>
      <c r="C41" s="175"/>
      <c r="D41" s="175"/>
      <c r="E41" s="175"/>
      <c r="F41" s="175"/>
      <c r="G41" s="175"/>
      <c r="H41" s="175"/>
      <c r="I41" s="175"/>
      <c r="J41" s="175"/>
      <c r="K41" s="175"/>
      <c r="L41" s="175"/>
      <c r="M41" s="175"/>
      <c r="N41" s="175"/>
      <c r="O41" s="175"/>
      <c r="P41" s="321"/>
      <c r="Q41" s="230"/>
      <c r="R41" s="230"/>
      <c r="S41" s="230"/>
      <c r="T41" s="230"/>
    </row>
    <row r="42" spans="1:20" s="120" customFormat="1" ht="15" outlineLevel="1" x14ac:dyDescent="0.2">
      <c r="A42" s="294"/>
      <c r="B42" s="175"/>
      <c r="C42" s="175"/>
      <c r="D42" s="175"/>
      <c r="E42" s="175"/>
      <c r="F42" s="175"/>
      <c r="G42" s="175"/>
      <c r="H42" s="175"/>
      <c r="I42" s="175"/>
      <c r="J42" s="175"/>
      <c r="K42" s="175"/>
      <c r="L42" s="175"/>
      <c r="M42" s="175"/>
      <c r="N42" s="175"/>
      <c r="O42" s="175"/>
      <c r="P42" s="321"/>
      <c r="Q42" s="230"/>
      <c r="R42" s="230"/>
      <c r="S42" s="230"/>
      <c r="T42" s="230"/>
    </row>
    <row r="43" spans="1:20" s="120" customFormat="1" ht="15" outlineLevel="1" x14ac:dyDescent="0.2">
      <c r="A43" s="294"/>
      <c r="B43" s="175"/>
      <c r="C43" s="175"/>
      <c r="D43" s="175"/>
      <c r="E43" s="175"/>
      <c r="F43" s="175"/>
      <c r="G43" s="175"/>
      <c r="H43" s="175"/>
      <c r="I43" s="175"/>
      <c r="J43" s="175"/>
      <c r="K43" s="175"/>
      <c r="L43" s="175"/>
      <c r="M43" s="175"/>
      <c r="N43" s="175"/>
      <c r="O43" s="175"/>
      <c r="P43" s="321"/>
      <c r="Q43" s="230"/>
      <c r="R43" s="230"/>
      <c r="S43" s="230"/>
      <c r="T43" s="230"/>
    </row>
    <row r="44" spans="1:20" s="120" customFormat="1" ht="15" outlineLevel="1" x14ac:dyDescent="0.2">
      <c r="A44" s="294"/>
      <c r="B44" s="175"/>
      <c r="C44" s="175"/>
      <c r="D44" s="175"/>
      <c r="E44" s="175"/>
      <c r="F44" s="175"/>
      <c r="G44" s="175"/>
      <c r="H44" s="175"/>
      <c r="I44" s="175"/>
      <c r="J44" s="175"/>
      <c r="K44" s="175"/>
      <c r="L44" s="175"/>
      <c r="M44" s="175"/>
      <c r="N44" s="175"/>
      <c r="O44" s="175"/>
      <c r="P44" s="321"/>
      <c r="Q44" s="230"/>
      <c r="R44" s="230"/>
      <c r="S44" s="230"/>
      <c r="T44" s="230"/>
    </row>
    <row r="45" spans="1:20" s="120" customFormat="1" ht="15" outlineLevel="1" x14ac:dyDescent="0.2">
      <c r="A45" s="294"/>
      <c r="B45" s="175"/>
      <c r="C45" s="175"/>
      <c r="D45" s="175"/>
      <c r="E45" s="175"/>
      <c r="F45" s="175"/>
      <c r="G45" s="175"/>
      <c r="H45" s="175"/>
      <c r="I45" s="175"/>
      <c r="J45" s="175"/>
      <c r="K45" s="175"/>
      <c r="L45" s="175"/>
      <c r="M45" s="175"/>
      <c r="N45" s="175"/>
      <c r="O45" s="175"/>
      <c r="P45" s="321"/>
      <c r="Q45" s="230"/>
      <c r="R45" s="230"/>
      <c r="S45" s="230"/>
      <c r="T45" s="230"/>
    </row>
    <row r="46" spans="1:20" s="120" customFormat="1" ht="15" outlineLevel="1" x14ac:dyDescent="0.2">
      <c r="A46" s="294"/>
      <c r="B46" s="175"/>
      <c r="C46" s="175"/>
      <c r="D46" s="175"/>
      <c r="E46" s="175"/>
      <c r="F46" s="175"/>
      <c r="G46" s="175"/>
      <c r="H46" s="175"/>
      <c r="I46" s="175"/>
      <c r="J46" s="175"/>
      <c r="K46" s="175"/>
      <c r="L46" s="175"/>
      <c r="M46" s="175"/>
      <c r="N46" s="175"/>
      <c r="O46" s="175"/>
      <c r="P46" s="321"/>
      <c r="Q46" s="230"/>
      <c r="R46" s="230"/>
      <c r="S46" s="230"/>
      <c r="T46" s="230"/>
    </row>
    <row r="47" spans="1:20" s="120" customFormat="1" ht="15.75" outlineLevel="1" thickBot="1" x14ac:dyDescent="0.25">
      <c r="A47" s="294"/>
      <c r="B47" s="175"/>
      <c r="C47" s="175"/>
      <c r="D47" s="175"/>
      <c r="E47" s="175"/>
      <c r="F47" s="297"/>
      <c r="G47" s="297"/>
      <c r="H47" s="297"/>
      <c r="I47" s="297"/>
      <c r="J47" s="297"/>
      <c r="K47" s="297"/>
      <c r="L47" s="297"/>
      <c r="M47" s="297"/>
      <c r="N47" s="175"/>
      <c r="O47" s="312"/>
      <c r="P47" s="321"/>
      <c r="Q47" s="230"/>
      <c r="R47" s="230"/>
      <c r="S47" s="230"/>
      <c r="T47" s="230"/>
    </row>
    <row r="48" spans="1:20" s="120" customFormat="1" ht="26.25" customHeight="1" collapsed="1" thickTop="1" thickBot="1" x14ac:dyDescent="0.25">
      <c r="A48" s="205" t="s">
        <v>116</v>
      </c>
      <c r="B48" s="205"/>
      <c r="C48" s="298"/>
      <c r="D48" s="298"/>
      <c r="E48" s="298"/>
      <c r="F48" s="206"/>
      <c r="G48" s="206"/>
      <c r="H48" s="206"/>
      <c r="I48" s="206"/>
      <c r="J48" s="206"/>
      <c r="K48" s="206"/>
      <c r="L48" s="206"/>
      <c r="M48" s="206"/>
      <c r="N48" s="298"/>
      <c r="O48" s="298"/>
      <c r="P48" s="322"/>
      <c r="Q48" s="226"/>
      <c r="R48" s="226"/>
      <c r="S48" s="226"/>
      <c r="T48" s="226"/>
    </row>
    <row r="49" spans="1:20" s="120" customFormat="1" ht="15.75" hidden="1" outlineLevel="1" thickBot="1" x14ac:dyDescent="0.25">
      <c r="A49" s="208"/>
      <c r="B49" s="207"/>
      <c r="C49" s="206"/>
      <c r="D49" s="206"/>
      <c r="E49" s="206"/>
      <c r="F49" s="206"/>
      <c r="G49" s="206"/>
      <c r="H49" s="206"/>
      <c r="I49" s="206"/>
      <c r="J49" s="206"/>
      <c r="K49" s="206"/>
      <c r="L49" s="206"/>
      <c r="M49" s="206"/>
      <c r="N49" s="206"/>
      <c r="O49" s="206"/>
      <c r="P49" s="323"/>
      <c r="Q49" s="226"/>
      <c r="R49" s="226"/>
      <c r="S49" s="226"/>
      <c r="T49" s="226"/>
    </row>
    <row r="50" spans="1:20" s="120" customFormat="1" ht="15.75" hidden="1" outlineLevel="1" thickBot="1" x14ac:dyDescent="0.25">
      <c r="A50" s="235" t="s">
        <v>42</v>
      </c>
      <c r="B50" s="215">
        <f>ImplementedReq</f>
        <v>0</v>
      </c>
      <c r="C50" s="206"/>
      <c r="D50" s="206"/>
      <c r="E50" s="206"/>
      <c r="F50" s="206"/>
      <c r="G50" s="206"/>
      <c r="H50" s="206"/>
      <c r="I50" s="206"/>
      <c r="J50" s="206"/>
      <c r="K50" s="206"/>
      <c r="L50" s="206"/>
      <c r="M50" s="206"/>
      <c r="N50" s="206"/>
      <c r="O50" s="206"/>
      <c r="P50" s="323"/>
      <c r="Q50" s="226"/>
      <c r="R50" s="226"/>
      <c r="S50" s="226"/>
      <c r="T50" s="226"/>
    </row>
    <row r="51" spans="1:20" s="120" customFormat="1" ht="15.75" hidden="1" outlineLevel="1" thickBot="1" x14ac:dyDescent="0.25">
      <c r="A51" s="235" t="s">
        <v>79</v>
      </c>
      <c r="B51" s="216">
        <f>FunctReq+NonFunctReq-B50</f>
        <v>0</v>
      </c>
      <c r="C51" s="206"/>
      <c r="D51" s="206"/>
      <c r="E51" s="206"/>
      <c r="F51" s="206"/>
      <c r="G51" s="206"/>
      <c r="H51" s="206"/>
      <c r="I51" s="206"/>
      <c r="J51" s="206"/>
      <c r="K51" s="206"/>
      <c r="L51" s="206"/>
      <c r="M51" s="206"/>
      <c r="N51" s="206"/>
      <c r="O51" s="206"/>
      <c r="P51" s="323"/>
      <c r="Q51" s="226"/>
      <c r="R51" s="226"/>
      <c r="S51" s="226"/>
      <c r="T51" s="226"/>
    </row>
    <row r="52" spans="1:20" s="120" customFormat="1" ht="23.25" hidden="1" outlineLevel="1" thickBot="1" x14ac:dyDescent="0.25">
      <c r="A52" s="209"/>
      <c r="B52" s="206"/>
      <c r="C52" s="206"/>
      <c r="D52" s="206"/>
      <c r="E52" s="206"/>
      <c r="F52" s="206"/>
      <c r="G52" s="206"/>
      <c r="H52" s="206"/>
      <c r="I52" s="206"/>
      <c r="J52" s="206"/>
      <c r="K52" s="206"/>
      <c r="L52" s="206"/>
      <c r="M52" s="206"/>
      <c r="N52" s="206"/>
      <c r="O52" s="206"/>
      <c r="P52" s="323"/>
      <c r="Q52" s="226"/>
      <c r="R52" s="226"/>
      <c r="S52" s="226"/>
      <c r="T52" s="226"/>
    </row>
    <row r="53" spans="1:20" s="120" customFormat="1" ht="23.25" hidden="1" outlineLevel="1" thickBot="1" x14ac:dyDescent="0.25">
      <c r="A53" s="210"/>
      <c r="B53" s="206"/>
      <c r="C53" s="206"/>
      <c r="D53" s="206"/>
      <c r="E53" s="206"/>
      <c r="F53" s="206"/>
      <c r="G53" s="206"/>
      <c r="H53" s="206"/>
      <c r="I53" s="206"/>
      <c r="J53" s="206"/>
      <c r="K53" s="206"/>
      <c r="L53" s="206"/>
      <c r="M53" s="206"/>
      <c r="N53" s="206"/>
      <c r="O53" s="206"/>
      <c r="P53" s="323"/>
      <c r="Q53" s="226"/>
      <c r="R53" s="226"/>
      <c r="S53" s="226"/>
      <c r="T53" s="226"/>
    </row>
    <row r="54" spans="1:20" s="120" customFormat="1" ht="13.5" hidden="1" outlineLevel="1" thickBot="1" x14ac:dyDescent="0.25">
      <c r="A54" s="211"/>
      <c r="B54" s="212"/>
      <c r="C54" s="212"/>
      <c r="D54" s="212"/>
      <c r="E54" s="212"/>
      <c r="F54" s="212"/>
      <c r="G54" s="212"/>
      <c r="H54" s="212"/>
      <c r="I54" s="212"/>
      <c r="J54" s="212"/>
      <c r="K54" s="212"/>
      <c r="L54" s="212"/>
      <c r="M54" s="212"/>
      <c r="N54" s="212"/>
      <c r="O54" s="212"/>
      <c r="P54" s="324"/>
      <c r="Q54" s="227"/>
      <c r="R54" s="227"/>
      <c r="S54" s="227"/>
      <c r="T54" s="227"/>
    </row>
    <row r="55" spans="1:20" s="120" customFormat="1" ht="13.5" hidden="1" outlineLevel="1" thickBot="1" x14ac:dyDescent="0.25">
      <c r="A55" s="211"/>
      <c r="B55" s="212"/>
      <c r="C55" s="212"/>
      <c r="D55" s="212"/>
      <c r="E55" s="212"/>
      <c r="F55" s="212"/>
      <c r="G55" s="212"/>
      <c r="H55" s="212"/>
      <c r="I55" s="212"/>
      <c r="J55" s="212"/>
      <c r="K55" s="212"/>
      <c r="L55" s="212"/>
      <c r="M55" s="212"/>
      <c r="N55" s="212"/>
      <c r="O55" s="212"/>
      <c r="P55" s="324"/>
      <c r="Q55" s="227"/>
      <c r="R55" s="227"/>
      <c r="S55" s="227"/>
      <c r="T55" s="227"/>
    </row>
    <row r="56" spans="1:20" s="120" customFormat="1" ht="13.5" hidden="1" outlineLevel="1" thickBot="1" x14ac:dyDescent="0.25">
      <c r="A56" s="211"/>
      <c r="B56" s="212"/>
      <c r="C56" s="212"/>
      <c r="D56" s="212"/>
      <c r="E56" s="212"/>
      <c r="F56" s="212"/>
      <c r="G56" s="212"/>
      <c r="H56" s="212"/>
      <c r="I56" s="212"/>
      <c r="J56" s="212"/>
      <c r="K56" s="212"/>
      <c r="L56" s="212"/>
      <c r="M56" s="212"/>
      <c r="N56" s="212"/>
      <c r="O56" s="212"/>
      <c r="P56" s="324"/>
      <c r="Q56" s="227"/>
      <c r="R56" s="227"/>
      <c r="S56" s="227"/>
      <c r="T56" s="227"/>
    </row>
    <row r="57" spans="1:20" s="120" customFormat="1" ht="13.5" hidden="1" outlineLevel="1" thickBot="1" x14ac:dyDescent="0.25">
      <c r="A57" s="211"/>
      <c r="B57" s="212"/>
      <c r="C57" s="212"/>
      <c r="D57" s="212"/>
      <c r="E57" s="212"/>
      <c r="F57" s="212"/>
      <c r="G57" s="212"/>
      <c r="H57" s="212"/>
      <c r="I57" s="212"/>
      <c r="J57" s="212"/>
      <c r="K57" s="212"/>
      <c r="L57" s="212"/>
      <c r="M57" s="212"/>
      <c r="N57" s="212"/>
      <c r="O57" s="212"/>
      <c r="P57" s="324"/>
      <c r="Q57" s="227"/>
      <c r="R57" s="227"/>
      <c r="S57" s="227"/>
      <c r="T57" s="227"/>
    </row>
    <row r="58" spans="1:20" s="120" customFormat="1" ht="13.5" hidden="1" outlineLevel="1" thickBot="1" x14ac:dyDescent="0.25">
      <c r="A58" s="211"/>
      <c r="B58" s="212"/>
      <c r="C58" s="212"/>
      <c r="D58" s="212"/>
      <c r="E58" s="212"/>
      <c r="F58" s="212"/>
      <c r="G58" s="212"/>
      <c r="H58" s="212"/>
      <c r="I58" s="212"/>
      <c r="J58" s="212"/>
      <c r="K58" s="212"/>
      <c r="L58" s="212"/>
      <c r="M58" s="212"/>
      <c r="N58" s="212"/>
      <c r="O58" s="212"/>
      <c r="P58" s="324"/>
      <c r="Q58" s="227"/>
      <c r="R58" s="227"/>
      <c r="S58" s="227"/>
      <c r="T58" s="227"/>
    </row>
    <row r="59" spans="1:20" s="120" customFormat="1" ht="13.5" hidden="1" outlineLevel="1" thickBot="1" x14ac:dyDescent="0.25">
      <c r="A59" s="211"/>
      <c r="B59" s="212"/>
      <c r="C59" s="212"/>
      <c r="D59" s="212"/>
      <c r="E59" s="212"/>
      <c r="F59" s="212"/>
      <c r="G59" s="212"/>
      <c r="H59" s="212"/>
      <c r="I59" s="212"/>
      <c r="J59" s="212"/>
      <c r="K59" s="212"/>
      <c r="L59" s="212"/>
      <c r="M59" s="212"/>
      <c r="N59" s="212"/>
      <c r="O59" s="212"/>
      <c r="P59" s="324"/>
      <c r="Q59" s="227"/>
      <c r="R59" s="227"/>
      <c r="S59" s="227"/>
      <c r="T59" s="227"/>
    </row>
    <row r="60" spans="1:20" s="120" customFormat="1" ht="13.5" hidden="1" outlineLevel="1" thickBot="1" x14ac:dyDescent="0.25">
      <c r="A60" s="211"/>
      <c r="B60" s="212"/>
      <c r="C60" s="212"/>
      <c r="D60" s="212"/>
      <c r="E60" s="212"/>
      <c r="F60" s="212"/>
      <c r="G60" s="212"/>
      <c r="H60" s="212"/>
      <c r="I60" s="212"/>
      <c r="J60" s="212"/>
      <c r="K60" s="212"/>
      <c r="L60" s="212"/>
      <c r="M60" s="212"/>
      <c r="N60" s="212"/>
      <c r="O60" s="212"/>
      <c r="P60" s="324"/>
      <c r="Q60" s="227"/>
      <c r="R60" s="227"/>
      <c r="S60" s="227"/>
      <c r="T60" s="227"/>
    </row>
    <row r="61" spans="1:20" s="120" customFormat="1" ht="13.5" hidden="1" outlineLevel="1" thickBot="1" x14ac:dyDescent="0.25">
      <c r="A61" s="211"/>
      <c r="B61" s="212"/>
      <c r="C61" s="212"/>
      <c r="D61" s="212"/>
      <c r="E61" s="212"/>
      <c r="F61" s="212"/>
      <c r="G61" s="212"/>
      <c r="H61" s="212"/>
      <c r="I61" s="212"/>
      <c r="J61" s="212"/>
      <c r="K61" s="212"/>
      <c r="L61" s="212"/>
      <c r="M61" s="212"/>
      <c r="N61" s="212"/>
      <c r="O61" s="212"/>
      <c r="P61" s="324"/>
      <c r="Q61" s="227"/>
      <c r="R61" s="227"/>
      <c r="S61" s="227"/>
      <c r="T61" s="227"/>
    </row>
    <row r="62" spans="1:20" s="120" customFormat="1" ht="13.5" hidden="1" outlineLevel="1" thickBot="1" x14ac:dyDescent="0.25">
      <c r="A62" s="211"/>
      <c r="B62" s="212"/>
      <c r="C62" s="212"/>
      <c r="D62" s="212"/>
      <c r="E62" s="212"/>
      <c r="F62" s="212"/>
      <c r="G62" s="212"/>
      <c r="H62" s="212"/>
      <c r="I62" s="212"/>
      <c r="J62" s="212"/>
      <c r="K62" s="212"/>
      <c r="L62" s="212"/>
      <c r="M62" s="212"/>
      <c r="N62" s="212"/>
      <c r="O62" s="212"/>
      <c r="P62" s="324"/>
      <c r="Q62" s="227"/>
      <c r="R62" s="227"/>
      <c r="S62" s="227"/>
      <c r="T62" s="227"/>
    </row>
    <row r="63" spans="1:20" s="120" customFormat="1" ht="13.5" hidden="1" outlineLevel="1" thickBot="1" x14ac:dyDescent="0.25">
      <c r="A63" s="211"/>
      <c r="B63" s="212"/>
      <c r="C63" s="212"/>
      <c r="D63" s="212"/>
      <c r="E63" s="212"/>
      <c r="F63" s="212"/>
      <c r="G63" s="212"/>
      <c r="H63" s="212"/>
      <c r="I63" s="212"/>
      <c r="J63" s="212"/>
      <c r="K63" s="212"/>
      <c r="L63" s="212"/>
      <c r="M63" s="212"/>
      <c r="N63" s="212"/>
      <c r="O63" s="212"/>
      <c r="P63" s="324"/>
      <c r="Q63" s="227"/>
      <c r="R63" s="227"/>
      <c r="S63" s="227"/>
      <c r="T63" s="227"/>
    </row>
    <row r="64" spans="1:20" s="120" customFormat="1" ht="13.5" hidden="1" outlineLevel="1" thickBot="1" x14ac:dyDescent="0.25">
      <c r="A64" s="211"/>
      <c r="B64" s="212"/>
      <c r="C64" s="212"/>
      <c r="D64" s="212"/>
      <c r="E64" s="212"/>
      <c r="F64" s="212"/>
      <c r="G64" s="212"/>
      <c r="H64" s="212"/>
      <c r="I64" s="212"/>
      <c r="J64" s="212"/>
      <c r="K64" s="212"/>
      <c r="L64" s="212"/>
      <c r="M64" s="212"/>
      <c r="N64" s="212"/>
      <c r="O64" s="212"/>
      <c r="P64" s="324"/>
      <c r="Q64" s="227"/>
      <c r="R64" s="227"/>
      <c r="S64" s="227"/>
      <c r="T64" s="227"/>
    </row>
    <row r="65" spans="1:20" s="120" customFormat="1" ht="13.5" hidden="1" outlineLevel="1" thickBot="1" x14ac:dyDescent="0.25">
      <c r="A65" s="211"/>
      <c r="B65" s="212"/>
      <c r="C65" s="212"/>
      <c r="D65" s="212"/>
      <c r="E65" s="212"/>
      <c r="F65" s="212"/>
      <c r="G65" s="212"/>
      <c r="H65" s="212"/>
      <c r="I65" s="212"/>
      <c r="J65" s="212"/>
      <c r="K65" s="212"/>
      <c r="L65" s="212"/>
      <c r="M65" s="212"/>
      <c r="N65" s="212"/>
      <c r="O65" s="212"/>
      <c r="P65" s="324"/>
      <c r="Q65" s="227"/>
      <c r="R65" s="227"/>
      <c r="S65" s="227"/>
      <c r="T65" s="227"/>
    </row>
    <row r="66" spans="1:20" s="120" customFormat="1" ht="13.5" hidden="1" outlineLevel="1" thickBot="1" x14ac:dyDescent="0.25">
      <c r="A66" s="213"/>
      <c r="B66" s="214"/>
      <c r="C66" s="214"/>
      <c r="D66" s="214"/>
      <c r="E66" s="214"/>
      <c r="F66" s="214"/>
      <c r="G66" s="214"/>
      <c r="H66" s="214"/>
      <c r="I66" s="214"/>
      <c r="J66" s="214"/>
      <c r="K66" s="214"/>
      <c r="L66" s="214"/>
      <c r="M66" s="214"/>
      <c r="N66" s="214"/>
      <c r="O66" s="214"/>
      <c r="P66" s="325"/>
      <c r="Q66" s="228"/>
      <c r="R66" s="228"/>
      <c r="S66" s="228"/>
      <c r="T66" s="228"/>
    </row>
    <row r="67" spans="1:20" ht="23.25" collapsed="1" thickTop="1" x14ac:dyDescent="0.2">
      <c r="A67" s="239" t="s">
        <v>126</v>
      </c>
      <c r="B67" s="240"/>
      <c r="C67" s="241"/>
      <c r="D67" s="242"/>
      <c r="E67" s="243"/>
      <c r="F67" s="243"/>
      <c r="G67" s="244"/>
      <c r="H67" s="245"/>
      <c r="I67" s="245"/>
      <c r="J67" s="245"/>
      <c r="K67" s="245"/>
      <c r="L67" s="244"/>
      <c r="M67" s="244"/>
      <c r="N67" s="308"/>
      <c r="O67" s="308"/>
      <c r="P67" s="326"/>
    </row>
    <row r="68" spans="1:20" ht="15" hidden="1" outlineLevel="1" x14ac:dyDescent="0.2">
      <c r="A68" s="247"/>
      <c r="B68" s="248"/>
      <c r="C68" s="249"/>
      <c r="D68" s="250"/>
      <c r="E68" s="251"/>
      <c r="F68" s="251"/>
      <c r="G68" s="252"/>
      <c r="H68" s="253"/>
      <c r="I68" s="253"/>
      <c r="J68" s="253"/>
      <c r="K68" s="253"/>
      <c r="L68" s="252"/>
      <c r="M68" s="254"/>
      <c r="N68" s="246"/>
      <c r="O68" s="246"/>
      <c r="P68" s="327"/>
    </row>
    <row r="69" spans="1:20" ht="15" hidden="1" outlineLevel="1" x14ac:dyDescent="0.2">
      <c r="A69" s="255" t="s">
        <v>127</v>
      </c>
      <c r="B69" s="268" t="s">
        <v>128</v>
      </c>
      <c r="C69" s="256" t="s">
        <v>129</v>
      </c>
      <c r="D69" s="250"/>
      <c r="E69" s="251"/>
      <c r="F69" s="251"/>
      <c r="G69" s="252"/>
      <c r="H69" s="253"/>
      <c r="I69" s="253"/>
      <c r="J69" s="253"/>
      <c r="K69" s="253"/>
      <c r="L69" s="252"/>
      <c r="M69" s="254"/>
      <c r="N69" s="246"/>
      <c r="O69" s="246"/>
      <c r="P69" s="327"/>
    </row>
    <row r="70" spans="1:20" ht="15" hidden="1" outlineLevel="1" x14ac:dyDescent="0.2">
      <c r="A70" s="247"/>
      <c r="B70" s="248"/>
      <c r="C70" s="249"/>
      <c r="D70" s="250"/>
      <c r="E70" s="251"/>
      <c r="F70" s="251"/>
      <c r="G70" s="252"/>
      <c r="H70" s="253"/>
      <c r="I70" s="253"/>
      <c r="J70" s="253"/>
      <c r="K70" s="253"/>
      <c r="L70" s="252"/>
      <c r="M70" s="254"/>
      <c r="N70" s="246"/>
      <c r="O70" s="246"/>
      <c r="P70" s="327"/>
    </row>
    <row r="71" spans="1:20" ht="15.75" hidden="1" outlineLevel="1" x14ac:dyDescent="0.2">
      <c r="A71" s="257" t="s">
        <v>130</v>
      </c>
      <c r="B71" s="256"/>
      <c r="C71" s="251"/>
      <c r="D71" s="251"/>
      <c r="E71" s="251"/>
      <c r="F71" s="251"/>
      <c r="G71" s="252"/>
      <c r="H71" s="253"/>
      <c r="I71" s="253"/>
      <c r="J71" s="253"/>
      <c r="K71" s="253"/>
      <c r="L71" s="252"/>
      <c r="M71" s="254"/>
      <c r="N71" s="246"/>
      <c r="O71" s="246"/>
      <c r="P71" s="327"/>
    </row>
    <row r="72" spans="1:20" ht="15.75" hidden="1" outlineLevel="1" x14ac:dyDescent="0.2">
      <c r="A72" s="258" t="s">
        <v>128</v>
      </c>
      <c r="B72" s="248"/>
      <c r="C72" s="249"/>
      <c r="D72" s="250"/>
      <c r="E72" s="251"/>
      <c r="F72" s="251"/>
      <c r="G72" s="252"/>
      <c r="H72" s="253"/>
      <c r="I72" s="253"/>
      <c r="J72" s="253"/>
      <c r="K72" s="253"/>
      <c r="L72" s="252"/>
      <c r="M72" s="254"/>
      <c r="N72" s="246"/>
      <c r="O72" s="246"/>
      <c r="P72" s="327"/>
    </row>
    <row r="73" spans="1:20" ht="15.75" hidden="1" outlineLevel="1" x14ac:dyDescent="0.2">
      <c r="A73" s="258" t="s">
        <v>131</v>
      </c>
      <c r="B73" s="248"/>
      <c r="C73" s="249"/>
      <c r="D73" s="250"/>
      <c r="E73" s="251"/>
      <c r="F73" s="251"/>
      <c r="G73" s="252"/>
      <c r="H73" s="253"/>
      <c r="I73" s="253"/>
      <c r="J73" s="253"/>
      <c r="K73" s="253"/>
      <c r="L73" s="252"/>
      <c r="M73" s="254"/>
      <c r="N73" s="246"/>
      <c r="O73" s="246"/>
      <c r="P73" s="327"/>
    </row>
    <row r="74" spans="1:20" ht="15.75" hidden="1" outlineLevel="1" x14ac:dyDescent="0.2">
      <c r="A74" s="259" t="s">
        <v>132</v>
      </c>
      <c r="B74" s="248"/>
      <c r="C74" s="249"/>
      <c r="D74" s="250"/>
      <c r="E74" s="251"/>
      <c r="F74" s="251"/>
      <c r="G74" s="252"/>
      <c r="H74" s="253"/>
      <c r="I74" s="253"/>
      <c r="J74" s="253"/>
      <c r="K74" s="253"/>
      <c r="L74" s="252"/>
      <c r="M74" s="254"/>
      <c r="N74" s="246"/>
      <c r="O74" s="246"/>
      <c r="P74" s="327"/>
    </row>
    <row r="75" spans="1:20" ht="15.75" hidden="1" outlineLevel="1" x14ac:dyDescent="0.2">
      <c r="A75" s="259" t="s">
        <v>133</v>
      </c>
      <c r="B75" s="248"/>
      <c r="C75" s="249"/>
      <c r="D75" s="250"/>
      <c r="E75" s="251"/>
      <c r="F75" s="251"/>
      <c r="G75" s="252"/>
      <c r="H75" s="253"/>
      <c r="I75" s="253"/>
      <c r="J75" s="253"/>
      <c r="K75" s="253"/>
      <c r="L75" s="252"/>
      <c r="M75" s="254"/>
      <c r="N75" s="246"/>
      <c r="O75" s="246"/>
      <c r="P75" s="327"/>
    </row>
    <row r="76" spans="1:20" ht="15.75" hidden="1" outlineLevel="1" x14ac:dyDescent="0.2">
      <c r="A76" s="259" t="s">
        <v>134</v>
      </c>
      <c r="B76" s="248"/>
      <c r="C76" s="249"/>
      <c r="D76" s="250"/>
      <c r="E76" s="251"/>
      <c r="F76" s="251"/>
      <c r="G76" s="252"/>
      <c r="H76" s="253"/>
      <c r="I76" s="253"/>
      <c r="J76" s="253"/>
      <c r="K76" s="253"/>
      <c r="L76" s="252"/>
      <c r="M76" s="254"/>
      <c r="N76" s="246"/>
      <c r="O76" s="246"/>
      <c r="P76" s="327"/>
    </row>
    <row r="77" spans="1:20" ht="15.75" hidden="1" outlineLevel="1" x14ac:dyDescent="0.2">
      <c r="A77" s="259" t="s">
        <v>135</v>
      </c>
      <c r="B77" s="248"/>
      <c r="C77" s="249"/>
      <c r="D77" s="250"/>
      <c r="E77" s="251"/>
      <c r="F77" s="251"/>
      <c r="G77" s="252"/>
      <c r="H77" s="253"/>
      <c r="I77" s="253"/>
      <c r="J77" s="253"/>
      <c r="K77" s="253"/>
      <c r="L77" s="252"/>
      <c r="M77" s="254"/>
      <c r="N77" s="246"/>
      <c r="O77" s="246"/>
      <c r="P77" s="327"/>
    </row>
    <row r="78" spans="1:20" ht="15.75" hidden="1" outlineLevel="1" x14ac:dyDescent="0.2">
      <c r="A78" s="259" t="s">
        <v>136</v>
      </c>
      <c r="B78" s="248"/>
      <c r="C78" s="249"/>
      <c r="D78" s="250"/>
      <c r="E78" s="251"/>
      <c r="F78" s="251"/>
      <c r="G78" s="252"/>
      <c r="H78" s="253"/>
      <c r="I78" s="253"/>
      <c r="J78" s="253"/>
      <c r="K78" s="253"/>
      <c r="L78" s="252"/>
      <c r="M78" s="254"/>
      <c r="N78" s="246"/>
      <c r="O78" s="246"/>
      <c r="P78" s="327"/>
    </row>
    <row r="79" spans="1:20" ht="15.75" hidden="1" outlineLevel="1" x14ac:dyDescent="0.2">
      <c r="A79" s="259" t="s">
        <v>137</v>
      </c>
      <c r="B79" s="248"/>
      <c r="C79" s="249"/>
      <c r="D79" s="250"/>
      <c r="E79" s="251"/>
      <c r="F79" s="251"/>
      <c r="G79" s="252"/>
      <c r="H79" s="253"/>
      <c r="I79" s="253"/>
      <c r="J79" s="253"/>
      <c r="K79" s="253"/>
      <c r="L79" s="252"/>
      <c r="M79" s="254"/>
      <c r="N79" s="246"/>
      <c r="O79" s="246"/>
      <c r="P79" s="327"/>
    </row>
    <row r="80" spans="1:20" ht="15.75" hidden="1" outlineLevel="1" x14ac:dyDescent="0.2">
      <c r="A80" s="259" t="s">
        <v>138</v>
      </c>
      <c r="B80" s="248"/>
      <c r="C80" s="249"/>
      <c r="D80" s="250"/>
      <c r="E80" s="251"/>
      <c r="F80" s="251"/>
      <c r="G80" s="252"/>
      <c r="H80" s="253"/>
      <c r="I80" s="253"/>
      <c r="J80" s="253"/>
      <c r="K80" s="253"/>
      <c r="L80" s="252"/>
      <c r="M80" s="254"/>
      <c r="N80" s="246"/>
      <c r="O80" s="246"/>
      <c r="P80" s="327"/>
    </row>
    <row r="81" spans="1:20" ht="15.75" hidden="1" outlineLevel="1" x14ac:dyDescent="0.2">
      <c r="A81" s="259" t="s">
        <v>139</v>
      </c>
      <c r="B81" s="248"/>
      <c r="C81" s="249"/>
      <c r="D81" s="250"/>
      <c r="E81" s="251"/>
      <c r="F81" s="251"/>
      <c r="G81" s="252"/>
      <c r="H81" s="253"/>
      <c r="I81" s="253"/>
      <c r="J81" s="253"/>
      <c r="K81" s="253"/>
      <c r="L81" s="252"/>
      <c r="M81" s="254"/>
      <c r="N81" s="246"/>
      <c r="O81" s="246"/>
      <c r="P81" s="327"/>
    </row>
    <row r="82" spans="1:20" ht="15.75" hidden="1" outlineLevel="1" x14ac:dyDescent="0.2">
      <c r="A82" s="259"/>
      <c r="B82" s="248"/>
      <c r="C82" s="249"/>
      <c r="D82" s="250"/>
      <c r="E82" s="251"/>
      <c r="F82" s="251"/>
      <c r="G82" s="252"/>
      <c r="H82" s="253"/>
      <c r="I82" s="253"/>
      <c r="J82" s="253"/>
      <c r="K82" s="253"/>
      <c r="L82" s="252"/>
      <c r="M82" s="254"/>
      <c r="N82" s="246"/>
      <c r="O82" s="246"/>
      <c r="P82" s="327"/>
    </row>
    <row r="83" spans="1:20" ht="15.75" hidden="1" outlineLevel="1" x14ac:dyDescent="0.2">
      <c r="A83" s="259"/>
      <c r="B83" s="248"/>
      <c r="C83" s="249"/>
      <c r="D83" s="250"/>
      <c r="E83" s="251"/>
      <c r="F83" s="251"/>
      <c r="G83" s="252"/>
      <c r="H83" s="253"/>
      <c r="I83" s="253"/>
      <c r="J83" s="253"/>
      <c r="K83" s="253"/>
      <c r="L83" s="252"/>
      <c r="M83" s="254"/>
      <c r="N83" s="246"/>
      <c r="O83" s="246"/>
      <c r="P83" s="327"/>
    </row>
    <row r="84" spans="1:20" ht="15.75" hidden="1" outlineLevel="1" x14ac:dyDescent="0.2">
      <c r="A84" s="259"/>
      <c r="B84" s="248"/>
      <c r="C84" s="249"/>
      <c r="D84" s="250"/>
      <c r="E84" s="251"/>
      <c r="F84" s="251"/>
      <c r="G84" s="252"/>
      <c r="H84" s="253"/>
      <c r="I84" s="253"/>
      <c r="J84" s="253"/>
      <c r="K84" s="253"/>
      <c r="L84" s="252"/>
      <c r="M84" s="254"/>
      <c r="N84" s="246"/>
      <c r="O84" s="246"/>
      <c r="P84" s="327"/>
    </row>
    <row r="85" spans="1:20" ht="15" hidden="1" outlineLevel="1" x14ac:dyDescent="0.2">
      <c r="A85" s="260"/>
      <c r="B85" s="248"/>
      <c r="C85" s="249"/>
      <c r="D85" s="250"/>
      <c r="E85" s="251"/>
      <c r="F85" s="251"/>
      <c r="G85" s="252"/>
      <c r="H85" s="253"/>
      <c r="I85" s="253"/>
      <c r="J85" s="253"/>
      <c r="K85" s="253"/>
      <c r="L85" s="252"/>
      <c r="M85" s="254"/>
      <c r="N85" s="246"/>
      <c r="O85" s="246"/>
      <c r="P85" s="327"/>
    </row>
    <row r="86" spans="1:20" ht="15" hidden="1" outlineLevel="1" x14ac:dyDescent="0.2">
      <c r="A86" s="247"/>
      <c r="B86" s="248"/>
      <c r="C86" s="249"/>
      <c r="D86" s="250"/>
      <c r="E86" s="251"/>
      <c r="F86" s="251"/>
      <c r="G86" s="252"/>
      <c r="H86" s="253"/>
      <c r="I86" s="253"/>
      <c r="J86" s="253"/>
      <c r="K86" s="253"/>
      <c r="L86" s="252"/>
      <c r="M86" s="254"/>
      <c r="N86" s="246"/>
      <c r="O86" s="246"/>
      <c r="P86" s="327"/>
    </row>
    <row r="87" spans="1:20" ht="15" hidden="1" outlineLevel="1" x14ac:dyDescent="0.2">
      <c r="A87" s="247"/>
      <c r="B87" s="248"/>
      <c r="C87" s="249"/>
      <c r="D87" s="250"/>
      <c r="E87" s="251"/>
      <c r="F87" s="251"/>
      <c r="G87" s="252"/>
      <c r="H87" s="253"/>
      <c r="I87" s="253"/>
      <c r="J87" s="253"/>
      <c r="K87" s="253"/>
      <c r="L87" s="252"/>
      <c r="M87" s="254"/>
      <c r="N87" s="246"/>
      <c r="O87" s="246"/>
      <c r="P87" s="327"/>
    </row>
    <row r="88" spans="1:20" ht="15.75" hidden="1" outlineLevel="1" thickBot="1" x14ac:dyDescent="0.25">
      <c r="A88" s="247"/>
      <c r="B88" s="248"/>
      <c r="C88" s="249"/>
      <c r="D88" s="250"/>
      <c r="E88" s="251"/>
      <c r="F88" s="251"/>
      <c r="G88" s="252"/>
      <c r="H88" s="253"/>
      <c r="I88" s="262"/>
      <c r="J88" s="253"/>
      <c r="K88" s="262"/>
      <c r="L88" s="261"/>
      <c r="M88" s="263"/>
      <c r="N88" s="246"/>
      <c r="O88" s="246"/>
      <c r="P88" s="327"/>
    </row>
    <row r="89" spans="1:20" s="120" customFormat="1" ht="15.75" hidden="1" outlineLevel="1" thickBot="1" x14ac:dyDescent="0.25">
      <c r="A89" s="264"/>
      <c r="B89" s="265"/>
      <c r="C89" s="265"/>
      <c r="D89" s="265"/>
      <c r="E89" s="265"/>
      <c r="F89" s="265"/>
      <c r="G89" s="265"/>
      <c r="H89" s="265"/>
      <c r="I89" s="265"/>
      <c r="J89" s="265"/>
      <c r="K89" s="265"/>
      <c r="L89" s="265"/>
      <c r="M89" s="265"/>
      <c r="N89" s="265"/>
      <c r="O89" s="265"/>
      <c r="P89" s="328"/>
      <c r="Q89" s="231"/>
      <c r="R89" s="231"/>
      <c r="S89" s="231"/>
      <c r="T89" s="231"/>
    </row>
    <row r="90" spans="1:20" s="120" customFormat="1" ht="23.25" collapsed="1" thickBot="1" x14ac:dyDescent="0.25">
      <c r="A90" s="151" t="s">
        <v>119</v>
      </c>
      <c r="B90" s="139"/>
      <c r="C90" s="139"/>
      <c r="D90" s="217"/>
      <c r="E90" s="217"/>
      <c r="F90" s="217"/>
      <c r="G90" s="217"/>
      <c r="H90" s="217"/>
      <c r="I90" s="217"/>
      <c r="J90" s="217"/>
      <c r="K90" s="217"/>
      <c r="L90" s="217"/>
      <c r="M90" s="217"/>
      <c r="N90" s="217"/>
      <c r="O90" s="217"/>
      <c r="P90" s="329"/>
      <c r="Q90" s="229"/>
      <c r="R90" s="229"/>
      <c r="S90" s="229"/>
      <c r="T90" s="229"/>
    </row>
    <row r="91" spans="1:20" s="120" customFormat="1" ht="15.75" hidden="1" outlineLevel="1" thickBot="1" x14ac:dyDescent="0.25">
      <c r="A91" s="176"/>
      <c r="B91" s="139"/>
      <c r="C91" s="139"/>
      <c r="D91" s="218"/>
      <c r="E91" s="218"/>
      <c r="F91" s="218"/>
      <c r="G91" s="218"/>
      <c r="H91" s="218"/>
      <c r="I91" s="218"/>
      <c r="J91" s="218"/>
      <c r="K91" s="218"/>
      <c r="L91" s="218"/>
      <c r="M91" s="218"/>
      <c r="N91" s="218"/>
      <c r="O91" s="218"/>
      <c r="P91" s="330"/>
      <c r="Q91" s="230"/>
      <c r="R91" s="230"/>
      <c r="S91" s="230"/>
      <c r="T91" s="230"/>
    </row>
    <row r="92" spans="1:20" s="120" customFormat="1" ht="15.75" hidden="1" outlineLevel="1" thickBot="1" x14ac:dyDescent="0.25">
      <c r="A92" s="236" t="s">
        <v>87</v>
      </c>
      <c r="B92" s="111">
        <f>CoveredReq</f>
        <v>0</v>
      </c>
      <c r="C92" s="139"/>
      <c r="D92" s="218"/>
      <c r="E92" s="218"/>
      <c r="F92" s="218"/>
      <c r="G92" s="218"/>
      <c r="H92" s="218"/>
      <c r="I92" s="218"/>
      <c r="J92" s="218"/>
      <c r="K92" s="218"/>
      <c r="L92" s="218"/>
      <c r="M92" s="218"/>
      <c r="N92" s="218"/>
      <c r="O92" s="218"/>
      <c r="P92" s="330"/>
      <c r="Q92" s="230"/>
      <c r="R92" s="230"/>
      <c r="S92" s="230"/>
      <c r="T92" s="230"/>
    </row>
    <row r="93" spans="1:20" s="120" customFormat="1" ht="15.75" hidden="1" outlineLevel="1" thickBot="1" x14ac:dyDescent="0.25">
      <c r="A93" s="236" t="s">
        <v>84</v>
      </c>
      <c r="B93" s="114">
        <f>FunctReq+NonFunctReq-CoveredReq</f>
        <v>0</v>
      </c>
      <c r="C93" s="139"/>
      <c r="D93" s="218"/>
      <c r="E93" s="218"/>
      <c r="F93" s="218"/>
      <c r="G93" s="218"/>
      <c r="H93" s="218"/>
      <c r="I93" s="218"/>
      <c r="J93" s="218"/>
      <c r="K93" s="218"/>
      <c r="L93" s="218"/>
      <c r="M93" s="218"/>
      <c r="N93" s="218"/>
      <c r="O93" s="218"/>
      <c r="P93" s="330"/>
      <c r="Q93" s="230"/>
      <c r="R93" s="230"/>
      <c r="S93" s="230"/>
      <c r="T93" s="230"/>
    </row>
    <row r="94" spans="1:20" s="120" customFormat="1" ht="15.75" hidden="1" outlineLevel="1" thickBot="1" x14ac:dyDescent="0.25">
      <c r="A94" s="220"/>
      <c r="B94" s="218"/>
      <c r="C94" s="139"/>
      <c r="D94" s="218"/>
      <c r="E94" s="218"/>
      <c r="F94" s="218"/>
      <c r="G94" s="218"/>
      <c r="H94" s="218"/>
      <c r="I94" s="218"/>
      <c r="J94" s="218"/>
      <c r="K94" s="218"/>
      <c r="L94" s="218"/>
      <c r="M94" s="218"/>
      <c r="N94" s="218"/>
      <c r="O94" s="218"/>
      <c r="P94" s="330"/>
      <c r="Q94" s="230"/>
      <c r="R94" s="230"/>
      <c r="S94" s="230"/>
      <c r="T94" s="230"/>
    </row>
    <row r="95" spans="1:20" s="120" customFormat="1" ht="15.75" hidden="1" outlineLevel="1" thickBot="1" x14ac:dyDescent="0.25">
      <c r="A95" s="220"/>
      <c r="B95" s="218"/>
      <c r="C95" s="139"/>
      <c r="D95" s="218"/>
      <c r="E95" s="218"/>
      <c r="F95" s="218"/>
      <c r="G95" s="218"/>
      <c r="H95" s="218"/>
      <c r="I95" s="218"/>
      <c r="J95" s="218"/>
      <c r="K95" s="218"/>
      <c r="L95" s="218"/>
      <c r="M95" s="218"/>
      <c r="N95" s="218"/>
      <c r="O95" s="218"/>
      <c r="P95" s="330"/>
      <c r="Q95" s="230"/>
      <c r="R95" s="230"/>
      <c r="S95" s="230"/>
      <c r="T95" s="230"/>
    </row>
    <row r="96" spans="1:20" s="120" customFormat="1" ht="15.75" hidden="1" outlineLevel="1" thickBot="1" x14ac:dyDescent="0.25">
      <c r="A96" s="220"/>
      <c r="B96" s="218"/>
      <c r="C96" s="139"/>
      <c r="D96" s="218"/>
      <c r="E96" s="218"/>
      <c r="F96" s="218"/>
      <c r="G96" s="218"/>
      <c r="H96" s="218"/>
      <c r="I96" s="218"/>
      <c r="J96" s="218"/>
      <c r="K96" s="218"/>
      <c r="L96" s="218"/>
      <c r="M96" s="218"/>
      <c r="N96" s="218"/>
      <c r="O96" s="218"/>
      <c r="P96" s="330"/>
      <c r="Q96" s="230"/>
      <c r="R96" s="230"/>
      <c r="S96" s="230"/>
      <c r="T96" s="230"/>
    </row>
    <row r="97" spans="1:20" s="120" customFormat="1" ht="15.75" hidden="1" outlineLevel="1" thickBot="1" x14ac:dyDescent="0.25">
      <c r="A97" s="220"/>
      <c r="B97" s="218"/>
      <c r="C97" s="218"/>
      <c r="D97" s="218"/>
      <c r="E97" s="218"/>
      <c r="F97" s="218"/>
      <c r="G97" s="218"/>
      <c r="H97" s="218"/>
      <c r="I97" s="218"/>
      <c r="J97" s="218"/>
      <c r="K97" s="218"/>
      <c r="L97" s="218"/>
      <c r="M97" s="218"/>
      <c r="N97" s="218"/>
      <c r="O97" s="218"/>
      <c r="P97" s="330"/>
      <c r="Q97" s="230"/>
      <c r="R97" s="230"/>
      <c r="S97" s="230"/>
      <c r="T97" s="230"/>
    </row>
    <row r="98" spans="1:20" s="120" customFormat="1" ht="15.75" hidden="1" outlineLevel="1" thickBot="1" x14ac:dyDescent="0.25">
      <c r="A98" s="220"/>
      <c r="B98" s="218"/>
      <c r="C98" s="218"/>
      <c r="D98" s="218"/>
      <c r="E98" s="218"/>
      <c r="F98" s="218"/>
      <c r="G98" s="218"/>
      <c r="H98" s="218"/>
      <c r="I98" s="218"/>
      <c r="J98" s="218"/>
      <c r="K98" s="218"/>
      <c r="L98" s="218"/>
      <c r="M98" s="218"/>
      <c r="N98" s="218"/>
      <c r="O98" s="218"/>
      <c r="P98" s="330"/>
      <c r="Q98" s="230"/>
      <c r="R98" s="230"/>
      <c r="S98" s="230"/>
      <c r="T98" s="230"/>
    </row>
    <row r="99" spans="1:20" s="120" customFormat="1" ht="15.75" hidden="1" outlineLevel="1" thickBot="1" x14ac:dyDescent="0.25">
      <c r="A99" s="220"/>
      <c r="B99" s="218"/>
      <c r="C99" s="218"/>
      <c r="D99" s="218"/>
      <c r="E99" s="218"/>
      <c r="F99" s="218"/>
      <c r="G99" s="218"/>
      <c r="H99" s="218"/>
      <c r="I99" s="218"/>
      <c r="J99" s="218"/>
      <c r="K99" s="218"/>
      <c r="L99" s="218"/>
      <c r="M99" s="218"/>
      <c r="N99" s="218"/>
      <c r="O99" s="218"/>
      <c r="P99" s="330"/>
      <c r="Q99" s="230"/>
      <c r="R99" s="230"/>
      <c r="S99" s="230"/>
      <c r="T99" s="230"/>
    </row>
    <row r="100" spans="1:20" s="120" customFormat="1" ht="15.75" hidden="1" outlineLevel="1" thickBot="1" x14ac:dyDescent="0.25">
      <c r="A100" s="220"/>
      <c r="B100" s="218"/>
      <c r="C100" s="218"/>
      <c r="D100" s="218"/>
      <c r="E100" s="218"/>
      <c r="F100" s="218"/>
      <c r="G100" s="218"/>
      <c r="H100" s="218"/>
      <c r="I100" s="218"/>
      <c r="J100" s="218"/>
      <c r="K100" s="218"/>
      <c r="L100" s="218"/>
      <c r="M100" s="218"/>
      <c r="N100" s="218"/>
      <c r="O100" s="218"/>
      <c r="P100" s="330"/>
      <c r="Q100" s="230"/>
      <c r="R100" s="230"/>
      <c r="S100" s="230"/>
      <c r="T100" s="230"/>
    </row>
    <row r="101" spans="1:20" s="120" customFormat="1" ht="15.75" hidden="1" outlineLevel="1" thickBot="1" x14ac:dyDescent="0.25">
      <c r="A101" s="220"/>
      <c r="B101" s="218"/>
      <c r="C101" s="218"/>
      <c r="D101" s="218"/>
      <c r="E101" s="218"/>
      <c r="F101" s="218"/>
      <c r="G101" s="218"/>
      <c r="H101" s="218"/>
      <c r="I101" s="218"/>
      <c r="J101" s="218"/>
      <c r="K101" s="218"/>
      <c r="L101" s="218"/>
      <c r="M101" s="218"/>
      <c r="N101" s="218"/>
      <c r="O101" s="218"/>
      <c r="P101" s="330"/>
      <c r="Q101" s="230"/>
      <c r="R101" s="230"/>
      <c r="S101" s="230"/>
      <c r="T101" s="230"/>
    </row>
    <row r="102" spans="1:20" s="120" customFormat="1" ht="15.75" hidden="1" outlineLevel="1" thickBot="1" x14ac:dyDescent="0.25">
      <c r="A102" s="220"/>
      <c r="B102" s="218"/>
      <c r="C102" s="218"/>
      <c r="D102" s="218"/>
      <c r="E102" s="218"/>
      <c r="F102" s="218"/>
      <c r="G102" s="218"/>
      <c r="H102" s="218"/>
      <c r="I102" s="218"/>
      <c r="J102" s="218"/>
      <c r="K102" s="218"/>
      <c r="L102" s="218"/>
      <c r="M102" s="218"/>
      <c r="N102" s="218"/>
      <c r="O102" s="218"/>
      <c r="P102" s="330"/>
      <c r="Q102" s="230"/>
      <c r="R102" s="230"/>
      <c r="S102" s="230"/>
      <c r="T102" s="230"/>
    </row>
    <row r="103" spans="1:20" s="120" customFormat="1" ht="15.75" hidden="1" outlineLevel="1" thickBot="1" x14ac:dyDescent="0.25">
      <c r="A103" s="220"/>
      <c r="B103" s="218"/>
      <c r="C103" s="218"/>
      <c r="D103" s="218"/>
      <c r="E103" s="218"/>
      <c r="F103" s="218"/>
      <c r="G103" s="218"/>
      <c r="H103" s="218"/>
      <c r="I103" s="218"/>
      <c r="J103" s="218"/>
      <c r="K103" s="218"/>
      <c r="L103" s="218"/>
      <c r="M103" s="218"/>
      <c r="N103" s="218"/>
      <c r="O103" s="218"/>
      <c r="P103" s="330"/>
      <c r="Q103" s="230"/>
      <c r="R103" s="230"/>
      <c r="S103" s="230"/>
      <c r="T103" s="230"/>
    </row>
    <row r="104" spans="1:20" s="120" customFormat="1" ht="15.75" hidden="1" outlineLevel="1" thickBot="1" x14ac:dyDescent="0.25">
      <c r="A104" s="220"/>
      <c r="B104" s="218"/>
      <c r="C104" s="218"/>
      <c r="D104" s="218"/>
      <c r="E104" s="218"/>
      <c r="F104" s="218"/>
      <c r="G104" s="218"/>
      <c r="H104" s="218"/>
      <c r="I104" s="218"/>
      <c r="J104" s="218"/>
      <c r="K104" s="218"/>
      <c r="L104" s="218"/>
      <c r="M104" s="218"/>
      <c r="N104" s="218"/>
      <c r="O104" s="218"/>
      <c r="P104" s="330"/>
      <c r="Q104" s="230"/>
      <c r="R104" s="230"/>
      <c r="S104" s="230"/>
      <c r="T104" s="230"/>
    </row>
    <row r="105" spans="1:20" s="120" customFormat="1" ht="15.75" hidden="1" outlineLevel="1" thickBot="1" x14ac:dyDescent="0.25">
      <c r="A105" s="220"/>
      <c r="B105" s="218"/>
      <c r="C105" s="218"/>
      <c r="D105" s="218"/>
      <c r="E105" s="218"/>
      <c r="F105" s="218"/>
      <c r="G105" s="218"/>
      <c r="H105" s="218"/>
      <c r="I105" s="218"/>
      <c r="J105" s="218"/>
      <c r="K105" s="218"/>
      <c r="L105" s="218"/>
      <c r="M105" s="218"/>
      <c r="N105" s="218"/>
      <c r="O105" s="218"/>
      <c r="P105" s="330"/>
      <c r="Q105" s="230"/>
      <c r="R105" s="230"/>
      <c r="S105" s="230"/>
      <c r="T105" s="230"/>
    </row>
    <row r="106" spans="1:20" s="120" customFormat="1" ht="15.75" hidden="1" outlineLevel="1" thickBot="1" x14ac:dyDescent="0.25">
      <c r="A106" s="220"/>
      <c r="B106" s="218"/>
      <c r="C106" s="218"/>
      <c r="D106" s="218"/>
      <c r="E106" s="218"/>
      <c r="F106" s="218"/>
      <c r="G106" s="218"/>
      <c r="H106" s="218"/>
      <c r="I106" s="218"/>
      <c r="J106" s="218"/>
      <c r="K106" s="218"/>
      <c r="L106" s="218"/>
      <c r="M106" s="218"/>
      <c r="N106" s="218"/>
      <c r="O106" s="218"/>
      <c r="P106" s="330"/>
      <c r="Q106" s="230"/>
      <c r="R106" s="230"/>
      <c r="S106" s="230"/>
      <c r="T106" s="230"/>
    </row>
    <row r="107" spans="1:20" s="120" customFormat="1" ht="15.75" hidden="1" outlineLevel="1" thickBot="1" x14ac:dyDescent="0.25">
      <c r="A107" s="220"/>
      <c r="B107" s="218"/>
      <c r="C107" s="218"/>
      <c r="D107" s="218"/>
      <c r="E107" s="218"/>
      <c r="F107" s="218"/>
      <c r="G107" s="218"/>
      <c r="H107" s="218"/>
      <c r="I107" s="218"/>
      <c r="J107" s="218"/>
      <c r="K107" s="218"/>
      <c r="L107" s="218"/>
      <c r="M107" s="218"/>
      <c r="N107" s="218"/>
      <c r="O107" s="218"/>
      <c r="P107" s="330"/>
      <c r="Q107" s="230"/>
      <c r="R107" s="230"/>
      <c r="S107" s="230"/>
      <c r="T107" s="230"/>
    </row>
    <row r="108" spans="1:20" s="120" customFormat="1" ht="15.75" hidden="1" outlineLevel="1" thickBot="1" x14ac:dyDescent="0.25">
      <c r="A108" s="221"/>
      <c r="B108" s="219"/>
      <c r="C108" s="219"/>
      <c r="D108" s="219"/>
      <c r="E108" s="219"/>
      <c r="F108" s="219"/>
      <c r="G108" s="219"/>
      <c r="H108" s="219"/>
      <c r="I108" s="219"/>
      <c r="J108" s="219"/>
      <c r="K108" s="219"/>
      <c r="L108" s="219"/>
      <c r="M108" s="219"/>
      <c r="N108" s="219"/>
      <c r="O108" s="219"/>
      <c r="P108" s="331"/>
      <c r="Q108" s="231"/>
      <c r="R108" s="231"/>
      <c r="S108" s="231"/>
      <c r="T108" s="231"/>
    </row>
    <row r="109" spans="1:20" s="110" customFormat="1" ht="24" collapsed="1" thickTop="1" thickBot="1" x14ac:dyDescent="0.25">
      <c r="A109" s="123" t="s">
        <v>120</v>
      </c>
      <c r="B109" s="124"/>
      <c r="C109" s="124"/>
      <c r="D109" s="124"/>
      <c r="E109" s="124"/>
      <c r="F109" s="124"/>
      <c r="G109" s="124"/>
      <c r="H109" s="124"/>
      <c r="I109" s="124"/>
      <c r="J109" s="124"/>
      <c r="K109" s="124"/>
      <c r="L109" s="124"/>
      <c r="M109" s="124"/>
      <c r="N109" s="124"/>
      <c r="O109" s="124"/>
      <c r="P109" s="332"/>
      <c r="Q109" s="232"/>
      <c r="R109" s="232"/>
      <c r="S109" s="232"/>
      <c r="T109" s="232"/>
    </row>
    <row r="110" spans="1:20" s="110" customFormat="1" ht="22.5" hidden="1" outlineLevel="1" x14ac:dyDescent="0.2">
      <c r="A110" s="125"/>
      <c r="B110" s="126"/>
      <c r="C110" s="126"/>
      <c r="D110" s="127"/>
      <c r="E110" s="127"/>
      <c r="F110" s="127"/>
      <c r="G110" s="127"/>
      <c r="H110" s="127"/>
      <c r="I110" s="127"/>
      <c r="J110" s="127"/>
      <c r="K110" s="127"/>
      <c r="L110" s="127"/>
      <c r="M110" s="127"/>
      <c r="N110" s="127"/>
      <c r="O110" s="233"/>
      <c r="P110" s="333"/>
      <c r="Q110" s="233"/>
      <c r="R110" s="233"/>
      <c r="S110" s="233"/>
      <c r="T110" s="226"/>
    </row>
    <row r="111" spans="1:20" s="110" customFormat="1" ht="15" hidden="1" outlineLevel="1" x14ac:dyDescent="0.2">
      <c r="A111" s="125"/>
      <c r="B111" s="126"/>
      <c r="C111" s="126"/>
      <c r="D111" s="126"/>
      <c r="E111" s="126"/>
      <c r="F111" s="126"/>
      <c r="G111" s="126"/>
      <c r="H111" s="126"/>
      <c r="I111" s="126"/>
      <c r="J111" s="126"/>
      <c r="K111" s="126"/>
      <c r="L111" s="126"/>
      <c r="M111" s="126"/>
      <c r="N111" s="126"/>
      <c r="O111" s="226"/>
      <c r="P111" s="334"/>
      <c r="Q111" s="226"/>
      <c r="R111" s="226"/>
      <c r="S111" s="226"/>
      <c r="T111" s="234"/>
    </row>
    <row r="112" spans="1:20" s="110" customFormat="1" ht="15" hidden="1" outlineLevel="1" x14ac:dyDescent="0.2">
      <c r="A112" s="125"/>
      <c r="B112" s="126"/>
      <c r="C112" s="126"/>
      <c r="D112" s="126"/>
      <c r="E112" s="126"/>
      <c r="F112" s="126"/>
      <c r="G112" s="126"/>
      <c r="H112" s="126"/>
      <c r="I112" s="126"/>
      <c r="J112" s="126"/>
      <c r="K112" s="126"/>
      <c r="L112" s="126"/>
      <c r="M112" s="126"/>
      <c r="N112" s="126"/>
      <c r="O112" s="226"/>
      <c r="P112" s="334"/>
      <c r="Q112" s="226"/>
      <c r="R112" s="226"/>
      <c r="S112" s="226"/>
      <c r="T112" s="234"/>
    </row>
    <row r="113" spans="1:20" s="110" customFormat="1" ht="15" hidden="1" outlineLevel="1" x14ac:dyDescent="0.2">
      <c r="A113" s="125"/>
      <c r="B113" s="126"/>
      <c r="C113" s="126"/>
      <c r="D113" s="126"/>
      <c r="E113" s="126"/>
      <c r="F113" s="126"/>
      <c r="G113" s="126"/>
      <c r="H113" s="126"/>
      <c r="I113" s="126"/>
      <c r="J113" s="126"/>
      <c r="K113" s="126"/>
      <c r="L113" s="126"/>
      <c r="M113" s="126"/>
      <c r="N113" s="126"/>
      <c r="O113" s="226"/>
      <c r="P113" s="334"/>
      <c r="Q113" s="226"/>
      <c r="R113" s="226"/>
      <c r="S113" s="226"/>
      <c r="T113" s="234"/>
    </row>
    <row r="114" spans="1:20" s="110" customFormat="1" ht="15" hidden="1" outlineLevel="1" x14ac:dyDescent="0.2">
      <c r="A114" s="125"/>
      <c r="B114" s="126"/>
      <c r="C114" s="126"/>
      <c r="D114" s="126"/>
      <c r="E114" s="126"/>
      <c r="F114" s="126"/>
      <c r="G114" s="126"/>
      <c r="H114" s="126"/>
      <c r="I114" s="126"/>
      <c r="J114" s="126"/>
      <c r="K114" s="126"/>
      <c r="L114" s="126"/>
      <c r="M114" s="126"/>
      <c r="N114" s="126"/>
      <c r="O114" s="226"/>
      <c r="P114" s="334"/>
      <c r="Q114" s="226"/>
      <c r="R114" s="226"/>
      <c r="S114" s="226"/>
      <c r="T114" s="234"/>
    </row>
    <row r="115" spans="1:20" s="110" customFormat="1" ht="30" hidden="1" outlineLevel="1" x14ac:dyDescent="0.2">
      <c r="A115" s="128"/>
      <c r="B115" s="113" t="s">
        <v>78</v>
      </c>
      <c r="C115" s="126"/>
      <c r="D115" s="126"/>
      <c r="E115" s="126"/>
      <c r="F115" s="126"/>
      <c r="G115" s="126"/>
      <c r="H115" s="126"/>
      <c r="I115" s="126"/>
      <c r="J115" s="126"/>
      <c r="K115" s="126"/>
      <c r="L115" s="126"/>
      <c r="M115" s="126"/>
      <c r="N115" s="126"/>
      <c r="O115" s="226"/>
      <c r="P115" s="334"/>
      <c r="Q115" s="226"/>
      <c r="R115" s="226"/>
      <c r="S115" s="226"/>
      <c r="T115" s="234"/>
    </row>
    <row r="116" spans="1:20" s="110" customFormat="1" ht="15" hidden="1" outlineLevel="1" x14ac:dyDescent="0.2">
      <c r="A116" s="237" t="s">
        <v>121</v>
      </c>
      <c r="B116" s="112">
        <f>OKReq</f>
        <v>0</v>
      </c>
      <c r="C116" s="126"/>
      <c r="D116" s="126"/>
      <c r="E116" s="126"/>
      <c r="F116" s="126"/>
      <c r="G116" s="126"/>
      <c r="H116" s="126"/>
      <c r="I116" s="126"/>
      <c r="J116" s="126"/>
      <c r="K116" s="126"/>
      <c r="L116" s="126"/>
      <c r="M116" s="126"/>
      <c r="N116" s="126"/>
      <c r="O116" s="226"/>
      <c r="P116" s="334"/>
      <c r="Q116" s="226"/>
      <c r="R116" s="226"/>
      <c r="S116" s="226"/>
      <c r="T116" s="234"/>
    </row>
    <row r="117" spans="1:20" s="110" customFormat="1" ht="15" hidden="1" outlineLevel="1" x14ac:dyDescent="0.2">
      <c r="A117" s="237" t="s">
        <v>122</v>
      </c>
      <c r="B117" s="180">
        <f>NOKReq</f>
        <v>0</v>
      </c>
      <c r="C117" s="126"/>
      <c r="D117" s="126"/>
      <c r="E117" s="126"/>
      <c r="F117" s="126"/>
      <c r="G117" s="126"/>
      <c r="H117" s="126"/>
      <c r="I117" s="126"/>
      <c r="J117" s="126"/>
      <c r="K117" s="126"/>
      <c r="L117" s="126"/>
      <c r="M117" s="126"/>
      <c r="N117" s="126"/>
      <c r="O117" s="226"/>
      <c r="P117" s="334"/>
      <c r="Q117" s="226"/>
      <c r="R117" s="226"/>
      <c r="S117" s="226"/>
      <c r="T117" s="234"/>
    </row>
    <row r="118" spans="1:20" s="110" customFormat="1" ht="15" hidden="1" outlineLevel="1" x14ac:dyDescent="0.2">
      <c r="A118" s="237" t="s">
        <v>123</v>
      </c>
      <c r="B118" s="238">
        <f>INT(RIGHT(B7,FIND("/",B7)-2))-OKReq-NOKReq</f>
        <v>0</v>
      </c>
      <c r="C118" s="126"/>
      <c r="D118" s="126"/>
      <c r="E118" s="126"/>
      <c r="F118" s="126"/>
      <c r="G118" s="126"/>
      <c r="H118" s="126"/>
      <c r="I118" s="126"/>
      <c r="J118" s="126"/>
      <c r="K118" s="126"/>
      <c r="L118" s="126"/>
      <c r="M118" s="126"/>
      <c r="N118" s="126"/>
      <c r="O118" s="226"/>
      <c r="P118" s="334"/>
      <c r="Q118" s="226"/>
      <c r="R118" s="226"/>
      <c r="S118" s="226"/>
      <c r="T118" s="234"/>
    </row>
    <row r="119" spans="1:20" s="110" customFormat="1" ht="15" hidden="1" outlineLevel="1" x14ac:dyDescent="0.2">
      <c r="A119" s="129"/>
      <c r="B119" s="126"/>
      <c r="C119" s="126"/>
      <c r="D119" s="126"/>
      <c r="E119" s="126"/>
      <c r="F119" s="126"/>
      <c r="G119" s="126"/>
      <c r="H119" s="126"/>
      <c r="I119" s="126"/>
      <c r="J119" s="126"/>
      <c r="K119" s="126"/>
      <c r="L119" s="126"/>
      <c r="M119" s="126"/>
      <c r="N119" s="126"/>
      <c r="O119" s="226"/>
      <c r="P119" s="334"/>
      <c r="Q119" s="226"/>
      <c r="R119" s="226"/>
      <c r="S119" s="226"/>
      <c r="T119" s="234"/>
    </row>
    <row r="120" spans="1:20" s="110" customFormat="1" ht="15" hidden="1" outlineLevel="1" x14ac:dyDescent="0.2">
      <c r="A120" s="129"/>
      <c r="B120" s="126"/>
      <c r="C120" s="126"/>
      <c r="D120" s="126"/>
      <c r="E120" s="126"/>
      <c r="F120" s="126"/>
      <c r="G120" s="126"/>
      <c r="H120" s="126"/>
      <c r="I120" s="126"/>
      <c r="J120" s="126"/>
      <c r="K120" s="126"/>
      <c r="L120" s="126"/>
      <c r="M120" s="126"/>
      <c r="N120" s="126"/>
      <c r="O120" s="226"/>
      <c r="P120" s="334"/>
      <c r="Q120" s="226"/>
      <c r="R120" s="226"/>
      <c r="S120" s="226"/>
      <c r="T120" s="234"/>
    </row>
    <row r="121" spans="1:20" s="110" customFormat="1" ht="45" hidden="1" customHeight="1" outlineLevel="1" x14ac:dyDescent="0.2">
      <c r="A121" s="129"/>
      <c r="B121" s="126"/>
      <c r="C121" s="126"/>
      <c r="D121" s="126"/>
      <c r="E121" s="126"/>
      <c r="F121" s="126"/>
      <c r="G121" s="126"/>
      <c r="H121" s="126"/>
      <c r="I121" s="126"/>
      <c r="J121" s="126"/>
      <c r="K121" s="126"/>
      <c r="L121" s="126"/>
      <c r="M121" s="126"/>
      <c r="N121" s="126"/>
      <c r="O121" s="226"/>
      <c r="P121" s="334"/>
      <c r="Q121" s="226"/>
      <c r="R121" s="226"/>
      <c r="S121" s="226"/>
      <c r="T121" s="234"/>
    </row>
    <row r="122" spans="1:20" s="110" customFormat="1" ht="15" hidden="1" outlineLevel="1" x14ac:dyDescent="0.2">
      <c r="A122" s="129"/>
      <c r="B122" s="126"/>
      <c r="C122" s="126"/>
      <c r="D122" s="126"/>
      <c r="E122" s="126"/>
      <c r="F122" s="126"/>
      <c r="G122" s="126"/>
      <c r="H122" s="126"/>
      <c r="I122" s="126"/>
      <c r="J122" s="126"/>
      <c r="K122" s="126"/>
      <c r="L122" s="126"/>
      <c r="M122" s="126"/>
      <c r="N122" s="126"/>
      <c r="O122" s="226"/>
      <c r="P122" s="334"/>
      <c r="Q122" s="226"/>
      <c r="R122" s="226"/>
      <c r="S122" s="226"/>
      <c r="T122" s="234"/>
    </row>
    <row r="123" spans="1:20" s="110" customFormat="1" ht="9" hidden="1" customHeight="1" outlineLevel="1" thickBot="1" x14ac:dyDescent="0.25">
      <c r="A123" s="143"/>
      <c r="B123" s="126"/>
      <c r="C123" s="126"/>
      <c r="D123" s="126"/>
      <c r="E123" s="126"/>
      <c r="F123" s="126"/>
      <c r="G123" s="126"/>
      <c r="H123" s="126"/>
      <c r="I123" s="126"/>
      <c r="J123" s="126"/>
      <c r="K123" s="126"/>
      <c r="L123" s="126"/>
      <c r="M123" s="126"/>
      <c r="N123" s="126"/>
      <c r="O123" s="226"/>
      <c r="P123" s="334"/>
      <c r="Q123" s="226"/>
      <c r="R123" s="226"/>
      <c r="S123" s="226"/>
      <c r="T123" s="234"/>
    </row>
    <row r="124" spans="1:20" ht="13.5" thickTop="1" x14ac:dyDescent="0.2">
      <c r="A124" s="300"/>
      <c r="B124" s="301"/>
      <c r="C124" s="302"/>
      <c r="D124" s="303"/>
      <c r="E124" s="304"/>
      <c r="F124" s="304"/>
      <c r="G124" s="152"/>
      <c r="H124" s="305"/>
      <c r="I124" s="305"/>
      <c r="J124" s="305"/>
      <c r="K124" s="305"/>
      <c r="L124" s="152"/>
      <c r="M124" s="306"/>
      <c r="N124" s="152"/>
    </row>
    <row r="125" spans="1:20" x14ac:dyDescent="0.2"/>
    <row r="126" spans="1:20" x14ac:dyDescent="0.2"/>
    <row r="127" spans="1:20" x14ac:dyDescent="0.2"/>
    <row r="128" spans="1:20" x14ac:dyDescent="0.2"/>
    <row r="129" spans="8:19" ht="13.5" thickBot="1" x14ac:dyDescent="0.25"/>
    <row r="130" spans="8:19" ht="14.25" thickTop="1" thickBot="1" x14ac:dyDescent="0.25">
      <c r="H130" s="307"/>
      <c r="P130" s="135"/>
      <c r="S130" s="152"/>
    </row>
    <row r="131" spans="8:19" ht="13.5" thickTop="1" x14ac:dyDescent="0.2"/>
    <row r="132" spans="8:19" x14ac:dyDescent="0.2"/>
    <row r="133" spans="8:19" x14ac:dyDescent="0.2"/>
    <row r="134" spans="8:19" x14ac:dyDescent="0.2"/>
    <row r="135" spans="8:19" x14ac:dyDescent="0.2"/>
    <row r="136" spans="8:19" x14ac:dyDescent="0.2"/>
    <row r="137" spans="8:19" x14ac:dyDescent="0.2"/>
    <row r="138" spans="8:19" x14ac:dyDescent="0.2"/>
    <row r="139" spans="8:19" x14ac:dyDescent="0.2"/>
    <row r="140" spans="8:19" x14ac:dyDescent="0.2"/>
    <row r="141" spans="8:19" x14ac:dyDescent="0.2"/>
    <row r="142" spans="8:19" x14ac:dyDescent="0.2"/>
    <row r="143" spans="8:19" x14ac:dyDescent="0.2"/>
    <row r="144" spans="8:19"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row r="204" x14ac:dyDescent="0.2"/>
    <row r="205" x14ac:dyDescent="0.2"/>
    <row r="206" x14ac:dyDescent="0.2"/>
    <row r="207" x14ac:dyDescent="0.2"/>
    <row r="208" x14ac:dyDescent="0.2"/>
    <row r="209" x14ac:dyDescent="0.2"/>
    <row r="210" x14ac:dyDescent="0.2"/>
    <row r="211" x14ac:dyDescent="0.2"/>
    <row r="212" x14ac:dyDescent="0.2"/>
    <row r="213" x14ac:dyDescent="0.2"/>
    <row r="214" x14ac:dyDescent="0.2"/>
    <row r="215" x14ac:dyDescent="0.2"/>
    <row r="216" x14ac:dyDescent="0.2"/>
    <row r="217" x14ac:dyDescent="0.2"/>
    <row r="218" x14ac:dyDescent="0.2"/>
    <row r="219" x14ac:dyDescent="0.2"/>
    <row r="220" x14ac:dyDescent="0.2"/>
  </sheetData>
  <autoFilter ref="A4:M4" xr:uid="{00000000-0009-0000-0000-000003000000}"/>
  <mergeCells count="2">
    <mergeCell ref="K3:M3"/>
    <mergeCell ref="C3:J3"/>
  </mergeCells>
  <conditionalFormatting sqref="P1">
    <cfRule type="cellIs" dxfId="3" priority="1" stopIfTrue="1" operator="equal">
      <formula>"tbd"</formula>
    </cfRule>
  </conditionalFormatting>
  <dataValidations count="1">
    <dataValidation type="list" allowBlank="1" showInputMessage="1" showErrorMessage="1" sqref="B1" xr:uid="{00000000-0002-0000-0300-000000000000}">
      <formula1>$A$72:$A$85</formula1>
    </dataValidation>
  </dataValidations>
  <pageMargins left="0.75" right="0.75" top="1" bottom="1" header="0.4921259845" footer="0.4921259845"/>
  <pageSetup scale="24" orientation="portrait" r:id="rId1"/>
  <headerFooter alignWithMargins="0">
    <oddFooter>&amp;LE905722 rev xxx ver xxx&amp;R&amp;P</oddFooter>
  </headerFooter>
  <colBreaks count="1" manualBreakCount="1">
    <brk id="25" max="138" man="1"/>
  </colBreaks>
  <drawing r:id="rId2"/>
  <legacyDrawing r:id="rId3"/>
  <controls>
    <mc:AlternateContent xmlns:mc="http://schemas.openxmlformats.org/markup-compatibility/2006">
      <mc:Choice Requires="x14">
        <control shapeId="19457" r:id="rId4" name="UpdateStatisticsButton">
          <controlPr defaultSize="0" autoLine="0" r:id="rId5">
            <anchor>
              <from>
                <xdr:col>3</xdr:col>
                <xdr:colOff>104775</xdr:colOff>
                <xdr:row>0</xdr:row>
                <xdr:rowOff>114300</xdr:rowOff>
              </from>
              <to>
                <xdr:col>3</xdr:col>
                <xdr:colOff>1533525</xdr:colOff>
                <xdr:row>0</xdr:row>
                <xdr:rowOff>476250</xdr:rowOff>
              </to>
            </anchor>
          </controlPr>
        </control>
      </mc:Choice>
      <mc:Fallback>
        <control shapeId="19457" r:id="rId4" name="UpdateStatisticsButton"/>
      </mc:Fallback>
    </mc:AlternateContent>
    <mc:AlternateContent xmlns:mc="http://schemas.openxmlformats.org/markup-compatibility/2006">
      <mc:Choice Requires="x14">
        <control shapeId="19458" r:id="rId6" name="ImportPRMButton">
          <controlPr defaultSize="0" autoLine="0" r:id="rId7">
            <anchor>
              <from>
                <xdr:col>3</xdr:col>
                <xdr:colOff>104775</xdr:colOff>
                <xdr:row>0</xdr:row>
                <xdr:rowOff>609600</xdr:rowOff>
              </from>
              <to>
                <xdr:col>3</xdr:col>
                <xdr:colOff>1524000</xdr:colOff>
                <xdr:row>0</xdr:row>
                <xdr:rowOff>971550</xdr:rowOff>
              </to>
            </anchor>
          </controlPr>
        </control>
      </mc:Choice>
      <mc:Fallback>
        <control shapeId="19458" r:id="rId6" name="ImportPRMButton"/>
      </mc:Fallback>
    </mc:AlternateContent>
    <mc:AlternateContent xmlns:mc="http://schemas.openxmlformats.org/markup-compatibility/2006">
      <mc:Choice Requires="x14">
        <control shapeId="19459" r:id="rId8" name="Button 3">
          <controlPr defaultSize="0" print="0" autoFill="0" autoPict="0" macro="[0]!Feuil1.NOK_List_Click">
            <anchor>
              <from>
                <xdr:col>13</xdr:col>
                <xdr:colOff>1428750</xdr:colOff>
                <xdr:row>0</xdr:row>
                <xdr:rowOff>95250</xdr:rowOff>
              </from>
              <to>
                <xdr:col>13</xdr:col>
                <xdr:colOff>2905125</xdr:colOff>
                <xdr:row>0</xdr:row>
                <xdr:rowOff>1000125</xdr:rowOff>
              </to>
            </anchor>
          </controlPr>
        </control>
      </mc:Choice>
    </mc:AlternateContent>
    <mc:AlternateContent xmlns:mc="http://schemas.openxmlformats.org/markup-compatibility/2006">
      <mc:Choice Requires="x14">
        <control shapeId="19932" r:id="rId9" name="Button 476">
          <controlPr defaultSize="0" print="0" autoFill="0" autoPict="0" macro="[1]!Feuil1.Req_Test_Status_Click">
            <anchor>
              <from>
                <xdr:col>13</xdr:col>
                <xdr:colOff>38100</xdr:colOff>
                <xdr:row>0</xdr:row>
                <xdr:rowOff>114300</xdr:rowOff>
              </from>
              <to>
                <xdr:col>13</xdr:col>
                <xdr:colOff>1371600</xdr:colOff>
                <xdr:row>0</xdr:row>
                <xdr:rowOff>1000125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0">
    <tabColor theme="4" tint="0.39997558519241921"/>
  </sheetPr>
  <dimension ref="A1:IU7"/>
  <sheetViews>
    <sheetView showGridLines="0" zoomScale="90" zoomScaleNormal="90" workbookViewId="0">
      <pane ySplit="4" topLeftCell="A5" activePane="bottomLeft" state="frozen"/>
      <selection activeCell="B1" sqref="B1"/>
      <selection pane="bottomLeft" activeCell="F2" sqref="F2"/>
    </sheetView>
  </sheetViews>
  <sheetFormatPr defaultColWidth="0" defaultRowHeight="14.25" zeroHeight="1" x14ac:dyDescent="0.2"/>
  <cols>
    <col min="1" max="1" width="79.7109375" style="76" customWidth="1"/>
    <col min="2" max="4" width="16.28515625" style="103" customWidth="1"/>
    <col min="5" max="5" width="13.140625" style="103" customWidth="1"/>
    <col min="6" max="6" width="17.42578125" style="103" customWidth="1"/>
    <col min="7" max="7" width="16.28515625" style="107" customWidth="1"/>
    <col min="8" max="8" width="16.28515625" style="103" customWidth="1"/>
    <col min="9" max="9" width="30.28515625" style="78" hidden="1" customWidth="1"/>
    <col min="10" max="10" width="62.7109375" style="78" hidden="1" customWidth="1"/>
    <col min="11" max="11" width="12.85546875" style="78" hidden="1" customWidth="1"/>
    <col min="12" max="12" width="13.5703125" style="78" hidden="1" customWidth="1"/>
    <col min="13" max="14" width="12.85546875" style="78" hidden="1" customWidth="1"/>
    <col min="15" max="15" width="11.42578125" style="78" hidden="1" customWidth="1"/>
    <col min="16" max="254" width="9.140625" style="78" hidden="1" customWidth="1"/>
    <col min="255" max="255" width="4.5703125" style="78" hidden="1" customWidth="1"/>
    <col min="256" max="16384" width="0" style="78" hidden="1"/>
  </cols>
  <sheetData>
    <row r="1" spans="1:15" s="74" customFormat="1" ht="22.5" customHeight="1" x14ac:dyDescent="0.2">
      <c r="A1" s="89" t="str">
        <f>"_ReqStatusSHR attribute extracted from SHR module for " &amp;Discipline&amp; " discipline(s)"</f>
        <v>_ReqStatusSHR attribute extracted from SHR module for All discipline(s)</v>
      </c>
      <c r="B1" s="99"/>
      <c r="C1" s="99"/>
      <c r="D1" s="99"/>
      <c r="E1" s="398" t="s">
        <v>83</v>
      </c>
      <c r="F1" s="400"/>
      <c r="G1" s="90" t="str">
        <f>SWVersion</f>
        <v>tbd</v>
      </c>
      <c r="I1" s="73"/>
      <c r="J1" s="73"/>
      <c r="K1" s="73"/>
      <c r="L1" s="73"/>
    </row>
    <row r="2" spans="1:15" s="74" customFormat="1" ht="207.75" customHeight="1" x14ac:dyDescent="0.2">
      <c r="A2" s="76"/>
      <c r="B2" s="101"/>
      <c r="C2" s="101"/>
      <c r="D2" s="101"/>
      <c r="E2" s="101"/>
      <c r="F2" s="101"/>
      <c r="G2" s="101"/>
      <c r="H2" s="100"/>
      <c r="I2" s="73"/>
      <c r="J2" s="73"/>
      <c r="K2" s="73"/>
      <c r="L2" s="73"/>
      <c r="M2" s="73"/>
      <c r="N2" s="73"/>
      <c r="O2" s="73"/>
    </row>
    <row r="3" spans="1:15" s="75" customFormat="1" ht="105" x14ac:dyDescent="0.2">
      <c r="A3" s="91" t="s">
        <v>54</v>
      </c>
      <c r="B3" s="92" t="str">
        <f>" Nb of "&amp;Discipline&amp;" requirements"</f>
        <v xml:space="preserve"> Nb of All requirements</v>
      </c>
      <c r="C3" s="93" t="s">
        <v>80</v>
      </c>
      <c r="D3" s="93" t="s">
        <v>55</v>
      </c>
      <c r="E3" s="93" t="s">
        <v>112</v>
      </c>
      <c r="F3" s="93" t="s">
        <v>88</v>
      </c>
      <c r="G3" s="93" t="s">
        <v>81</v>
      </c>
      <c r="H3" s="116" t="s">
        <v>82</v>
      </c>
      <c r="M3" s="81"/>
      <c r="N3" s="81"/>
      <c r="O3" s="81"/>
    </row>
    <row r="4" spans="1:15" ht="15.75" customHeight="1" x14ac:dyDescent="0.25">
      <c r="A4" s="98" t="s">
        <v>56</v>
      </c>
      <c r="B4" s="102">
        <f>SUM(B5:B6)</f>
        <v>0</v>
      </c>
      <c r="C4" s="108">
        <f>SUM(C5:C18)</f>
        <v>0</v>
      </c>
      <c r="D4" s="108">
        <f>SUM(D5:D18)</f>
        <v>0</v>
      </c>
      <c r="E4" s="108">
        <f>SUM(E5:E18)</f>
        <v>0</v>
      </c>
      <c r="F4" s="109">
        <f>SUM(F5:F18)</f>
        <v>0</v>
      </c>
      <c r="G4" s="108">
        <f>SUM(G5:G18)</f>
        <v>0</v>
      </c>
      <c r="H4" s="119" t="e">
        <f>(F4+G4)/B4</f>
        <v>#DIV/0!</v>
      </c>
      <c r="L4" s="77"/>
      <c r="M4" s="81"/>
      <c r="N4" s="81"/>
      <c r="O4" s="81"/>
    </row>
    <row r="5" spans="1:15" x14ac:dyDescent="0.2">
      <c r="A5" s="79"/>
      <c r="B5" s="104"/>
      <c r="C5" s="104"/>
      <c r="D5" s="104"/>
      <c r="E5" s="104"/>
      <c r="F5" s="104"/>
      <c r="G5" s="104"/>
      <c r="H5" s="117"/>
    </row>
    <row r="6" spans="1:15" x14ac:dyDescent="0.2">
      <c r="A6" s="79"/>
      <c r="B6" s="104"/>
      <c r="C6" s="104"/>
      <c r="D6" s="104"/>
      <c r="E6" s="104"/>
      <c r="F6" s="104"/>
      <c r="G6" s="104"/>
      <c r="H6" s="118"/>
    </row>
    <row r="7" spans="1:15" x14ac:dyDescent="0.2">
      <c r="A7" s="80"/>
      <c r="B7" s="105"/>
      <c r="C7" s="105"/>
      <c r="D7" s="105"/>
      <c r="E7" s="105"/>
      <c r="F7" s="105"/>
      <c r="G7" s="106"/>
      <c r="H7" s="106"/>
    </row>
  </sheetData>
  <mergeCells count="1">
    <mergeCell ref="E1:F1"/>
  </mergeCells>
  <conditionalFormatting sqref="C4">
    <cfRule type="cellIs" dxfId="2" priority="3" stopIfTrue="1" operator="notEqual">
      <formula>0</formula>
    </cfRule>
  </conditionalFormatting>
  <conditionalFormatting sqref="D4">
    <cfRule type="cellIs" dxfId="1" priority="2" stopIfTrue="1" operator="notEqual">
      <formula>0</formula>
    </cfRule>
  </conditionalFormatting>
  <conditionalFormatting sqref="E4">
    <cfRule type="cellIs" dxfId="0" priority="1" stopIfTrue="1" operator="notEqual">
      <formula>0</formula>
    </cfRule>
  </conditionalFormatting>
  <pageMargins left="0.75" right="0.75" top="1" bottom="1" header="0.4921259845" footer="0.4921259845"/>
  <pageSetup scale="73" orientation="portrait" r:id="rId1"/>
  <headerFooter alignWithMargins="0">
    <oddFooter>&amp;LE905722 rev xxx ver xxx&amp;R&amp;P</oddFooter>
  </headerFooter>
  <colBreaks count="1" manualBreakCount="1">
    <brk id="8" max="49"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3:E5"/>
  <sheetViews>
    <sheetView workbookViewId="0">
      <selection activeCell="M26" sqref="M26"/>
    </sheetView>
  </sheetViews>
  <sheetFormatPr defaultRowHeight="12.75" x14ac:dyDescent="0.2"/>
  <sheetData>
    <row r="3" spans="1:5" ht="27" x14ac:dyDescent="0.35">
      <c r="A3" s="335" t="s">
        <v>148</v>
      </c>
    </row>
    <row r="5" spans="1:5" ht="27" x14ac:dyDescent="0.35">
      <c r="E5" s="335" t="s">
        <v>149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dimension ref="A1:N5"/>
  <sheetViews>
    <sheetView showGridLines="0" zoomScale="85" zoomScaleNormal="85" workbookViewId="0">
      <pane ySplit="2" topLeftCell="A3" activePane="bottomLeft" state="frozen"/>
      <selection pane="bottomLeft" activeCell="M5" sqref="M5"/>
    </sheetView>
  </sheetViews>
  <sheetFormatPr defaultColWidth="11.42578125" defaultRowHeight="12.75" x14ac:dyDescent="0.2"/>
  <cols>
    <col min="1" max="1" width="11.42578125" style="177"/>
    <col min="2" max="2" width="0" style="167" hidden="1" customWidth="1"/>
    <col min="3" max="9" width="11.42578125" style="167"/>
    <col min="10" max="10" width="22.7109375" style="167" customWidth="1"/>
    <col min="11" max="11" width="11.42578125" style="181"/>
    <col min="12" max="16384" width="11.42578125" style="167"/>
  </cols>
  <sheetData>
    <row r="1" spans="1:14" ht="115.5" x14ac:dyDescent="0.2">
      <c r="A1" s="430" t="s">
        <v>155</v>
      </c>
      <c r="B1" s="430" t="s">
        <v>40</v>
      </c>
      <c r="C1" s="430" t="s">
        <v>141</v>
      </c>
      <c r="D1" s="430" t="s">
        <v>41</v>
      </c>
      <c r="E1" s="430" t="s">
        <v>42</v>
      </c>
      <c r="F1" s="430" t="s">
        <v>109</v>
      </c>
      <c r="G1" s="430" t="s">
        <v>43</v>
      </c>
      <c r="H1" s="430" t="s">
        <v>156</v>
      </c>
      <c r="I1" s="430" t="s">
        <v>45</v>
      </c>
      <c r="J1" s="430" t="s">
        <v>46</v>
      </c>
      <c r="K1" s="430" t="s">
        <v>47</v>
      </c>
      <c r="L1" s="430" t="s">
        <v>140</v>
      </c>
      <c r="M1" s="430" t="s">
        <v>157</v>
      </c>
      <c r="N1" s="190"/>
    </row>
    <row r="2" spans="1:14" x14ac:dyDescent="0.2">
      <c r="A2" s="431" t="s">
        <v>158</v>
      </c>
      <c r="B2" s="431">
        <v>1537621</v>
      </c>
      <c r="C2" s="431" t="s">
        <v>159</v>
      </c>
      <c r="D2" s="431" t="s">
        <v>160</v>
      </c>
      <c r="E2" s="431" t="s">
        <v>161</v>
      </c>
      <c r="F2" s="431"/>
      <c r="G2" s="431" t="s">
        <v>162</v>
      </c>
      <c r="H2" s="431"/>
      <c r="I2" s="431"/>
      <c r="J2" s="431"/>
      <c r="K2" s="431"/>
      <c r="L2" s="431" t="s">
        <v>163</v>
      </c>
      <c r="M2" s="431" t="s">
        <v>164</v>
      </c>
      <c r="N2" s="178"/>
    </row>
    <row r="3" spans="1:14" x14ac:dyDescent="0.2">
      <c r="A3" s="431" t="s">
        <v>165</v>
      </c>
      <c r="B3" s="431">
        <v>1537623</v>
      </c>
      <c r="C3" s="431" t="s">
        <v>159</v>
      </c>
      <c r="D3" s="431" t="s">
        <v>160</v>
      </c>
      <c r="E3" s="431" t="s">
        <v>161</v>
      </c>
      <c r="F3" s="431"/>
      <c r="G3" s="431" t="s">
        <v>162</v>
      </c>
      <c r="H3" s="431"/>
      <c r="I3" s="431"/>
      <c r="J3" s="431"/>
      <c r="K3" s="431"/>
      <c r="L3" s="431" t="s">
        <v>163</v>
      </c>
      <c r="M3" s="431" t="s">
        <v>166</v>
      </c>
    </row>
    <row r="4" spans="1:14" x14ac:dyDescent="0.2">
      <c r="A4" s="431" t="s">
        <v>167</v>
      </c>
      <c r="B4" s="431">
        <v>1537634</v>
      </c>
      <c r="C4" s="431" t="s">
        <v>159</v>
      </c>
      <c r="D4" s="431" t="s">
        <v>160</v>
      </c>
      <c r="E4" s="431" t="s">
        <v>161</v>
      </c>
      <c r="F4" s="431"/>
      <c r="G4" s="431" t="s">
        <v>162</v>
      </c>
      <c r="H4" s="431"/>
      <c r="I4" s="431"/>
      <c r="J4" s="431"/>
      <c r="K4" s="431"/>
      <c r="L4" s="431" t="s">
        <v>163</v>
      </c>
      <c r="M4" s="431" t="s">
        <v>168</v>
      </c>
    </row>
    <row r="5" spans="1:14" x14ac:dyDescent="0.2">
      <c r="A5" s="431" t="s">
        <v>169</v>
      </c>
      <c r="B5" s="431">
        <v>1537636</v>
      </c>
      <c r="C5" s="431" t="s">
        <v>170</v>
      </c>
      <c r="D5" s="431" t="s">
        <v>160</v>
      </c>
      <c r="E5" s="431" t="s">
        <v>161</v>
      </c>
      <c r="F5" s="431"/>
      <c r="G5" s="431" t="s">
        <v>162</v>
      </c>
      <c r="H5" s="431"/>
      <c r="I5" s="431"/>
      <c r="J5" s="431"/>
      <c r="K5" s="431"/>
      <c r="L5" s="431" t="s">
        <v>163</v>
      </c>
      <c r="M5" s="431" t="s">
        <v>171</v>
      </c>
    </row>
  </sheetData>
  <autoFilter ref="A2:N2" xr:uid="{00000000-0009-0000-0000-000006000000}"/>
  <pageMargins left="0.75" right="0.75" top="1" bottom="1" header="0.4921259845" footer="0.4921259845"/>
  <pageSetup paperSize="9" orientation="portrait" r:id="rId1"/>
  <headerFooter alignWithMargins="0">
    <oddFooter>&amp;LE905722 rev xxx ver xxx&amp;R&amp;P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32A66-640F-4FB1-869E-308447E87240}">
  <sheetPr codeName="Feuil6"/>
  <dimension ref="A1:N1263"/>
  <sheetViews>
    <sheetView showGridLines="0" zoomScale="85" zoomScaleNormal="85" workbookViewId="0">
      <pane ySplit="2" topLeftCell="A3" activePane="bottomLeft" state="frozen"/>
      <selection pane="bottomLeft" activeCell="M1263" sqref="M1263"/>
    </sheetView>
  </sheetViews>
  <sheetFormatPr defaultColWidth="11.42578125" defaultRowHeight="12.75" x14ac:dyDescent="0.2"/>
  <cols>
    <col min="1" max="1" width="11.42578125" style="177"/>
    <col min="2" max="2" width="0" style="167" hidden="1" customWidth="1"/>
    <col min="3" max="9" width="11.42578125" style="167"/>
    <col min="10" max="10" width="22.7109375" style="167" customWidth="1"/>
    <col min="11" max="11" width="11.42578125" style="181"/>
    <col min="12" max="16384" width="11.42578125" style="167"/>
  </cols>
  <sheetData>
    <row r="1" spans="1:14" ht="115.5" x14ac:dyDescent="0.2">
      <c r="A1" s="430" t="s">
        <v>155</v>
      </c>
      <c r="B1" s="430" t="s">
        <v>40</v>
      </c>
      <c r="C1" s="430" t="s">
        <v>141</v>
      </c>
      <c r="D1" s="430" t="s">
        <v>41</v>
      </c>
      <c r="E1" s="430" t="s">
        <v>42</v>
      </c>
      <c r="F1" s="430" t="s">
        <v>109</v>
      </c>
      <c r="G1" s="430" t="s">
        <v>43</v>
      </c>
      <c r="H1" s="430" t="s">
        <v>156</v>
      </c>
      <c r="I1" s="430" t="s">
        <v>45</v>
      </c>
      <c r="J1" s="430" t="s">
        <v>46</v>
      </c>
      <c r="K1" s="430" t="s">
        <v>47</v>
      </c>
      <c r="L1" s="430" t="s">
        <v>140</v>
      </c>
      <c r="M1" s="430" t="s">
        <v>157</v>
      </c>
      <c r="N1" s="190"/>
    </row>
    <row r="2" spans="1:14" x14ac:dyDescent="0.2">
      <c r="A2" s="431" t="s">
        <v>172</v>
      </c>
      <c r="B2" s="431">
        <v>1870407</v>
      </c>
      <c r="C2" s="431" t="s">
        <v>159</v>
      </c>
      <c r="D2" s="431" t="s">
        <v>173</v>
      </c>
      <c r="E2" s="431" t="s">
        <v>161</v>
      </c>
      <c r="F2" s="431" t="s">
        <v>174</v>
      </c>
      <c r="G2" s="431" t="s">
        <v>175</v>
      </c>
      <c r="H2" s="431"/>
      <c r="I2" s="431"/>
      <c r="J2" s="431"/>
      <c r="K2" s="431"/>
      <c r="L2" s="431" t="s">
        <v>176</v>
      </c>
      <c r="M2" s="431" t="s">
        <v>177</v>
      </c>
      <c r="N2" s="178"/>
    </row>
    <row r="3" spans="1:14" x14ac:dyDescent="0.2">
      <c r="A3" s="431" t="s">
        <v>172</v>
      </c>
      <c r="B3" s="431">
        <v>1870407</v>
      </c>
      <c r="C3" s="431" t="s">
        <v>159</v>
      </c>
      <c r="D3" s="431" t="s">
        <v>173</v>
      </c>
      <c r="E3" s="431" t="s">
        <v>161</v>
      </c>
      <c r="F3" s="431" t="s">
        <v>174</v>
      </c>
      <c r="G3" s="431" t="s">
        <v>175</v>
      </c>
      <c r="H3" s="431"/>
      <c r="I3" s="431"/>
      <c r="J3" s="431"/>
      <c r="K3" s="431"/>
      <c r="L3" s="431" t="s">
        <v>176</v>
      </c>
      <c r="M3" s="431" t="s">
        <v>177</v>
      </c>
    </row>
    <row r="4" spans="1:14" x14ac:dyDescent="0.2">
      <c r="A4" s="431" t="s">
        <v>172</v>
      </c>
      <c r="B4" s="431">
        <v>1870407</v>
      </c>
      <c r="C4" s="431" t="s">
        <v>159</v>
      </c>
      <c r="D4" s="431" t="s">
        <v>173</v>
      </c>
      <c r="E4" s="431" t="s">
        <v>161</v>
      </c>
      <c r="F4" s="431" t="s">
        <v>174</v>
      </c>
      <c r="G4" s="431" t="s">
        <v>175</v>
      </c>
      <c r="H4" s="431"/>
      <c r="I4" s="431"/>
      <c r="J4" s="431"/>
      <c r="K4" s="431"/>
      <c r="L4" s="431" t="s">
        <v>176</v>
      </c>
      <c r="M4" s="431" t="s">
        <v>177</v>
      </c>
    </row>
    <row r="5" spans="1:14" x14ac:dyDescent="0.2">
      <c r="A5" s="431" t="s">
        <v>172</v>
      </c>
      <c r="B5" s="431">
        <v>1870407</v>
      </c>
      <c r="C5" s="431" t="s">
        <v>159</v>
      </c>
      <c r="D5" s="431" t="s">
        <v>173</v>
      </c>
      <c r="E5" s="431" t="s">
        <v>161</v>
      </c>
      <c r="F5" s="431" t="s">
        <v>174</v>
      </c>
      <c r="G5" s="431" t="s">
        <v>175</v>
      </c>
      <c r="H5" s="431"/>
      <c r="I5" s="431"/>
      <c r="J5" s="431"/>
      <c r="K5" s="431"/>
      <c r="L5" s="431" t="s">
        <v>176</v>
      </c>
      <c r="M5" s="431" t="s">
        <v>177</v>
      </c>
    </row>
    <row r="6" spans="1:14" x14ac:dyDescent="0.2">
      <c r="A6" s="431" t="s">
        <v>172</v>
      </c>
      <c r="B6" s="431">
        <v>1870407</v>
      </c>
      <c r="C6" s="431" t="s">
        <v>159</v>
      </c>
      <c r="D6" s="431" t="s">
        <v>173</v>
      </c>
      <c r="E6" s="431" t="s">
        <v>161</v>
      </c>
      <c r="F6" s="431" t="s">
        <v>174</v>
      </c>
      <c r="G6" s="431" t="s">
        <v>175</v>
      </c>
      <c r="H6" s="431"/>
      <c r="I6" s="431"/>
      <c r="J6" s="431"/>
      <c r="K6" s="431"/>
      <c r="L6" s="431" t="s">
        <v>176</v>
      </c>
      <c r="M6" s="431" t="s">
        <v>177</v>
      </c>
    </row>
    <row r="7" spans="1:14" x14ac:dyDescent="0.2">
      <c r="A7" s="431" t="s">
        <v>172</v>
      </c>
      <c r="B7" s="431">
        <v>1870407</v>
      </c>
      <c r="C7" s="431" t="s">
        <v>159</v>
      </c>
      <c r="D7" s="431" t="s">
        <v>173</v>
      </c>
      <c r="E7" s="431" t="s">
        <v>161</v>
      </c>
      <c r="F7" s="431" t="s">
        <v>174</v>
      </c>
      <c r="G7" s="431" t="s">
        <v>175</v>
      </c>
      <c r="H7" s="431"/>
      <c r="I7" s="431"/>
      <c r="J7" s="431"/>
      <c r="K7" s="431"/>
      <c r="L7" s="431" t="s">
        <v>176</v>
      </c>
      <c r="M7" s="431" t="s">
        <v>177</v>
      </c>
    </row>
    <row r="8" spans="1:14" x14ac:dyDescent="0.2">
      <c r="A8" s="431" t="s">
        <v>172</v>
      </c>
      <c r="B8" s="431">
        <v>1870407</v>
      </c>
      <c r="C8" s="431" t="s">
        <v>159</v>
      </c>
      <c r="D8" s="431" t="s">
        <v>173</v>
      </c>
      <c r="E8" s="431" t="s">
        <v>161</v>
      </c>
      <c r="F8" s="431" t="s">
        <v>174</v>
      </c>
      <c r="G8" s="431" t="s">
        <v>175</v>
      </c>
      <c r="H8" s="431"/>
      <c r="I8" s="431"/>
      <c r="J8" s="431"/>
      <c r="K8" s="431"/>
      <c r="L8" s="431" t="s">
        <v>176</v>
      </c>
      <c r="M8" s="431" t="s">
        <v>177</v>
      </c>
    </row>
    <row r="9" spans="1:14" x14ac:dyDescent="0.2">
      <c r="A9" s="431" t="s">
        <v>172</v>
      </c>
      <c r="B9" s="431">
        <v>1870407</v>
      </c>
      <c r="C9" s="431" t="s">
        <v>159</v>
      </c>
      <c r="D9" s="431" t="s">
        <v>173</v>
      </c>
      <c r="E9" s="431" t="s">
        <v>161</v>
      </c>
      <c r="F9" s="431" t="s">
        <v>174</v>
      </c>
      <c r="G9" s="431" t="s">
        <v>175</v>
      </c>
      <c r="H9" s="431"/>
      <c r="I9" s="431"/>
      <c r="J9" s="431"/>
      <c r="K9" s="431"/>
      <c r="L9" s="431" t="s">
        <v>176</v>
      </c>
      <c r="M9" s="431" t="s">
        <v>177</v>
      </c>
    </row>
    <row r="10" spans="1:14" x14ac:dyDescent="0.2">
      <c r="A10" s="431" t="s">
        <v>172</v>
      </c>
      <c r="B10" s="431">
        <v>1870407</v>
      </c>
      <c r="C10" s="431" t="s">
        <v>159</v>
      </c>
      <c r="D10" s="431" t="s">
        <v>173</v>
      </c>
      <c r="E10" s="431" t="s">
        <v>161</v>
      </c>
      <c r="F10" s="431" t="s">
        <v>174</v>
      </c>
      <c r="G10" s="431" t="s">
        <v>175</v>
      </c>
      <c r="H10" s="431"/>
      <c r="I10" s="431"/>
      <c r="J10" s="431"/>
      <c r="K10" s="431"/>
      <c r="L10" s="431" t="s">
        <v>176</v>
      </c>
      <c r="M10" s="431" t="s">
        <v>177</v>
      </c>
    </row>
    <row r="11" spans="1:14" x14ac:dyDescent="0.2">
      <c r="A11" s="431" t="s">
        <v>172</v>
      </c>
      <c r="B11" s="431">
        <v>1870407</v>
      </c>
      <c r="C11" s="431" t="s">
        <v>159</v>
      </c>
      <c r="D11" s="431" t="s">
        <v>173</v>
      </c>
      <c r="E11" s="431" t="s">
        <v>161</v>
      </c>
      <c r="F11" s="431" t="s">
        <v>174</v>
      </c>
      <c r="G11" s="431" t="s">
        <v>175</v>
      </c>
      <c r="H11" s="431"/>
      <c r="I11" s="431"/>
      <c r="J11" s="431"/>
      <c r="K11" s="431"/>
      <c r="L11" s="431" t="s">
        <v>176</v>
      </c>
      <c r="M11" s="431" t="s">
        <v>177</v>
      </c>
    </row>
    <row r="12" spans="1:14" x14ac:dyDescent="0.2">
      <c r="A12" s="431" t="s">
        <v>172</v>
      </c>
      <c r="B12" s="431">
        <v>1870407</v>
      </c>
      <c r="C12" s="431" t="s">
        <v>159</v>
      </c>
      <c r="D12" s="431" t="s">
        <v>173</v>
      </c>
      <c r="E12" s="431" t="s">
        <v>161</v>
      </c>
      <c r="F12" s="431" t="s">
        <v>174</v>
      </c>
      <c r="G12" s="431" t="s">
        <v>175</v>
      </c>
      <c r="H12" s="431"/>
      <c r="I12" s="431"/>
      <c r="J12" s="431"/>
      <c r="K12" s="431"/>
      <c r="L12" s="431" t="s">
        <v>176</v>
      </c>
      <c r="M12" s="431" t="s">
        <v>177</v>
      </c>
    </row>
    <row r="13" spans="1:14" x14ac:dyDescent="0.2">
      <c r="A13" s="431" t="s">
        <v>172</v>
      </c>
      <c r="B13" s="431">
        <v>1870407</v>
      </c>
      <c r="C13" s="431" t="s">
        <v>159</v>
      </c>
      <c r="D13" s="431" t="s">
        <v>173</v>
      </c>
      <c r="E13" s="431" t="s">
        <v>161</v>
      </c>
      <c r="F13" s="431" t="s">
        <v>174</v>
      </c>
      <c r="G13" s="431" t="s">
        <v>175</v>
      </c>
      <c r="H13" s="431"/>
      <c r="I13" s="431"/>
      <c r="J13" s="431"/>
      <c r="K13" s="431"/>
      <c r="L13" s="431" t="s">
        <v>176</v>
      </c>
      <c r="M13" s="431" t="s">
        <v>177</v>
      </c>
    </row>
    <row r="14" spans="1:14" x14ac:dyDescent="0.2">
      <c r="A14" s="431" t="s">
        <v>172</v>
      </c>
      <c r="B14" s="431">
        <v>1870407</v>
      </c>
      <c r="C14" s="431" t="s">
        <v>159</v>
      </c>
      <c r="D14" s="431" t="s">
        <v>173</v>
      </c>
      <c r="E14" s="431" t="s">
        <v>161</v>
      </c>
      <c r="F14" s="431" t="s">
        <v>174</v>
      </c>
      <c r="G14" s="431" t="s">
        <v>175</v>
      </c>
      <c r="H14" s="431"/>
      <c r="I14" s="431"/>
      <c r="J14" s="431"/>
      <c r="K14" s="431"/>
      <c r="L14" s="431" t="s">
        <v>176</v>
      </c>
      <c r="M14" s="431" t="s">
        <v>177</v>
      </c>
    </row>
    <row r="15" spans="1:14" x14ac:dyDescent="0.2">
      <c r="A15" s="431" t="s">
        <v>172</v>
      </c>
      <c r="B15" s="431">
        <v>1870407</v>
      </c>
      <c r="C15" s="431" t="s">
        <v>159</v>
      </c>
      <c r="D15" s="431" t="s">
        <v>173</v>
      </c>
      <c r="E15" s="431" t="s">
        <v>161</v>
      </c>
      <c r="F15" s="431" t="s">
        <v>174</v>
      </c>
      <c r="G15" s="431" t="s">
        <v>175</v>
      </c>
      <c r="H15" s="431"/>
      <c r="I15" s="431"/>
      <c r="J15" s="431"/>
      <c r="K15" s="431"/>
      <c r="L15" s="431" t="s">
        <v>176</v>
      </c>
      <c r="M15" s="431" t="s">
        <v>177</v>
      </c>
    </row>
    <row r="16" spans="1:14" x14ac:dyDescent="0.2">
      <c r="A16" s="431" t="s">
        <v>172</v>
      </c>
      <c r="B16" s="431">
        <v>1870407</v>
      </c>
      <c r="C16" s="431" t="s">
        <v>159</v>
      </c>
      <c r="D16" s="431" t="s">
        <v>173</v>
      </c>
      <c r="E16" s="431" t="s">
        <v>161</v>
      </c>
      <c r="F16" s="431" t="s">
        <v>174</v>
      </c>
      <c r="G16" s="431" t="s">
        <v>175</v>
      </c>
      <c r="H16" s="431"/>
      <c r="I16" s="431"/>
      <c r="J16" s="431"/>
      <c r="K16" s="431"/>
      <c r="L16" s="431" t="s">
        <v>176</v>
      </c>
      <c r="M16" s="431" t="s">
        <v>177</v>
      </c>
    </row>
    <row r="17" spans="1:13" x14ac:dyDescent="0.2">
      <c r="A17" s="431" t="s">
        <v>172</v>
      </c>
      <c r="B17" s="431">
        <v>1870407</v>
      </c>
      <c r="C17" s="431" t="s">
        <v>159</v>
      </c>
      <c r="D17" s="431" t="s">
        <v>173</v>
      </c>
      <c r="E17" s="431" t="s">
        <v>161</v>
      </c>
      <c r="F17" s="431" t="s">
        <v>174</v>
      </c>
      <c r="G17" s="431" t="s">
        <v>175</v>
      </c>
      <c r="H17" s="431"/>
      <c r="I17" s="431"/>
      <c r="J17" s="431"/>
      <c r="K17" s="431"/>
      <c r="L17" s="431" t="s">
        <v>176</v>
      </c>
      <c r="M17" s="431" t="s">
        <v>177</v>
      </c>
    </row>
    <row r="18" spans="1:13" x14ac:dyDescent="0.2">
      <c r="A18" s="431" t="s">
        <v>172</v>
      </c>
      <c r="B18" s="431">
        <v>1870407</v>
      </c>
      <c r="C18" s="431" t="s">
        <v>159</v>
      </c>
      <c r="D18" s="431" t="s">
        <v>173</v>
      </c>
      <c r="E18" s="431" t="s">
        <v>161</v>
      </c>
      <c r="F18" s="431" t="s">
        <v>174</v>
      </c>
      <c r="G18" s="431" t="s">
        <v>175</v>
      </c>
      <c r="H18" s="431"/>
      <c r="I18" s="431"/>
      <c r="J18" s="431"/>
      <c r="K18" s="431"/>
      <c r="L18" s="431" t="s">
        <v>176</v>
      </c>
      <c r="M18" s="431" t="s">
        <v>177</v>
      </c>
    </row>
    <row r="19" spans="1:13" x14ac:dyDescent="0.2">
      <c r="A19" s="431" t="s">
        <v>172</v>
      </c>
      <c r="B19" s="431">
        <v>1870407</v>
      </c>
      <c r="C19" s="431" t="s">
        <v>159</v>
      </c>
      <c r="D19" s="431" t="s">
        <v>173</v>
      </c>
      <c r="E19" s="431" t="s">
        <v>161</v>
      </c>
      <c r="F19" s="431" t="s">
        <v>174</v>
      </c>
      <c r="G19" s="431" t="s">
        <v>175</v>
      </c>
      <c r="H19" s="431"/>
      <c r="I19" s="431"/>
      <c r="J19" s="431"/>
      <c r="K19" s="431"/>
      <c r="L19" s="431" t="s">
        <v>176</v>
      </c>
      <c r="M19" s="431" t="s">
        <v>177</v>
      </c>
    </row>
    <row r="20" spans="1:13" x14ac:dyDescent="0.2">
      <c r="A20" s="431" t="s">
        <v>172</v>
      </c>
      <c r="B20" s="431">
        <v>1870407</v>
      </c>
      <c r="C20" s="431" t="s">
        <v>159</v>
      </c>
      <c r="D20" s="431" t="s">
        <v>173</v>
      </c>
      <c r="E20" s="431" t="s">
        <v>161</v>
      </c>
      <c r="F20" s="431" t="s">
        <v>174</v>
      </c>
      <c r="G20" s="431" t="s">
        <v>175</v>
      </c>
      <c r="H20" s="431"/>
      <c r="I20" s="431"/>
      <c r="J20" s="431"/>
      <c r="K20" s="431"/>
      <c r="L20" s="431" t="s">
        <v>176</v>
      </c>
      <c r="M20" s="431" t="s">
        <v>177</v>
      </c>
    </row>
    <row r="21" spans="1:13" x14ac:dyDescent="0.2">
      <c r="A21" s="431" t="s">
        <v>172</v>
      </c>
      <c r="B21" s="431">
        <v>1870407</v>
      </c>
      <c r="C21" s="431" t="s">
        <v>159</v>
      </c>
      <c r="D21" s="431" t="s">
        <v>173</v>
      </c>
      <c r="E21" s="431" t="s">
        <v>161</v>
      </c>
      <c r="F21" s="431" t="s">
        <v>174</v>
      </c>
      <c r="G21" s="431" t="s">
        <v>175</v>
      </c>
      <c r="H21" s="431"/>
      <c r="I21" s="431"/>
      <c r="J21" s="431"/>
      <c r="K21" s="431"/>
      <c r="L21" s="431" t="s">
        <v>176</v>
      </c>
      <c r="M21" s="431" t="s">
        <v>177</v>
      </c>
    </row>
    <row r="22" spans="1:13" x14ac:dyDescent="0.2">
      <c r="A22" s="431" t="s">
        <v>172</v>
      </c>
      <c r="B22" s="431">
        <v>1870407</v>
      </c>
      <c r="C22" s="431" t="s">
        <v>159</v>
      </c>
      <c r="D22" s="431" t="s">
        <v>173</v>
      </c>
      <c r="E22" s="431" t="s">
        <v>161</v>
      </c>
      <c r="F22" s="431" t="s">
        <v>174</v>
      </c>
      <c r="G22" s="431" t="s">
        <v>175</v>
      </c>
      <c r="H22" s="431"/>
      <c r="I22" s="431"/>
      <c r="J22" s="431"/>
      <c r="K22" s="431"/>
      <c r="L22" s="431" t="s">
        <v>176</v>
      </c>
      <c r="M22" s="431" t="s">
        <v>177</v>
      </c>
    </row>
    <row r="23" spans="1:13" x14ac:dyDescent="0.2">
      <c r="A23" s="431" t="s">
        <v>172</v>
      </c>
      <c r="B23" s="431">
        <v>1870407</v>
      </c>
      <c r="C23" s="431" t="s">
        <v>159</v>
      </c>
      <c r="D23" s="431" t="s">
        <v>173</v>
      </c>
      <c r="E23" s="431" t="s">
        <v>161</v>
      </c>
      <c r="F23" s="431" t="s">
        <v>174</v>
      </c>
      <c r="G23" s="431" t="s">
        <v>175</v>
      </c>
      <c r="H23" s="431"/>
      <c r="I23" s="431"/>
      <c r="J23" s="431"/>
      <c r="K23" s="431"/>
      <c r="L23" s="431" t="s">
        <v>176</v>
      </c>
      <c r="M23" s="431" t="s">
        <v>177</v>
      </c>
    </row>
    <row r="24" spans="1:13" x14ac:dyDescent="0.2">
      <c r="A24" s="431" t="s">
        <v>172</v>
      </c>
      <c r="B24" s="431">
        <v>1870407</v>
      </c>
      <c r="C24" s="431" t="s">
        <v>159</v>
      </c>
      <c r="D24" s="431" t="s">
        <v>173</v>
      </c>
      <c r="E24" s="431" t="s">
        <v>161</v>
      </c>
      <c r="F24" s="431" t="s">
        <v>174</v>
      </c>
      <c r="G24" s="431" t="s">
        <v>175</v>
      </c>
      <c r="H24" s="431"/>
      <c r="I24" s="431"/>
      <c r="J24" s="431"/>
      <c r="K24" s="431"/>
      <c r="L24" s="431" t="s">
        <v>176</v>
      </c>
      <c r="M24" s="431" t="s">
        <v>177</v>
      </c>
    </row>
    <row r="25" spans="1:13" x14ac:dyDescent="0.2">
      <c r="A25" s="431" t="s">
        <v>172</v>
      </c>
      <c r="B25" s="431">
        <v>1870407</v>
      </c>
      <c r="C25" s="431" t="s">
        <v>159</v>
      </c>
      <c r="D25" s="431" t="s">
        <v>173</v>
      </c>
      <c r="E25" s="431" t="s">
        <v>161</v>
      </c>
      <c r="F25" s="431" t="s">
        <v>174</v>
      </c>
      <c r="G25" s="431" t="s">
        <v>175</v>
      </c>
      <c r="H25" s="431"/>
      <c r="I25" s="431"/>
      <c r="J25" s="431"/>
      <c r="K25" s="431"/>
      <c r="L25" s="431" t="s">
        <v>176</v>
      </c>
      <c r="M25" s="431" t="s">
        <v>177</v>
      </c>
    </row>
    <row r="26" spans="1:13" x14ac:dyDescent="0.2">
      <c r="A26" s="431" t="s">
        <v>172</v>
      </c>
      <c r="B26" s="431">
        <v>1870407</v>
      </c>
      <c r="C26" s="431" t="s">
        <v>159</v>
      </c>
      <c r="D26" s="431" t="s">
        <v>173</v>
      </c>
      <c r="E26" s="431" t="s">
        <v>161</v>
      </c>
      <c r="F26" s="431" t="s">
        <v>174</v>
      </c>
      <c r="G26" s="431" t="s">
        <v>175</v>
      </c>
      <c r="H26" s="431"/>
      <c r="I26" s="431"/>
      <c r="J26" s="431"/>
      <c r="K26" s="431"/>
      <c r="L26" s="431" t="s">
        <v>176</v>
      </c>
      <c r="M26" s="431" t="s">
        <v>177</v>
      </c>
    </row>
    <row r="27" spans="1:13" x14ac:dyDescent="0.2">
      <c r="A27" s="431" t="s">
        <v>172</v>
      </c>
      <c r="B27" s="431">
        <v>1870407</v>
      </c>
      <c r="C27" s="431" t="s">
        <v>159</v>
      </c>
      <c r="D27" s="431" t="s">
        <v>173</v>
      </c>
      <c r="E27" s="431" t="s">
        <v>161</v>
      </c>
      <c r="F27" s="431" t="s">
        <v>178</v>
      </c>
      <c r="G27" s="431" t="s">
        <v>175</v>
      </c>
      <c r="H27" s="431"/>
      <c r="I27" s="431"/>
      <c r="J27" s="431"/>
      <c r="K27" s="431"/>
      <c r="L27" s="431" t="s">
        <v>176</v>
      </c>
      <c r="M27" s="431" t="s">
        <v>177</v>
      </c>
    </row>
    <row r="28" spans="1:13" x14ac:dyDescent="0.2">
      <c r="A28" s="431" t="s">
        <v>172</v>
      </c>
      <c r="B28" s="431">
        <v>1870407</v>
      </c>
      <c r="C28" s="431" t="s">
        <v>159</v>
      </c>
      <c r="D28" s="431" t="s">
        <v>173</v>
      </c>
      <c r="E28" s="431" t="s">
        <v>161</v>
      </c>
      <c r="F28" s="431" t="s">
        <v>178</v>
      </c>
      <c r="G28" s="431" t="s">
        <v>175</v>
      </c>
      <c r="H28" s="431"/>
      <c r="I28" s="431"/>
      <c r="J28" s="431"/>
      <c r="K28" s="431"/>
      <c r="L28" s="431" t="s">
        <v>176</v>
      </c>
      <c r="M28" s="431" t="s">
        <v>177</v>
      </c>
    </row>
    <row r="29" spans="1:13" x14ac:dyDescent="0.2">
      <c r="A29" s="431" t="s">
        <v>172</v>
      </c>
      <c r="B29" s="431">
        <v>1870407</v>
      </c>
      <c r="C29" s="431" t="s">
        <v>159</v>
      </c>
      <c r="D29" s="431" t="s">
        <v>173</v>
      </c>
      <c r="E29" s="431" t="s">
        <v>161</v>
      </c>
      <c r="F29" s="431" t="s">
        <v>178</v>
      </c>
      <c r="G29" s="431" t="s">
        <v>175</v>
      </c>
      <c r="H29" s="431"/>
      <c r="I29" s="431"/>
      <c r="J29" s="431"/>
      <c r="K29" s="431"/>
      <c r="L29" s="431" t="s">
        <v>176</v>
      </c>
      <c r="M29" s="431" t="s">
        <v>177</v>
      </c>
    </row>
    <row r="30" spans="1:13" x14ac:dyDescent="0.2">
      <c r="A30" s="431" t="s">
        <v>172</v>
      </c>
      <c r="B30" s="431">
        <v>1870407</v>
      </c>
      <c r="C30" s="431" t="s">
        <v>159</v>
      </c>
      <c r="D30" s="431" t="s">
        <v>173</v>
      </c>
      <c r="E30" s="431" t="s">
        <v>161</v>
      </c>
      <c r="F30" s="431" t="s">
        <v>178</v>
      </c>
      <c r="G30" s="431" t="s">
        <v>175</v>
      </c>
      <c r="H30" s="431"/>
      <c r="I30" s="431"/>
      <c r="J30" s="431"/>
      <c r="K30" s="431"/>
      <c r="L30" s="431" t="s">
        <v>176</v>
      </c>
      <c r="M30" s="431" t="s">
        <v>177</v>
      </c>
    </row>
    <row r="31" spans="1:13" x14ac:dyDescent="0.2">
      <c r="A31" s="431" t="s">
        <v>172</v>
      </c>
      <c r="B31" s="431">
        <v>1870407</v>
      </c>
      <c r="C31" s="431" t="s">
        <v>159</v>
      </c>
      <c r="D31" s="431" t="s">
        <v>173</v>
      </c>
      <c r="E31" s="431" t="s">
        <v>161</v>
      </c>
      <c r="F31" s="431" t="s">
        <v>178</v>
      </c>
      <c r="G31" s="431" t="s">
        <v>175</v>
      </c>
      <c r="H31" s="431"/>
      <c r="I31" s="431"/>
      <c r="J31" s="431"/>
      <c r="K31" s="431"/>
      <c r="L31" s="431" t="s">
        <v>176</v>
      </c>
      <c r="M31" s="431" t="s">
        <v>177</v>
      </c>
    </row>
    <row r="32" spans="1:13" x14ac:dyDescent="0.2">
      <c r="A32" s="431" t="s">
        <v>172</v>
      </c>
      <c r="B32" s="431">
        <v>1870407</v>
      </c>
      <c r="C32" s="431" t="s">
        <v>159</v>
      </c>
      <c r="D32" s="431" t="s">
        <v>173</v>
      </c>
      <c r="E32" s="431" t="s">
        <v>161</v>
      </c>
      <c r="F32" s="431" t="s">
        <v>178</v>
      </c>
      <c r="G32" s="431" t="s">
        <v>175</v>
      </c>
      <c r="H32" s="431"/>
      <c r="I32" s="431"/>
      <c r="J32" s="431"/>
      <c r="K32" s="431"/>
      <c r="L32" s="431" t="s">
        <v>176</v>
      </c>
      <c r="M32" s="431" t="s">
        <v>177</v>
      </c>
    </row>
    <row r="33" spans="1:13" x14ac:dyDescent="0.2">
      <c r="A33" s="431" t="s">
        <v>172</v>
      </c>
      <c r="B33" s="431">
        <v>1870407</v>
      </c>
      <c r="C33" s="431" t="s">
        <v>159</v>
      </c>
      <c r="D33" s="431" t="s">
        <v>173</v>
      </c>
      <c r="E33" s="431" t="s">
        <v>161</v>
      </c>
      <c r="F33" s="431" t="s">
        <v>178</v>
      </c>
      <c r="G33" s="431" t="s">
        <v>175</v>
      </c>
      <c r="H33" s="431"/>
      <c r="I33" s="431"/>
      <c r="J33" s="431"/>
      <c r="K33" s="431"/>
      <c r="L33" s="431" t="s">
        <v>176</v>
      </c>
      <c r="M33" s="431" t="s">
        <v>177</v>
      </c>
    </row>
    <row r="34" spans="1:13" x14ac:dyDescent="0.2">
      <c r="A34" s="431" t="s">
        <v>172</v>
      </c>
      <c r="B34" s="431">
        <v>1870407</v>
      </c>
      <c r="C34" s="431" t="s">
        <v>159</v>
      </c>
      <c r="D34" s="431" t="s">
        <v>173</v>
      </c>
      <c r="E34" s="431" t="s">
        <v>161</v>
      </c>
      <c r="F34" s="431" t="s">
        <v>178</v>
      </c>
      <c r="G34" s="431" t="s">
        <v>175</v>
      </c>
      <c r="H34" s="431"/>
      <c r="I34" s="431"/>
      <c r="J34" s="431"/>
      <c r="K34" s="431"/>
      <c r="L34" s="431" t="s">
        <v>176</v>
      </c>
      <c r="M34" s="431" t="s">
        <v>177</v>
      </c>
    </row>
    <row r="35" spans="1:13" x14ac:dyDescent="0.2">
      <c r="A35" s="431" t="s">
        <v>172</v>
      </c>
      <c r="B35" s="431">
        <v>1870407</v>
      </c>
      <c r="C35" s="431" t="s">
        <v>159</v>
      </c>
      <c r="D35" s="431" t="s">
        <v>173</v>
      </c>
      <c r="E35" s="431" t="s">
        <v>161</v>
      </c>
      <c r="F35" s="431" t="s">
        <v>178</v>
      </c>
      <c r="G35" s="431" t="s">
        <v>175</v>
      </c>
      <c r="H35" s="431"/>
      <c r="I35" s="431"/>
      <c r="J35" s="431"/>
      <c r="K35" s="431"/>
      <c r="L35" s="431" t="s">
        <v>176</v>
      </c>
      <c r="M35" s="431" t="s">
        <v>177</v>
      </c>
    </row>
    <row r="36" spans="1:13" x14ac:dyDescent="0.2">
      <c r="A36" s="431" t="s">
        <v>172</v>
      </c>
      <c r="B36" s="431">
        <v>1870407</v>
      </c>
      <c r="C36" s="431" t="s">
        <v>159</v>
      </c>
      <c r="D36" s="431" t="s">
        <v>173</v>
      </c>
      <c r="E36" s="431" t="s">
        <v>161</v>
      </c>
      <c r="F36" s="431" t="s">
        <v>178</v>
      </c>
      <c r="G36" s="431" t="s">
        <v>175</v>
      </c>
      <c r="H36" s="431"/>
      <c r="I36" s="431"/>
      <c r="J36" s="431"/>
      <c r="K36" s="431"/>
      <c r="L36" s="431" t="s">
        <v>176</v>
      </c>
      <c r="M36" s="431" t="s">
        <v>177</v>
      </c>
    </row>
    <row r="37" spans="1:13" x14ac:dyDescent="0.2">
      <c r="A37" s="431" t="s">
        <v>172</v>
      </c>
      <c r="B37" s="431">
        <v>1870407</v>
      </c>
      <c r="C37" s="431" t="s">
        <v>159</v>
      </c>
      <c r="D37" s="431" t="s">
        <v>173</v>
      </c>
      <c r="E37" s="431" t="s">
        <v>161</v>
      </c>
      <c r="F37" s="431" t="s">
        <v>178</v>
      </c>
      <c r="G37" s="431" t="s">
        <v>175</v>
      </c>
      <c r="H37" s="431"/>
      <c r="I37" s="431"/>
      <c r="J37" s="431"/>
      <c r="K37" s="431"/>
      <c r="L37" s="431" t="s">
        <v>176</v>
      </c>
      <c r="M37" s="431" t="s">
        <v>177</v>
      </c>
    </row>
    <row r="38" spans="1:13" x14ac:dyDescent="0.2">
      <c r="A38" s="431" t="s">
        <v>172</v>
      </c>
      <c r="B38" s="431">
        <v>1870407</v>
      </c>
      <c r="C38" s="431" t="s">
        <v>159</v>
      </c>
      <c r="D38" s="431" t="s">
        <v>173</v>
      </c>
      <c r="E38" s="431" t="s">
        <v>161</v>
      </c>
      <c r="F38" s="431" t="s">
        <v>178</v>
      </c>
      <c r="G38" s="431" t="s">
        <v>175</v>
      </c>
      <c r="H38" s="431"/>
      <c r="I38" s="431"/>
      <c r="J38" s="431"/>
      <c r="K38" s="431"/>
      <c r="L38" s="431" t="s">
        <v>176</v>
      </c>
      <c r="M38" s="431" t="s">
        <v>177</v>
      </c>
    </row>
    <row r="39" spans="1:13" x14ac:dyDescent="0.2">
      <c r="A39" s="431" t="s">
        <v>172</v>
      </c>
      <c r="B39" s="431">
        <v>1870407</v>
      </c>
      <c r="C39" s="431" t="s">
        <v>159</v>
      </c>
      <c r="D39" s="431" t="s">
        <v>173</v>
      </c>
      <c r="E39" s="431" t="s">
        <v>161</v>
      </c>
      <c r="F39" s="431" t="s">
        <v>178</v>
      </c>
      <c r="G39" s="431" t="s">
        <v>175</v>
      </c>
      <c r="H39" s="431"/>
      <c r="I39" s="431"/>
      <c r="J39" s="431"/>
      <c r="K39" s="431"/>
      <c r="L39" s="431" t="s">
        <v>176</v>
      </c>
      <c r="M39" s="431" t="s">
        <v>177</v>
      </c>
    </row>
    <row r="40" spans="1:13" x14ac:dyDescent="0.2">
      <c r="A40" s="431" t="s">
        <v>172</v>
      </c>
      <c r="B40" s="431">
        <v>1870407</v>
      </c>
      <c r="C40" s="431" t="s">
        <v>159</v>
      </c>
      <c r="D40" s="431" t="s">
        <v>173</v>
      </c>
      <c r="E40" s="431" t="s">
        <v>161</v>
      </c>
      <c r="F40" s="431" t="s">
        <v>178</v>
      </c>
      <c r="G40" s="431" t="s">
        <v>175</v>
      </c>
      <c r="H40" s="431"/>
      <c r="I40" s="431"/>
      <c r="J40" s="431"/>
      <c r="K40" s="431"/>
      <c r="L40" s="431" t="s">
        <v>176</v>
      </c>
      <c r="M40" s="431" t="s">
        <v>177</v>
      </c>
    </row>
    <row r="41" spans="1:13" x14ac:dyDescent="0.2">
      <c r="A41" s="431" t="s">
        <v>172</v>
      </c>
      <c r="B41" s="431">
        <v>1870407</v>
      </c>
      <c r="C41" s="431" t="s">
        <v>159</v>
      </c>
      <c r="D41" s="431" t="s">
        <v>173</v>
      </c>
      <c r="E41" s="431" t="s">
        <v>161</v>
      </c>
      <c r="F41" s="431" t="s">
        <v>178</v>
      </c>
      <c r="G41" s="431" t="s">
        <v>175</v>
      </c>
      <c r="H41" s="431"/>
      <c r="I41" s="431"/>
      <c r="J41" s="431"/>
      <c r="K41" s="431"/>
      <c r="L41" s="431" t="s">
        <v>176</v>
      </c>
      <c r="M41" s="431" t="s">
        <v>177</v>
      </c>
    </row>
    <row r="42" spans="1:13" x14ac:dyDescent="0.2">
      <c r="A42" s="431" t="s">
        <v>172</v>
      </c>
      <c r="B42" s="431">
        <v>1870407</v>
      </c>
      <c r="C42" s="431" t="s">
        <v>159</v>
      </c>
      <c r="D42" s="431" t="s">
        <v>173</v>
      </c>
      <c r="E42" s="431" t="s">
        <v>161</v>
      </c>
      <c r="F42" s="431" t="s">
        <v>178</v>
      </c>
      <c r="G42" s="431" t="s">
        <v>175</v>
      </c>
      <c r="H42" s="431"/>
      <c r="I42" s="431"/>
      <c r="J42" s="431"/>
      <c r="K42" s="431"/>
      <c r="L42" s="431" t="s">
        <v>176</v>
      </c>
      <c r="M42" s="431" t="s">
        <v>177</v>
      </c>
    </row>
    <row r="43" spans="1:13" x14ac:dyDescent="0.2">
      <c r="A43" s="431" t="s">
        <v>172</v>
      </c>
      <c r="B43" s="431">
        <v>1870407</v>
      </c>
      <c r="C43" s="431" t="s">
        <v>159</v>
      </c>
      <c r="D43" s="431" t="s">
        <v>173</v>
      </c>
      <c r="E43" s="431" t="s">
        <v>161</v>
      </c>
      <c r="F43" s="431" t="s">
        <v>178</v>
      </c>
      <c r="G43" s="431" t="s">
        <v>175</v>
      </c>
      <c r="H43" s="431"/>
      <c r="I43" s="431"/>
      <c r="J43" s="431"/>
      <c r="K43" s="431"/>
      <c r="L43" s="431" t="s">
        <v>176</v>
      </c>
      <c r="M43" s="431" t="s">
        <v>177</v>
      </c>
    </row>
    <row r="44" spans="1:13" x14ac:dyDescent="0.2">
      <c r="A44" s="431" t="s">
        <v>172</v>
      </c>
      <c r="B44" s="431">
        <v>1870407</v>
      </c>
      <c r="C44" s="431" t="s">
        <v>159</v>
      </c>
      <c r="D44" s="431" t="s">
        <v>173</v>
      </c>
      <c r="E44" s="431" t="s">
        <v>161</v>
      </c>
      <c r="F44" s="431" t="s">
        <v>178</v>
      </c>
      <c r="G44" s="431" t="s">
        <v>175</v>
      </c>
      <c r="H44" s="431"/>
      <c r="I44" s="431"/>
      <c r="J44" s="431"/>
      <c r="K44" s="431"/>
      <c r="L44" s="431" t="s">
        <v>176</v>
      </c>
      <c r="M44" s="431" t="s">
        <v>177</v>
      </c>
    </row>
    <row r="45" spans="1:13" x14ac:dyDescent="0.2">
      <c r="A45" s="431" t="s">
        <v>172</v>
      </c>
      <c r="B45" s="431">
        <v>1870407</v>
      </c>
      <c r="C45" s="431" t="s">
        <v>159</v>
      </c>
      <c r="D45" s="431" t="s">
        <v>173</v>
      </c>
      <c r="E45" s="431" t="s">
        <v>161</v>
      </c>
      <c r="F45" s="431" t="s">
        <v>178</v>
      </c>
      <c r="G45" s="431" t="s">
        <v>175</v>
      </c>
      <c r="H45" s="431"/>
      <c r="I45" s="431"/>
      <c r="J45" s="431"/>
      <c r="K45" s="431"/>
      <c r="L45" s="431" t="s">
        <v>176</v>
      </c>
      <c r="M45" s="431" t="s">
        <v>177</v>
      </c>
    </row>
    <row r="46" spans="1:13" x14ac:dyDescent="0.2">
      <c r="A46" s="431" t="s">
        <v>172</v>
      </c>
      <c r="B46" s="431">
        <v>1870407</v>
      </c>
      <c r="C46" s="431" t="s">
        <v>159</v>
      </c>
      <c r="D46" s="431" t="s">
        <v>173</v>
      </c>
      <c r="E46" s="431" t="s">
        <v>161</v>
      </c>
      <c r="F46" s="431" t="s">
        <v>178</v>
      </c>
      <c r="G46" s="431" t="s">
        <v>175</v>
      </c>
      <c r="H46" s="431"/>
      <c r="I46" s="431"/>
      <c r="J46" s="431"/>
      <c r="K46" s="431"/>
      <c r="L46" s="431" t="s">
        <v>176</v>
      </c>
      <c r="M46" s="431" t="s">
        <v>177</v>
      </c>
    </row>
    <row r="47" spans="1:13" x14ac:dyDescent="0.2">
      <c r="A47" s="431" t="s">
        <v>172</v>
      </c>
      <c r="B47" s="431">
        <v>1870407</v>
      </c>
      <c r="C47" s="431" t="s">
        <v>159</v>
      </c>
      <c r="D47" s="431" t="s">
        <v>173</v>
      </c>
      <c r="E47" s="431" t="s">
        <v>161</v>
      </c>
      <c r="F47" s="431" t="s">
        <v>178</v>
      </c>
      <c r="G47" s="431" t="s">
        <v>175</v>
      </c>
      <c r="H47" s="431"/>
      <c r="I47" s="431"/>
      <c r="J47" s="431"/>
      <c r="K47" s="431"/>
      <c r="L47" s="431" t="s">
        <v>176</v>
      </c>
      <c r="M47" s="431" t="s">
        <v>177</v>
      </c>
    </row>
    <row r="48" spans="1:13" x14ac:dyDescent="0.2">
      <c r="A48" s="431" t="s">
        <v>172</v>
      </c>
      <c r="B48" s="431">
        <v>1870407</v>
      </c>
      <c r="C48" s="431" t="s">
        <v>159</v>
      </c>
      <c r="D48" s="431" t="s">
        <v>173</v>
      </c>
      <c r="E48" s="431" t="s">
        <v>161</v>
      </c>
      <c r="F48" s="431" t="s">
        <v>178</v>
      </c>
      <c r="G48" s="431" t="s">
        <v>175</v>
      </c>
      <c r="H48" s="431"/>
      <c r="I48" s="431"/>
      <c r="J48" s="431"/>
      <c r="K48" s="431"/>
      <c r="L48" s="431" t="s">
        <v>176</v>
      </c>
      <c r="M48" s="431" t="s">
        <v>177</v>
      </c>
    </row>
    <row r="49" spans="1:13" x14ac:dyDescent="0.2">
      <c r="A49" s="431" t="s">
        <v>172</v>
      </c>
      <c r="B49" s="431">
        <v>1870407</v>
      </c>
      <c r="C49" s="431" t="s">
        <v>159</v>
      </c>
      <c r="D49" s="431" t="s">
        <v>173</v>
      </c>
      <c r="E49" s="431" t="s">
        <v>161</v>
      </c>
      <c r="F49" s="431" t="s">
        <v>178</v>
      </c>
      <c r="G49" s="431" t="s">
        <v>175</v>
      </c>
      <c r="H49" s="431"/>
      <c r="I49" s="431"/>
      <c r="J49" s="431"/>
      <c r="K49" s="431"/>
      <c r="L49" s="431" t="s">
        <v>176</v>
      </c>
      <c r="M49" s="431" t="s">
        <v>177</v>
      </c>
    </row>
    <row r="50" spans="1:13" x14ac:dyDescent="0.2">
      <c r="A50" s="431" t="s">
        <v>172</v>
      </c>
      <c r="B50" s="431">
        <v>1870407</v>
      </c>
      <c r="C50" s="431" t="s">
        <v>159</v>
      </c>
      <c r="D50" s="431" t="s">
        <v>173</v>
      </c>
      <c r="E50" s="431" t="s">
        <v>161</v>
      </c>
      <c r="F50" s="431" t="s">
        <v>178</v>
      </c>
      <c r="G50" s="431" t="s">
        <v>175</v>
      </c>
      <c r="H50" s="431"/>
      <c r="I50" s="431"/>
      <c r="J50" s="431"/>
      <c r="K50" s="431"/>
      <c r="L50" s="431" t="s">
        <v>176</v>
      </c>
      <c r="M50" s="431" t="s">
        <v>177</v>
      </c>
    </row>
    <row r="51" spans="1:13" x14ac:dyDescent="0.2">
      <c r="A51" s="431" t="s">
        <v>172</v>
      </c>
      <c r="B51" s="431">
        <v>1870407</v>
      </c>
      <c r="C51" s="431" t="s">
        <v>159</v>
      </c>
      <c r="D51" s="431" t="s">
        <v>173</v>
      </c>
      <c r="E51" s="431" t="s">
        <v>161</v>
      </c>
      <c r="F51" s="431" t="s">
        <v>178</v>
      </c>
      <c r="G51" s="431" t="s">
        <v>175</v>
      </c>
      <c r="H51" s="431"/>
      <c r="I51" s="431"/>
      <c r="J51" s="431"/>
      <c r="K51" s="431"/>
      <c r="L51" s="431" t="s">
        <v>176</v>
      </c>
      <c r="M51" s="431" t="s">
        <v>177</v>
      </c>
    </row>
    <row r="52" spans="1:13" x14ac:dyDescent="0.2">
      <c r="A52" s="431" t="s">
        <v>172</v>
      </c>
      <c r="B52" s="431">
        <v>1870407</v>
      </c>
      <c r="C52" s="431" t="s">
        <v>159</v>
      </c>
      <c r="D52" s="431" t="s">
        <v>173</v>
      </c>
      <c r="E52" s="431" t="s">
        <v>161</v>
      </c>
      <c r="F52" s="431" t="s">
        <v>179</v>
      </c>
      <c r="G52" s="431" t="s">
        <v>175</v>
      </c>
      <c r="H52" s="431"/>
      <c r="I52" s="431"/>
      <c r="J52" s="431"/>
      <c r="K52" s="431"/>
      <c r="L52" s="431" t="s">
        <v>176</v>
      </c>
      <c r="M52" s="431" t="s">
        <v>177</v>
      </c>
    </row>
    <row r="53" spans="1:13" x14ac:dyDescent="0.2">
      <c r="A53" s="431" t="s">
        <v>172</v>
      </c>
      <c r="B53" s="431">
        <v>1870407</v>
      </c>
      <c r="C53" s="431" t="s">
        <v>159</v>
      </c>
      <c r="D53" s="431" t="s">
        <v>173</v>
      </c>
      <c r="E53" s="431" t="s">
        <v>161</v>
      </c>
      <c r="F53" s="431" t="s">
        <v>179</v>
      </c>
      <c r="G53" s="431" t="s">
        <v>175</v>
      </c>
      <c r="H53" s="431"/>
      <c r="I53" s="431"/>
      <c r="J53" s="431"/>
      <c r="K53" s="431"/>
      <c r="L53" s="431" t="s">
        <v>176</v>
      </c>
      <c r="M53" s="431" t="s">
        <v>177</v>
      </c>
    </row>
    <row r="54" spans="1:13" x14ac:dyDescent="0.2">
      <c r="A54" s="431" t="s">
        <v>172</v>
      </c>
      <c r="B54" s="431">
        <v>1870407</v>
      </c>
      <c r="C54" s="431" t="s">
        <v>159</v>
      </c>
      <c r="D54" s="431" t="s">
        <v>173</v>
      </c>
      <c r="E54" s="431" t="s">
        <v>161</v>
      </c>
      <c r="F54" s="431" t="s">
        <v>179</v>
      </c>
      <c r="G54" s="431" t="s">
        <v>175</v>
      </c>
      <c r="H54" s="431"/>
      <c r="I54" s="431"/>
      <c r="J54" s="431"/>
      <c r="K54" s="431"/>
      <c r="L54" s="431" t="s">
        <v>176</v>
      </c>
      <c r="M54" s="431" t="s">
        <v>177</v>
      </c>
    </row>
    <row r="55" spans="1:13" x14ac:dyDescent="0.2">
      <c r="A55" s="431" t="s">
        <v>172</v>
      </c>
      <c r="B55" s="431">
        <v>1870407</v>
      </c>
      <c r="C55" s="431" t="s">
        <v>159</v>
      </c>
      <c r="D55" s="431" t="s">
        <v>173</v>
      </c>
      <c r="E55" s="431" t="s">
        <v>161</v>
      </c>
      <c r="F55" s="431" t="s">
        <v>179</v>
      </c>
      <c r="G55" s="431" t="s">
        <v>175</v>
      </c>
      <c r="H55" s="431"/>
      <c r="I55" s="431"/>
      <c r="J55" s="431"/>
      <c r="K55" s="431"/>
      <c r="L55" s="431" t="s">
        <v>176</v>
      </c>
      <c r="M55" s="431" t="s">
        <v>177</v>
      </c>
    </row>
    <row r="56" spans="1:13" x14ac:dyDescent="0.2">
      <c r="A56" s="431" t="s">
        <v>172</v>
      </c>
      <c r="B56" s="431">
        <v>1870407</v>
      </c>
      <c r="C56" s="431" t="s">
        <v>159</v>
      </c>
      <c r="D56" s="431" t="s">
        <v>173</v>
      </c>
      <c r="E56" s="431" t="s">
        <v>161</v>
      </c>
      <c r="F56" s="431" t="s">
        <v>179</v>
      </c>
      <c r="G56" s="431" t="s">
        <v>175</v>
      </c>
      <c r="H56" s="431"/>
      <c r="I56" s="431"/>
      <c r="J56" s="431"/>
      <c r="K56" s="431"/>
      <c r="L56" s="431" t="s">
        <v>176</v>
      </c>
      <c r="M56" s="431" t="s">
        <v>177</v>
      </c>
    </row>
    <row r="57" spans="1:13" x14ac:dyDescent="0.2">
      <c r="A57" s="431" t="s">
        <v>172</v>
      </c>
      <c r="B57" s="431">
        <v>1870407</v>
      </c>
      <c r="C57" s="431" t="s">
        <v>159</v>
      </c>
      <c r="D57" s="431" t="s">
        <v>173</v>
      </c>
      <c r="E57" s="431" t="s">
        <v>161</v>
      </c>
      <c r="F57" s="431" t="s">
        <v>179</v>
      </c>
      <c r="G57" s="431" t="s">
        <v>175</v>
      </c>
      <c r="H57" s="431"/>
      <c r="I57" s="431"/>
      <c r="J57" s="431"/>
      <c r="K57" s="431"/>
      <c r="L57" s="431" t="s">
        <v>176</v>
      </c>
      <c r="M57" s="431" t="s">
        <v>177</v>
      </c>
    </row>
    <row r="58" spans="1:13" x14ac:dyDescent="0.2">
      <c r="A58" s="431" t="s">
        <v>172</v>
      </c>
      <c r="B58" s="431">
        <v>1870407</v>
      </c>
      <c r="C58" s="431" t="s">
        <v>159</v>
      </c>
      <c r="D58" s="431" t="s">
        <v>173</v>
      </c>
      <c r="E58" s="431" t="s">
        <v>161</v>
      </c>
      <c r="F58" s="431" t="s">
        <v>179</v>
      </c>
      <c r="G58" s="431" t="s">
        <v>175</v>
      </c>
      <c r="H58" s="431"/>
      <c r="I58" s="431"/>
      <c r="J58" s="431"/>
      <c r="K58" s="431"/>
      <c r="L58" s="431" t="s">
        <v>176</v>
      </c>
      <c r="M58" s="431" t="s">
        <v>177</v>
      </c>
    </row>
    <row r="59" spans="1:13" x14ac:dyDescent="0.2">
      <c r="A59" s="431" t="s">
        <v>172</v>
      </c>
      <c r="B59" s="431">
        <v>1870407</v>
      </c>
      <c r="C59" s="431" t="s">
        <v>159</v>
      </c>
      <c r="D59" s="431" t="s">
        <v>173</v>
      </c>
      <c r="E59" s="431" t="s">
        <v>161</v>
      </c>
      <c r="F59" s="431" t="s">
        <v>179</v>
      </c>
      <c r="G59" s="431" t="s">
        <v>175</v>
      </c>
      <c r="H59" s="431"/>
      <c r="I59" s="431"/>
      <c r="J59" s="431"/>
      <c r="K59" s="431"/>
      <c r="L59" s="431" t="s">
        <v>176</v>
      </c>
      <c r="M59" s="431" t="s">
        <v>177</v>
      </c>
    </row>
    <row r="60" spans="1:13" x14ac:dyDescent="0.2">
      <c r="A60" s="431" t="s">
        <v>172</v>
      </c>
      <c r="B60" s="431">
        <v>1870407</v>
      </c>
      <c r="C60" s="431" t="s">
        <v>159</v>
      </c>
      <c r="D60" s="431" t="s">
        <v>173</v>
      </c>
      <c r="E60" s="431" t="s">
        <v>161</v>
      </c>
      <c r="F60" s="431" t="s">
        <v>179</v>
      </c>
      <c r="G60" s="431" t="s">
        <v>175</v>
      </c>
      <c r="H60" s="431"/>
      <c r="I60" s="431"/>
      <c r="J60" s="431"/>
      <c r="K60" s="431"/>
      <c r="L60" s="431" t="s">
        <v>176</v>
      </c>
      <c r="M60" s="431" t="s">
        <v>177</v>
      </c>
    </row>
    <row r="61" spans="1:13" x14ac:dyDescent="0.2">
      <c r="A61" s="431" t="s">
        <v>172</v>
      </c>
      <c r="B61" s="431">
        <v>1870407</v>
      </c>
      <c r="C61" s="431" t="s">
        <v>159</v>
      </c>
      <c r="D61" s="431" t="s">
        <v>173</v>
      </c>
      <c r="E61" s="431" t="s">
        <v>161</v>
      </c>
      <c r="F61" s="431" t="s">
        <v>179</v>
      </c>
      <c r="G61" s="431" t="s">
        <v>175</v>
      </c>
      <c r="H61" s="431"/>
      <c r="I61" s="431"/>
      <c r="J61" s="431"/>
      <c r="K61" s="431"/>
      <c r="L61" s="431" t="s">
        <v>176</v>
      </c>
      <c r="M61" s="431" t="s">
        <v>177</v>
      </c>
    </row>
    <row r="62" spans="1:13" x14ac:dyDescent="0.2">
      <c r="A62" s="431" t="s">
        <v>172</v>
      </c>
      <c r="B62" s="431">
        <v>1870407</v>
      </c>
      <c r="C62" s="431" t="s">
        <v>159</v>
      </c>
      <c r="D62" s="431" t="s">
        <v>173</v>
      </c>
      <c r="E62" s="431" t="s">
        <v>161</v>
      </c>
      <c r="F62" s="431" t="s">
        <v>179</v>
      </c>
      <c r="G62" s="431" t="s">
        <v>175</v>
      </c>
      <c r="H62" s="431"/>
      <c r="I62" s="431"/>
      <c r="J62" s="431"/>
      <c r="K62" s="431"/>
      <c r="L62" s="431" t="s">
        <v>176</v>
      </c>
      <c r="M62" s="431" t="s">
        <v>177</v>
      </c>
    </row>
    <row r="63" spans="1:13" x14ac:dyDescent="0.2">
      <c r="A63" s="431" t="s">
        <v>172</v>
      </c>
      <c r="B63" s="431">
        <v>1870407</v>
      </c>
      <c r="C63" s="431" t="s">
        <v>159</v>
      </c>
      <c r="D63" s="431" t="s">
        <v>173</v>
      </c>
      <c r="E63" s="431" t="s">
        <v>161</v>
      </c>
      <c r="F63" s="431" t="s">
        <v>179</v>
      </c>
      <c r="G63" s="431" t="s">
        <v>175</v>
      </c>
      <c r="H63" s="431"/>
      <c r="I63" s="431"/>
      <c r="J63" s="431"/>
      <c r="K63" s="431"/>
      <c r="L63" s="431" t="s">
        <v>176</v>
      </c>
      <c r="M63" s="431" t="s">
        <v>177</v>
      </c>
    </row>
    <row r="64" spans="1:13" x14ac:dyDescent="0.2">
      <c r="A64" s="431" t="s">
        <v>172</v>
      </c>
      <c r="B64" s="431">
        <v>1870407</v>
      </c>
      <c r="C64" s="431" t="s">
        <v>159</v>
      </c>
      <c r="D64" s="431" t="s">
        <v>173</v>
      </c>
      <c r="E64" s="431" t="s">
        <v>161</v>
      </c>
      <c r="F64" s="431" t="s">
        <v>179</v>
      </c>
      <c r="G64" s="431" t="s">
        <v>175</v>
      </c>
      <c r="H64" s="431"/>
      <c r="I64" s="431"/>
      <c r="J64" s="431"/>
      <c r="K64" s="431"/>
      <c r="L64" s="431" t="s">
        <v>176</v>
      </c>
      <c r="M64" s="431" t="s">
        <v>177</v>
      </c>
    </row>
    <row r="65" spans="1:13" x14ac:dyDescent="0.2">
      <c r="A65" s="431" t="s">
        <v>172</v>
      </c>
      <c r="B65" s="431">
        <v>1870407</v>
      </c>
      <c r="C65" s="431" t="s">
        <v>159</v>
      </c>
      <c r="D65" s="431" t="s">
        <v>173</v>
      </c>
      <c r="E65" s="431" t="s">
        <v>161</v>
      </c>
      <c r="F65" s="431" t="s">
        <v>179</v>
      </c>
      <c r="G65" s="431" t="s">
        <v>175</v>
      </c>
      <c r="H65" s="431"/>
      <c r="I65" s="431"/>
      <c r="J65" s="431"/>
      <c r="K65" s="431"/>
      <c r="L65" s="431" t="s">
        <v>176</v>
      </c>
      <c r="M65" s="431" t="s">
        <v>177</v>
      </c>
    </row>
    <row r="66" spans="1:13" x14ac:dyDescent="0.2">
      <c r="A66" s="431" t="s">
        <v>172</v>
      </c>
      <c r="B66" s="431">
        <v>1870407</v>
      </c>
      <c r="C66" s="431" t="s">
        <v>159</v>
      </c>
      <c r="D66" s="431" t="s">
        <v>173</v>
      </c>
      <c r="E66" s="431" t="s">
        <v>161</v>
      </c>
      <c r="F66" s="431" t="s">
        <v>179</v>
      </c>
      <c r="G66" s="431" t="s">
        <v>175</v>
      </c>
      <c r="H66" s="431"/>
      <c r="I66" s="431"/>
      <c r="J66" s="431"/>
      <c r="K66" s="431"/>
      <c r="L66" s="431" t="s">
        <v>176</v>
      </c>
      <c r="M66" s="431" t="s">
        <v>177</v>
      </c>
    </row>
    <row r="67" spans="1:13" x14ac:dyDescent="0.2">
      <c r="A67" s="431" t="s">
        <v>172</v>
      </c>
      <c r="B67" s="431">
        <v>1870407</v>
      </c>
      <c r="C67" s="431" t="s">
        <v>159</v>
      </c>
      <c r="D67" s="431" t="s">
        <v>173</v>
      </c>
      <c r="E67" s="431" t="s">
        <v>161</v>
      </c>
      <c r="F67" s="431" t="s">
        <v>179</v>
      </c>
      <c r="G67" s="431" t="s">
        <v>175</v>
      </c>
      <c r="H67" s="431"/>
      <c r="I67" s="431"/>
      <c r="J67" s="431"/>
      <c r="K67" s="431"/>
      <c r="L67" s="431" t="s">
        <v>176</v>
      </c>
      <c r="M67" s="431" t="s">
        <v>177</v>
      </c>
    </row>
    <row r="68" spans="1:13" x14ac:dyDescent="0.2">
      <c r="A68" s="431" t="s">
        <v>172</v>
      </c>
      <c r="B68" s="431">
        <v>1870407</v>
      </c>
      <c r="C68" s="431" t="s">
        <v>159</v>
      </c>
      <c r="D68" s="431" t="s">
        <v>173</v>
      </c>
      <c r="E68" s="431" t="s">
        <v>161</v>
      </c>
      <c r="F68" s="431" t="s">
        <v>179</v>
      </c>
      <c r="G68" s="431" t="s">
        <v>175</v>
      </c>
      <c r="H68" s="431"/>
      <c r="I68" s="431"/>
      <c r="J68" s="431"/>
      <c r="K68" s="431"/>
      <c r="L68" s="431" t="s">
        <v>176</v>
      </c>
      <c r="M68" s="431" t="s">
        <v>177</v>
      </c>
    </row>
    <row r="69" spans="1:13" x14ac:dyDescent="0.2">
      <c r="A69" s="431" t="s">
        <v>172</v>
      </c>
      <c r="B69" s="431">
        <v>1870407</v>
      </c>
      <c r="C69" s="431" t="s">
        <v>159</v>
      </c>
      <c r="D69" s="431" t="s">
        <v>173</v>
      </c>
      <c r="E69" s="431" t="s">
        <v>161</v>
      </c>
      <c r="F69" s="431" t="s">
        <v>179</v>
      </c>
      <c r="G69" s="431" t="s">
        <v>175</v>
      </c>
      <c r="H69" s="431"/>
      <c r="I69" s="431"/>
      <c r="J69" s="431"/>
      <c r="K69" s="431"/>
      <c r="L69" s="431" t="s">
        <v>176</v>
      </c>
      <c r="M69" s="431" t="s">
        <v>177</v>
      </c>
    </row>
    <row r="70" spans="1:13" x14ac:dyDescent="0.2">
      <c r="A70" s="431" t="s">
        <v>172</v>
      </c>
      <c r="B70" s="431">
        <v>1870407</v>
      </c>
      <c r="C70" s="431" t="s">
        <v>159</v>
      </c>
      <c r="D70" s="431" t="s">
        <v>173</v>
      </c>
      <c r="E70" s="431" t="s">
        <v>161</v>
      </c>
      <c r="F70" s="431" t="s">
        <v>179</v>
      </c>
      <c r="G70" s="431" t="s">
        <v>175</v>
      </c>
      <c r="H70" s="431"/>
      <c r="I70" s="431"/>
      <c r="J70" s="431"/>
      <c r="K70" s="431"/>
      <c r="L70" s="431" t="s">
        <v>176</v>
      </c>
      <c r="M70" s="431" t="s">
        <v>177</v>
      </c>
    </row>
    <row r="71" spans="1:13" x14ac:dyDescent="0.2">
      <c r="A71" s="431" t="s">
        <v>172</v>
      </c>
      <c r="B71" s="431">
        <v>1870407</v>
      </c>
      <c r="C71" s="431" t="s">
        <v>159</v>
      </c>
      <c r="D71" s="431" t="s">
        <v>173</v>
      </c>
      <c r="E71" s="431" t="s">
        <v>161</v>
      </c>
      <c r="F71" s="431" t="s">
        <v>179</v>
      </c>
      <c r="G71" s="431" t="s">
        <v>175</v>
      </c>
      <c r="H71" s="431"/>
      <c r="I71" s="431"/>
      <c r="J71" s="431"/>
      <c r="K71" s="431"/>
      <c r="L71" s="431" t="s">
        <v>176</v>
      </c>
      <c r="M71" s="431" t="s">
        <v>177</v>
      </c>
    </row>
    <row r="72" spans="1:13" x14ac:dyDescent="0.2">
      <c r="A72" s="431" t="s">
        <v>172</v>
      </c>
      <c r="B72" s="431">
        <v>1870407</v>
      </c>
      <c r="C72" s="431" t="s">
        <v>159</v>
      </c>
      <c r="D72" s="431" t="s">
        <v>173</v>
      </c>
      <c r="E72" s="431" t="s">
        <v>161</v>
      </c>
      <c r="F72" s="431" t="s">
        <v>179</v>
      </c>
      <c r="G72" s="431" t="s">
        <v>175</v>
      </c>
      <c r="H72" s="431"/>
      <c r="I72" s="431"/>
      <c r="J72" s="431"/>
      <c r="K72" s="431"/>
      <c r="L72" s="431" t="s">
        <v>176</v>
      </c>
      <c r="M72" s="431" t="s">
        <v>177</v>
      </c>
    </row>
    <row r="73" spans="1:13" x14ac:dyDescent="0.2">
      <c r="A73" s="431" t="s">
        <v>172</v>
      </c>
      <c r="B73" s="431">
        <v>1870407</v>
      </c>
      <c r="C73" s="431" t="s">
        <v>159</v>
      </c>
      <c r="D73" s="431" t="s">
        <v>173</v>
      </c>
      <c r="E73" s="431" t="s">
        <v>161</v>
      </c>
      <c r="F73" s="431" t="s">
        <v>179</v>
      </c>
      <c r="G73" s="431" t="s">
        <v>175</v>
      </c>
      <c r="H73" s="431"/>
      <c r="I73" s="431"/>
      <c r="J73" s="431"/>
      <c r="K73" s="431"/>
      <c r="L73" s="431" t="s">
        <v>176</v>
      </c>
      <c r="M73" s="431" t="s">
        <v>177</v>
      </c>
    </row>
    <row r="74" spans="1:13" x14ac:dyDescent="0.2">
      <c r="A74" s="431" t="s">
        <v>172</v>
      </c>
      <c r="B74" s="431">
        <v>1870407</v>
      </c>
      <c r="C74" s="431" t="s">
        <v>159</v>
      </c>
      <c r="D74" s="431" t="s">
        <v>173</v>
      </c>
      <c r="E74" s="431" t="s">
        <v>161</v>
      </c>
      <c r="F74" s="431" t="s">
        <v>179</v>
      </c>
      <c r="G74" s="431" t="s">
        <v>175</v>
      </c>
      <c r="H74" s="431"/>
      <c r="I74" s="431"/>
      <c r="J74" s="431"/>
      <c r="K74" s="431"/>
      <c r="L74" s="431" t="s">
        <v>176</v>
      </c>
      <c r="M74" s="431" t="s">
        <v>177</v>
      </c>
    </row>
    <row r="75" spans="1:13" x14ac:dyDescent="0.2">
      <c r="A75" s="431" t="s">
        <v>172</v>
      </c>
      <c r="B75" s="431">
        <v>1870407</v>
      </c>
      <c r="C75" s="431" t="s">
        <v>159</v>
      </c>
      <c r="D75" s="431" t="s">
        <v>173</v>
      </c>
      <c r="E75" s="431" t="s">
        <v>161</v>
      </c>
      <c r="F75" s="431" t="s">
        <v>179</v>
      </c>
      <c r="G75" s="431" t="s">
        <v>175</v>
      </c>
      <c r="H75" s="431"/>
      <c r="I75" s="431"/>
      <c r="J75" s="431"/>
      <c r="K75" s="431"/>
      <c r="L75" s="431" t="s">
        <v>176</v>
      </c>
      <c r="M75" s="431" t="s">
        <v>177</v>
      </c>
    </row>
    <row r="76" spans="1:13" x14ac:dyDescent="0.2">
      <c r="A76" s="431" t="s">
        <v>172</v>
      </c>
      <c r="B76" s="431">
        <v>1870407</v>
      </c>
      <c r="C76" s="431" t="s">
        <v>159</v>
      </c>
      <c r="D76" s="431" t="s">
        <v>173</v>
      </c>
      <c r="E76" s="431" t="s">
        <v>161</v>
      </c>
      <c r="F76" s="431" t="s">
        <v>179</v>
      </c>
      <c r="G76" s="431" t="s">
        <v>175</v>
      </c>
      <c r="H76" s="431"/>
      <c r="I76" s="431"/>
      <c r="J76" s="431"/>
      <c r="K76" s="431"/>
      <c r="L76" s="431" t="s">
        <v>176</v>
      </c>
      <c r="M76" s="431" t="s">
        <v>177</v>
      </c>
    </row>
    <row r="77" spans="1:13" x14ac:dyDescent="0.2">
      <c r="A77" s="431" t="s">
        <v>172</v>
      </c>
      <c r="B77" s="431">
        <v>1870407</v>
      </c>
      <c r="C77" s="431" t="s">
        <v>159</v>
      </c>
      <c r="D77" s="431" t="s">
        <v>173</v>
      </c>
      <c r="E77" s="431" t="s">
        <v>161</v>
      </c>
      <c r="F77" s="431" t="s">
        <v>179</v>
      </c>
      <c r="G77" s="431" t="s">
        <v>175</v>
      </c>
      <c r="H77" s="431"/>
      <c r="I77" s="431"/>
      <c r="J77" s="431"/>
      <c r="K77" s="431"/>
      <c r="L77" s="431" t="s">
        <v>176</v>
      </c>
      <c r="M77" s="431" t="s">
        <v>177</v>
      </c>
    </row>
    <row r="78" spans="1:13" x14ac:dyDescent="0.2">
      <c r="A78" s="431" t="s">
        <v>172</v>
      </c>
      <c r="B78" s="431">
        <v>1870407</v>
      </c>
      <c r="C78" s="431" t="s">
        <v>159</v>
      </c>
      <c r="D78" s="431" t="s">
        <v>173</v>
      </c>
      <c r="E78" s="431" t="s">
        <v>161</v>
      </c>
      <c r="F78" s="431" t="s">
        <v>179</v>
      </c>
      <c r="G78" s="431" t="s">
        <v>175</v>
      </c>
      <c r="H78" s="431"/>
      <c r="I78" s="431"/>
      <c r="J78" s="431"/>
      <c r="K78" s="431"/>
      <c r="L78" s="431" t="s">
        <v>176</v>
      </c>
      <c r="M78" s="431" t="s">
        <v>177</v>
      </c>
    </row>
    <row r="79" spans="1:13" x14ac:dyDescent="0.2">
      <c r="A79" s="431" t="s">
        <v>172</v>
      </c>
      <c r="B79" s="431">
        <v>1870407</v>
      </c>
      <c r="C79" s="431" t="s">
        <v>159</v>
      </c>
      <c r="D79" s="431" t="s">
        <v>173</v>
      </c>
      <c r="E79" s="431" t="s">
        <v>161</v>
      </c>
      <c r="F79" s="431" t="s">
        <v>179</v>
      </c>
      <c r="G79" s="431" t="s">
        <v>175</v>
      </c>
      <c r="H79" s="431"/>
      <c r="I79" s="431"/>
      <c r="J79" s="431"/>
      <c r="K79" s="431"/>
      <c r="L79" s="431" t="s">
        <v>176</v>
      </c>
      <c r="M79" s="431" t="s">
        <v>177</v>
      </c>
    </row>
    <row r="80" spans="1:13" x14ac:dyDescent="0.2">
      <c r="A80" s="431" t="s">
        <v>172</v>
      </c>
      <c r="B80" s="431">
        <v>1870407</v>
      </c>
      <c r="C80" s="431" t="s">
        <v>159</v>
      </c>
      <c r="D80" s="431" t="s">
        <v>173</v>
      </c>
      <c r="E80" s="431" t="s">
        <v>161</v>
      </c>
      <c r="F80" s="431" t="s">
        <v>179</v>
      </c>
      <c r="G80" s="431" t="s">
        <v>175</v>
      </c>
      <c r="H80" s="431"/>
      <c r="I80" s="431"/>
      <c r="J80" s="431"/>
      <c r="K80" s="431"/>
      <c r="L80" s="431" t="s">
        <v>176</v>
      </c>
      <c r="M80" s="431" t="s">
        <v>177</v>
      </c>
    </row>
    <row r="81" spans="1:13" x14ac:dyDescent="0.2">
      <c r="A81" s="431" t="s">
        <v>172</v>
      </c>
      <c r="B81" s="431">
        <v>1870407</v>
      </c>
      <c r="C81" s="431" t="s">
        <v>159</v>
      </c>
      <c r="D81" s="431" t="s">
        <v>173</v>
      </c>
      <c r="E81" s="431" t="s">
        <v>161</v>
      </c>
      <c r="F81" s="431" t="s">
        <v>179</v>
      </c>
      <c r="G81" s="431" t="s">
        <v>175</v>
      </c>
      <c r="H81" s="431"/>
      <c r="I81" s="431"/>
      <c r="J81" s="431"/>
      <c r="K81" s="431"/>
      <c r="L81" s="431" t="s">
        <v>176</v>
      </c>
      <c r="M81" s="431" t="s">
        <v>177</v>
      </c>
    </row>
    <row r="82" spans="1:13" x14ac:dyDescent="0.2">
      <c r="A82" s="431" t="s">
        <v>172</v>
      </c>
      <c r="B82" s="431">
        <v>1870407</v>
      </c>
      <c r="C82" s="431" t="s">
        <v>159</v>
      </c>
      <c r="D82" s="431" t="s">
        <v>173</v>
      </c>
      <c r="E82" s="431" t="s">
        <v>161</v>
      </c>
      <c r="F82" s="431" t="s">
        <v>179</v>
      </c>
      <c r="G82" s="431" t="s">
        <v>175</v>
      </c>
      <c r="H82" s="431"/>
      <c r="I82" s="431"/>
      <c r="J82" s="431"/>
      <c r="K82" s="431"/>
      <c r="L82" s="431" t="s">
        <v>176</v>
      </c>
      <c r="M82" s="431" t="s">
        <v>177</v>
      </c>
    </row>
    <row r="83" spans="1:13" x14ac:dyDescent="0.2">
      <c r="A83" s="431" t="s">
        <v>172</v>
      </c>
      <c r="B83" s="431">
        <v>1870407</v>
      </c>
      <c r="C83" s="431" t="s">
        <v>159</v>
      </c>
      <c r="D83" s="431" t="s">
        <v>173</v>
      </c>
      <c r="E83" s="431" t="s">
        <v>161</v>
      </c>
      <c r="F83" s="431" t="s">
        <v>179</v>
      </c>
      <c r="G83" s="431" t="s">
        <v>175</v>
      </c>
      <c r="H83" s="431"/>
      <c r="I83" s="431"/>
      <c r="J83" s="431"/>
      <c r="K83" s="431"/>
      <c r="L83" s="431" t="s">
        <v>176</v>
      </c>
      <c r="M83" s="431" t="s">
        <v>177</v>
      </c>
    </row>
    <row r="84" spans="1:13" x14ac:dyDescent="0.2">
      <c r="A84" s="431" t="s">
        <v>172</v>
      </c>
      <c r="B84" s="431">
        <v>1870407</v>
      </c>
      <c r="C84" s="431" t="s">
        <v>159</v>
      </c>
      <c r="D84" s="431" t="s">
        <v>173</v>
      </c>
      <c r="E84" s="431" t="s">
        <v>161</v>
      </c>
      <c r="F84" s="431" t="s">
        <v>179</v>
      </c>
      <c r="G84" s="431" t="s">
        <v>175</v>
      </c>
      <c r="H84" s="431"/>
      <c r="I84" s="431"/>
      <c r="J84" s="431"/>
      <c r="K84" s="431"/>
      <c r="L84" s="431" t="s">
        <v>176</v>
      </c>
      <c r="M84" s="431" t="s">
        <v>177</v>
      </c>
    </row>
    <row r="85" spans="1:13" x14ac:dyDescent="0.2">
      <c r="A85" s="431" t="s">
        <v>172</v>
      </c>
      <c r="B85" s="431">
        <v>1870407</v>
      </c>
      <c r="C85" s="431" t="s">
        <v>159</v>
      </c>
      <c r="D85" s="431" t="s">
        <v>173</v>
      </c>
      <c r="E85" s="431" t="s">
        <v>161</v>
      </c>
      <c r="F85" s="431" t="s">
        <v>179</v>
      </c>
      <c r="G85" s="431" t="s">
        <v>175</v>
      </c>
      <c r="H85" s="431"/>
      <c r="I85" s="431"/>
      <c r="J85" s="431"/>
      <c r="K85" s="431"/>
      <c r="L85" s="431" t="s">
        <v>176</v>
      </c>
      <c r="M85" s="431" t="s">
        <v>177</v>
      </c>
    </row>
    <row r="86" spans="1:13" x14ac:dyDescent="0.2">
      <c r="A86" s="431" t="s">
        <v>172</v>
      </c>
      <c r="B86" s="431">
        <v>1870407</v>
      </c>
      <c r="C86" s="431" t="s">
        <v>159</v>
      </c>
      <c r="D86" s="431" t="s">
        <v>173</v>
      </c>
      <c r="E86" s="431" t="s">
        <v>161</v>
      </c>
      <c r="F86" s="431" t="s">
        <v>179</v>
      </c>
      <c r="G86" s="431" t="s">
        <v>175</v>
      </c>
      <c r="H86" s="431"/>
      <c r="I86" s="431"/>
      <c r="J86" s="431"/>
      <c r="K86" s="431"/>
      <c r="L86" s="431" t="s">
        <v>176</v>
      </c>
      <c r="M86" s="431" t="s">
        <v>177</v>
      </c>
    </row>
    <row r="87" spans="1:13" x14ac:dyDescent="0.2">
      <c r="A87" s="431" t="s">
        <v>172</v>
      </c>
      <c r="B87" s="431">
        <v>1870407</v>
      </c>
      <c r="C87" s="431" t="s">
        <v>159</v>
      </c>
      <c r="D87" s="431" t="s">
        <v>173</v>
      </c>
      <c r="E87" s="431" t="s">
        <v>161</v>
      </c>
      <c r="F87" s="431" t="s">
        <v>179</v>
      </c>
      <c r="G87" s="431" t="s">
        <v>175</v>
      </c>
      <c r="H87" s="431"/>
      <c r="I87" s="431"/>
      <c r="J87" s="431"/>
      <c r="K87" s="431"/>
      <c r="L87" s="431" t="s">
        <v>176</v>
      </c>
      <c r="M87" s="431" t="s">
        <v>177</v>
      </c>
    </row>
    <row r="88" spans="1:13" x14ac:dyDescent="0.2">
      <c r="A88" s="431" t="s">
        <v>172</v>
      </c>
      <c r="B88" s="431">
        <v>1870407</v>
      </c>
      <c r="C88" s="431" t="s">
        <v>159</v>
      </c>
      <c r="D88" s="431" t="s">
        <v>173</v>
      </c>
      <c r="E88" s="431" t="s">
        <v>161</v>
      </c>
      <c r="F88" s="431" t="s">
        <v>179</v>
      </c>
      <c r="G88" s="431" t="s">
        <v>175</v>
      </c>
      <c r="H88" s="431"/>
      <c r="I88" s="431"/>
      <c r="J88" s="431"/>
      <c r="K88" s="431"/>
      <c r="L88" s="431" t="s">
        <v>176</v>
      </c>
      <c r="M88" s="431" t="s">
        <v>177</v>
      </c>
    </row>
    <row r="89" spans="1:13" x14ac:dyDescent="0.2">
      <c r="A89" s="431" t="s">
        <v>172</v>
      </c>
      <c r="B89" s="431">
        <v>1870407</v>
      </c>
      <c r="C89" s="431" t="s">
        <v>159</v>
      </c>
      <c r="D89" s="431" t="s">
        <v>173</v>
      </c>
      <c r="E89" s="431" t="s">
        <v>161</v>
      </c>
      <c r="F89" s="431" t="s">
        <v>179</v>
      </c>
      <c r="G89" s="431" t="s">
        <v>175</v>
      </c>
      <c r="H89" s="431"/>
      <c r="I89" s="431"/>
      <c r="J89" s="431"/>
      <c r="K89" s="431"/>
      <c r="L89" s="431" t="s">
        <v>176</v>
      </c>
      <c r="M89" s="431" t="s">
        <v>177</v>
      </c>
    </row>
    <row r="90" spans="1:13" x14ac:dyDescent="0.2">
      <c r="A90" s="431" t="s">
        <v>172</v>
      </c>
      <c r="B90" s="431">
        <v>1870407</v>
      </c>
      <c r="C90" s="431" t="s">
        <v>159</v>
      </c>
      <c r="D90" s="431" t="s">
        <v>173</v>
      </c>
      <c r="E90" s="431" t="s">
        <v>161</v>
      </c>
      <c r="F90" s="431" t="s">
        <v>179</v>
      </c>
      <c r="G90" s="431" t="s">
        <v>175</v>
      </c>
      <c r="H90" s="431"/>
      <c r="I90" s="431"/>
      <c r="J90" s="431"/>
      <c r="K90" s="431"/>
      <c r="L90" s="431" t="s">
        <v>176</v>
      </c>
      <c r="M90" s="431" t="s">
        <v>177</v>
      </c>
    </row>
    <row r="91" spans="1:13" x14ac:dyDescent="0.2">
      <c r="A91" s="431" t="s">
        <v>172</v>
      </c>
      <c r="B91" s="431">
        <v>1870407</v>
      </c>
      <c r="C91" s="431" t="s">
        <v>159</v>
      </c>
      <c r="D91" s="431" t="s">
        <v>173</v>
      </c>
      <c r="E91" s="431" t="s">
        <v>161</v>
      </c>
      <c r="F91" s="431" t="s">
        <v>179</v>
      </c>
      <c r="G91" s="431" t="s">
        <v>175</v>
      </c>
      <c r="H91" s="431"/>
      <c r="I91" s="431"/>
      <c r="J91" s="431"/>
      <c r="K91" s="431"/>
      <c r="L91" s="431" t="s">
        <v>176</v>
      </c>
      <c r="M91" s="431" t="s">
        <v>177</v>
      </c>
    </row>
    <row r="92" spans="1:13" x14ac:dyDescent="0.2">
      <c r="A92" s="431" t="s">
        <v>172</v>
      </c>
      <c r="B92" s="431">
        <v>1870407</v>
      </c>
      <c r="C92" s="431" t="s">
        <v>159</v>
      </c>
      <c r="D92" s="431" t="s">
        <v>173</v>
      </c>
      <c r="E92" s="431" t="s">
        <v>161</v>
      </c>
      <c r="F92" s="431" t="s">
        <v>179</v>
      </c>
      <c r="G92" s="431" t="s">
        <v>175</v>
      </c>
      <c r="H92" s="431"/>
      <c r="I92" s="431"/>
      <c r="J92" s="431"/>
      <c r="K92" s="431"/>
      <c r="L92" s="431" t="s">
        <v>176</v>
      </c>
      <c r="M92" s="431" t="s">
        <v>177</v>
      </c>
    </row>
    <row r="93" spans="1:13" x14ac:dyDescent="0.2">
      <c r="A93" s="431" t="s">
        <v>172</v>
      </c>
      <c r="B93" s="431">
        <v>1870407</v>
      </c>
      <c r="C93" s="431" t="s">
        <v>159</v>
      </c>
      <c r="D93" s="431" t="s">
        <v>173</v>
      </c>
      <c r="E93" s="431" t="s">
        <v>161</v>
      </c>
      <c r="F93" s="431" t="s">
        <v>179</v>
      </c>
      <c r="G93" s="431" t="s">
        <v>175</v>
      </c>
      <c r="H93" s="431"/>
      <c r="I93" s="431"/>
      <c r="J93" s="431"/>
      <c r="K93" s="431"/>
      <c r="L93" s="431" t="s">
        <v>176</v>
      </c>
      <c r="M93" s="431" t="s">
        <v>177</v>
      </c>
    </row>
    <row r="94" spans="1:13" x14ac:dyDescent="0.2">
      <c r="A94" s="431" t="s">
        <v>172</v>
      </c>
      <c r="B94" s="431">
        <v>1870407</v>
      </c>
      <c r="C94" s="431" t="s">
        <v>159</v>
      </c>
      <c r="D94" s="431" t="s">
        <v>173</v>
      </c>
      <c r="E94" s="431" t="s">
        <v>161</v>
      </c>
      <c r="F94" s="431" t="s">
        <v>179</v>
      </c>
      <c r="G94" s="431" t="s">
        <v>175</v>
      </c>
      <c r="H94" s="431"/>
      <c r="I94" s="431"/>
      <c r="J94" s="431"/>
      <c r="K94" s="431"/>
      <c r="L94" s="431" t="s">
        <v>176</v>
      </c>
      <c r="M94" s="431" t="s">
        <v>177</v>
      </c>
    </row>
    <row r="95" spans="1:13" x14ac:dyDescent="0.2">
      <c r="A95" s="431" t="s">
        <v>172</v>
      </c>
      <c r="B95" s="431">
        <v>1870407</v>
      </c>
      <c r="C95" s="431" t="s">
        <v>159</v>
      </c>
      <c r="D95" s="431" t="s">
        <v>173</v>
      </c>
      <c r="E95" s="431" t="s">
        <v>161</v>
      </c>
      <c r="F95" s="431" t="s">
        <v>179</v>
      </c>
      <c r="G95" s="431" t="s">
        <v>175</v>
      </c>
      <c r="H95" s="431"/>
      <c r="I95" s="431"/>
      <c r="J95" s="431"/>
      <c r="K95" s="431"/>
      <c r="L95" s="431" t="s">
        <v>176</v>
      </c>
      <c r="M95" s="431" t="s">
        <v>177</v>
      </c>
    </row>
    <row r="96" spans="1:13" x14ac:dyDescent="0.2">
      <c r="A96" s="431" t="s">
        <v>172</v>
      </c>
      <c r="B96" s="431">
        <v>1870407</v>
      </c>
      <c r="C96" s="431" t="s">
        <v>159</v>
      </c>
      <c r="D96" s="431" t="s">
        <v>173</v>
      </c>
      <c r="E96" s="431" t="s">
        <v>161</v>
      </c>
      <c r="F96" s="431" t="s">
        <v>179</v>
      </c>
      <c r="G96" s="431" t="s">
        <v>175</v>
      </c>
      <c r="H96" s="431"/>
      <c r="I96" s="431"/>
      <c r="J96" s="431"/>
      <c r="K96" s="431"/>
      <c r="L96" s="431" t="s">
        <v>176</v>
      </c>
      <c r="M96" s="431" t="s">
        <v>177</v>
      </c>
    </row>
    <row r="97" spans="1:13" x14ac:dyDescent="0.2">
      <c r="A97" s="431" t="s">
        <v>172</v>
      </c>
      <c r="B97" s="431">
        <v>1870407</v>
      </c>
      <c r="C97" s="431" t="s">
        <v>159</v>
      </c>
      <c r="D97" s="431" t="s">
        <v>173</v>
      </c>
      <c r="E97" s="431" t="s">
        <v>161</v>
      </c>
      <c r="F97" s="431" t="s">
        <v>179</v>
      </c>
      <c r="G97" s="431" t="s">
        <v>175</v>
      </c>
      <c r="H97" s="431"/>
      <c r="I97" s="431"/>
      <c r="J97" s="431"/>
      <c r="K97" s="431"/>
      <c r="L97" s="431" t="s">
        <v>176</v>
      </c>
      <c r="M97" s="431" t="s">
        <v>177</v>
      </c>
    </row>
    <row r="98" spans="1:13" x14ac:dyDescent="0.2">
      <c r="A98" s="431" t="s">
        <v>172</v>
      </c>
      <c r="B98" s="431">
        <v>1870407</v>
      </c>
      <c r="C98" s="431" t="s">
        <v>159</v>
      </c>
      <c r="D98" s="431" t="s">
        <v>173</v>
      </c>
      <c r="E98" s="431" t="s">
        <v>161</v>
      </c>
      <c r="F98" s="431" t="s">
        <v>179</v>
      </c>
      <c r="G98" s="431" t="s">
        <v>175</v>
      </c>
      <c r="H98" s="431"/>
      <c r="I98" s="431"/>
      <c r="J98" s="431"/>
      <c r="K98" s="431"/>
      <c r="L98" s="431" t="s">
        <v>176</v>
      </c>
      <c r="M98" s="431" t="s">
        <v>177</v>
      </c>
    </row>
    <row r="99" spans="1:13" x14ac:dyDescent="0.2">
      <c r="A99" s="431" t="s">
        <v>172</v>
      </c>
      <c r="B99" s="431">
        <v>1870407</v>
      </c>
      <c r="C99" s="431" t="s">
        <v>159</v>
      </c>
      <c r="D99" s="431" t="s">
        <v>173</v>
      </c>
      <c r="E99" s="431" t="s">
        <v>161</v>
      </c>
      <c r="F99" s="431" t="s">
        <v>179</v>
      </c>
      <c r="G99" s="431" t="s">
        <v>175</v>
      </c>
      <c r="H99" s="431"/>
      <c r="I99" s="431"/>
      <c r="J99" s="431"/>
      <c r="K99" s="431"/>
      <c r="L99" s="431" t="s">
        <v>176</v>
      </c>
      <c r="M99" s="431" t="s">
        <v>177</v>
      </c>
    </row>
    <row r="100" spans="1:13" x14ac:dyDescent="0.2">
      <c r="A100" s="431" t="s">
        <v>172</v>
      </c>
      <c r="B100" s="431">
        <v>1870407</v>
      </c>
      <c r="C100" s="431" t="s">
        <v>159</v>
      </c>
      <c r="D100" s="431" t="s">
        <v>173</v>
      </c>
      <c r="E100" s="431" t="s">
        <v>161</v>
      </c>
      <c r="F100" s="431" t="s">
        <v>179</v>
      </c>
      <c r="G100" s="431" t="s">
        <v>175</v>
      </c>
      <c r="H100" s="431"/>
      <c r="I100" s="431"/>
      <c r="J100" s="431"/>
      <c r="K100" s="431"/>
      <c r="L100" s="431" t="s">
        <v>176</v>
      </c>
      <c r="M100" s="431" t="s">
        <v>177</v>
      </c>
    </row>
    <row r="101" spans="1:13" x14ac:dyDescent="0.2">
      <c r="A101" s="431" t="s">
        <v>172</v>
      </c>
      <c r="B101" s="431">
        <v>1870407</v>
      </c>
      <c r="C101" s="431" t="s">
        <v>159</v>
      </c>
      <c r="D101" s="431" t="s">
        <v>173</v>
      </c>
      <c r="E101" s="431" t="s">
        <v>161</v>
      </c>
      <c r="F101" s="431" t="s">
        <v>179</v>
      </c>
      <c r="G101" s="431" t="s">
        <v>175</v>
      </c>
      <c r="H101" s="431"/>
      <c r="I101" s="431"/>
      <c r="J101" s="431"/>
      <c r="K101" s="431"/>
      <c r="L101" s="431" t="s">
        <v>176</v>
      </c>
      <c r="M101" s="431" t="s">
        <v>177</v>
      </c>
    </row>
    <row r="102" spans="1:13" x14ac:dyDescent="0.2">
      <c r="A102" s="431" t="s">
        <v>172</v>
      </c>
      <c r="B102" s="431">
        <v>1870407</v>
      </c>
      <c r="C102" s="431" t="s">
        <v>159</v>
      </c>
      <c r="D102" s="431" t="s">
        <v>173</v>
      </c>
      <c r="E102" s="431" t="s">
        <v>161</v>
      </c>
      <c r="F102" s="431" t="s">
        <v>179</v>
      </c>
      <c r="G102" s="431" t="s">
        <v>175</v>
      </c>
      <c r="H102" s="431"/>
      <c r="I102" s="431"/>
      <c r="J102" s="431"/>
      <c r="K102" s="431"/>
      <c r="L102" s="431" t="s">
        <v>176</v>
      </c>
      <c r="M102" s="431" t="s">
        <v>177</v>
      </c>
    </row>
    <row r="103" spans="1:13" x14ac:dyDescent="0.2">
      <c r="A103" s="431" t="s">
        <v>172</v>
      </c>
      <c r="B103" s="431">
        <v>1870407</v>
      </c>
      <c r="C103" s="431" t="s">
        <v>159</v>
      </c>
      <c r="D103" s="431" t="s">
        <v>173</v>
      </c>
      <c r="E103" s="431" t="s">
        <v>161</v>
      </c>
      <c r="F103" s="431" t="s">
        <v>179</v>
      </c>
      <c r="G103" s="431" t="s">
        <v>175</v>
      </c>
      <c r="H103" s="431"/>
      <c r="I103" s="431"/>
      <c r="J103" s="431"/>
      <c r="K103" s="431"/>
      <c r="L103" s="431" t="s">
        <v>176</v>
      </c>
      <c r="M103" s="431" t="s">
        <v>177</v>
      </c>
    </row>
    <row r="104" spans="1:13" x14ac:dyDescent="0.2">
      <c r="A104" s="431" t="s">
        <v>172</v>
      </c>
      <c r="B104" s="431">
        <v>1870407</v>
      </c>
      <c r="C104" s="431" t="s">
        <v>159</v>
      </c>
      <c r="D104" s="431" t="s">
        <v>173</v>
      </c>
      <c r="E104" s="431" t="s">
        <v>161</v>
      </c>
      <c r="F104" s="431" t="s">
        <v>179</v>
      </c>
      <c r="G104" s="431" t="s">
        <v>175</v>
      </c>
      <c r="H104" s="431"/>
      <c r="I104" s="431"/>
      <c r="J104" s="431"/>
      <c r="K104" s="431"/>
      <c r="L104" s="431" t="s">
        <v>176</v>
      </c>
      <c r="M104" s="431" t="s">
        <v>177</v>
      </c>
    </row>
    <row r="105" spans="1:13" x14ac:dyDescent="0.2">
      <c r="A105" s="431" t="s">
        <v>172</v>
      </c>
      <c r="B105" s="431">
        <v>1870407</v>
      </c>
      <c r="C105" s="431" t="s">
        <v>159</v>
      </c>
      <c r="D105" s="431" t="s">
        <v>173</v>
      </c>
      <c r="E105" s="431" t="s">
        <v>161</v>
      </c>
      <c r="F105" s="431" t="s">
        <v>179</v>
      </c>
      <c r="G105" s="431" t="s">
        <v>175</v>
      </c>
      <c r="H105" s="431"/>
      <c r="I105" s="431"/>
      <c r="J105" s="431"/>
      <c r="K105" s="431"/>
      <c r="L105" s="431" t="s">
        <v>176</v>
      </c>
      <c r="M105" s="431" t="s">
        <v>177</v>
      </c>
    </row>
    <row r="106" spans="1:13" x14ac:dyDescent="0.2">
      <c r="A106" s="431" t="s">
        <v>172</v>
      </c>
      <c r="B106" s="431">
        <v>1870407</v>
      </c>
      <c r="C106" s="431" t="s">
        <v>159</v>
      </c>
      <c r="D106" s="431" t="s">
        <v>173</v>
      </c>
      <c r="E106" s="431" t="s">
        <v>161</v>
      </c>
      <c r="F106" s="431" t="s">
        <v>179</v>
      </c>
      <c r="G106" s="431" t="s">
        <v>175</v>
      </c>
      <c r="H106" s="431"/>
      <c r="I106" s="431"/>
      <c r="J106" s="431"/>
      <c r="K106" s="431"/>
      <c r="L106" s="431" t="s">
        <v>176</v>
      </c>
      <c r="M106" s="431" t="s">
        <v>177</v>
      </c>
    </row>
    <row r="107" spans="1:13" x14ac:dyDescent="0.2">
      <c r="A107" s="431" t="s">
        <v>172</v>
      </c>
      <c r="B107" s="431">
        <v>1870407</v>
      </c>
      <c r="C107" s="431" t="s">
        <v>159</v>
      </c>
      <c r="D107" s="431" t="s">
        <v>173</v>
      </c>
      <c r="E107" s="431" t="s">
        <v>161</v>
      </c>
      <c r="F107" s="431" t="s">
        <v>179</v>
      </c>
      <c r="G107" s="431" t="s">
        <v>175</v>
      </c>
      <c r="H107" s="431"/>
      <c r="I107" s="431"/>
      <c r="J107" s="431"/>
      <c r="K107" s="431"/>
      <c r="L107" s="431" t="s">
        <v>176</v>
      </c>
      <c r="M107" s="431" t="s">
        <v>177</v>
      </c>
    </row>
    <row r="108" spans="1:13" x14ac:dyDescent="0.2">
      <c r="A108" s="431" t="s">
        <v>172</v>
      </c>
      <c r="B108" s="431">
        <v>1870407</v>
      </c>
      <c r="C108" s="431" t="s">
        <v>159</v>
      </c>
      <c r="D108" s="431" t="s">
        <v>173</v>
      </c>
      <c r="E108" s="431" t="s">
        <v>161</v>
      </c>
      <c r="F108" s="431" t="s">
        <v>179</v>
      </c>
      <c r="G108" s="431" t="s">
        <v>175</v>
      </c>
      <c r="H108" s="431"/>
      <c r="I108" s="431"/>
      <c r="J108" s="431"/>
      <c r="K108" s="431"/>
      <c r="L108" s="431" t="s">
        <v>176</v>
      </c>
      <c r="M108" s="431" t="s">
        <v>177</v>
      </c>
    </row>
    <row r="109" spans="1:13" x14ac:dyDescent="0.2">
      <c r="A109" s="431" t="s">
        <v>172</v>
      </c>
      <c r="B109" s="431">
        <v>1870407</v>
      </c>
      <c r="C109" s="431" t="s">
        <v>159</v>
      </c>
      <c r="D109" s="431" t="s">
        <v>173</v>
      </c>
      <c r="E109" s="431" t="s">
        <v>161</v>
      </c>
      <c r="F109" s="431" t="s">
        <v>179</v>
      </c>
      <c r="G109" s="431" t="s">
        <v>175</v>
      </c>
      <c r="H109" s="431"/>
      <c r="I109" s="431"/>
      <c r="J109" s="431"/>
      <c r="K109" s="431"/>
      <c r="L109" s="431" t="s">
        <v>176</v>
      </c>
      <c r="M109" s="431" t="s">
        <v>177</v>
      </c>
    </row>
    <row r="110" spans="1:13" x14ac:dyDescent="0.2">
      <c r="A110" s="431" t="s">
        <v>172</v>
      </c>
      <c r="B110" s="431">
        <v>1870407</v>
      </c>
      <c r="C110" s="431" t="s">
        <v>159</v>
      </c>
      <c r="D110" s="431" t="s">
        <v>173</v>
      </c>
      <c r="E110" s="431" t="s">
        <v>161</v>
      </c>
      <c r="F110" s="431" t="s">
        <v>179</v>
      </c>
      <c r="G110" s="431" t="s">
        <v>175</v>
      </c>
      <c r="H110" s="431"/>
      <c r="I110" s="431"/>
      <c r="J110" s="431"/>
      <c r="K110" s="431"/>
      <c r="L110" s="431" t="s">
        <v>176</v>
      </c>
      <c r="M110" s="431" t="s">
        <v>177</v>
      </c>
    </row>
    <row r="111" spans="1:13" x14ac:dyDescent="0.2">
      <c r="A111" s="431" t="s">
        <v>172</v>
      </c>
      <c r="B111" s="431">
        <v>1870407</v>
      </c>
      <c r="C111" s="431" t="s">
        <v>159</v>
      </c>
      <c r="D111" s="431" t="s">
        <v>173</v>
      </c>
      <c r="E111" s="431" t="s">
        <v>161</v>
      </c>
      <c r="F111" s="431" t="s">
        <v>179</v>
      </c>
      <c r="G111" s="431" t="s">
        <v>175</v>
      </c>
      <c r="H111" s="431"/>
      <c r="I111" s="431"/>
      <c r="J111" s="431"/>
      <c r="K111" s="431"/>
      <c r="L111" s="431" t="s">
        <v>176</v>
      </c>
      <c r="M111" s="431" t="s">
        <v>177</v>
      </c>
    </row>
    <row r="112" spans="1:13" x14ac:dyDescent="0.2">
      <c r="A112" s="431" t="s">
        <v>172</v>
      </c>
      <c r="B112" s="431">
        <v>1870407</v>
      </c>
      <c r="C112" s="431" t="s">
        <v>159</v>
      </c>
      <c r="D112" s="431" t="s">
        <v>173</v>
      </c>
      <c r="E112" s="431" t="s">
        <v>161</v>
      </c>
      <c r="F112" s="431" t="s">
        <v>179</v>
      </c>
      <c r="G112" s="431" t="s">
        <v>175</v>
      </c>
      <c r="H112" s="431"/>
      <c r="I112" s="431"/>
      <c r="J112" s="431"/>
      <c r="K112" s="431"/>
      <c r="L112" s="431" t="s">
        <v>176</v>
      </c>
      <c r="M112" s="431" t="s">
        <v>177</v>
      </c>
    </row>
    <row r="113" spans="1:13" x14ac:dyDescent="0.2">
      <c r="A113" s="431" t="s">
        <v>172</v>
      </c>
      <c r="B113" s="431">
        <v>1870407</v>
      </c>
      <c r="C113" s="431" t="s">
        <v>159</v>
      </c>
      <c r="D113" s="431" t="s">
        <v>173</v>
      </c>
      <c r="E113" s="431" t="s">
        <v>161</v>
      </c>
      <c r="F113" s="431" t="s">
        <v>179</v>
      </c>
      <c r="G113" s="431" t="s">
        <v>175</v>
      </c>
      <c r="H113" s="431"/>
      <c r="I113" s="431"/>
      <c r="J113" s="431"/>
      <c r="K113" s="431"/>
      <c r="L113" s="431" t="s">
        <v>176</v>
      </c>
      <c r="M113" s="431" t="s">
        <v>177</v>
      </c>
    </row>
    <row r="114" spans="1:13" x14ac:dyDescent="0.2">
      <c r="A114" s="431" t="s">
        <v>172</v>
      </c>
      <c r="B114" s="431">
        <v>1870407</v>
      </c>
      <c r="C114" s="431" t="s">
        <v>159</v>
      </c>
      <c r="D114" s="431" t="s">
        <v>173</v>
      </c>
      <c r="E114" s="431" t="s">
        <v>161</v>
      </c>
      <c r="F114" s="431" t="s">
        <v>179</v>
      </c>
      <c r="G114" s="431" t="s">
        <v>175</v>
      </c>
      <c r="H114" s="431"/>
      <c r="I114" s="431"/>
      <c r="J114" s="431"/>
      <c r="K114" s="431"/>
      <c r="L114" s="431" t="s">
        <v>176</v>
      </c>
      <c r="M114" s="431" t="s">
        <v>177</v>
      </c>
    </row>
    <row r="115" spans="1:13" x14ac:dyDescent="0.2">
      <c r="A115" s="431" t="s">
        <v>172</v>
      </c>
      <c r="B115" s="431">
        <v>1870407</v>
      </c>
      <c r="C115" s="431" t="s">
        <v>159</v>
      </c>
      <c r="D115" s="431" t="s">
        <v>173</v>
      </c>
      <c r="E115" s="431" t="s">
        <v>161</v>
      </c>
      <c r="F115" s="431" t="s">
        <v>179</v>
      </c>
      <c r="G115" s="431" t="s">
        <v>175</v>
      </c>
      <c r="H115" s="431"/>
      <c r="I115" s="431"/>
      <c r="J115" s="431"/>
      <c r="K115" s="431"/>
      <c r="L115" s="431" t="s">
        <v>176</v>
      </c>
      <c r="M115" s="431" t="s">
        <v>177</v>
      </c>
    </row>
    <row r="116" spans="1:13" x14ac:dyDescent="0.2">
      <c r="A116" s="431" t="s">
        <v>172</v>
      </c>
      <c r="B116" s="431">
        <v>1870407</v>
      </c>
      <c r="C116" s="431" t="s">
        <v>159</v>
      </c>
      <c r="D116" s="431" t="s">
        <v>173</v>
      </c>
      <c r="E116" s="431" t="s">
        <v>161</v>
      </c>
      <c r="F116" s="431" t="s">
        <v>179</v>
      </c>
      <c r="G116" s="431" t="s">
        <v>175</v>
      </c>
      <c r="H116" s="431"/>
      <c r="I116" s="431"/>
      <c r="J116" s="431"/>
      <c r="K116" s="431"/>
      <c r="L116" s="431" t="s">
        <v>176</v>
      </c>
      <c r="M116" s="431" t="s">
        <v>177</v>
      </c>
    </row>
    <row r="117" spans="1:13" x14ac:dyDescent="0.2">
      <c r="A117" s="431" t="s">
        <v>172</v>
      </c>
      <c r="B117" s="431">
        <v>1870407</v>
      </c>
      <c r="C117" s="431" t="s">
        <v>159</v>
      </c>
      <c r="D117" s="431" t="s">
        <v>173</v>
      </c>
      <c r="E117" s="431" t="s">
        <v>161</v>
      </c>
      <c r="F117" s="431" t="s">
        <v>179</v>
      </c>
      <c r="G117" s="431" t="s">
        <v>175</v>
      </c>
      <c r="H117" s="431"/>
      <c r="I117" s="431"/>
      <c r="J117" s="431"/>
      <c r="K117" s="431"/>
      <c r="L117" s="431" t="s">
        <v>176</v>
      </c>
      <c r="M117" s="431" t="s">
        <v>177</v>
      </c>
    </row>
    <row r="118" spans="1:13" x14ac:dyDescent="0.2">
      <c r="A118" s="431" t="s">
        <v>172</v>
      </c>
      <c r="B118" s="431">
        <v>1870407</v>
      </c>
      <c r="C118" s="431" t="s">
        <v>159</v>
      </c>
      <c r="D118" s="431" t="s">
        <v>173</v>
      </c>
      <c r="E118" s="431" t="s">
        <v>161</v>
      </c>
      <c r="F118" s="431" t="s">
        <v>179</v>
      </c>
      <c r="G118" s="431" t="s">
        <v>175</v>
      </c>
      <c r="H118" s="431"/>
      <c r="I118" s="431"/>
      <c r="J118" s="431"/>
      <c r="K118" s="431"/>
      <c r="L118" s="431" t="s">
        <v>176</v>
      </c>
      <c r="M118" s="431" t="s">
        <v>177</v>
      </c>
    </row>
    <row r="119" spans="1:13" x14ac:dyDescent="0.2">
      <c r="A119" s="431" t="s">
        <v>172</v>
      </c>
      <c r="B119" s="431">
        <v>1870407</v>
      </c>
      <c r="C119" s="431" t="s">
        <v>159</v>
      </c>
      <c r="D119" s="431" t="s">
        <v>173</v>
      </c>
      <c r="E119" s="431" t="s">
        <v>161</v>
      </c>
      <c r="F119" s="431" t="s">
        <v>179</v>
      </c>
      <c r="G119" s="431" t="s">
        <v>175</v>
      </c>
      <c r="H119" s="431"/>
      <c r="I119" s="431"/>
      <c r="J119" s="431"/>
      <c r="K119" s="431"/>
      <c r="L119" s="431" t="s">
        <v>176</v>
      </c>
      <c r="M119" s="431" t="s">
        <v>177</v>
      </c>
    </row>
    <row r="120" spans="1:13" x14ac:dyDescent="0.2">
      <c r="A120" s="431" t="s">
        <v>172</v>
      </c>
      <c r="B120" s="431">
        <v>1870407</v>
      </c>
      <c r="C120" s="431" t="s">
        <v>159</v>
      </c>
      <c r="D120" s="431" t="s">
        <v>173</v>
      </c>
      <c r="E120" s="431" t="s">
        <v>161</v>
      </c>
      <c r="F120" s="431" t="s">
        <v>179</v>
      </c>
      <c r="G120" s="431" t="s">
        <v>175</v>
      </c>
      <c r="H120" s="431"/>
      <c r="I120" s="431"/>
      <c r="J120" s="431"/>
      <c r="K120" s="431"/>
      <c r="L120" s="431" t="s">
        <v>176</v>
      </c>
      <c r="M120" s="431" t="s">
        <v>177</v>
      </c>
    </row>
    <row r="121" spans="1:13" x14ac:dyDescent="0.2">
      <c r="A121" s="431" t="s">
        <v>172</v>
      </c>
      <c r="B121" s="431">
        <v>1870407</v>
      </c>
      <c r="C121" s="431" t="s">
        <v>159</v>
      </c>
      <c r="D121" s="431" t="s">
        <v>173</v>
      </c>
      <c r="E121" s="431" t="s">
        <v>161</v>
      </c>
      <c r="F121" s="431" t="s">
        <v>179</v>
      </c>
      <c r="G121" s="431" t="s">
        <v>175</v>
      </c>
      <c r="H121" s="431"/>
      <c r="I121" s="431"/>
      <c r="J121" s="431"/>
      <c r="K121" s="431"/>
      <c r="L121" s="431" t="s">
        <v>176</v>
      </c>
      <c r="M121" s="431" t="s">
        <v>177</v>
      </c>
    </row>
    <row r="122" spans="1:13" x14ac:dyDescent="0.2">
      <c r="A122" s="431" t="s">
        <v>172</v>
      </c>
      <c r="B122" s="431">
        <v>1870407</v>
      </c>
      <c r="C122" s="431" t="s">
        <v>159</v>
      </c>
      <c r="D122" s="431" t="s">
        <v>173</v>
      </c>
      <c r="E122" s="431" t="s">
        <v>161</v>
      </c>
      <c r="F122" s="431" t="s">
        <v>179</v>
      </c>
      <c r="G122" s="431" t="s">
        <v>175</v>
      </c>
      <c r="H122" s="431"/>
      <c r="I122" s="431"/>
      <c r="J122" s="431"/>
      <c r="K122" s="431"/>
      <c r="L122" s="431" t="s">
        <v>176</v>
      </c>
      <c r="M122" s="431" t="s">
        <v>177</v>
      </c>
    </row>
    <row r="123" spans="1:13" x14ac:dyDescent="0.2">
      <c r="A123" s="431" t="s">
        <v>172</v>
      </c>
      <c r="B123" s="431">
        <v>1870407</v>
      </c>
      <c r="C123" s="431" t="s">
        <v>159</v>
      </c>
      <c r="D123" s="431" t="s">
        <v>173</v>
      </c>
      <c r="E123" s="431" t="s">
        <v>161</v>
      </c>
      <c r="F123" s="431" t="s">
        <v>179</v>
      </c>
      <c r="G123" s="431" t="s">
        <v>175</v>
      </c>
      <c r="H123" s="431"/>
      <c r="I123" s="431"/>
      <c r="J123" s="431"/>
      <c r="K123" s="431"/>
      <c r="L123" s="431" t="s">
        <v>176</v>
      </c>
      <c r="M123" s="431" t="s">
        <v>177</v>
      </c>
    </row>
    <row r="124" spans="1:13" ht="409.5" x14ac:dyDescent="0.2">
      <c r="A124" s="431" t="s">
        <v>180</v>
      </c>
      <c r="B124" s="431">
        <v>1870408</v>
      </c>
      <c r="C124" s="431" t="s">
        <v>181</v>
      </c>
      <c r="D124" s="431" t="s">
        <v>173</v>
      </c>
      <c r="E124" s="431" t="s">
        <v>161</v>
      </c>
      <c r="F124" s="431" t="s">
        <v>182</v>
      </c>
      <c r="G124" s="431" t="s">
        <v>175</v>
      </c>
      <c r="H124" s="431"/>
      <c r="I124" s="431"/>
      <c r="J124" s="431"/>
      <c r="K124" s="431"/>
      <c r="L124" s="431" t="s">
        <v>183</v>
      </c>
      <c r="M124" s="432" t="s">
        <v>184</v>
      </c>
    </row>
    <row r="125" spans="1:13" ht="409.5" x14ac:dyDescent="0.2">
      <c r="A125" s="431" t="s">
        <v>180</v>
      </c>
      <c r="B125" s="431">
        <v>1870408</v>
      </c>
      <c r="C125" s="431" t="s">
        <v>181</v>
      </c>
      <c r="D125" s="431" t="s">
        <v>173</v>
      </c>
      <c r="E125" s="431" t="s">
        <v>161</v>
      </c>
      <c r="F125" s="431" t="s">
        <v>185</v>
      </c>
      <c r="G125" s="431" t="s">
        <v>175</v>
      </c>
      <c r="H125" s="431"/>
      <c r="I125" s="431"/>
      <c r="J125" s="431"/>
      <c r="K125" s="431"/>
      <c r="L125" s="431" t="s">
        <v>183</v>
      </c>
      <c r="M125" s="432" t="s">
        <v>184</v>
      </c>
    </row>
    <row r="126" spans="1:13" ht="409.5" x14ac:dyDescent="0.2">
      <c r="A126" s="431" t="s">
        <v>180</v>
      </c>
      <c r="B126" s="431">
        <v>1870408</v>
      </c>
      <c r="C126" s="431" t="s">
        <v>181</v>
      </c>
      <c r="D126" s="431" t="s">
        <v>173</v>
      </c>
      <c r="E126" s="431" t="s">
        <v>161</v>
      </c>
      <c r="F126" s="431" t="s">
        <v>186</v>
      </c>
      <c r="G126" s="431" t="s">
        <v>175</v>
      </c>
      <c r="H126" s="431"/>
      <c r="I126" s="431"/>
      <c r="J126" s="431"/>
      <c r="K126" s="431"/>
      <c r="L126" s="431" t="s">
        <v>183</v>
      </c>
      <c r="M126" s="432" t="s">
        <v>184</v>
      </c>
    </row>
    <row r="127" spans="1:13" ht="409.5" x14ac:dyDescent="0.2">
      <c r="A127" s="431" t="s">
        <v>180</v>
      </c>
      <c r="B127" s="431">
        <v>1870408</v>
      </c>
      <c r="C127" s="431" t="s">
        <v>181</v>
      </c>
      <c r="D127" s="431" t="s">
        <v>173</v>
      </c>
      <c r="E127" s="431" t="s">
        <v>161</v>
      </c>
      <c r="F127" s="431" t="s">
        <v>187</v>
      </c>
      <c r="G127" s="431" t="s">
        <v>175</v>
      </c>
      <c r="H127" s="431"/>
      <c r="I127" s="431"/>
      <c r="J127" s="431"/>
      <c r="K127" s="431"/>
      <c r="L127" s="431" t="s">
        <v>183</v>
      </c>
      <c r="M127" s="432" t="s">
        <v>184</v>
      </c>
    </row>
    <row r="128" spans="1:13" ht="409.5" x14ac:dyDescent="0.2">
      <c r="A128" s="431" t="s">
        <v>180</v>
      </c>
      <c r="B128" s="431">
        <v>1870408</v>
      </c>
      <c r="C128" s="431" t="s">
        <v>181</v>
      </c>
      <c r="D128" s="431" t="s">
        <v>173</v>
      </c>
      <c r="E128" s="431" t="s">
        <v>161</v>
      </c>
      <c r="F128" s="431" t="s">
        <v>188</v>
      </c>
      <c r="G128" s="431" t="s">
        <v>175</v>
      </c>
      <c r="H128" s="431"/>
      <c r="I128" s="431"/>
      <c r="J128" s="431"/>
      <c r="K128" s="431"/>
      <c r="L128" s="431" t="s">
        <v>183</v>
      </c>
      <c r="M128" s="432" t="s">
        <v>184</v>
      </c>
    </row>
    <row r="129" spans="1:13" ht="409.5" x14ac:dyDescent="0.2">
      <c r="A129" s="431" t="s">
        <v>180</v>
      </c>
      <c r="B129" s="431">
        <v>1870408</v>
      </c>
      <c r="C129" s="431" t="s">
        <v>181</v>
      </c>
      <c r="D129" s="431" t="s">
        <v>173</v>
      </c>
      <c r="E129" s="431" t="s">
        <v>161</v>
      </c>
      <c r="F129" s="431" t="s">
        <v>189</v>
      </c>
      <c r="G129" s="431" t="s">
        <v>175</v>
      </c>
      <c r="H129" s="431"/>
      <c r="I129" s="431"/>
      <c r="J129" s="431"/>
      <c r="K129" s="431"/>
      <c r="L129" s="431" t="s">
        <v>183</v>
      </c>
      <c r="M129" s="432" t="s">
        <v>184</v>
      </c>
    </row>
    <row r="130" spans="1:13" ht="409.5" x14ac:dyDescent="0.2">
      <c r="A130" s="431" t="s">
        <v>180</v>
      </c>
      <c r="B130" s="431">
        <v>1870408</v>
      </c>
      <c r="C130" s="431" t="s">
        <v>181</v>
      </c>
      <c r="D130" s="431" t="s">
        <v>173</v>
      </c>
      <c r="E130" s="431" t="s">
        <v>161</v>
      </c>
      <c r="F130" s="431" t="s">
        <v>190</v>
      </c>
      <c r="G130" s="431" t="s">
        <v>175</v>
      </c>
      <c r="H130" s="431"/>
      <c r="I130" s="431"/>
      <c r="J130" s="431"/>
      <c r="K130" s="431"/>
      <c r="L130" s="431" t="s">
        <v>183</v>
      </c>
      <c r="M130" s="432" t="s">
        <v>184</v>
      </c>
    </row>
    <row r="131" spans="1:13" x14ac:dyDescent="0.2">
      <c r="A131" s="431" t="s">
        <v>191</v>
      </c>
      <c r="B131" s="431">
        <v>1870409</v>
      </c>
      <c r="C131" s="431" t="s">
        <v>159</v>
      </c>
      <c r="D131" s="431" t="s">
        <v>173</v>
      </c>
      <c r="E131" s="431" t="s">
        <v>161</v>
      </c>
      <c r="F131" s="431" t="s">
        <v>182</v>
      </c>
      <c r="G131" s="431" t="s">
        <v>175</v>
      </c>
      <c r="H131" s="431"/>
      <c r="I131" s="431"/>
      <c r="J131" s="431"/>
      <c r="K131" s="431"/>
      <c r="L131" s="431" t="s">
        <v>192</v>
      </c>
      <c r="M131" s="431" t="s">
        <v>193</v>
      </c>
    </row>
    <row r="132" spans="1:13" x14ac:dyDescent="0.2">
      <c r="A132" s="431" t="s">
        <v>191</v>
      </c>
      <c r="B132" s="431">
        <v>1870409</v>
      </c>
      <c r="C132" s="431" t="s">
        <v>159</v>
      </c>
      <c r="D132" s="431" t="s">
        <v>173</v>
      </c>
      <c r="E132" s="431" t="s">
        <v>161</v>
      </c>
      <c r="F132" s="431" t="s">
        <v>185</v>
      </c>
      <c r="G132" s="431" t="s">
        <v>175</v>
      </c>
      <c r="H132" s="431"/>
      <c r="I132" s="431"/>
      <c r="J132" s="431"/>
      <c r="K132" s="431"/>
      <c r="L132" s="431" t="s">
        <v>192</v>
      </c>
      <c r="M132" s="431" t="s">
        <v>193</v>
      </c>
    </row>
    <row r="133" spans="1:13" x14ac:dyDescent="0.2">
      <c r="A133" s="431" t="s">
        <v>191</v>
      </c>
      <c r="B133" s="431">
        <v>1870409</v>
      </c>
      <c r="C133" s="431" t="s">
        <v>159</v>
      </c>
      <c r="D133" s="431" t="s">
        <v>173</v>
      </c>
      <c r="E133" s="431" t="s">
        <v>161</v>
      </c>
      <c r="F133" s="431" t="s">
        <v>186</v>
      </c>
      <c r="G133" s="431" t="s">
        <v>175</v>
      </c>
      <c r="H133" s="431"/>
      <c r="I133" s="431"/>
      <c r="J133" s="431"/>
      <c r="K133" s="431"/>
      <c r="L133" s="431" t="s">
        <v>192</v>
      </c>
      <c r="M133" s="431" t="s">
        <v>193</v>
      </c>
    </row>
    <row r="134" spans="1:13" x14ac:dyDescent="0.2">
      <c r="A134" s="431" t="s">
        <v>191</v>
      </c>
      <c r="B134" s="431">
        <v>1870409</v>
      </c>
      <c r="C134" s="431" t="s">
        <v>159</v>
      </c>
      <c r="D134" s="431" t="s">
        <v>173</v>
      </c>
      <c r="E134" s="431" t="s">
        <v>161</v>
      </c>
      <c r="F134" s="431" t="s">
        <v>187</v>
      </c>
      <c r="G134" s="431" t="s">
        <v>175</v>
      </c>
      <c r="H134" s="431"/>
      <c r="I134" s="431"/>
      <c r="J134" s="431"/>
      <c r="K134" s="431"/>
      <c r="L134" s="431" t="s">
        <v>192</v>
      </c>
      <c r="M134" s="431" t="s">
        <v>193</v>
      </c>
    </row>
    <row r="135" spans="1:13" x14ac:dyDescent="0.2">
      <c r="A135" s="431" t="s">
        <v>191</v>
      </c>
      <c r="B135" s="431">
        <v>1870409</v>
      </c>
      <c r="C135" s="431" t="s">
        <v>159</v>
      </c>
      <c r="D135" s="431" t="s">
        <v>173</v>
      </c>
      <c r="E135" s="431" t="s">
        <v>161</v>
      </c>
      <c r="F135" s="431" t="s">
        <v>188</v>
      </c>
      <c r="G135" s="431" t="s">
        <v>175</v>
      </c>
      <c r="H135" s="431"/>
      <c r="I135" s="431"/>
      <c r="J135" s="431"/>
      <c r="K135" s="431"/>
      <c r="L135" s="431" t="s">
        <v>192</v>
      </c>
      <c r="M135" s="431" t="s">
        <v>193</v>
      </c>
    </row>
    <row r="136" spans="1:13" x14ac:dyDescent="0.2">
      <c r="A136" s="431" t="s">
        <v>191</v>
      </c>
      <c r="B136" s="431">
        <v>1870409</v>
      </c>
      <c r="C136" s="431" t="s">
        <v>159</v>
      </c>
      <c r="D136" s="431" t="s">
        <v>173</v>
      </c>
      <c r="E136" s="431" t="s">
        <v>161</v>
      </c>
      <c r="F136" s="431" t="s">
        <v>189</v>
      </c>
      <c r="G136" s="431" t="s">
        <v>175</v>
      </c>
      <c r="H136" s="431"/>
      <c r="I136" s="431"/>
      <c r="J136" s="431"/>
      <c r="K136" s="431"/>
      <c r="L136" s="431" t="s">
        <v>192</v>
      </c>
      <c r="M136" s="431" t="s">
        <v>193</v>
      </c>
    </row>
    <row r="137" spans="1:13" x14ac:dyDescent="0.2">
      <c r="A137" s="431" t="s">
        <v>191</v>
      </c>
      <c r="B137" s="431">
        <v>1870409</v>
      </c>
      <c r="C137" s="431" t="s">
        <v>159</v>
      </c>
      <c r="D137" s="431" t="s">
        <v>173</v>
      </c>
      <c r="E137" s="431" t="s">
        <v>161</v>
      </c>
      <c r="F137" s="431" t="s">
        <v>190</v>
      </c>
      <c r="G137" s="431" t="s">
        <v>175</v>
      </c>
      <c r="H137" s="431"/>
      <c r="I137" s="431"/>
      <c r="J137" s="431"/>
      <c r="K137" s="431"/>
      <c r="L137" s="431" t="s">
        <v>192</v>
      </c>
      <c r="M137" s="431" t="s">
        <v>193</v>
      </c>
    </row>
    <row r="138" spans="1:13" ht="409.5" x14ac:dyDescent="0.2">
      <c r="A138" s="431" t="s">
        <v>194</v>
      </c>
      <c r="B138" s="431">
        <v>1870411</v>
      </c>
      <c r="C138" s="431" t="s">
        <v>159</v>
      </c>
      <c r="D138" s="431" t="s">
        <v>173</v>
      </c>
      <c r="E138" s="431" t="s">
        <v>161</v>
      </c>
      <c r="F138" s="431" t="s">
        <v>195</v>
      </c>
      <c r="G138" s="431" t="s">
        <v>175</v>
      </c>
      <c r="H138" s="431"/>
      <c r="I138" s="431"/>
      <c r="J138" s="431"/>
      <c r="K138" s="431"/>
      <c r="L138" s="431" t="s">
        <v>196</v>
      </c>
      <c r="M138" s="432" t="s">
        <v>197</v>
      </c>
    </row>
    <row r="139" spans="1:13" ht="409.5" x14ac:dyDescent="0.2">
      <c r="A139" s="431" t="s">
        <v>194</v>
      </c>
      <c r="B139" s="431">
        <v>1870411</v>
      </c>
      <c r="C139" s="431" t="s">
        <v>159</v>
      </c>
      <c r="D139" s="431" t="s">
        <v>173</v>
      </c>
      <c r="E139" s="431" t="s">
        <v>161</v>
      </c>
      <c r="F139" s="431" t="s">
        <v>198</v>
      </c>
      <c r="G139" s="431" t="s">
        <v>175</v>
      </c>
      <c r="H139" s="431"/>
      <c r="I139" s="431"/>
      <c r="J139" s="431"/>
      <c r="K139" s="431"/>
      <c r="L139" s="431" t="s">
        <v>196</v>
      </c>
      <c r="M139" s="432" t="s">
        <v>197</v>
      </c>
    </row>
    <row r="140" spans="1:13" ht="409.5" x14ac:dyDescent="0.2">
      <c r="A140" s="431" t="s">
        <v>194</v>
      </c>
      <c r="B140" s="431">
        <v>1870411</v>
      </c>
      <c r="C140" s="431" t="s">
        <v>159</v>
      </c>
      <c r="D140" s="431" t="s">
        <v>173</v>
      </c>
      <c r="E140" s="431" t="s">
        <v>161</v>
      </c>
      <c r="F140" s="431" t="s">
        <v>198</v>
      </c>
      <c r="G140" s="431" t="s">
        <v>175</v>
      </c>
      <c r="H140" s="431"/>
      <c r="I140" s="431"/>
      <c r="J140" s="431"/>
      <c r="K140" s="431"/>
      <c r="L140" s="431" t="s">
        <v>196</v>
      </c>
      <c r="M140" s="432" t="s">
        <v>197</v>
      </c>
    </row>
    <row r="141" spans="1:13" ht="409.5" x14ac:dyDescent="0.2">
      <c r="A141" s="431" t="s">
        <v>194</v>
      </c>
      <c r="B141" s="431">
        <v>1870411</v>
      </c>
      <c r="C141" s="431" t="s">
        <v>159</v>
      </c>
      <c r="D141" s="431" t="s">
        <v>173</v>
      </c>
      <c r="E141" s="431" t="s">
        <v>161</v>
      </c>
      <c r="F141" s="431" t="s">
        <v>199</v>
      </c>
      <c r="G141" s="431" t="s">
        <v>175</v>
      </c>
      <c r="H141" s="431"/>
      <c r="I141" s="431"/>
      <c r="J141" s="431"/>
      <c r="K141" s="431"/>
      <c r="L141" s="431" t="s">
        <v>196</v>
      </c>
      <c r="M141" s="432" t="s">
        <v>197</v>
      </c>
    </row>
    <row r="142" spans="1:13" ht="409.5" x14ac:dyDescent="0.2">
      <c r="A142" s="431" t="s">
        <v>194</v>
      </c>
      <c r="B142" s="431">
        <v>1870411</v>
      </c>
      <c r="C142" s="431" t="s">
        <v>159</v>
      </c>
      <c r="D142" s="431" t="s">
        <v>173</v>
      </c>
      <c r="E142" s="431" t="s">
        <v>161</v>
      </c>
      <c r="F142" s="431" t="s">
        <v>199</v>
      </c>
      <c r="G142" s="431" t="s">
        <v>175</v>
      </c>
      <c r="H142" s="431"/>
      <c r="I142" s="431"/>
      <c r="J142" s="431"/>
      <c r="K142" s="431"/>
      <c r="L142" s="431" t="s">
        <v>196</v>
      </c>
      <c r="M142" s="432" t="s">
        <v>197</v>
      </c>
    </row>
    <row r="143" spans="1:13" ht="409.5" x14ac:dyDescent="0.2">
      <c r="A143" s="431" t="s">
        <v>194</v>
      </c>
      <c r="B143" s="431">
        <v>1870411</v>
      </c>
      <c r="C143" s="431" t="s">
        <v>159</v>
      </c>
      <c r="D143" s="431" t="s">
        <v>173</v>
      </c>
      <c r="E143" s="431" t="s">
        <v>161</v>
      </c>
      <c r="F143" s="431" t="s">
        <v>200</v>
      </c>
      <c r="G143" s="431" t="s">
        <v>175</v>
      </c>
      <c r="H143" s="431"/>
      <c r="I143" s="431"/>
      <c r="J143" s="431"/>
      <c r="K143" s="431"/>
      <c r="L143" s="431" t="s">
        <v>196</v>
      </c>
      <c r="M143" s="432" t="s">
        <v>197</v>
      </c>
    </row>
    <row r="144" spans="1:13" ht="409.5" x14ac:dyDescent="0.2">
      <c r="A144" s="431" t="s">
        <v>194</v>
      </c>
      <c r="B144" s="431">
        <v>1870411</v>
      </c>
      <c r="C144" s="431" t="s">
        <v>159</v>
      </c>
      <c r="D144" s="431" t="s">
        <v>173</v>
      </c>
      <c r="E144" s="431" t="s">
        <v>161</v>
      </c>
      <c r="F144" s="431" t="s">
        <v>201</v>
      </c>
      <c r="G144" s="431" t="s">
        <v>175</v>
      </c>
      <c r="H144" s="431"/>
      <c r="I144" s="431"/>
      <c r="J144" s="431"/>
      <c r="K144" s="431"/>
      <c r="L144" s="431" t="s">
        <v>196</v>
      </c>
      <c r="M144" s="432" t="s">
        <v>197</v>
      </c>
    </row>
    <row r="145" spans="1:13" ht="409.5" x14ac:dyDescent="0.2">
      <c r="A145" s="431" t="s">
        <v>202</v>
      </c>
      <c r="B145" s="431">
        <v>1870413</v>
      </c>
      <c r="C145" s="431" t="s">
        <v>170</v>
      </c>
      <c r="D145" s="431" t="s">
        <v>173</v>
      </c>
      <c r="E145" s="431" t="s">
        <v>161</v>
      </c>
      <c r="F145" s="431" t="s">
        <v>203</v>
      </c>
      <c r="G145" s="431" t="s">
        <v>175</v>
      </c>
      <c r="H145" s="431"/>
      <c r="I145" s="431"/>
      <c r="J145" s="431"/>
      <c r="K145" s="431"/>
      <c r="L145" s="431" t="s">
        <v>204</v>
      </c>
      <c r="M145" s="432" t="s">
        <v>205</v>
      </c>
    </row>
    <row r="146" spans="1:13" ht="409.5" x14ac:dyDescent="0.2">
      <c r="A146" s="431" t="s">
        <v>202</v>
      </c>
      <c r="B146" s="431">
        <v>1870413</v>
      </c>
      <c r="C146" s="431" t="s">
        <v>170</v>
      </c>
      <c r="D146" s="431" t="s">
        <v>173</v>
      </c>
      <c r="E146" s="431" t="s">
        <v>161</v>
      </c>
      <c r="F146" s="431" t="s">
        <v>203</v>
      </c>
      <c r="G146" s="431" t="s">
        <v>175</v>
      </c>
      <c r="H146" s="431"/>
      <c r="I146" s="431"/>
      <c r="J146" s="431"/>
      <c r="K146" s="431"/>
      <c r="L146" s="431" t="s">
        <v>204</v>
      </c>
      <c r="M146" s="432" t="s">
        <v>205</v>
      </c>
    </row>
    <row r="147" spans="1:13" ht="409.5" x14ac:dyDescent="0.2">
      <c r="A147" s="431" t="s">
        <v>202</v>
      </c>
      <c r="B147" s="431">
        <v>1870413</v>
      </c>
      <c r="C147" s="431" t="s">
        <v>170</v>
      </c>
      <c r="D147" s="431" t="s">
        <v>173</v>
      </c>
      <c r="E147" s="431" t="s">
        <v>161</v>
      </c>
      <c r="F147" s="431" t="s">
        <v>203</v>
      </c>
      <c r="G147" s="431" t="s">
        <v>175</v>
      </c>
      <c r="H147" s="431"/>
      <c r="I147" s="431"/>
      <c r="J147" s="431"/>
      <c r="K147" s="431"/>
      <c r="L147" s="431" t="s">
        <v>204</v>
      </c>
      <c r="M147" s="432" t="s">
        <v>205</v>
      </c>
    </row>
    <row r="148" spans="1:13" ht="409.5" x14ac:dyDescent="0.2">
      <c r="A148" s="431" t="s">
        <v>202</v>
      </c>
      <c r="B148" s="431">
        <v>1870413</v>
      </c>
      <c r="C148" s="431" t="s">
        <v>170</v>
      </c>
      <c r="D148" s="431" t="s">
        <v>173</v>
      </c>
      <c r="E148" s="431" t="s">
        <v>161</v>
      </c>
      <c r="F148" s="431" t="s">
        <v>203</v>
      </c>
      <c r="G148" s="431" t="s">
        <v>175</v>
      </c>
      <c r="H148" s="431"/>
      <c r="I148" s="431"/>
      <c r="J148" s="431"/>
      <c r="K148" s="431"/>
      <c r="L148" s="431" t="s">
        <v>204</v>
      </c>
      <c r="M148" s="432" t="s">
        <v>205</v>
      </c>
    </row>
    <row r="149" spans="1:13" ht="409.5" x14ac:dyDescent="0.2">
      <c r="A149" s="431" t="s">
        <v>202</v>
      </c>
      <c r="B149" s="431">
        <v>1870413</v>
      </c>
      <c r="C149" s="431" t="s">
        <v>170</v>
      </c>
      <c r="D149" s="431" t="s">
        <v>173</v>
      </c>
      <c r="E149" s="431" t="s">
        <v>161</v>
      </c>
      <c r="F149" s="431" t="s">
        <v>203</v>
      </c>
      <c r="G149" s="431" t="s">
        <v>175</v>
      </c>
      <c r="H149" s="431"/>
      <c r="I149" s="431"/>
      <c r="J149" s="431"/>
      <c r="K149" s="431"/>
      <c r="L149" s="431" t="s">
        <v>204</v>
      </c>
      <c r="M149" s="432" t="s">
        <v>205</v>
      </c>
    </row>
    <row r="150" spans="1:13" ht="409.5" x14ac:dyDescent="0.2">
      <c r="A150" s="431" t="s">
        <v>202</v>
      </c>
      <c r="B150" s="431">
        <v>1870413</v>
      </c>
      <c r="C150" s="431" t="s">
        <v>170</v>
      </c>
      <c r="D150" s="431" t="s">
        <v>173</v>
      </c>
      <c r="E150" s="431" t="s">
        <v>161</v>
      </c>
      <c r="F150" s="431" t="s">
        <v>203</v>
      </c>
      <c r="G150" s="431" t="s">
        <v>175</v>
      </c>
      <c r="H150" s="431"/>
      <c r="I150" s="431"/>
      <c r="J150" s="431"/>
      <c r="K150" s="431"/>
      <c r="L150" s="431" t="s">
        <v>204</v>
      </c>
      <c r="M150" s="432" t="s">
        <v>205</v>
      </c>
    </row>
    <row r="151" spans="1:13" ht="409.5" x14ac:dyDescent="0.2">
      <c r="A151" s="431" t="s">
        <v>202</v>
      </c>
      <c r="B151" s="431">
        <v>1870413</v>
      </c>
      <c r="C151" s="431" t="s">
        <v>170</v>
      </c>
      <c r="D151" s="431" t="s">
        <v>173</v>
      </c>
      <c r="E151" s="431" t="s">
        <v>161</v>
      </c>
      <c r="F151" s="431" t="s">
        <v>203</v>
      </c>
      <c r="G151" s="431" t="s">
        <v>175</v>
      </c>
      <c r="H151" s="431"/>
      <c r="I151" s="431"/>
      <c r="J151" s="431"/>
      <c r="K151" s="431"/>
      <c r="L151" s="431" t="s">
        <v>204</v>
      </c>
      <c r="M151" s="432" t="s">
        <v>205</v>
      </c>
    </row>
    <row r="152" spans="1:13" ht="409.5" x14ac:dyDescent="0.2">
      <c r="A152" s="431" t="s">
        <v>202</v>
      </c>
      <c r="B152" s="431">
        <v>1870413</v>
      </c>
      <c r="C152" s="431" t="s">
        <v>170</v>
      </c>
      <c r="D152" s="431" t="s">
        <v>173</v>
      </c>
      <c r="E152" s="431" t="s">
        <v>161</v>
      </c>
      <c r="F152" s="431" t="s">
        <v>203</v>
      </c>
      <c r="G152" s="431" t="s">
        <v>175</v>
      </c>
      <c r="H152" s="431"/>
      <c r="I152" s="431"/>
      <c r="J152" s="431"/>
      <c r="K152" s="431"/>
      <c r="L152" s="431" t="s">
        <v>204</v>
      </c>
      <c r="M152" s="432" t="s">
        <v>205</v>
      </c>
    </row>
    <row r="153" spans="1:13" ht="409.5" x14ac:dyDescent="0.2">
      <c r="A153" s="431" t="s">
        <v>202</v>
      </c>
      <c r="B153" s="431">
        <v>1870413</v>
      </c>
      <c r="C153" s="431" t="s">
        <v>170</v>
      </c>
      <c r="D153" s="431" t="s">
        <v>173</v>
      </c>
      <c r="E153" s="431" t="s">
        <v>161</v>
      </c>
      <c r="F153" s="431" t="s">
        <v>206</v>
      </c>
      <c r="G153" s="431" t="s">
        <v>175</v>
      </c>
      <c r="H153" s="431"/>
      <c r="I153" s="431"/>
      <c r="J153" s="431"/>
      <c r="K153" s="431"/>
      <c r="L153" s="431" t="s">
        <v>204</v>
      </c>
      <c r="M153" s="432" t="s">
        <v>205</v>
      </c>
    </row>
    <row r="154" spans="1:13" ht="409.5" x14ac:dyDescent="0.2">
      <c r="A154" s="431" t="s">
        <v>202</v>
      </c>
      <c r="B154" s="431">
        <v>1870413</v>
      </c>
      <c r="C154" s="431" t="s">
        <v>170</v>
      </c>
      <c r="D154" s="431" t="s">
        <v>173</v>
      </c>
      <c r="E154" s="431" t="s">
        <v>161</v>
      </c>
      <c r="F154" s="431" t="s">
        <v>207</v>
      </c>
      <c r="G154" s="431" t="s">
        <v>175</v>
      </c>
      <c r="H154" s="431"/>
      <c r="I154" s="431"/>
      <c r="J154" s="431"/>
      <c r="K154" s="431"/>
      <c r="L154" s="431" t="s">
        <v>204</v>
      </c>
      <c r="M154" s="432" t="s">
        <v>205</v>
      </c>
    </row>
    <row r="155" spans="1:13" ht="409.5" x14ac:dyDescent="0.2">
      <c r="A155" s="431" t="s">
        <v>202</v>
      </c>
      <c r="B155" s="431">
        <v>1870413</v>
      </c>
      <c r="C155" s="431" t="s">
        <v>170</v>
      </c>
      <c r="D155" s="431" t="s">
        <v>173</v>
      </c>
      <c r="E155" s="431" t="s">
        <v>161</v>
      </c>
      <c r="F155" s="431" t="s">
        <v>208</v>
      </c>
      <c r="G155" s="431" t="s">
        <v>175</v>
      </c>
      <c r="H155" s="431"/>
      <c r="I155" s="431"/>
      <c r="J155" s="431"/>
      <c r="K155" s="431"/>
      <c r="L155" s="431" t="s">
        <v>204</v>
      </c>
      <c r="M155" s="432" t="s">
        <v>205</v>
      </c>
    </row>
    <row r="156" spans="1:13" ht="409.5" x14ac:dyDescent="0.2">
      <c r="A156" s="431" t="s">
        <v>202</v>
      </c>
      <c r="B156" s="431">
        <v>1870413</v>
      </c>
      <c r="C156" s="431" t="s">
        <v>170</v>
      </c>
      <c r="D156" s="431" t="s">
        <v>173</v>
      </c>
      <c r="E156" s="431" t="s">
        <v>161</v>
      </c>
      <c r="F156" s="431" t="s">
        <v>209</v>
      </c>
      <c r="G156" s="431" t="s">
        <v>175</v>
      </c>
      <c r="H156" s="431"/>
      <c r="I156" s="431"/>
      <c r="J156" s="431"/>
      <c r="K156" s="431"/>
      <c r="L156" s="431" t="s">
        <v>204</v>
      </c>
      <c r="M156" s="432" t="s">
        <v>205</v>
      </c>
    </row>
    <row r="157" spans="1:13" ht="409.5" x14ac:dyDescent="0.2">
      <c r="A157" s="431" t="s">
        <v>202</v>
      </c>
      <c r="B157" s="431">
        <v>1870413</v>
      </c>
      <c r="C157" s="431" t="s">
        <v>170</v>
      </c>
      <c r="D157" s="431" t="s">
        <v>173</v>
      </c>
      <c r="E157" s="431" t="s">
        <v>161</v>
      </c>
      <c r="F157" s="431" t="s">
        <v>210</v>
      </c>
      <c r="G157" s="431" t="s">
        <v>175</v>
      </c>
      <c r="H157" s="431"/>
      <c r="I157" s="431"/>
      <c r="J157" s="431"/>
      <c r="K157" s="431"/>
      <c r="L157" s="431" t="s">
        <v>204</v>
      </c>
      <c r="M157" s="432" t="s">
        <v>205</v>
      </c>
    </row>
    <row r="158" spans="1:13" ht="409.5" x14ac:dyDescent="0.2">
      <c r="A158" s="431" t="s">
        <v>202</v>
      </c>
      <c r="B158" s="431">
        <v>1870413</v>
      </c>
      <c r="C158" s="431" t="s">
        <v>170</v>
      </c>
      <c r="D158" s="431" t="s">
        <v>173</v>
      </c>
      <c r="E158" s="431" t="s">
        <v>161</v>
      </c>
      <c r="F158" s="431" t="s">
        <v>211</v>
      </c>
      <c r="G158" s="431" t="s">
        <v>175</v>
      </c>
      <c r="H158" s="431"/>
      <c r="I158" s="431"/>
      <c r="J158" s="431"/>
      <c r="K158" s="431"/>
      <c r="L158" s="431" t="s">
        <v>204</v>
      </c>
      <c r="M158" s="432" t="s">
        <v>205</v>
      </c>
    </row>
    <row r="159" spans="1:13" ht="409.5" x14ac:dyDescent="0.2">
      <c r="A159" s="431" t="s">
        <v>202</v>
      </c>
      <c r="B159" s="431">
        <v>1870413</v>
      </c>
      <c r="C159" s="431" t="s">
        <v>170</v>
      </c>
      <c r="D159" s="431" t="s">
        <v>173</v>
      </c>
      <c r="E159" s="431" t="s">
        <v>161</v>
      </c>
      <c r="F159" s="431" t="s">
        <v>212</v>
      </c>
      <c r="G159" s="431" t="s">
        <v>175</v>
      </c>
      <c r="H159" s="431"/>
      <c r="I159" s="431"/>
      <c r="J159" s="431"/>
      <c r="K159" s="431"/>
      <c r="L159" s="431" t="s">
        <v>204</v>
      </c>
      <c r="M159" s="432" t="s">
        <v>205</v>
      </c>
    </row>
    <row r="160" spans="1:13" ht="409.5" x14ac:dyDescent="0.2">
      <c r="A160" s="431" t="s">
        <v>202</v>
      </c>
      <c r="B160" s="431">
        <v>1870413</v>
      </c>
      <c r="C160" s="431" t="s">
        <v>170</v>
      </c>
      <c r="D160" s="431" t="s">
        <v>173</v>
      </c>
      <c r="E160" s="431" t="s">
        <v>161</v>
      </c>
      <c r="F160" s="431" t="s">
        <v>213</v>
      </c>
      <c r="G160" s="431" t="s">
        <v>175</v>
      </c>
      <c r="H160" s="431"/>
      <c r="I160" s="431"/>
      <c r="J160" s="431"/>
      <c r="K160" s="431"/>
      <c r="L160" s="431" t="s">
        <v>204</v>
      </c>
      <c r="M160" s="432" t="s">
        <v>205</v>
      </c>
    </row>
    <row r="161" spans="1:13" ht="409.5" x14ac:dyDescent="0.2">
      <c r="A161" s="431" t="s">
        <v>202</v>
      </c>
      <c r="B161" s="431">
        <v>1870413</v>
      </c>
      <c r="C161" s="431" t="s">
        <v>170</v>
      </c>
      <c r="D161" s="431" t="s">
        <v>173</v>
      </c>
      <c r="E161" s="431" t="s">
        <v>161</v>
      </c>
      <c r="F161" s="431" t="s">
        <v>214</v>
      </c>
      <c r="G161" s="431" t="s">
        <v>175</v>
      </c>
      <c r="H161" s="431"/>
      <c r="I161" s="431"/>
      <c r="J161" s="431"/>
      <c r="K161" s="431"/>
      <c r="L161" s="431" t="s">
        <v>204</v>
      </c>
      <c r="M161" s="432" t="s">
        <v>205</v>
      </c>
    </row>
    <row r="162" spans="1:13" ht="409.5" x14ac:dyDescent="0.2">
      <c r="A162" s="431" t="s">
        <v>202</v>
      </c>
      <c r="B162" s="431">
        <v>1870413</v>
      </c>
      <c r="C162" s="431" t="s">
        <v>170</v>
      </c>
      <c r="D162" s="431" t="s">
        <v>173</v>
      </c>
      <c r="E162" s="431" t="s">
        <v>161</v>
      </c>
      <c r="F162" s="431" t="s">
        <v>214</v>
      </c>
      <c r="G162" s="431" t="s">
        <v>175</v>
      </c>
      <c r="H162" s="431"/>
      <c r="I162" s="431"/>
      <c r="J162" s="431"/>
      <c r="K162" s="431"/>
      <c r="L162" s="431" t="s">
        <v>204</v>
      </c>
      <c r="M162" s="432" t="s">
        <v>205</v>
      </c>
    </row>
    <row r="163" spans="1:13" ht="409.5" x14ac:dyDescent="0.2">
      <c r="A163" s="431" t="s">
        <v>202</v>
      </c>
      <c r="B163" s="431">
        <v>1870413</v>
      </c>
      <c r="C163" s="431" t="s">
        <v>170</v>
      </c>
      <c r="D163" s="431" t="s">
        <v>173</v>
      </c>
      <c r="E163" s="431" t="s">
        <v>161</v>
      </c>
      <c r="F163" s="431" t="s">
        <v>214</v>
      </c>
      <c r="G163" s="431" t="s">
        <v>175</v>
      </c>
      <c r="H163" s="431"/>
      <c r="I163" s="431"/>
      <c r="J163" s="431"/>
      <c r="K163" s="431"/>
      <c r="L163" s="431" t="s">
        <v>204</v>
      </c>
      <c r="M163" s="432" t="s">
        <v>205</v>
      </c>
    </row>
    <row r="164" spans="1:13" ht="409.5" x14ac:dyDescent="0.2">
      <c r="A164" s="431" t="s">
        <v>202</v>
      </c>
      <c r="B164" s="431">
        <v>1870413</v>
      </c>
      <c r="C164" s="431" t="s">
        <v>170</v>
      </c>
      <c r="D164" s="431" t="s">
        <v>173</v>
      </c>
      <c r="E164" s="431" t="s">
        <v>161</v>
      </c>
      <c r="F164" s="431" t="s">
        <v>214</v>
      </c>
      <c r="G164" s="431" t="s">
        <v>175</v>
      </c>
      <c r="H164" s="431"/>
      <c r="I164" s="431"/>
      <c r="J164" s="431"/>
      <c r="K164" s="431"/>
      <c r="L164" s="431" t="s">
        <v>204</v>
      </c>
      <c r="M164" s="432" t="s">
        <v>205</v>
      </c>
    </row>
    <row r="165" spans="1:13" ht="409.5" x14ac:dyDescent="0.2">
      <c r="A165" s="431" t="s">
        <v>202</v>
      </c>
      <c r="B165" s="431">
        <v>1870413</v>
      </c>
      <c r="C165" s="431" t="s">
        <v>170</v>
      </c>
      <c r="D165" s="431" t="s">
        <v>173</v>
      </c>
      <c r="E165" s="431" t="s">
        <v>161</v>
      </c>
      <c r="F165" s="431" t="s">
        <v>214</v>
      </c>
      <c r="G165" s="431" t="s">
        <v>175</v>
      </c>
      <c r="H165" s="431"/>
      <c r="I165" s="431"/>
      <c r="J165" s="431"/>
      <c r="K165" s="431"/>
      <c r="L165" s="431" t="s">
        <v>204</v>
      </c>
      <c r="M165" s="432" t="s">
        <v>205</v>
      </c>
    </row>
    <row r="166" spans="1:13" ht="409.5" x14ac:dyDescent="0.2">
      <c r="A166" s="431" t="s">
        <v>202</v>
      </c>
      <c r="B166" s="431">
        <v>1870413</v>
      </c>
      <c r="C166" s="431" t="s">
        <v>170</v>
      </c>
      <c r="D166" s="431" t="s">
        <v>173</v>
      </c>
      <c r="E166" s="431" t="s">
        <v>161</v>
      </c>
      <c r="F166" s="431" t="s">
        <v>214</v>
      </c>
      <c r="G166" s="431" t="s">
        <v>175</v>
      </c>
      <c r="H166" s="431"/>
      <c r="I166" s="431"/>
      <c r="J166" s="431"/>
      <c r="K166" s="431"/>
      <c r="L166" s="431" t="s">
        <v>204</v>
      </c>
      <c r="M166" s="432" t="s">
        <v>205</v>
      </c>
    </row>
    <row r="167" spans="1:13" ht="409.5" x14ac:dyDescent="0.2">
      <c r="A167" s="431" t="s">
        <v>202</v>
      </c>
      <c r="B167" s="431">
        <v>1870413</v>
      </c>
      <c r="C167" s="431" t="s">
        <v>170</v>
      </c>
      <c r="D167" s="431" t="s">
        <v>173</v>
      </c>
      <c r="E167" s="431" t="s">
        <v>161</v>
      </c>
      <c r="F167" s="431" t="s">
        <v>215</v>
      </c>
      <c r="G167" s="431" t="s">
        <v>175</v>
      </c>
      <c r="H167" s="431"/>
      <c r="I167" s="431"/>
      <c r="J167" s="431"/>
      <c r="K167" s="431"/>
      <c r="L167" s="431" t="s">
        <v>204</v>
      </c>
      <c r="M167" s="432" t="s">
        <v>205</v>
      </c>
    </row>
    <row r="168" spans="1:13" ht="409.5" x14ac:dyDescent="0.2">
      <c r="A168" s="431" t="s">
        <v>202</v>
      </c>
      <c r="B168" s="431">
        <v>1870413</v>
      </c>
      <c r="C168" s="431" t="s">
        <v>170</v>
      </c>
      <c r="D168" s="431" t="s">
        <v>173</v>
      </c>
      <c r="E168" s="431" t="s">
        <v>161</v>
      </c>
      <c r="F168" s="431" t="s">
        <v>216</v>
      </c>
      <c r="G168" s="431" t="s">
        <v>175</v>
      </c>
      <c r="H168" s="431"/>
      <c r="I168" s="431"/>
      <c r="J168" s="431"/>
      <c r="K168" s="431"/>
      <c r="L168" s="431" t="s">
        <v>204</v>
      </c>
      <c r="M168" s="432" t="s">
        <v>205</v>
      </c>
    </row>
    <row r="169" spans="1:13" ht="409.5" x14ac:dyDescent="0.2">
      <c r="A169" s="431" t="s">
        <v>202</v>
      </c>
      <c r="B169" s="431">
        <v>1870413</v>
      </c>
      <c r="C169" s="431" t="s">
        <v>170</v>
      </c>
      <c r="D169" s="431" t="s">
        <v>173</v>
      </c>
      <c r="E169" s="431" t="s">
        <v>161</v>
      </c>
      <c r="F169" s="431" t="s">
        <v>217</v>
      </c>
      <c r="G169" s="431" t="s">
        <v>175</v>
      </c>
      <c r="H169" s="431"/>
      <c r="I169" s="431"/>
      <c r="J169" s="431"/>
      <c r="K169" s="431"/>
      <c r="L169" s="431" t="s">
        <v>204</v>
      </c>
      <c r="M169" s="432" t="s">
        <v>205</v>
      </c>
    </row>
    <row r="170" spans="1:13" ht="408" x14ac:dyDescent="0.2">
      <c r="A170" s="431" t="s">
        <v>218</v>
      </c>
      <c r="B170" s="431">
        <v>1870415</v>
      </c>
      <c r="C170" s="431" t="s">
        <v>159</v>
      </c>
      <c r="D170" s="431" t="s">
        <v>173</v>
      </c>
      <c r="E170" s="431" t="s">
        <v>161</v>
      </c>
      <c r="F170" s="431" t="s">
        <v>219</v>
      </c>
      <c r="G170" s="431" t="s">
        <v>175</v>
      </c>
      <c r="H170" s="431"/>
      <c r="I170" s="431"/>
      <c r="J170" s="431"/>
      <c r="K170" s="431"/>
      <c r="L170" s="431" t="s">
        <v>220</v>
      </c>
      <c r="M170" s="432" t="s">
        <v>221</v>
      </c>
    </row>
    <row r="171" spans="1:13" ht="408" x14ac:dyDescent="0.2">
      <c r="A171" s="431" t="s">
        <v>218</v>
      </c>
      <c r="B171" s="431">
        <v>1870415</v>
      </c>
      <c r="C171" s="431" t="s">
        <v>159</v>
      </c>
      <c r="D171" s="431" t="s">
        <v>173</v>
      </c>
      <c r="E171" s="431" t="s">
        <v>161</v>
      </c>
      <c r="F171" s="431" t="s">
        <v>222</v>
      </c>
      <c r="G171" s="431" t="s">
        <v>175</v>
      </c>
      <c r="H171" s="431"/>
      <c r="I171" s="431"/>
      <c r="J171" s="431"/>
      <c r="K171" s="431"/>
      <c r="L171" s="431" t="s">
        <v>220</v>
      </c>
      <c r="M171" s="432" t="s">
        <v>221</v>
      </c>
    </row>
    <row r="172" spans="1:13" ht="408" x14ac:dyDescent="0.2">
      <c r="A172" s="431" t="s">
        <v>218</v>
      </c>
      <c r="B172" s="431">
        <v>1870415</v>
      </c>
      <c r="C172" s="431" t="s">
        <v>159</v>
      </c>
      <c r="D172" s="431" t="s">
        <v>173</v>
      </c>
      <c r="E172" s="431" t="s">
        <v>161</v>
      </c>
      <c r="F172" s="431" t="s">
        <v>223</v>
      </c>
      <c r="G172" s="431" t="s">
        <v>175</v>
      </c>
      <c r="H172" s="431"/>
      <c r="I172" s="431"/>
      <c r="J172" s="431"/>
      <c r="K172" s="431"/>
      <c r="L172" s="431" t="s">
        <v>220</v>
      </c>
      <c r="M172" s="432" t="s">
        <v>221</v>
      </c>
    </row>
    <row r="173" spans="1:13" ht="408" x14ac:dyDescent="0.2">
      <c r="A173" s="431" t="s">
        <v>218</v>
      </c>
      <c r="B173" s="431">
        <v>1870415</v>
      </c>
      <c r="C173" s="431" t="s">
        <v>159</v>
      </c>
      <c r="D173" s="431" t="s">
        <v>173</v>
      </c>
      <c r="E173" s="431" t="s">
        <v>161</v>
      </c>
      <c r="F173" s="431" t="s">
        <v>224</v>
      </c>
      <c r="G173" s="431" t="s">
        <v>175</v>
      </c>
      <c r="H173" s="431"/>
      <c r="I173" s="431"/>
      <c r="J173" s="431"/>
      <c r="K173" s="431"/>
      <c r="L173" s="431" t="s">
        <v>220</v>
      </c>
      <c r="M173" s="432" t="s">
        <v>221</v>
      </c>
    </row>
    <row r="174" spans="1:13" ht="408" x14ac:dyDescent="0.2">
      <c r="A174" s="431" t="s">
        <v>218</v>
      </c>
      <c r="B174" s="431">
        <v>1870415</v>
      </c>
      <c r="C174" s="431" t="s">
        <v>159</v>
      </c>
      <c r="D174" s="431" t="s">
        <v>173</v>
      </c>
      <c r="E174" s="431" t="s">
        <v>161</v>
      </c>
      <c r="F174" s="431" t="s">
        <v>225</v>
      </c>
      <c r="G174" s="431" t="s">
        <v>175</v>
      </c>
      <c r="H174" s="431"/>
      <c r="I174" s="431"/>
      <c r="J174" s="431"/>
      <c r="K174" s="431"/>
      <c r="L174" s="431" t="s">
        <v>220</v>
      </c>
      <c r="M174" s="432" t="s">
        <v>221</v>
      </c>
    </row>
    <row r="175" spans="1:13" ht="408" x14ac:dyDescent="0.2">
      <c r="A175" s="431" t="s">
        <v>218</v>
      </c>
      <c r="B175" s="431">
        <v>1870415</v>
      </c>
      <c r="C175" s="431" t="s">
        <v>159</v>
      </c>
      <c r="D175" s="431" t="s">
        <v>173</v>
      </c>
      <c r="E175" s="431" t="s">
        <v>161</v>
      </c>
      <c r="F175" s="431" t="s">
        <v>226</v>
      </c>
      <c r="G175" s="431" t="s">
        <v>175</v>
      </c>
      <c r="H175" s="431"/>
      <c r="I175" s="431"/>
      <c r="J175" s="431"/>
      <c r="K175" s="431"/>
      <c r="L175" s="431" t="s">
        <v>220</v>
      </c>
      <c r="M175" s="432" t="s">
        <v>221</v>
      </c>
    </row>
    <row r="176" spans="1:13" ht="408" x14ac:dyDescent="0.2">
      <c r="A176" s="431" t="s">
        <v>218</v>
      </c>
      <c r="B176" s="431">
        <v>1870415</v>
      </c>
      <c r="C176" s="431" t="s">
        <v>159</v>
      </c>
      <c r="D176" s="431" t="s">
        <v>173</v>
      </c>
      <c r="E176" s="431" t="s">
        <v>161</v>
      </c>
      <c r="F176" s="431" t="s">
        <v>227</v>
      </c>
      <c r="G176" s="431" t="s">
        <v>175</v>
      </c>
      <c r="H176" s="431"/>
      <c r="I176" s="431"/>
      <c r="J176" s="431"/>
      <c r="K176" s="431"/>
      <c r="L176" s="431" t="s">
        <v>220</v>
      </c>
      <c r="M176" s="432" t="s">
        <v>221</v>
      </c>
    </row>
    <row r="177" spans="1:13" ht="408" x14ac:dyDescent="0.2">
      <c r="A177" s="431" t="s">
        <v>218</v>
      </c>
      <c r="B177" s="431">
        <v>1870415</v>
      </c>
      <c r="C177" s="431" t="s">
        <v>159</v>
      </c>
      <c r="D177" s="431" t="s">
        <v>173</v>
      </c>
      <c r="E177" s="431" t="s">
        <v>161</v>
      </c>
      <c r="F177" s="431" t="s">
        <v>228</v>
      </c>
      <c r="G177" s="431" t="s">
        <v>175</v>
      </c>
      <c r="H177" s="431"/>
      <c r="I177" s="431"/>
      <c r="J177" s="431"/>
      <c r="K177" s="431"/>
      <c r="L177" s="431" t="s">
        <v>220</v>
      </c>
      <c r="M177" s="432" t="s">
        <v>221</v>
      </c>
    </row>
    <row r="178" spans="1:13" ht="408" x14ac:dyDescent="0.2">
      <c r="A178" s="431" t="s">
        <v>218</v>
      </c>
      <c r="B178" s="431">
        <v>1870415</v>
      </c>
      <c r="C178" s="431" t="s">
        <v>159</v>
      </c>
      <c r="D178" s="431" t="s">
        <v>173</v>
      </c>
      <c r="E178" s="431" t="s">
        <v>161</v>
      </c>
      <c r="F178" s="431" t="s">
        <v>229</v>
      </c>
      <c r="G178" s="431" t="s">
        <v>175</v>
      </c>
      <c r="H178" s="431"/>
      <c r="I178" s="431"/>
      <c r="J178" s="431"/>
      <c r="K178" s="431"/>
      <c r="L178" s="431" t="s">
        <v>220</v>
      </c>
      <c r="M178" s="432" t="s">
        <v>221</v>
      </c>
    </row>
    <row r="179" spans="1:13" ht="408" x14ac:dyDescent="0.2">
      <c r="A179" s="431" t="s">
        <v>218</v>
      </c>
      <c r="B179" s="431">
        <v>1870415</v>
      </c>
      <c r="C179" s="431" t="s">
        <v>159</v>
      </c>
      <c r="D179" s="431" t="s">
        <v>173</v>
      </c>
      <c r="E179" s="431" t="s">
        <v>161</v>
      </c>
      <c r="F179" s="431" t="s">
        <v>230</v>
      </c>
      <c r="G179" s="431" t="s">
        <v>175</v>
      </c>
      <c r="H179" s="431"/>
      <c r="I179" s="431"/>
      <c r="J179" s="431"/>
      <c r="K179" s="431"/>
      <c r="L179" s="431" t="s">
        <v>220</v>
      </c>
      <c r="M179" s="432" t="s">
        <v>221</v>
      </c>
    </row>
    <row r="180" spans="1:13" ht="408" x14ac:dyDescent="0.2">
      <c r="A180" s="431" t="s">
        <v>218</v>
      </c>
      <c r="B180" s="431">
        <v>1870415</v>
      </c>
      <c r="C180" s="431" t="s">
        <v>159</v>
      </c>
      <c r="D180" s="431" t="s">
        <v>173</v>
      </c>
      <c r="E180" s="431" t="s">
        <v>161</v>
      </c>
      <c r="F180" s="431" t="s">
        <v>231</v>
      </c>
      <c r="G180" s="431" t="s">
        <v>175</v>
      </c>
      <c r="H180" s="431"/>
      <c r="I180" s="431"/>
      <c r="J180" s="431"/>
      <c r="K180" s="431"/>
      <c r="L180" s="431" t="s">
        <v>220</v>
      </c>
      <c r="M180" s="432" t="s">
        <v>221</v>
      </c>
    </row>
    <row r="181" spans="1:13" ht="408" x14ac:dyDescent="0.2">
      <c r="A181" s="431" t="s">
        <v>218</v>
      </c>
      <c r="B181" s="431">
        <v>1870415</v>
      </c>
      <c r="C181" s="431" t="s">
        <v>159</v>
      </c>
      <c r="D181" s="431" t="s">
        <v>173</v>
      </c>
      <c r="E181" s="431" t="s">
        <v>161</v>
      </c>
      <c r="F181" s="431" t="s">
        <v>232</v>
      </c>
      <c r="G181" s="431" t="s">
        <v>175</v>
      </c>
      <c r="H181" s="431"/>
      <c r="I181" s="431"/>
      <c r="J181" s="431"/>
      <c r="K181" s="431"/>
      <c r="L181" s="431" t="s">
        <v>220</v>
      </c>
      <c r="M181" s="432" t="s">
        <v>221</v>
      </c>
    </row>
    <row r="182" spans="1:13" ht="408" x14ac:dyDescent="0.2">
      <c r="A182" s="431" t="s">
        <v>218</v>
      </c>
      <c r="B182" s="431">
        <v>1870415</v>
      </c>
      <c r="C182" s="431" t="s">
        <v>159</v>
      </c>
      <c r="D182" s="431" t="s">
        <v>173</v>
      </c>
      <c r="E182" s="431" t="s">
        <v>161</v>
      </c>
      <c r="F182" s="431" t="s">
        <v>233</v>
      </c>
      <c r="G182" s="431" t="s">
        <v>175</v>
      </c>
      <c r="H182" s="431"/>
      <c r="I182" s="431"/>
      <c r="J182" s="431"/>
      <c r="K182" s="431"/>
      <c r="L182" s="431" t="s">
        <v>220</v>
      </c>
      <c r="M182" s="432" t="s">
        <v>221</v>
      </c>
    </row>
    <row r="183" spans="1:13" ht="408" x14ac:dyDescent="0.2">
      <c r="A183" s="431" t="s">
        <v>218</v>
      </c>
      <c r="B183" s="431">
        <v>1870415</v>
      </c>
      <c r="C183" s="431" t="s">
        <v>159</v>
      </c>
      <c r="D183" s="431" t="s">
        <v>173</v>
      </c>
      <c r="E183" s="431" t="s">
        <v>161</v>
      </c>
      <c r="F183" s="431" t="s">
        <v>234</v>
      </c>
      <c r="G183" s="431" t="s">
        <v>175</v>
      </c>
      <c r="H183" s="431"/>
      <c r="I183" s="431"/>
      <c r="J183" s="431"/>
      <c r="K183" s="431"/>
      <c r="L183" s="431" t="s">
        <v>220</v>
      </c>
      <c r="M183" s="432" t="s">
        <v>221</v>
      </c>
    </row>
    <row r="184" spans="1:13" ht="408" x14ac:dyDescent="0.2">
      <c r="A184" s="431" t="s">
        <v>218</v>
      </c>
      <c r="B184" s="431">
        <v>1870415</v>
      </c>
      <c r="C184" s="431" t="s">
        <v>159</v>
      </c>
      <c r="D184" s="431" t="s">
        <v>173</v>
      </c>
      <c r="E184" s="431" t="s">
        <v>161</v>
      </c>
      <c r="F184" s="431" t="s">
        <v>235</v>
      </c>
      <c r="G184" s="431" t="s">
        <v>175</v>
      </c>
      <c r="H184" s="431"/>
      <c r="I184" s="431"/>
      <c r="J184" s="431"/>
      <c r="K184" s="431"/>
      <c r="L184" s="431" t="s">
        <v>220</v>
      </c>
      <c r="M184" s="432" t="s">
        <v>221</v>
      </c>
    </row>
    <row r="185" spans="1:13" ht="408" x14ac:dyDescent="0.2">
      <c r="A185" s="431" t="s">
        <v>218</v>
      </c>
      <c r="B185" s="431">
        <v>1870415</v>
      </c>
      <c r="C185" s="431" t="s">
        <v>159</v>
      </c>
      <c r="D185" s="431" t="s">
        <v>173</v>
      </c>
      <c r="E185" s="431" t="s">
        <v>161</v>
      </c>
      <c r="F185" s="431" t="s">
        <v>236</v>
      </c>
      <c r="G185" s="431" t="s">
        <v>175</v>
      </c>
      <c r="H185" s="431"/>
      <c r="I185" s="431"/>
      <c r="J185" s="431"/>
      <c r="K185" s="431"/>
      <c r="L185" s="431" t="s">
        <v>220</v>
      </c>
      <c r="M185" s="432" t="s">
        <v>221</v>
      </c>
    </row>
    <row r="186" spans="1:13" ht="408" x14ac:dyDescent="0.2">
      <c r="A186" s="431" t="s">
        <v>218</v>
      </c>
      <c r="B186" s="431">
        <v>1870415</v>
      </c>
      <c r="C186" s="431" t="s">
        <v>159</v>
      </c>
      <c r="D186" s="431" t="s">
        <v>173</v>
      </c>
      <c r="E186" s="431" t="s">
        <v>161</v>
      </c>
      <c r="F186" s="431" t="s">
        <v>237</v>
      </c>
      <c r="G186" s="431" t="s">
        <v>175</v>
      </c>
      <c r="H186" s="431"/>
      <c r="I186" s="431"/>
      <c r="J186" s="431"/>
      <c r="K186" s="431"/>
      <c r="L186" s="431" t="s">
        <v>220</v>
      </c>
      <c r="M186" s="432" t="s">
        <v>221</v>
      </c>
    </row>
    <row r="187" spans="1:13" ht="408" x14ac:dyDescent="0.2">
      <c r="A187" s="431" t="s">
        <v>218</v>
      </c>
      <c r="B187" s="431">
        <v>1870415</v>
      </c>
      <c r="C187" s="431" t="s">
        <v>159</v>
      </c>
      <c r="D187" s="431" t="s">
        <v>173</v>
      </c>
      <c r="E187" s="431" t="s">
        <v>161</v>
      </c>
      <c r="F187" s="431" t="s">
        <v>238</v>
      </c>
      <c r="G187" s="431" t="s">
        <v>175</v>
      </c>
      <c r="H187" s="431"/>
      <c r="I187" s="431"/>
      <c r="J187" s="431"/>
      <c r="K187" s="431"/>
      <c r="L187" s="431" t="s">
        <v>220</v>
      </c>
      <c r="M187" s="432" t="s">
        <v>221</v>
      </c>
    </row>
    <row r="188" spans="1:13" ht="408" x14ac:dyDescent="0.2">
      <c r="A188" s="431" t="s">
        <v>218</v>
      </c>
      <c r="B188" s="431">
        <v>1870415</v>
      </c>
      <c r="C188" s="431" t="s">
        <v>159</v>
      </c>
      <c r="D188" s="431" t="s">
        <v>173</v>
      </c>
      <c r="E188" s="431" t="s">
        <v>161</v>
      </c>
      <c r="F188" s="431" t="s">
        <v>174</v>
      </c>
      <c r="G188" s="431" t="s">
        <v>175</v>
      </c>
      <c r="H188" s="431"/>
      <c r="I188" s="431"/>
      <c r="J188" s="431"/>
      <c r="K188" s="431"/>
      <c r="L188" s="431" t="s">
        <v>220</v>
      </c>
      <c r="M188" s="432" t="s">
        <v>221</v>
      </c>
    </row>
    <row r="189" spans="1:13" ht="408" x14ac:dyDescent="0.2">
      <c r="A189" s="431" t="s">
        <v>218</v>
      </c>
      <c r="B189" s="431">
        <v>1870415</v>
      </c>
      <c r="C189" s="431" t="s">
        <v>159</v>
      </c>
      <c r="D189" s="431" t="s">
        <v>173</v>
      </c>
      <c r="E189" s="431" t="s">
        <v>161</v>
      </c>
      <c r="F189" s="431" t="s">
        <v>174</v>
      </c>
      <c r="G189" s="431" t="s">
        <v>175</v>
      </c>
      <c r="H189" s="431"/>
      <c r="I189" s="431"/>
      <c r="J189" s="431"/>
      <c r="K189" s="431"/>
      <c r="L189" s="431" t="s">
        <v>220</v>
      </c>
      <c r="M189" s="432" t="s">
        <v>221</v>
      </c>
    </row>
    <row r="190" spans="1:13" ht="408" x14ac:dyDescent="0.2">
      <c r="A190" s="431" t="s">
        <v>218</v>
      </c>
      <c r="B190" s="431">
        <v>1870415</v>
      </c>
      <c r="C190" s="431" t="s">
        <v>159</v>
      </c>
      <c r="D190" s="431" t="s">
        <v>173</v>
      </c>
      <c r="E190" s="431" t="s">
        <v>161</v>
      </c>
      <c r="F190" s="431" t="s">
        <v>174</v>
      </c>
      <c r="G190" s="431" t="s">
        <v>175</v>
      </c>
      <c r="H190" s="431"/>
      <c r="I190" s="431"/>
      <c r="J190" s="431"/>
      <c r="K190" s="431"/>
      <c r="L190" s="431" t="s">
        <v>220</v>
      </c>
      <c r="M190" s="432" t="s">
        <v>221</v>
      </c>
    </row>
    <row r="191" spans="1:13" ht="408" x14ac:dyDescent="0.2">
      <c r="A191" s="431" t="s">
        <v>218</v>
      </c>
      <c r="B191" s="431">
        <v>1870415</v>
      </c>
      <c r="C191" s="431" t="s">
        <v>159</v>
      </c>
      <c r="D191" s="431" t="s">
        <v>173</v>
      </c>
      <c r="E191" s="431" t="s">
        <v>161</v>
      </c>
      <c r="F191" s="431" t="s">
        <v>174</v>
      </c>
      <c r="G191" s="431" t="s">
        <v>175</v>
      </c>
      <c r="H191" s="431"/>
      <c r="I191" s="431"/>
      <c r="J191" s="431"/>
      <c r="K191" s="431"/>
      <c r="L191" s="431" t="s">
        <v>220</v>
      </c>
      <c r="M191" s="432" t="s">
        <v>221</v>
      </c>
    </row>
    <row r="192" spans="1:13" ht="408" x14ac:dyDescent="0.2">
      <c r="A192" s="431" t="s">
        <v>218</v>
      </c>
      <c r="B192" s="431">
        <v>1870415</v>
      </c>
      <c r="C192" s="431" t="s">
        <v>159</v>
      </c>
      <c r="D192" s="431" t="s">
        <v>173</v>
      </c>
      <c r="E192" s="431" t="s">
        <v>161</v>
      </c>
      <c r="F192" s="431" t="s">
        <v>174</v>
      </c>
      <c r="G192" s="431" t="s">
        <v>175</v>
      </c>
      <c r="H192" s="431"/>
      <c r="I192" s="431"/>
      <c r="J192" s="431"/>
      <c r="K192" s="431"/>
      <c r="L192" s="431" t="s">
        <v>220</v>
      </c>
      <c r="M192" s="432" t="s">
        <v>221</v>
      </c>
    </row>
    <row r="193" spans="1:13" ht="408" x14ac:dyDescent="0.2">
      <c r="A193" s="431" t="s">
        <v>218</v>
      </c>
      <c r="B193" s="431">
        <v>1870415</v>
      </c>
      <c r="C193" s="431" t="s">
        <v>159</v>
      </c>
      <c r="D193" s="431" t="s">
        <v>173</v>
      </c>
      <c r="E193" s="431" t="s">
        <v>161</v>
      </c>
      <c r="F193" s="431" t="s">
        <v>174</v>
      </c>
      <c r="G193" s="431" t="s">
        <v>175</v>
      </c>
      <c r="H193" s="431"/>
      <c r="I193" s="431"/>
      <c r="J193" s="431"/>
      <c r="K193" s="431"/>
      <c r="L193" s="431" t="s">
        <v>220</v>
      </c>
      <c r="M193" s="432" t="s">
        <v>221</v>
      </c>
    </row>
    <row r="194" spans="1:13" ht="408" x14ac:dyDescent="0.2">
      <c r="A194" s="431" t="s">
        <v>218</v>
      </c>
      <c r="B194" s="431">
        <v>1870415</v>
      </c>
      <c r="C194" s="431" t="s">
        <v>159</v>
      </c>
      <c r="D194" s="431" t="s">
        <v>173</v>
      </c>
      <c r="E194" s="431" t="s">
        <v>161</v>
      </c>
      <c r="F194" s="431" t="s">
        <v>174</v>
      </c>
      <c r="G194" s="431" t="s">
        <v>175</v>
      </c>
      <c r="H194" s="431"/>
      <c r="I194" s="431"/>
      <c r="J194" s="431"/>
      <c r="K194" s="431"/>
      <c r="L194" s="431" t="s">
        <v>220</v>
      </c>
      <c r="M194" s="432" t="s">
        <v>221</v>
      </c>
    </row>
    <row r="195" spans="1:13" ht="408" x14ac:dyDescent="0.2">
      <c r="A195" s="431" t="s">
        <v>218</v>
      </c>
      <c r="B195" s="431">
        <v>1870415</v>
      </c>
      <c r="C195" s="431" t="s">
        <v>159</v>
      </c>
      <c r="D195" s="431" t="s">
        <v>173</v>
      </c>
      <c r="E195" s="431" t="s">
        <v>161</v>
      </c>
      <c r="F195" s="431" t="s">
        <v>174</v>
      </c>
      <c r="G195" s="431" t="s">
        <v>175</v>
      </c>
      <c r="H195" s="431"/>
      <c r="I195" s="431"/>
      <c r="J195" s="431"/>
      <c r="K195" s="431"/>
      <c r="L195" s="431" t="s">
        <v>220</v>
      </c>
      <c r="M195" s="432" t="s">
        <v>221</v>
      </c>
    </row>
    <row r="196" spans="1:13" ht="408" x14ac:dyDescent="0.2">
      <c r="A196" s="431" t="s">
        <v>218</v>
      </c>
      <c r="B196" s="431">
        <v>1870415</v>
      </c>
      <c r="C196" s="431" t="s">
        <v>159</v>
      </c>
      <c r="D196" s="431" t="s">
        <v>173</v>
      </c>
      <c r="E196" s="431" t="s">
        <v>161</v>
      </c>
      <c r="F196" s="431" t="s">
        <v>174</v>
      </c>
      <c r="G196" s="431" t="s">
        <v>175</v>
      </c>
      <c r="H196" s="431"/>
      <c r="I196" s="431"/>
      <c r="J196" s="431"/>
      <c r="K196" s="431"/>
      <c r="L196" s="431" t="s">
        <v>220</v>
      </c>
      <c r="M196" s="432" t="s">
        <v>221</v>
      </c>
    </row>
    <row r="197" spans="1:13" ht="408" x14ac:dyDescent="0.2">
      <c r="A197" s="431" t="s">
        <v>218</v>
      </c>
      <c r="B197" s="431">
        <v>1870415</v>
      </c>
      <c r="C197" s="431" t="s">
        <v>159</v>
      </c>
      <c r="D197" s="431" t="s">
        <v>173</v>
      </c>
      <c r="E197" s="431" t="s">
        <v>161</v>
      </c>
      <c r="F197" s="431" t="s">
        <v>174</v>
      </c>
      <c r="G197" s="431" t="s">
        <v>175</v>
      </c>
      <c r="H197" s="431"/>
      <c r="I197" s="431"/>
      <c r="J197" s="431"/>
      <c r="K197" s="431"/>
      <c r="L197" s="431" t="s">
        <v>220</v>
      </c>
      <c r="M197" s="432" t="s">
        <v>221</v>
      </c>
    </row>
    <row r="198" spans="1:13" ht="408" x14ac:dyDescent="0.2">
      <c r="A198" s="431" t="s">
        <v>218</v>
      </c>
      <c r="B198" s="431">
        <v>1870415</v>
      </c>
      <c r="C198" s="431" t="s">
        <v>159</v>
      </c>
      <c r="D198" s="431" t="s">
        <v>173</v>
      </c>
      <c r="E198" s="431" t="s">
        <v>161</v>
      </c>
      <c r="F198" s="431" t="s">
        <v>174</v>
      </c>
      <c r="G198" s="431" t="s">
        <v>175</v>
      </c>
      <c r="H198" s="431"/>
      <c r="I198" s="431"/>
      <c r="J198" s="431"/>
      <c r="K198" s="431"/>
      <c r="L198" s="431" t="s">
        <v>220</v>
      </c>
      <c r="M198" s="432" t="s">
        <v>221</v>
      </c>
    </row>
    <row r="199" spans="1:13" ht="408" x14ac:dyDescent="0.2">
      <c r="A199" s="431" t="s">
        <v>218</v>
      </c>
      <c r="B199" s="431">
        <v>1870415</v>
      </c>
      <c r="C199" s="431" t="s">
        <v>159</v>
      </c>
      <c r="D199" s="431" t="s">
        <v>173</v>
      </c>
      <c r="E199" s="431" t="s">
        <v>161</v>
      </c>
      <c r="F199" s="431" t="s">
        <v>174</v>
      </c>
      <c r="G199" s="431" t="s">
        <v>175</v>
      </c>
      <c r="H199" s="431"/>
      <c r="I199" s="431"/>
      <c r="J199" s="431"/>
      <c r="K199" s="431"/>
      <c r="L199" s="431" t="s">
        <v>220</v>
      </c>
      <c r="M199" s="432" t="s">
        <v>221</v>
      </c>
    </row>
    <row r="200" spans="1:13" ht="408" x14ac:dyDescent="0.2">
      <c r="A200" s="431" t="s">
        <v>218</v>
      </c>
      <c r="B200" s="431">
        <v>1870415</v>
      </c>
      <c r="C200" s="431" t="s">
        <v>159</v>
      </c>
      <c r="D200" s="431" t="s">
        <v>173</v>
      </c>
      <c r="E200" s="431" t="s">
        <v>161</v>
      </c>
      <c r="F200" s="431" t="s">
        <v>174</v>
      </c>
      <c r="G200" s="431" t="s">
        <v>175</v>
      </c>
      <c r="H200" s="431"/>
      <c r="I200" s="431"/>
      <c r="J200" s="431"/>
      <c r="K200" s="431"/>
      <c r="L200" s="431" t="s">
        <v>220</v>
      </c>
      <c r="M200" s="432" t="s">
        <v>221</v>
      </c>
    </row>
    <row r="201" spans="1:13" ht="408" x14ac:dyDescent="0.2">
      <c r="A201" s="431" t="s">
        <v>218</v>
      </c>
      <c r="B201" s="431">
        <v>1870415</v>
      </c>
      <c r="C201" s="431" t="s">
        <v>159</v>
      </c>
      <c r="D201" s="431" t="s">
        <v>173</v>
      </c>
      <c r="E201" s="431" t="s">
        <v>161</v>
      </c>
      <c r="F201" s="431" t="s">
        <v>174</v>
      </c>
      <c r="G201" s="431" t="s">
        <v>175</v>
      </c>
      <c r="H201" s="431"/>
      <c r="I201" s="431"/>
      <c r="J201" s="431"/>
      <c r="K201" s="431"/>
      <c r="L201" s="431" t="s">
        <v>220</v>
      </c>
      <c r="M201" s="432" t="s">
        <v>221</v>
      </c>
    </row>
    <row r="202" spans="1:13" ht="408" x14ac:dyDescent="0.2">
      <c r="A202" s="431" t="s">
        <v>218</v>
      </c>
      <c r="B202" s="431">
        <v>1870415</v>
      </c>
      <c r="C202" s="431" t="s">
        <v>159</v>
      </c>
      <c r="D202" s="431" t="s">
        <v>173</v>
      </c>
      <c r="E202" s="431" t="s">
        <v>161</v>
      </c>
      <c r="F202" s="431" t="s">
        <v>174</v>
      </c>
      <c r="G202" s="431" t="s">
        <v>175</v>
      </c>
      <c r="H202" s="431"/>
      <c r="I202" s="431"/>
      <c r="J202" s="431"/>
      <c r="K202" s="431"/>
      <c r="L202" s="431" t="s">
        <v>220</v>
      </c>
      <c r="M202" s="432" t="s">
        <v>221</v>
      </c>
    </row>
    <row r="203" spans="1:13" ht="408" x14ac:dyDescent="0.2">
      <c r="A203" s="431" t="s">
        <v>218</v>
      </c>
      <c r="B203" s="431">
        <v>1870415</v>
      </c>
      <c r="C203" s="431" t="s">
        <v>159</v>
      </c>
      <c r="D203" s="431" t="s">
        <v>173</v>
      </c>
      <c r="E203" s="431" t="s">
        <v>161</v>
      </c>
      <c r="F203" s="431" t="s">
        <v>174</v>
      </c>
      <c r="G203" s="431" t="s">
        <v>175</v>
      </c>
      <c r="H203" s="431"/>
      <c r="I203" s="431"/>
      <c r="J203" s="431"/>
      <c r="K203" s="431"/>
      <c r="L203" s="431" t="s">
        <v>220</v>
      </c>
      <c r="M203" s="432" t="s">
        <v>221</v>
      </c>
    </row>
    <row r="204" spans="1:13" ht="408" x14ac:dyDescent="0.2">
      <c r="A204" s="431" t="s">
        <v>218</v>
      </c>
      <c r="B204" s="431">
        <v>1870415</v>
      </c>
      <c r="C204" s="431" t="s">
        <v>159</v>
      </c>
      <c r="D204" s="431" t="s">
        <v>173</v>
      </c>
      <c r="E204" s="431" t="s">
        <v>161</v>
      </c>
      <c r="F204" s="431" t="s">
        <v>174</v>
      </c>
      <c r="G204" s="431" t="s">
        <v>175</v>
      </c>
      <c r="H204" s="431"/>
      <c r="I204" s="431"/>
      <c r="J204" s="431"/>
      <c r="K204" s="431"/>
      <c r="L204" s="431" t="s">
        <v>220</v>
      </c>
      <c r="M204" s="432" t="s">
        <v>221</v>
      </c>
    </row>
    <row r="205" spans="1:13" ht="408" x14ac:dyDescent="0.2">
      <c r="A205" s="431" t="s">
        <v>218</v>
      </c>
      <c r="B205" s="431">
        <v>1870415</v>
      </c>
      <c r="C205" s="431" t="s">
        <v>159</v>
      </c>
      <c r="D205" s="431" t="s">
        <v>173</v>
      </c>
      <c r="E205" s="431" t="s">
        <v>161</v>
      </c>
      <c r="F205" s="431" t="s">
        <v>174</v>
      </c>
      <c r="G205" s="431" t="s">
        <v>175</v>
      </c>
      <c r="H205" s="431"/>
      <c r="I205" s="431"/>
      <c r="J205" s="431"/>
      <c r="K205" s="431"/>
      <c r="L205" s="431" t="s">
        <v>220</v>
      </c>
      <c r="M205" s="432" t="s">
        <v>221</v>
      </c>
    </row>
    <row r="206" spans="1:13" ht="408" x14ac:dyDescent="0.2">
      <c r="A206" s="431" t="s">
        <v>218</v>
      </c>
      <c r="B206" s="431">
        <v>1870415</v>
      </c>
      <c r="C206" s="431" t="s">
        <v>159</v>
      </c>
      <c r="D206" s="431" t="s">
        <v>173</v>
      </c>
      <c r="E206" s="431" t="s">
        <v>161</v>
      </c>
      <c r="F206" s="431" t="s">
        <v>174</v>
      </c>
      <c r="G206" s="431" t="s">
        <v>175</v>
      </c>
      <c r="H206" s="431"/>
      <c r="I206" s="431"/>
      <c r="J206" s="431"/>
      <c r="K206" s="431"/>
      <c r="L206" s="431" t="s">
        <v>220</v>
      </c>
      <c r="M206" s="432" t="s">
        <v>221</v>
      </c>
    </row>
    <row r="207" spans="1:13" ht="408" x14ac:dyDescent="0.2">
      <c r="A207" s="431" t="s">
        <v>218</v>
      </c>
      <c r="B207" s="431">
        <v>1870415</v>
      </c>
      <c r="C207" s="431" t="s">
        <v>159</v>
      </c>
      <c r="D207" s="431" t="s">
        <v>173</v>
      </c>
      <c r="E207" s="431" t="s">
        <v>161</v>
      </c>
      <c r="F207" s="431" t="s">
        <v>174</v>
      </c>
      <c r="G207" s="431" t="s">
        <v>175</v>
      </c>
      <c r="H207" s="431"/>
      <c r="I207" s="431"/>
      <c r="J207" s="431"/>
      <c r="K207" s="431"/>
      <c r="L207" s="431" t="s">
        <v>220</v>
      </c>
      <c r="M207" s="432" t="s">
        <v>221</v>
      </c>
    </row>
    <row r="208" spans="1:13" ht="408" x14ac:dyDescent="0.2">
      <c r="A208" s="431" t="s">
        <v>218</v>
      </c>
      <c r="B208" s="431">
        <v>1870415</v>
      </c>
      <c r="C208" s="431" t="s">
        <v>159</v>
      </c>
      <c r="D208" s="431" t="s">
        <v>173</v>
      </c>
      <c r="E208" s="431" t="s">
        <v>161</v>
      </c>
      <c r="F208" s="431" t="s">
        <v>174</v>
      </c>
      <c r="G208" s="431" t="s">
        <v>175</v>
      </c>
      <c r="H208" s="431"/>
      <c r="I208" s="431"/>
      <c r="J208" s="431"/>
      <c r="K208" s="431"/>
      <c r="L208" s="431" t="s">
        <v>220</v>
      </c>
      <c r="M208" s="432" t="s">
        <v>221</v>
      </c>
    </row>
    <row r="209" spans="1:13" ht="408" x14ac:dyDescent="0.2">
      <c r="A209" s="431" t="s">
        <v>218</v>
      </c>
      <c r="B209" s="431">
        <v>1870415</v>
      </c>
      <c r="C209" s="431" t="s">
        <v>159</v>
      </c>
      <c r="D209" s="431" t="s">
        <v>173</v>
      </c>
      <c r="E209" s="431" t="s">
        <v>161</v>
      </c>
      <c r="F209" s="431" t="s">
        <v>174</v>
      </c>
      <c r="G209" s="431" t="s">
        <v>175</v>
      </c>
      <c r="H209" s="431"/>
      <c r="I209" s="431"/>
      <c r="J209" s="431"/>
      <c r="K209" s="431"/>
      <c r="L209" s="431" t="s">
        <v>220</v>
      </c>
      <c r="M209" s="432" t="s">
        <v>221</v>
      </c>
    </row>
    <row r="210" spans="1:13" ht="408" x14ac:dyDescent="0.2">
      <c r="A210" s="431" t="s">
        <v>218</v>
      </c>
      <c r="B210" s="431">
        <v>1870415</v>
      </c>
      <c r="C210" s="431" t="s">
        <v>159</v>
      </c>
      <c r="D210" s="431" t="s">
        <v>173</v>
      </c>
      <c r="E210" s="431" t="s">
        <v>161</v>
      </c>
      <c r="F210" s="431" t="s">
        <v>174</v>
      </c>
      <c r="G210" s="431" t="s">
        <v>175</v>
      </c>
      <c r="H210" s="431"/>
      <c r="I210" s="431"/>
      <c r="J210" s="431"/>
      <c r="K210" s="431"/>
      <c r="L210" s="431" t="s">
        <v>220</v>
      </c>
      <c r="M210" s="432" t="s">
        <v>221</v>
      </c>
    </row>
    <row r="211" spans="1:13" ht="408" x14ac:dyDescent="0.2">
      <c r="A211" s="431" t="s">
        <v>218</v>
      </c>
      <c r="B211" s="431">
        <v>1870415</v>
      </c>
      <c r="C211" s="431" t="s">
        <v>159</v>
      </c>
      <c r="D211" s="431" t="s">
        <v>173</v>
      </c>
      <c r="E211" s="431" t="s">
        <v>161</v>
      </c>
      <c r="F211" s="431" t="s">
        <v>174</v>
      </c>
      <c r="G211" s="431" t="s">
        <v>175</v>
      </c>
      <c r="H211" s="431"/>
      <c r="I211" s="431"/>
      <c r="J211" s="431"/>
      <c r="K211" s="431"/>
      <c r="L211" s="431" t="s">
        <v>220</v>
      </c>
      <c r="M211" s="432" t="s">
        <v>221</v>
      </c>
    </row>
    <row r="212" spans="1:13" ht="408" x14ac:dyDescent="0.2">
      <c r="A212" s="431" t="s">
        <v>218</v>
      </c>
      <c r="B212" s="431">
        <v>1870415</v>
      </c>
      <c r="C212" s="431" t="s">
        <v>159</v>
      </c>
      <c r="D212" s="431" t="s">
        <v>173</v>
      </c>
      <c r="E212" s="431" t="s">
        <v>161</v>
      </c>
      <c r="F212" s="431" t="s">
        <v>174</v>
      </c>
      <c r="G212" s="431" t="s">
        <v>175</v>
      </c>
      <c r="H212" s="431"/>
      <c r="I212" s="431"/>
      <c r="J212" s="431"/>
      <c r="K212" s="431"/>
      <c r="L212" s="431" t="s">
        <v>220</v>
      </c>
      <c r="M212" s="432" t="s">
        <v>221</v>
      </c>
    </row>
    <row r="213" spans="1:13" ht="408" x14ac:dyDescent="0.2">
      <c r="A213" s="431" t="s">
        <v>218</v>
      </c>
      <c r="B213" s="431">
        <v>1870415</v>
      </c>
      <c r="C213" s="431" t="s">
        <v>159</v>
      </c>
      <c r="D213" s="431" t="s">
        <v>173</v>
      </c>
      <c r="E213" s="431" t="s">
        <v>161</v>
      </c>
      <c r="F213" s="431" t="s">
        <v>178</v>
      </c>
      <c r="G213" s="431" t="s">
        <v>175</v>
      </c>
      <c r="H213" s="431"/>
      <c r="I213" s="431"/>
      <c r="J213" s="431"/>
      <c r="K213" s="431"/>
      <c r="L213" s="431" t="s">
        <v>220</v>
      </c>
      <c r="M213" s="432" t="s">
        <v>221</v>
      </c>
    </row>
    <row r="214" spans="1:13" ht="408" x14ac:dyDescent="0.2">
      <c r="A214" s="431" t="s">
        <v>218</v>
      </c>
      <c r="B214" s="431">
        <v>1870415</v>
      </c>
      <c r="C214" s="431" t="s">
        <v>159</v>
      </c>
      <c r="D214" s="431" t="s">
        <v>173</v>
      </c>
      <c r="E214" s="431" t="s">
        <v>161</v>
      </c>
      <c r="F214" s="431" t="s">
        <v>178</v>
      </c>
      <c r="G214" s="431" t="s">
        <v>175</v>
      </c>
      <c r="H214" s="431"/>
      <c r="I214" s="431"/>
      <c r="J214" s="431"/>
      <c r="K214" s="431"/>
      <c r="L214" s="431" t="s">
        <v>220</v>
      </c>
      <c r="M214" s="432" t="s">
        <v>221</v>
      </c>
    </row>
    <row r="215" spans="1:13" ht="408" x14ac:dyDescent="0.2">
      <c r="A215" s="431" t="s">
        <v>218</v>
      </c>
      <c r="B215" s="431">
        <v>1870415</v>
      </c>
      <c r="C215" s="431" t="s">
        <v>159</v>
      </c>
      <c r="D215" s="431" t="s">
        <v>173</v>
      </c>
      <c r="E215" s="431" t="s">
        <v>161</v>
      </c>
      <c r="F215" s="431" t="s">
        <v>178</v>
      </c>
      <c r="G215" s="431" t="s">
        <v>175</v>
      </c>
      <c r="H215" s="431"/>
      <c r="I215" s="431"/>
      <c r="J215" s="431"/>
      <c r="K215" s="431"/>
      <c r="L215" s="431" t="s">
        <v>220</v>
      </c>
      <c r="M215" s="432" t="s">
        <v>221</v>
      </c>
    </row>
    <row r="216" spans="1:13" ht="408" x14ac:dyDescent="0.2">
      <c r="A216" s="431" t="s">
        <v>218</v>
      </c>
      <c r="B216" s="431">
        <v>1870415</v>
      </c>
      <c r="C216" s="431" t="s">
        <v>159</v>
      </c>
      <c r="D216" s="431" t="s">
        <v>173</v>
      </c>
      <c r="E216" s="431" t="s">
        <v>161</v>
      </c>
      <c r="F216" s="431" t="s">
        <v>178</v>
      </c>
      <c r="G216" s="431" t="s">
        <v>175</v>
      </c>
      <c r="H216" s="431"/>
      <c r="I216" s="431"/>
      <c r="J216" s="431"/>
      <c r="K216" s="431"/>
      <c r="L216" s="431" t="s">
        <v>220</v>
      </c>
      <c r="M216" s="432" t="s">
        <v>221</v>
      </c>
    </row>
    <row r="217" spans="1:13" ht="408" x14ac:dyDescent="0.2">
      <c r="A217" s="431" t="s">
        <v>218</v>
      </c>
      <c r="B217" s="431">
        <v>1870415</v>
      </c>
      <c r="C217" s="431" t="s">
        <v>159</v>
      </c>
      <c r="D217" s="431" t="s">
        <v>173</v>
      </c>
      <c r="E217" s="431" t="s">
        <v>161</v>
      </c>
      <c r="F217" s="431" t="s">
        <v>178</v>
      </c>
      <c r="G217" s="431" t="s">
        <v>175</v>
      </c>
      <c r="H217" s="431"/>
      <c r="I217" s="431"/>
      <c r="J217" s="431"/>
      <c r="K217" s="431"/>
      <c r="L217" s="431" t="s">
        <v>220</v>
      </c>
      <c r="M217" s="432" t="s">
        <v>221</v>
      </c>
    </row>
    <row r="218" spans="1:13" ht="408" x14ac:dyDescent="0.2">
      <c r="A218" s="431" t="s">
        <v>218</v>
      </c>
      <c r="B218" s="431">
        <v>1870415</v>
      </c>
      <c r="C218" s="431" t="s">
        <v>159</v>
      </c>
      <c r="D218" s="431" t="s">
        <v>173</v>
      </c>
      <c r="E218" s="431" t="s">
        <v>161</v>
      </c>
      <c r="F218" s="431" t="s">
        <v>178</v>
      </c>
      <c r="G218" s="431" t="s">
        <v>175</v>
      </c>
      <c r="H218" s="431"/>
      <c r="I218" s="431"/>
      <c r="J218" s="431"/>
      <c r="K218" s="431"/>
      <c r="L218" s="431" t="s">
        <v>220</v>
      </c>
      <c r="M218" s="432" t="s">
        <v>221</v>
      </c>
    </row>
    <row r="219" spans="1:13" ht="408" x14ac:dyDescent="0.2">
      <c r="A219" s="431" t="s">
        <v>218</v>
      </c>
      <c r="B219" s="431">
        <v>1870415</v>
      </c>
      <c r="C219" s="431" t="s">
        <v>159</v>
      </c>
      <c r="D219" s="431" t="s">
        <v>173</v>
      </c>
      <c r="E219" s="431" t="s">
        <v>161</v>
      </c>
      <c r="F219" s="431" t="s">
        <v>178</v>
      </c>
      <c r="G219" s="431" t="s">
        <v>175</v>
      </c>
      <c r="H219" s="431"/>
      <c r="I219" s="431"/>
      <c r="J219" s="431"/>
      <c r="K219" s="431"/>
      <c r="L219" s="431" t="s">
        <v>220</v>
      </c>
      <c r="M219" s="432" t="s">
        <v>221</v>
      </c>
    </row>
    <row r="220" spans="1:13" ht="408" x14ac:dyDescent="0.2">
      <c r="A220" s="431" t="s">
        <v>218</v>
      </c>
      <c r="B220" s="431">
        <v>1870415</v>
      </c>
      <c r="C220" s="431" t="s">
        <v>159</v>
      </c>
      <c r="D220" s="431" t="s">
        <v>173</v>
      </c>
      <c r="E220" s="431" t="s">
        <v>161</v>
      </c>
      <c r="F220" s="431" t="s">
        <v>178</v>
      </c>
      <c r="G220" s="431" t="s">
        <v>175</v>
      </c>
      <c r="H220" s="431"/>
      <c r="I220" s="431"/>
      <c r="J220" s="431"/>
      <c r="K220" s="431"/>
      <c r="L220" s="431" t="s">
        <v>220</v>
      </c>
      <c r="M220" s="432" t="s">
        <v>221</v>
      </c>
    </row>
    <row r="221" spans="1:13" ht="408" x14ac:dyDescent="0.2">
      <c r="A221" s="431" t="s">
        <v>218</v>
      </c>
      <c r="B221" s="431">
        <v>1870415</v>
      </c>
      <c r="C221" s="431" t="s">
        <v>159</v>
      </c>
      <c r="D221" s="431" t="s">
        <v>173</v>
      </c>
      <c r="E221" s="431" t="s">
        <v>161</v>
      </c>
      <c r="F221" s="431" t="s">
        <v>178</v>
      </c>
      <c r="G221" s="431" t="s">
        <v>175</v>
      </c>
      <c r="H221" s="431"/>
      <c r="I221" s="431"/>
      <c r="J221" s="431"/>
      <c r="K221" s="431"/>
      <c r="L221" s="431" t="s">
        <v>220</v>
      </c>
      <c r="M221" s="432" t="s">
        <v>221</v>
      </c>
    </row>
    <row r="222" spans="1:13" ht="408" x14ac:dyDescent="0.2">
      <c r="A222" s="431" t="s">
        <v>218</v>
      </c>
      <c r="B222" s="431">
        <v>1870415</v>
      </c>
      <c r="C222" s="431" t="s">
        <v>159</v>
      </c>
      <c r="D222" s="431" t="s">
        <v>173</v>
      </c>
      <c r="E222" s="431" t="s">
        <v>161</v>
      </c>
      <c r="F222" s="431" t="s">
        <v>178</v>
      </c>
      <c r="G222" s="431" t="s">
        <v>175</v>
      </c>
      <c r="H222" s="431"/>
      <c r="I222" s="431"/>
      <c r="J222" s="431"/>
      <c r="K222" s="431"/>
      <c r="L222" s="431" t="s">
        <v>220</v>
      </c>
      <c r="M222" s="432" t="s">
        <v>221</v>
      </c>
    </row>
    <row r="223" spans="1:13" ht="408" x14ac:dyDescent="0.2">
      <c r="A223" s="431" t="s">
        <v>218</v>
      </c>
      <c r="B223" s="431">
        <v>1870415</v>
      </c>
      <c r="C223" s="431" t="s">
        <v>159</v>
      </c>
      <c r="D223" s="431" t="s">
        <v>173</v>
      </c>
      <c r="E223" s="431" t="s">
        <v>161</v>
      </c>
      <c r="F223" s="431" t="s">
        <v>178</v>
      </c>
      <c r="G223" s="431" t="s">
        <v>175</v>
      </c>
      <c r="H223" s="431"/>
      <c r="I223" s="431"/>
      <c r="J223" s="431"/>
      <c r="K223" s="431"/>
      <c r="L223" s="431" t="s">
        <v>220</v>
      </c>
      <c r="M223" s="432" t="s">
        <v>221</v>
      </c>
    </row>
    <row r="224" spans="1:13" ht="408" x14ac:dyDescent="0.2">
      <c r="A224" s="431" t="s">
        <v>218</v>
      </c>
      <c r="B224" s="431">
        <v>1870415</v>
      </c>
      <c r="C224" s="431" t="s">
        <v>159</v>
      </c>
      <c r="D224" s="431" t="s">
        <v>173</v>
      </c>
      <c r="E224" s="431" t="s">
        <v>161</v>
      </c>
      <c r="F224" s="431" t="s">
        <v>178</v>
      </c>
      <c r="G224" s="431" t="s">
        <v>175</v>
      </c>
      <c r="H224" s="431"/>
      <c r="I224" s="431"/>
      <c r="J224" s="431"/>
      <c r="K224" s="431"/>
      <c r="L224" s="431" t="s">
        <v>220</v>
      </c>
      <c r="M224" s="432" t="s">
        <v>221</v>
      </c>
    </row>
    <row r="225" spans="1:13" ht="408" x14ac:dyDescent="0.2">
      <c r="A225" s="431" t="s">
        <v>218</v>
      </c>
      <c r="B225" s="431">
        <v>1870415</v>
      </c>
      <c r="C225" s="431" t="s">
        <v>159</v>
      </c>
      <c r="D225" s="431" t="s">
        <v>173</v>
      </c>
      <c r="E225" s="431" t="s">
        <v>161</v>
      </c>
      <c r="F225" s="431" t="s">
        <v>178</v>
      </c>
      <c r="G225" s="431" t="s">
        <v>175</v>
      </c>
      <c r="H225" s="431"/>
      <c r="I225" s="431"/>
      <c r="J225" s="431"/>
      <c r="K225" s="431"/>
      <c r="L225" s="431" t="s">
        <v>220</v>
      </c>
      <c r="M225" s="432" t="s">
        <v>221</v>
      </c>
    </row>
    <row r="226" spans="1:13" ht="408" x14ac:dyDescent="0.2">
      <c r="A226" s="431" t="s">
        <v>218</v>
      </c>
      <c r="B226" s="431">
        <v>1870415</v>
      </c>
      <c r="C226" s="431" t="s">
        <v>159</v>
      </c>
      <c r="D226" s="431" t="s">
        <v>173</v>
      </c>
      <c r="E226" s="431" t="s">
        <v>161</v>
      </c>
      <c r="F226" s="431" t="s">
        <v>178</v>
      </c>
      <c r="G226" s="431" t="s">
        <v>175</v>
      </c>
      <c r="H226" s="431"/>
      <c r="I226" s="431"/>
      <c r="J226" s="431"/>
      <c r="K226" s="431"/>
      <c r="L226" s="431" t="s">
        <v>220</v>
      </c>
      <c r="M226" s="432" t="s">
        <v>221</v>
      </c>
    </row>
    <row r="227" spans="1:13" ht="408" x14ac:dyDescent="0.2">
      <c r="A227" s="431" t="s">
        <v>218</v>
      </c>
      <c r="B227" s="431">
        <v>1870415</v>
      </c>
      <c r="C227" s="431" t="s">
        <v>159</v>
      </c>
      <c r="D227" s="431" t="s">
        <v>173</v>
      </c>
      <c r="E227" s="431" t="s">
        <v>161</v>
      </c>
      <c r="F227" s="431" t="s">
        <v>178</v>
      </c>
      <c r="G227" s="431" t="s">
        <v>175</v>
      </c>
      <c r="H227" s="431"/>
      <c r="I227" s="431"/>
      <c r="J227" s="431"/>
      <c r="K227" s="431"/>
      <c r="L227" s="431" t="s">
        <v>220</v>
      </c>
      <c r="M227" s="432" t="s">
        <v>221</v>
      </c>
    </row>
    <row r="228" spans="1:13" ht="408" x14ac:dyDescent="0.2">
      <c r="A228" s="431" t="s">
        <v>218</v>
      </c>
      <c r="B228" s="431">
        <v>1870415</v>
      </c>
      <c r="C228" s="431" t="s">
        <v>159</v>
      </c>
      <c r="D228" s="431" t="s">
        <v>173</v>
      </c>
      <c r="E228" s="431" t="s">
        <v>161</v>
      </c>
      <c r="F228" s="431" t="s">
        <v>178</v>
      </c>
      <c r="G228" s="431" t="s">
        <v>175</v>
      </c>
      <c r="H228" s="431"/>
      <c r="I228" s="431"/>
      <c r="J228" s="431"/>
      <c r="K228" s="431"/>
      <c r="L228" s="431" t="s">
        <v>220</v>
      </c>
      <c r="M228" s="432" t="s">
        <v>221</v>
      </c>
    </row>
    <row r="229" spans="1:13" ht="408" x14ac:dyDescent="0.2">
      <c r="A229" s="431" t="s">
        <v>218</v>
      </c>
      <c r="B229" s="431">
        <v>1870415</v>
      </c>
      <c r="C229" s="431" t="s">
        <v>159</v>
      </c>
      <c r="D229" s="431" t="s">
        <v>173</v>
      </c>
      <c r="E229" s="431" t="s">
        <v>161</v>
      </c>
      <c r="F229" s="431" t="s">
        <v>178</v>
      </c>
      <c r="G229" s="431" t="s">
        <v>175</v>
      </c>
      <c r="H229" s="431"/>
      <c r="I229" s="431"/>
      <c r="J229" s="431"/>
      <c r="K229" s="431"/>
      <c r="L229" s="431" t="s">
        <v>220</v>
      </c>
      <c r="M229" s="432" t="s">
        <v>221</v>
      </c>
    </row>
    <row r="230" spans="1:13" ht="408" x14ac:dyDescent="0.2">
      <c r="A230" s="431" t="s">
        <v>218</v>
      </c>
      <c r="B230" s="431">
        <v>1870415</v>
      </c>
      <c r="C230" s="431" t="s">
        <v>159</v>
      </c>
      <c r="D230" s="431" t="s">
        <v>173</v>
      </c>
      <c r="E230" s="431" t="s">
        <v>161</v>
      </c>
      <c r="F230" s="431" t="s">
        <v>178</v>
      </c>
      <c r="G230" s="431" t="s">
        <v>175</v>
      </c>
      <c r="H230" s="431"/>
      <c r="I230" s="431"/>
      <c r="J230" s="431"/>
      <c r="K230" s="431"/>
      <c r="L230" s="431" t="s">
        <v>220</v>
      </c>
      <c r="M230" s="432" t="s">
        <v>221</v>
      </c>
    </row>
    <row r="231" spans="1:13" ht="408" x14ac:dyDescent="0.2">
      <c r="A231" s="431" t="s">
        <v>218</v>
      </c>
      <c r="B231" s="431">
        <v>1870415</v>
      </c>
      <c r="C231" s="431" t="s">
        <v>159</v>
      </c>
      <c r="D231" s="431" t="s">
        <v>173</v>
      </c>
      <c r="E231" s="431" t="s">
        <v>161</v>
      </c>
      <c r="F231" s="431" t="s">
        <v>178</v>
      </c>
      <c r="G231" s="431" t="s">
        <v>175</v>
      </c>
      <c r="H231" s="431"/>
      <c r="I231" s="431"/>
      <c r="J231" s="431"/>
      <c r="K231" s="431"/>
      <c r="L231" s="431" t="s">
        <v>220</v>
      </c>
      <c r="M231" s="432" t="s">
        <v>221</v>
      </c>
    </row>
    <row r="232" spans="1:13" ht="408" x14ac:dyDescent="0.2">
      <c r="A232" s="431" t="s">
        <v>218</v>
      </c>
      <c r="B232" s="431">
        <v>1870415</v>
      </c>
      <c r="C232" s="431" t="s">
        <v>159</v>
      </c>
      <c r="D232" s="431" t="s">
        <v>173</v>
      </c>
      <c r="E232" s="431" t="s">
        <v>161</v>
      </c>
      <c r="F232" s="431" t="s">
        <v>178</v>
      </c>
      <c r="G232" s="431" t="s">
        <v>175</v>
      </c>
      <c r="H232" s="431"/>
      <c r="I232" s="431"/>
      <c r="J232" s="431"/>
      <c r="K232" s="431"/>
      <c r="L232" s="431" t="s">
        <v>220</v>
      </c>
      <c r="M232" s="432" t="s">
        <v>221</v>
      </c>
    </row>
    <row r="233" spans="1:13" ht="408" x14ac:dyDescent="0.2">
      <c r="A233" s="431" t="s">
        <v>218</v>
      </c>
      <c r="B233" s="431">
        <v>1870415</v>
      </c>
      <c r="C233" s="431" t="s">
        <v>159</v>
      </c>
      <c r="D233" s="431" t="s">
        <v>173</v>
      </c>
      <c r="E233" s="431" t="s">
        <v>161</v>
      </c>
      <c r="F233" s="431" t="s">
        <v>178</v>
      </c>
      <c r="G233" s="431" t="s">
        <v>175</v>
      </c>
      <c r="H233" s="431"/>
      <c r="I233" s="431"/>
      <c r="J233" s="431"/>
      <c r="K233" s="431"/>
      <c r="L233" s="431" t="s">
        <v>220</v>
      </c>
      <c r="M233" s="432" t="s">
        <v>221</v>
      </c>
    </row>
    <row r="234" spans="1:13" ht="408" x14ac:dyDescent="0.2">
      <c r="A234" s="431" t="s">
        <v>218</v>
      </c>
      <c r="B234" s="431">
        <v>1870415</v>
      </c>
      <c r="C234" s="431" t="s">
        <v>159</v>
      </c>
      <c r="D234" s="431" t="s">
        <v>173</v>
      </c>
      <c r="E234" s="431" t="s">
        <v>161</v>
      </c>
      <c r="F234" s="431" t="s">
        <v>178</v>
      </c>
      <c r="G234" s="431" t="s">
        <v>175</v>
      </c>
      <c r="H234" s="431"/>
      <c r="I234" s="431"/>
      <c r="J234" s="431"/>
      <c r="K234" s="431"/>
      <c r="L234" s="431" t="s">
        <v>220</v>
      </c>
      <c r="M234" s="432" t="s">
        <v>221</v>
      </c>
    </row>
    <row r="235" spans="1:13" ht="408" x14ac:dyDescent="0.2">
      <c r="A235" s="431" t="s">
        <v>218</v>
      </c>
      <c r="B235" s="431">
        <v>1870415</v>
      </c>
      <c r="C235" s="431" t="s">
        <v>159</v>
      </c>
      <c r="D235" s="431" t="s">
        <v>173</v>
      </c>
      <c r="E235" s="431" t="s">
        <v>161</v>
      </c>
      <c r="F235" s="431" t="s">
        <v>178</v>
      </c>
      <c r="G235" s="431" t="s">
        <v>175</v>
      </c>
      <c r="H235" s="431"/>
      <c r="I235" s="431"/>
      <c r="J235" s="431"/>
      <c r="K235" s="431"/>
      <c r="L235" s="431" t="s">
        <v>220</v>
      </c>
      <c r="M235" s="432" t="s">
        <v>221</v>
      </c>
    </row>
    <row r="236" spans="1:13" ht="408" x14ac:dyDescent="0.2">
      <c r="A236" s="431" t="s">
        <v>218</v>
      </c>
      <c r="B236" s="431">
        <v>1870415</v>
      </c>
      <c r="C236" s="431" t="s">
        <v>159</v>
      </c>
      <c r="D236" s="431" t="s">
        <v>173</v>
      </c>
      <c r="E236" s="431" t="s">
        <v>161</v>
      </c>
      <c r="F236" s="431" t="s">
        <v>178</v>
      </c>
      <c r="G236" s="431" t="s">
        <v>175</v>
      </c>
      <c r="H236" s="431"/>
      <c r="I236" s="431"/>
      <c r="J236" s="431"/>
      <c r="K236" s="431"/>
      <c r="L236" s="431" t="s">
        <v>220</v>
      </c>
      <c r="M236" s="432" t="s">
        <v>221</v>
      </c>
    </row>
    <row r="237" spans="1:13" ht="408" x14ac:dyDescent="0.2">
      <c r="A237" s="431" t="s">
        <v>218</v>
      </c>
      <c r="B237" s="431">
        <v>1870415</v>
      </c>
      <c r="C237" s="431" t="s">
        <v>159</v>
      </c>
      <c r="D237" s="431" t="s">
        <v>173</v>
      </c>
      <c r="E237" s="431" t="s">
        <v>161</v>
      </c>
      <c r="F237" s="431" t="s">
        <v>178</v>
      </c>
      <c r="G237" s="431" t="s">
        <v>175</v>
      </c>
      <c r="H237" s="431"/>
      <c r="I237" s="431"/>
      <c r="J237" s="431"/>
      <c r="K237" s="431"/>
      <c r="L237" s="431" t="s">
        <v>220</v>
      </c>
      <c r="M237" s="432" t="s">
        <v>221</v>
      </c>
    </row>
    <row r="238" spans="1:13" ht="408" x14ac:dyDescent="0.2">
      <c r="A238" s="431" t="s">
        <v>218</v>
      </c>
      <c r="B238" s="431">
        <v>1870415</v>
      </c>
      <c r="C238" s="431" t="s">
        <v>159</v>
      </c>
      <c r="D238" s="431" t="s">
        <v>173</v>
      </c>
      <c r="E238" s="431" t="s">
        <v>161</v>
      </c>
      <c r="F238" s="431" t="s">
        <v>182</v>
      </c>
      <c r="G238" s="431" t="s">
        <v>175</v>
      </c>
      <c r="H238" s="431"/>
      <c r="I238" s="431"/>
      <c r="J238" s="431"/>
      <c r="K238" s="431"/>
      <c r="L238" s="431" t="s">
        <v>220</v>
      </c>
      <c r="M238" s="432" t="s">
        <v>221</v>
      </c>
    </row>
    <row r="239" spans="1:13" ht="408" x14ac:dyDescent="0.2">
      <c r="A239" s="431" t="s">
        <v>218</v>
      </c>
      <c r="B239" s="431">
        <v>1870415</v>
      </c>
      <c r="C239" s="431" t="s">
        <v>159</v>
      </c>
      <c r="D239" s="431" t="s">
        <v>173</v>
      </c>
      <c r="E239" s="431" t="s">
        <v>161</v>
      </c>
      <c r="F239" s="431" t="s">
        <v>185</v>
      </c>
      <c r="G239" s="431" t="s">
        <v>175</v>
      </c>
      <c r="H239" s="431"/>
      <c r="I239" s="431"/>
      <c r="J239" s="431"/>
      <c r="K239" s="431"/>
      <c r="L239" s="431" t="s">
        <v>220</v>
      </c>
      <c r="M239" s="432" t="s">
        <v>221</v>
      </c>
    </row>
    <row r="240" spans="1:13" ht="408" x14ac:dyDescent="0.2">
      <c r="A240" s="431" t="s">
        <v>218</v>
      </c>
      <c r="B240" s="431">
        <v>1870415</v>
      </c>
      <c r="C240" s="431" t="s">
        <v>159</v>
      </c>
      <c r="D240" s="431" t="s">
        <v>173</v>
      </c>
      <c r="E240" s="431" t="s">
        <v>161</v>
      </c>
      <c r="F240" s="431" t="s">
        <v>186</v>
      </c>
      <c r="G240" s="431" t="s">
        <v>175</v>
      </c>
      <c r="H240" s="431"/>
      <c r="I240" s="431"/>
      <c r="J240" s="431"/>
      <c r="K240" s="431"/>
      <c r="L240" s="431" t="s">
        <v>220</v>
      </c>
      <c r="M240" s="432" t="s">
        <v>221</v>
      </c>
    </row>
    <row r="241" spans="1:13" ht="408" x14ac:dyDescent="0.2">
      <c r="A241" s="431" t="s">
        <v>218</v>
      </c>
      <c r="B241" s="431">
        <v>1870415</v>
      </c>
      <c r="C241" s="431" t="s">
        <v>159</v>
      </c>
      <c r="D241" s="431" t="s">
        <v>173</v>
      </c>
      <c r="E241" s="431" t="s">
        <v>161</v>
      </c>
      <c r="F241" s="431" t="s">
        <v>187</v>
      </c>
      <c r="G241" s="431" t="s">
        <v>175</v>
      </c>
      <c r="H241" s="431"/>
      <c r="I241" s="431"/>
      <c r="J241" s="431"/>
      <c r="K241" s="431"/>
      <c r="L241" s="431" t="s">
        <v>220</v>
      </c>
      <c r="M241" s="432" t="s">
        <v>221</v>
      </c>
    </row>
    <row r="242" spans="1:13" ht="408" x14ac:dyDescent="0.2">
      <c r="A242" s="431" t="s">
        <v>218</v>
      </c>
      <c r="B242" s="431">
        <v>1870415</v>
      </c>
      <c r="C242" s="431" t="s">
        <v>159</v>
      </c>
      <c r="D242" s="431" t="s">
        <v>173</v>
      </c>
      <c r="E242" s="431" t="s">
        <v>161</v>
      </c>
      <c r="F242" s="431" t="s">
        <v>215</v>
      </c>
      <c r="G242" s="431" t="s">
        <v>175</v>
      </c>
      <c r="H242" s="431"/>
      <c r="I242" s="431"/>
      <c r="J242" s="431"/>
      <c r="K242" s="431"/>
      <c r="L242" s="431" t="s">
        <v>220</v>
      </c>
      <c r="M242" s="432" t="s">
        <v>221</v>
      </c>
    </row>
    <row r="243" spans="1:13" ht="408" x14ac:dyDescent="0.2">
      <c r="A243" s="431" t="s">
        <v>218</v>
      </c>
      <c r="B243" s="431">
        <v>1870415</v>
      </c>
      <c r="C243" s="431" t="s">
        <v>159</v>
      </c>
      <c r="D243" s="431" t="s">
        <v>173</v>
      </c>
      <c r="E243" s="431" t="s">
        <v>161</v>
      </c>
      <c r="F243" s="431" t="s">
        <v>216</v>
      </c>
      <c r="G243" s="431" t="s">
        <v>175</v>
      </c>
      <c r="H243" s="431"/>
      <c r="I243" s="431"/>
      <c r="J243" s="431"/>
      <c r="K243" s="431"/>
      <c r="L243" s="431" t="s">
        <v>220</v>
      </c>
      <c r="M243" s="432" t="s">
        <v>221</v>
      </c>
    </row>
    <row r="244" spans="1:13" ht="408" x14ac:dyDescent="0.2">
      <c r="A244" s="431" t="s">
        <v>218</v>
      </c>
      <c r="B244" s="431">
        <v>1870415</v>
      </c>
      <c r="C244" s="431" t="s">
        <v>159</v>
      </c>
      <c r="D244" s="431" t="s">
        <v>173</v>
      </c>
      <c r="E244" s="431" t="s">
        <v>161</v>
      </c>
      <c r="F244" s="431" t="s">
        <v>217</v>
      </c>
      <c r="G244" s="431" t="s">
        <v>175</v>
      </c>
      <c r="H244" s="431"/>
      <c r="I244" s="431"/>
      <c r="J244" s="431"/>
      <c r="K244" s="431"/>
      <c r="L244" s="431" t="s">
        <v>220</v>
      </c>
      <c r="M244" s="432" t="s">
        <v>221</v>
      </c>
    </row>
    <row r="245" spans="1:13" x14ac:dyDescent="0.2">
      <c r="A245" s="431" t="s">
        <v>239</v>
      </c>
      <c r="B245" s="431">
        <v>1870416</v>
      </c>
      <c r="C245" s="431" t="s">
        <v>159</v>
      </c>
      <c r="D245" s="431" t="s">
        <v>173</v>
      </c>
      <c r="E245" s="431" t="s">
        <v>161</v>
      </c>
      <c r="F245" s="431" t="s">
        <v>240</v>
      </c>
      <c r="G245" s="431" t="s">
        <v>175</v>
      </c>
      <c r="H245" s="431"/>
      <c r="I245" s="431"/>
      <c r="J245" s="431"/>
      <c r="K245" s="431"/>
      <c r="L245" s="431" t="s">
        <v>241</v>
      </c>
      <c r="M245" s="431" t="s">
        <v>242</v>
      </c>
    </row>
    <row r="246" spans="1:13" x14ac:dyDescent="0.2">
      <c r="A246" s="431" t="s">
        <v>239</v>
      </c>
      <c r="B246" s="431">
        <v>1870416</v>
      </c>
      <c r="C246" s="431" t="s">
        <v>159</v>
      </c>
      <c r="D246" s="431" t="s">
        <v>173</v>
      </c>
      <c r="E246" s="431" t="s">
        <v>161</v>
      </c>
      <c r="F246" s="431" t="s">
        <v>243</v>
      </c>
      <c r="G246" s="431" t="s">
        <v>175</v>
      </c>
      <c r="H246" s="431"/>
      <c r="I246" s="431"/>
      <c r="J246" s="431"/>
      <c r="K246" s="431"/>
      <c r="L246" s="431" t="s">
        <v>241</v>
      </c>
      <c r="M246" s="431" t="s">
        <v>242</v>
      </c>
    </row>
    <row r="247" spans="1:13" x14ac:dyDescent="0.2">
      <c r="A247" s="431" t="s">
        <v>239</v>
      </c>
      <c r="B247" s="431">
        <v>1870416</v>
      </c>
      <c r="C247" s="431" t="s">
        <v>159</v>
      </c>
      <c r="D247" s="431" t="s">
        <v>173</v>
      </c>
      <c r="E247" s="431" t="s">
        <v>161</v>
      </c>
      <c r="F247" s="431" t="s">
        <v>244</v>
      </c>
      <c r="G247" s="431" t="s">
        <v>175</v>
      </c>
      <c r="H247" s="431"/>
      <c r="I247" s="431"/>
      <c r="J247" s="431"/>
      <c r="K247" s="431"/>
      <c r="L247" s="431" t="s">
        <v>241</v>
      </c>
      <c r="M247" s="431" t="s">
        <v>242</v>
      </c>
    </row>
    <row r="248" spans="1:13" x14ac:dyDescent="0.2">
      <c r="A248" s="431" t="s">
        <v>245</v>
      </c>
      <c r="B248" s="431">
        <v>1870418</v>
      </c>
      <c r="C248" s="431" t="s">
        <v>159</v>
      </c>
      <c r="D248" s="431" t="s">
        <v>173</v>
      </c>
      <c r="E248" s="431" t="s">
        <v>161</v>
      </c>
      <c r="F248" s="431" t="s">
        <v>246</v>
      </c>
      <c r="G248" s="431" t="s">
        <v>175</v>
      </c>
      <c r="H248" s="431"/>
      <c r="I248" s="431"/>
      <c r="J248" s="431"/>
      <c r="K248" s="431"/>
      <c r="L248" s="431" t="s">
        <v>247</v>
      </c>
      <c r="M248" s="431" t="s">
        <v>248</v>
      </c>
    </row>
    <row r="249" spans="1:13" x14ac:dyDescent="0.2">
      <c r="A249" s="431" t="s">
        <v>245</v>
      </c>
      <c r="B249" s="431">
        <v>1870418</v>
      </c>
      <c r="C249" s="431" t="s">
        <v>159</v>
      </c>
      <c r="D249" s="431" t="s">
        <v>173</v>
      </c>
      <c r="E249" s="431" t="s">
        <v>161</v>
      </c>
      <c r="F249" s="431" t="s">
        <v>249</v>
      </c>
      <c r="G249" s="431" t="s">
        <v>175</v>
      </c>
      <c r="H249" s="431"/>
      <c r="I249" s="431"/>
      <c r="J249" s="431"/>
      <c r="K249" s="431"/>
      <c r="L249" s="431" t="s">
        <v>247</v>
      </c>
      <c r="M249" s="431" t="s">
        <v>248</v>
      </c>
    </row>
    <row r="250" spans="1:13" x14ac:dyDescent="0.2">
      <c r="A250" s="431" t="s">
        <v>245</v>
      </c>
      <c r="B250" s="431">
        <v>1870418</v>
      </c>
      <c r="C250" s="431" t="s">
        <v>159</v>
      </c>
      <c r="D250" s="431" t="s">
        <v>173</v>
      </c>
      <c r="E250" s="431" t="s">
        <v>161</v>
      </c>
      <c r="F250" s="431" t="s">
        <v>249</v>
      </c>
      <c r="G250" s="431" t="s">
        <v>175</v>
      </c>
      <c r="H250" s="431"/>
      <c r="I250" s="431"/>
      <c r="J250" s="431"/>
      <c r="K250" s="431"/>
      <c r="L250" s="431" t="s">
        <v>247</v>
      </c>
      <c r="M250" s="431" t="s">
        <v>248</v>
      </c>
    </row>
    <row r="251" spans="1:13" x14ac:dyDescent="0.2">
      <c r="A251" s="431" t="s">
        <v>245</v>
      </c>
      <c r="B251" s="431">
        <v>1870418</v>
      </c>
      <c r="C251" s="431" t="s">
        <v>159</v>
      </c>
      <c r="D251" s="431" t="s">
        <v>173</v>
      </c>
      <c r="E251" s="431" t="s">
        <v>161</v>
      </c>
      <c r="F251" s="431" t="s">
        <v>249</v>
      </c>
      <c r="G251" s="431" t="s">
        <v>175</v>
      </c>
      <c r="H251" s="431"/>
      <c r="I251" s="431"/>
      <c r="J251" s="431"/>
      <c r="K251" s="431"/>
      <c r="L251" s="431" t="s">
        <v>247</v>
      </c>
      <c r="M251" s="431" t="s">
        <v>248</v>
      </c>
    </row>
    <row r="252" spans="1:13" x14ac:dyDescent="0.2">
      <c r="A252" s="431" t="s">
        <v>245</v>
      </c>
      <c r="B252" s="431">
        <v>1870418</v>
      </c>
      <c r="C252" s="431" t="s">
        <v>159</v>
      </c>
      <c r="D252" s="431" t="s">
        <v>173</v>
      </c>
      <c r="E252" s="431" t="s">
        <v>161</v>
      </c>
      <c r="F252" s="431" t="s">
        <v>249</v>
      </c>
      <c r="G252" s="431" t="s">
        <v>175</v>
      </c>
      <c r="H252" s="431"/>
      <c r="I252" s="431"/>
      <c r="J252" s="431"/>
      <c r="K252" s="431"/>
      <c r="L252" s="431" t="s">
        <v>247</v>
      </c>
      <c r="M252" s="431" t="s">
        <v>248</v>
      </c>
    </row>
    <row r="253" spans="1:13" x14ac:dyDescent="0.2">
      <c r="A253" s="431" t="s">
        <v>250</v>
      </c>
      <c r="B253" s="431">
        <v>1870419</v>
      </c>
      <c r="C253" s="431" t="s">
        <v>159</v>
      </c>
      <c r="D253" s="431" t="s">
        <v>173</v>
      </c>
      <c r="E253" s="431" t="s">
        <v>161</v>
      </c>
      <c r="F253" s="431" t="s">
        <v>246</v>
      </c>
      <c r="G253" s="431" t="s">
        <v>175</v>
      </c>
      <c r="H253" s="431"/>
      <c r="I253" s="431"/>
      <c r="J253" s="431"/>
      <c r="K253" s="431"/>
      <c r="L253" s="431" t="s">
        <v>251</v>
      </c>
      <c r="M253" s="431" t="s">
        <v>252</v>
      </c>
    </row>
    <row r="254" spans="1:13" x14ac:dyDescent="0.2">
      <c r="A254" s="431" t="s">
        <v>250</v>
      </c>
      <c r="B254" s="431">
        <v>1870419</v>
      </c>
      <c r="C254" s="431" t="s">
        <v>159</v>
      </c>
      <c r="D254" s="431" t="s">
        <v>173</v>
      </c>
      <c r="E254" s="431" t="s">
        <v>161</v>
      </c>
      <c r="F254" s="431" t="s">
        <v>249</v>
      </c>
      <c r="G254" s="431" t="s">
        <v>175</v>
      </c>
      <c r="H254" s="431"/>
      <c r="I254" s="431"/>
      <c r="J254" s="431"/>
      <c r="K254" s="431"/>
      <c r="L254" s="431" t="s">
        <v>251</v>
      </c>
      <c r="M254" s="431" t="s">
        <v>252</v>
      </c>
    </row>
    <row r="255" spans="1:13" x14ac:dyDescent="0.2">
      <c r="A255" s="431" t="s">
        <v>250</v>
      </c>
      <c r="B255" s="431">
        <v>1870419</v>
      </c>
      <c r="C255" s="431" t="s">
        <v>159</v>
      </c>
      <c r="D255" s="431" t="s">
        <v>173</v>
      </c>
      <c r="E255" s="431" t="s">
        <v>161</v>
      </c>
      <c r="F255" s="431" t="s">
        <v>249</v>
      </c>
      <c r="G255" s="431" t="s">
        <v>175</v>
      </c>
      <c r="H255" s="431"/>
      <c r="I255" s="431"/>
      <c r="J255" s="431"/>
      <c r="K255" s="431"/>
      <c r="L255" s="431" t="s">
        <v>251</v>
      </c>
      <c r="M255" s="431" t="s">
        <v>252</v>
      </c>
    </row>
    <row r="256" spans="1:13" x14ac:dyDescent="0.2">
      <c r="A256" s="431" t="s">
        <v>250</v>
      </c>
      <c r="B256" s="431">
        <v>1870419</v>
      </c>
      <c r="C256" s="431" t="s">
        <v>159</v>
      </c>
      <c r="D256" s="431" t="s">
        <v>173</v>
      </c>
      <c r="E256" s="431" t="s">
        <v>161</v>
      </c>
      <c r="F256" s="431" t="s">
        <v>249</v>
      </c>
      <c r="G256" s="431" t="s">
        <v>175</v>
      </c>
      <c r="H256" s="431"/>
      <c r="I256" s="431"/>
      <c r="J256" s="431"/>
      <c r="K256" s="431"/>
      <c r="L256" s="431" t="s">
        <v>251</v>
      </c>
      <c r="M256" s="431" t="s">
        <v>252</v>
      </c>
    </row>
    <row r="257" spans="1:13" x14ac:dyDescent="0.2">
      <c r="A257" s="431" t="s">
        <v>250</v>
      </c>
      <c r="B257" s="431">
        <v>1870419</v>
      </c>
      <c r="C257" s="431" t="s">
        <v>159</v>
      </c>
      <c r="D257" s="431" t="s">
        <v>173</v>
      </c>
      <c r="E257" s="431" t="s">
        <v>161</v>
      </c>
      <c r="F257" s="431" t="s">
        <v>249</v>
      </c>
      <c r="G257" s="431" t="s">
        <v>175</v>
      </c>
      <c r="H257" s="431"/>
      <c r="I257" s="431"/>
      <c r="J257" s="431"/>
      <c r="K257" s="431"/>
      <c r="L257" s="431" t="s">
        <v>251</v>
      </c>
      <c r="M257" s="431" t="s">
        <v>252</v>
      </c>
    </row>
    <row r="258" spans="1:13" ht="409.5" x14ac:dyDescent="0.2">
      <c r="A258" s="431" t="s">
        <v>253</v>
      </c>
      <c r="B258" s="431">
        <v>1870421</v>
      </c>
      <c r="C258" s="431" t="s">
        <v>159</v>
      </c>
      <c r="D258" s="431" t="s">
        <v>173</v>
      </c>
      <c r="E258" s="431" t="s">
        <v>161</v>
      </c>
      <c r="F258" s="431" t="s">
        <v>254</v>
      </c>
      <c r="G258" s="431" t="s">
        <v>175</v>
      </c>
      <c r="H258" s="431"/>
      <c r="I258" s="431"/>
      <c r="J258" s="431"/>
      <c r="K258" s="431"/>
      <c r="L258" s="431" t="s">
        <v>255</v>
      </c>
      <c r="M258" s="432" t="s">
        <v>256</v>
      </c>
    </row>
    <row r="259" spans="1:13" ht="409.5" x14ac:dyDescent="0.2">
      <c r="A259" s="431" t="s">
        <v>253</v>
      </c>
      <c r="B259" s="431">
        <v>1870421</v>
      </c>
      <c r="C259" s="431" t="s">
        <v>159</v>
      </c>
      <c r="D259" s="431" t="s">
        <v>173</v>
      </c>
      <c r="E259" s="431" t="s">
        <v>161</v>
      </c>
      <c r="F259" s="431" t="s">
        <v>254</v>
      </c>
      <c r="G259" s="431" t="s">
        <v>175</v>
      </c>
      <c r="H259" s="431"/>
      <c r="I259" s="431"/>
      <c r="J259" s="431"/>
      <c r="K259" s="431"/>
      <c r="L259" s="431" t="s">
        <v>255</v>
      </c>
      <c r="M259" s="432" t="s">
        <v>256</v>
      </c>
    </row>
    <row r="260" spans="1:13" ht="409.5" x14ac:dyDescent="0.2">
      <c r="A260" s="431" t="s">
        <v>253</v>
      </c>
      <c r="B260" s="431">
        <v>1870421</v>
      </c>
      <c r="C260" s="431" t="s">
        <v>159</v>
      </c>
      <c r="D260" s="431" t="s">
        <v>173</v>
      </c>
      <c r="E260" s="431" t="s">
        <v>161</v>
      </c>
      <c r="F260" s="431" t="s">
        <v>257</v>
      </c>
      <c r="G260" s="431" t="s">
        <v>175</v>
      </c>
      <c r="H260" s="431"/>
      <c r="I260" s="431"/>
      <c r="J260" s="431"/>
      <c r="K260" s="431"/>
      <c r="L260" s="431" t="s">
        <v>255</v>
      </c>
      <c r="M260" s="432" t="s">
        <v>256</v>
      </c>
    </row>
    <row r="261" spans="1:13" ht="409.5" x14ac:dyDescent="0.2">
      <c r="A261" s="431" t="s">
        <v>253</v>
      </c>
      <c r="B261" s="431">
        <v>1870421</v>
      </c>
      <c r="C261" s="431" t="s">
        <v>159</v>
      </c>
      <c r="D261" s="431" t="s">
        <v>173</v>
      </c>
      <c r="E261" s="431" t="s">
        <v>161</v>
      </c>
      <c r="F261" s="431" t="s">
        <v>258</v>
      </c>
      <c r="G261" s="431" t="s">
        <v>175</v>
      </c>
      <c r="H261" s="431"/>
      <c r="I261" s="431"/>
      <c r="J261" s="431"/>
      <c r="K261" s="431"/>
      <c r="L261" s="431" t="s">
        <v>255</v>
      </c>
      <c r="M261" s="432" t="s">
        <v>256</v>
      </c>
    </row>
    <row r="262" spans="1:13" ht="409.5" x14ac:dyDescent="0.2">
      <c r="A262" s="431" t="s">
        <v>253</v>
      </c>
      <c r="B262" s="431">
        <v>1870421</v>
      </c>
      <c r="C262" s="431" t="s">
        <v>159</v>
      </c>
      <c r="D262" s="431" t="s">
        <v>173</v>
      </c>
      <c r="E262" s="431" t="s">
        <v>161</v>
      </c>
      <c r="F262" s="431" t="s">
        <v>259</v>
      </c>
      <c r="G262" s="431" t="s">
        <v>175</v>
      </c>
      <c r="H262" s="431"/>
      <c r="I262" s="431"/>
      <c r="J262" s="431"/>
      <c r="K262" s="431"/>
      <c r="L262" s="431" t="s">
        <v>255</v>
      </c>
      <c r="M262" s="432" t="s">
        <v>256</v>
      </c>
    </row>
    <row r="263" spans="1:13" x14ac:dyDescent="0.2">
      <c r="A263" s="431" t="s">
        <v>260</v>
      </c>
      <c r="B263" s="431">
        <v>1870422</v>
      </c>
      <c r="C263" s="431" t="s">
        <v>159</v>
      </c>
      <c r="D263" s="431" t="s">
        <v>173</v>
      </c>
      <c r="E263" s="431" t="s">
        <v>161</v>
      </c>
      <c r="F263" s="431" t="s">
        <v>261</v>
      </c>
      <c r="G263" s="431" t="s">
        <v>175</v>
      </c>
      <c r="H263" s="431"/>
      <c r="I263" s="431"/>
      <c r="J263" s="431"/>
      <c r="K263" s="431"/>
      <c r="L263" s="431" t="s">
        <v>262</v>
      </c>
      <c r="M263" s="431" t="s">
        <v>263</v>
      </c>
    </row>
    <row r="264" spans="1:13" x14ac:dyDescent="0.2">
      <c r="A264" s="431" t="s">
        <v>260</v>
      </c>
      <c r="B264" s="431">
        <v>1870422</v>
      </c>
      <c r="C264" s="431" t="s">
        <v>159</v>
      </c>
      <c r="D264" s="431" t="s">
        <v>173</v>
      </c>
      <c r="E264" s="431" t="s">
        <v>161</v>
      </c>
      <c r="F264" s="431" t="s">
        <v>264</v>
      </c>
      <c r="G264" s="431" t="s">
        <v>175</v>
      </c>
      <c r="H264" s="431"/>
      <c r="I264" s="431"/>
      <c r="J264" s="431"/>
      <c r="K264" s="431"/>
      <c r="L264" s="431" t="s">
        <v>262</v>
      </c>
      <c r="M264" s="431" t="s">
        <v>263</v>
      </c>
    </row>
    <row r="265" spans="1:13" x14ac:dyDescent="0.2">
      <c r="A265" s="431" t="s">
        <v>260</v>
      </c>
      <c r="B265" s="431">
        <v>1870422</v>
      </c>
      <c r="C265" s="431" t="s">
        <v>159</v>
      </c>
      <c r="D265" s="431" t="s">
        <v>173</v>
      </c>
      <c r="E265" s="431" t="s">
        <v>161</v>
      </c>
      <c r="F265" s="431" t="s">
        <v>265</v>
      </c>
      <c r="G265" s="431" t="s">
        <v>175</v>
      </c>
      <c r="H265" s="431"/>
      <c r="I265" s="431"/>
      <c r="J265" s="431"/>
      <c r="K265" s="431"/>
      <c r="L265" s="431" t="s">
        <v>262</v>
      </c>
      <c r="M265" s="431" t="s">
        <v>263</v>
      </c>
    </row>
    <row r="266" spans="1:13" x14ac:dyDescent="0.2">
      <c r="A266" s="431" t="s">
        <v>260</v>
      </c>
      <c r="B266" s="431">
        <v>1870422</v>
      </c>
      <c r="C266" s="431" t="s">
        <v>159</v>
      </c>
      <c r="D266" s="431" t="s">
        <v>173</v>
      </c>
      <c r="E266" s="431" t="s">
        <v>161</v>
      </c>
      <c r="F266" s="431" t="s">
        <v>266</v>
      </c>
      <c r="G266" s="431" t="s">
        <v>175</v>
      </c>
      <c r="H266" s="431"/>
      <c r="I266" s="431"/>
      <c r="J266" s="431"/>
      <c r="K266" s="431"/>
      <c r="L266" s="431" t="s">
        <v>262</v>
      </c>
      <c r="M266" s="431" t="s">
        <v>263</v>
      </c>
    </row>
    <row r="267" spans="1:13" x14ac:dyDescent="0.2">
      <c r="A267" s="431" t="s">
        <v>260</v>
      </c>
      <c r="B267" s="431">
        <v>1870422</v>
      </c>
      <c r="C267" s="431" t="s">
        <v>159</v>
      </c>
      <c r="D267" s="431" t="s">
        <v>173</v>
      </c>
      <c r="E267" s="431" t="s">
        <v>161</v>
      </c>
      <c r="F267" s="431" t="s">
        <v>267</v>
      </c>
      <c r="G267" s="431" t="s">
        <v>175</v>
      </c>
      <c r="H267" s="431"/>
      <c r="I267" s="431"/>
      <c r="J267" s="431"/>
      <c r="K267" s="431"/>
      <c r="L267" s="431" t="s">
        <v>262</v>
      </c>
      <c r="M267" s="431" t="s">
        <v>263</v>
      </c>
    </row>
    <row r="268" spans="1:13" x14ac:dyDescent="0.2">
      <c r="A268" s="431" t="s">
        <v>260</v>
      </c>
      <c r="B268" s="431">
        <v>1870422</v>
      </c>
      <c r="C268" s="431" t="s">
        <v>159</v>
      </c>
      <c r="D268" s="431" t="s">
        <v>173</v>
      </c>
      <c r="E268" s="431" t="s">
        <v>161</v>
      </c>
      <c r="F268" s="431" t="s">
        <v>268</v>
      </c>
      <c r="G268" s="431" t="s">
        <v>175</v>
      </c>
      <c r="H268" s="431"/>
      <c r="I268" s="431"/>
      <c r="J268" s="431"/>
      <c r="K268" s="431"/>
      <c r="L268" s="431" t="s">
        <v>262</v>
      </c>
      <c r="M268" s="431" t="s">
        <v>263</v>
      </c>
    </row>
    <row r="269" spans="1:13" ht="409.5" x14ac:dyDescent="0.2">
      <c r="A269" s="431" t="s">
        <v>269</v>
      </c>
      <c r="B269" s="431">
        <v>1870423</v>
      </c>
      <c r="C269" s="431" t="s">
        <v>159</v>
      </c>
      <c r="D269" s="431" t="s">
        <v>173</v>
      </c>
      <c r="E269" s="431" t="s">
        <v>161</v>
      </c>
      <c r="F269" s="431" t="s">
        <v>270</v>
      </c>
      <c r="G269" s="431" t="s">
        <v>175</v>
      </c>
      <c r="H269" s="431"/>
      <c r="I269" s="431"/>
      <c r="J269" s="431"/>
      <c r="K269" s="431"/>
      <c r="L269" s="431" t="s">
        <v>163</v>
      </c>
      <c r="M269" s="432" t="s">
        <v>271</v>
      </c>
    </row>
    <row r="270" spans="1:13" ht="409.5" x14ac:dyDescent="0.2">
      <c r="A270" s="431" t="s">
        <v>269</v>
      </c>
      <c r="B270" s="431">
        <v>1870423</v>
      </c>
      <c r="C270" s="431" t="s">
        <v>159</v>
      </c>
      <c r="D270" s="431" t="s">
        <v>173</v>
      </c>
      <c r="E270" s="431" t="s">
        <v>161</v>
      </c>
      <c r="F270" s="431" t="s">
        <v>270</v>
      </c>
      <c r="G270" s="431" t="s">
        <v>175</v>
      </c>
      <c r="H270" s="431"/>
      <c r="I270" s="431"/>
      <c r="J270" s="431"/>
      <c r="K270" s="431"/>
      <c r="L270" s="431" t="s">
        <v>163</v>
      </c>
      <c r="M270" s="432" t="s">
        <v>271</v>
      </c>
    </row>
    <row r="271" spans="1:13" ht="409.5" x14ac:dyDescent="0.2">
      <c r="A271" s="431" t="s">
        <v>269</v>
      </c>
      <c r="B271" s="431">
        <v>1870423</v>
      </c>
      <c r="C271" s="431" t="s">
        <v>159</v>
      </c>
      <c r="D271" s="431" t="s">
        <v>173</v>
      </c>
      <c r="E271" s="431" t="s">
        <v>161</v>
      </c>
      <c r="F271" s="431" t="s">
        <v>270</v>
      </c>
      <c r="G271" s="431" t="s">
        <v>175</v>
      </c>
      <c r="H271" s="431"/>
      <c r="I271" s="431"/>
      <c r="J271" s="431"/>
      <c r="K271" s="431"/>
      <c r="L271" s="431" t="s">
        <v>163</v>
      </c>
      <c r="M271" s="432" t="s">
        <v>271</v>
      </c>
    </row>
    <row r="272" spans="1:13" ht="409.5" x14ac:dyDescent="0.2">
      <c r="A272" s="431" t="s">
        <v>269</v>
      </c>
      <c r="B272" s="431">
        <v>1870423</v>
      </c>
      <c r="C272" s="431" t="s">
        <v>159</v>
      </c>
      <c r="D272" s="431" t="s">
        <v>173</v>
      </c>
      <c r="E272" s="431" t="s">
        <v>161</v>
      </c>
      <c r="F272" s="431" t="s">
        <v>270</v>
      </c>
      <c r="G272" s="431" t="s">
        <v>175</v>
      </c>
      <c r="H272" s="431"/>
      <c r="I272" s="431"/>
      <c r="J272" s="431"/>
      <c r="K272" s="431"/>
      <c r="L272" s="431" t="s">
        <v>163</v>
      </c>
      <c r="M272" s="432" t="s">
        <v>271</v>
      </c>
    </row>
    <row r="273" spans="1:13" ht="409.5" x14ac:dyDescent="0.2">
      <c r="A273" s="431" t="s">
        <v>272</v>
      </c>
      <c r="B273" s="431">
        <v>1870425</v>
      </c>
      <c r="C273" s="431" t="s">
        <v>159</v>
      </c>
      <c r="D273" s="431" t="s">
        <v>173</v>
      </c>
      <c r="E273" s="431" t="s">
        <v>161</v>
      </c>
      <c r="F273" s="431" t="s">
        <v>273</v>
      </c>
      <c r="G273" s="431" t="s">
        <v>175</v>
      </c>
      <c r="H273" s="431"/>
      <c r="I273" s="431"/>
      <c r="J273" s="431"/>
      <c r="K273" s="431"/>
      <c r="L273" s="431" t="s">
        <v>274</v>
      </c>
      <c r="M273" s="432" t="s">
        <v>275</v>
      </c>
    </row>
    <row r="274" spans="1:13" ht="409.5" x14ac:dyDescent="0.2">
      <c r="A274" s="431" t="s">
        <v>272</v>
      </c>
      <c r="B274" s="431">
        <v>1870425</v>
      </c>
      <c r="C274" s="431" t="s">
        <v>159</v>
      </c>
      <c r="D274" s="431" t="s">
        <v>173</v>
      </c>
      <c r="E274" s="431" t="s">
        <v>161</v>
      </c>
      <c r="F274" s="431" t="s">
        <v>273</v>
      </c>
      <c r="G274" s="431" t="s">
        <v>175</v>
      </c>
      <c r="H274" s="431"/>
      <c r="I274" s="431"/>
      <c r="J274" s="431"/>
      <c r="K274" s="431"/>
      <c r="L274" s="431" t="s">
        <v>274</v>
      </c>
      <c r="M274" s="432" t="s">
        <v>275</v>
      </c>
    </row>
    <row r="275" spans="1:13" ht="409.5" x14ac:dyDescent="0.2">
      <c r="A275" s="431" t="s">
        <v>272</v>
      </c>
      <c r="B275" s="431">
        <v>1870425</v>
      </c>
      <c r="C275" s="431" t="s">
        <v>159</v>
      </c>
      <c r="D275" s="431" t="s">
        <v>173</v>
      </c>
      <c r="E275" s="431" t="s">
        <v>161</v>
      </c>
      <c r="F275" s="431" t="s">
        <v>276</v>
      </c>
      <c r="G275" s="431" t="s">
        <v>175</v>
      </c>
      <c r="H275" s="431"/>
      <c r="I275" s="431"/>
      <c r="J275" s="431"/>
      <c r="K275" s="431"/>
      <c r="L275" s="431" t="s">
        <v>274</v>
      </c>
      <c r="M275" s="432" t="s">
        <v>275</v>
      </c>
    </row>
    <row r="276" spans="1:13" ht="409.5" x14ac:dyDescent="0.2">
      <c r="A276" s="431" t="s">
        <v>272</v>
      </c>
      <c r="B276" s="431">
        <v>1870425</v>
      </c>
      <c r="C276" s="431" t="s">
        <v>159</v>
      </c>
      <c r="D276" s="431" t="s">
        <v>173</v>
      </c>
      <c r="E276" s="431" t="s">
        <v>161</v>
      </c>
      <c r="F276" s="431" t="s">
        <v>276</v>
      </c>
      <c r="G276" s="431" t="s">
        <v>175</v>
      </c>
      <c r="H276" s="431"/>
      <c r="I276" s="431"/>
      <c r="J276" s="431"/>
      <c r="K276" s="431"/>
      <c r="L276" s="431" t="s">
        <v>274</v>
      </c>
      <c r="M276" s="432" t="s">
        <v>275</v>
      </c>
    </row>
    <row r="277" spans="1:13" ht="409.5" x14ac:dyDescent="0.2">
      <c r="A277" s="431" t="s">
        <v>272</v>
      </c>
      <c r="B277" s="431">
        <v>1870425</v>
      </c>
      <c r="C277" s="431" t="s">
        <v>159</v>
      </c>
      <c r="D277" s="431" t="s">
        <v>173</v>
      </c>
      <c r="E277" s="431" t="s">
        <v>161</v>
      </c>
      <c r="F277" s="431" t="s">
        <v>277</v>
      </c>
      <c r="G277" s="431" t="s">
        <v>175</v>
      </c>
      <c r="H277" s="431"/>
      <c r="I277" s="431"/>
      <c r="J277" s="431"/>
      <c r="K277" s="431"/>
      <c r="L277" s="431" t="s">
        <v>274</v>
      </c>
      <c r="M277" s="432" t="s">
        <v>275</v>
      </c>
    </row>
    <row r="278" spans="1:13" ht="409.5" x14ac:dyDescent="0.2">
      <c r="A278" s="431" t="s">
        <v>272</v>
      </c>
      <c r="B278" s="431">
        <v>1870425</v>
      </c>
      <c r="C278" s="431" t="s">
        <v>159</v>
      </c>
      <c r="D278" s="431" t="s">
        <v>173</v>
      </c>
      <c r="E278" s="431" t="s">
        <v>161</v>
      </c>
      <c r="F278" s="431" t="s">
        <v>277</v>
      </c>
      <c r="G278" s="431" t="s">
        <v>175</v>
      </c>
      <c r="H278" s="431"/>
      <c r="I278" s="431"/>
      <c r="J278" s="431"/>
      <c r="K278" s="431"/>
      <c r="L278" s="431" t="s">
        <v>274</v>
      </c>
      <c r="M278" s="432" t="s">
        <v>275</v>
      </c>
    </row>
    <row r="279" spans="1:13" ht="409.5" x14ac:dyDescent="0.2">
      <c r="A279" s="431" t="s">
        <v>272</v>
      </c>
      <c r="B279" s="431">
        <v>1870425</v>
      </c>
      <c r="C279" s="431" t="s">
        <v>159</v>
      </c>
      <c r="D279" s="431" t="s">
        <v>173</v>
      </c>
      <c r="E279" s="431" t="s">
        <v>161</v>
      </c>
      <c r="F279" s="431" t="s">
        <v>278</v>
      </c>
      <c r="G279" s="431" t="s">
        <v>175</v>
      </c>
      <c r="H279" s="431"/>
      <c r="I279" s="431"/>
      <c r="J279" s="431"/>
      <c r="K279" s="431"/>
      <c r="L279" s="431" t="s">
        <v>274</v>
      </c>
      <c r="M279" s="432" t="s">
        <v>275</v>
      </c>
    </row>
    <row r="280" spans="1:13" ht="409.5" x14ac:dyDescent="0.2">
      <c r="A280" s="431" t="s">
        <v>272</v>
      </c>
      <c r="B280" s="431">
        <v>1870425</v>
      </c>
      <c r="C280" s="431" t="s">
        <v>159</v>
      </c>
      <c r="D280" s="431" t="s">
        <v>173</v>
      </c>
      <c r="E280" s="431" t="s">
        <v>161</v>
      </c>
      <c r="F280" s="431" t="s">
        <v>279</v>
      </c>
      <c r="G280" s="431" t="s">
        <v>175</v>
      </c>
      <c r="H280" s="431"/>
      <c r="I280" s="431"/>
      <c r="J280" s="431"/>
      <c r="K280" s="431"/>
      <c r="L280" s="431" t="s">
        <v>274</v>
      </c>
      <c r="M280" s="432" t="s">
        <v>275</v>
      </c>
    </row>
    <row r="281" spans="1:13" ht="409.5" x14ac:dyDescent="0.2">
      <c r="A281" s="431" t="s">
        <v>272</v>
      </c>
      <c r="B281" s="431">
        <v>1870425</v>
      </c>
      <c r="C281" s="431" t="s">
        <v>159</v>
      </c>
      <c r="D281" s="431" t="s">
        <v>173</v>
      </c>
      <c r="E281" s="431" t="s">
        <v>161</v>
      </c>
      <c r="F281" s="431" t="s">
        <v>280</v>
      </c>
      <c r="G281" s="431" t="s">
        <v>175</v>
      </c>
      <c r="H281" s="431"/>
      <c r="I281" s="431"/>
      <c r="J281" s="431"/>
      <c r="K281" s="431"/>
      <c r="L281" s="431" t="s">
        <v>274</v>
      </c>
      <c r="M281" s="432" t="s">
        <v>275</v>
      </c>
    </row>
    <row r="282" spans="1:13" ht="409.5" x14ac:dyDescent="0.2">
      <c r="A282" s="431" t="s">
        <v>272</v>
      </c>
      <c r="B282" s="431">
        <v>1870425</v>
      </c>
      <c r="C282" s="431" t="s">
        <v>159</v>
      </c>
      <c r="D282" s="431" t="s">
        <v>173</v>
      </c>
      <c r="E282" s="431" t="s">
        <v>161</v>
      </c>
      <c r="F282" s="431" t="s">
        <v>281</v>
      </c>
      <c r="G282" s="431" t="s">
        <v>175</v>
      </c>
      <c r="H282" s="431"/>
      <c r="I282" s="431"/>
      <c r="J282" s="431"/>
      <c r="K282" s="431"/>
      <c r="L282" s="431" t="s">
        <v>274</v>
      </c>
      <c r="M282" s="432" t="s">
        <v>275</v>
      </c>
    </row>
    <row r="283" spans="1:13" ht="409.5" x14ac:dyDescent="0.2">
      <c r="A283" s="431" t="s">
        <v>272</v>
      </c>
      <c r="B283" s="431">
        <v>1870425</v>
      </c>
      <c r="C283" s="431" t="s">
        <v>159</v>
      </c>
      <c r="D283" s="431" t="s">
        <v>173</v>
      </c>
      <c r="E283" s="431" t="s">
        <v>161</v>
      </c>
      <c r="F283" s="431" t="s">
        <v>281</v>
      </c>
      <c r="G283" s="431" t="s">
        <v>175</v>
      </c>
      <c r="H283" s="431"/>
      <c r="I283" s="431"/>
      <c r="J283" s="431"/>
      <c r="K283" s="431"/>
      <c r="L283" s="431" t="s">
        <v>274</v>
      </c>
      <c r="M283" s="432" t="s">
        <v>275</v>
      </c>
    </row>
    <row r="284" spans="1:13" ht="409.5" x14ac:dyDescent="0.2">
      <c r="A284" s="431" t="s">
        <v>272</v>
      </c>
      <c r="B284" s="431">
        <v>1870425</v>
      </c>
      <c r="C284" s="431" t="s">
        <v>159</v>
      </c>
      <c r="D284" s="431" t="s">
        <v>173</v>
      </c>
      <c r="E284" s="431" t="s">
        <v>161</v>
      </c>
      <c r="F284" s="431" t="s">
        <v>282</v>
      </c>
      <c r="G284" s="431" t="s">
        <v>175</v>
      </c>
      <c r="H284" s="431"/>
      <c r="I284" s="431"/>
      <c r="J284" s="431"/>
      <c r="K284" s="431"/>
      <c r="L284" s="431" t="s">
        <v>274</v>
      </c>
      <c r="M284" s="432" t="s">
        <v>275</v>
      </c>
    </row>
    <row r="285" spans="1:13" ht="409.5" x14ac:dyDescent="0.2">
      <c r="A285" s="431" t="s">
        <v>272</v>
      </c>
      <c r="B285" s="431">
        <v>1870425</v>
      </c>
      <c r="C285" s="431" t="s">
        <v>159</v>
      </c>
      <c r="D285" s="431" t="s">
        <v>173</v>
      </c>
      <c r="E285" s="431" t="s">
        <v>161</v>
      </c>
      <c r="F285" s="431" t="s">
        <v>283</v>
      </c>
      <c r="G285" s="431" t="s">
        <v>175</v>
      </c>
      <c r="H285" s="431"/>
      <c r="I285" s="431"/>
      <c r="J285" s="431"/>
      <c r="K285" s="431"/>
      <c r="L285" s="431" t="s">
        <v>274</v>
      </c>
      <c r="M285" s="432" t="s">
        <v>275</v>
      </c>
    </row>
    <row r="286" spans="1:13" ht="409.5" x14ac:dyDescent="0.2">
      <c r="A286" s="431" t="s">
        <v>272</v>
      </c>
      <c r="B286" s="431">
        <v>1870425</v>
      </c>
      <c r="C286" s="431" t="s">
        <v>159</v>
      </c>
      <c r="D286" s="431" t="s">
        <v>173</v>
      </c>
      <c r="E286" s="431" t="s">
        <v>161</v>
      </c>
      <c r="F286" s="431" t="s">
        <v>284</v>
      </c>
      <c r="G286" s="431" t="s">
        <v>175</v>
      </c>
      <c r="H286" s="431"/>
      <c r="I286" s="431"/>
      <c r="J286" s="431"/>
      <c r="K286" s="431"/>
      <c r="L286" s="431" t="s">
        <v>274</v>
      </c>
      <c r="M286" s="432" t="s">
        <v>275</v>
      </c>
    </row>
    <row r="287" spans="1:13" ht="409.5" x14ac:dyDescent="0.2">
      <c r="A287" s="431" t="s">
        <v>272</v>
      </c>
      <c r="B287" s="431">
        <v>1870425</v>
      </c>
      <c r="C287" s="431" t="s">
        <v>159</v>
      </c>
      <c r="D287" s="431" t="s">
        <v>173</v>
      </c>
      <c r="E287" s="431" t="s">
        <v>161</v>
      </c>
      <c r="F287" s="431" t="s">
        <v>285</v>
      </c>
      <c r="G287" s="431" t="s">
        <v>175</v>
      </c>
      <c r="H287" s="431"/>
      <c r="I287" s="431"/>
      <c r="J287" s="431"/>
      <c r="K287" s="431"/>
      <c r="L287" s="431" t="s">
        <v>274</v>
      </c>
      <c r="M287" s="432" t="s">
        <v>275</v>
      </c>
    </row>
    <row r="288" spans="1:13" ht="409.5" x14ac:dyDescent="0.2">
      <c r="A288" s="431" t="s">
        <v>272</v>
      </c>
      <c r="B288" s="431">
        <v>1870425</v>
      </c>
      <c r="C288" s="431" t="s">
        <v>159</v>
      </c>
      <c r="D288" s="431" t="s">
        <v>173</v>
      </c>
      <c r="E288" s="431" t="s">
        <v>161</v>
      </c>
      <c r="F288" s="431" t="s">
        <v>286</v>
      </c>
      <c r="G288" s="431" t="s">
        <v>175</v>
      </c>
      <c r="H288" s="431"/>
      <c r="I288" s="431"/>
      <c r="J288" s="431"/>
      <c r="K288" s="431"/>
      <c r="L288" s="431" t="s">
        <v>274</v>
      </c>
      <c r="M288" s="432" t="s">
        <v>275</v>
      </c>
    </row>
    <row r="289" spans="1:13" ht="409.5" x14ac:dyDescent="0.2">
      <c r="A289" s="431" t="s">
        <v>272</v>
      </c>
      <c r="B289" s="431">
        <v>1870425</v>
      </c>
      <c r="C289" s="431" t="s">
        <v>159</v>
      </c>
      <c r="D289" s="431" t="s">
        <v>173</v>
      </c>
      <c r="E289" s="431" t="s">
        <v>161</v>
      </c>
      <c r="F289" s="431" t="s">
        <v>287</v>
      </c>
      <c r="G289" s="431" t="s">
        <v>175</v>
      </c>
      <c r="H289" s="431"/>
      <c r="I289" s="431"/>
      <c r="J289" s="431"/>
      <c r="K289" s="431"/>
      <c r="L289" s="431" t="s">
        <v>274</v>
      </c>
      <c r="M289" s="432" t="s">
        <v>275</v>
      </c>
    </row>
    <row r="290" spans="1:13" ht="409.5" x14ac:dyDescent="0.2">
      <c r="A290" s="431" t="s">
        <v>272</v>
      </c>
      <c r="B290" s="431">
        <v>1870425</v>
      </c>
      <c r="C290" s="431" t="s">
        <v>159</v>
      </c>
      <c r="D290" s="431" t="s">
        <v>173</v>
      </c>
      <c r="E290" s="431" t="s">
        <v>161</v>
      </c>
      <c r="F290" s="431" t="s">
        <v>287</v>
      </c>
      <c r="G290" s="431" t="s">
        <v>175</v>
      </c>
      <c r="H290" s="431"/>
      <c r="I290" s="431"/>
      <c r="J290" s="431"/>
      <c r="K290" s="431"/>
      <c r="L290" s="431" t="s">
        <v>274</v>
      </c>
      <c r="M290" s="432" t="s">
        <v>275</v>
      </c>
    </row>
    <row r="291" spans="1:13" ht="409.5" x14ac:dyDescent="0.2">
      <c r="A291" s="431" t="s">
        <v>272</v>
      </c>
      <c r="B291" s="431">
        <v>1870425</v>
      </c>
      <c r="C291" s="431" t="s">
        <v>159</v>
      </c>
      <c r="D291" s="431" t="s">
        <v>173</v>
      </c>
      <c r="E291" s="431" t="s">
        <v>161</v>
      </c>
      <c r="F291" s="431" t="s">
        <v>288</v>
      </c>
      <c r="G291" s="431" t="s">
        <v>175</v>
      </c>
      <c r="H291" s="431"/>
      <c r="I291" s="431"/>
      <c r="J291" s="431"/>
      <c r="K291" s="431"/>
      <c r="L291" s="431" t="s">
        <v>274</v>
      </c>
      <c r="M291" s="432" t="s">
        <v>275</v>
      </c>
    </row>
    <row r="292" spans="1:13" ht="409.5" x14ac:dyDescent="0.2">
      <c r="A292" s="431" t="s">
        <v>272</v>
      </c>
      <c r="B292" s="431">
        <v>1870425</v>
      </c>
      <c r="C292" s="431" t="s">
        <v>159</v>
      </c>
      <c r="D292" s="431" t="s">
        <v>173</v>
      </c>
      <c r="E292" s="431" t="s">
        <v>161</v>
      </c>
      <c r="F292" s="431" t="s">
        <v>288</v>
      </c>
      <c r="G292" s="431" t="s">
        <v>175</v>
      </c>
      <c r="H292" s="431"/>
      <c r="I292" s="431"/>
      <c r="J292" s="431"/>
      <c r="K292" s="431"/>
      <c r="L292" s="431" t="s">
        <v>274</v>
      </c>
      <c r="M292" s="432" t="s">
        <v>275</v>
      </c>
    </row>
    <row r="293" spans="1:13" ht="409.5" x14ac:dyDescent="0.2">
      <c r="A293" s="431" t="s">
        <v>272</v>
      </c>
      <c r="B293" s="431">
        <v>1870425</v>
      </c>
      <c r="C293" s="431" t="s">
        <v>159</v>
      </c>
      <c r="D293" s="431" t="s">
        <v>173</v>
      </c>
      <c r="E293" s="431" t="s">
        <v>161</v>
      </c>
      <c r="F293" s="431" t="s">
        <v>289</v>
      </c>
      <c r="G293" s="431" t="s">
        <v>175</v>
      </c>
      <c r="H293" s="431"/>
      <c r="I293" s="431"/>
      <c r="J293" s="431"/>
      <c r="K293" s="431"/>
      <c r="L293" s="431" t="s">
        <v>274</v>
      </c>
      <c r="M293" s="432" t="s">
        <v>275</v>
      </c>
    </row>
    <row r="294" spans="1:13" ht="409.5" x14ac:dyDescent="0.2">
      <c r="A294" s="431" t="s">
        <v>272</v>
      </c>
      <c r="B294" s="431">
        <v>1870425</v>
      </c>
      <c r="C294" s="431" t="s">
        <v>159</v>
      </c>
      <c r="D294" s="431" t="s">
        <v>173</v>
      </c>
      <c r="E294" s="431" t="s">
        <v>161</v>
      </c>
      <c r="F294" s="431" t="s">
        <v>290</v>
      </c>
      <c r="G294" s="431" t="s">
        <v>175</v>
      </c>
      <c r="H294" s="431"/>
      <c r="I294" s="431"/>
      <c r="J294" s="431"/>
      <c r="K294" s="431"/>
      <c r="L294" s="431" t="s">
        <v>274</v>
      </c>
      <c r="M294" s="432" t="s">
        <v>275</v>
      </c>
    </row>
    <row r="295" spans="1:13" ht="409.5" x14ac:dyDescent="0.2">
      <c r="A295" s="431" t="s">
        <v>272</v>
      </c>
      <c r="B295" s="431">
        <v>1870425</v>
      </c>
      <c r="C295" s="431" t="s">
        <v>159</v>
      </c>
      <c r="D295" s="431" t="s">
        <v>173</v>
      </c>
      <c r="E295" s="431" t="s">
        <v>161</v>
      </c>
      <c r="F295" s="431" t="s">
        <v>291</v>
      </c>
      <c r="G295" s="431" t="s">
        <v>175</v>
      </c>
      <c r="H295" s="431"/>
      <c r="I295" s="431"/>
      <c r="J295" s="431"/>
      <c r="K295" s="431"/>
      <c r="L295" s="431" t="s">
        <v>274</v>
      </c>
      <c r="M295" s="432" t="s">
        <v>275</v>
      </c>
    </row>
    <row r="296" spans="1:13" ht="409.5" x14ac:dyDescent="0.2">
      <c r="A296" s="431" t="s">
        <v>272</v>
      </c>
      <c r="B296" s="431">
        <v>1870425</v>
      </c>
      <c r="C296" s="431" t="s">
        <v>159</v>
      </c>
      <c r="D296" s="431" t="s">
        <v>173</v>
      </c>
      <c r="E296" s="431" t="s">
        <v>161</v>
      </c>
      <c r="F296" s="431" t="s">
        <v>292</v>
      </c>
      <c r="G296" s="431" t="s">
        <v>175</v>
      </c>
      <c r="H296" s="431"/>
      <c r="I296" s="431"/>
      <c r="J296" s="431"/>
      <c r="K296" s="431"/>
      <c r="L296" s="431" t="s">
        <v>274</v>
      </c>
      <c r="M296" s="432" t="s">
        <v>275</v>
      </c>
    </row>
    <row r="297" spans="1:13" ht="409.5" x14ac:dyDescent="0.2">
      <c r="A297" s="431" t="s">
        <v>272</v>
      </c>
      <c r="B297" s="431">
        <v>1870425</v>
      </c>
      <c r="C297" s="431" t="s">
        <v>159</v>
      </c>
      <c r="D297" s="431" t="s">
        <v>173</v>
      </c>
      <c r="E297" s="431" t="s">
        <v>161</v>
      </c>
      <c r="F297" s="431" t="s">
        <v>293</v>
      </c>
      <c r="G297" s="431" t="s">
        <v>175</v>
      </c>
      <c r="H297" s="431"/>
      <c r="I297" s="431"/>
      <c r="J297" s="431"/>
      <c r="K297" s="431"/>
      <c r="L297" s="431" t="s">
        <v>274</v>
      </c>
      <c r="M297" s="432" t="s">
        <v>275</v>
      </c>
    </row>
    <row r="298" spans="1:13" ht="409.5" x14ac:dyDescent="0.2">
      <c r="A298" s="431" t="s">
        <v>272</v>
      </c>
      <c r="B298" s="431">
        <v>1870425</v>
      </c>
      <c r="C298" s="431" t="s">
        <v>159</v>
      </c>
      <c r="D298" s="431" t="s">
        <v>173</v>
      </c>
      <c r="E298" s="431" t="s">
        <v>161</v>
      </c>
      <c r="F298" s="431" t="s">
        <v>294</v>
      </c>
      <c r="G298" s="431" t="s">
        <v>175</v>
      </c>
      <c r="H298" s="431"/>
      <c r="I298" s="431"/>
      <c r="J298" s="431"/>
      <c r="K298" s="431"/>
      <c r="L298" s="431" t="s">
        <v>274</v>
      </c>
      <c r="M298" s="432" t="s">
        <v>275</v>
      </c>
    </row>
    <row r="299" spans="1:13" ht="409.5" x14ac:dyDescent="0.2">
      <c r="A299" s="431" t="s">
        <v>272</v>
      </c>
      <c r="B299" s="431">
        <v>1870425</v>
      </c>
      <c r="C299" s="431" t="s">
        <v>159</v>
      </c>
      <c r="D299" s="431" t="s">
        <v>173</v>
      </c>
      <c r="E299" s="431" t="s">
        <v>161</v>
      </c>
      <c r="F299" s="431" t="s">
        <v>295</v>
      </c>
      <c r="G299" s="431" t="s">
        <v>175</v>
      </c>
      <c r="H299" s="431"/>
      <c r="I299" s="431"/>
      <c r="J299" s="431"/>
      <c r="K299" s="431"/>
      <c r="L299" s="431" t="s">
        <v>274</v>
      </c>
      <c r="M299" s="432" t="s">
        <v>275</v>
      </c>
    </row>
    <row r="300" spans="1:13" ht="409.5" x14ac:dyDescent="0.2">
      <c r="A300" s="431" t="s">
        <v>272</v>
      </c>
      <c r="B300" s="431">
        <v>1870425</v>
      </c>
      <c r="C300" s="431" t="s">
        <v>159</v>
      </c>
      <c r="D300" s="431" t="s">
        <v>173</v>
      </c>
      <c r="E300" s="431" t="s">
        <v>161</v>
      </c>
      <c r="F300" s="431" t="s">
        <v>296</v>
      </c>
      <c r="G300" s="431" t="s">
        <v>175</v>
      </c>
      <c r="H300" s="431"/>
      <c r="I300" s="431"/>
      <c r="J300" s="431"/>
      <c r="K300" s="431"/>
      <c r="L300" s="431" t="s">
        <v>274</v>
      </c>
      <c r="M300" s="432" t="s">
        <v>275</v>
      </c>
    </row>
    <row r="301" spans="1:13" ht="409.5" x14ac:dyDescent="0.2">
      <c r="A301" s="431" t="s">
        <v>272</v>
      </c>
      <c r="B301" s="431">
        <v>1870425</v>
      </c>
      <c r="C301" s="431" t="s">
        <v>159</v>
      </c>
      <c r="D301" s="431" t="s">
        <v>173</v>
      </c>
      <c r="E301" s="431" t="s">
        <v>161</v>
      </c>
      <c r="F301" s="431" t="s">
        <v>296</v>
      </c>
      <c r="G301" s="431" t="s">
        <v>175</v>
      </c>
      <c r="H301" s="431"/>
      <c r="I301" s="431"/>
      <c r="J301" s="431"/>
      <c r="K301" s="431"/>
      <c r="L301" s="431" t="s">
        <v>274</v>
      </c>
      <c r="M301" s="432" t="s">
        <v>275</v>
      </c>
    </row>
    <row r="302" spans="1:13" ht="409.5" x14ac:dyDescent="0.2">
      <c r="A302" s="431" t="s">
        <v>272</v>
      </c>
      <c r="B302" s="431">
        <v>1870425</v>
      </c>
      <c r="C302" s="431" t="s">
        <v>159</v>
      </c>
      <c r="D302" s="431" t="s">
        <v>173</v>
      </c>
      <c r="E302" s="431" t="s">
        <v>161</v>
      </c>
      <c r="F302" s="431" t="s">
        <v>297</v>
      </c>
      <c r="G302" s="431" t="s">
        <v>175</v>
      </c>
      <c r="H302" s="431"/>
      <c r="I302" s="431"/>
      <c r="J302" s="431"/>
      <c r="K302" s="431"/>
      <c r="L302" s="431" t="s">
        <v>274</v>
      </c>
      <c r="M302" s="432" t="s">
        <v>275</v>
      </c>
    </row>
    <row r="303" spans="1:13" ht="409.5" x14ac:dyDescent="0.2">
      <c r="A303" s="431" t="s">
        <v>272</v>
      </c>
      <c r="B303" s="431">
        <v>1870425</v>
      </c>
      <c r="C303" s="431" t="s">
        <v>159</v>
      </c>
      <c r="D303" s="431" t="s">
        <v>173</v>
      </c>
      <c r="E303" s="431" t="s">
        <v>161</v>
      </c>
      <c r="F303" s="431" t="s">
        <v>297</v>
      </c>
      <c r="G303" s="431" t="s">
        <v>175</v>
      </c>
      <c r="H303" s="431"/>
      <c r="I303" s="431"/>
      <c r="J303" s="431"/>
      <c r="K303" s="431"/>
      <c r="L303" s="431" t="s">
        <v>274</v>
      </c>
      <c r="M303" s="432" t="s">
        <v>275</v>
      </c>
    </row>
    <row r="304" spans="1:13" ht="409.5" x14ac:dyDescent="0.2">
      <c r="A304" s="431" t="s">
        <v>272</v>
      </c>
      <c r="B304" s="431">
        <v>1870425</v>
      </c>
      <c r="C304" s="431" t="s">
        <v>159</v>
      </c>
      <c r="D304" s="431" t="s">
        <v>173</v>
      </c>
      <c r="E304" s="431" t="s">
        <v>161</v>
      </c>
      <c r="F304" s="431" t="s">
        <v>297</v>
      </c>
      <c r="G304" s="431" t="s">
        <v>175</v>
      </c>
      <c r="H304" s="431"/>
      <c r="I304" s="431"/>
      <c r="J304" s="431"/>
      <c r="K304" s="431"/>
      <c r="L304" s="431" t="s">
        <v>274</v>
      </c>
      <c r="M304" s="432" t="s">
        <v>275</v>
      </c>
    </row>
    <row r="305" spans="1:13" ht="409.5" x14ac:dyDescent="0.2">
      <c r="A305" s="431" t="s">
        <v>272</v>
      </c>
      <c r="B305" s="431">
        <v>1870425</v>
      </c>
      <c r="C305" s="431" t="s">
        <v>159</v>
      </c>
      <c r="D305" s="431" t="s">
        <v>173</v>
      </c>
      <c r="E305" s="431" t="s">
        <v>161</v>
      </c>
      <c r="F305" s="431" t="s">
        <v>297</v>
      </c>
      <c r="G305" s="431" t="s">
        <v>175</v>
      </c>
      <c r="H305" s="431"/>
      <c r="I305" s="431"/>
      <c r="J305" s="431"/>
      <c r="K305" s="431"/>
      <c r="L305" s="431" t="s">
        <v>274</v>
      </c>
      <c r="M305" s="432" t="s">
        <v>275</v>
      </c>
    </row>
    <row r="306" spans="1:13" ht="409.5" x14ac:dyDescent="0.2">
      <c r="A306" s="431" t="s">
        <v>272</v>
      </c>
      <c r="B306" s="431">
        <v>1870425</v>
      </c>
      <c r="C306" s="431" t="s">
        <v>159</v>
      </c>
      <c r="D306" s="431" t="s">
        <v>173</v>
      </c>
      <c r="E306" s="431" t="s">
        <v>161</v>
      </c>
      <c r="F306" s="431" t="s">
        <v>297</v>
      </c>
      <c r="G306" s="431" t="s">
        <v>175</v>
      </c>
      <c r="H306" s="431"/>
      <c r="I306" s="431"/>
      <c r="J306" s="431"/>
      <c r="K306" s="431"/>
      <c r="L306" s="431" t="s">
        <v>274</v>
      </c>
      <c r="M306" s="432" t="s">
        <v>275</v>
      </c>
    </row>
    <row r="307" spans="1:13" ht="409.5" x14ac:dyDescent="0.2">
      <c r="A307" s="431" t="s">
        <v>272</v>
      </c>
      <c r="B307" s="431">
        <v>1870425</v>
      </c>
      <c r="C307" s="431" t="s">
        <v>159</v>
      </c>
      <c r="D307" s="431" t="s">
        <v>173</v>
      </c>
      <c r="E307" s="431" t="s">
        <v>161</v>
      </c>
      <c r="F307" s="431" t="s">
        <v>297</v>
      </c>
      <c r="G307" s="431" t="s">
        <v>175</v>
      </c>
      <c r="H307" s="431"/>
      <c r="I307" s="431"/>
      <c r="J307" s="431"/>
      <c r="K307" s="431"/>
      <c r="L307" s="431" t="s">
        <v>274</v>
      </c>
      <c r="M307" s="432" t="s">
        <v>275</v>
      </c>
    </row>
    <row r="308" spans="1:13" ht="409.5" x14ac:dyDescent="0.2">
      <c r="A308" s="431" t="s">
        <v>272</v>
      </c>
      <c r="B308" s="431">
        <v>1870425</v>
      </c>
      <c r="C308" s="431" t="s">
        <v>159</v>
      </c>
      <c r="D308" s="431" t="s">
        <v>173</v>
      </c>
      <c r="E308" s="431" t="s">
        <v>161</v>
      </c>
      <c r="F308" s="431" t="s">
        <v>298</v>
      </c>
      <c r="G308" s="431" t="s">
        <v>175</v>
      </c>
      <c r="H308" s="431"/>
      <c r="I308" s="431"/>
      <c r="J308" s="431"/>
      <c r="K308" s="431"/>
      <c r="L308" s="431" t="s">
        <v>274</v>
      </c>
      <c r="M308" s="432" t="s">
        <v>275</v>
      </c>
    </row>
    <row r="309" spans="1:13" ht="409.5" x14ac:dyDescent="0.2">
      <c r="A309" s="431" t="s">
        <v>272</v>
      </c>
      <c r="B309" s="431">
        <v>1870425</v>
      </c>
      <c r="C309" s="431" t="s">
        <v>159</v>
      </c>
      <c r="D309" s="431" t="s">
        <v>173</v>
      </c>
      <c r="E309" s="431" t="s">
        <v>161</v>
      </c>
      <c r="F309" s="431" t="s">
        <v>299</v>
      </c>
      <c r="G309" s="431" t="s">
        <v>175</v>
      </c>
      <c r="H309" s="431"/>
      <c r="I309" s="431"/>
      <c r="J309" s="431"/>
      <c r="K309" s="431"/>
      <c r="L309" s="431" t="s">
        <v>274</v>
      </c>
      <c r="M309" s="432" t="s">
        <v>275</v>
      </c>
    </row>
    <row r="310" spans="1:13" ht="409.5" x14ac:dyDescent="0.2">
      <c r="A310" s="431" t="s">
        <v>272</v>
      </c>
      <c r="B310" s="431">
        <v>1870425</v>
      </c>
      <c r="C310" s="431" t="s">
        <v>159</v>
      </c>
      <c r="D310" s="431" t="s">
        <v>173</v>
      </c>
      <c r="E310" s="431" t="s">
        <v>161</v>
      </c>
      <c r="F310" s="431" t="s">
        <v>300</v>
      </c>
      <c r="G310" s="431" t="s">
        <v>175</v>
      </c>
      <c r="H310" s="431"/>
      <c r="I310" s="431"/>
      <c r="J310" s="431"/>
      <c r="K310" s="431"/>
      <c r="L310" s="431" t="s">
        <v>274</v>
      </c>
      <c r="M310" s="432" t="s">
        <v>275</v>
      </c>
    </row>
    <row r="311" spans="1:13" ht="409.5" x14ac:dyDescent="0.2">
      <c r="A311" s="431" t="s">
        <v>272</v>
      </c>
      <c r="B311" s="431">
        <v>1870425</v>
      </c>
      <c r="C311" s="431" t="s">
        <v>159</v>
      </c>
      <c r="D311" s="431" t="s">
        <v>173</v>
      </c>
      <c r="E311" s="431" t="s">
        <v>161</v>
      </c>
      <c r="F311" s="431" t="s">
        <v>301</v>
      </c>
      <c r="G311" s="431" t="s">
        <v>175</v>
      </c>
      <c r="H311" s="431"/>
      <c r="I311" s="431"/>
      <c r="J311" s="431"/>
      <c r="K311" s="431"/>
      <c r="L311" s="431" t="s">
        <v>274</v>
      </c>
      <c r="M311" s="432" t="s">
        <v>275</v>
      </c>
    </row>
    <row r="312" spans="1:13" ht="409.5" x14ac:dyDescent="0.2">
      <c r="A312" s="431" t="s">
        <v>272</v>
      </c>
      <c r="B312" s="431">
        <v>1870425</v>
      </c>
      <c r="C312" s="431" t="s">
        <v>159</v>
      </c>
      <c r="D312" s="431" t="s">
        <v>173</v>
      </c>
      <c r="E312" s="431" t="s">
        <v>161</v>
      </c>
      <c r="F312" s="431" t="s">
        <v>302</v>
      </c>
      <c r="G312" s="431" t="s">
        <v>175</v>
      </c>
      <c r="H312" s="431"/>
      <c r="I312" s="431"/>
      <c r="J312" s="431"/>
      <c r="K312" s="431"/>
      <c r="L312" s="431" t="s">
        <v>274</v>
      </c>
      <c r="M312" s="432" t="s">
        <v>275</v>
      </c>
    </row>
    <row r="313" spans="1:13" ht="409.5" x14ac:dyDescent="0.2">
      <c r="A313" s="431" t="s">
        <v>272</v>
      </c>
      <c r="B313" s="431">
        <v>1870425</v>
      </c>
      <c r="C313" s="431" t="s">
        <v>159</v>
      </c>
      <c r="D313" s="431" t="s">
        <v>173</v>
      </c>
      <c r="E313" s="431" t="s">
        <v>161</v>
      </c>
      <c r="F313" s="431" t="s">
        <v>303</v>
      </c>
      <c r="G313" s="431" t="s">
        <v>175</v>
      </c>
      <c r="H313" s="431"/>
      <c r="I313" s="431"/>
      <c r="J313" s="431"/>
      <c r="K313" s="431"/>
      <c r="L313" s="431" t="s">
        <v>274</v>
      </c>
      <c r="M313" s="432" t="s">
        <v>275</v>
      </c>
    </row>
    <row r="314" spans="1:13" ht="409.5" x14ac:dyDescent="0.2">
      <c r="A314" s="431" t="s">
        <v>272</v>
      </c>
      <c r="B314" s="431">
        <v>1870425</v>
      </c>
      <c r="C314" s="431" t="s">
        <v>159</v>
      </c>
      <c r="D314" s="431" t="s">
        <v>173</v>
      </c>
      <c r="E314" s="431" t="s">
        <v>161</v>
      </c>
      <c r="F314" s="431" t="s">
        <v>304</v>
      </c>
      <c r="G314" s="431" t="s">
        <v>175</v>
      </c>
      <c r="H314" s="431"/>
      <c r="I314" s="431"/>
      <c r="J314" s="431"/>
      <c r="K314" s="431"/>
      <c r="L314" s="431" t="s">
        <v>274</v>
      </c>
      <c r="M314" s="432" t="s">
        <v>275</v>
      </c>
    </row>
    <row r="315" spans="1:13" x14ac:dyDescent="0.2">
      <c r="A315" s="431" t="s">
        <v>305</v>
      </c>
      <c r="B315" s="431">
        <v>1870426</v>
      </c>
      <c r="C315" s="431" t="s">
        <v>159</v>
      </c>
      <c r="D315" s="431" t="s">
        <v>173</v>
      </c>
      <c r="E315" s="431" t="s">
        <v>161</v>
      </c>
      <c r="F315" s="431" t="s">
        <v>306</v>
      </c>
      <c r="G315" s="431" t="s">
        <v>175</v>
      </c>
      <c r="H315" s="431"/>
      <c r="I315" s="431"/>
      <c r="J315" s="431"/>
      <c r="K315" s="431"/>
      <c r="L315" s="431" t="s">
        <v>307</v>
      </c>
      <c r="M315" s="431" t="s">
        <v>308</v>
      </c>
    </row>
    <row r="316" spans="1:13" x14ac:dyDescent="0.2">
      <c r="A316" s="431" t="s">
        <v>305</v>
      </c>
      <c r="B316" s="431">
        <v>1870426</v>
      </c>
      <c r="C316" s="431" t="s">
        <v>159</v>
      </c>
      <c r="D316" s="431" t="s">
        <v>173</v>
      </c>
      <c r="E316" s="431" t="s">
        <v>161</v>
      </c>
      <c r="F316" s="431" t="s">
        <v>309</v>
      </c>
      <c r="G316" s="431" t="s">
        <v>175</v>
      </c>
      <c r="H316" s="431"/>
      <c r="I316" s="431"/>
      <c r="J316" s="431"/>
      <c r="K316" s="431"/>
      <c r="L316" s="431" t="s">
        <v>307</v>
      </c>
      <c r="M316" s="431" t="s">
        <v>308</v>
      </c>
    </row>
    <row r="317" spans="1:13" x14ac:dyDescent="0.2">
      <c r="A317" s="431" t="s">
        <v>310</v>
      </c>
      <c r="B317" s="431">
        <v>1870427</v>
      </c>
      <c r="C317" s="431" t="s">
        <v>159</v>
      </c>
      <c r="D317" s="431" t="s">
        <v>173</v>
      </c>
      <c r="E317" s="431" t="s">
        <v>161</v>
      </c>
      <c r="F317" s="431" t="s">
        <v>283</v>
      </c>
      <c r="G317" s="431" t="s">
        <v>175</v>
      </c>
      <c r="H317" s="431"/>
      <c r="I317" s="431"/>
      <c r="J317" s="431"/>
      <c r="K317" s="431"/>
      <c r="L317" s="431" t="s">
        <v>311</v>
      </c>
      <c r="M317" s="431" t="s">
        <v>312</v>
      </c>
    </row>
    <row r="318" spans="1:13" x14ac:dyDescent="0.2">
      <c r="A318" s="431" t="s">
        <v>310</v>
      </c>
      <c r="B318" s="431">
        <v>1870427</v>
      </c>
      <c r="C318" s="431" t="s">
        <v>159</v>
      </c>
      <c r="D318" s="431" t="s">
        <v>173</v>
      </c>
      <c r="E318" s="431" t="s">
        <v>161</v>
      </c>
      <c r="F318" s="431" t="s">
        <v>292</v>
      </c>
      <c r="G318" s="431" t="s">
        <v>175</v>
      </c>
      <c r="H318" s="431"/>
      <c r="I318" s="431"/>
      <c r="J318" s="431"/>
      <c r="K318" s="431"/>
      <c r="L318" s="431" t="s">
        <v>311</v>
      </c>
      <c r="M318" s="431" t="s">
        <v>312</v>
      </c>
    </row>
    <row r="319" spans="1:13" x14ac:dyDescent="0.2">
      <c r="A319" s="431" t="s">
        <v>313</v>
      </c>
      <c r="B319" s="431">
        <v>1870428</v>
      </c>
      <c r="C319" s="431"/>
      <c r="D319" s="431" t="s">
        <v>173</v>
      </c>
      <c r="E319" s="431" t="s">
        <v>161</v>
      </c>
      <c r="F319" s="431" t="s">
        <v>306</v>
      </c>
      <c r="G319" s="431" t="s">
        <v>175</v>
      </c>
      <c r="H319" s="431"/>
      <c r="I319" s="431"/>
      <c r="J319" s="431"/>
      <c r="K319" s="431"/>
      <c r="L319" s="431" t="s">
        <v>314</v>
      </c>
      <c r="M319" s="431" t="s">
        <v>315</v>
      </c>
    </row>
    <row r="320" spans="1:13" x14ac:dyDescent="0.2">
      <c r="A320" s="431" t="s">
        <v>316</v>
      </c>
      <c r="B320" s="431">
        <v>1870432</v>
      </c>
      <c r="C320" s="431" t="s">
        <v>159</v>
      </c>
      <c r="D320" s="431" t="s">
        <v>173</v>
      </c>
      <c r="E320" s="431" t="s">
        <v>161</v>
      </c>
      <c r="F320" s="431" t="s">
        <v>317</v>
      </c>
      <c r="G320" s="431" t="s">
        <v>175</v>
      </c>
      <c r="H320" s="431"/>
      <c r="I320" s="431"/>
      <c r="J320" s="431"/>
      <c r="K320" s="431"/>
      <c r="L320" s="431" t="s">
        <v>241</v>
      </c>
      <c r="M320" s="431" t="s">
        <v>318</v>
      </c>
    </row>
    <row r="321" spans="1:13" x14ac:dyDescent="0.2">
      <c r="A321" s="431" t="s">
        <v>316</v>
      </c>
      <c r="B321" s="431">
        <v>1870432</v>
      </c>
      <c r="C321" s="431" t="s">
        <v>159</v>
      </c>
      <c r="D321" s="431" t="s">
        <v>173</v>
      </c>
      <c r="E321" s="431" t="s">
        <v>161</v>
      </c>
      <c r="F321" s="431" t="s">
        <v>317</v>
      </c>
      <c r="G321" s="431" t="s">
        <v>175</v>
      </c>
      <c r="H321" s="431"/>
      <c r="I321" s="431"/>
      <c r="J321" s="431"/>
      <c r="K321" s="431"/>
      <c r="L321" s="431" t="s">
        <v>241</v>
      </c>
      <c r="M321" s="431" t="s">
        <v>318</v>
      </c>
    </row>
    <row r="322" spans="1:13" x14ac:dyDescent="0.2">
      <c r="A322" s="431" t="s">
        <v>316</v>
      </c>
      <c r="B322" s="431">
        <v>1870432</v>
      </c>
      <c r="C322" s="431" t="s">
        <v>159</v>
      </c>
      <c r="D322" s="431" t="s">
        <v>173</v>
      </c>
      <c r="E322" s="431" t="s">
        <v>161</v>
      </c>
      <c r="F322" s="431" t="s">
        <v>317</v>
      </c>
      <c r="G322" s="431" t="s">
        <v>175</v>
      </c>
      <c r="H322" s="431"/>
      <c r="I322" s="431"/>
      <c r="J322" s="431"/>
      <c r="K322" s="431"/>
      <c r="L322" s="431" t="s">
        <v>241</v>
      </c>
      <c r="M322" s="431" t="s">
        <v>318</v>
      </c>
    </row>
    <row r="323" spans="1:13" x14ac:dyDescent="0.2">
      <c r="A323" s="431" t="s">
        <v>316</v>
      </c>
      <c r="B323" s="431">
        <v>1870432</v>
      </c>
      <c r="C323" s="431" t="s">
        <v>159</v>
      </c>
      <c r="D323" s="431" t="s">
        <v>173</v>
      </c>
      <c r="E323" s="431" t="s">
        <v>161</v>
      </c>
      <c r="F323" s="431" t="s">
        <v>317</v>
      </c>
      <c r="G323" s="431" t="s">
        <v>175</v>
      </c>
      <c r="H323" s="431"/>
      <c r="I323" s="431"/>
      <c r="J323" s="431"/>
      <c r="K323" s="431"/>
      <c r="L323" s="431" t="s">
        <v>241</v>
      </c>
      <c r="M323" s="431" t="s">
        <v>318</v>
      </c>
    </row>
    <row r="324" spans="1:13" x14ac:dyDescent="0.2">
      <c r="A324" s="431" t="s">
        <v>316</v>
      </c>
      <c r="B324" s="431">
        <v>1870432</v>
      </c>
      <c r="C324" s="431" t="s">
        <v>159</v>
      </c>
      <c r="D324" s="431" t="s">
        <v>173</v>
      </c>
      <c r="E324" s="431" t="s">
        <v>161</v>
      </c>
      <c r="F324" s="431" t="s">
        <v>317</v>
      </c>
      <c r="G324" s="431" t="s">
        <v>175</v>
      </c>
      <c r="H324" s="431"/>
      <c r="I324" s="431"/>
      <c r="J324" s="431"/>
      <c r="K324" s="431"/>
      <c r="L324" s="431" t="s">
        <v>241</v>
      </c>
      <c r="M324" s="431" t="s">
        <v>318</v>
      </c>
    </row>
    <row r="325" spans="1:13" x14ac:dyDescent="0.2">
      <c r="A325" s="431" t="s">
        <v>316</v>
      </c>
      <c r="B325" s="431">
        <v>1870432</v>
      </c>
      <c r="C325" s="431" t="s">
        <v>159</v>
      </c>
      <c r="D325" s="431" t="s">
        <v>173</v>
      </c>
      <c r="E325" s="431" t="s">
        <v>161</v>
      </c>
      <c r="F325" s="431" t="s">
        <v>317</v>
      </c>
      <c r="G325" s="431" t="s">
        <v>175</v>
      </c>
      <c r="H325" s="431"/>
      <c r="I325" s="431"/>
      <c r="J325" s="431"/>
      <c r="K325" s="431"/>
      <c r="L325" s="431" t="s">
        <v>241</v>
      </c>
      <c r="M325" s="431" t="s">
        <v>318</v>
      </c>
    </row>
    <row r="326" spans="1:13" x14ac:dyDescent="0.2">
      <c r="A326" s="431" t="s">
        <v>316</v>
      </c>
      <c r="B326" s="431">
        <v>1870432</v>
      </c>
      <c r="C326" s="431" t="s">
        <v>159</v>
      </c>
      <c r="D326" s="431" t="s">
        <v>173</v>
      </c>
      <c r="E326" s="431" t="s">
        <v>161</v>
      </c>
      <c r="F326" s="431" t="s">
        <v>317</v>
      </c>
      <c r="G326" s="431" t="s">
        <v>175</v>
      </c>
      <c r="H326" s="431"/>
      <c r="I326" s="431"/>
      <c r="J326" s="431"/>
      <c r="K326" s="431"/>
      <c r="L326" s="431" t="s">
        <v>241</v>
      </c>
      <c r="M326" s="431" t="s">
        <v>318</v>
      </c>
    </row>
    <row r="327" spans="1:13" x14ac:dyDescent="0.2">
      <c r="A327" s="431" t="s">
        <v>316</v>
      </c>
      <c r="B327" s="431">
        <v>1870432</v>
      </c>
      <c r="C327" s="431" t="s">
        <v>159</v>
      </c>
      <c r="D327" s="431" t="s">
        <v>173</v>
      </c>
      <c r="E327" s="431" t="s">
        <v>161</v>
      </c>
      <c r="F327" s="431" t="s">
        <v>317</v>
      </c>
      <c r="G327" s="431" t="s">
        <v>175</v>
      </c>
      <c r="H327" s="431"/>
      <c r="I327" s="431"/>
      <c r="J327" s="431"/>
      <c r="K327" s="431"/>
      <c r="L327" s="431" t="s">
        <v>241</v>
      </c>
      <c r="M327" s="431" t="s">
        <v>318</v>
      </c>
    </row>
    <row r="328" spans="1:13" x14ac:dyDescent="0.2">
      <c r="A328" s="431" t="s">
        <v>316</v>
      </c>
      <c r="B328" s="431">
        <v>1870432</v>
      </c>
      <c r="C328" s="431" t="s">
        <v>159</v>
      </c>
      <c r="D328" s="431" t="s">
        <v>173</v>
      </c>
      <c r="E328" s="431" t="s">
        <v>161</v>
      </c>
      <c r="F328" s="431" t="s">
        <v>317</v>
      </c>
      <c r="G328" s="431" t="s">
        <v>175</v>
      </c>
      <c r="H328" s="431"/>
      <c r="I328" s="431"/>
      <c r="J328" s="431"/>
      <c r="K328" s="431"/>
      <c r="L328" s="431" t="s">
        <v>241</v>
      </c>
      <c r="M328" s="431" t="s">
        <v>318</v>
      </c>
    </row>
    <row r="329" spans="1:13" x14ac:dyDescent="0.2">
      <c r="A329" s="431" t="s">
        <v>316</v>
      </c>
      <c r="B329" s="431">
        <v>1870432</v>
      </c>
      <c r="C329" s="431" t="s">
        <v>159</v>
      </c>
      <c r="D329" s="431" t="s">
        <v>173</v>
      </c>
      <c r="E329" s="431" t="s">
        <v>161</v>
      </c>
      <c r="F329" s="431" t="s">
        <v>317</v>
      </c>
      <c r="G329" s="431" t="s">
        <v>175</v>
      </c>
      <c r="H329" s="431"/>
      <c r="I329" s="431"/>
      <c r="J329" s="431"/>
      <c r="K329" s="431"/>
      <c r="L329" s="431" t="s">
        <v>241</v>
      </c>
      <c r="M329" s="431" t="s">
        <v>318</v>
      </c>
    </row>
    <row r="330" spans="1:13" x14ac:dyDescent="0.2">
      <c r="A330" s="431" t="s">
        <v>316</v>
      </c>
      <c r="B330" s="431">
        <v>1870432</v>
      </c>
      <c r="C330" s="431" t="s">
        <v>159</v>
      </c>
      <c r="D330" s="431" t="s">
        <v>173</v>
      </c>
      <c r="E330" s="431" t="s">
        <v>161</v>
      </c>
      <c r="F330" s="431" t="s">
        <v>317</v>
      </c>
      <c r="G330" s="431" t="s">
        <v>175</v>
      </c>
      <c r="H330" s="431"/>
      <c r="I330" s="431"/>
      <c r="J330" s="431"/>
      <c r="K330" s="431"/>
      <c r="L330" s="431" t="s">
        <v>241</v>
      </c>
      <c r="M330" s="431" t="s">
        <v>318</v>
      </c>
    </row>
    <row r="331" spans="1:13" x14ac:dyDescent="0.2">
      <c r="A331" s="431" t="s">
        <v>316</v>
      </c>
      <c r="B331" s="431">
        <v>1870432</v>
      </c>
      <c r="C331" s="431" t="s">
        <v>159</v>
      </c>
      <c r="D331" s="431" t="s">
        <v>173</v>
      </c>
      <c r="E331" s="431" t="s">
        <v>161</v>
      </c>
      <c r="F331" s="431" t="s">
        <v>317</v>
      </c>
      <c r="G331" s="431" t="s">
        <v>175</v>
      </c>
      <c r="H331" s="431"/>
      <c r="I331" s="431"/>
      <c r="J331" s="431"/>
      <c r="K331" s="431"/>
      <c r="L331" s="431" t="s">
        <v>241</v>
      </c>
      <c r="M331" s="431" t="s">
        <v>318</v>
      </c>
    </row>
    <row r="332" spans="1:13" x14ac:dyDescent="0.2">
      <c r="A332" s="431" t="s">
        <v>316</v>
      </c>
      <c r="B332" s="431">
        <v>1870432</v>
      </c>
      <c r="C332" s="431" t="s">
        <v>159</v>
      </c>
      <c r="D332" s="431" t="s">
        <v>173</v>
      </c>
      <c r="E332" s="431" t="s">
        <v>161</v>
      </c>
      <c r="F332" s="431" t="s">
        <v>317</v>
      </c>
      <c r="G332" s="431" t="s">
        <v>175</v>
      </c>
      <c r="H332" s="431"/>
      <c r="I332" s="431"/>
      <c r="J332" s="431"/>
      <c r="K332" s="431"/>
      <c r="L332" s="431" t="s">
        <v>241</v>
      </c>
      <c r="M332" s="431" t="s">
        <v>318</v>
      </c>
    </row>
    <row r="333" spans="1:13" x14ac:dyDescent="0.2">
      <c r="A333" s="431" t="s">
        <v>316</v>
      </c>
      <c r="B333" s="431">
        <v>1870432</v>
      </c>
      <c r="C333" s="431" t="s">
        <v>159</v>
      </c>
      <c r="D333" s="431" t="s">
        <v>173</v>
      </c>
      <c r="E333" s="431" t="s">
        <v>161</v>
      </c>
      <c r="F333" s="431" t="s">
        <v>317</v>
      </c>
      <c r="G333" s="431" t="s">
        <v>175</v>
      </c>
      <c r="H333" s="431"/>
      <c r="I333" s="431"/>
      <c r="J333" s="431"/>
      <c r="K333" s="431"/>
      <c r="L333" s="431" t="s">
        <v>241</v>
      </c>
      <c r="M333" s="431" t="s">
        <v>318</v>
      </c>
    </row>
    <row r="334" spans="1:13" x14ac:dyDescent="0.2">
      <c r="A334" s="431" t="s">
        <v>316</v>
      </c>
      <c r="B334" s="431">
        <v>1870432</v>
      </c>
      <c r="C334" s="431" t="s">
        <v>159</v>
      </c>
      <c r="D334" s="431" t="s">
        <v>173</v>
      </c>
      <c r="E334" s="431" t="s">
        <v>161</v>
      </c>
      <c r="F334" s="431" t="s">
        <v>317</v>
      </c>
      <c r="G334" s="431" t="s">
        <v>175</v>
      </c>
      <c r="H334" s="431"/>
      <c r="I334" s="431"/>
      <c r="J334" s="431"/>
      <c r="K334" s="431"/>
      <c r="L334" s="431" t="s">
        <v>241</v>
      </c>
      <c r="M334" s="431" t="s">
        <v>318</v>
      </c>
    </row>
    <row r="335" spans="1:13" x14ac:dyDescent="0.2">
      <c r="A335" s="431" t="s">
        <v>316</v>
      </c>
      <c r="B335" s="431">
        <v>1870432</v>
      </c>
      <c r="C335" s="431" t="s">
        <v>159</v>
      </c>
      <c r="D335" s="431" t="s">
        <v>173</v>
      </c>
      <c r="E335" s="431" t="s">
        <v>161</v>
      </c>
      <c r="F335" s="431" t="s">
        <v>317</v>
      </c>
      <c r="G335" s="431" t="s">
        <v>175</v>
      </c>
      <c r="H335" s="431"/>
      <c r="I335" s="431"/>
      <c r="J335" s="431"/>
      <c r="K335" s="431"/>
      <c r="L335" s="431" t="s">
        <v>241</v>
      </c>
      <c r="M335" s="431" t="s">
        <v>318</v>
      </c>
    </row>
    <row r="336" spans="1:13" x14ac:dyDescent="0.2">
      <c r="A336" s="431" t="s">
        <v>316</v>
      </c>
      <c r="B336" s="431">
        <v>1870432</v>
      </c>
      <c r="C336" s="431" t="s">
        <v>159</v>
      </c>
      <c r="D336" s="431" t="s">
        <v>173</v>
      </c>
      <c r="E336" s="431" t="s">
        <v>161</v>
      </c>
      <c r="F336" s="431" t="s">
        <v>317</v>
      </c>
      <c r="G336" s="431" t="s">
        <v>175</v>
      </c>
      <c r="H336" s="431"/>
      <c r="I336" s="431"/>
      <c r="J336" s="431"/>
      <c r="K336" s="431"/>
      <c r="L336" s="431" t="s">
        <v>241</v>
      </c>
      <c r="M336" s="431" t="s">
        <v>318</v>
      </c>
    </row>
    <row r="337" spans="1:13" x14ac:dyDescent="0.2">
      <c r="A337" s="431" t="s">
        <v>316</v>
      </c>
      <c r="B337" s="431">
        <v>1870432</v>
      </c>
      <c r="C337" s="431" t="s">
        <v>159</v>
      </c>
      <c r="D337" s="431" t="s">
        <v>173</v>
      </c>
      <c r="E337" s="431" t="s">
        <v>161</v>
      </c>
      <c r="F337" s="431" t="s">
        <v>317</v>
      </c>
      <c r="G337" s="431" t="s">
        <v>175</v>
      </c>
      <c r="H337" s="431"/>
      <c r="I337" s="431"/>
      <c r="J337" s="431"/>
      <c r="K337" s="431"/>
      <c r="L337" s="431" t="s">
        <v>241</v>
      </c>
      <c r="M337" s="431" t="s">
        <v>318</v>
      </c>
    </row>
    <row r="338" spans="1:13" x14ac:dyDescent="0.2">
      <c r="A338" s="431" t="s">
        <v>316</v>
      </c>
      <c r="B338" s="431">
        <v>1870432</v>
      </c>
      <c r="C338" s="431" t="s">
        <v>159</v>
      </c>
      <c r="D338" s="431" t="s">
        <v>173</v>
      </c>
      <c r="E338" s="431" t="s">
        <v>161</v>
      </c>
      <c r="F338" s="431" t="s">
        <v>317</v>
      </c>
      <c r="G338" s="431" t="s">
        <v>175</v>
      </c>
      <c r="H338" s="431"/>
      <c r="I338" s="431"/>
      <c r="J338" s="431"/>
      <c r="K338" s="431"/>
      <c r="L338" s="431" t="s">
        <v>241</v>
      </c>
      <c r="M338" s="431" t="s">
        <v>318</v>
      </c>
    </row>
    <row r="339" spans="1:13" x14ac:dyDescent="0.2">
      <c r="A339" s="431" t="s">
        <v>316</v>
      </c>
      <c r="B339" s="431">
        <v>1870432</v>
      </c>
      <c r="C339" s="431" t="s">
        <v>159</v>
      </c>
      <c r="D339" s="431" t="s">
        <v>173</v>
      </c>
      <c r="E339" s="431" t="s">
        <v>161</v>
      </c>
      <c r="F339" s="431" t="s">
        <v>317</v>
      </c>
      <c r="G339" s="431" t="s">
        <v>175</v>
      </c>
      <c r="H339" s="431"/>
      <c r="I339" s="431"/>
      <c r="J339" s="431"/>
      <c r="K339" s="431"/>
      <c r="L339" s="431" t="s">
        <v>241</v>
      </c>
      <c r="M339" s="431" t="s">
        <v>318</v>
      </c>
    </row>
    <row r="340" spans="1:13" x14ac:dyDescent="0.2">
      <c r="A340" s="431" t="s">
        <v>316</v>
      </c>
      <c r="B340" s="431">
        <v>1870432</v>
      </c>
      <c r="C340" s="431" t="s">
        <v>159</v>
      </c>
      <c r="D340" s="431" t="s">
        <v>173</v>
      </c>
      <c r="E340" s="431" t="s">
        <v>161</v>
      </c>
      <c r="F340" s="431" t="s">
        <v>317</v>
      </c>
      <c r="G340" s="431" t="s">
        <v>175</v>
      </c>
      <c r="H340" s="431"/>
      <c r="I340" s="431"/>
      <c r="J340" s="431"/>
      <c r="K340" s="431"/>
      <c r="L340" s="431" t="s">
        <v>241</v>
      </c>
      <c r="M340" s="431" t="s">
        <v>318</v>
      </c>
    </row>
    <row r="341" spans="1:13" x14ac:dyDescent="0.2">
      <c r="A341" s="431" t="s">
        <v>316</v>
      </c>
      <c r="B341" s="431">
        <v>1870432</v>
      </c>
      <c r="C341" s="431" t="s">
        <v>159</v>
      </c>
      <c r="D341" s="431" t="s">
        <v>173</v>
      </c>
      <c r="E341" s="431" t="s">
        <v>161</v>
      </c>
      <c r="F341" s="431" t="s">
        <v>317</v>
      </c>
      <c r="G341" s="431" t="s">
        <v>175</v>
      </c>
      <c r="H341" s="431"/>
      <c r="I341" s="431"/>
      <c r="J341" s="431"/>
      <c r="K341" s="431"/>
      <c r="L341" s="431" t="s">
        <v>241</v>
      </c>
      <c r="M341" s="431" t="s">
        <v>318</v>
      </c>
    </row>
    <row r="342" spans="1:13" x14ac:dyDescent="0.2">
      <c r="A342" s="431" t="s">
        <v>316</v>
      </c>
      <c r="B342" s="431">
        <v>1870432</v>
      </c>
      <c r="C342" s="431" t="s">
        <v>159</v>
      </c>
      <c r="D342" s="431" t="s">
        <v>173</v>
      </c>
      <c r="E342" s="431" t="s">
        <v>161</v>
      </c>
      <c r="F342" s="431" t="s">
        <v>317</v>
      </c>
      <c r="G342" s="431" t="s">
        <v>175</v>
      </c>
      <c r="H342" s="431"/>
      <c r="I342" s="431"/>
      <c r="J342" s="431"/>
      <c r="K342" s="431"/>
      <c r="L342" s="431" t="s">
        <v>241</v>
      </c>
      <c r="M342" s="431" t="s">
        <v>318</v>
      </c>
    </row>
    <row r="343" spans="1:13" x14ac:dyDescent="0.2">
      <c r="A343" s="431" t="s">
        <v>316</v>
      </c>
      <c r="B343" s="431">
        <v>1870432</v>
      </c>
      <c r="C343" s="431" t="s">
        <v>159</v>
      </c>
      <c r="D343" s="431" t="s">
        <v>173</v>
      </c>
      <c r="E343" s="431" t="s">
        <v>161</v>
      </c>
      <c r="F343" s="431" t="s">
        <v>317</v>
      </c>
      <c r="G343" s="431" t="s">
        <v>175</v>
      </c>
      <c r="H343" s="431"/>
      <c r="I343" s="431"/>
      <c r="J343" s="431"/>
      <c r="K343" s="431"/>
      <c r="L343" s="431" t="s">
        <v>241</v>
      </c>
      <c r="M343" s="431" t="s">
        <v>318</v>
      </c>
    </row>
    <row r="344" spans="1:13" x14ac:dyDescent="0.2">
      <c r="A344" s="431" t="s">
        <v>316</v>
      </c>
      <c r="B344" s="431">
        <v>1870432</v>
      </c>
      <c r="C344" s="431" t="s">
        <v>159</v>
      </c>
      <c r="D344" s="431" t="s">
        <v>173</v>
      </c>
      <c r="E344" s="431" t="s">
        <v>161</v>
      </c>
      <c r="F344" s="431" t="s">
        <v>317</v>
      </c>
      <c r="G344" s="431" t="s">
        <v>175</v>
      </c>
      <c r="H344" s="431"/>
      <c r="I344" s="431"/>
      <c r="J344" s="431"/>
      <c r="K344" s="431"/>
      <c r="L344" s="431" t="s">
        <v>241</v>
      </c>
      <c r="M344" s="431" t="s">
        <v>318</v>
      </c>
    </row>
    <row r="345" spans="1:13" x14ac:dyDescent="0.2">
      <c r="A345" s="431" t="s">
        <v>316</v>
      </c>
      <c r="B345" s="431">
        <v>1870432</v>
      </c>
      <c r="C345" s="431" t="s">
        <v>159</v>
      </c>
      <c r="D345" s="431" t="s">
        <v>173</v>
      </c>
      <c r="E345" s="431" t="s">
        <v>161</v>
      </c>
      <c r="F345" s="431" t="s">
        <v>317</v>
      </c>
      <c r="G345" s="431" t="s">
        <v>175</v>
      </c>
      <c r="H345" s="431"/>
      <c r="I345" s="431"/>
      <c r="J345" s="431"/>
      <c r="K345" s="431"/>
      <c r="L345" s="431" t="s">
        <v>241</v>
      </c>
      <c r="M345" s="431" t="s">
        <v>318</v>
      </c>
    </row>
    <row r="346" spans="1:13" x14ac:dyDescent="0.2">
      <c r="A346" s="431" t="s">
        <v>316</v>
      </c>
      <c r="B346" s="431">
        <v>1870432</v>
      </c>
      <c r="C346" s="431" t="s">
        <v>159</v>
      </c>
      <c r="D346" s="431" t="s">
        <v>173</v>
      </c>
      <c r="E346" s="431" t="s">
        <v>161</v>
      </c>
      <c r="F346" s="431" t="s">
        <v>317</v>
      </c>
      <c r="G346" s="431" t="s">
        <v>175</v>
      </c>
      <c r="H346" s="431"/>
      <c r="I346" s="431"/>
      <c r="J346" s="431"/>
      <c r="K346" s="431"/>
      <c r="L346" s="431" t="s">
        <v>241</v>
      </c>
      <c r="M346" s="431" t="s">
        <v>318</v>
      </c>
    </row>
    <row r="347" spans="1:13" x14ac:dyDescent="0.2">
      <c r="A347" s="431" t="s">
        <v>316</v>
      </c>
      <c r="B347" s="431">
        <v>1870432</v>
      </c>
      <c r="C347" s="431" t="s">
        <v>159</v>
      </c>
      <c r="D347" s="431" t="s">
        <v>173</v>
      </c>
      <c r="E347" s="431" t="s">
        <v>161</v>
      </c>
      <c r="F347" s="431" t="s">
        <v>317</v>
      </c>
      <c r="G347" s="431" t="s">
        <v>175</v>
      </c>
      <c r="H347" s="431"/>
      <c r="I347" s="431"/>
      <c r="J347" s="431"/>
      <c r="K347" s="431"/>
      <c r="L347" s="431" t="s">
        <v>241</v>
      </c>
      <c r="M347" s="431" t="s">
        <v>318</v>
      </c>
    </row>
    <row r="348" spans="1:13" x14ac:dyDescent="0.2">
      <c r="A348" s="431" t="s">
        <v>316</v>
      </c>
      <c r="B348" s="431">
        <v>1870432</v>
      </c>
      <c r="C348" s="431" t="s">
        <v>159</v>
      </c>
      <c r="D348" s="431" t="s">
        <v>173</v>
      </c>
      <c r="E348" s="431" t="s">
        <v>161</v>
      </c>
      <c r="F348" s="431" t="s">
        <v>317</v>
      </c>
      <c r="G348" s="431" t="s">
        <v>175</v>
      </c>
      <c r="H348" s="431"/>
      <c r="I348" s="431"/>
      <c r="J348" s="431"/>
      <c r="K348" s="431"/>
      <c r="L348" s="431" t="s">
        <v>241</v>
      </c>
      <c r="M348" s="431" t="s">
        <v>318</v>
      </c>
    </row>
    <row r="349" spans="1:13" x14ac:dyDescent="0.2">
      <c r="A349" s="431" t="s">
        <v>316</v>
      </c>
      <c r="B349" s="431">
        <v>1870432</v>
      </c>
      <c r="C349" s="431" t="s">
        <v>159</v>
      </c>
      <c r="D349" s="431" t="s">
        <v>173</v>
      </c>
      <c r="E349" s="431" t="s">
        <v>161</v>
      </c>
      <c r="F349" s="431" t="s">
        <v>317</v>
      </c>
      <c r="G349" s="431" t="s">
        <v>175</v>
      </c>
      <c r="H349" s="431"/>
      <c r="I349" s="431"/>
      <c r="J349" s="431"/>
      <c r="K349" s="431"/>
      <c r="L349" s="431" t="s">
        <v>241</v>
      </c>
      <c r="M349" s="431" t="s">
        <v>318</v>
      </c>
    </row>
    <row r="350" spans="1:13" x14ac:dyDescent="0.2">
      <c r="A350" s="431" t="s">
        <v>316</v>
      </c>
      <c r="B350" s="431">
        <v>1870432</v>
      </c>
      <c r="C350" s="431" t="s">
        <v>159</v>
      </c>
      <c r="D350" s="431" t="s">
        <v>173</v>
      </c>
      <c r="E350" s="431" t="s">
        <v>161</v>
      </c>
      <c r="F350" s="431" t="s">
        <v>317</v>
      </c>
      <c r="G350" s="431" t="s">
        <v>175</v>
      </c>
      <c r="H350" s="431"/>
      <c r="I350" s="431"/>
      <c r="J350" s="431"/>
      <c r="K350" s="431"/>
      <c r="L350" s="431" t="s">
        <v>241</v>
      </c>
      <c r="M350" s="431" t="s">
        <v>318</v>
      </c>
    </row>
    <row r="351" spans="1:13" x14ac:dyDescent="0.2">
      <c r="A351" s="431" t="s">
        <v>316</v>
      </c>
      <c r="B351" s="431">
        <v>1870432</v>
      </c>
      <c r="C351" s="431" t="s">
        <v>159</v>
      </c>
      <c r="D351" s="431" t="s">
        <v>173</v>
      </c>
      <c r="E351" s="431" t="s">
        <v>161</v>
      </c>
      <c r="F351" s="431" t="s">
        <v>317</v>
      </c>
      <c r="G351" s="431" t="s">
        <v>175</v>
      </c>
      <c r="H351" s="431"/>
      <c r="I351" s="431"/>
      <c r="J351" s="431"/>
      <c r="K351" s="431"/>
      <c r="L351" s="431" t="s">
        <v>241</v>
      </c>
      <c r="M351" s="431" t="s">
        <v>318</v>
      </c>
    </row>
    <row r="352" spans="1:13" x14ac:dyDescent="0.2">
      <c r="A352" s="431" t="s">
        <v>316</v>
      </c>
      <c r="B352" s="431">
        <v>1870432</v>
      </c>
      <c r="C352" s="431" t="s">
        <v>159</v>
      </c>
      <c r="D352" s="431" t="s">
        <v>173</v>
      </c>
      <c r="E352" s="431" t="s">
        <v>161</v>
      </c>
      <c r="F352" s="431" t="s">
        <v>317</v>
      </c>
      <c r="G352" s="431" t="s">
        <v>175</v>
      </c>
      <c r="H352" s="431"/>
      <c r="I352" s="431"/>
      <c r="J352" s="431"/>
      <c r="K352" s="431"/>
      <c r="L352" s="431" t="s">
        <v>241</v>
      </c>
      <c r="M352" s="431" t="s">
        <v>318</v>
      </c>
    </row>
    <row r="353" spans="1:13" x14ac:dyDescent="0.2">
      <c r="A353" s="431" t="s">
        <v>316</v>
      </c>
      <c r="B353" s="431">
        <v>1870432</v>
      </c>
      <c r="C353" s="431" t="s">
        <v>159</v>
      </c>
      <c r="D353" s="431" t="s">
        <v>173</v>
      </c>
      <c r="E353" s="431" t="s">
        <v>161</v>
      </c>
      <c r="F353" s="431" t="s">
        <v>317</v>
      </c>
      <c r="G353" s="431" t="s">
        <v>175</v>
      </c>
      <c r="H353" s="431"/>
      <c r="I353" s="431"/>
      <c r="J353" s="431"/>
      <c r="K353" s="431"/>
      <c r="L353" s="431" t="s">
        <v>241</v>
      </c>
      <c r="M353" s="431" t="s">
        <v>318</v>
      </c>
    </row>
    <row r="354" spans="1:13" x14ac:dyDescent="0.2">
      <c r="A354" s="431" t="s">
        <v>316</v>
      </c>
      <c r="B354" s="431">
        <v>1870432</v>
      </c>
      <c r="C354" s="431" t="s">
        <v>159</v>
      </c>
      <c r="D354" s="431" t="s">
        <v>173</v>
      </c>
      <c r="E354" s="431" t="s">
        <v>161</v>
      </c>
      <c r="F354" s="431" t="s">
        <v>317</v>
      </c>
      <c r="G354" s="431" t="s">
        <v>175</v>
      </c>
      <c r="H354" s="431"/>
      <c r="I354" s="431"/>
      <c r="J354" s="431"/>
      <c r="K354" s="431"/>
      <c r="L354" s="431" t="s">
        <v>241</v>
      </c>
      <c r="M354" s="431" t="s">
        <v>318</v>
      </c>
    </row>
    <row r="355" spans="1:13" x14ac:dyDescent="0.2">
      <c r="A355" s="431" t="s">
        <v>316</v>
      </c>
      <c r="B355" s="431">
        <v>1870432</v>
      </c>
      <c r="C355" s="431" t="s">
        <v>159</v>
      </c>
      <c r="D355" s="431" t="s">
        <v>173</v>
      </c>
      <c r="E355" s="431" t="s">
        <v>161</v>
      </c>
      <c r="F355" s="431" t="s">
        <v>317</v>
      </c>
      <c r="G355" s="431" t="s">
        <v>175</v>
      </c>
      <c r="H355" s="431"/>
      <c r="I355" s="431"/>
      <c r="J355" s="431"/>
      <c r="K355" s="431"/>
      <c r="L355" s="431" t="s">
        <v>241</v>
      </c>
      <c r="M355" s="431" t="s">
        <v>318</v>
      </c>
    </row>
    <row r="356" spans="1:13" x14ac:dyDescent="0.2">
      <c r="A356" s="431" t="s">
        <v>316</v>
      </c>
      <c r="B356" s="431">
        <v>1870432</v>
      </c>
      <c r="C356" s="431" t="s">
        <v>159</v>
      </c>
      <c r="D356" s="431" t="s">
        <v>173</v>
      </c>
      <c r="E356" s="431" t="s">
        <v>161</v>
      </c>
      <c r="F356" s="431" t="s">
        <v>317</v>
      </c>
      <c r="G356" s="431" t="s">
        <v>175</v>
      </c>
      <c r="H356" s="431"/>
      <c r="I356" s="431"/>
      <c r="J356" s="431"/>
      <c r="K356" s="431"/>
      <c r="L356" s="431" t="s">
        <v>241</v>
      </c>
      <c r="M356" s="431" t="s">
        <v>318</v>
      </c>
    </row>
    <row r="357" spans="1:13" x14ac:dyDescent="0.2">
      <c r="A357" s="431" t="s">
        <v>316</v>
      </c>
      <c r="B357" s="431">
        <v>1870432</v>
      </c>
      <c r="C357" s="431" t="s">
        <v>159</v>
      </c>
      <c r="D357" s="431" t="s">
        <v>173</v>
      </c>
      <c r="E357" s="431" t="s">
        <v>161</v>
      </c>
      <c r="F357" s="431" t="s">
        <v>317</v>
      </c>
      <c r="G357" s="431" t="s">
        <v>175</v>
      </c>
      <c r="H357" s="431"/>
      <c r="I357" s="431"/>
      <c r="J357" s="431"/>
      <c r="K357" s="431"/>
      <c r="L357" s="431" t="s">
        <v>241</v>
      </c>
      <c r="M357" s="431" t="s">
        <v>318</v>
      </c>
    </row>
    <row r="358" spans="1:13" x14ac:dyDescent="0.2">
      <c r="A358" s="431" t="s">
        <v>316</v>
      </c>
      <c r="B358" s="431">
        <v>1870432</v>
      </c>
      <c r="C358" s="431" t="s">
        <v>159</v>
      </c>
      <c r="D358" s="431" t="s">
        <v>173</v>
      </c>
      <c r="E358" s="431" t="s">
        <v>161</v>
      </c>
      <c r="F358" s="431" t="s">
        <v>317</v>
      </c>
      <c r="G358" s="431" t="s">
        <v>175</v>
      </c>
      <c r="H358" s="431"/>
      <c r="I358" s="431"/>
      <c r="J358" s="431"/>
      <c r="K358" s="431"/>
      <c r="L358" s="431" t="s">
        <v>241</v>
      </c>
      <c r="M358" s="431" t="s">
        <v>318</v>
      </c>
    </row>
    <row r="359" spans="1:13" x14ac:dyDescent="0.2">
      <c r="A359" s="431" t="s">
        <v>316</v>
      </c>
      <c r="B359" s="431">
        <v>1870432</v>
      </c>
      <c r="C359" s="431" t="s">
        <v>159</v>
      </c>
      <c r="D359" s="431" t="s">
        <v>173</v>
      </c>
      <c r="E359" s="431" t="s">
        <v>161</v>
      </c>
      <c r="F359" s="431" t="s">
        <v>317</v>
      </c>
      <c r="G359" s="431" t="s">
        <v>175</v>
      </c>
      <c r="H359" s="431"/>
      <c r="I359" s="431"/>
      <c r="J359" s="431"/>
      <c r="K359" s="431"/>
      <c r="L359" s="431" t="s">
        <v>241</v>
      </c>
      <c r="M359" s="431" t="s">
        <v>318</v>
      </c>
    </row>
    <row r="360" spans="1:13" x14ac:dyDescent="0.2">
      <c r="A360" s="431" t="s">
        <v>316</v>
      </c>
      <c r="B360" s="431">
        <v>1870432</v>
      </c>
      <c r="C360" s="431" t="s">
        <v>159</v>
      </c>
      <c r="D360" s="431" t="s">
        <v>173</v>
      </c>
      <c r="E360" s="431" t="s">
        <v>161</v>
      </c>
      <c r="F360" s="431" t="s">
        <v>317</v>
      </c>
      <c r="G360" s="431" t="s">
        <v>175</v>
      </c>
      <c r="H360" s="431"/>
      <c r="I360" s="431"/>
      <c r="J360" s="431"/>
      <c r="K360" s="431"/>
      <c r="L360" s="431" t="s">
        <v>241</v>
      </c>
      <c r="M360" s="431" t="s">
        <v>318</v>
      </c>
    </row>
    <row r="361" spans="1:13" x14ac:dyDescent="0.2">
      <c r="A361" s="431" t="s">
        <v>316</v>
      </c>
      <c r="B361" s="431">
        <v>1870432</v>
      </c>
      <c r="C361" s="431" t="s">
        <v>159</v>
      </c>
      <c r="D361" s="431" t="s">
        <v>173</v>
      </c>
      <c r="E361" s="431" t="s">
        <v>161</v>
      </c>
      <c r="F361" s="431" t="s">
        <v>317</v>
      </c>
      <c r="G361" s="431" t="s">
        <v>175</v>
      </c>
      <c r="H361" s="431"/>
      <c r="I361" s="431"/>
      <c r="J361" s="431"/>
      <c r="K361" s="431"/>
      <c r="L361" s="431" t="s">
        <v>241</v>
      </c>
      <c r="M361" s="431" t="s">
        <v>318</v>
      </c>
    </row>
    <row r="362" spans="1:13" x14ac:dyDescent="0.2">
      <c r="A362" s="431" t="s">
        <v>316</v>
      </c>
      <c r="B362" s="431">
        <v>1870432</v>
      </c>
      <c r="C362" s="431" t="s">
        <v>159</v>
      </c>
      <c r="D362" s="431" t="s">
        <v>173</v>
      </c>
      <c r="E362" s="431" t="s">
        <v>161</v>
      </c>
      <c r="F362" s="431" t="s">
        <v>317</v>
      </c>
      <c r="G362" s="431" t="s">
        <v>175</v>
      </c>
      <c r="H362" s="431"/>
      <c r="I362" s="431"/>
      <c r="J362" s="431"/>
      <c r="K362" s="431"/>
      <c r="L362" s="431" t="s">
        <v>241</v>
      </c>
      <c r="M362" s="431" t="s">
        <v>318</v>
      </c>
    </row>
    <row r="363" spans="1:13" x14ac:dyDescent="0.2">
      <c r="A363" s="431" t="s">
        <v>316</v>
      </c>
      <c r="B363" s="431">
        <v>1870432</v>
      </c>
      <c r="C363" s="431" t="s">
        <v>159</v>
      </c>
      <c r="D363" s="431" t="s">
        <v>173</v>
      </c>
      <c r="E363" s="431" t="s">
        <v>161</v>
      </c>
      <c r="F363" s="431" t="s">
        <v>317</v>
      </c>
      <c r="G363" s="431" t="s">
        <v>175</v>
      </c>
      <c r="H363" s="431"/>
      <c r="I363" s="431"/>
      <c r="J363" s="431"/>
      <c r="K363" s="431"/>
      <c r="L363" s="431" t="s">
        <v>241</v>
      </c>
      <c r="M363" s="431" t="s">
        <v>318</v>
      </c>
    </row>
    <row r="364" spans="1:13" x14ac:dyDescent="0.2">
      <c r="A364" s="431" t="s">
        <v>316</v>
      </c>
      <c r="B364" s="431">
        <v>1870432</v>
      </c>
      <c r="C364" s="431" t="s">
        <v>159</v>
      </c>
      <c r="D364" s="431" t="s">
        <v>173</v>
      </c>
      <c r="E364" s="431" t="s">
        <v>161</v>
      </c>
      <c r="F364" s="431" t="s">
        <v>317</v>
      </c>
      <c r="G364" s="431" t="s">
        <v>175</v>
      </c>
      <c r="H364" s="431"/>
      <c r="I364" s="431"/>
      <c r="J364" s="431"/>
      <c r="K364" s="431"/>
      <c r="L364" s="431" t="s">
        <v>241</v>
      </c>
      <c r="M364" s="431" t="s">
        <v>318</v>
      </c>
    </row>
    <row r="365" spans="1:13" x14ac:dyDescent="0.2">
      <c r="A365" s="431" t="s">
        <v>316</v>
      </c>
      <c r="B365" s="431">
        <v>1870432</v>
      </c>
      <c r="C365" s="431" t="s">
        <v>159</v>
      </c>
      <c r="D365" s="431" t="s">
        <v>173</v>
      </c>
      <c r="E365" s="431" t="s">
        <v>161</v>
      </c>
      <c r="F365" s="431" t="s">
        <v>317</v>
      </c>
      <c r="G365" s="431" t="s">
        <v>175</v>
      </c>
      <c r="H365" s="431"/>
      <c r="I365" s="431"/>
      <c r="J365" s="431"/>
      <c r="K365" s="431"/>
      <c r="L365" s="431" t="s">
        <v>241</v>
      </c>
      <c r="M365" s="431" t="s">
        <v>318</v>
      </c>
    </row>
    <row r="366" spans="1:13" x14ac:dyDescent="0.2">
      <c r="A366" s="431" t="s">
        <v>316</v>
      </c>
      <c r="B366" s="431">
        <v>1870432</v>
      </c>
      <c r="C366" s="431" t="s">
        <v>159</v>
      </c>
      <c r="D366" s="431" t="s">
        <v>173</v>
      </c>
      <c r="E366" s="431" t="s">
        <v>161</v>
      </c>
      <c r="F366" s="431" t="s">
        <v>317</v>
      </c>
      <c r="G366" s="431" t="s">
        <v>175</v>
      </c>
      <c r="H366" s="431"/>
      <c r="I366" s="431"/>
      <c r="J366" s="431"/>
      <c r="K366" s="431"/>
      <c r="L366" s="431" t="s">
        <v>241</v>
      </c>
      <c r="M366" s="431" t="s">
        <v>318</v>
      </c>
    </row>
    <row r="367" spans="1:13" x14ac:dyDescent="0.2">
      <c r="A367" s="431" t="s">
        <v>316</v>
      </c>
      <c r="B367" s="431">
        <v>1870432</v>
      </c>
      <c r="C367" s="431" t="s">
        <v>159</v>
      </c>
      <c r="D367" s="431" t="s">
        <v>173</v>
      </c>
      <c r="E367" s="431" t="s">
        <v>161</v>
      </c>
      <c r="F367" s="431" t="s">
        <v>317</v>
      </c>
      <c r="G367" s="431" t="s">
        <v>175</v>
      </c>
      <c r="H367" s="431"/>
      <c r="I367" s="431"/>
      <c r="J367" s="431"/>
      <c r="K367" s="431"/>
      <c r="L367" s="431" t="s">
        <v>241</v>
      </c>
      <c r="M367" s="431" t="s">
        <v>318</v>
      </c>
    </row>
    <row r="368" spans="1:13" x14ac:dyDescent="0.2">
      <c r="A368" s="431" t="s">
        <v>316</v>
      </c>
      <c r="B368" s="431">
        <v>1870432</v>
      </c>
      <c r="C368" s="431" t="s">
        <v>159</v>
      </c>
      <c r="D368" s="431" t="s">
        <v>173</v>
      </c>
      <c r="E368" s="431" t="s">
        <v>161</v>
      </c>
      <c r="F368" s="431" t="s">
        <v>317</v>
      </c>
      <c r="G368" s="431" t="s">
        <v>175</v>
      </c>
      <c r="H368" s="431"/>
      <c r="I368" s="431"/>
      <c r="J368" s="431"/>
      <c r="K368" s="431"/>
      <c r="L368" s="431" t="s">
        <v>241</v>
      </c>
      <c r="M368" s="431" t="s">
        <v>318</v>
      </c>
    </row>
    <row r="369" spans="1:13" x14ac:dyDescent="0.2">
      <c r="A369" s="431" t="s">
        <v>316</v>
      </c>
      <c r="B369" s="431">
        <v>1870432</v>
      </c>
      <c r="C369" s="431" t="s">
        <v>159</v>
      </c>
      <c r="D369" s="431" t="s">
        <v>173</v>
      </c>
      <c r="E369" s="431" t="s">
        <v>161</v>
      </c>
      <c r="F369" s="431" t="s">
        <v>317</v>
      </c>
      <c r="G369" s="431" t="s">
        <v>175</v>
      </c>
      <c r="H369" s="431"/>
      <c r="I369" s="431"/>
      <c r="J369" s="431"/>
      <c r="K369" s="431"/>
      <c r="L369" s="431" t="s">
        <v>241</v>
      </c>
      <c r="M369" s="431" t="s">
        <v>318</v>
      </c>
    </row>
    <row r="370" spans="1:13" x14ac:dyDescent="0.2">
      <c r="A370" s="431" t="s">
        <v>316</v>
      </c>
      <c r="B370" s="431">
        <v>1870432</v>
      </c>
      <c r="C370" s="431" t="s">
        <v>159</v>
      </c>
      <c r="D370" s="431" t="s">
        <v>173</v>
      </c>
      <c r="E370" s="431" t="s">
        <v>161</v>
      </c>
      <c r="F370" s="431" t="s">
        <v>317</v>
      </c>
      <c r="G370" s="431" t="s">
        <v>175</v>
      </c>
      <c r="H370" s="431"/>
      <c r="I370" s="431"/>
      <c r="J370" s="431"/>
      <c r="K370" s="431"/>
      <c r="L370" s="431" t="s">
        <v>241</v>
      </c>
      <c r="M370" s="431" t="s">
        <v>318</v>
      </c>
    </row>
    <row r="371" spans="1:13" x14ac:dyDescent="0.2">
      <c r="A371" s="431" t="s">
        <v>316</v>
      </c>
      <c r="B371" s="431">
        <v>1870432</v>
      </c>
      <c r="C371" s="431" t="s">
        <v>159</v>
      </c>
      <c r="D371" s="431" t="s">
        <v>173</v>
      </c>
      <c r="E371" s="431" t="s">
        <v>161</v>
      </c>
      <c r="F371" s="431" t="s">
        <v>317</v>
      </c>
      <c r="G371" s="431" t="s">
        <v>175</v>
      </c>
      <c r="H371" s="431"/>
      <c r="I371" s="431"/>
      <c r="J371" s="431"/>
      <c r="K371" s="431"/>
      <c r="L371" s="431" t="s">
        <v>241</v>
      </c>
      <c r="M371" s="431" t="s">
        <v>318</v>
      </c>
    </row>
    <row r="372" spans="1:13" x14ac:dyDescent="0.2">
      <c r="A372" s="431" t="s">
        <v>316</v>
      </c>
      <c r="B372" s="431">
        <v>1870432</v>
      </c>
      <c r="C372" s="431" t="s">
        <v>159</v>
      </c>
      <c r="D372" s="431" t="s">
        <v>173</v>
      </c>
      <c r="E372" s="431" t="s">
        <v>161</v>
      </c>
      <c r="F372" s="431" t="s">
        <v>317</v>
      </c>
      <c r="G372" s="431" t="s">
        <v>175</v>
      </c>
      <c r="H372" s="431"/>
      <c r="I372" s="431"/>
      <c r="J372" s="431"/>
      <c r="K372" s="431"/>
      <c r="L372" s="431" t="s">
        <v>241</v>
      </c>
      <c r="M372" s="431" t="s">
        <v>318</v>
      </c>
    </row>
    <row r="373" spans="1:13" x14ac:dyDescent="0.2">
      <c r="A373" s="431" t="s">
        <v>316</v>
      </c>
      <c r="B373" s="431">
        <v>1870432</v>
      </c>
      <c r="C373" s="431" t="s">
        <v>159</v>
      </c>
      <c r="D373" s="431" t="s">
        <v>173</v>
      </c>
      <c r="E373" s="431" t="s">
        <v>161</v>
      </c>
      <c r="F373" s="431" t="s">
        <v>317</v>
      </c>
      <c r="G373" s="431" t="s">
        <v>175</v>
      </c>
      <c r="H373" s="431"/>
      <c r="I373" s="431"/>
      <c r="J373" s="431"/>
      <c r="K373" s="431"/>
      <c r="L373" s="431" t="s">
        <v>241</v>
      </c>
      <c r="M373" s="431" t="s">
        <v>318</v>
      </c>
    </row>
    <row r="374" spans="1:13" x14ac:dyDescent="0.2">
      <c r="A374" s="431" t="s">
        <v>316</v>
      </c>
      <c r="B374" s="431">
        <v>1870432</v>
      </c>
      <c r="C374" s="431" t="s">
        <v>159</v>
      </c>
      <c r="D374" s="431" t="s">
        <v>173</v>
      </c>
      <c r="E374" s="431" t="s">
        <v>161</v>
      </c>
      <c r="F374" s="431" t="s">
        <v>317</v>
      </c>
      <c r="G374" s="431" t="s">
        <v>175</v>
      </c>
      <c r="H374" s="431"/>
      <c r="I374" s="431"/>
      <c r="J374" s="431"/>
      <c r="K374" s="431"/>
      <c r="L374" s="431" t="s">
        <v>241</v>
      </c>
      <c r="M374" s="431" t="s">
        <v>318</v>
      </c>
    </row>
    <row r="375" spans="1:13" x14ac:dyDescent="0.2">
      <c r="A375" s="431" t="s">
        <v>316</v>
      </c>
      <c r="B375" s="431">
        <v>1870432</v>
      </c>
      <c r="C375" s="431" t="s">
        <v>159</v>
      </c>
      <c r="D375" s="431" t="s">
        <v>173</v>
      </c>
      <c r="E375" s="431" t="s">
        <v>161</v>
      </c>
      <c r="F375" s="431" t="s">
        <v>317</v>
      </c>
      <c r="G375" s="431" t="s">
        <v>175</v>
      </c>
      <c r="H375" s="431"/>
      <c r="I375" s="431"/>
      <c r="J375" s="431"/>
      <c r="K375" s="431"/>
      <c r="L375" s="431" t="s">
        <v>241</v>
      </c>
      <c r="M375" s="431" t="s">
        <v>318</v>
      </c>
    </row>
    <row r="376" spans="1:13" x14ac:dyDescent="0.2">
      <c r="A376" s="431" t="s">
        <v>316</v>
      </c>
      <c r="B376" s="431">
        <v>1870432</v>
      </c>
      <c r="C376" s="431" t="s">
        <v>159</v>
      </c>
      <c r="D376" s="431" t="s">
        <v>173</v>
      </c>
      <c r="E376" s="431" t="s">
        <v>161</v>
      </c>
      <c r="F376" s="431" t="s">
        <v>317</v>
      </c>
      <c r="G376" s="431" t="s">
        <v>175</v>
      </c>
      <c r="H376" s="431"/>
      <c r="I376" s="431"/>
      <c r="J376" s="431"/>
      <c r="K376" s="431"/>
      <c r="L376" s="431" t="s">
        <v>241</v>
      </c>
      <c r="M376" s="431" t="s">
        <v>318</v>
      </c>
    </row>
    <row r="377" spans="1:13" x14ac:dyDescent="0.2">
      <c r="A377" s="431" t="s">
        <v>316</v>
      </c>
      <c r="B377" s="431">
        <v>1870432</v>
      </c>
      <c r="C377" s="431" t="s">
        <v>159</v>
      </c>
      <c r="D377" s="431" t="s">
        <v>173</v>
      </c>
      <c r="E377" s="431" t="s">
        <v>161</v>
      </c>
      <c r="F377" s="431" t="s">
        <v>317</v>
      </c>
      <c r="G377" s="431" t="s">
        <v>175</v>
      </c>
      <c r="H377" s="431"/>
      <c r="I377" s="431"/>
      <c r="J377" s="431"/>
      <c r="K377" s="431"/>
      <c r="L377" s="431" t="s">
        <v>241</v>
      </c>
      <c r="M377" s="431" t="s">
        <v>318</v>
      </c>
    </row>
    <row r="378" spans="1:13" x14ac:dyDescent="0.2">
      <c r="A378" s="431" t="s">
        <v>319</v>
      </c>
      <c r="B378" s="431">
        <v>1870434</v>
      </c>
      <c r="C378" s="431" t="s">
        <v>159</v>
      </c>
      <c r="D378" s="431" t="s">
        <v>173</v>
      </c>
      <c r="E378" s="431" t="s">
        <v>161</v>
      </c>
      <c r="F378" s="431" t="s">
        <v>320</v>
      </c>
      <c r="G378" s="431" t="s">
        <v>175</v>
      </c>
      <c r="H378" s="431"/>
      <c r="I378" s="431"/>
      <c r="J378" s="431"/>
      <c r="K378" s="431"/>
      <c r="L378" s="431" t="s">
        <v>241</v>
      </c>
      <c r="M378" s="431" t="s">
        <v>321</v>
      </c>
    </row>
    <row r="379" spans="1:13" x14ac:dyDescent="0.2">
      <c r="A379" s="431" t="s">
        <v>319</v>
      </c>
      <c r="B379" s="431">
        <v>1870434</v>
      </c>
      <c r="C379" s="431" t="s">
        <v>159</v>
      </c>
      <c r="D379" s="431" t="s">
        <v>173</v>
      </c>
      <c r="E379" s="431" t="s">
        <v>161</v>
      </c>
      <c r="F379" s="431" t="s">
        <v>320</v>
      </c>
      <c r="G379" s="431" t="s">
        <v>175</v>
      </c>
      <c r="H379" s="431"/>
      <c r="I379" s="431"/>
      <c r="J379" s="431"/>
      <c r="K379" s="431"/>
      <c r="L379" s="431" t="s">
        <v>241</v>
      </c>
      <c r="M379" s="431" t="s">
        <v>321</v>
      </c>
    </row>
    <row r="380" spans="1:13" x14ac:dyDescent="0.2">
      <c r="A380" s="431" t="s">
        <v>319</v>
      </c>
      <c r="B380" s="431">
        <v>1870434</v>
      </c>
      <c r="C380" s="431" t="s">
        <v>159</v>
      </c>
      <c r="D380" s="431" t="s">
        <v>173</v>
      </c>
      <c r="E380" s="431" t="s">
        <v>161</v>
      </c>
      <c r="F380" s="431" t="s">
        <v>320</v>
      </c>
      <c r="G380" s="431" t="s">
        <v>175</v>
      </c>
      <c r="H380" s="431"/>
      <c r="I380" s="431"/>
      <c r="J380" s="431"/>
      <c r="K380" s="431"/>
      <c r="L380" s="431" t="s">
        <v>241</v>
      </c>
      <c r="M380" s="431" t="s">
        <v>321</v>
      </c>
    </row>
    <row r="381" spans="1:13" x14ac:dyDescent="0.2">
      <c r="A381" s="431" t="s">
        <v>319</v>
      </c>
      <c r="B381" s="431">
        <v>1870434</v>
      </c>
      <c r="C381" s="431" t="s">
        <v>159</v>
      </c>
      <c r="D381" s="431" t="s">
        <v>173</v>
      </c>
      <c r="E381" s="431" t="s">
        <v>161</v>
      </c>
      <c r="F381" s="431" t="s">
        <v>320</v>
      </c>
      <c r="G381" s="431" t="s">
        <v>175</v>
      </c>
      <c r="H381" s="431"/>
      <c r="I381" s="431"/>
      <c r="J381" s="431"/>
      <c r="K381" s="431"/>
      <c r="L381" s="431" t="s">
        <v>241</v>
      </c>
      <c r="M381" s="431" t="s">
        <v>321</v>
      </c>
    </row>
    <row r="382" spans="1:13" x14ac:dyDescent="0.2">
      <c r="A382" s="431" t="s">
        <v>319</v>
      </c>
      <c r="B382" s="431">
        <v>1870434</v>
      </c>
      <c r="C382" s="431" t="s">
        <v>159</v>
      </c>
      <c r="D382" s="431" t="s">
        <v>173</v>
      </c>
      <c r="E382" s="431" t="s">
        <v>161</v>
      </c>
      <c r="F382" s="431" t="s">
        <v>320</v>
      </c>
      <c r="G382" s="431" t="s">
        <v>175</v>
      </c>
      <c r="H382" s="431"/>
      <c r="I382" s="431"/>
      <c r="J382" s="431"/>
      <c r="K382" s="431"/>
      <c r="L382" s="431" t="s">
        <v>241</v>
      </c>
      <c r="M382" s="431" t="s">
        <v>321</v>
      </c>
    </row>
    <row r="383" spans="1:13" x14ac:dyDescent="0.2">
      <c r="A383" s="431" t="s">
        <v>319</v>
      </c>
      <c r="B383" s="431">
        <v>1870434</v>
      </c>
      <c r="C383" s="431" t="s">
        <v>159</v>
      </c>
      <c r="D383" s="431" t="s">
        <v>173</v>
      </c>
      <c r="E383" s="431" t="s">
        <v>161</v>
      </c>
      <c r="F383" s="431" t="s">
        <v>320</v>
      </c>
      <c r="G383" s="431" t="s">
        <v>175</v>
      </c>
      <c r="H383" s="431"/>
      <c r="I383" s="431"/>
      <c r="J383" s="431"/>
      <c r="K383" s="431"/>
      <c r="L383" s="431" t="s">
        <v>241</v>
      </c>
      <c r="M383" s="431" t="s">
        <v>321</v>
      </c>
    </row>
    <row r="384" spans="1:13" x14ac:dyDescent="0.2">
      <c r="A384" s="431" t="s">
        <v>319</v>
      </c>
      <c r="B384" s="431">
        <v>1870434</v>
      </c>
      <c r="C384" s="431" t="s">
        <v>159</v>
      </c>
      <c r="D384" s="431" t="s">
        <v>173</v>
      </c>
      <c r="E384" s="431" t="s">
        <v>161</v>
      </c>
      <c r="F384" s="431" t="s">
        <v>320</v>
      </c>
      <c r="G384" s="431" t="s">
        <v>175</v>
      </c>
      <c r="H384" s="431"/>
      <c r="I384" s="431"/>
      <c r="J384" s="431"/>
      <c r="K384" s="431"/>
      <c r="L384" s="431" t="s">
        <v>241</v>
      </c>
      <c r="M384" s="431" t="s">
        <v>321</v>
      </c>
    </row>
    <row r="385" spans="1:13" x14ac:dyDescent="0.2">
      <c r="A385" s="431" t="s">
        <v>319</v>
      </c>
      <c r="B385" s="431">
        <v>1870434</v>
      </c>
      <c r="C385" s="431" t="s">
        <v>159</v>
      </c>
      <c r="D385" s="431" t="s">
        <v>173</v>
      </c>
      <c r="E385" s="431" t="s">
        <v>161</v>
      </c>
      <c r="F385" s="431" t="s">
        <v>320</v>
      </c>
      <c r="G385" s="431" t="s">
        <v>175</v>
      </c>
      <c r="H385" s="431"/>
      <c r="I385" s="431"/>
      <c r="J385" s="431"/>
      <c r="K385" s="431"/>
      <c r="L385" s="431" t="s">
        <v>241</v>
      </c>
      <c r="M385" s="431" t="s">
        <v>321</v>
      </c>
    </row>
    <row r="386" spans="1:13" x14ac:dyDescent="0.2">
      <c r="A386" s="431" t="s">
        <v>319</v>
      </c>
      <c r="B386" s="431">
        <v>1870434</v>
      </c>
      <c r="C386" s="431" t="s">
        <v>159</v>
      </c>
      <c r="D386" s="431" t="s">
        <v>173</v>
      </c>
      <c r="E386" s="431" t="s">
        <v>161</v>
      </c>
      <c r="F386" s="431" t="s">
        <v>320</v>
      </c>
      <c r="G386" s="431" t="s">
        <v>175</v>
      </c>
      <c r="H386" s="431"/>
      <c r="I386" s="431"/>
      <c r="J386" s="431"/>
      <c r="K386" s="431"/>
      <c r="L386" s="431" t="s">
        <v>241</v>
      </c>
      <c r="M386" s="431" t="s">
        <v>321</v>
      </c>
    </row>
    <row r="387" spans="1:13" x14ac:dyDescent="0.2">
      <c r="A387" s="431" t="s">
        <v>319</v>
      </c>
      <c r="B387" s="431">
        <v>1870434</v>
      </c>
      <c r="C387" s="431" t="s">
        <v>159</v>
      </c>
      <c r="D387" s="431" t="s">
        <v>173</v>
      </c>
      <c r="E387" s="431" t="s">
        <v>161</v>
      </c>
      <c r="F387" s="431" t="s">
        <v>320</v>
      </c>
      <c r="G387" s="431" t="s">
        <v>175</v>
      </c>
      <c r="H387" s="431"/>
      <c r="I387" s="431"/>
      <c r="J387" s="431"/>
      <c r="K387" s="431"/>
      <c r="L387" s="431" t="s">
        <v>241</v>
      </c>
      <c r="M387" s="431" t="s">
        <v>321</v>
      </c>
    </row>
    <row r="388" spans="1:13" x14ac:dyDescent="0.2">
      <c r="A388" s="431" t="s">
        <v>319</v>
      </c>
      <c r="B388" s="431">
        <v>1870434</v>
      </c>
      <c r="C388" s="431" t="s">
        <v>159</v>
      </c>
      <c r="D388" s="431" t="s">
        <v>173</v>
      </c>
      <c r="E388" s="431" t="s">
        <v>161</v>
      </c>
      <c r="F388" s="431" t="s">
        <v>320</v>
      </c>
      <c r="G388" s="431" t="s">
        <v>175</v>
      </c>
      <c r="H388" s="431"/>
      <c r="I388" s="431"/>
      <c r="J388" s="431"/>
      <c r="K388" s="431"/>
      <c r="L388" s="431" t="s">
        <v>241</v>
      </c>
      <c r="M388" s="431" t="s">
        <v>321</v>
      </c>
    </row>
    <row r="389" spans="1:13" x14ac:dyDescent="0.2">
      <c r="A389" s="431" t="s">
        <v>319</v>
      </c>
      <c r="B389" s="431">
        <v>1870434</v>
      </c>
      <c r="C389" s="431" t="s">
        <v>159</v>
      </c>
      <c r="D389" s="431" t="s">
        <v>173</v>
      </c>
      <c r="E389" s="431" t="s">
        <v>161</v>
      </c>
      <c r="F389" s="431" t="s">
        <v>320</v>
      </c>
      <c r="G389" s="431" t="s">
        <v>175</v>
      </c>
      <c r="H389" s="431"/>
      <c r="I389" s="431"/>
      <c r="J389" s="431"/>
      <c r="K389" s="431"/>
      <c r="L389" s="431" t="s">
        <v>241</v>
      </c>
      <c r="M389" s="431" t="s">
        <v>321</v>
      </c>
    </row>
    <row r="390" spans="1:13" x14ac:dyDescent="0.2">
      <c r="A390" s="431" t="s">
        <v>322</v>
      </c>
      <c r="B390" s="431">
        <v>1870436</v>
      </c>
      <c r="C390" s="431" t="s">
        <v>159</v>
      </c>
      <c r="D390" s="431" t="s">
        <v>173</v>
      </c>
      <c r="E390" s="431" t="s">
        <v>161</v>
      </c>
      <c r="F390" s="431" t="s">
        <v>323</v>
      </c>
      <c r="G390" s="431" t="s">
        <v>175</v>
      </c>
      <c r="H390" s="431"/>
      <c r="I390" s="431"/>
      <c r="J390" s="431"/>
      <c r="K390" s="431"/>
      <c r="L390" s="431" t="s">
        <v>314</v>
      </c>
      <c r="M390" s="431" t="s">
        <v>324</v>
      </c>
    </row>
    <row r="391" spans="1:13" x14ac:dyDescent="0.2">
      <c r="A391" s="431" t="s">
        <v>322</v>
      </c>
      <c r="B391" s="431">
        <v>1870436</v>
      </c>
      <c r="C391" s="431" t="s">
        <v>159</v>
      </c>
      <c r="D391" s="431" t="s">
        <v>173</v>
      </c>
      <c r="E391" s="431" t="s">
        <v>161</v>
      </c>
      <c r="F391" s="431" t="s">
        <v>323</v>
      </c>
      <c r="G391" s="431" t="s">
        <v>175</v>
      </c>
      <c r="H391" s="431"/>
      <c r="I391" s="431"/>
      <c r="J391" s="431"/>
      <c r="K391" s="431"/>
      <c r="L391" s="431" t="s">
        <v>314</v>
      </c>
      <c r="M391" s="431" t="s">
        <v>324</v>
      </c>
    </row>
    <row r="392" spans="1:13" x14ac:dyDescent="0.2">
      <c r="A392" s="431" t="s">
        <v>322</v>
      </c>
      <c r="B392" s="431">
        <v>1870436</v>
      </c>
      <c r="C392" s="431" t="s">
        <v>159</v>
      </c>
      <c r="D392" s="431" t="s">
        <v>173</v>
      </c>
      <c r="E392" s="431" t="s">
        <v>161</v>
      </c>
      <c r="F392" s="431" t="s">
        <v>323</v>
      </c>
      <c r="G392" s="431" t="s">
        <v>175</v>
      </c>
      <c r="H392" s="431"/>
      <c r="I392" s="431"/>
      <c r="J392" s="431"/>
      <c r="K392" s="431"/>
      <c r="L392" s="431" t="s">
        <v>314</v>
      </c>
      <c r="M392" s="431" t="s">
        <v>324</v>
      </c>
    </row>
    <row r="393" spans="1:13" x14ac:dyDescent="0.2">
      <c r="A393" s="431" t="s">
        <v>322</v>
      </c>
      <c r="B393" s="431">
        <v>1870436</v>
      </c>
      <c r="C393" s="431" t="s">
        <v>159</v>
      </c>
      <c r="D393" s="431" t="s">
        <v>173</v>
      </c>
      <c r="E393" s="431" t="s">
        <v>161</v>
      </c>
      <c r="F393" s="431" t="s">
        <v>323</v>
      </c>
      <c r="G393" s="431" t="s">
        <v>175</v>
      </c>
      <c r="H393" s="431"/>
      <c r="I393" s="431"/>
      <c r="J393" s="431"/>
      <c r="K393" s="431"/>
      <c r="L393" s="431" t="s">
        <v>314</v>
      </c>
      <c r="M393" s="431" t="s">
        <v>324</v>
      </c>
    </row>
    <row r="394" spans="1:13" x14ac:dyDescent="0.2">
      <c r="A394" s="431" t="s">
        <v>322</v>
      </c>
      <c r="B394" s="431">
        <v>1870436</v>
      </c>
      <c r="C394" s="431" t="s">
        <v>159</v>
      </c>
      <c r="D394" s="431" t="s">
        <v>173</v>
      </c>
      <c r="E394" s="431" t="s">
        <v>161</v>
      </c>
      <c r="F394" s="431" t="s">
        <v>323</v>
      </c>
      <c r="G394" s="431" t="s">
        <v>175</v>
      </c>
      <c r="H394" s="431"/>
      <c r="I394" s="431"/>
      <c r="J394" s="431"/>
      <c r="K394" s="431"/>
      <c r="L394" s="431" t="s">
        <v>314</v>
      </c>
      <c r="M394" s="431" t="s">
        <v>324</v>
      </c>
    </row>
    <row r="395" spans="1:13" x14ac:dyDescent="0.2">
      <c r="A395" s="431" t="s">
        <v>322</v>
      </c>
      <c r="B395" s="431">
        <v>1870436</v>
      </c>
      <c r="C395" s="431" t="s">
        <v>159</v>
      </c>
      <c r="D395" s="431" t="s">
        <v>173</v>
      </c>
      <c r="E395" s="431" t="s">
        <v>161</v>
      </c>
      <c r="F395" s="431" t="s">
        <v>323</v>
      </c>
      <c r="G395" s="431" t="s">
        <v>175</v>
      </c>
      <c r="H395" s="431"/>
      <c r="I395" s="431"/>
      <c r="J395" s="431"/>
      <c r="K395" s="431"/>
      <c r="L395" s="431" t="s">
        <v>314</v>
      </c>
      <c r="M395" s="431" t="s">
        <v>324</v>
      </c>
    </row>
    <row r="396" spans="1:13" x14ac:dyDescent="0.2">
      <c r="A396" s="431" t="s">
        <v>322</v>
      </c>
      <c r="B396" s="431">
        <v>1870436</v>
      </c>
      <c r="C396" s="431" t="s">
        <v>159</v>
      </c>
      <c r="D396" s="431" t="s">
        <v>173</v>
      </c>
      <c r="E396" s="431" t="s">
        <v>161</v>
      </c>
      <c r="F396" s="431" t="s">
        <v>323</v>
      </c>
      <c r="G396" s="431" t="s">
        <v>175</v>
      </c>
      <c r="H396" s="431"/>
      <c r="I396" s="431"/>
      <c r="J396" s="431"/>
      <c r="K396" s="431"/>
      <c r="L396" s="431" t="s">
        <v>314</v>
      </c>
      <c r="M396" s="431" t="s">
        <v>324</v>
      </c>
    </row>
    <row r="397" spans="1:13" x14ac:dyDescent="0.2">
      <c r="A397" s="431" t="s">
        <v>322</v>
      </c>
      <c r="B397" s="431">
        <v>1870436</v>
      </c>
      <c r="C397" s="431" t="s">
        <v>159</v>
      </c>
      <c r="D397" s="431" t="s">
        <v>173</v>
      </c>
      <c r="E397" s="431" t="s">
        <v>161</v>
      </c>
      <c r="F397" s="431" t="s">
        <v>323</v>
      </c>
      <c r="G397" s="431" t="s">
        <v>175</v>
      </c>
      <c r="H397" s="431"/>
      <c r="I397" s="431"/>
      <c r="J397" s="431"/>
      <c r="K397" s="431"/>
      <c r="L397" s="431" t="s">
        <v>314</v>
      </c>
      <c r="M397" s="431" t="s">
        <v>324</v>
      </c>
    </row>
    <row r="398" spans="1:13" x14ac:dyDescent="0.2">
      <c r="A398" s="431" t="s">
        <v>322</v>
      </c>
      <c r="B398" s="431">
        <v>1870436</v>
      </c>
      <c r="C398" s="431" t="s">
        <v>159</v>
      </c>
      <c r="D398" s="431" t="s">
        <v>173</v>
      </c>
      <c r="E398" s="431" t="s">
        <v>161</v>
      </c>
      <c r="F398" s="431" t="s">
        <v>323</v>
      </c>
      <c r="G398" s="431" t="s">
        <v>175</v>
      </c>
      <c r="H398" s="431"/>
      <c r="I398" s="431"/>
      <c r="J398" s="431"/>
      <c r="K398" s="431"/>
      <c r="L398" s="431" t="s">
        <v>314</v>
      </c>
      <c r="M398" s="431" t="s">
        <v>324</v>
      </c>
    </row>
    <row r="399" spans="1:13" x14ac:dyDescent="0.2">
      <c r="A399" s="431" t="s">
        <v>322</v>
      </c>
      <c r="B399" s="431">
        <v>1870436</v>
      </c>
      <c r="C399" s="431" t="s">
        <v>159</v>
      </c>
      <c r="D399" s="431" t="s">
        <v>173</v>
      </c>
      <c r="E399" s="431" t="s">
        <v>161</v>
      </c>
      <c r="F399" s="431" t="s">
        <v>323</v>
      </c>
      <c r="G399" s="431" t="s">
        <v>175</v>
      </c>
      <c r="H399" s="431"/>
      <c r="I399" s="431"/>
      <c r="J399" s="431"/>
      <c r="K399" s="431"/>
      <c r="L399" s="431" t="s">
        <v>314</v>
      </c>
      <c r="M399" s="431" t="s">
        <v>324</v>
      </c>
    </row>
    <row r="400" spans="1:13" x14ac:dyDescent="0.2">
      <c r="A400" s="431" t="s">
        <v>322</v>
      </c>
      <c r="B400" s="431">
        <v>1870436</v>
      </c>
      <c r="C400" s="431" t="s">
        <v>159</v>
      </c>
      <c r="D400" s="431" t="s">
        <v>173</v>
      </c>
      <c r="E400" s="431" t="s">
        <v>161</v>
      </c>
      <c r="F400" s="431" t="s">
        <v>323</v>
      </c>
      <c r="G400" s="431" t="s">
        <v>175</v>
      </c>
      <c r="H400" s="431"/>
      <c r="I400" s="431"/>
      <c r="J400" s="431"/>
      <c r="K400" s="431"/>
      <c r="L400" s="431" t="s">
        <v>314</v>
      </c>
      <c r="M400" s="431" t="s">
        <v>324</v>
      </c>
    </row>
    <row r="401" spans="1:13" x14ac:dyDescent="0.2">
      <c r="A401" s="431" t="s">
        <v>322</v>
      </c>
      <c r="B401" s="431">
        <v>1870436</v>
      </c>
      <c r="C401" s="431" t="s">
        <v>159</v>
      </c>
      <c r="D401" s="431" t="s">
        <v>173</v>
      </c>
      <c r="E401" s="431" t="s">
        <v>161</v>
      </c>
      <c r="F401" s="431" t="s">
        <v>323</v>
      </c>
      <c r="G401" s="431" t="s">
        <v>175</v>
      </c>
      <c r="H401" s="431"/>
      <c r="I401" s="431"/>
      <c r="J401" s="431"/>
      <c r="K401" s="431"/>
      <c r="L401" s="431" t="s">
        <v>314</v>
      </c>
      <c r="M401" s="431" t="s">
        <v>324</v>
      </c>
    </row>
    <row r="402" spans="1:13" x14ac:dyDescent="0.2">
      <c r="A402" s="431" t="s">
        <v>322</v>
      </c>
      <c r="B402" s="431">
        <v>1870436</v>
      </c>
      <c r="C402" s="431" t="s">
        <v>159</v>
      </c>
      <c r="D402" s="431" t="s">
        <v>173</v>
      </c>
      <c r="E402" s="431" t="s">
        <v>161</v>
      </c>
      <c r="F402" s="431" t="s">
        <v>323</v>
      </c>
      <c r="G402" s="431" t="s">
        <v>175</v>
      </c>
      <c r="H402" s="431"/>
      <c r="I402" s="431"/>
      <c r="J402" s="431"/>
      <c r="K402" s="431"/>
      <c r="L402" s="431" t="s">
        <v>314</v>
      </c>
      <c r="M402" s="431" t="s">
        <v>324</v>
      </c>
    </row>
    <row r="403" spans="1:13" x14ac:dyDescent="0.2">
      <c r="A403" s="431" t="s">
        <v>322</v>
      </c>
      <c r="B403" s="431">
        <v>1870436</v>
      </c>
      <c r="C403" s="431" t="s">
        <v>159</v>
      </c>
      <c r="D403" s="431" t="s">
        <v>173</v>
      </c>
      <c r="E403" s="431" t="s">
        <v>161</v>
      </c>
      <c r="F403" s="431" t="s">
        <v>323</v>
      </c>
      <c r="G403" s="431" t="s">
        <v>175</v>
      </c>
      <c r="H403" s="431"/>
      <c r="I403" s="431"/>
      <c r="J403" s="431"/>
      <c r="K403" s="431"/>
      <c r="L403" s="431" t="s">
        <v>314</v>
      </c>
      <c r="M403" s="431" t="s">
        <v>324</v>
      </c>
    </row>
    <row r="404" spans="1:13" x14ac:dyDescent="0.2">
      <c r="A404" s="431" t="s">
        <v>322</v>
      </c>
      <c r="B404" s="431">
        <v>1870436</v>
      </c>
      <c r="C404" s="431" t="s">
        <v>159</v>
      </c>
      <c r="D404" s="431" t="s">
        <v>173</v>
      </c>
      <c r="E404" s="431" t="s">
        <v>161</v>
      </c>
      <c r="F404" s="431" t="s">
        <v>323</v>
      </c>
      <c r="G404" s="431" t="s">
        <v>175</v>
      </c>
      <c r="H404" s="431"/>
      <c r="I404" s="431"/>
      <c r="J404" s="431"/>
      <c r="K404" s="431"/>
      <c r="L404" s="431" t="s">
        <v>314</v>
      </c>
      <c r="M404" s="431" t="s">
        <v>324</v>
      </c>
    </row>
    <row r="405" spans="1:13" x14ac:dyDescent="0.2">
      <c r="A405" s="431" t="s">
        <v>322</v>
      </c>
      <c r="B405" s="431">
        <v>1870436</v>
      </c>
      <c r="C405" s="431" t="s">
        <v>159</v>
      </c>
      <c r="D405" s="431" t="s">
        <v>173</v>
      </c>
      <c r="E405" s="431" t="s">
        <v>161</v>
      </c>
      <c r="F405" s="431" t="s">
        <v>323</v>
      </c>
      <c r="G405" s="431" t="s">
        <v>175</v>
      </c>
      <c r="H405" s="431"/>
      <c r="I405" s="431"/>
      <c r="J405" s="431"/>
      <c r="K405" s="431"/>
      <c r="L405" s="431" t="s">
        <v>314</v>
      </c>
      <c r="M405" s="431" t="s">
        <v>324</v>
      </c>
    </row>
    <row r="406" spans="1:13" x14ac:dyDescent="0.2">
      <c r="A406" s="431" t="s">
        <v>322</v>
      </c>
      <c r="B406" s="431">
        <v>1870436</v>
      </c>
      <c r="C406" s="431" t="s">
        <v>159</v>
      </c>
      <c r="D406" s="431" t="s">
        <v>173</v>
      </c>
      <c r="E406" s="431" t="s">
        <v>161</v>
      </c>
      <c r="F406" s="431" t="s">
        <v>323</v>
      </c>
      <c r="G406" s="431" t="s">
        <v>175</v>
      </c>
      <c r="H406" s="431"/>
      <c r="I406" s="431"/>
      <c r="J406" s="431"/>
      <c r="K406" s="431"/>
      <c r="L406" s="431" t="s">
        <v>314</v>
      </c>
      <c r="M406" s="431" t="s">
        <v>324</v>
      </c>
    </row>
    <row r="407" spans="1:13" x14ac:dyDescent="0.2">
      <c r="A407" s="431" t="s">
        <v>322</v>
      </c>
      <c r="B407" s="431">
        <v>1870436</v>
      </c>
      <c r="C407" s="431" t="s">
        <v>159</v>
      </c>
      <c r="D407" s="431" t="s">
        <v>173</v>
      </c>
      <c r="E407" s="431" t="s">
        <v>161</v>
      </c>
      <c r="F407" s="431" t="s">
        <v>323</v>
      </c>
      <c r="G407" s="431" t="s">
        <v>175</v>
      </c>
      <c r="H407" s="431"/>
      <c r="I407" s="431"/>
      <c r="J407" s="431"/>
      <c r="K407" s="431"/>
      <c r="L407" s="431" t="s">
        <v>314</v>
      </c>
      <c r="M407" s="431" t="s">
        <v>324</v>
      </c>
    </row>
    <row r="408" spans="1:13" x14ac:dyDescent="0.2">
      <c r="A408" s="431" t="s">
        <v>322</v>
      </c>
      <c r="B408" s="431">
        <v>1870436</v>
      </c>
      <c r="C408" s="431" t="s">
        <v>159</v>
      </c>
      <c r="D408" s="431" t="s">
        <v>173</v>
      </c>
      <c r="E408" s="431" t="s">
        <v>161</v>
      </c>
      <c r="F408" s="431" t="s">
        <v>323</v>
      </c>
      <c r="G408" s="431" t="s">
        <v>175</v>
      </c>
      <c r="H408" s="431"/>
      <c r="I408" s="431"/>
      <c r="J408" s="431"/>
      <c r="K408" s="431"/>
      <c r="L408" s="431" t="s">
        <v>314</v>
      </c>
      <c r="M408" s="431" t="s">
        <v>324</v>
      </c>
    </row>
    <row r="409" spans="1:13" x14ac:dyDescent="0.2">
      <c r="A409" s="431" t="s">
        <v>322</v>
      </c>
      <c r="B409" s="431">
        <v>1870436</v>
      </c>
      <c r="C409" s="431" t="s">
        <v>159</v>
      </c>
      <c r="D409" s="431" t="s">
        <v>173</v>
      </c>
      <c r="E409" s="431" t="s">
        <v>161</v>
      </c>
      <c r="F409" s="431" t="s">
        <v>323</v>
      </c>
      <c r="G409" s="431" t="s">
        <v>175</v>
      </c>
      <c r="H409" s="431"/>
      <c r="I409" s="431"/>
      <c r="J409" s="431"/>
      <c r="K409" s="431"/>
      <c r="L409" s="431" t="s">
        <v>314</v>
      </c>
      <c r="M409" s="431" t="s">
        <v>324</v>
      </c>
    </row>
    <row r="410" spans="1:13" x14ac:dyDescent="0.2">
      <c r="A410" s="431" t="s">
        <v>322</v>
      </c>
      <c r="B410" s="431">
        <v>1870436</v>
      </c>
      <c r="C410" s="431" t="s">
        <v>159</v>
      </c>
      <c r="D410" s="431" t="s">
        <v>173</v>
      </c>
      <c r="E410" s="431" t="s">
        <v>161</v>
      </c>
      <c r="F410" s="431" t="s">
        <v>323</v>
      </c>
      <c r="G410" s="431" t="s">
        <v>175</v>
      </c>
      <c r="H410" s="431"/>
      <c r="I410" s="431"/>
      <c r="J410" s="431"/>
      <c r="K410" s="431"/>
      <c r="L410" s="431" t="s">
        <v>314</v>
      </c>
      <c r="M410" s="431" t="s">
        <v>324</v>
      </c>
    </row>
    <row r="411" spans="1:13" x14ac:dyDescent="0.2">
      <c r="A411" s="431" t="s">
        <v>322</v>
      </c>
      <c r="B411" s="431">
        <v>1870436</v>
      </c>
      <c r="C411" s="431" t="s">
        <v>159</v>
      </c>
      <c r="D411" s="431" t="s">
        <v>173</v>
      </c>
      <c r="E411" s="431" t="s">
        <v>161</v>
      </c>
      <c r="F411" s="431" t="s">
        <v>323</v>
      </c>
      <c r="G411" s="431" t="s">
        <v>175</v>
      </c>
      <c r="H411" s="431"/>
      <c r="I411" s="431"/>
      <c r="J411" s="431"/>
      <c r="K411" s="431"/>
      <c r="L411" s="431" t="s">
        <v>314</v>
      </c>
      <c r="M411" s="431" t="s">
        <v>324</v>
      </c>
    </row>
    <row r="412" spans="1:13" x14ac:dyDescent="0.2">
      <c r="A412" s="431" t="s">
        <v>322</v>
      </c>
      <c r="B412" s="431">
        <v>1870436</v>
      </c>
      <c r="C412" s="431" t="s">
        <v>159</v>
      </c>
      <c r="D412" s="431" t="s">
        <v>173</v>
      </c>
      <c r="E412" s="431" t="s">
        <v>161</v>
      </c>
      <c r="F412" s="431" t="s">
        <v>323</v>
      </c>
      <c r="G412" s="431" t="s">
        <v>175</v>
      </c>
      <c r="H412" s="431"/>
      <c r="I412" s="431"/>
      <c r="J412" s="431"/>
      <c r="K412" s="431"/>
      <c r="L412" s="431" t="s">
        <v>314</v>
      </c>
      <c r="M412" s="431" t="s">
        <v>324</v>
      </c>
    </row>
    <row r="413" spans="1:13" x14ac:dyDescent="0.2">
      <c r="A413" s="431" t="s">
        <v>322</v>
      </c>
      <c r="B413" s="431">
        <v>1870436</v>
      </c>
      <c r="C413" s="431" t="s">
        <v>159</v>
      </c>
      <c r="D413" s="431" t="s">
        <v>173</v>
      </c>
      <c r="E413" s="431" t="s">
        <v>161</v>
      </c>
      <c r="F413" s="431" t="s">
        <v>323</v>
      </c>
      <c r="G413" s="431" t="s">
        <v>175</v>
      </c>
      <c r="H413" s="431"/>
      <c r="I413" s="431"/>
      <c r="J413" s="431"/>
      <c r="K413" s="431"/>
      <c r="L413" s="431" t="s">
        <v>314</v>
      </c>
      <c r="M413" s="431" t="s">
        <v>324</v>
      </c>
    </row>
    <row r="414" spans="1:13" x14ac:dyDescent="0.2">
      <c r="A414" s="431" t="s">
        <v>322</v>
      </c>
      <c r="B414" s="431">
        <v>1870436</v>
      </c>
      <c r="C414" s="431" t="s">
        <v>159</v>
      </c>
      <c r="D414" s="431" t="s">
        <v>173</v>
      </c>
      <c r="E414" s="431" t="s">
        <v>161</v>
      </c>
      <c r="F414" s="431" t="s">
        <v>323</v>
      </c>
      <c r="G414" s="431" t="s">
        <v>175</v>
      </c>
      <c r="H414" s="431"/>
      <c r="I414" s="431"/>
      <c r="J414" s="431"/>
      <c r="K414" s="431"/>
      <c r="L414" s="431" t="s">
        <v>314</v>
      </c>
      <c r="M414" s="431" t="s">
        <v>324</v>
      </c>
    </row>
    <row r="415" spans="1:13" x14ac:dyDescent="0.2">
      <c r="A415" s="431" t="s">
        <v>322</v>
      </c>
      <c r="B415" s="431">
        <v>1870436</v>
      </c>
      <c r="C415" s="431" t="s">
        <v>159</v>
      </c>
      <c r="D415" s="431" t="s">
        <v>173</v>
      </c>
      <c r="E415" s="431" t="s">
        <v>161</v>
      </c>
      <c r="F415" s="431" t="s">
        <v>323</v>
      </c>
      <c r="G415" s="431" t="s">
        <v>175</v>
      </c>
      <c r="H415" s="431"/>
      <c r="I415" s="431"/>
      <c r="J415" s="431"/>
      <c r="K415" s="431"/>
      <c r="L415" s="431" t="s">
        <v>314</v>
      </c>
      <c r="M415" s="431" t="s">
        <v>324</v>
      </c>
    </row>
    <row r="416" spans="1:13" x14ac:dyDescent="0.2">
      <c r="A416" s="431" t="s">
        <v>322</v>
      </c>
      <c r="B416" s="431">
        <v>1870436</v>
      </c>
      <c r="C416" s="431" t="s">
        <v>159</v>
      </c>
      <c r="D416" s="431" t="s">
        <v>173</v>
      </c>
      <c r="E416" s="431" t="s">
        <v>161</v>
      </c>
      <c r="F416" s="431" t="s">
        <v>323</v>
      </c>
      <c r="G416" s="431" t="s">
        <v>175</v>
      </c>
      <c r="H416" s="431"/>
      <c r="I416" s="431"/>
      <c r="J416" s="431"/>
      <c r="K416" s="431"/>
      <c r="L416" s="431" t="s">
        <v>314</v>
      </c>
      <c r="M416" s="431" t="s">
        <v>324</v>
      </c>
    </row>
    <row r="417" spans="1:13" x14ac:dyDescent="0.2">
      <c r="A417" s="431" t="s">
        <v>322</v>
      </c>
      <c r="B417" s="431">
        <v>1870436</v>
      </c>
      <c r="C417" s="431" t="s">
        <v>159</v>
      </c>
      <c r="D417" s="431" t="s">
        <v>173</v>
      </c>
      <c r="E417" s="431" t="s">
        <v>161</v>
      </c>
      <c r="F417" s="431" t="s">
        <v>323</v>
      </c>
      <c r="G417" s="431" t="s">
        <v>175</v>
      </c>
      <c r="H417" s="431"/>
      <c r="I417" s="431"/>
      <c r="J417" s="431"/>
      <c r="K417" s="431"/>
      <c r="L417" s="431" t="s">
        <v>314</v>
      </c>
      <c r="M417" s="431" t="s">
        <v>324</v>
      </c>
    </row>
    <row r="418" spans="1:13" x14ac:dyDescent="0.2">
      <c r="A418" s="431" t="s">
        <v>322</v>
      </c>
      <c r="B418" s="431">
        <v>1870436</v>
      </c>
      <c r="C418" s="431" t="s">
        <v>159</v>
      </c>
      <c r="D418" s="431" t="s">
        <v>173</v>
      </c>
      <c r="E418" s="431" t="s">
        <v>161</v>
      </c>
      <c r="F418" s="431" t="s">
        <v>323</v>
      </c>
      <c r="G418" s="431" t="s">
        <v>175</v>
      </c>
      <c r="H418" s="431"/>
      <c r="I418" s="431"/>
      <c r="J418" s="431"/>
      <c r="K418" s="431"/>
      <c r="L418" s="431" t="s">
        <v>314</v>
      </c>
      <c r="M418" s="431" t="s">
        <v>324</v>
      </c>
    </row>
    <row r="419" spans="1:13" x14ac:dyDescent="0.2">
      <c r="A419" s="431" t="s">
        <v>322</v>
      </c>
      <c r="B419" s="431">
        <v>1870436</v>
      </c>
      <c r="C419" s="431" t="s">
        <v>159</v>
      </c>
      <c r="D419" s="431" t="s">
        <v>173</v>
      </c>
      <c r="E419" s="431" t="s">
        <v>161</v>
      </c>
      <c r="F419" s="431" t="s">
        <v>323</v>
      </c>
      <c r="G419" s="431" t="s">
        <v>175</v>
      </c>
      <c r="H419" s="431"/>
      <c r="I419" s="431"/>
      <c r="J419" s="431"/>
      <c r="K419" s="431"/>
      <c r="L419" s="431" t="s">
        <v>314</v>
      </c>
      <c r="M419" s="431" t="s">
        <v>324</v>
      </c>
    </row>
    <row r="420" spans="1:13" x14ac:dyDescent="0.2">
      <c r="A420" s="431" t="s">
        <v>322</v>
      </c>
      <c r="B420" s="431">
        <v>1870436</v>
      </c>
      <c r="C420" s="431" t="s">
        <v>159</v>
      </c>
      <c r="D420" s="431" t="s">
        <v>173</v>
      </c>
      <c r="E420" s="431" t="s">
        <v>161</v>
      </c>
      <c r="F420" s="431" t="s">
        <v>323</v>
      </c>
      <c r="G420" s="431" t="s">
        <v>175</v>
      </c>
      <c r="H420" s="431"/>
      <c r="I420" s="431"/>
      <c r="J420" s="431"/>
      <c r="K420" s="431"/>
      <c r="L420" s="431" t="s">
        <v>314</v>
      </c>
      <c r="M420" s="431" t="s">
        <v>324</v>
      </c>
    </row>
    <row r="421" spans="1:13" x14ac:dyDescent="0.2">
      <c r="A421" s="431" t="s">
        <v>322</v>
      </c>
      <c r="B421" s="431">
        <v>1870436</v>
      </c>
      <c r="C421" s="431" t="s">
        <v>159</v>
      </c>
      <c r="D421" s="431" t="s">
        <v>173</v>
      </c>
      <c r="E421" s="431" t="s">
        <v>161</v>
      </c>
      <c r="F421" s="431" t="s">
        <v>323</v>
      </c>
      <c r="G421" s="431" t="s">
        <v>175</v>
      </c>
      <c r="H421" s="431"/>
      <c r="I421" s="431"/>
      <c r="J421" s="431"/>
      <c r="K421" s="431"/>
      <c r="L421" s="431" t="s">
        <v>314</v>
      </c>
      <c r="M421" s="431" t="s">
        <v>324</v>
      </c>
    </row>
    <row r="422" spans="1:13" x14ac:dyDescent="0.2">
      <c r="A422" s="431" t="s">
        <v>322</v>
      </c>
      <c r="B422" s="431">
        <v>1870436</v>
      </c>
      <c r="C422" s="431" t="s">
        <v>159</v>
      </c>
      <c r="D422" s="431" t="s">
        <v>173</v>
      </c>
      <c r="E422" s="431" t="s">
        <v>161</v>
      </c>
      <c r="F422" s="431" t="s">
        <v>323</v>
      </c>
      <c r="G422" s="431" t="s">
        <v>175</v>
      </c>
      <c r="H422" s="431"/>
      <c r="I422" s="431"/>
      <c r="J422" s="431"/>
      <c r="K422" s="431"/>
      <c r="L422" s="431" t="s">
        <v>314</v>
      </c>
      <c r="M422" s="431" t="s">
        <v>324</v>
      </c>
    </row>
    <row r="423" spans="1:13" x14ac:dyDescent="0.2">
      <c r="A423" s="431" t="s">
        <v>322</v>
      </c>
      <c r="B423" s="431">
        <v>1870436</v>
      </c>
      <c r="C423" s="431" t="s">
        <v>159</v>
      </c>
      <c r="D423" s="431" t="s">
        <v>173</v>
      </c>
      <c r="E423" s="431" t="s">
        <v>161</v>
      </c>
      <c r="F423" s="431" t="s">
        <v>323</v>
      </c>
      <c r="G423" s="431" t="s">
        <v>175</v>
      </c>
      <c r="H423" s="431"/>
      <c r="I423" s="431"/>
      <c r="J423" s="431"/>
      <c r="K423" s="431"/>
      <c r="L423" s="431" t="s">
        <v>314</v>
      </c>
      <c r="M423" s="431" t="s">
        <v>324</v>
      </c>
    </row>
    <row r="424" spans="1:13" x14ac:dyDescent="0.2">
      <c r="A424" s="431" t="s">
        <v>322</v>
      </c>
      <c r="B424" s="431">
        <v>1870436</v>
      </c>
      <c r="C424" s="431" t="s">
        <v>159</v>
      </c>
      <c r="D424" s="431" t="s">
        <v>173</v>
      </c>
      <c r="E424" s="431" t="s">
        <v>161</v>
      </c>
      <c r="F424" s="431" t="s">
        <v>323</v>
      </c>
      <c r="G424" s="431" t="s">
        <v>175</v>
      </c>
      <c r="H424" s="431"/>
      <c r="I424" s="431"/>
      <c r="J424" s="431"/>
      <c r="K424" s="431"/>
      <c r="L424" s="431" t="s">
        <v>314</v>
      </c>
      <c r="M424" s="431" t="s">
        <v>324</v>
      </c>
    </row>
    <row r="425" spans="1:13" x14ac:dyDescent="0.2">
      <c r="A425" s="431" t="s">
        <v>322</v>
      </c>
      <c r="B425" s="431">
        <v>1870436</v>
      </c>
      <c r="C425" s="431" t="s">
        <v>159</v>
      </c>
      <c r="D425" s="431" t="s">
        <v>173</v>
      </c>
      <c r="E425" s="431" t="s">
        <v>161</v>
      </c>
      <c r="F425" s="431" t="s">
        <v>323</v>
      </c>
      <c r="G425" s="431" t="s">
        <v>175</v>
      </c>
      <c r="H425" s="431"/>
      <c r="I425" s="431"/>
      <c r="J425" s="431"/>
      <c r="K425" s="431"/>
      <c r="L425" s="431" t="s">
        <v>314</v>
      </c>
      <c r="M425" s="431" t="s">
        <v>324</v>
      </c>
    </row>
    <row r="426" spans="1:13" x14ac:dyDescent="0.2">
      <c r="A426" s="431" t="s">
        <v>322</v>
      </c>
      <c r="B426" s="431">
        <v>1870436</v>
      </c>
      <c r="C426" s="431" t="s">
        <v>159</v>
      </c>
      <c r="D426" s="431" t="s">
        <v>173</v>
      </c>
      <c r="E426" s="431" t="s">
        <v>161</v>
      </c>
      <c r="F426" s="431" t="s">
        <v>323</v>
      </c>
      <c r="G426" s="431" t="s">
        <v>175</v>
      </c>
      <c r="H426" s="431"/>
      <c r="I426" s="431"/>
      <c r="J426" s="431"/>
      <c r="K426" s="431"/>
      <c r="L426" s="431" t="s">
        <v>314</v>
      </c>
      <c r="M426" s="431" t="s">
        <v>324</v>
      </c>
    </row>
    <row r="427" spans="1:13" x14ac:dyDescent="0.2">
      <c r="A427" s="431" t="s">
        <v>322</v>
      </c>
      <c r="B427" s="431">
        <v>1870436</v>
      </c>
      <c r="C427" s="431" t="s">
        <v>159</v>
      </c>
      <c r="D427" s="431" t="s">
        <v>173</v>
      </c>
      <c r="E427" s="431" t="s">
        <v>161</v>
      </c>
      <c r="F427" s="431" t="s">
        <v>323</v>
      </c>
      <c r="G427" s="431" t="s">
        <v>175</v>
      </c>
      <c r="H427" s="431"/>
      <c r="I427" s="431"/>
      <c r="J427" s="431"/>
      <c r="K427" s="431"/>
      <c r="L427" s="431" t="s">
        <v>314</v>
      </c>
      <c r="M427" s="431" t="s">
        <v>324</v>
      </c>
    </row>
    <row r="428" spans="1:13" x14ac:dyDescent="0.2">
      <c r="A428" s="431" t="s">
        <v>322</v>
      </c>
      <c r="B428" s="431">
        <v>1870436</v>
      </c>
      <c r="C428" s="431" t="s">
        <v>159</v>
      </c>
      <c r="D428" s="431" t="s">
        <v>173</v>
      </c>
      <c r="E428" s="431" t="s">
        <v>161</v>
      </c>
      <c r="F428" s="431" t="s">
        <v>323</v>
      </c>
      <c r="G428" s="431" t="s">
        <v>175</v>
      </c>
      <c r="H428" s="431"/>
      <c r="I428" s="431"/>
      <c r="J428" s="431"/>
      <c r="K428" s="431"/>
      <c r="L428" s="431" t="s">
        <v>314</v>
      </c>
      <c r="M428" s="431" t="s">
        <v>324</v>
      </c>
    </row>
    <row r="429" spans="1:13" x14ac:dyDescent="0.2">
      <c r="A429" s="431" t="s">
        <v>322</v>
      </c>
      <c r="B429" s="431">
        <v>1870436</v>
      </c>
      <c r="C429" s="431" t="s">
        <v>159</v>
      </c>
      <c r="D429" s="431" t="s">
        <v>173</v>
      </c>
      <c r="E429" s="431" t="s">
        <v>161</v>
      </c>
      <c r="F429" s="431" t="s">
        <v>323</v>
      </c>
      <c r="G429" s="431" t="s">
        <v>175</v>
      </c>
      <c r="H429" s="431"/>
      <c r="I429" s="431"/>
      <c r="J429" s="431"/>
      <c r="K429" s="431"/>
      <c r="L429" s="431" t="s">
        <v>314</v>
      </c>
      <c r="M429" s="431" t="s">
        <v>324</v>
      </c>
    </row>
    <row r="430" spans="1:13" x14ac:dyDescent="0.2">
      <c r="A430" s="431" t="s">
        <v>322</v>
      </c>
      <c r="B430" s="431">
        <v>1870436</v>
      </c>
      <c r="C430" s="431" t="s">
        <v>159</v>
      </c>
      <c r="D430" s="431" t="s">
        <v>173</v>
      </c>
      <c r="E430" s="431" t="s">
        <v>161</v>
      </c>
      <c r="F430" s="431" t="s">
        <v>323</v>
      </c>
      <c r="G430" s="431" t="s">
        <v>175</v>
      </c>
      <c r="H430" s="431"/>
      <c r="I430" s="431"/>
      <c r="J430" s="431"/>
      <c r="K430" s="431"/>
      <c r="L430" s="431" t="s">
        <v>314</v>
      </c>
      <c r="M430" s="431" t="s">
        <v>324</v>
      </c>
    </row>
    <row r="431" spans="1:13" x14ac:dyDescent="0.2">
      <c r="A431" s="431" t="s">
        <v>322</v>
      </c>
      <c r="B431" s="431">
        <v>1870436</v>
      </c>
      <c r="C431" s="431" t="s">
        <v>159</v>
      </c>
      <c r="D431" s="431" t="s">
        <v>173</v>
      </c>
      <c r="E431" s="431" t="s">
        <v>161</v>
      </c>
      <c r="F431" s="431" t="s">
        <v>323</v>
      </c>
      <c r="G431" s="431" t="s">
        <v>175</v>
      </c>
      <c r="H431" s="431"/>
      <c r="I431" s="431"/>
      <c r="J431" s="431"/>
      <c r="K431" s="431"/>
      <c r="L431" s="431" t="s">
        <v>314</v>
      </c>
      <c r="M431" s="431" t="s">
        <v>324</v>
      </c>
    </row>
    <row r="432" spans="1:13" x14ac:dyDescent="0.2">
      <c r="A432" s="431" t="s">
        <v>322</v>
      </c>
      <c r="B432" s="431">
        <v>1870436</v>
      </c>
      <c r="C432" s="431" t="s">
        <v>159</v>
      </c>
      <c r="D432" s="431" t="s">
        <v>173</v>
      </c>
      <c r="E432" s="431" t="s">
        <v>161</v>
      </c>
      <c r="F432" s="431" t="s">
        <v>323</v>
      </c>
      <c r="G432" s="431" t="s">
        <v>175</v>
      </c>
      <c r="H432" s="431"/>
      <c r="I432" s="431"/>
      <c r="J432" s="431"/>
      <c r="K432" s="431"/>
      <c r="L432" s="431" t="s">
        <v>314</v>
      </c>
      <c r="M432" s="431" t="s">
        <v>324</v>
      </c>
    </row>
    <row r="433" spans="1:13" x14ac:dyDescent="0.2">
      <c r="A433" s="431" t="s">
        <v>322</v>
      </c>
      <c r="B433" s="431">
        <v>1870436</v>
      </c>
      <c r="C433" s="431" t="s">
        <v>159</v>
      </c>
      <c r="D433" s="431" t="s">
        <v>173</v>
      </c>
      <c r="E433" s="431" t="s">
        <v>161</v>
      </c>
      <c r="F433" s="431" t="s">
        <v>323</v>
      </c>
      <c r="G433" s="431" t="s">
        <v>175</v>
      </c>
      <c r="H433" s="431"/>
      <c r="I433" s="431"/>
      <c r="J433" s="431"/>
      <c r="K433" s="431"/>
      <c r="L433" s="431" t="s">
        <v>314</v>
      </c>
      <c r="M433" s="431" t="s">
        <v>324</v>
      </c>
    </row>
    <row r="434" spans="1:13" x14ac:dyDescent="0.2">
      <c r="A434" s="431" t="s">
        <v>322</v>
      </c>
      <c r="B434" s="431">
        <v>1870436</v>
      </c>
      <c r="C434" s="431" t="s">
        <v>159</v>
      </c>
      <c r="D434" s="431" t="s">
        <v>173</v>
      </c>
      <c r="E434" s="431" t="s">
        <v>161</v>
      </c>
      <c r="F434" s="431" t="s">
        <v>323</v>
      </c>
      <c r="G434" s="431" t="s">
        <v>175</v>
      </c>
      <c r="H434" s="431"/>
      <c r="I434" s="431"/>
      <c r="J434" s="431"/>
      <c r="K434" s="431"/>
      <c r="L434" s="431" t="s">
        <v>314</v>
      </c>
      <c r="M434" s="431" t="s">
        <v>324</v>
      </c>
    </row>
    <row r="435" spans="1:13" x14ac:dyDescent="0.2">
      <c r="A435" s="431" t="s">
        <v>322</v>
      </c>
      <c r="B435" s="431">
        <v>1870436</v>
      </c>
      <c r="C435" s="431" t="s">
        <v>159</v>
      </c>
      <c r="D435" s="431" t="s">
        <v>173</v>
      </c>
      <c r="E435" s="431" t="s">
        <v>161</v>
      </c>
      <c r="F435" s="431" t="s">
        <v>323</v>
      </c>
      <c r="G435" s="431" t="s">
        <v>175</v>
      </c>
      <c r="H435" s="431"/>
      <c r="I435" s="431"/>
      <c r="J435" s="431"/>
      <c r="K435" s="431"/>
      <c r="L435" s="431" t="s">
        <v>314</v>
      </c>
      <c r="M435" s="431" t="s">
        <v>324</v>
      </c>
    </row>
    <row r="436" spans="1:13" x14ac:dyDescent="0.2">
      <c r="A436" s="431" t="s">
        <v>322</v>
      </c>
      <c r="B436" s="431">
        <v>1870436</v>
      </c>
      <c r="C436" s="431" t="s">
        <v>159</v>
      </c>
      <c r="D436" s="431" t="s">
        <v>173</v>
      </c>
      <c r="E436" s="431" t="s">
        <v>161</v>
      </c>
      <c r="F436" s="431" t="s">
        <v>323</v>
      </c>
      <c r="G436" s="431" t="s">
        <v>175</v>
      </c>
      <c r="H436" s="431"/>
      <c r="I436" s="431"/>
      <c r="J436" s="431"/>
      <c r="K436" s="431"/>
      <c r="L436" s="431" t="s">
        <v>314</v>
      </c>
      <c r="M436" s="431" t="s">
        <v>324</v>
      </c>
    </row>
    <row r="437" spans="1:13" x14ac:dyDescent="0.2">
      <c r="A437" s="431" t="s">
        <v>322</v>
      </c>
      <c r="B437" s="431">
        <v>1870436</v>
      </c>
      <c r="C437" s="431" t="s">
        <v>159</v>
      </c>
      <c r="D437" s="431" t="s">
        <v>173</v>
      </c>
      <c r="E437" s="431" t="s">
        <v>161</v>
      </c>
      <c r="F437" s="431" t="s">
        <v>323</v>
      </c>
      <c r="G437" s="431" t="s">
        <v>175</v>
      </c>
      <c r="H437" s="431"/>
      <c r="I437" s="431"/>
      <c r="J437" s="431"/>
      <c r="K437" s="431"/>
      <c r="L437" s="431" t="s">
        <v>314</v>
      </c>
      <c r="M437" s="431" t="s">
        <v>324</v>
      </c>
    </row>
    <row r="438" spans="1:13" x14ac:dyDescent="0.2">
      <c r="A438" s="431" t="s">
        <v>322</v>
      </c>
      <c r="B438" s="431">
        <v>1870436</v>
      </c>
      <c r="C438" s="431" t="s">
        <v>159</v>
      </c>
      <c r="D438" s="431" t="s">
        <v>173</v>
      </c>
      <c r="E438" s="431" t="s">
        <v>161</v>
      </c>
      <c r="F438" s="431" t="s">
        <v>323</v>
      </c>
      <c r="G438" s="431" t="s">
        <v>175</v>
      </c>
      <c r="H438" s="431"/>
      <c r="I438" s="431"/>
      <c r="J438" s="431"/>
      <c r="K438" s="431"/>
      <c r="L438" s="431" t="s">
        <v>314</v>
      </c>
      <c r="M438" s="431" t="s">
        <v>324</v>
      </c>
    </row>
    <row r="439" spans="1:13" x14ac:dyDescent="0.2">
      <c r="A439" s="431" t="s">
        <v>322</v>
      </c>
      <c r="B439" s="431">
        <v>1870436</v>
      </c>
      <c r="C439" s="431" t="s">
        <v>159</v>
      </c>
      <c r="D439" s="431" t="s">
        <v>173</v>
      </c>
      <c r="E439" s="431" t="s">
        <v>161</v>
      </c>
      <c r="F439" s="431" t="s">
        <v>323</v>
      </c>
      <c r="G439" s="431" t="s">
        <v>175</v>
      </c>
      <c r="H439" s="431"/>
      <c r="I439" s="431"/>
      <c r="J439" s="431"/>
      <c r="K439" s="431"/>
      <c r="L439" s="431" t="s">
        <v>314</v>
      </c>
      <c r="M439" s="431" t="s">
        <v>324</v>
      </c>
    </row>
    <row r="440" spans="1:13" x14ac:dyDescent="0.2">
      <c r="A440" s="431" t="s">
        <v>322</v>
      </c>
      <c r="B440" s="431">
        <v>1870436</v>
      </c>
      <c r="C440" s="431" t="s">
        <v>159</v>
      </c>
      <c r="D440" s="431" t="s">
        <v>173</v>
      </c>
      <c r="E440" s="431" t="s">
        <v>161</v>
      </c>
      <c r="F440" s="431" t="s">
        <v>323</v>
      </c>
      <c r="G440" s="431" t="s">
        <v>175</v>
      </c>
      <c r="H440" s="431"/>
      <c r="I440" s="431"/>
      <c r="J440" s="431"/>
      <c r="K440" s="431"/>
      <c r="L440" s="431" t="s">
        <v>314</v>
      </c>
      <c r="M440" s="431" t="s">
        <v>324</v>
      </c>
    </row>
    <row r="441" spans="1:13" x14ac:dyDescent="0.2">
      <c r="A441" s="431" t="s">
        <v>322</v>
      </c>
      <c r="B441" s="431">
        <v>1870436</v>
      </c>
      <c r="C441" s="431" t="s">
        <v>159</v>
      </c>
      <c r="D441" s="431" t="s">
        <v>173</v>
      </c>
      <c r="E441" s="431" t="s">
        <v>161</v>
      </c>
      <c r="F441" s="431" t="s">
        <v>323</v>
      </c>
      <c r="G441" s="431" t="s">
        <v>175</v>
      </c>
      <c r="H441" s="431"/>
      <c r="I441" s="431"/>
      <c r="J441" s="431"/>
      <c r="K441" s="431"/>
      <c r="L441" s="431" t="s">
        <v>314</v>
      </c>
      <c r="M441" s="431" t="s">
        <v>324</v>
      </c>
    </row>
    <row r="442" spans="1:13" x14ac:dyDescent="0.2">
      <c r="A442" s="431" t="s">
        <v>322</v>
      </c>
      <c r="B442" s="431">
        <v>1870436</v>
      </c>
      <c r="C442" s="431" t="s">
        <v>159</v>
      </c>
      <c r="D442" s="431" t="s">
        <v>173</v>
      </c>
      <c r="E442" s="431" t="s">
        <v>161</v>
      </c>
      <c r="F442" s="431" t="s">
        <v>323</v>
      </c>
      <c r="G442" s="431" t="s">
        <v>175</v>
      </c>
      <c r="H442" s="431"/>
      <c r="I442" s="431"/>
      <c r="J442" s="431"/>
      <c r="K442" s="431"/>
      <c r="L442" s="431" t="s">
        <v>314</v>
      </c>
      <c r="M442" s="431" t="s">
        <v>324</v>
      </c>
    </row>
    <row r="443" spans="1:13" x14ac:dyDescent="0.2">
      <c r="A443" s="431" t="s">
        <v>322</v>
      </c>
      <c r="B443" s="431">
        <v>1870436</v>
      </c>
      <c r="C443" s="431" t="s">
        <v>159</v>
      </c>
      <c r="D443" s="431" t="s">
        <v>173</v>
      </c>
      <c r="E443" s="431" t="s">
        <v>161</v>
      </c>
      <c r="F443" s="431" t="s">
        <v>323</v>
      </c>
      <c r="G443" s="431" t="s">
        <v>175</v>
      </c>
      <c r="H443" s="431"/>
      <c r="I443" s="431"/>
      <c r="J443" s="431"/>
      <c r="K443" s="431"/>
      <c r="L443" s="431" t="s">
        <v>314</v>
      </c>
      <c r="M443" s="431" t="s">
        <v>324</v>
      </c>
    </row>
    <row r="444" spans="1:13" x14ac:dyDescent="0.2">
      <c r="A444" s="431" t="s">
        <v>322</v>
      </c>
      <c r="B444" s="431">
        <v>1870436</v>
      </c>
      <c r="C444" s="431" t="s">
        <v>159</v>
      </c>
      <c r="D444" s="431" t="s">
        <v>173</v>
      </c>
      <c r="E444" s="431" t="s">
        <v>161</v>
      </c>
      <c r="F444" s="431" t="s">
        <v>323</v>
      </c>
      <c r="G444" s="431" t="s">
        <v>175</v>
      </c>
      <c r="H444" s="431"/>
      <c r="I444" s="431"/>
      <c r="J444" s="431"/>
      <c r="K444" s="431"/>
      <c r="L444" s="431" t="s">
        <v>314</v>
      </c>
      <c r="M444" s="431" t="s">
        <v>324</v>
      </c>
    </row>
    <row r="445" spans="1:13" x14ac:dyDescent="0.2">
      <c r="A445" s="431" t="s">
        <v>322</v>
      </c>
      <c r="B445" s="431">
        <v>1870436</v>
      </c>
      <c r="C445" s="431" t="s">
        <v>159</v>
      </c>
      <c r="D445" s="431" t="s">
        <v>173</v>
      </c>
      <c r="E445" s="431" t="s">
        <v>161</v>
      </c>
      <c r="F445" s="431" t="s">
        <v>323</v>
      </c>
      <c r="G445" s="431" t="s">
        <v>175</v>
      </c>
      <c r="H445" s="431"/>
      <c r="I445" s="431"/>
      <c r="J445" s="431"/>
      <c r="K445" s="431"/>
      <c r="L445" s="431" t="s">
        <v>314</v>
      </c>
      <c r="M445" s="431" t="s">
        <v>324</v>
      </c>
    </row>
    <row r="446" spans="1:13" x14ac:dyDescent="0.2">
      <c r="A446" s="431" t="s">
        <v>322</v>
      </c>
      <c r="B446" s="431">
        <v>1870436</v>
      </c>
      <c r="C446" s="431" t="s">
        <v>159</v>
      </c>
      <c r="D446" s="431" t="s">
        <v>173</v>
      </c>
      <c r="E446" s="431" t="s">
        <v>161</v>
      </c>
      <c r="F446" s="431" t="s">
        <v>323</v>
      </c>
      <c r="G446" s="431" t="s">
        <v>175</v>
      </c>
      <c r="H446" s="431"/>
      <c r="I446" s="431"/>
      <c r="J446" s="431"/>
      <c r="K446" s="431"/>
      <c r="L446" s="431" t="s">
        <v>314</v>
      </c>
      <c r="M446" s="431" t="s">
        <v>324</v>
      </c>
    </row>
    <row r="447" spans="1:13" x14ac:dyDescent="0.2">
      <c r="A447" s="431" t="s">
        <v>322</v>
      </c>
      <c r="B447" s="431">
        <v>1870436</v>
      </c>
      <c r="C447" s="431" t="s">
        <v>159</v>
      </c>
      <c r="D447" s="431" t="s">
        <v>173</v>
      </c>
      <c r="E447" s="431" t="s">
        <v>161</v>
      </c>
      <c r="F447" s="431" t="s">
        <v>323</v>
      </c>
      <c r="G447" s="431" t="s">
        <v>175</v>
      </c>
      <c r="H447" s="431"/>
      <c r="I447" s="431"/>
      <c r="J447" s="431"/>
      <c r="K447" s="431"/>
      <c r="L447" s="431" t="s">
        <v>314</v>
      </c>
      <c r="M447" s="431" t="s">
        <v>324</v>
      </c>
    </row>
    <row r="448" spans="1:13" x14ac:dyDescent="0.2">
      <c r="A448" s="431" t="s">
        <v>322</v>
      </c>
      <c r="B448" s="431">
        <v>1870436</v>
      </c>
      <c r="C448" s="431" t="s">
        <v>159</v>
      </c>
      <c r="D448" s="431" t="s">
        <v>173</v>
      </c>
      <c r="E448" s="431" t="s">
        <v>161</v>
      </c>
      <c r="F448" s="431" t="s">
        <v>323</v>
      </c>
      <c r="G448" s="431" t="s">
        <v>175</v>
      </c>
      <c r="H448" s="431"/>
      <c r="I448" s="431"/>
      <c r="J448" s="431"/>
      <c r="K448" s="431"/>
      <c r="L448" s="431" t="s">
        <v>314</v>
      </c>
      <c r="M448" s="431" t="s">
        <v>324</v>
      </c>
    </row>
    <row r="449" spans="1:13" x14ac:dyDescent="0.2">
      <c r="A449" s="431" t="s">
        <v>322</v>
      </c>
      <c r="B449" s="431">
        <v>1870436</v>
      </c>
      <c r="C449" s="431" t="s">
        <v>159</v>
      </c>
      <c r="D449" s="431" t="s">
        <v>173</v>
      </c>
      <c r="E449" s="431" t="s">
        <v>161</v>
      </c>
      <c r="F449" s="431" t="s">
        <v>323</v>
      </c>
      <c r="G449" s="431" t="s">
        <v>175</v>
      </c>
      <c r="H449" s="431"/>
      <c r="I449" s="431"/>
      <c r="J449" s="431"/>
      <c r="K449" s="431"/>
      <c r="L449" s="431" t="s">
        <v>314</v>
      </c>
      <c r="M449" s="431" t="s">
        <v>324</v>
      </c>
    </row>
    <row r="450" spans="1:13" x14ac:dyDescent="0.2">
      <c r="A450" s="431" t="s">
        <v>322</v>
      </c>
      <c r="B450" s="431">
        <v>1870436</v>
      </c>
      <c r="C450" s="431" t="s">
        <v>159</v>
      </c>
      <c r="D450" s="431" t="s">
        <v>173</v>
      </c>
      <c r="E450" s="431" t="s">
        <v>161</v>
      </c>
      <c r="F450" s="431" t="s">
        <v>323</v>
      </c>
      <c r="G450" s="431" t="s">
        <v>175</v>
      </c>
      <c r="H450" s="431"/>
      <c r="I450" s="431"/>
      <c r="J450" s="431"/>
      <c r="K450" s="431"/>
      <c r="L450" s="431" t="s">
        <v>314</v>
      </c>
      <c r="M450" s="431" t="s">
        <v>324</v>
      </c>
    </row>
    <row r="451" spans="1:13" x14ac:dyDescent="0.2">
      <c r="A451" s="431" t="s">
        <v>322</v>
      </c>
      <c r="B451" s="431">
        <v>1870436</v>
      </c>
      <c r="C451" s="431" t="s">
        <v>159</v>
      </c>
      <c r="D451" s="431" t="s">
        <v>173</v>
      </c>
      <c r="E451" s="431" t="s">
        <v>161</v>
      </c>
      <c r="F451" s="431" t="s">
        <v>323</v>
      </c>
      <c r="G451" s="431" t="s">
        <v>175</v>
      </c>
      <c r="H451" s="431"/>
      <c r="I451" s="431"/>
      <c r="J451" s="431"/>
      <c r="K451" s="431"/>
      <c r="L451" s="431" t="s">
        <v>314</v>
      </c>
      <c r="M451" s="431" t="s">
        <v>324</v>
      </c>
    </row>
    <row r="452" spans="1:13" x14ac:dyDescent="0.2">
      <c r="A452" s="431" t="s">
        <v>322</v>
      </c>
      <c r="B452" s="431">
        <v>1870436</v>
      </c>
      <c r="C452" s="431" t="s">
        <v>159</v>
      </c>
      <c r="D452" s="431" t="s">
        <v>173</v>
      </c>
      <c r="E452" s="431" t="s">
        <v>161</v>
      </c>
      <c r="F452" s="431" t="s">
        <v>323</v>
      </c>
      <c r="G452" s="431" t="s">
        <v>175</v>
      </c>
      <c r="H452" s="431"/>
      <c r="I452" s="431"/>
      <c r="J452" s="431"/>
      <c r="K452" s="431"/>
      <c r="L452" s="431" t="s">
        <v>314</v>
      </c>
      <c r="M452" s="431" t="s">
        <v>324</v>
      </c>
    </row>
    <row r="453" spans="1:13" x14ac:dyDescent="0.2">
      <c r="A453" s="431" t="s">
        <v>322</v>
      </c>
      <c r="B453" s="431">
        <v>1870436</v>
      </c>
      <c r="C453" s="431" t="s">
        <v>159</v>
      </c>
      <c r="D453" s="431" t="s">
        <v>173</v>
      </c>
      <c r="E453" s="431" t="s">
        <v>161</v>
      </c>
      <c r="F453" s="431" t="s">
        <v>323</v>
      </c>
      <c r="G453" s="431" t="s">
        <v>175</v>
      </c>
      <c r="H453" s="431"/>
      <c r="I453" s="431"/>
      <c r="J453" s="431"/>
      <c r="K453" s="431"/>
      <c r="L453" s="431" t="s">
        <v>314</v>
      </c>
      <c r="M453" s="431" t="s">
        <v>324</v>
      </c>
    </row>
    <row r="454" spans="1:13" x14ac:dyDescent="0.2">
      <c r="A454" s="431" t="s">
        <v>322</v>
      </c>
      <c r="B454" s="431">
        <v>1870436</v>
      </c>
      <c r="C454" s="431" t="s">
        <v>159</v>
      </c>
      <c r="D454" s="431" t="s">
        <v>173</v>
      </c>
      <c r="E454" s="431" t="s">
        <v>161</v>
      </c>
      <c r="F454" s="431" t="s">
        <v>323</v>
      </c>
      <c r="G454" s="431" t="s">
        <v>175</v>
      </c>
      <c r="H454" s="431"/>
      <c r="I454" s="431"/>
      <c r="J454" s="431"/>
      <c r="K454" s="431"/>
      <c r="L454" s="431" t="s">
        <v>314</v>
      </c>
      <c r="M454" s="431" t="s">
        <v>324</v>
      </c>
    </row>
    <row r="455" spans="1:13" x14ac:dyDescent="0.2">
      <c r="A455" s="431" t="s">
        <v>322</v>
      </c>
      <c r="B455" s="431">
        <v>1870436</v>
      </c>
      <c r="C455" s="431" t="s">
        <v>159</v>
      </c>
      <c r="D455" s="431" t="s">
        <v>173</v>
      </c>
      <c r="E455" s="431" t="s">
        <v>161</v>
      </c>
      <c r="F455" s="431" t="s">
        <v>323</v>
      </c>
      <c r="G455" s="431" t="s">
        <v>175</v>
      </c>
      <c r="H455" s="431"/>
      <c r="I455" s="431"/>
      <c r="J455" s="431"/>
      <c r="K455" s="431"/>
      <c r="L455" s="431" t="s">
        <v>314</v>
      </c>
      <c r="M455" s="431" t="s">
        <v>324</v>
      </c>
    </row>
    <row r="456" spans="1:13" x14ac:dyDescent="0.2">
      <c r="A456" s="431" t="s">
        <v>322</v>
      </c>
      <c r="B456" s="431">
        <v>1870436</v>
      </c>
      <c r="C456" s="431" t="s">
        <v>159</v>
      </c>
      <c r="D456" s="431" t="s">
        <v>173</v>
      </c>
      <c r="E456" s="431" t="s">
        <v>161</v>
      </c>
      <c r="F456" s="431" t="s">
        <v>323</v>
      </c>
      <c r="G456" s="431" t="s">
        <v>175</v>
      </c>
      <c r="H456" s="431"/>
      <c r="I456" s="431"/>
      <c r="J456" s="431"/>
      <c r="K456" s="431"/>
      <c r="L456" s="431" t="s">
        <v>314</v>
      </c>
      <c r="M456" s="431" t="s">
        <v>324</v>
      </c>
    </row>
    <row r="457" spans="1:13" x14ac:dyDescent="0.2">
      <c r="A457" s="431" t="s">
        <v>322</v>
      </c>
      <c r="B457" s="431">
        <v>1870436</v>
      </c>
      <c r="C457" s="431" t="s">
        <v>159</v>
      </c>
      <c r="D457" s="431" t="s">
        <v>173</v>
      </c>
      <c r="E457" s="431" t="s">
        <v>161</v>
      </c>
      <c r="F457" s="431" t="s">
        <v>323</v>
      </c>
      <c r="G457" s="431" t="s">
        <v>175</v>
      </c>
      <c r="H457" s="431"/>
      <c r="I457" s="431"/>
      <c r="J457" s="431"/>
      <c r="K457" s="431"/>
      <c r="L457" s="431" t="s">
        <v>314</v>
      </c>
      <c r="M457" s="431" t="s">
        <v>324</v>
      </c>
    </row>
    <row r="458" spans="1:13" x14ac:dyDescent="0.2">
      <c r="A458" s="431" t="s">
        <v>322</v>
      </c>
      <c r="B458" s="431">
        <v>1870436</v>
      </c>
      <c r="C458" s="431" t="s">
        <v>159</v>
      </c>
      <c r="D458" s="431" t="s">
        <v>173</v>
      </c>
      <c r="E458" s="431" t="s">
        <v>161</v>
      </c>
      <c r="F458" s="431" t="s">
        <v>323</v>
      </c>
      <c r="G458" s="431" t="s">
        <v>175</v>
      </c>
      <c r="H458" s="431"/>
      <c r="I458" s="431"/>
      <c r="J458" s="431"/>
      <c r="K458" s="431"/>
      <c r="L458" s="431" t="s">
        <v>314</v>
      </c>
      <c r="M458" s="431" t="s">
        <v>324</v>
      </c>
    </row>
    <row r="459" spans="1:13" x14ac:dyDescent="0.2">
      <c r="A459" s="431" t="s">
        <v>322</v>
      </c>
      <c r="B459" s="431">
        <v>1870436</v>
      </c>
      <c r="C459" s="431" t="s">
        <v>159</v>
      </c>
      <c r="D459" s="431" t="s">
        <v>173</v>
      </c>
      <c r="E459" s="431" t="s">
        <v>161</v>
      </c>
      <c r="F459" s="431" t="s">
        <v>323</v>
      </c>
      <c r="G459" s="431" t="s">
        <v>175</v>
      </c>
      <c r="H459" s="431"/>
      <c r="I459" s="431"/>
      <c r="J459" s="431"/>
      <c r="K459" s="431"/>
      <c r="L459" s="431" t="s">
        <v>314</v>
      </c>
      <c r="M459" s="431" t="s">
        <v>324</v>
      </c>
    </row>
    <row r="460" spans="1:13" x14ac:dyDescent="0.2">
      <c r="A460" s="431" t="s">
        <v>322</v>
      </c>
      <c r="B460" s="431">
        <v>1870436</v>
      </c>
      <c r="C460" s="431" t="s">
        <v>159</v>
      </c>
      <c r="D460" s="431" t="s">
        <v>173</v>
      </c>
      <c r="E460" s="431" t="s">
        <v>161</v>
      </c>
      <c r="F460" s="431" t="s">
        <v>323</v>
      </c>
      <c r="G460" s="431" t="s">
        <v>175</v>
      </c>
      <c r="H460" s="431"/>
      <c r="I460" s="431"/>
      <c r="J460" s="431"/>
      <c r="K460" s="431"/>
      <c r="L460" s="431" t="s">
        <v>314</v>
      </c>
      <c r="M460" s="431" t="s">
        <v>324</v>
      </c>
    </row>
    <row r="461" spans="1:13" x14ac:dyDescent="0.2">
      <c r="A461" s="431" t="s">
        <v>322</v>
      </c>
      <c r="B461" s="431">
        <v>1870436</v>
      </c>
      <c r="C461" s="431" t="s">
        <v>159</v>
      </c>
      <c r="D461" s="431" t="s">
        <v>173</v>
      </c>
      <c r="E461" s="431" t="s">
        <v>161</v>
      </c>
      <c r="F461" s="431" t="s">
        <v>323</v>
      </c>
      <c r="G461" s="431" t="s">
        <v>175</v>
      </c>
      <c r="H461" s="431"/>
      <c r="I461" s="431"/>
      <c r="J461" s="431"/>
      <c r="K461" s="431"/>
      <c r="L461" s="431" t="s">
        <v>314</v>
      </c>
      <c r="M461" s="431" t="s">
        <v>324</v>
      </c>
    </row>
    <row r="462" spans="1:13" x14ac:dyDescent="0.2">
      <c r="A462" s="431" t="s">
        <v>325</v>
      </c>
      <c r="B462" s="431">
        <v>1870437</v>
      </c>
      <c r="C462" s="431" t="s">
        <v>159</v>
      </c>
      <c r="D462" s="431" t="s">
        <v>173</v>
      </c>
      <c r="E462" s="431" t="s">
        <v>161</v>
      </c>
      <c r="F462" s="431" t="s">
        <v>179</v>
      </c>
      <c r="G462" s="431" t="s">
        <v>175</v>
      </c>
      <c r="H462" s="431"/>
      <c r="I462" s="431"/>
      <c r="J462" s="431"/>
      <c r="K462" s="431"/>
      <c r="L462" s="431" t="s">
        <v>176</v>
      </c>
      <c r="M462" s="431" t="s">
        <v>326</v>
      </c>
    </row>
    <row r="463" spans="1:13" x14ac:dyDescent="0.2">
      <c r="A463" s="431" t="s">
        <v>325</v>
      </c>
      <c r="B463" s="431">
        <v>1870437</v>
      </c>
      <c r="C463" s="431" t="s">
        <v>159</v>
      </c>
      <c r="D463" s="431" t="s">
        <v>173</v>
      </c>
      <c r="E463" s="431" t="s">
        <v>161</v>
      </c>
      <c r="F463" s="431" t="s">
        <v>179</v>
      </c>
      <c r="G463" s="431" t="s">
        <v>175</v>
      </c>
      <c r="H463" s="431"/>
      <c r="I463" s="431"/>
      <c r="J463" s="431"/>
      <c r="K463" s="431"/>
      <c r="L463" s="431" t="s">
        <v>176</v>
      </c>
      <c r="M463" s="431" t="s">
        <v>326</v>
      </c>
    </row>
    <row r="464" spans="1:13" x14ac:dyDescent="0.2">
      <c r="A464" s="431" t="s">
        <v>325</v>
      </c>
      <c r="B464" s="431">
        <v>1870437</v>
      </c>
      <c r="C464" s="431" t="s">
        <v>159</v>
      </c>
      <c r="D464" s="431" t="s">
        <v>173</v>
      </c>
      <c r="E464" s="431" t="s">
        <v>161</v>
      </c>
      <c r="F464" s="431" t="s">
        <v>179</v>
      </c>
      <c r="G464" s="431" t="s">
        <v>175</v>
      </c>
      <c r="H464" s="431"/>
      <c r="I464" s="431"/>
      <c r="J464" s="431"/>
      <c r="K464" s="431"/>
      <c r="L464" s="431" t="s">
        <v>176</v>
      </c>
      <c r="M464" s="431" t="s">
        <v>326</v>
      </c>
    </row>
    <row r="465" spans="1:13" x14ac:dyDescent="0.2">
      <c r="A465" s="431" t="s">
        <v>325</v>
      </c>
      <c r="B465" s="431">
        <v>1870437</v>
      </c>
      <c r="C465" s="431" t="s">
        <v>159</v>
      </c>
      <c r="D465" s="431" t="s">
        <v>173</v>
      </c>
      <c r="E465" s="431" t="s">
        <v>161</v>
      </c>
      <c r="F465" s="431" t="s">
        <v>179</v>
      </c>
      <c r="G465" s="431" t="s">
        <v>175</v>
      </c>
      <c r="H465" s="431"/>
      <c r="I465" s="431"/>
      <c r="J465" s="431"/>
      <c r="K465" s="431"/>
      <c r="L465" s="431" t="s">
        <v>176</v>
      </c>
      <c r="M465" s="431" t="s">
        <v>326</v>
      </c>
    </row>
    <row r="466" spans="1:13" x14ac:dyDescent="0.2">
      <c r="A466" s="431" t="s">
        <v>325</v>
      </c>
      <c r="B466" s="431">
        <v>1870437</v>
      </c>
      <c r="C466" s="431" t="s">
        <v>159</v>
      </c>
      <c r="D466" s="431" t="s">
        <v>173</v>
      </c>
      <c r="E466" s="431" t="s">
        <v>161</v>
      </c>
      <c r="F466" s="431" t="s">
        <v>179</v>
      </c>
      <c r="G466" s="431" t="s">
        <v>175</v>
      </c>
      <c r="H466" s="431"/>
      <c r="I466" s="431"/>
      <c r="J466" s="431"/>
      <c r="K466" s="431"/>
      <c r="L466" s="431" t="s">
        <v>176</v>
      </c>
      <c r="M466" s="431" t="s">
        <v>326</v>
      </c>
    </row>
    <row r="467" spans="1:13" x14ac:dyDescent="0.2">
      <c r="A467" s="431" t="s">
        <v>325</v>
      </c>
      <c r="B467" s="431">
        <v>1870437</v>
      </c>
      <c r="C467" s="431" t="s">
        <v>159</v>
      </c>
      <c r="D467" s="431" t="s">
        <v>173</v>
      </c>
      <c r="E467" s="431" t="s">
        <v>161</v>
      </c>
      <c r="F467" s="431" t="s">
        <v>179</v>
      </c>
      <c r="G467" s="431" t="s">
        <v>175</v>
      </c>
      <c r="H467" s="431"/>
      <c r="I467" s="431"/>
      <c r="J467" s="431"/>
      <c r="K467" s="431"/>
      <c r="L467" s="431" t="s">
        <v>176</v>
      </c>
      <c r="M467" s="431" t="s">
        <v>326</v>
      </c>
    </row>
    <row r="468" spans="1:13" x14ac:dyDescent="0.2">
      <c r="A468" s="431" t="s">
        <v>325</v>
      </c>
      <c r="B468" s="431">
        <v>1870437</v>
      </c>
      <c r="C468" s="431" t="s">
        <v>159</v>
      </c>
      <c r="D468" s="431" t="s">
        <v>173</v>
      </c>
      <c r="E468" s="431" t="s">
        <v>161</v>
      </c>
      <c r="F468" s="431" t="s">
        <v>179</v>
      </c>
      <c r="G468" s="431" t="s">
        <v>175</v>
      </c>
      <c r="H468" s="431"/>
      <c r="I468" s="431"/>
      <c r="J468" s="431"/>
      <c r="K468" s="431"/>
      <c r="L468" s="431" t="s">
        <v>176</v>
      </c>
      <c r="M468" s="431" t="s">
        <v>326</v>
      </c>
    </row>
    <row r="469" spans="1:13" x14ac:dyDescent="0.2">
      <c r="A469" s="431" t="s">
        <v>325</v>
      </c>
      <c r="B469" s="431">
        <v>1870437</v>
      </c>
      <c r="C469" s="431" t="s">
        <v>159</v>
      </c>
      <c r="D469" s="431" t="s">
        <v>173</v>
      </c>
      <c r="E469" s="431" t="s">
        <v>161</v>
      </c>
      <c r="F469" s="431" t="s">
        <v>179</v>
      </c>
      <c r="G469" s="431" t="s">
        <v>175</v>
      </c>
      <c r="H469" s="431"/>
      <c r="I469" s="431"/>
      <c r="J469" s="431"/>
      <c r="K469" s="431"/>
      <c r="L469" s="431" t="s">
        <v>176</v>
      </c>
      <c r="M469" s="431" t="s">
        <v>326</v>
      </c>
    </row>
    <row r="470" spans="1:13" x14ac:dyDescent="0.2">
      <c r="A470" s="431" t="s">
        <v>325</v>
      </c>
      <c r="B470" s="431">
        <v>1870437</v>
      </c>
      <c r="C470" s="431" t="s">
        <v>159</v>
      </c>
      <c r="D470" s="431" t="s">
        <v>173</v>
      </c>
      <c r="E470" s="431" t="s">
        <v>161</v>
      </c>
      <c r="F470" s="431" t="s">
        <v>179</v>
      </c>
      <c r="G470" s="431" t="s">
        <v>175</v>
      </c>
      <c r="H470" s="431"/>
      <c r="I470" s="431"/>
      <c r="J470" s="431"/>
      <c r="K470" s="431"/>
      <c r="L470" s="431" t="s">
        <v>176</v>
      </c>
      <c r="M470" s="431" t="s">
        <v>326</v>
      </c>
    </row>
    <row r="471" spans="1:13" x14ac:dyDescent="0.2">
      <c r="A471" s="431" t="s">
        <v>325</v>
      </c>
      <c r="B471" s="431">
        <v>1870437</v>
      </c>
      <c r="C471" s="431" t="s">
        <v>159</v>
      </c>
      <c r="D471" s="431" t="s">
        <v>173</v>
      </c>
      <c r="E471" s="431" t="s">
        <v>161</v>
      </c>
      <c r="F471" s="431" t="s">
        <v>179</v>
      </c>
      <c r="G471" s="431" t="s">
        <v>175</v>
      </c>
      <c r="H471" s="431"/>
      <c r="I471" s="431"/>
      <c r="J471" s="431"/>
      <c r="K471" s="431"/>
      <c r="L471" s="431" t="s">
        <v>176</v>
      </c>
      <c r="M471" s="431" t="s">
        <v>326</v>
      </c>
    </row>
    <row r="472" spans="1:13" x14ac:dyDescent="0.2">
      <c r="A472" s="431" t="s">
        <v>325</v>
      </c>
      <c r="B472" s="431">
        <v>1870437</v>
      </c>
      <c r="C472" s="431" t="s">
        <v>159</v>
      </c>
      <c r="D472" s="431" t="s">
        <v>173</v>
      </c>
      <c r="E472" s="431" t="s">
        <v>161</v>
      </c>
      <c r="F472" s="431" t="s">
        <v>179</v>
      </c>
      <c r="G472" s="431" t="s">
        <v>175</v>
      </c>
      <c r="H472" s="431"/>
      <c r="I472" s="431"/>
      <c r="J472" s="431"/>
      <c r="K472" s="431"/>
      <c r="L472" s="431" t="s">
        <v>176</v>
      </c>
      <c r="M472" s="431" t="s">
        <v>326</v>
      </c>
    </row>
    <row r="473" spans="1:13" x14ac:dyDescent="0.2">
      <c r="A473" s="431" t="s">
        <v>325</v>
      </c>
      <c r="B473" s="431">
        <v>1870437</v>
      </c>
      <c r="C473" s="431" t="s">
        <v>159</v>
      </c>
      <c r="D473" s="431" t="s">
        <v>173</v>
      </c>
      <c r="E473" s="431" t="s">
        <v>161</v>
      </c>
      <c r="F473" s="431" t="s">
        <v>179</v>
      </c>
      <c r="G473" s="431" t="s">
        <v>175</v>
      </c>
      <c r="H473" s="431"/>
      <c r="I473" s="431"/>
      <c r="J473" s="431"/>
      <c r="K473" s="431"/>
      <c r="L473" s="431" t="s">
        <v>176</v>
      </c>
      <c r="M473" s="431" t="s">
        <v>326</v>
      </c>
    </row>
    <row r="474" spans="1:13" x14ac:dyDescent="0.2">
      <c r="A474" s="431" t="s">
        <v>325</v>
      </c>
      <c r="B474" s="431">
        <v>1870437</v>
      </c>
      <c r="C474" s="431" t="s">
        <v>159</v>
      </c>
      <c r="D474" s="431" t="s">
        <v>173</v>
      </c>
      <c r="E474" s="431" t="s">
        <v>161</v>
      </c>
      <c r="F474" s="431" t="s">
        <v>179</v>
      </c>
      <c r="G474" s="431" t="s">
        <v>175</v>
      </c>
      <c r="H474" s="431"/>
      <c r="I474" s="431"/>
      <c r="J474" s="431"/>
      <c r="K474" s="431"/>
      <c r="L474" s="431" t="s">
        <v>176</v>
      </c>
      <c r="M474" s="431" t="s">
        <v>326</v>
      </c>
    </row>
    <row r="475" spans="1:13" x14ac:dyDescent="0.2">
      <c r="A475" s="431" t="s">
        <v>325</v>
      </c>
      <c r="B475" s="431">
        <v>1870437</v>
      </c>
      <c r="C475" s="431" t="s">
        <v>159</v>
      </c>
      <c r="D475" s="431" t="s">
        <v>173</v>
      </c>
      <c r="E475" s="431" t="s">
        <v>161</v>
      </c>
      <c r="F475" s="431" t="s">
        <v>179</v>
      </c>
      <c r="G475" s="431" t="s">
        <v>175</v>
      </c>
      <c r="H475" s="431"/>
      <c r="I475" s="431"/>
      <c r="J475" s="431"/>
      <c r="K475" s="431"/>
      <c r="L475" s="431" t="s">
        <v>176</v>
      </c>
      <c r="M475" s="431" t="s">
        <v>326</v>
      </c>
    </row>
    <row r="476" spans="1:13" x14ac:dyDescent="0.2">
      <c r="A476" s="431" t="s">
        <v>325</v>
      </c>
      <c r="B476" s="431">
        <v>1870437</v>
      </c>
      <c r="C476" s="431" t="s">
        <v>159</v>
      </c>
      <c r="D476" s="431" t="s">
        <v>173</v>
      </c>
      <c r="E476" s="431" t="s">
        <v>161</v>
      </c>
      <c r="F476" s="431" t="s">
        <v>179</v>
      </c>
      <c r="G476" s="431" t="s">
        <v>175</v>
      </c>
      <c r="H476" s="431"/>
      <c r="I476" s="431"/>
      <c r="J476" s="431"/>
      <c r="K476" s="431"/>
      <c r="L476" s="431" t="s">
        <v>176</v>
      </c>
      <c r="M476" s="431" t="s">
        <v>326</v>
      </c>
    </row>
    <row r="477" spans="1:13" x14ac:dyDescent="0.2">
      <c r="A477" s="431" t="s">
        <v>325</v>
      </c>
      <c r="B477" s="431">
        <v>1870437</v>
      </c>
      <c r="C477" s="431" t="s">
        <v>159</v>
      </c>
      <c r="D477" s="431" t="s">
        <v>173</v>
      </c>
      <c r="E477" s="431" t="s">
        <v>161</v>
      </c>
      <c r="F477" s="431" t="s">
        <v>179</v>
      </c>
      <c r="G477" s="431" t="s">
        <v>175</v>
      </c>
      <c r="H477" s="431"/>
      <c r="I477" s="431"/>
      <c r="J477" s="431"/>
      <c r="K477" s="431"/>
      <c r="L477" s="431" t="s">
        <v>176</v>
      </c>
      <c r="M477" s="431" t="s">
        <v>326</v>
      </c>
    </row>
    <row r="478" spans="1:13" x14ac:dyDescent="0.2">
      <c r="A478" s="431" t="s">
        <v>325</v>
      </c>
      <c r="B478" s="431">
        <v>1870437</v>
      </c>
      <c r="C478" s="431" t="s">
        <v>159</v>
      </c>
      <c r="D478" s="431" t="s">
        <v>173</v>
      </c>
      <c r="E478" s="431" t="s">
        <v>161</v>
      </c>
      <c r="F478" s="431" t="s">
        <v>179</v>
      </c>
      <c r="G478" s="431" t="s">
        <v>175</v>
      </c>
      <c r="H478" s="431"/>
      <c r="I478" s="431"/>
      <c r="J478" s="431"/>
      <c r="K478" s="431"/>
      <c r="L478" s="431" t="s">
        <v>176</v>
      </c>
      <c r="M478" s="431" t="s">
        <v>326</v>
      </c>
    </row>
    <row r="479" spans="1:13" x14ac:dyDescent="0.2">
      <c r="A479" s="431" t="s">
        <v>325</v>
      </c>
      <c r="B479" s="431">
        <v>1870437</v>
      </c>
      <c r="C479" s="431" t="s">
        <v>159</v>
      </c>
      <c r="D479" s="431" t="s">
        <v>173</v>
      </c>
      <c r="E479" s="431" t="s">
        <v>161</v>
      </c>
      <c r="F479" s="431" t="s">
        <v>179</v>
      </c>
      <c r="G479" s="431" t="s">
        <v>175</v>
      </c>
      <c r="H479" s="431"/>
      <c r="I479" s="431"/>
      <c r="J479" s="431"/>
      <c r="K479" s="431"/>
      <c r="L479" s="431" t="s">
        <v>176</v>
      </c>
      <c r="M479" s="431" t="s">
        <v>326</v>
      </c>
    </row>
    <row r="480" spans="1:13" x14ac:dyDescent="0.2">
      <c r="A480" s="431" t="s">
        <v>325</v>
      </c>
      <c r="B480" s="431">
        <v>1870437</v>
      </c>
      <c r="C480" s="431" t="s">
        <v>159</v>
      </c>
      <c r="D480" s="431" t="s">
        <v>173</v>
      </c>
      <c r="E480" s="431" t="s">
        <v>161</v>
      </c>
      <c r="F480" s="431" t="s">
        <v>179</v>
      </c>
      <c r="G480" s="431" t="s">
        <v>175</v>
      </c>
      <c r="H480" s="431"/>
      <c r="I480" s="431"/>
      <c r="J480" s="431"/>
      <c r="K480" s="431"/>
      <c r="L480" s="431" t="s">
        <v>176</v>
      </c>
      <c r="M480" s="431" t="s">
        <v>326</v>
      </c>
    </row>
    <row r="481" spans="1:13" x14ac:dyDescent="0.2">
      <c r="A481" s="431" t="s">
        <v>325</v>
      </c>
      <c r="B481" s="431">
        <v>1870437</v>
      </c>
      <c r="C481" s="431" t="s">
        <v>159</v>
      </c>
      <c r="D481" s="431" t="s">
        <v>173</v>
      </c>
      <c r="E481" s="431" t="s">
        <v>161</v>
      </c>
      <c r="F481" s="431" t="s">
        <v>179</v>
      </c>
      <c r="G481" s="431" t="s">
        <v>175</v>
      </c>
      <c r="H481" s="431"/>
      <c r="I481" s="431"/>
      <c r="J481" s="431"/>
      <c r="K481" s="431"/>
      <c r="L481" s="431" t="s">
        <v>176</v>
      </c>
      <c r="M481" s="431" t="s">
        <v>326</v>
      </c>
    </row>
    <row r="482" spans="1:13" x14ac:dyDescent="0.2">
      <c r="A482" s="431" t="s">
        <v>325</v>
      </c>
      <c r="B482" s="431">
        <v>1870437</v>
      </c>
      <c r="C482" s="431" t="s">
        <v>159</v>
      </c>
      <c r="D482" s="431" t="s">
        <v>173</v>
      </c>
      <c r="E482" s="431" t="s">
        <v>161</v>
      </c>
      <c r="F482" s="431" t="s">
        <v>179</v>
      </c>
      <c r="G482" s="431" t="s">
        <v>175</v>
      </c>
      <c r="H482" s="431"/>
      <c r="I482" s="431"/>
      <c r="J482" s="431"/>
      <c r="K482" s="431"/>
      <c r="L482" s="431" t="s">
        <v>176</v>
      </c>
      <c r="M482" s="431" t="s">
        <v>326</v>
      </c>
    </row>
    <row r="483" spans="1:13" x14ac:dyDescent="0.2">
      <c r="A483" s="431" t="s">
        <v>325</v>
      </c>
      <c r="B483" s="431">
        <v>1870437</v>
      </c>
      <c r="C483" s="431" t="s">
        <v>159</v>
      </c>
      <c r="D483" s="431" t="s">
        <v>173</v>
      </c>
      <c r="E483" s="431" t="s">
        <v>161</v>
      </c>
      <c r="F483" s="431" t="s">
        <v>179</v>
      </c>
      <c r="G483" s="431" t="s">
        <v>175</v>
      </c>
      <c r="H483" s="431"/>
      <c r="I483" s="431"/>
      <c r="J483" s="431"/>
      <c r="K483" s="431"/>
      <c r="L483" s="431" t="s">
        <v>176</v>
      </c>
      <c r="M483" s="431" t="s">
        <v>326</v>
      </c>
    </row>
    <row r="484" spans="1:13" x14ac:dyDescent="0.2">
      <c r="A484" s="431" t="s">
        <v>325</v>
      </c>
      <c r="B484" s="431">
        <v>1870437</v>
      </c>
      <c r="C484" s="431" t="s">
        <v>159</v>
      </c>
      <c r="D484" s="431" t="s">
        <v>173</v>
      </c>
      <c r="E484" s="431" t="s">
        <v>161</v>
      </c>
      <c r="F484" s="431" t="s">
        <v>179</v>
      </c>
      <c r="G484" s="431" t="s">
        <v>175</v>
      </c>
      <c r="H484" s="431"/>
      <c r="I484" s="431"/>
      <c r="J484" s="431"/>
      <c r="K484" s="431"/>
      <c r="L484" s="431" t="s">
        <v>176</v>
      </c>
      <c r="M484" s="431" t="s">
        <v>326</v>
      </c>
    </row>
    <row r="485" spans="1:13" x14ac:dyDescent="0.2">
      <c r="A485" s="431" t="s">
        <v>325</v>
      </c>
      <c r="B485" s="431">
        <v>1870437</v>
      </c>
      <c r="C485" s="431" t="s">
        <v>159</v>
      </c>
      <c r="D485" s="431" t="s">
        <v>173</v>
      </c>
      <c r="E485" s="431" t="s">
        <v>161</v>
      </c>
      <c r="F485" s="431" t="s">
        <v>179</v>
      </c>
      <c r="G485" s="431" t="s">
        <v>175</v>
      </c>
      <c r="H485" s="431"/>
      <c r="I485" s="431"/>
      <c r="J485" s="431"/>
      <c r="K485" s="431"/>
      <c r="L485" s="431" t="s">
        <v>176</v>
      </c>
      <c r="M485" s="431" t="s">
        <v>326</v>
      </c>
    </row>
    <row r="486" spans="1:13" x14ac:dyDescent="0.2">
      <c r="A486" s="431" t="s">
        <v>325</v>
      </c>
      <c r="B486" s="431">
        <v>1870437</v>
      </c>
      <c r="C486" s="431" t="s">
        <v>159</v>
      </c>
      <c r="D486" s="431" t="s">
        <v>173</v>
      </c>
      <c r="E486" s="431" t="s">
        <v>161</v>
      </c>
      <c r="F486" s="431" t="s">
        <v>179</v>
      </c>
      <c r="G486" s="431" t="s">
        <v>175</v>
      </c>
      <c r="H486" s="431"/>
      <c r="I486" s="431"/>
      <c r="J486" s="431"/>
      <c r="K486" s="431"/>
      <c r="L486" s="431" t="s">
        <v>176</v>
      </c>
      <c r="M486" s="431" t="s">
        <v>326</v>
      </c>
    </row>
    <row r="487" spans="1:13" x14ac:dyDescent="0.2">
      <c r="A487" s="431" t="s">
        <v>325</v>
      </c>
      <c r="B487" s="431">
        <v>1870437</v>
      </c>
      <c r="C487" s="431" t="s">
        <v>159</v>
      </c>
      <c r="D487" s="431" t="s">
        <v>173</v>
      </c>
      <c r="E487" s="431" t="s">
        <v>161</v>
      </c>
      <c r="F487" s="431" t="s">
        <v>179</v>
      </c>
      <c r="G487" s="431" t="s">
        <v>175</v>
      </c>
      <c r="H487" s="431"/>
      <c r="I487" s="431"/>
      <c r="J487" s="431"/>
      <c r="K487" s="431"/>
      <c r="L487" s="431" t="s">
        <v>176</v>
      </c>
      <c r="M487" s="431" t="s">
        <v>326</v>
      </c>
    </row>
    <row r="488" spans="1:13" x14ac:dyDescent="0.2">
      <c r="A488" s="431" t="s">
        <v>325</v>
      </c>
      <c r="B488" s="431">
        <v>1870437</v>
      </c>
      <c r="C488" s="431" t="s">
        <v>159</v>
      </c>
      <c r="D488" s="431" t="s">
        <v>173</v>
      </c>
      <c r="E488" s="431" t="s">
        <v>161</v>
      </c>
      <c r="F488" s="431" t="s">
        <v>179</v>
      </c>
      <c r="G488" s="431" t="s">
        <v>175</v>
      </c>
      <c r="H488" s="431"/>
      <c r="I488" s="431"/>
      <c r="J488" s="431"/>
      <c r="K488" s="431"/>
      <c r="L488" s="431" t="s">
        <v>176</v>
      </c>
      <c r="M488" s="431" t="s">
        <v>326</v>
      </c>
    </row>
    <row r="489" spans="1:13" x14ac:dyDescent="0.2">
      <c r="A489" s="431" t="s">
        <v>325</v>
      </c>
      <c r="B489" s="431">
        <v>1870437</v>
      </c>
      <c r="C489" s="431" t="s">
        <v>159</v>
      </c>
      <c r="D489" s="431" t="s">
        <v>173</v>
      </c>
      <c r="E489" s="431" t="s">
        <v>161</v>
      </c>
      <c r="F489" s="431" t="s">
        <v>179</v>
      </c>
      <c r="G489" s="431" t="s">
        <v>175</v>
      </c>
      <c r="H489" s="431"/>
      <c r="I489" s="431"/>
      <c r="J489" s="431"/>
      <c r="K489" s="431"/>
      <c r="L489" s="431" t="s">
        <v>176</v>
      </c>
      <c r="M489" s="431" t="s">
        <v>326</v>
      </c>
    </row>
    <row r="490" spans="1:13" x14ac:dyDescent="0.2">
      <c r="A490" s="431" t="s">
        <v>325</v>
      </c>
      <c r="B490" s="431">
        <v>1870437</v>
      </c>
      <c r="C490" s="431" t="s">
        <v>159</v>
      </c>
      <c r="D490" s="431" t="s">
        <v>173</v>
      </c>
      <c r="E490" s="431" t="s">
        <v>161</v>
      </c>
      <c r="F490" s="431" t="s">
        <v>179</v>
      </c>
      <c r="G490" s="431" t="s">
        <v>175</v>
      </c>
      <c r="H490" s="431"/>
      <c r="I490" s="431"/>
      <c r="J490" s="431"/>
      <c r="K490" s="431"/>
      <c r="L490" s="431" t="s">
        <v>176</v>
      </c>
      <c r="M490" s="431" t="s">
        <v>326</v>
      </c>
    </row>
    <row r="491" spans="1:13" x14ac:dyDescent="0.2">
      <c r="A491" s="431" t="s">
        <v>325</v>
      </c>
      <c r="B491" s="431">
        <v>1870437</v>
      </c>
      <c r="C491" s="431" t="s">
        <v>159</v>
      </c>
      <c r="D491" s="431" t="s">
        <v>173</v>
      </c>
      <c r="E491" s="431" t="s">
        <v>161</v>
      </c>
      <c r="F491" s="431" t="s">
        <v>179</v>
      </c>
      <c r="G491" s="431" t="s">
        <v>175</v>
      </c>
      <c r="H491" s="431"/>
      <c r="I491" s="431"/>
      <c r="J491" s="431"/>
      <c r="K491" s="431"/>
      <c r="L491" s="431" t="s">
        <v>176</v>
      </c>
      <c r="M491" s="431" t="s">
        <v>326</v>
      </c>
    </row>
    <row r="492" spans="1:13" x14ac:dyDescent="0.2">
      <c r="A492" s="431" t="s">
        <v>325</v>
      </c>
      <c r="B492" s="431">
        <v>1870437</v>
      </c>
      <c r="C492" s="431" t="s">
        <v>159</v>
      </c>
      <c r="D492" s="431" t="s">
        <v>173</v>
      </c>
      <c r="E492" s="431" t="s">
        <v>161</v>
      </c>
      <c r="F492" s="431" t="s">
        <v>179</v>
      </c>
      <c r="G492" s="431" t="s">
        <v>175</v>
      </c>
      <c r="H492" s="431"/>
      <c r="I492" s="431"/>
      <c r="J492" s="431"/>
      <c r="K492" s="431"/>
      <c r="L492" s="431" t="s">
        <v>176</v>
      </c>
      <c r="M492" s="431" t="s">
        <v>326</v>
      </c>
    </row>
    <row r="493" spans="1:13" x14ac:dyDescent="0.2">
      <c r="A493" s="431" t="s">
        <v>325</v>
      </c>
      <c r="B493" s="431">
        <v>1870437</v>
      </c>
      <c r="C493" s="431" t="s">
        <v>159</v>
      </c>
      <c r="D493" s="431" t="s">
        <v>173</v>
      </c>
      <c r="E493" s="431" t="s">
        <v>161</v>
      </c>
      <c r="F493" s="431" t="s">
        <v>179</v>
      </c>
      <c r="G493" s="431" t="s">
        <v>175</v>
      </c>
      <c r="H493" s="431"/>
      <c r="I493" s="431"/>
      <c r="J493" s="431"/>
      <c r="K493" s="431"/>
      <c r="L493" s="431" t="s">
        <v>176</v>
      </c>
      <c r="M493" s="431" t="s">
        <v>326</v>
      </c>
    </row>
    <row r="494" spans="1:13" x14ac:dyDescent="0.2">
      <c r="A494" s="431" t="s">
        <v>325</v>
      </c>
      <c r="B494" s="431">
        <v>1870437</v>
      </c>
      <c r="C494" s="431" t="s">
        <v>159</v>
      </c>
      <c r="D494" s="431" t="s">
        <v>173</v>
      </c>
      <c r="E494" s="431" t="s">
        <v>161</v>
      </c>
      <c r="F494" s="431" t="s">
        <v>179</v>
      </c>
      <c r="G494" s="431" t="s">
        <v>175</v>
      </c>
      <c r="H494" s="431"/>
      <c r="I494" s="431"/>
      <c r="J494" s="431"/>
      <c r="K494" s="431"/>
      <c r="L494" s="431" t="s">
        <v>176</v>
      </c>
      <c r="M494" s="431" t="s">
        <v>326</v>
      </c>
    </row>
    <row r="495" spans="1:13" x14ac:dyDescent="0.2">
      <c r="A495" s="431" t="s">
        <v>325</v>
      </c>
      <c r="B495" s="431">
        <v>1870437</v>
      </c>
      <c r="C495" s="431" t="s">
        <v>159</v>
      </c>
      <c r="D495" s="431" t="s">
        <v>173</v>
      </c>
      <c r="E495" s="431" t="s">
        <v>161</v>
      </c>
      <c r="F495" s="431" t="s">
        <v>179</v>
      </c>
      <c r="G495" s="431" t="s">
        <v>175</v>
      </c>
      <c r="H495" s="431"/>
      <c r="I495" s="431"/>
      <c r="J495" s="431"/>
      <c r="K495" s="431"/>
      <c r="L495" s="431" t="s">
        <v>176</v>
      </c>
      <c r="M495" s="431" t="s">
        <v>326</v>
      </c>
    </row>
    <row r="496" spans="1:13" x14ac:dyDescent="0.2">
      <c r="A496" s="431" t="s">
        <v>325</v>
      </c>
      <c r="B496" s="431">
        <v>1870437</v>
      </c>
      <c r="C496" s="431" t="s">
        <v>159</v>
      </c>
      <c r="D496" s="431" t="s">
        <v>173</v>
      </c>
      <c r="E496" s="431" t="s">
        <v>161</v>
      </c>
      <c r="F496" s="431" t="s">
        <v>179</v>
      </c>
      <c r="G496" s="431" t="s">
        <v>175</v>
      </c>
      <c r="H496" s="431"/>
      <c r="I496" s="431"/>
      <c r="J496" s="431"/>
      <c r="K496" s="431"/>
      <c r="L496" s="431" t="s">
        <v>176</v>
      </c>
      <c r="M496" s="431" t="s">
        <v>326</v>
      </c>
    </row>
    <row r="497" spans="1:13" x14ac:dyDescent="0.2">
      <c r="A497" s="431" t="s">
        <v>325</v>
      </c>
      <c r="B497" s="431">
        <v>1870437</v>
      </c>
      <c r="C497" s="431" t="s">
        <v>159</v>
      </c>
      <c r="D497" s="431" t="s">
        <v>173</v>
      </c>
      <c r="E497" s="431" t="s">
        <v>161</v>
      </c>
      <c r="F497" s="431" t="s">
        <v>179</v>
      </c>
      <c r="G497" s="431" t="s">
        <v>175</v>
      </c>
      <c r="H497" s="431"/>
      <c r="I497" s="431"/>
      <c r="J497" s="431"/>
      <c r="K497" s="431"/>
      <c r="L497" s="431" t="s">
        <v>176</v>
      </c>
      <c r="M497" s="431" t="s">
        <v>326</v>
      </c>
    </row>
    <row r="498" spans="1:13" x14ac:dyDescent="0.2">
      <c r="A498" s="431" t="s">
        <v>325</v>
      </c>
      <c r="B498" s="431">
        <v>1870437</v>
      </c>
      <c r="C498" s="431" t="s">
        <v>159</v>
      </c>
      <c r="D498" s="431" t="s">
        <v>173</v>
      </c>
      <c r="E498" s="431" t="s">
        <v>161</v>
      </c>
      <c r="F498" s="431" t="s">
        <v>179</v>
      </c>
      <c r="G498" s="431" t="s">
        <v>175</v>
      </c>
      <c r="H498" s="431"/>
      <c r="I498" s="431"/>
      <c r="J498" s="431"/>
      <c r="K498" s="431"/>
      <c r="L498" s="431" t="s">
        <v>176</v>
      </c>
      <c r="M498" s="431" t="s">
        <v>326</v>
      </c>
    </row>
    <row r="499" spans="1:13" x14ac:dyDescent="0.2">
      <c r="A499" s="431" t="s">
        <v>325</v>
      </c>
      <c r="B499" s="431">
        <v>1870437</v>
      </c>
      <c r="C499" s="431" t="s">
        <v>159</v>
      </c>
      <c r="D499" s="431" t="s">
        <v>173</v>
      </c>
      <c r="E499" s="431" t="s">
        <v>161</v>
      </c>
      <c r="F499" s="431" t="s">
        <v>179</v>
      </c>
      <c r="G499" s="431" t="s">
        <v>175</v>
      </c>
      <c r="H499" s="431"/>
      <c r="I499" s="431"/>
      <c r="J499" s="431"/>
      <c r="K499" s="431"/>
      <c r="L499" s="431" t="s">
        <v>176</v>
      </c>
      <c r="M499" s="431" t="s">
        <v>326</v>
      </c>
    </row>
    <row r="500" spans="1:13" x14ac:dyDescent="0.2">
      <c r="A500" s="431" t="s">
        <v>325</v>
      </c>
      <c r="B500" s="431">
        <v>1870437</v>
      </c>
      <c r="C500" s="431" t="s">
        <v>159</v>
      </c>
      <c r="D500" s="431" t="s">
        <v>173</v>
      </c>
      <c r="E500" s="431" t="s">
        <v>161</v>
      </c>
      <c r="F500" s="431" t="s">
        <v>179</v>
      </c>
      <c r="G500" s="431" t="s">
        <v>175</v>
      </c>
      <c r="H500" s="431"/>
      <c r="I500" s="431"/>
      <c r="J500" s="431"/>
      <c r="K500" s="431"/>
      <c r="L500" s="431" t="s">
        <v>176</v>
      </c>
      <c r="M500" s="431" t="s">
        <v>326</v>
      </c>
    </row>
    <row r="501" spans="1:13" x14ac:dyDescent="0.2">
      <c r="A501" s="431" t="s">
        <v>325</v>
      </c>
      <c r="B501" s="431">
        <v>1870437</v>
      </c>
      <c r="C501" s="431" t="s">
        <v>159</v>
      </c>
      <c r="D501" s="431" t="s">
        <v>173</v>
      </c>
      <c r="E501" s="431" t="s">
        <v>161</v>
      </c>
      <c r="F501" s="431" t="s">
        <v>179</v>
      </c>
      <c r="G501" s="431" t="s">
        <v>175</v>
      </c>
      <c r="H501" s="431"/>
      <c r="I501" s="431"/>
      <c r="J501" s="431"/>
      <c r="K501" s="431"/>
      <c r="L501" s="431" t="s">
        <v>176</v>
      </c>
      <c r="M501" s="431" t="s">
        <v>326</v>
      </c>
    </row>
    <row r="502" spans="1:13" x14ac:dyDescent="0.2">
      <c r="A502" s="431" t="s">
        <v>325</v>
      </c>
      <c r="B502" s="431">
        <v>1870437</v>
      </c>
      <c r="C502" s="431" t="s">
        <v>159</v>
      </c>
      <c r="D502" s="431" t="s">
        <v>173</v>
      </c>
      <c r="E502" s="431" t="s">
        <v>161</v>
      </c>
      <c r="F502" s="431" t="s">
        <v>179</v>
      </c>
      <c r="G502" s="431" t="s">
        <v>175</v>
      </c>
      <c r="H502" s="431"/>
      <c r="I502" s="431"/>
      <c r="J502" s="431"/>
      <c r="K502" s="431"/>
      <c r="L502" s="431" t="s">
        <v>176</v>
      </c>
      <c r="M502" s="431" t="s">
        <v>326</v>
      </c>
    </row>
    <row r="503" spans="1:13" x14ac:dyDescent="0.2">
      <c r="A503" s="431" t="s">
        <v>325</v>
      </c>
      <c r="B503" s="431">
        <v>1870437</v>
      </c>
      <c r="C503" s="431" t="s">
        <v>159</v>
      </c>
      <c r="D503" s="431" t="s">
        <v>173</v>
      </c>
      <c r="E503" s="431" t="s">
        <v>161</v>
      </c>
      <c r="F503" s="431" t="s">
        <v>179</v>
      </c>
      <c r="G503" s="431" t="s">
        <v>175</v>
      </c>
      <c r="H503" s="431"/>
      <c r="I503" s="431"/>
      <c r="J503" s="431"/>
      <c r="K503" s="431"/>
      <c r="L503" s="431" t="s">
        <v>176</v>
      </c>
      <c r="M503" s="431" t="s">
        <v>326</v>
      </c>
    </row>
    <row r="504" spans="1:13" x14ac:dyDescent="0.2">
      <c r="A504" s="431" t="s">
        <v>325</v>
      </c>
      <c r="B504" s="431">
        <v>1870437</v>
      </c>
      <c r="C504" s="431" t="s">
        <v>159</v>
      </c>
      <c r="D504" s="431" t="s">
        <v>173</v>
      </c>
      <c r="E504" s="431" t="s">
        <v>161</v>
      </c>
      <c r="F504" s="431" t="s">
        <v>179</v>
      </c>
      <c r="G504" s="431" t="s">
        <v>175</v>
      </c>
      <c r="H504" s="431"/>
      <c r="I504" s="431"/>
      <c r="J504" s="431"/>
      <c r="K504" s="431"/>
      <c r="L504" s="431" t="s">
        <v>176</v>
      </c>
      <c r="M504" s="431" t="s">
        <v>326</v>
      </c>
    </row>
    <row r="505" spans="1:13" x14ac:dyDescent="0.2">
      <c r="A505" s="431" t="s">
        <v>325</v>
      </c>
      <c r="B505" s="431">
        <v>1870437</v>
      </c>
      <c r="C505" s="431" t="s">
        <v>159</v>
      </c>
      <c r="D505" s="431" t="s">
        <v>173</v>
      </c>
      <c r="E505" s="431" t="s">
        <v>161</v>
      </c>
      <c r="F505" s="431" t="s">
        <v>179</v>
      </c>
      <c r="G505" s="431" t="s">
        <v>175</v>
      </c>
      <c r="H505" s="431"/>
      <c r="I505" s="431"/>
      <c r="J505" s="431"/>
      <c r="K505" s="431"/>
      <c r="L505" s="431" t="s">
        <v>176</v>
      </c>
      <c r="M505" s="431" t="s">
        <v>326</v>
      </c>
    </row>
    <row r="506" spans="1:13" x14ac:dyDescent="0.2">
      <c r="A506" s="431" t="s">
        <v>325</v>
      </c>
      <c r="B506" s="431">
        <v>1870437</v>
      </c>
      <c r="C506" s="431" t="s">
        <v>159</v>
      </c>
      <c r="D506" s="431" t="s">
        <v>173</v>
      </c>
      <c r="E506" s="431" t="s">
        <v>161</v>
      </c>
      <c r="F506" s="431" t="s">
        <v>179</v>
      </c>
      <c r="G506" s="431" t="s">
        <v>175</v>
      </c>
      <c r="H506" s="431"/>
      <c r="I506" s="431"/>
      <c r="J506" s="431"/>
      <c r="K506" s="431"/>
      <c r="L506" s="431" t="s">
        <v>176</v>
      </c>
      <c r="M506" s="431" t="s">
        <v>326</v>
      </c>
    </row>
    <row r="507" spans="1:13" x14ac:dyDescent="0.2">
      <c r="A507" s="431" t="s">
        <v>325</v>
      </c>
      <c r="B507" s="431">
        <v>1870437</v>
      </c>
      <c r="C507" s="431" t="s">
        <v>159</v>
      </c>
      <c r="D507" s="431" t="s">
        <v>173</v>
      </c>
      <c r="E507" s="431" t="s">
        <v>161</v>
      </c>
      <c r="F507" s="431" t="s">
        <v>179</v>
      </c>
      <c r="G507" s="431" t="s">
        <v>175</v>
      </c>
      <c r="H507" s="431"/>
      <c r="I507" s="431"/>
      <c r="J507" s="431"/>
      <c r="K507" s="431"/>
      <c r="L507" s="431" t="s">
        <v>176</v>
      </c>
      <c r="M507" s="431" t="s">
        <v>326</v>
      </c>
    </row>
    <row r="508" spans="1:13" x14ac:dyDescent="0.2">
      <c r="A508" s="431" t="s">
        <v>325</v>
      </c>
      <c r="B508" s="431">
        <v>1870437</v>
      </c>
      <c r="C508" s="431" t="s">
        <v>159</v>
      </c>
      <c r="D508" s="431" t="s">
        <v>173</v>
      </c>
      <c r="E508" s="431" t="s">
        <v>161</v>
      </c>
      <c r="F508" s="431" t="s">
        <v>179</v>
      </c>
      <c r="G508" s="431" t="s">
        <v>175</v>
      </c>
      <c r="H508" s="431"/>
      <c r="I508" s="431"/>
      <c r="J508" s="431"/>
      <c r="K508" s="431"/>
      <c r="L508" s="431" t="s">
        <v>176</v>
      </c>
      <c r="M508" s="431" t="s">
        <v>326</v>
      </c>
    </row>
    <row r="509" spans="1:13" x14ac:dyDescent="0.2">
      <c r="A509" s="431" t="s">
        <v>325</v>
      </c>
      <c r="B509" s="431">
        <v>1870437</v>
      </c>
      <c r="C509" s="431" t="s">
        <v>159</v>
      </c>
      <c r="D509" s="431" t="s">
        <v>173</v>
      </c>
      <c r="E509" s="431" t="s">
        <v>161</v>
      </c>
      <c r="F509" s="431" t="s">
        <v>179</v>
      </c>
      <c r="G509" s="431" t="s">
        <v>175</v>
      </c>
      <c r="H509" s="431"/>
      <c r="I509" s="431"/>
      <c r="J509" s="431"/>
      <c r="K509" s="431"/>
      <c r="L509" s="431" t="s">
        <v>176</v>
      </c>
      <c r="M509" s="431" t="s">
        <v>326</v>
      </c>
    </row>
    <row r="510" spans="1:13" x14ac:dyDescent="0.2">
      <c r="A510" s="431" t="s">
        <v>325</v>
      </c>
      <c r="B510" s="431">
        <v>1870437</v>
      </c>
      <c r="C510" s="431" t="s">
        <v>159</v>
      </c>
      <c r="D510" s="431" t="s">
        <v>173</v>
      </c>
      <c r="E510" s="431" t="s">
        <v>161</v>
      </c>
      <c r="F510" s="431" t="s">
        <v>179</v>
      </c>
      <c r="G510" s="431" t="s">
        <v>175</v>
      </c>
      <c r="H510" s="431"/>
      <c r="I510" s="431"/>
      <c r="J510" s="431"/>
      <c r="K510" s="431"/>
      <c r="L510" s="431" t="s">
        <v>176</v>
      </c>
      <c r="M510" s="431" t="s">
        <v>326</v>
      </c>
    </row>
    <row r="511" spans="1:13" x14ac:dyDescent="0.2">
      <c r="A511" s="431" t="s">
        <v>325</v>
      </c>
      <c r="B511" s="431">
        <v>1870437</v>
      </c>
      <c r="C511" s="431" t="s">
        <v>159</v>
      </c>
      <c r="D511" s="431" t="s">
        <v>173</v>
      </c>
      <c r="E511" s="431" t="s">
        <v>161</v>
      </c>
      <c r="F511" s="431" t="s">
        <v>179</v>
      </c>
      <c r="G511" s="431" t="s">
        <v>175</v>
      </c>
      <c r="H511" s="431"/>
      <c r="I511" s="431"/>
      <c r="J511" s="431"/>
      <c r="K511" s="431"/>
      <c r="L511" s="431" t="s">
        <v>176</v>
      </c>
      <c r="M511" s="431" t="s">
        <v>326</v>
      </c>
    </row>
    <row r="512" spans="1:13" x14ac:dyDescent="0.2">
      <c r="A512" s="431" t="s">
        <v>325</v>
      </c>
      <c r="B512" s="431">
        <v>1870437</v>
      </c>
      <c r="C512" s="431" t="s">
        <v>159</v>
      </c>
      <c r="D512" s="431" t="s">
        <v>173</v>
      </c>
      <c r="E512" s="431" t="s">
        <v>161</v>
      </c>
      <c r="F512" s="431" t="s">
        <v>179</v>
      </c>
      <c r="G512" s="431" t="s">
        <v>175</v>
      </c>
      <c r="H512" s="431"/>
      <c r="I512" s="431"/>
      <c r="J512" s="431"/>
      <c r="K512" s="431"/>
      <c r="L512" s="431" t="s">
        <v>176</v>
      </c>
      <c r="M512" s="431" t="s">
        <v>326</v>
      </c>
    </row>
    <row r="513" spans="1:13" x14ac:dyDescent="0.2">
      <c r="A513" s="431" t="s">
        <v>325</v>
      </c>
      <c r="B513" s="431">
        <v>1870437</v>
      </c>
      <c r="C513" s="431" t="s">
        <v>159</v>
      </c>
      <c r="D513" s="431" t="s">
        <v>173</v>
      </c>
      <c r="E513" s="431" t="s">
        <v>161</v>
      </c>
      <c r="F513" s="431" t="s">
        <v>179</v>
      </c>
      <c r="G513" s="431" t="s">
        <v>175</v>
      </c>
      <c r="H513" s="431"/>
      <c r="I513" s="431"/>
      <c r="J513" s="431"/>
      <c r="K513" s="431"/>
      <c r="L513" s="431" t="s">
        <v>176</v>
      </c>
      <c r="M513" s="431" t="s">
        <v>326</v>
      </c>
    </row>
    <row r="514" spans="1:13" x14ac:dyDescent="0.2">
      <c r="A514" s="431" t="s">
        <v>325</v>
      </c>
      <c r="B514" s="431">
        <v>1870437</v>
      </c>
      <c r="C514" s="431" t="s">
        <v>159</v>
      </c>
      <c r="D514" s="431" t="s">
        <v>173</v>
      </c>
      <c r="E514" s="431" t="s">
        <v>161</v>
      </c>
      <c r="F514" s="431" t="s">
        <v>179</v>
      </c>
      <c r="G514" s="431" t="s">
        <v>175</v>
      </c>
      <c r="H514" s="431"/>
      <c r="I514" s="431"/>
      <c r="J514" s="431"/>
      <c r="K514" s="431"/>
      <c r="L514" s="431" t="s">
        <v>176</v>
      </c>
      <c r="M514" s="431" t="s">
        <v>326</v>
      </c>
    </row>
    <row r="515" spans="1:13" x14ac:dyDescent="0.2">
      <c r="A515" s="431" t="s">
        <v>325</v>
      </c>
      <c r="B515" s="431">
        <v>1870437</v>
      </c>
      <c r="C515" s="431" t="s">
        <v>159</v>
      </c>
      <c r="D515" s="431" t="s">
        <v>173</v>
      </c>
      <c r="E515" s="431" t="s">
        <v>161</v>
      </c>
      <c r="F515" s="431" t="s">
        <v>179</v>
      </c>
      <c r="G515" s="431" t="s">
        <v>175</v>
      </c>
      <c r="H515" s="431"/>
      <c r="I515" s="431"/>
      <c r="J515" s="431"/>
      <c r="K515" s="431"/>
      <c r="L515" s="431" t="s">
        <v>176</v>
      </c>
      <c r="M515" s="431" t="s">
        <v>326</v>
      </c>
    </row>
    <row r="516" spans="1:13" x14ac:dyDescent="0.2">
      <c r="A516" s="431" t="s">
        <v>325</v>
      </c>
      <c r="B516" s="431">
        <v>1870437</v>
      </c>
      <c r="C516" s="431" t="s">
        <v>159</v>
      </c>
      <c r="D516" s="431" t="s">
        <v>173</v>
      </c>
      <c r="E516" s="431" t="s">
        <v>161</v>
      </c>
      <c r="F516" s="431" t="s">
        <v>179</v>
      </c>
      <c r="G516" s="431" t="s">
        <v>175</v>
      </c>
      <c r="H516" s="431"/>
      <c r="I516" s="431"/>
      <c r="J516" s="431"/>
      <c r="K516" s="431"/>
      <c r="L516" s="431" t="s">
        <v>176</v>
      </c>
      <c r="M516" s="431" t="s">
        <v>326</v>
      </c>
    </row>
    <row r="517" spans="1:13" x14ac:dyDescent="0.2">
      <c r="A517" s="431" t="s">
        <v>325</v>
      </c>
      <c r="B517" s="431">
        <v>1870437</v>
      </c>
      <c r="C517" s="431" t="s">
        <v>159</v>
      </c>
      <c r="D517" s="431" t="s">
        <v>173</v>
      </c>
      <c r="E517" s="431" t="s">
        <v>161</v>
      </c>
      <c r="F517" s="431" t="s">
        <v>179</v>
      </c>
      <c r="G517" s="431" t="s">
        <v>175</v>
      </c>
      <c r="H517" s="431"/>
      <c r="I517" s="431"/>
      <c r="J517" s="431"/>
      <c r="K517" s="431"/>
      <c r="L517" s="431" t="s">
        <v>176</v>
      </c>
      <c r="M517" s="431" t="s">
        <v>326</v>
      </c>
    </row>
    <row r="518" spans="1:13" x14ac:dyDescent="0.2">
      <c r="A518" s="431" t="s">
        <v>325</v>
      </c>
      <c r="B518" s="431">
        <v>1870437</v>
      </c>
      <c r="C518" s="431" t="s">
        <v>159</v>
      </c>
      <c r="D518" s="431" t="s">
        <v>173</v>
      </c>
      <c r="E518" s="431" t="s">
        <v>161</v>
      </c>
      <c r="F518" s="431" t="s">
        <v>179</v>
      </c>
      <c r="G518" s="431" t="s">
        <v>175</v>
      </c>
      <c r="H518" s="431"/>
      <c r="I518" s="431"/>
      <c r="J518" s="431"/>
      <c r="K518" s="431"/>
      <c r="L518" s="431" t="s">
        <v>176</v>
      </c>
      <c r="M518" s="431" t="s">
        <v>326</v>
      </c>
    </row>
    <row r="519" spans="1:13" x14ac:dyDescent="0.2">
      <c r="A519" s="431" t="s">
        <v>325</v>
      </c>
      <c r="B519" s="431">
        <v>1870437</v>
      </c>
      <c r="C519" s="431" t="s">
        <v>159</v>
      </c>
      <c r="D519" s="431" t="s">
        <v>173</v>
      </c>
      <c r="E519" s="431" t="s">
        <v>161</v>
      </c>
      <c r="F519" s="431" t="s">
        <v>179</v>
      </c>
      <c r="G519" s="431" t="s">
        <v>175</v>
      </c>
      <c r="H519" s="431"/>
      <c r="I519" s="431"/>
      <c r="J519" s="431"/>
      <c r="K519" s="431"/>
      <c r="L519" s="431" t="s">
        <v>176</v>
      </c>
      <c r="M519" s="431" t="s">
        <v>326</v>
      </c>
    </row>
    <row r="520" spans="1:13" x14ac:dyDescent="0.2">
      <c r="A520" s="431" t="s">
        <v>325</v>
      </c>
      <c r="B520" s="431">
        <v>1870437</v>
      </c>
      <c r="C520" s="431" t="s">
        <v>159</v>
      </c>
      <c r="D520" s="431" t="s">
        <v>173</v>
      </c>
      <c r="E520" s="431" t="s">
        <v>161</v>
      </c>
      <c r="F520" s="431" t="s">
        <v>179</v>
      </c>
      <c r="G520" s="431" t="s">
        <v>175</v>
      </c>
      <c r="H520" s="431"/>
      <c r="I520" s="431"/>
      <c r="J520" s="431"/>
      <c r="K520" s="431"/>
      <c r="L520" s="431" t="s">
        <v>176</v>
      </c>
      <c r="M520" s="431" t="s">
        <v>326</v>
      </c>
    </row>
    <row r="521" spans="1:13" x14ac:dyDescent="0.2">
      <c r="A521" s="431" t="s">
        <v>325</v>
      </c>
      <c r="B521" s="431">
        <v>1870437</v>
      </c>
      <c r="C521" s="431" t="s">
        <v>159</v>
      </c>
      <c r="D521" s="431" t="s">
        <v>173</v>
      </c>
      <c r="E521" s="431" t="s">
        <v>161</v>
      </c>
      <c r="F521" s="431" t="s">
        <v>179</v>
      </c>
      <c r="G521" s="431" t="s">
        <v>175</v>
      </c>
      <c r="H521" s="431"/>
      <c r="I521" s="431"/>
      <c r="J521" s="431"/>
      <c r="K521" s="431"/>
      <c r="L521" s="431" t="s">
        <v>176</v>
      </c>
      <c r="M521" s="431" t="s">
        <v>326</v>
      </c>
    </row>
    <row r="522" spans="1:13" x14ac:dyDescent="0.2">
      <c r="A522" s="431" t="s">
        <v>325</v>
      </c>
      <c r="B522" s="431">
        <v>1870437</v>
      </c>
      <c r="C522" s="431" t="s">
        <v>159</v>
      </c>
      <c r="D522" s="431" t="s">
        <v>173</v>
      </c>
      <c r="E522" s="431" t="s">
        <v>161</v>
      </c>
      <c r="F522" s="431" t="s">
        <v>179</v>
      </c>
      <c r="G522" s="431" t="s">
        <v>175</v>
      </c>
      <c r="H522" s="431"/>
      <c r="I522" s="431"/>
      <c r="J522" s="431"/>
      <c r="K522" s="431"/>
      <c r="L522" s="431" t="s">
        <v>176</v>
      </c>
      <c r="M522" s="431" t="s">
        <v>326</v>
      </c>
    </row>
    <row r="523" spans="1:13" x14ac:dyDescent="0.2">
      <c r="A523" s="431" t="s">
        <v>325</v>
      </c>
      <c r="B523" s="431">
        <v>1870437</v>
      </c>
      <c r="C523" s="431" t="s">
        <v>159</v>
      </c>
      <c r="D523" s="431" t="s">
        <v>173</v>
      </c>
      <c r="E523" s="431" t="s">
        <v>161</v>
      </c>
      <c r="F523" s="431" t="s">
        <v>179</v>
      </c>
      <c r="G523" s="431" t="s">
        <v>175</v>
      </c>
      <c r="H523" s="431"/>
      <c r="I523" s="431"/>
      <c r="J523" s="431"/>
      <c r="K523" s="431"/>
      <c r="L523" s="431" t="s">
        <v>176</v>
      </c>
      <c r="M523" s="431" t="s">
        <v>326</v>
      </c>
    </row>
    <row r="524" spans="1:13" x14ac:dyDescent="0.2">
      <c r="A524" s="431" t="s">
        <v>325</v>
      </c>
      <c r="B524" s="431">
        <v>1870437</v>
      </c>
      <c r="C524" s="431" t="s">
        <v>159</v>
      </c>
      <c r="D524" s="431" t="s">
        <v>173</v>
      </c>
      <c r="E524" s="431" t="s">
        <v>161</v>
      </c>
      <c r="F524" s="431" t="s">
        <v>179</v>
      </c>
      <c r="G524" s="431" t="s">
        <v>175</v>
      </c>
      <c r="H524" s="431"/>
      <c r="I524" s="431"/>
      <c r="J524" s="431"/>
      <c r="K524" s="431"/>
      <c r="L524" s="431" t="s">
        <v>176</v>
      </c>
      <c r="M524" s="431" t="s">
        <v>326</v>
      </c>
    </row>
    <row r="525" spans="1:13" x14ac:dyDescent="0.2">
      <c r="A525" s="431" t="s">
        <v>325</v>
      </c>
      <c r="B525" s="431">
        <v>1870437</v>
      </c>
      <c r="C525" s="431" t="s">
        <v>159</v>
      </c>
      <c r="D525" s="431" t="s">
        <v>173</v>
      </c>
      <c r="E525" s="431" t="s">
        <v>161</v>
      </c>
      <c r="F525" s="431" t="s">
        <v>179</v>
      </c>
      <c r="G525" s="431" t="s">
        <v>175</v>
      </c>
      <c r="H525" s="431"/>
      <c r="I525" s="431"/>
      <c r="J525" s="431"/>
      <c r="K525" s="431"/>
      <c r="L525" s="431" t="s">
        <v>176</v>
      </c>
      <c r="M525" s="431" t="s">
        <v>326</v>
      </c>
    </row>
    <row r="526" spans="1:13" x14ac:dyDescent="0.2">
      <c r="A526" s="431" t="s">
        <v>325</v>
      </c>
      <c r="B526" s="431">
        <v>1870437</v>
      </c>
      <c r="C526" s="431" t="s">
        <v>159</v>
      </c>
      <c r="D526" s="431" t="s">
        <v>173</v>
      </c>
      <c r="E526" s="431" t="s">
        <v>161</v>
      </c>
      <c r="F526" s="431" t="s">
        <v>179</v>
      </c>
      <c r="G526" s="431" t="s">
        <v>175</v>
      </c>
      <c r="H526" s="431"/>
      <c r="I526" s="431"/>
      <c r="J526" s="431"/>
      <c r="K526" s="431"/>
      <c r="L526" s="431" t="s">
        <v>176</v>
      </c>
      <c r="M526" s="431" t="s">
        <v>326</v>
      </c>
    </row>
    <row r="527" spans="1:13" x14ac:dyDescent="0.2">
      <c r="A527" s="431" t="s">
        <v>325</v>
      </c>
      <c r="B527" s="431">
        <v>1870437</v>
      </c>
      <c r="C527" s="431" t="s">
        <v>159</v>
      </c>
      <c r="D527" s="431" t="s">
        <v>173</v>
      </c>
      <c r="E527" s="431" t="s">
        <v>161</v>
      </c>
      <c r="F527" s="431" t="s">
        <v>179</v>
      </c>
      <c r="G527" s="431" t="s">
        <v>175</v>
      </c>
      <c r="H527" s="431"/>
      <c r="I527" s="431"/>
      <c r="J527" s="431"/>
      <c r="K527" s="431"/>
      <c r="L527" s="431" t="s">
        <v>176</v>
      </c>
      <c r="M527" s="431" t="s">
        <v>326</v>
      </c>
    </row>
    <row r="528" spans="1:13" x14ac:dyDescent="0.2">
      <c r="A528" s="431" t="s">
        <v>325</v>
      </c>
      <c r="B528" s="431">
        <v>1870437</v>
      </c>
      <c r="C528" s="431" t="s">
        <v>159</v>
      </c>
      <c r="D528" s="431" t="s">
        <v>173</v>
      </c>
      <c r="E528" s="431" t="s">
        <v>161</v>
      </c>
      <c r="F528" s="431" t="s">
        <v>179</v>
      </c>
      <c r="G528" s="431" t="s">
        <v>175</v>
      </c>
      <c r="H528" s="431"/>
      <c r="I528" s="431"/>
      <c r="J528" s="431"/>
      <c r="K528" s="431"/>
      <c r="L528" s="431" t="s">
        <v>176</v>
      </c>
      <c r="M528" s="431" t="s">
        <v>326</v>
      </c>
    </row>
    <row r="529" spans="1:13" x14ac:dyDescent="0.2">
      <c r="A529" s="431" t="s">
        <v>325</v>
      </c>
      <c r="B529" s="431">
        <v>1870437</v>
      </c>
      <c r="C529" s="431" t="s">
        <v>159</v>
      </c>
      <c r="D529" s="431" t="s">
        <v>173</v>
      </c>
      <c r="E529" s="431" t="s">
        <v>161</v>
      </c>
      <c r="F529" s="431" t="s">
        <v>179</v>
      </c>
      <c r="G529" s="431" t="s">
        <v>175</v>
      </c>
      <c r="H529" s="431"/>
      <c r="I529" s="431"/>
      <c r="J529" s="431"/>
      <c r="K529" s="431"/>
      <c r="L529" s="431" t="s">
        <v>176</v>
      </c>
      <c r="M529" s="431" t="s">
        <v>326</v>
      </c>
    </row>
    <row r="530" spans="1:13" x14ac:dyDescent="0.2">
      <c r="A530" s="431" t="s">
        <v>325</v>
      </c>
      <c r="B530" s="431">
        <v>1870437</v>
      </c>
      <c r="C530" s="431" t="s">
        <v>159</v>
      </c>
      <c r="D530" s="431" t="s">
        <v>173</v>
      </c>
      <c r="E530" s="431" t="s">
        <v>161</v>
      </c>
      <c r="F530" s="431" t="s">
        <v>179</v>
      </c>
      <c r="G530" s="431" t="s">
        <v>175</v>
      </c>
      <c r="H530" s="431"/>
      <c r="I530" s="431"/>
      <c r="J530" s="431"/>
      <c r="K530" s="431"/>
      <c r="L530" s="431" t="s">
        <v>176</v>
      </c>
      <c r="M530" s="431" t="s">
        <v>326</v>
      </c>
    </row>
    <row r="531" spans="1:13" x14ac:dyDescent="0.2">
      <c r="A531" s="431" t="s">
        <v>325</v>
      </c>
      <c r="B531" s="431">
        <v>1870437</v>
      </c>
      <c r="C531" s="431" t="s">
        <v>159</v>
      </c>
      <c r="D531" s="431" t="s">
        <v>173</v>
      </c>
      <c r="E531" s="431" t="s">
        <v>161</v>
      </c>
      <c r="F531" s="431" t="s">
        <v>179</v>
      </c>
      <c r="G531" s="431" t="s">
        <v>175</v>
      </c>
      <c r="H531" s="431"/>
      <c r="I531" s="431"/>
      <c r="J531" s="431"/>
      <c r="K531" s="431"/>
      <c r="L531" s="431" t="s">
        <v>176</v>
      </c>
      <c r="M531" s="431" t="s">
        <v>326</v>
      </c>
    </row>
    <row r="532" spans="1:13" x14ac:dyDescent="0.2">
      <c r="A532" s="431" t="s">
        <v>325</v>
      </c>
      <c r="B532" s="431">
        <v>1870437</v>
      </c>
      <c r="C532" s="431" t="s">
        <v>159</v>
      </c>
      <c r="D532" s="431" t="s">
        <v>173</v>
      </c>
      <c r="E532" s="431" t="s">
        <v>161</v>
      </c>
      <c r="F532" s="431" t="s">
        <v>179</v>
      </c>
      <c r="G532" s="431" t="s">
        <v>175</v>
      </c>
      <c r="H532" s="431"/>
      <c r="I532" s="431"/>
      <c r="J532" s="431"/>
      <c r="K532" s="431"/>
      <c r="L532" s="431" t="s">
        <v>176</v>
      </c>
      <c r="M532" s="431" t="s">
        <v>326</v>
      </c>
    </row>
    <row r="533" spans="1:13" x14ac:dyDescent="0.2">
      <c r="A533" s="431" t="s">
        <v>325</v>
      </c>
      <c r="B533" s="431">
        <v>1870437</v>
      </c>
      <c r="C533" s="431" t="s">
        <v>159</v>
      </c>
      <c r="D533" s="431" t="s">
        <v>173</v>
      </c>
      <c r="E533" s="431" t="s">
        <v>161</v>
      </c>
      <c r="F533" s="431" t="s">
        <v>179</v>
      </c>
      <c r="G533" s="431" t="s">
        <v>175</v>
      </c>
      <c r="H533" s="431"/>
      <c r="I533" s="431"/>
      <c r="J533" s="431"/>
      <c r="K533" s="431"/>
      <c r="L533" s="431" t="s">
        <v>176</v>
      </c>
      <c r="M533" s="431" t="s">
        <v>326</v>
      </c>
    </row>
    <row r="534" spans="1:13" x14ac:dyDescent="0.2">
      <c r="A534" s="431" t="s">
        <v>327</v>
      </c>
      <c r="B534" s="431">
        <v>1870440</v>
      </c>
      <c r="C534" s="431" t="s">
        <v>159</v>
      </c>
      <c r="D534" s="431" t="s">
        <v>173</v>
      </c>
      <c r="E534" s="431" t="s">
        <v>161</v>
      </c>
      <c r="F534" s="431" t="s">
        <v>328</v>
      </c>
      <c r="G534" s="431" t="s">
        <v>175</v>
      </c>
      <c r="H534" s="431"/>
      <c r="I534" s="431"/>
      <c r="J534" s="431"/>
      <c r="K534" s="431"/>
      <c r="L534" s="431" t="s">
        <v>241</v>
      </c>
      <c r="M534" s="431" t="s">
        <v>329</v>
      </c>
    </row>
    <row r="535" spans="1:13" x14ac:dyDescent="0.2">
      <c r="A535" s="431" t="s">
        <v>327</v>
      </c>
      <c r="B535" s="431">
        <v>1870440</v>
      </c>
      <c r="C535" s="431" t="s">
        <v>159</v>
      </c>
      <c r="D535" s="431" t="s">
        <v>173</v>
      </c>
      <c r="E535" s="431" t="s">
        <v>161</v>
      </c>
      <c r="F535" s="431" t="s">
        <v>328</v>
      </c>
      <c r="G535" s="431" t="s">
        <v>175</v>
      </c>
      <c r="H535" s="431"/>
      <c r="I535" s="431"/>
      <c r="J535" s="431"/>
      <c r="K535" s="431"/>
      <c r="L535" s="431" t="s">
        <v>241</v>
      </c>
      <c r="M535" s="431" t="s">
        <v>329</v>
      </c>
    </row>
    <row r="536" spans="1:13" x14ac:dyDescent="0.2">
      <c r="A536" s="431" t="s">
        <v>327</v>
      </c>
      <c r="B536" s="431">
        <v>1870440</v>
      </c>
      <c r="C536" s="431" t="s">
        <v>159</v>
      </c>
      <c r="D536" s="431" t="s">
        <v>173</v>
      </c>
      <c r="E536" s="431" t="s">
        <v>161</v>
      </c>
      <c r="F536" s="431" t="s">
        <v>328</v>
      </c>
      <c r="G536" s="431" t="s">
        <v>175</v>
      </c>
      <c r="H536" s="431"/>
      <c r="I536" s="431"/>
      <c r="J536" s="431"/>
      <c r="K536" s="431"/>
      <c r="L536" s="431" t="s">
        <v>241</v>
      </c>
      <c r="M536" s="431" t="s">
        <v>329</v>
      </c>
    </row>
    <row r="537" spans="1:13" x14ac:dyDescent="0.2">
      <c r="A537" s="431" t="s">
        <v>327</v>
      </c>
      <c r="B537" s="431">
        <v>1870440</v>
      </c>
      <c r="C537" s="431" t="s">
        <v>159</v>
      </c>
      <c r="D537" s="431" t="s">
        <v>173</v>
      </c>
      <c r="E537" s="431" t="s">
        <v>161</v>
      </c>
      <c r="F537" s="431" t="s">
        <v>328</v>
      </c>
      <c r="G537" s="431" t="s">
        <v>175</v>
      </c>
      <c r="H537" s="431"/>
      <c r="I537" s="431"/>
      <c r="J537" s="431"/>
      <c r="K537" s="431"/>
      <c r="L537" s="431" t="s">
        <v>241</v>
      </c>
      <c r="M537" s="431" t="s">
        <v>329</v>
      </c>
    </row>
    <row r="538" spans="1:13" x14ac:dyDescent="0.2">
      <c r="A538" s="431" t="s">
        <v>327</v>
      </c>
      <c r="B538" s="431">
        <v>1870440</v>
      </c>
      <c r="C538" s="431" t="s">
        <v>159</v>
      </c>
      <c r="D538" s="431" t="s">
        <v>173</v>
      </c>
      <c r="E538" s="431" t="s">
        <v>161</v>
      </c>
      <c r="F538" s="431" t="s">
        <v>328</v>
      </c>
      <c r="G538" s="431" t="s">
        <v>175</v>
      </c>
      <c r="H538" s="431"/>
      <c r="I538" s="431"/>
      <c r="J538" s="431"/>
      <c r="K538" s="431"/>
      <c r="L538" s="431" t="s">
        <v>241</v>
      </c>
      <c r="M538" s="431" t="s">
        <v>329</v>
      </c>
    </row>
    <row r="539" spans="1:13" x14ac:dyDescent="0.2">
      <c r="A539" s="431" t="s">
        <v>327</v>
      </c>
      <c r="B539" s="431">
        <v>1870440</v>
      </c>
      <c r="C539" s="431" t="s">
        <v>159</v>
      </c>
      <c r="D539" s="431" t="s">
        <v>173</v>
      </c>
      <c r="E539" s="431" t="s">
        <v>161</v>
      </c>
      <c r="F539" s="431" t="s">
        <v>328</v>
      </c>
      <c r="G539" s="431" t="s">
        <v>175</v>
      </c>
      <c r="H539" s="431"/>
      <c r="I539" s="431"/>
      <c r="J539" s="431"/>
      <c r="K539" s="431"/>
      <c r="L539" s="431" t="s">
        <v>241</v>
      </c>
      <c r="M539" s="431" t="s">
        <v>329</v>
      </c>
    </row>
    <row r="540" spans="1:13" x14ac:dyDescent="0.2">
      <c r="A540" s="431" t="s">
        <v>327</v>
      </c>
      <c r="B540" s="431">
        <v>1870440</v>
      </c>
      <c r="C540" s="431" t="s">
        <v>159</v>
      </c>
      <c r="D540" s="431" t="s">
        <v>173</v>
      </c>
      <c r="E540" s="431" t="s">
        <v>161</v>
      </c>
      <c r="F540" s="431" t="s">
        <v>328</v>
      </c>
      <c r="G540" s="431" t="s">
        <v>175</v>
      </c>
      <c r="H540" s="431"/>
      <c r="I540" s="431"/>
      <c r="J540" s="431"/>
      <c r="K540" s="431"/>
      <c r="L540" s="431" t="s">
        <v>241</v>
      </c>
      <c r="M540" s="431" t="s">
        <v>329</v>
      </c>
    </row>
    <row r="541" spans="1:13" x14ac:dyDescent="0.2">
      <c r="A541" s="431" t="s">
        <v>327</v>
      </c>
      <c r="B541" s="431">
        <v>1870440</v>
      </c>
      <c r="C541" s="431" t="s">
        <v>159</v>
      </c>
      <c r="D541" s="431" t="s">
        <v>173</v>
      </c>
      <c r="E541" s="431" t="s">
        <v>161</v>
      </c>
      <c r="F541" s="431" t="s">
        <v>328</v>
      </c>
      <c r="G541" s="431" t="s">
        <v>175</v>
      </c>
      <c r="H541" s="431"/>
      <c r="I541" s="431"/>
      <c r="J541" s="431"/>
      <c r="K541" s="431"/>
      <c r="L541" s="431" t="s">
        <v>241</v>
      </c>
      <c r="M541" s="431" t="s">
        <v>329</v>
      </c>
    </row>
    <row r="542" spans="1:13" x14ac:dyDescent="0.2">
      <c r="A542" s="431" t="s">
        <v>327</v>
      </c>
      <c r="B542" s="431">
        <v>1870440</v>
      </c>
      <c r="C542" s="431" t="s">
        <v>159</v>
      </c>
      <c r="D542" s="431" t="s">
        <v>173</v>
      </c>
      <c r="E542" s="431" t="s">
        <v>161</v>
      </c>
      <c r="F542" s="431" t="s">
        <v>328</v>
      </c>
      <c r="G542" s="431" t="s">
        <v>175</v>
      </c>
      <c r="H542" s="431"/>
      <c r="I542" s="431"/>
      <c r="J542" s="431"/>
      <c r="K542" s="431"/>
      <c r="L542" s="431" t="s">
        <v>241</v>
      </c>
      <c r="M542" s="431" t="s">
        <v>329</v>
      </c>
    </row>
    <row r="543" spans="1:13" x14ac:dyDescent="0.2">
      <c r="A543" s="431" t="s">
        <v>327</v>
      </c>
      <c r="B543" s="431">
        <v>1870440</v>
      </c>
      <c r="C543" s="431" t="s">
        <v>159</v>
      </c>
      <c r="D543" s="431" t="s">
        <v>173</v>
      </c>
      <c r="E543" s="431" t="s">
        <v>161</v>
      </c>
      <c r="F543" s="431" t="s">
        <v>328</v>
      </c>
      <c r="G543" s="431" t="s">
        <v>175</v>
      </c>
      <c r="H543" s="431"/>
      <c r="I543" s="431"/>
      <c r="J543" s="431"/>
      <c r="K543" s="431"/>
      <c r="L543" s="431" t="s">
        <v>241</v>
      </c>
      <c r="M543" s="431" t="s">
        <v>329</v>
      </c>
    </row>
    <row r="544" spans="1:13" x14ac:dyDescent="0.2">
      <c r="A544" s="431" t="s">
        <v>330</v>
      </c>
      <c r="B544" s="431">
        <v>1870441</v>
      </c>
      <c r="C544" s="431" t="s">
        <v>159</v>
      </c>
      <c r="D544" s="431" t="s">
        <v>173</v>
      </c>
      <c r="E544" s="431" t="s">
        <v>161</v>
      </c>
      <c r="F544" s="431" t="s">
        <v>331</v>
      </c>
      <c r="G544" s="431" t="s">
        <v>175</v>
      </c>
      <c r="H544" s="431"/>
      <c r="I544" s="431"/>
      <c r="J544" s="431"/>
      <c r="K544" s="431"/>
      <c r="L544" s="431" t="s">
        <v>241</v>
      </c>
      <c r="M544" s="431" t="s">
        <v>332</v>
      </c>
    </row>
    <row r="545" spans="1:13" x14ac:dyDescent="0.2">
      <c r="A545" s="431" t="s">
        <v>330</v>
      </c>
      <c r="B545" s="431">
        <v>1870441</v>
      </c>
      <c r="C545" s="431" t="s">
        <v>159</v>
      </c>
      <c r="D545" s="431" t="s">
        <v>173</v>
      </c>
      <c r="E545" s="431" t="s">
        <v>161</v>
      </c>
      <c r="F545" s="431" t="s">
        <v>331</v>
      </c>
      <c r="G545" s="431" t="s">
        <v>175</v>
      </c>
      <c r="H545" s="431"/>
      <c r="I545" s="431"/>
      <c r="J545" s="431"/>
      <c r="K545" s="431"/>
      <c r="L545" s="431" t="s">
        <v>241</v>
      </c>
      <c r="M545" s="431" t="s">
        <v>332</v>
      </c>
    </row>
    <row r="546" spans="1:13" x14ac:dyDescent="0.2">
      <c r="A546" s="431" t="s">
        <v>330</v>
      </c>
      <c r="B546" s="431">
        <v>1870441</v>
      </c>
      <c r="C546" s="431" t="s">
        <v>159</v>
      </c>
      <c r="D546" s="431" t="s">
        <v>173</v>
      </c>
      <c r="E546" s="431" t="s">
        <v>161</v>
      </c>
      <c r="F546" s="431" t="s">
        <v>333</v>
      </c>
      <c r="G546" s="431" t="s">
        <v>175</v>
      </c>
      <c r="H546" s="431"/>
      <c r="I546" s="431"/>
      <c r="J546" s="431"/>
      <c r="K546" s="431"/>
      <c r="L546" s="431" t="s">
        <v>241</v>
      </c>
      <c r="M546" s="431" t="s">
        <v>332</v>
      </c>
    </row>
    <row r="547" spans="1:13" x14ac:dyDescent="0.2">
      <c r="A547" s="431" t="s">
        <v>330</v>
      </c>
      <c r="B547" s="431">
        <v>1870441</v>
      </c>
      <c r="C547" s="431" t="s">
        <v>159</v>
      </c>
      <c r="D547" s="431" t="s">
        <v>173</v>
      </c>
      <c r="E547" s="431" t="s">
        <v>161</v>
      </c>
      <c r="F547" s="431" t="s">
        <v>333</v>
      </c>
      <c r="G547" s="431" t="s">
        <v>175</v>
      </c>
      <c r="H547" s="431"/>
      <c r="I547" s="431"/>
      <c r="J547" s="431"/>
      <c r="K547" s="431"/>
      <c r="L547" s="431" t="s">
        <v>241</v>
      </c>
      <c r="M547" s="431" t="s">
        <v>332</v>
      </c>
    </row>
    <row r="548" spans="1:13" x14ac:dyDescent="0.2">
      <c r="A548" s="431" t="s">
        <v>330</v>
      </c>
      <c r="B548" s="431">
        <v>1870441</v>
      </c>
      <c r="C548" s="431" t="s">
        <v>159</v>
      </c>
      <c r="D548" s="431" t="s">
        <v>173</v>
      </c>
      <c r="E548" s="431" t="s">
        <v>161</v>
      </c>
      <c r="F548" s="431" t="s">
        <v>334</v>
      </c>
      <c r="G548" s="431" t="s">
        <v>175</v>
      </c>
      <c r="H548" s="431"/>
      <c r="I548" s="431"/>
      <c r="J548" s="431"/>
      <c r="K548" s="431"/>
      <c r="L548" s="431" t="s">
        <v>241</v>
      </c>
      <c r="M548" s="431" t="s">
        <v>332</v>
      </c>
    </row>
    <row r="549" spans="1:13" x14ac:dyDescent="0.2">
      <c r="A549" s="431" t="s">
        <v>330</v>
      </c>
      <c r="B549" s="431">
        <v>1870441</v>
      </c>
      <c r="C549" s="431" t="s">
        <v>159</v>
      </c>
      <c r="D549" s="431" t="s">
        <v>173</v>
      </c>
      <c r="E549" s="431" t="s">
        <v>161</v>
      </c>
      <c r="F549" s="431" t="s">
        <v>334</v>
      </c>
      <c r="G549" s="431" t="s">
        <v>175</v>
      </c>
      <c r="H549" s="431"/>
      <c r="I549" s="431"/>
      <c r="J549" s="431"/>
      <c r="K549" s="431"/>
      <c r="L549" s="431" t="s">
        <v>241</v>
      </c>
      <c r="M549" s="431" t="s">
        <v>332</v>
      </c>
    </row>
    <row r="550" spans="1:13" x14ac:dyDescent="0.2">
      <c r="A550" s="431" t="s">
        <v>335</v>
      </c>
      <c r="B550" s="431">
        <v>1870442</v>
      </c>
      <c r="C550" s="431" t="s">
        <v>159</v>
      </c>
      <c r="D550" s="431" t="s">
        <v>173</v>
      </c>
      <c r="E550" s="431" t="s">
        <v>161</v>
      </c>
      <c r="F550" s="431" t="s">
        <v>336</v>
      </c>
      <c r="G550" s="431" t="s">
        <v>175</v>
      </c>
      <c r="H550" s="431"/>
      <c r="I550" s="431"/>
      <c r="J550" s="431"/>
      <c r="K550" s="431"/>
      <c r="L550" s="431" t="s">
        <v>241</v>
      </c>
      <c r="M550" s="431" t="s">
        <v>337</v>
      </c>
    </row>
    <row r="551" spans="1:13" x14ac:dyDescent="0.2">
      <c r="A551" s="431" t="s">
        <v>335</v>
      </c>
      <c r="B551" s="431">
        <v>1870442</v>
      </c>
      <c r="C551" s="431" t="s">
        <v>159</v>
      </c>
      <c r="D551" s="431" t="s">
        <v>173</v>
      </c>
      <c r="E551" s="431" t="s">
        <v>161</v>
      </c>
      <c r="F551" s="431" t="s">
        <v>336</v>
      </c>
      <c r="G551" s="431" t="s">
        <v>175</v>
      </c>
      <c r="H551" s="431"/>
      <c r="I551" s="431"/>
      <c r="J551" s="431"/>
      <c r="K551" s="431"/>
      <c r="L551" s="431" t="s">
        <v>241</v>
      </c>
      <c r="M551" s="431" t="s">
        <v>337</v>
      </c>
    </row>
    <row r="552" spans="1:13" x14ac:dyDescent="0.2">
      <c r="A552" s="431" t="s">
        <v>335</v>
      </c>
      <c r="B552" s="431">
        <v>1870442</v>
      </c>
      <c r="C552" s="431" t="s">
        <v>159</v>
      </c>
      <c r="D552" s="431" t="s">
        <v>173</v>
      </c>
      <c r="E552" s="431" t="s">
        <v>161</v>
      </c>
      <c r="F552" s="431" t="s">
        <v>336</v>
      </c>
      <c r="G552" s="431" t="s">
        <v>175</v>
      </c>
      <c r="H552" s="431"/>
      <c r="I552" s="431"/>
      <c r="J552" s="431"/>
      <c r="K552" s="431"/>
      <c r="L552" s="431" t="s">
        <v>241</v>
      </c>
      <c r="M552" s="431" t="s">
        <v>337</v>
      </c>
    </row>
    <row r="553" spans="1:13" x14ac:dyDescent="0.2">
      <c r="A553" s="431" t="s">
        <v>335</v>
      </c>
      <c r="B553" s="431">
        <v>1870442</v>
      </c>
      <c r="C553" s="431" t="s">
        <v>159</v>
      </c>
      <c r="D553" s="431" t="s">
        <v>173</v>
      </c>
      <c r="E553" s="431" t="s">
        <v>161</v>
      </c>
      <c r="F553" s="431" t="s">
        <v>336</v>
      </c>
      <c r="G553" s="431" t="s">
        <v>175</v>
      </c>
      <c r="H553" s="431"/>
      <c r="I553" s="431"/>
      <c r="J553" s="431"/>
      <c r="K553" s="431"/>
      <c r="L553" s="431" t="s">
        <v>241</v>
      </c>
      <c r="M553" s="431" t="s">
        <v>337</v>
      </c>
    </row>
    <row r="554" spans="1:13" x14ac:dyDescent="0.2">
      <c r="A554" s="431" t="s">
        <v>335</v>
      </c>
      <c r="B554" s="431">
        <v>1870442</v>
      </c>
      <c r="C554" s="431" t="s">
        <v>159</v>
      </c>
      <c r="D554" s="431" t="s">
        <v>173</v>
      </c>
      <c r="E554" s="431" t="s">
        <v>161</v>
      </c>
      <c r="F554" s="431" t="s">
        <v>338</v>
      </c>
      <c r="G554" s="431" t="s">
        <v>175</v>
      </c>
      <c r="H554" s="431"/>
      <c r="I554" s="431"/>
      <c r="J554" s="431"/>
      <c r="K554" s="431"/>
      <c r="L554" s="431" t="s">
        <v>241</v>
      </c>
      <c r="M554" s="431" t="s">
        <v>337</v>
      </c>
    </row>
    <row r="555" spans="1:13" x14ac:dyDescent="0.2">
      <c r="A555" s="431" t="s">
        <v>335</v>
      </c>
      <c r="B555" s="431">
        <v>1870442</v>
      </c>
      <c r="C555" s="431" t="s">
        <v>159</v>
      </c>
      <c r="D555" s="431" t="s">
        <v>173</v>
      </c>
      <c r="E555" s="431" t="s">
        <v>161</v>
      </c>
      <c r="F555" s="431" t="s">
        <v>338</v>
      </c>
      <c r="G555" s="431" t="s">
        <v>175</v>
      </c>
      <c r="H555" s="431"/>
      <c r="I555" s="431"/>
      <c r="J555" s="431"/>
      <c r="K555" s="431"/>
      <c r="L555" s="431" t="s">
        <v>241</v>
      </c>
      <c r="M555" s="431" t="s">
        <v>337</v>
      </c>
    </row>
    <row r="556" spans="1:13" x14ac:dyDescent="0.2">
      <c r="A556" s="431" t="s">
        <v>335</v>
      </c>
      <c r="B556" s="431">
        <v>1870442</v>
      </c>
      <c r="C556" s="431" t="s">
        <v>159</v>
      </c>
      <c r="D556" s="431" t="s">
        <v>173</v>
      </c>
      <c r="E556" s="431" t="s">
        <v>161</v>
      </c>
      <c r="F556" s="431" t="s">
        <v>338</v>
      </c>
      <c r="G556" s="431" t="s">
        <v>175</v>
      </c>
      <c r="H556" s="431"/>
      <c r="I556" s="431"/>
      <c r="J556" s="431"/>
      <c r="K556" s="431"/>
      <c r="L556" s="431" t="s">
        <v>241</v>
      </c>
      <c r="M556" s="431" t="s">
        <v>337</v>
      </c>
    </row>
    <row r="557" spans="1:13" x14ac:dyDescent="0.2">
      <c r="A557" s="431" t="s">
        <v>335</v>
      </c>
      <c r="B557" s="431">
        <v>1870442</v>
      </c>
      <c r="C557" s="431" t="s">
        <v>159</v>
      </c>
      <c r="D557" s="431" t="s">
        <v>173</v>
      </c>
      <c r="E557" s="431" t="s">
        <v>161</v>
      </c>
      <c r="F557" s="431" t="s">
        <v>338</v>
      </c>
      <c r="G557" s="431" t="s">
        <v>175</v>
      </c>
      <c r="H557" s="431"/>
      <c r="I557" s="431"/>
      <c r="J557" s="431"/>
      <c r="K557" s="431"/>
      <c r="L557" s="431" t="s">
        <v>241</v>
      </c>
      <c r="M557" s="431" t="s">
        <v>337</v>
      </c>
    </row>
    <row r="558" spans="1:13" x14ac:dyDescent="0.2">
      <c r="A558" s="431" t="s">
        <v>339</v>
      </c>
      <c r="B558" s="431">
        <v>1870443</v>
      </c>
      <c r="C558" s="431" t="s">
        <v>159</v>
      </c>
      <c r="D558" s="431" t="s">
        <v>173</v>
      </c>
      <c r="E558" s="431" t="s">
        <v>161</v>
      </c>
      <c r="F558" s="431" t="s">
        <v>340</v>
      </c>
      <c r="G558" s="431" t="s">
        <v>175</v>
      </c>
      <c r="H558" s="431"/>
      <c r="I558" s="431"/>
      <c r="J558" s="431"/>
      <c r="K558" s="431"/>
      <c r="L558" s="431" t="s">
        <v>241</v>
      </c>
      <c r="M558" s="431" t="s">
        <v>341</v>
      </c>
    </row>
    <row r="559" spans="1:13" x14ac:dyDescent="0.2">
      <c r="A559" s="431" t="s">
        <v>339</v>
      </c>
      <c r="B559" s="431">
        <v>1870443</v>
      </c>
      <c r="C559" s="431" t="s">
        <v>159</v>
      </c>
      <c r="D559" s="431" t="s">
        <v>173</v>
      </c>
      <c r="E559" s="431" t="s">
        <v>161</v>
      </c>
      <c r="F559" s="431" t="s">
        <v>340</v>
      </c>
      <c r="G559" s="431" t="s">
        <v>175</v>
      </c>
      <c r="H559" s="431"/>
      <c r="I559" s="431"/>
      <c r="J559" s="431"/>
      <c r="K559" s="431"/>
      <c r="L559" s="431" t="s">
        <v>241</v>
      </c>
      <c r="M559" s="431" t="s">
        <v>341</v>
      </c>
    </row>
    <row r="560" spans="1:13" x14ac:dyDescent="0.2">
      <c r="A560" s="431" t="s">
        <v>339</v>
      </c>
      <c r="B560" s="431">
        <v>1870443</v>
      </c>
      <c r="C560" s="431" t="s">
        <v>159</v>
      </c>
      <c r="D560" s="431" t="s">
        <v>173</v>
      </c>
      <c r="E560" s="431" t="s">
        <v>161</v>
      </c>
      <c r="F560" s="431" t="s">
        <v>340</v>
      </c>
      <c r="G560" s="431" t="s">
        <v>175</v>
      </c>
      <c r="H560" s="431"/>
      <c r="I560" s="431"/>
      <c r="J560" s="431"/>
      <c r="K560" s="431"/>
      <c r="L560" s="431" t="s">
        <v>241</v>
      </c>
      <c r="M560" s="431" t="s">
        <v>341</v>
      </c>
    </row>
    <row r="561" spans="1:13" x14ac:dyDescent="0.2">
      <c r="A561" s="431" t="s">
        <v>339</v>
      </c>
      <c r="B561" s="431">
        <v>1870443</v>
      </c>
      <c r="C561" s="431" t="s">
        <v>159</v>
      </c>
      <c r="D561" s="431" t="s">
        <v>173</v>
      </c>
      <c r="E561" s="431" t="s">
        <v>161</v>
      </c>
      <c r="F561" s="431" t="s">
        <v>340</v>
      </c>
      <c r="G561" s="431" t="s">
        <v>175</v>
      </c>
      <c r="H561" s="431"/>
      <c r="I561" s="431"/>
      <c r="J561" s="431"/>
      <c r="K561" s="431"/>
      <c r="L561" s="431" t="s">
        <v>241</v>
      </c>
      <c r="M561" s="431" t="s">
        <v>341</v>
      </c>
    </row>
    <row r="562" spans="1:13" x14ac:dyDescent="0.2">
      <c r="A562" s="431" t="s">
        <v>339</v>
      </c>
      <c r="B562" s="431">
        <v>1870443</v>
      </c>
      <c r="C562" s="431" t="s">
        <v>159</v>
      </c>
      <c r="D562" s="431" t="s">
        <v>173</v>
      </c>
      <c r="E562" s="431" t="s">
        <v>161</v>
      </c>
      <c r="F562" s="431" t="s">
        <v>340</v>
      </c>
      <c r="G562" s="431" t="s">
        <v>175</v>
      </c>
      <c r="H562" s="431"/>
      <c r="I562" s="431"/>
      <c r="J562" s="431"/>
      <c r="K562" s="431"/>
      <c r="L562" s="431" t="s">
        <v>241</v>
      </c>
      <c r="M562" s="431" t="s">
        <v>341</v>
      </c>
    </row>
    <row r="563" spans="1:13" x14ac:dyDescent="0.2">
      <c r="A563" s="431" t="s">
        <v>339</v>
      </c>
      <c r="B563" s="431">
        <v>1870443</v>
      </c>
      <c r="C563" s="431" t="s">
        <v>159</v>
      </c>
      <c r="D563" s="431" t="s">
        <v>173</v>
      </c>
      <c r="E563" s="431" t="s">
        <v>161</v>
      </c>
      <c r="F563" s="431" t="s">
        <v>340</v>
      </c>
      <c r="G563" s="431" t="s">
        <v>175</v>
      </c>
      <c r="H563" s="431"/>
      <c r="I563" s="431"/>
      <c r="J563" s="431"/>
      <c r="K563" s="431"/>
      <c r="L563" s="431" t="s">
        <v>241</v>
      </c>
      <c r="M563" s="431" t="s">
        <v>341</v>
      </c>
    </row>
    <row r="564" spans="1:13" x14ac:dyDescent="0.2">
      <c r="A564" s="431" t="s">
        <v>339</v>
      </c>
      <c r="B564" s="431">
        <v>1870443</v>
      </c>
      <c r="C564" s="431" t="s">
        <v>159</v>
      </c>
      <c r="D564" s="431" t="s">
        <v>173</v>
      </c>
      <c r="E564" s="431" t="s">
        <v>161</v>
      </c>
      <c r="F564" s="431" t="s">
        <v>340</v>
      </c>
      <c r="G564" s="431" t="s">
        <v>175</v>
      </c>
      <c r="H564" s="431"/>
      <c r="I564" s="431"/>
      <c r="J564" s="431"/>
      <c r="K564" s="431"/>
      <c r="L564" s="431" t="s">
        <v>241</v>
      </c>
      <c r="M564" s="431" t="s">
        <v>341</v>
      </c>
    </row>
    <row r="565" spans="1:13" x14ac:dyDescent="0.2">
      <c r="A565" s="431" t="s">
        <v>339</v>
      </c>
      <c r="B565" s="431">
        <v>1870443</v>
      </c>
      <c r="C565" s="431" t="s">
        <v>159</v>
      </c>
      <c r="D565" s="431" t="s">
        <v>173</v>
      </c>
      <c r="E565" s="431" t="s">
        <v>161</v>
      </c>
      <c r="F565" s="431" t="s">
        <v>340</v>
      </c>
      <c r="G565" s="431" t="s">
        <v>175</v>
      </c>
      <c r="H565" s="431"/>
      <c r="I565" s="431"/>
      <c r="J565" s="431"/>
      <c r="K565" s="431"/>
      <c r="L565" s="431" t="s">
        <v>241</v>
      </c>
      <c r="M565" s="431" t="s">
        <v>341</v>
      </c>
    </row>
    <row r="566" spans="1:13" x14ac:dyDescent="0.2">
      <c r="A566" s="431" t="s">
        <v>342</v>
      </c>
      <c r="B566" s="431">
        <v>1870445</v>
      </c>
      <c r="C566" s="431" t="s">
        <v>159</v>
      </c>
      <c r="D566" s="431" t="s">
        <v>173</v>
      </c>
      <c r="E566" s="431" t="s">
        <v>161</v>
      </c>
      <c r="F566" s="431" t="s">
        <v>246</v>
      </c>
      <c r="G566" s="431" t="s">
        <v>175</v>
      </c>
      <c r="H566" s="431"/>
      <c r="I566" s="431"/>
      <c r="J566" s="431"/>
      <c r="K566" s="431"/>
      <c r="L566" s="431" t="s">
        <v>241</v>
      </c>
      <c r="M566" s="431" t="s">
        <v>343</v>
      </c>
    </row>
    <row r="567" spans="1:13" x14ac:dyDescent="0.2">
      <c r="A567" s="431" t="s">
        <v>342</v>
      </c>
      <c r="B567" s="431">
        <v>1870445</v>
      </c>
      <c r="C567" s="431" t="s">
        <v>159</v>
      </c>
      <c r="D567" s="431" t="s">
        <v>173</v>
      </c>
      <c r="E567" s="431" t="s">
        <v>161</v>
      </c>
      <c r="F567" s="431" t="s">
        <v>344</v>
      </c>
      <c r="G567" s="431" t="s">
        <v>175</v>
      </c>
      <c r="H567" s="431"/>
      <c r="I567" s="431"/>
      <c r="J567" s="431"/>
      <c r="K567" s="431"/>
      <c r="L567" s="431" t="s">
        <v>241</v>
      </c>
      <c r="M567" s="431" t="s">
        <v>343</v>
      </c>
    </row>
    <row r="568" spans="1:13" x14ac:dyDescent="0.2">
      <c r="A568" s="431" t="s">
        <v>342</v>
      </c>
      <c r="B568" s="431">
        <v>1870445</v>
      </c>
      <c r="C568" s="431" t="s">
        <v>159</v>
      </c>
      <c r="D568" s="431" t="s">
        <v>173</v>
      </c>
      <c r="E568" s="431" t="s">
        <v>161</v>
      </c>
      <c r="F568" s="431" t="s">
        <v>345</v>
      </c>
      <c r="G568" s="431" t="s">
        <v>175</v>
      </c>
      <c r="H568" s="431"/>
      <c r="I568" s="431"/>
      <c r="J568" s="431"/>
      <c r="K568" s="431"/>
      <c r="L568" s="431" t="s">
        <v>241</v>
      </c>
      <c r="M568" s="431" t="s">
        <v>343</v>
      </c>
    </row>
    <row r="569" spans="1:13" ht="409.5" x14ac:dyDescent="0.2">
      <c r="A569" s="431" t="s">
        <v>346</v>
      </c>
      <c r="B569" s="431">
        <v>1870448</v>
      </c>
      <c r="C569" s="431" t="s">
        <v>159</v>
      </c>
      <c r="D569" s="431" t="s">
        <v>173</v>
      </c>
      <c r="E569" s="431" t="s">
        <v>161</v>
      </c>
      <c r="F569" s="431" t="s">
        <v>179</v>
      </c>
      <c r="G569" s="431" t="s">
        <v>175</v>
      </c>
      <c r="H569" s="431"/>
      <c r="I569" s="431"/>
      <c r="J569" s="431"/>
      <c r="K569" s="431"/>
      <c r="L569" s="431" t="s">
        <v>176</v>
      </c>
      <c r="M569" s="432" t="s">
        <v>347</v>
      </c>
    </row>
    <row r="570" spans="1:13" ht="409.5" x14ac:dyDescent="0.2">
      <c r="A570" s="431" t="s">
        <v>346</v>
      </c>
      <c r="B570" s="431">
        <v>1870448</v>
      </c>
      <c r="C570" s="431" t="s">
        <v>159</v>
      </c>
      <c r="D570" s="431" t="s">
        <v>173</v>
      </c>
      <c r="E570" s="431" t="s">
        <v>161</v>
      </c>
      <c r="F570" s="431" t="s">
        <v>179</v>
      </c>
      <c r="G570" s="431" t="s">
        <v>175</v>
      </c>
      <c r="H570" s="431"/>
      <c r="I570" s="431"/>
      <c r="J570" s="431"/>
      <c r="K570" s="431"/>
      <c r="L570" s="431" t="s">
        <v>176</v>
      </c>
      <c r="M570" s="432" t="s">
        <v>347</v>
      </c>
    </row>
    <row r="571" spans="1:13" ht="409.5" x14ac:dyDescent="0.2">
      <c r="A571" s="431" t="s">
        <v>346</v>
      </c>
      <c r="B571" s="431">
        <v>1870448</v>
      </c>
      <c r="C571" s="431" t="s">
        <v>159</v>
      </c>
      <c r="D571" s="431" t="s">
        <v>173</v>
      </c>
      <c r="E571" s="431" t="s">
        <v>161</v>
      </c>
      <c r="F571" s="431" t="s">
        <v>179</v>
      </c>
      <c r="G571" s="431" t="s">
        <v>175</v>
      </c>
      <c r="H571" s="431"/>
      <c r="I571" s="431"/>
      <c r="J571" s="431"/>
      <c r="K571" s="431"/>
      <c r="L571" s="431" t="s">
        <v>176</v>
      </c>
      <c r="M571" s="432" t="s">
        <v>347</v>
      </c>
    </row>
    <row r="572" spans="1:13" ht="409.5" x14ac:dyDescent="0.2">
      <c r="A572" s="431" t="s">
        <v>346</v>
      </c>
      <c r="B572" s="431">
        <v>1870448</v>
      </c>
      <c r="C572" s="431" t="s">
        <v>159</v>
      </c>
      <c r="D572" s="431" t="s">
        <v>173</v>
      </c>
      <c r="E572" s="431" t="s">
        <v>161</v>
      </c>
      <c r="F572" s="431" t="s">
        <v>179</v>
      </c>
      <c r="G572" s="431" t="s">
        <v>175</v>
      </c>
      <c r="H572" s="431"/>
      <c r="I572" s="431"/>
      <c r="J572" s="431"/>
      <c r="K572" s="431"/>
      <c r="L572" s="431" t="s">
        <v>176</v>
      </c>
      <c r="M572" s="432" t="s">
        <v>347</v>
      </c>
    </row>
    <row r="573" spans="1:13" ht="409.5" x14ac:dyDescent="0.2">
      <c r="A573" s="431" t="s">
        <v>346</v>
      </c>
      <c r="B573" s="431">
        <v>1870448</v>
      </c>
      <c r="C573" s="431" t="s">
        <v>159</v>
      </c>
      <c r="D573" s="431" t="s">
        <v>173</v>
      </c>
      <c r="E573" s="431" t="s">
        <v>161</v>
      </c>
      <c r="F573" s="431" t="s">
        <v>179</v>
      </c>
      <c r="G573" s="431" t="s">
        <v>175</v>
      </c>
      <c r="H573" s="431"/>
      <c r="I573" s="431"/>
      <c r="J573" s="431"/>
      <c r="K573" s="431"/>
      <c r="L573" s="431" t="s">
        <v>176</v>
      </c>
      <c r="M573" s="432" t="s">
        <v>347</v>
      </c>
    </row>
    <row r="574" spans="1:13" ht="409.5" x14ac:dyDescent="0.2">
      <c r="A574" s="431" t="s">
        <v>346</v>
      </c>
      <c r="B574" s="431">
        <v>1870448</v>
      </c>
      <c r="C574" s="431" t="s">
        <v>159</v>
      </c>
      <c r="D574" s="431" t="s">
        <v>173</v>
      </c>
      <c r="E574" s="431" t="s">
        <v>161</v>
      </c>
      <c r="F574" s="431" t="s">
        <v>179</v>
      </c>
      <c r="G574" s="431" t="s">
        <v>175</v>
      </c>
      <c r="H574" s="431"/>
      <c r="I574" s="431"/>
      <c r="J574" s="431"/>
      <c r="K574" s="431"/>
      <c r="L574" s="431" t="s">
        <v>176</v>
      </c>
      <c r="M574" s="432" t="s">
        <v>347</v>
      </c>
    </row>
    <row r="575" spans="1:13" ht="409.5" x14ac:dyDescent="0.2">
      <c r="A575" s="431" t="s">
        <v>346</v>
      </c>
      <c r="B575" s="431">
        <v>1870448</v>
      </c>
      <c r="C575" s="431" t="s">
        <v>159</v>
      </c>
      <c r="D575" s="431" t="s">
        <v>173</v>
      </c>
      <c r="E575" s="431" t="s">
        <v>161</v>
      </c>
      <c r="F575" s="431" t="s">
        <v>179</v>
      </c>
      <c r="G575" s="431" t="s">
        <v>175</v>
      </c>
      <c r="H575" s="431"/>
      <c r="I575" s="431"/>
      <c r="J575" s="431"/>
      <c r="K575" s="431"/>
      <c r="L575" s="431" t="s">
        <v>176</v>
      </c>
      <c r="M575" s="432" t="s">
        <v>347</v>
      </c>
    </row>
    <row r="576" spans="1:13" ht="409.5" x14ac:dyDescent="0.2">
      <c r="A576" s="431" t="s">
        <v>346</v>
      </c>
      <c r="B576" s="431">
        <v>1870448</v>
      </c>
      <c r="C576" s="431" t="s">
        <v>159</v>
      </c>
      <c r="D576" s="431" t="s">
        <v>173</v>
      </c>
      <c r="E576" s="431" t="s">
        <v>161</v>
      </c>
      <c r="F576" s="431" t="s">
        <v>179</v>
      </c>
      <c r="G576" s="431" t="s">
        <v>175</v>
      </c>
      <c r="H576" s="431"/>
      <c r="I576" s="431"/>
      <c r="J576" s="431"/>
      <c r="K576" s="431"/>
      <c r="L576" s="431" t="s">
        <v>176</v>
      </c>
      <c r="M576" s="432" t="s">
        <v>347</v>
      </c>
    </row>
    <row r="577" spans="1:13" ht="409.5" x14ac:dyDescent="0.2">
      <c r="A577" s="431" t="s">
        <v>346</v>
      </c>
      <c r="B577" s="431">
        <v>1870448</v>
      </c>
      <c r="C577" s="431" t="s">
        <v>159</v>
      </c>
      <c r="D577" s="431" t="s">
        <v>173</v>
      </c>
      <c r="E577" s="431" t="s">
        <v>161</v>
      </c>
      <c r="F577" s="431" t="s">
        <v>179</v>
      </c>
      <c r="G577" s="431" t="s">
        <v>175</v>
      </c>
      <c r="H577" s="431"/>
      <c r="I577" s="431"/>
      <c r="J577" s="431"/>
      <c r="K577" s="431"/>
      <c r="L577" s="431" t="s">
        <v>176</v>
      </c>
      <c r="M577" s="432" t="s">
        <v>347</v>
      </c>
    </row>
    <row r="578" spans="1:13" ht="409.5" x14ac:dyDescent="0.2">
      <c r="A578" s="431" t="s">
        <v>346</v>
      </c>
      <c r="B578" s="431">
        <v>1870448</v>
      </c>
      <c r="C578" s="431" t="s">
        <v>159</v>
      </c>
      <c r="D578" s="431" t="s">
        <v>173</v>
      </c>
      <c r="E578" s="431" t="s">
        <v>161</v>
      </c>
      <c r="F578" s="431" t="s">
        <v>179</v>
      </c>
      <c r="G578" s="431" t="s">
        <v>175</v>
      </c>
      <c r="H578" s="431"/>
      <c r="I578" s="431"/>
      <c r="J578" s="431"/>
      <c r="K578" s="431"/>
      <c r="L578" s="431" t="s">
        <v>176</v>
      </c>
      <c r="M578" s="432" t="s">
        <v>347</v>
      </c>
    </row>
    <row r="579" spans="1:13" ht="409.5" x14ac:dyDescent="0.2">
      <c r="A579" s="431" t="s">
        <v>346</v>
      </c>
      <c r="B579" s="431">
        <v>1870448</v>
      </c>
      <c r="C579" s="431" t="s">
        <v>159</v>
      </c>
      <c r="D579" s="431" t="s">
        <v>173</v>
      </c>
      <c r="E579" s="431" t="s">
        <v>161</v>
      </c>
      <c r="F579" s="431" t="s">
        <v>179</v>
      </c>
      <c r="G579" s="431" t="s">
        <v>175</v>
      </c>
      <c r="H579" s="431"/>
      <c r="I579" s="431"/>
      <c r="J579" s="431"/>
      <c r="K579" s="431"/>
      <c r="L579" s="431" t="s">
        <v>176</v>
      </c>
      <c r="M579" s="432" t="s">
        <v>347</v>
      </c>
    </row>
    <row r="580" spans="1:13" ht="409.5" x14ac:dyDescent="0.2">
      <c r="A580" s="431" t="s">
        <v>346</v>
      </c>
      <c r="B580" s="431">
        <v>1870448</v>
      </c>
      <c r="C580" s="431" t="s">
        <v>159</v>
      </c>
      <c r="D580" s="431" t="s">
        <v>173</v>
      </c>
      <c r="E580" s="431" t="s">
        <v>161</v>
      </c>
      <c r="F580" s="431" t="s">
        <v>179</v>
      </c>
      <c r="G580" s="431" t="s">
        <v>175</v>
      </c>
      <c r="H580" s="431"/>
      <c r="I580" s="431"/>
      <c r="J580" s="431"/>
      <c r="K580" s="431"/>
      <c r="L580" s="431" t="s">
        <v>176</v>
      </c>
      <c r="M580" s="432" t="s">
        <v>347</v>
      </c>
    </row>
    <row r="581" spans="1:13" ht="409.5" x14ac:dyDescent="0.2">
      <c r="A581" s="431" t="s">
        <v>346</v>
      </c>
      <c r="B581" s="431">
        <v>1870448</v>
      </c>
      <c r="C581" s="431" t="s">
        <v>159</v>
      </c>
      <c r="D581" s="431" t="s">
        <v>173</v>
      </c>
      <c r="E581" s="431" t="s">
        <v>161</v>
      </c>
      <c r="F581" s="431" t="s">
        <v>179</v>
      </c>
      <c r="G581" s="431" t="s">
        <v>175</v>
      </c>
      <c r="H581" s="431"/>
      <c r="I581" s="431"/>
      <c r="J581" s="431"/>
      <c r="K581" s="431"/>
      <c r="L581" s="431" t="s">
        <v>176</v>
      </c>
      <c r="M581" s="432" t="s">
        <v>347</v>
      </c>
    </row>
    <row r="582" spans="1:13" ht="409.5" x14ac:dyDescent="0.2">
      <c r="A582" s="431" t="s">
        <v>346</v>
      </c>
      <c r="B582" s="431">
        <v>1870448</v>
      </c>
      <c r="C582" s="431" t="s">
        <v>159</v>
      </c>
      <c r="D582" s="431" t="s">
        <v>173</v>
      </c>
      <c r="E582" s="431" t="s">
        <v>161</v>
      </c>
      <c r="F582" s="431" t="s">
        <v>179</v>
      </c>
      <c r="G582" s="431" t="s">
        <v>175</v>
      </c>
      <c r="H582" s="431"/>
      <c r="I582" s="431"/>
      <c r="J582" s="431"/>
      <c r="K582" s="431"/>
      <c r="L582" s="431" t="s">
        <v>176</v>
      </c>
      <c r="M582" s="432" t="s">
        <v>347</v>
      </c>
    </row>
    <row r="583" spans="1:13" ht="409.5" x14ac:dyDescent="0.2">
      <c r="A583" s="431" t="s">
        <v>346</v>
      </c>
      <c r="B583" s="431">
        <v>1870448</v>
      </c>
      <c r="C583" s="431" t="s">
        <v>159</v>
      </c>
      <c r="D583" s="431" t="s">
        <v>173</v>
      </c>
      <c r="E583" s="431" t="s">
        <v>161</v>
      </c>
      <c r="F583" s="431" t="s">
        <v>179</v>
      </c>
      <c r="G583" s="431" t="s">
        <v>175</v>
      </c>
      <c r="H583" s="431"/>
      <c r="I583" s="431"/>
      <c r="J583" s="431"/>
      <c r="K583" s="431"/>
      <c r="L583" s="431" t="s">
        <v>176</v>
      </c>
      <c r="M583" s="432" t="s">
        <v>347</v>
      </c>
    </row>
    <row r="584" spans="1:13" ht="409.5" x14ac:dyDescent="0.2">
      <c r="A584" s="431" t="s">
        <v>346</v>
      </c>
      <c r="B584" s="431">
        <v>1870448</v>
      </c>
      <c r="C584" s="431" t="s">
        <v>159</v>
      </c>
      <c r="D584" s="431" t="s">
        <v>173</v>
      </c>
      <c r="E584" s="431" t="s">
        <v>161</v>
      </c>
      <c r="F584" s="431" t="s">
        <v>179</v>
      </c>
      <c r="G584" s="431" t="s">
        <v>175</v>
      </c>
      <c r="H584" s="431"/>
      <c r="I584" s="431"/>
      <c r="J584" s="431"/>
      <c r="K584" s="431"/>
      <c r="L584" s="431" t="s">
        <v>176</v>
      </c>
      <c r="M584" s="432" t="s">
        <v>347</v>
      </c>
    </row>
    <row r="585" spans="1:13" ht="409.5" x14ac:dyDescent="0.2">
      <c r="A585" s="431" t="s">
        <v>346</v>
      </c>
      <c r="B585" s="431">
        <v>1870448</v>
      </c>
      <c r="C585" s="431" t="s">
        <v>159</v>
      </c>
      <c r="D585" s="431" t="s">
        <v>173</v>
      </c>
      <c r="E585" s="431" t="s">
        <v>161</v>
      </c>
      <c r="F585" s="431" t="s">
        <v>179</v>
      </c>
      <c r="G585" s="431" t="s">
        <v>175</v>
      </c>
      <c r="H585" s="431"/>
      <c r="I585" s="431"/>
      <c r="J585" s="431"/>
      <c r="K585" s="431"/>
      <c r="L585" s="431" t="s">
        <v>176</v>
      </c>
      <c r="M585" s="432" t="s">
        <v>347</v>
      </c>
    </row>
    <row r="586" spans="1:13" ht="409.5" x14ac:dyDescent="0.2">
      <c r="A586" s="431" t="s">
        <v>346</v>
      </c>
      <c r="B586" s="431">
        <v>1870448</v>
      </c>
      <c r="C586" s="431" t="s">
        <v>159</v>
      </c>
      <c r="D586" s="431" t="s">
        <v>173</v>
      </c>
      <c r="E586" s="431" t="s">
        <v>161</v>
      </c>
      <c r="F586" s="431" t="s">
        <v>179</v>
      </c>
      <c r="G586" s="431" t="s">
        <v>175</v>
      </c>
      <c r="H586" s="431"/>
      <c r="I586" s="431"/>
      <c r="J586" s="431"/>
      <c r="K586" s="431"/>
      <c r="L586" s="431" t="s">
        <v>176</v>
      </c>
      <c r="M586" s="432" t="s">
        <v>347</v>
      </c>
    </row>
    <row r="587" spans="1:13" ht="409.5" x14ac:dyDescent="0.2">
      <c r="A587" s="431" t="s">
        <v>346</v>
      </c>
      <c r="B587" s="431">
        <v>1870448</v>
      </c>
      <c r="C587" s="431" t="s">
        <v>159</v>
      </c>
      <c r="D587" s="431" t="s">
        <v>173</v>
      </c>
      <c r="E587" s="431" t="s">
        <v>161</v>
      </c>
      <c r="F587" s="431" t="s">
        <v>179</v>
      </c>
      <c r="G587" s="431" t="s">
        <v>175</v>
      </c>
      <c r="H587" s="431"/>
      <c r="I587" s="431"/>
      <c r="J587" s="431"/>
      <c r="K587" s="431"/>
      <c r="L587" s="431" t="s">
        <v>176</v>
      </c>
      <c r="M587" s="432" t="s">
        <v>347</v>
      </c>
    </row>
    <row r="588" spans="1:13" ht="409.5" x14ac:dyDescent="0.2">
      <c r="A588" s="431" t="s">
        <v>346</v>
      </c>
      <c r="B588" s="431">
        <v>1870448</v>
      </c>
      <c r="C588" s="431" t="s">
        <v>159</v>
      </c>
      <c r="D588" s="431" t="s">
        <v>173</v>
      </c>
      <c r="E588" s="431" t="s">
        <v>161</v>
      </c>
      <c r="F588" s="431" t="s">
        <v>179</v>
      </c>
      <c r="G588" s="431" t="s">
        <v>175</v>
      </c>
      <c r="H588" s="431"/>
      <c r="I588" s="431"/>
      <c r="J588" s="431"/>
      <c r="K588" s="431"/>
      <c r="L588" s="431" t="s">
        <v>176</v>
      </c>
      <c r="M588" s="432" t="s">
        <v>347</v>
      </c>
    </row>
    <row r="589" spans="1:13" ht="409.5" x14ac:dyDescent="0.2">
      <c r="A589" s="431" t="s">
        <v>346</v>
      </c>
      <c r="B589" s="431">
        <v>1870448</v>
      </c>
      <c r="C589" s="431" t="s">
        <v>159</v>
      </c>
      <c r="D589" s="431" t="s">
        <v>173</v>
      </c>
      <c r="E589" s="431" t="s">
        <v>161</v>
      </c>
      <c r="F589" s="431" t="s">
        <v>179</v>
      </c>
      <c r="G589" s="431" t="s">
        <v>175</v>
      </c>
      <c r="H589" s="431"/>
      <c r="I589" s="431"/>
      <c r="J589" s="431"/>
      <c r="K589" s="431"/>
      <c r="L589" s="431" t="s">
        <v>176</v>
      </c>
      <c r="M589" s="432" t="s">
        <v>347</v>
      </c>
    </row>
    <row r="590" spans="1:13" ht="409.5" x14ac:dyDescent="0.2">
      <c r="A590" s="431" t="s">
        <v>346</v>
      </c>
      <c r="B590" s="431">
        <v>1870448</v>
      </c>
      <c r="C590" s="431" t="s">
        <v>159</v>
      </c>
      <c r="D590" s="431" t="s">
        <v>173</v>
      </c>
      <c r="E590" s="431" t="s">
        <v>161</v>
      </c>
      <c r="F590" s="431" t="s">
        <v>179</v>
      </c>
      <c r="G590" s="431" t="s">
        <v>175</v>
      </c>
      <c r="H590" s="431"/>
      <c r="I590" s="431"/>
      <c r="J590" s="431"/>
      <c r="K590" s="431"/>
      <c r="L590" s="431" t="s">
        <v>176</v>
      </c>
      <c r="M590" s="432" t="s">
        <v>347</v>
      </c>
    </row>
    <row r="591" spans="1:13" ht="409.5" x14ac:dyDescent="0.2">
      <c r="A591" s="431" t="s">
        <v>346</v>
      </c>
      <c r="B591" s="431">
        <v>1870448</v>
      </c>
      <c r="C591" s="431" t="s">
        <v>159</v>
      </c>
      <c r="D591" s="431" t="s">
        <v>173</v>
      </c>
      <c r="E591" s="431" t="s">
        <v>161</v>
      </c>
      <c r="F591" s="431" t="s">
        <v>179</v>
      </c>
      <c r="G591" s="431" t="s">
        <v>175</v>
      </c>
      <c r="H591" s="431"/>
      <c r="I591" s="431"/>
      <c r="J591" s="431"/>
      <c r="K591" s="431"/>
      <c r="L591" s="431" t="s">
        <v>176</v>
      </c>
      <c r="M591" s="432" t="s">
        <v>347</v>
      </c>
    </row>
    <row r="592" spans="1:13" ht="409.5" x14ac:dyDescent="0.2">
      <c r="A592" s="431" t="s">
        <v>346</v>
      </c>
      <c r="B592" s="431">
        <v>1870448</v>
      </c>
      <c r="C592" s="431" t="s">
        <v>159</v>
      </c>
      <c r="D592" s="431" t="s">
        <v>173</v>
      </c>
      <c r="E592" s="431" t="s">
        <v>161</v>
      </c>
      <c r="F592" s="431" t="s">
        <v>179</v>
      </c>
      <c r="G592" s="431" t="s">
        <v>175</v>
      </c>
      <c r="H592" s="431"/>
      <c r="I592" s="431"/>
      <c r="J592" s="431"/>
      <c r="K592" s="431"/>
      <c r="L592" s="431" t="s">
        <v>176</v>
      </c>
      <c r="M592" s="432" t="s">
        <v>347</v>
      </c>
    </row>
    <row r="593" spans="1:13" ht="409.5" x14ac:dyDescent="0.2">
      <c r="A593" s="431" t="s">
        <v>346</v>
      </c>
      <c r="B593" s="431">
        <v>1870448</v>
      </c>
      <c r="C593" s="431" t="s">
        <v>159</v>
      </c>
      <c r="D593" s="431" t="s">
        <v>173</v>
      </c>
      <c r="E593" s="431" t="s">
        <v>161</v>
      </c>
      <c r="F593" s="431" t="s">
        <v>179</v>
      </c>
      <c r="G593" s="431" t="s">
        <v>175</v>
      </c>
      <c r="H593" s="431"/>
      <c r="I593" s="431"/>
      <c r="J593" s="431"/>
      <c r="K593" s="431"/>
      <c r="L593" s="431" t="s">
        <v>176</v>
      </c>
      <c r="M593" s="432" t="s">
        <v>347</v>
      </c>
    </row>
    <row r="594" spans="1:13" ht="409.5" x14ac:dyDescent="0.2">
      <c r="A594" s="431" t="s">
        <v>346</v>
      </c>
      <c r="B594" s="431">
        <v>1870448</v>
      </c>
      <c r="C594" s="431" t="s">
        <v>159</v>
      </c>
      <c r="D594" s="431" t="s">
        <v>173</v>
      </c>
      <c r="E594" s="431" t="s">
        <v>161</v>
      </c>
      <c r="F594" s="431" t="s">
        <v>179</v>
      </c>
      <c r="G594" s="431" t="s">
        <v>175</v>
      </c>
      <c r="H594" s="431"/>
      <c r="I594" s="431"/>
      <c r="J594" s="431"/>
      <c r="K594" s="431"/>
      <c r="L594" s="431" t="s">
        <v>176</v>
      </c>
      <c r="M594" s="432" t="s">
        <v>347</v>
      </c>
    </row>
    <row r="595" spans="1:13" ht="409.5" x14ac:dyDescent="0.2">
      <c r="A595" s="431" t="s">
        <v>346</v>
      </c>
      <c r="B595" s="431">
        <v>1870448</v>
      </c>
      <c r="C595" s="431" t="s">
        <v>159</v>
      </c>
      <c r="D595" s="431" t="s">
        <v>173</v>
      </c>
      <c r="E595" s="431" t="s">
        <v>161</v>
      </c>
      <c r="F595" s="431" t="s">
        <v>179</v>
      </c>
      <c r="G595" s="431" t="s">
        <v>175</v>
      </c>
      <c r="H595" s="431"/>
      <c r="I595" s="431"/>
      <c r="J595" s="431"/>
      <c r="K595" s="431"/>
      <c r="L595" s="431" t="s">
        <v>176</v>
      </c>
      <c r="M595" s="432" t="s">
        <v>347</v>
      </c>
    </row>
    <row r="596" spans="1:13" ht="409.5" x14ac:dyDescent="0.2">
      <c r="A596" s="431" t="s">
        <v>346</v>
      </c>
      <c r="B596" s="431">
        <v>1870448</v>
      </c>
      <c r="C596" s="431" t="s">
        <v>159</v>
      </c>
      <c r="D596" s="431" t="s">
        <v>173</v>
      </c>
      <c r="E596" s="431" t="s">
        <v>161</v>
      </c>
      <c r="F596" s="431" t="s">
        <v>179</v>
      </c>
      <c r="G596" s="431" t="s">
        <v>175</v>
      </c>
      <c r="H596" s="431"/>
      <c r="I596" s="431"/>
      <c r="J596" s="431"/>
      <c r="K596" s="431"/>
      <c r="L596" s="431" t="s">
        <v>176</v>
      </c>
      <c r="M596" s="432" t="s">
        <v>347</v>
      </c>
    </row>
    <row r="597" spans="1:13" ht="409.5" x14ac:dyDescent="0.2">
      <c r="A597" s="431" t="s">
        <v>346</v>
      </c>
      <c r="B597" s="431">
        <v>1870448</v>
      </c>
      <c r="C597" s="431" t="s">
        <v>159</v>
      </c>
      <c r="D597" s="431" t="s">
        <v>173</v>
      </c>
      <c r="E597" s="431" t="s">
        <v>161</v>
      </c>
      <c r="F597" s="431" t="s">
        <v>179</v>
      </c>
      <c r="G597" s="431" t="s">
        <v>175</v>
      </c>
      <c r="H597" s="431"/>
      <c r="I597" s="431"/>
      <c r="J597" s="431"/>
      <c r="K597" s="431"/>
      <c r="L597" s="431" t="s">
        <v>176</v>
      </c>
      <c r="M597" s="432" t="s">
        <v>347</v>
      </c>
    </row>
    <row r="598" spans="1:13" ht="409.5" x14ac:dyDescent="0.2">
      <c r="A598" s="431" t="s">
        <v>346</v>
      </c>
      <c r="B598" s="431">
        <v>1870448</v>
      </c>
      <c r="C598" s="431" t="s">
        <v>159</v>
      </c>
      <c r="D598" s="431" t="s">
        <v>173</v>
      </c>
      <c r="E598" s="431" t="s">
        <v>161</v>
      </c>
      <c r="F598" s="431" t="s">
        <v>179</v>
      </c>
      <c r="G598" s="431" t="s">
        <v>175</v>
      </c>
      <c r="H598" s="431"/>
      <c r="I598" s="431"/>
      <c r="J598" s="431"/>
      <c r="K598" s="431"/>
      <c r="L598" s="431" t="s">
        <v>176</v>
      </c>
      <c r="M598" s="432" t="s">
        <v>347</v>
      </c>
    </row>
    <row r="599" spans="1:13" ht="409.5" x14ac:dyDescent="0.2">
      <c r="A599" s="431" t="s">
        <v>346</v>
      </c>
      <c r="B599" s="431">
        <v>1870448</v>
      </c>
      <c r="C599" s="431" t="s">
        <v>159</v>
      </c>
      <c r="D599" s="431" t="s">
        <v>173</v>
      </c>
      <c r="E599" s="431" t="s">
        <v>161</v>
      </c>
      <c r="F599" s="431" t="s">
        <v>179</v>
      </c>
      <c r="G599" s="431" t="s">
        <v>175</v>
      </c>
      <c r="H599" s="431"/>
      <c r="I599" s="431"/>
      <c r="J599" s="431"/>
      <c r="K599" s="431"/>
      <c r="L599" s="431" t="s">
        <v>176</v>
      </c>
      <c r="M599" s="432" t="s">
        <v>347</v>
      </c>
    </row>
    <row r="600" spans="1:13" ht="409.5" x14ac:dyDescent="0.2">
      <c r="A600" s="431" t="s">
        <v>346</v>
      </c>
      <c r="B600" s="431">
        <v>1870448</v>
      </c>
      <c r="C600" s="431" t="s">
        <v>159</v>
      </c>
      <c r="D600" s="431" t="s">
        <v>173</v>
      </c>
      <c r="E600" s="431" t="s">
        <v>161</v>
      </c>
      <c r="F600" s="431" t="s">
        <v>179</v>
      </c>
      <c r="G600" s="431" t="s">
        <v>175</v>
      </c>
      <c r="H600" s="431"/>
      <c r="I600" s="431"/>
      <c r="J600" s="431"/>
      <c r="K600" s="431"/>
      <c r="L600" s="431" t="s">
        <v>176</v>
      </c>
      <c r="M600" s="432" t="s">
        <v>347</v>
      </c>
    </row>
    <row r="601" spans="1:13" ht="409.5" x14ac:dyDescent="0.2">
      <c r="A601" s="431" t="s">
        <v>346</v>
      </c>
      <c r="B601" s="431">
        <v>1870448</v>
      </c>
      <c r="C601" s="431" t="s">
        <v>159</v>
      </c>
      <c r="D601" s="431" t="s">
        <v>173</v>
      </c>
      <c r="E601" s="431" t="s">
        <v>161</v>
      </c>
      <c r="F601" s="431" t="s">
        <v>179</v>
      </c>
      <c r="G601" s="431" t="s">
        <v>175</v>
      </c>
      <c r="H601" s="431"/>
      <c r="I601" s="431"/>
      <c r="J601" s="431"/>
      <c r="K601" s="431"/>
      <c r="L601" s="431" t="s">
        <v>176</v>
      </c>
      <c r="M601" s="432" t="s">
        <v>347</v>
      </c>
    </row>
    <row r="602" spans="1:13" ht="409.5" x14ac:dyDescent="0.2">
      <c r="A602" s="431" t="s">
        <v>346</v>
      </c>
      <c r="B602" s="431">
        <v>1870448</v>
      </c>
      <c r="C602" s="431" t="s">
        <v>159</v>
      </c>
      <c r="D602" s="431" t="s">
        <v>173</v>
      </c>
      <c r="E602" s="431" t="s">
        <v>161</v>
      </c>
      <c r="F602" s="431" t="s">
        <v>179</v>
      </c>
      <c r="G602" s="431" t="s">
        <v>175</v>
      </c>
      <c r="H602" s="431"/>
      <c r="I602" s="431"/>
      <c r="J602" s="431"/>
      <c r="K602" s="431"/>
      <c r="L602" s="431" t="s">
        <v>176</v>
      </c>
      <c r="M602" s="432" t="s">
        <v>347</v>
      </c>
    </row>
    <row r="603" spans="1:13" ht="409.5" x14ac:dyDescent="0.2">
      <c r="A603" s="431" t="s">
        <v>346</v>
      </c>
      <c r="B603" s="431">
        <v>1870448</v>
      </c>
      <c r="C603" s="431" t="s">
        <v>159</v>
      </c>
      <c r="D603" s="431" t="s">
        <v>173</v>
      </c>
      <c r="E603" s="431" t="s">
        <v>161</v>
      </c>
      <c r="F603" s="431" t="s">
        <v>179</v>
      </c>
      <c r="G603" s="431" t="s">
        <v>175</v>
      </c>
      <c r="H603" s="431"/>
      <c r="I603" s="431"/>
      <c r="J603" s="431"/>
      <c r="K603" s="431"/>
      <c r="L603" s="431" t="s">
        <v>176</v>
      </c>
      <c r="M603" s="432" t="s">
        <v>347</v>
      </c>
    </row>
    <row r="604" spans="1:13" ht="409.5" x14ac:dyDescent="0.2">
      <c r="A604" s="431" t="s">
        <v>346</v>
      </c>
      <c r="B604" s="431">
        <v>1870448</v>
      </c>
      <c r="C604" s="431" t="s">
        <v>159</v>
      </c>
      <c r="D604" s="431" t="s">
        <v>173</v>
      </c>
      <c r="E604" s="431" t="s">
        <v>161</v>
      </c>
      <c r="F604" s="431" t="s">
        <v>179</v>
      </c>
      <c r="G604" s="431" t="s">
        <v>175</v>
      </c>
      <c r="H604" s="431"/>
      <c r="I604" s="431"/>
      <c r="J604" s="431"/>
      <c r="K604" s="431"/>
      <c r="L604" s="431" t="s">
        <v>176</v>
      </c>
      <c r="M604" s="432" t="s">
        <v>347</v>
      </c>
    </row>
    <row r="605" spans="1:13" ht="409.5" x14ac:dyDescent="0.2">
      <c r="A605" s="431" t="s">
        <v>346</v>
      </c>
      <c r="B605" s="431">
        <v>1870448</v>
      </c>
      <c r="C605" s="431" t="s">
        <v>159</v>
      </c>
      <c r="D605" s="431" t="s">
        <v>173</v>
      </c>
      <c r="E605" s="431" t="s">
        <v>161</v>
      </c>
      <c r="F605" s="431" t="s">
        <v>179</v>
      </c>
      <c r="G605" s="431" t="s">
        <v>175</v>
      </c>
      <c r="H605" s="431"/>
      <c r="I605" s="431"/>
      <c r="J605" s="431"/>
      <c r="K605" s="431"/>
      <c r="L605" s="431" t="s">
        <v>176</v>
      </c>
      <c r="M605" s="432" t="s">
        <v>347</v>
      </c>
    </row>
    <row r="606" spans="1:13" ht="409.5" x14ac:dyDescent="0.2">
      <c r="A606" s="431" t="s">
        <v>346</v>
      </c>
      <c r="B606" s="431">
        <v>1870448</v>
      </c>
      <c r="C606" s="431" t="s">
        <v>159</v>
      </c>
      <c r="D606" s="431" t="s">
        <v>173</v>
      </c>
      <c r="E606" s="431" t="s">
        <v>161</v>
      </c>
      <c r="F606" s="431" t="s">
        <v>179</v>
      </c>
      <c r="G606" s="431" t="s">
        <v>175</v>
      </c>
      <c r="H606" s="431"/>
      <c r="I606" s="431"/>
      <c r="J606" s="431"/>
      <c r="K606" s="431"/>
      <c r="L606" s="431" t="s">
        <v>176</v>
      </c>
      <c r="M606" s="432" t="s">
        <v>347</v>
      </c>
    </row>
    <row r="607" spans="1:13" ht="409.5" x14ac:dyDescent="0.2">
      <c r="A607" s="431" t="s">
        <v>346</v>
      </c>
      <c r="B607" s="431">
        <v>1870448</v>
      </c>
      <c r="C607" s="431" t="s">
        <v>159</v>
      </c>
      <c r="D607" s="431" t="s">
        <v>173</v>
      </c>
      <c r="E607" s="431" t="s">
        <v>161</v>
      </c>
      <c r="F607" s="431" t="s">
        <v>179</v>
      </c>
      <c r="G607" s="431" t="s">
        <v>175</v>
      </c>
      <c r="H607" s="431"/>
      <c r="I607" s="431"/>
      <c r="J607" s="431"/>
      <c r="K607" s="431"/>
      <c r="L607" s="431" t="s">
        <v>176</v>
      </c>
      <c r="M607" s="432" t="s">
        <v>347</v>
      </c>
    </row>
    <row r="608" spans="1:13" ht="409.5" x14ac:dyDescent="0.2">
      <c r="A608" s="431" t="s">
        <v>346</v>
      </c>
      <c r="B608" s="431">
        <v>1870448</v>
      </c>
      <c r="C608" s="431" t="s">
        <v>159</v>
      </c>
      <c r="D608" s="431" t="s">
        <v>173</v>
      </c>
      <c r="E608" s="431" t="s">
        <v>161</v>
      </c>
      <c r="F608" s="431" t="s">
        <v>179</v>
      </c>
      <c r="G608" s="431" t="s">
        <v>175</v>
      </c>
      <c r="H608" s="431"/>
      <c r="I608" s="431"/>
      <c r="J608" s="431"/>
      <c r="K608" s="431"/>
      <c r="L608" s="431" t="s">
        <v>176</v>
      </c>
      <c r="M608" s="432" t="s">
        <v>347</v>
      </c>
    </row>
    <row r="609" spans="1:13" ht="409.5" x14ac:dyDescent="0.2">
      <c r="A609" s="431" t="s">
        <v>346</v>
      </c>
      <c r="B609" s="431">
        <v>1870448</v>
      </c>
      <c r="C609" s="431" t="s">
        <v>159</v>
      </c>
      <c r="D609" s="431" t="s">
        <v>173</v>
      </c>
      <c r="E609" s="431" t="s">
        <v>161</v>
      </c>
      <c r="F609" s="431" t="s">
        <v>179</v>
      </c>
      <c r="G609" s="431" t="s">
        <v>175</v>
      </c>
      <c r="H609" s="431"/>
      <c r="I609" s="431"/>
      <c r="J609" s="431"/>
      <c r="K609" s="431"/>
      <c r="L609" s="431" t="s">
        <v>176</v>
      </c>
      <c r="M609" s="432" t="s">
        <v>347</v>
      </c>
    </row>
    <row r="610" spans="1:13" ht="409.5" x14ac:dyDescent="0.2">
      <c r="A610" s="431" t="s">
        <v>346</v>
      </c>
      <c r="B610" s="431">
        <v>1870448</v>
      </c>
      <c r="C610" s="431" t="s">
        <v>159</v>
      </c>
      <c r="D610" s="431" t="s">
        <v>173</v>
      </c>
      <c r="E610" s="431" t="s">
        <v>161</v>
      </c>
      <c r="F610" s="431" t="s">
        <v>179</v>
      </c>
      <c r="G610" s="431" t="s">
        <v>175</v>
      </c>
      <c r="H610" s="431"/>
      <c r="I610" s="431"/>
      <c r="J610" s="431"/>
      <c r="K610" s="431"/>
      <c r="L610" s="431" t="s">
        <v>176</v>
      </c>
      <c r="M610" s="432" t="s">
        <v>347</v>
      </c>
    </row>
    <row r="611" spans="1:13" ht="409.5" x14ac:dyDescent="0.2">
      <c r="A611" s="431" t="s">
        <v>346</v>
      </c>
      <c r="B611" s="431">
        <v>1870448</v>
      </c>
      <c r="C611" s="431" t="s">
        <v>159</v>
      </c>
      <c r="D611" s="431" t="s">
        <v>173</v>
      </c>
      <c r="E611" s="431" t="s">
        <v>161</v>
      </c>
      <c r="F611" s="431" t="s">
        <v>179</v>
      </c>
      <c r="G611" s="431" t="s">
        <v>175</v>
      </c>
      <c r="H611" s="431"/>
      <c r="I611" s="431"/>
      <c r="J611" s="431"/>
      <c r="K611" s="431"/>
      <c r="L611" s="431" t="s">
        <v>176</v>
      </c>
      <c r="M611" s="432" t="s">
        <v>347</v>
      </c>
    </row>
    <row r="612" spans="1:13" ht="409.5" x14ac:dyDescent="0.2">
      <c r="A612" s="431" t="s">
        <v>346</v>
      </c>
      <c r="B612" s="431">
        <v>1870448</v>
      </c>
      <c r="C612" s="431" t="s">
        <v>159</v>
      </c>
      <c r="D612" s="431" t="s">
        <v>173</v>
      </c>
      <c r="E612" s="431" t="s">
        <v>161</v>
      </c>
      <c r="F612" s="431" t="s">
        <v>179</v>
      </c>
      <c r="G612" s="431" t="s">
        <v>175</v>
      </c>
      <c r="H612" s="431"/>
      <c r="I612" s="431"/>
      <c r="J612" s="431"/>
      <c r="K612" s="431"/>
      <c r="L612" s="431" t="s">
        <v>176</v>
      </c>
      <c r="M612" s="432" t="s">
        <v>347</v>
      </c>
    </row>
    <row r="613" spans="1:13" ht="409.5" x14ac:dyDescent="0.2">
      <c r="A613" s="431" t="s">
        <v>346</v>
      </c>
      <c r="B613" s="431">
        <v>1870448</v>
      </c>
      <c r="C613" s="431" t="s">
        <v>159</v>
      </c>
      <c r="D613" s="431" t="s">
        <v>173</v>
      </c>
      <c r="E613" s="431" t="s">
        <v>161</v>
      </c>
      <c r="F613" s="431" t="s">
        <v>179</v>
      </c>
      <c r="G613" s="431" t="s">
        <v>175</v>
      </c>
      <c r="H613" s="431"/>
      <c r="I613" s="431"/>
      <c r="J613" s="431"/>
      <c r="K613" s="431"/>
      <c r="L613" s="431" t="s">
        <v>176</v>
      </c>
      <c r="M613" s="432" t="s">
        <v>347</v>
      </c>
    </row>
    <row r="614" spans="1:13" ht="409.5" x14ac:dyDescent="0.2">
      <c r="A614" s="431" t="s">
        <v>346</v>
      </c>
      <c r="B614" s="431">
        <v>1870448</v>
      </c>
      <c r="C614" s="431" t="s">
        <v>159</v>
      </c>
      <c r="D614" s="431" t="s">
        <v>173</v>
      </c>
      <c r="E614" s="431" t="s">
        <v>161</v>
      </c>
      <c r="F614" s="431" t="s">
        <v>179</v>
      </c>
      <c r="G614" s="431" t="s">
        <v>175</v>
      </c>
      <c r="H614" s="431"/>
      <c r="I614" s="431"/>
      <c r="J614" s="431"/>
      <c r="K614" s="431"/>
      <c r="L614" s="431" t="s">
        <v>176</v>
      </c>
      <c r="M614" s="432" t="s">
        <v>347</v>
      </c>
    </row>
    <row r="615" spans="1:13" ht="409.5" x14ac:dyDescent="0.2">
      <c r="A615" s="431" t="s">
        <v>346</v>
      </c>
      <c r="B615" s="431">
        <v>1870448</v>
      </c>
      <c r="C615" s="431" t="s">
        <v>159</v>
      </c>
      <c r="D615" s="431" t="s">
        <v>173</v>
      </c>
      <c r="E615" s="431" t="s">
        <v>161</v>
      </c>
      <c r="F615" s="431" t="s">
        <v>179</v>
      </c>
      <c r="G615" s="431" t="s">
        <v>175</v>
      </c>
      <c r="H615" s="431"/>
      <c r="I615" s="431"/>
      <c r="J615" s="431"/>
      <c r="K615" s="431"/>
      <c r="L615" s="431" t="s">
        <v>176</v>
      </c>
      <c r="M615" s="432" t="s">
        <v>347</v>
      </c>
    </row>
    <row r="616" spans="1:13" ht="409.5" x14ac:dyDescent="0.2">
      <c r="A616" s="431" t="s">
        <v>346</v>
      </c>
      <c r="B616" s="431">
        <v>1870448</v>
      </c>
      <c r="C616" s="431" t="s">
        <v>159</v>
      </c>
      <c r="D616" s="431" t="s">
        <v>173</v>
      </c>
      <c r="E616" s="431" t="s">
        <v>161</v>
      </c>
      <c r="F616" s="431" t="s">
        <v>179</v>
      </c>
      <c r="G616" s="431" t="s">
        <v>175</v>
      </c>
      <c r="H616" s="431"/>
      <c r="I616" s="431"/>
      <c r="J616" s="431"/>
      <c r="K616" s="431"/>
      <c r="L616" s="431" t="s">
        <v>176</v>
      </c>
      <c r="M616" s="432" t="s">
        <v>347</v>
      </c>
    </row>
    <row r="617" spans="1:13" ht="409.5" x14ac:dyDescent="0.2">
      <c r="A617" s="431" t="s">
        <v>346</v>
      </c>
      <c r="B617" s="431">
        <v>1870448</v>
      </c>
      <c r="C617" s="431" t="s">
        <v>159</v>
      </c>
      <c r="D617" s="431" t="s">
        <v>173</v>
      </c>
      <c r="E617" s="431" t="s">
        <v>161</v>
      </c>
      <c r="F617" s="431" t="s">
        <v>179</v>
      </c>
      <c r="G617" s="431" t="s">
        <v>175</v>
      </c>
      <c r="H617" s="431"/>
      <c r="I617" s="431"/>
      <c r="J617" s="431"/>
      <c r="K617" s="431"/>
      <c r="L617" s="431" t="s">
        <v>176</v>
      </c>
      <c r="M617" s="432" t="s">
        <v>347</v>
      </c>
    </row>
    <row r="618" spans="1:13" ht="409.5" x14ac:dyDescent="0.2">
      <c r="A618" s="431" t="s">
        <v>346</v>
      </c>
      <c r="B618" s="431">
        <v>1870448</v>
      </c>
      <c r="C618" s="431" t="s">
        <v>159</v>
      </c>
      <c r="D618" s="431" t="s">
        <v>173</v>
      </c>
      <c r="E618" s="431" t="s">
        <v>161</v>
      </c>
      <c r="F618" s="431" t="s">
        <v>179</v>
      </c>
      <c r="G618" s="431" t="s">
        <v>175</v>
      </c>
      <c r="H618" s="431"/>
      <c r="I618" s="431"/>
      <c r="J618" s="431"/>
      <c r="K618" s="431"/>
      <c r="L618" s="431" t="s">
        <v>176</v>
      </c>
      <c r="M618" s="432" t="s">
        <v>347</v>
      </c>
    </row>
    <row r="619" spans="1:13" ht="409.5" x14ac:dyDescent="0.2">
      <c r="A619" s="431" t="s">
        <v>346</v>
      </c>
      <c r="B619" s="431">
        <v>1870448</v>
      </c>
      <c r="C619" s="431" t="s">
        <v>159</v>
      </c>
      <c r="D619" s="431" t="s">
        <v>173</v>
      </c>
      <c r="E619" s="431" t="s">
        <v>161</v>
      </c>
      <c r="F619" s="431" t="s">
        <v>179</v>
      </c>
      <c r="G619" s="431" t="s">
        <v>175</v>
      </c>
      <c r="H619" s="431"/>
      <c r="I619" s="431"/>
      <c r="J619" s="431"/>
      <c r="K619" s="431"/>
      <c r="L619" s="431" t="s">
        <v>176</v>
      </c>
      <c r="M619" s="432" t="s">
        <v>347</v>
      </c>
    </row>
    <row r="620" spans="1:13" ht="409.5" x14ac:dyDescent="0.2">
      <c r="A620" s="431" t="s">
        <v>346</v>
      </c>
      <c r="B620" s="431">
        <v>1870448</v>
      </c>
      <c r="C620" s="431" t="s">
        <v>159</v>
      </c>
      <c r="D620" s="431" t="s">
        <v>173</v>
      </c>
      <c r="E620" s="431" t="s">
        <v>161</v>
      </c>
      <c r="F620" s="431" t="s">
        <v>179</v>
      </c>
      <c r="G620" s="431" t="s">
        <v>175</v>
      </c>
      <c r="H620" s="431"/>
      <c r="I620" s="431"/>
      <c r="J620" s="431"/>
      <c r="K620" s="431"/>
      <c r="L620" s="431" t="s">
        <v>176</v>
      </c>
      <c r="M620" s="432" t="s">
        <v>347</v>
      </c>
    </row>
    <row r="621" spans="1:13" ht="409.5" x14ac:dyDescent="0.2">
      <c r="A621" s="431" t="s">
        <v>346</v>
      </c>
      <c r="B621" s="431">
        <v>1870448</v>
      </c>
      <c r="C621" s="431" t="s">
        <v>159</v>
      </c>
      <c r="D621" s="431" t="s">
        <v>173</v>
      </c>
      <c r="E621" s="431" t="s">
        <v>161</v>
      </c>
      <c r="F621" s="431" t="s">
        <v>179</v>
      </c>
      <c r="G621" s="431" t="s">
        <v>175</v>
      </c>
      <c r="H621" s="431"/>
      <c r="I621" s="431"/>
      <c r="J621" s="431"/>
      <c r="K621" s="431"/>
      <c r="L621" s="431" t="s">
        <v>176</v>
      </c>
      <c r="M621" s="432" t="s">
        <v>347</v>
      </c>
    </row>
    <row r="622" spans="1:13" ht="409.5" x14ac:dyDescent="0.2">
      <c r="A622" s="431" t="s">
        <v>346</v>
      </c>
      <c r="B622" s="431">
        <v>1870448</v>
      </c>
      <c r="C622" s="431" t="s">
        <v>159</v>
      </c>
      <c r="D622" s="431" t="s">
        <v>173</v>
      </c>
      <c r="E622" s="431" t="s">
        <v>161</v>
      </c>
      <c r="F622" s="431" t="s">
        <v>179</v>
      </c>
      <c r="G622" s="431" t="s">
        <v>175</v>
      </c>
      <c r="H622" s="431"/>
      <c r="I622" s="431"/>
      <c r="J622" s="431"/>
      <c r="K622" s="431"/>
      <c r="L622" s="431" t="s">
        <v>176</v>
      </c>
      <c r="M622" s="432" t="s">
        <v>347</v>
      </c>
    </row>
    <row r="623" spans="1:13" ht="409.5" x14ac:dyDescent="0.2">
      <c r="A623" s="431" t="s">
        <v>346</v>
      </c>
      <c r="B623" s="431">
        <v>1870448</v>
      </c>
      <c r="C623" s="431" t="s">
        <v>159</v>
      </c>
      <c r="D623" s="431" t="s">
        <v>173</v>
      </c>
      <c r="E623" s="431" t="s">
        <v>161</v>
      </c>
      <c r="F623" s="431" t="s">
        <v>179</v>
      </c>
      <c r="G623" s="431" t="s">
        <v>175</v>
      </c>
      <c r="H623" s="431"/>
      <c r="I623" s="431"/>
      <c r="J623" s="431"/>
      <c r="K623" s="431"/>
      <c r="L623" s="431" t="s">
        <v>176</v>
      </c>
      <c r="M623" s="432" t="s">
        <v>347</v>
      </c>
    </row>
    <row r="624" spans="1:13" ht="409.5" x14ac:dyDescent="0.2">
      <c r="A624" s="431" t="s">
        <v>346</v>
      </c>
      <c r="B624" s="431">
        <v>1870448</v>
      </c>
      <c r="C624" s="431" t="s">
        <v>159</v>
      </c>
      <c r="D624" s="431" t="s">
        <v>173</v>
      </c>
      <c r="E624" s="431" t="s">
        <v>161</v>
      </c>
      <c r="F624" s="431" t="s">
        <v>179</v>
      </c>
      <c r="G624" s="431" t="s">
        <v>175</v>
      </c>
      <c r="H624" s="431"/>
      <c r="I624" s="431"/>
      <c r="J624" s="431"/>
      <c r="K624" s="431"/>
      <c r="L624" s="431" t="s">
        <v>176</v>
      </c>
      <c r="M624" s="432" t="s">
        <v>347</v>
      </c>
    </row>
    <row r="625" spans="1:13" ht="409.5" x14ac:dyDescent="0.2">
      <c r="A625" s="431" t="s">
        <v>346</v>
      </c>
      <c r="B625" s="431">
        <v>1870448</v>
      </c>
      <c r="C625" s="431" t="s">
        <v>159</v>
      </c>
      <c r="D625" s="431" t="s">
        <v>173</v>
      </c>
      <c r="E625" s="431" t="s">
        <v>161</v>
      </c>
      <c r="F625" s="431" t="s">
        <v>179</v>
      </c>
      <c r="G625" s="431" t="s">
        <v>175</v>
      </c>
      <c r="H625" s="431"/>
      <c r="I625" s="431"/>
      <c r="J625" s="431"/>
      <c r="K625" s="431"/>
      <c r="L625" s="431" t="s">
        <v>176</v>
      </c>
      <c r="M625" s="432" t="s">
        <v>347</v>
      </c>
    </row>
    <row r="626" spans="1:13" ht="409.5" x14ac:dyDescent="0.2">
      <c r="A626" s="431" t="s">
        <v>346</v>
      </c>
      <c r="B626" s="431">
        <v>1870448</v>
      </c>
      <c r="C626" s="431" t="s">
        <v>159</v>
      </c>
      <c r="D626" s="431" t="s">
        <v>173</v>
      </c>
      <c r="E626" s="431" t="s">
        <v>161</v>
      </c>
      <c r="F626" s="431" t="s">
        <v>179</v>
      </c>
      <c r="G626" s="431" t="s">
        <v>175</v>
      </c>
      <c r="H626" s="431"/>
      <c r="I626" s="431"/>
      <c r="J626" s="431"/>
      <c r="K626" s="431"/>
      <c r="L626" s="431" t="s">
        <v>176</v>
      </c>
      <c r="M626" s="432" t="s">
        <v>347</v>
      </c>
    </row>
    <row r="627" spans="1:13" ht="409.5" x14ac:dyDescent="0.2">
      <c r="A627" s="431" t="s">
        <v>346</v>
      </c>
      <c r="B627" s="431">
        <v>1870448</v>
      </c>
      <c r="C627" s="431" t="s">
        <v>159</v>
      </c>
      <c r="D627" s="431" t="s">
        <v>173</v>
      </c>
      <c r="E627" s="431" t="s">
        <v>161</v>
      </c>
      <c r="F627" s="431" t="s">
        <v>179</v>
      </c>
      <c r="G627" s="431" t="s">
        <v>175</v>
      </c>
      <c r="H627" s="431"/>
      <c r="I627" s="431"/>
      <c r="J627" s="431"/>
      <c r="K627" s="431"/>
      <c r="L627" s="431" t="s">
        <v>176</v>
      </c>
      <c r="M627" s="432" t="s">
        <v>347</v>
      </c>
    </row>
    <row r="628" spans="1:13" ht="409.5" x14ac:dyDescent="0.2">
      <c r="A628" s="431" t="s">
        <v>346</v>
      </c>
      <c r="B628" s="431">
        <v>1870448</v>
      </c>
      <c r="C628" s="431" t="s">
        <v>159</v>
      </c>
      <c r="D628" s="431" t="s">
        <v>173</v>
      </c>
      <c r="E628" s="431" t="s">
        <v>161</v>
      </c>
      <c r="F628" s="431" t="s">
        <v>179</v>
      </c>
      <c r="G628" s="431" t="s">
        <v>175</v>
      </c>
      <c r="H628" s="431"/>
      <c r="I628" s="431"/>
      <c r="J628" s="431"/>
      <c r="K628" s="431"/>
      <c r="L628" s="431" t="s">
        <v>176</v>
      </c>
      <c r="M628" s="432" t="s">
        <v>347</v>
      </c>
    </row>
    <row r="629" spans="1:13" ht="409.5" x14ac:dyDescent="0.2">
      <c r="A629" s="431" t="s">
        <v>346</v>
      </c>
      <c r="B629" s="431">
        <v>1870448</v>
      </c>
      <c r="C629" s="431" t="s">
        <v>159</v>
      </c>
      <c r="D629" s="431" t="s">
        <v>173</v>
      </c>
      <c r="E629" s="431" t="s">
        <v>161</v>
      </c>
      <c r="F629" s="431" t="s">
        <v>179</v>
      </c>
      <c r="G629" s="431" t="s">
        <v>175</v>
      </c>
      <c r="H629" s="431"/>
      <c r="I629" s="431"/>
      <c r="J629" s="431"/>
      <c r="K629" s="431"/>
      <c r="L629" s="431" t="s">
        <v>176</v>
      </c>
      <c r="M629" s="432" t="s">
        <v>347</v>
      </c>
    </row>
    <row r="630" spans="1:13" ht="409.5" x14ac:dyDescent="0.2">
      <c r="A630" s="431" t="s">
        <v>346</v>
      </c>
      <c r="B630" s="431">
        <v>1870448</v>
      </c>
      <c r="C630" s="431" t="s">
        <v>159</v>
      </c>
      <c r="D630" s="431" t="s">
        <v>173</v>
      </c>
      <c r="E630" s="431" t="s">
        <v>161</v>
      </c>
      <c r="F630" s="431" t="s">
        <v>179</v>
      </c>
      <c r="G630" s="431" t="s">
        <v>175</v>
      </c>
      <c r="H630" s="431"/>
      <c r="I630" s="431"/>
      <c r="J630" s="431"/>
      <c r="K630" s="431"/>
      <c r="L630" s="431" t="s">
        <v>176</v>
      </c>
      <c r="M630" s="432" t="s">
        <v>347</v>
      </c>
    </row>
    <row r="631" spans="1:13" ht="409.5" x14ac:dyDescent="0.2">
      <c r="A631" s="431" t="s">
        <v>346</v>
      </c>
      <c r="B631" s="431">
        <v>1870448</v>
      </c>
      <c r="C631" s="431" t="s">
        <v>159</v>
      </c>
      <c r="D631" s="431" t="s">
        <v>173</v>
      </c>
      <c r="E631" s="431" t="s">
        <v>161</v>
      </c>
      <c r="F631" s="431" t="s">
        <v>179</v>
      </c>
      <c r="G631" s="431" t="s">
        <v>175</v>
      </c>
      <c r="H631" s="431"/>
      <c r="I631" s="431"/>
      <c r="J631" s="431"/>
      <c r="K631" s="431"/>
      <c r="L631" s="431" t="s">
        <v>176</v>
      </c>
      <c r="M631" s="432" t="s">
        <v>347</v>
      </c>
    </row>
    <row r="632" spans="1:13" ht="409.5" x14ac:dyDescent="0.2">
      <c r="A632" s="431" t="s">
        <v>346</v>
      </c>
      <c r="B632" s="431">
        <v>1870448</v>
      </c>
      <c r="C632" s="431" t="s">
        <v>159</v>
      </c>
      <c r="D632" s="431" t="s">
        <v>173</v>
      </c>
      <c r="E632" s="431" t="s">
        <v>161</v>
      </c>
      <c r="F632" s="431" t="s">
        <v>179</v>
      </c>
      <c r="G632" s="431" t="s">
        <v>175</v>
      </c>
      <c r="H632" s="431"/>
      <c r="I632" s="431"/>
      <c r="J632" s="431"/>
      <c r="K632" s="431"/>
      <c r="L632" s="431" t="s">
        <v>176</v>
      </c>
      <c r="M632" s="432" t="s">
        <v>347</v>
      </c>
    </row>
    <row r="633" spans="1:13" ht="409.5" x14ac:dyDescent="0.2">
      <c r="A633" s="431" t="s">
        <v>346</v>
      </c>
      <c r="B633" s="431">
        <v>1870448</v>
      </c>
      <c r="C633" s="431" t="s">
        <v>159</v>
      </c>
      <c r="D633" s="431" t="s">
        <v>173</v>
      </c>
      <c r="E633" s="431" t="s">
        <v>161</v>
      </c>
      <c r="F633" s="431" t="s">
        <v>179</v>
      </c>
      <c r="G633" s="431" t="s">
        <v>175</v>
      </c>
      <c r="H633" s="431"/>
      <c r="I633" s="431"/>
      <c r="J633" s="431"/>
      <c r="K633" s="431"/>
      <c r="L633" s="431" t="s">
        <v>176</v>
      </c>
      <c r="M633" s="432" t="s">
        <v>347</v>
      </c>
    </row>
    <row r="634" spans="1:13" ht="409.5" x14ac:dyDescent="0.2">
      <c r="A634" s="431" t="s">
        <v>346</v>
      </c>
      <c r="B634" s="431">
        <v>1870448</v>
      </c>
      <c r="C634" s="431" t="s">
        <v>159</v>
      </c>
      <c r="D634" s="431" t="s">
        <v>173</v>
      </c>
      <c r="E634" s="431" t="s">
        <v>161</v>
      </c>
      <c r="F634" s="431" t="s">
        <v>179</v>
      </c>
      <c r="G634" s="431" t="s">
        <v>175</v>
      </c>
      <c r="H634" s="431"/>
      <c r="I634" s="431"/>
      <c r="J634" s="431"/>
      <c r="K634" s="431"/>
      <c r="L634" s="431" t="s">
        <v>176</v>
      </c>
      <c r="M634" s="432" t="s">
        <v>347</v>
      </c>
    </row>
    <row r="635" spans="1:13" ht="409.5" x14ac:dyDescent="0.2">
      <c r="A635" s="431" t="s">
        <v>346</v>
      </c>
      <c r="B635" s="431">
        <v>1870448</v>
      </c>
      <c r="C635" s="431" t="s">
        <v>159</v>
      </c>
      <c r="D635" s="431" t="s">
        <v>173</v>
      </c>
      <c r="E635" s="431" t="s">
        <v>161</v>
      </c>
      <c r="F635" s="431" t="s">
        <v>179</v>
      </c>
      <c r="G635" s="431" t="s">
        <v>175</v>
      </c>
      <c r="H635" s="431"/>
      <c r="I635" s="431"/>
      <c r="J635" s="431"/>
      <c r="K635" s="431"/>
      <c r="L635" s="431" t="s">
        <v>176</v>
      </c>
      <c r="M635" s="432" t="s">
        <v>347</v>
      </c>
    </row>
    <row r="636" spans="1:13" ht="409.5" x14ac:dyDescent="0.2">
      <c r="A636" s="431" t="s">
        <v>346</v>
      </c>
      <c r="B636" s="431">
        <v>1870448</v>
      </c>
      <c r="C636" s="431" t="s">
        <v>159</v>
      </c>
      <c r="D636" s="431" t="s">
        <v>173</v>
      </c>
      <c r="E636" s="431" t="s">
        <v>161</v>
      </c>
      <c r="F636" s="431" t="s">
        <v>179</v>
      </c>
      <c r="G636" s="431" t="s">
        <v>175</v>
      </c>
      <c r="H636" s="431"/>
      <c r="I636" s="431"/>
      <c r="J636" s="431"/>
      <c r="K636" s="431"/>
      <c r="L636" s="431" t="s">
        <v>176</v>
      </c>
      <c r="M636" s="432" t="s">
        <v>347</v>
      </c>
    </row>
    <row r="637" spans="1:13" ht="409.5" x14ac:dyDescent="0.2">
      <c r="A637" s="431" t="s">
        <v>346</v>
      </c>
      <c r="B637" s="431">
        <v>1870448</v>
      </c>
      <c r="C637" s="431" t="s">
        <v>159</v>
      </c>
      <c r="D637" s="431" t="s">
        <v>173</v>
      </c>
      <c r="E637" s="431" t="s">
        <v>161</v>
      </c>
      <c r="F637" s="431" t="s">
        <v>179</v>
      </c>
      <c r="G637" s="431" t="s">
        <v>175</v>
      </c>
      <c r="H637" s="431"/>
      <c r="I637" s="431"/>
      <c r="J637" s="431"/>
      <c r="K637" s="431"/>
      <c r="L637" s="431" t="s">
        <v>176</v>
      </c>
      <c r="M637" s="432" t="s">
        <v>347</v>
      </c>
    </row>
    <row r="638" spans="1:13" ht="409.5" x14ac:dyDescent="0.2">
      <c r="A638" s="431" t="s">
        <v>346</v>
      </c>
      <c r="B638" s="431">
        <v>1870448</v>
      </c>
      <c r="C638" s="431" t="s">
        <v>159</v>
      </c>
      <c r="D638" s="431" t="s">
        <v>173</v>
      </c>
      <c r="E638" s="431" t="s">
        <v>161</v>
      </c>
      <c r="F638" s="431" t="s">
        <v>179</v>
      </c>
      <c r="G638" s="431" t="s">
        <v>175</v>
      </c>
      <c r="H638" s="431"/>
      <c r="I638" s="431"/>
      <c r="J638" s="431"/>
      <c r="K638" s="431"/>
      <c r="L638" s="431" t="s">
        <v>176</v>
      </c>
      <c r="M638" s="432" t="s">
        <v>347</v>
      </c>
    </row>
    <row r="639" spans="1:13" ht="409.5" x14ac:dyDescent="0.2">
      <c r="A639" s="431" t="s">
        <v>346</v>
      </c>
      <c r="B639" s="431">
        <v>1870448</v>
      </c>
      <c r="C639" s="431" t="s">
        <v>159</v>
      </c>
      <c r="D639" s="431" t="s">
        <v>173</v>
      </c>
      <c r="E639" s="431" t="s">
        <v>161</v>
      </c>
      <c r="F639" s="431" t="s">
        <v>179</v>
      </c>
      <c r="G639" s="431" t="s">
        <v>175</v>
      </c>
      <c r="H639" s="431"/>
      <c r="I639" s="431"/>
      <c r="J639" s="431"/>
      <c r="K639" s="431"/>
      <c r="L639" s="431" t="s">
        <v>176</v>
      </c>
      <c r="M639" s="432" t="s">
        <v>347</v>
      </c>
    </row>
    <row r="640" spans="1:13" ht="409.5" x14ac:dyDescent="0.2">
      <c r="A640" s="431" t="s">
        <v>346</v>
      </c>
      <c r="B640" s="431">
        <v>1870448</v>
      </c>
      <c r="C640" s="431" t="s">
        <v>159</v>
      </c>
      <c r="D640" s="431" t="s">
        <v>173</v>
      </c>
      <c r="E640" s="431" t="s">
        <v>161</v>
      </c>
      <c r="F640" s="431" t="s">
        <v>179</v>
      </c>
      <c r="G640" s="431" t="s">
        <v>175</v>
      </c>
      <c r="H640" s="431"/>
      <c r="I640" s="431"/>
      <c r="J640" s="431"/>
      <c r="K640" s="431"/>
      <c r="L640" s="431" t="s">
        <v>176</v>
      </c>
      <c r="M640" s="432" t="s">
        <v>347</v>
      </c>
    </row>
    <row r="641" spans="1:13" ht="409.5" x14ac:dyDescent="0.2">
      <c r="A641" s="431" t="s">
        <v>348</v>
      </c>
      <c r="B641" s="431">
        <v>1870449</v>
      </c>
      <c r="C641" s="431" t="s">
        <v>159</v>
      </c>
      <c r="D641" s="431" t="s">
        <v>173</v>
      </c>
      <c r="E641" s="431" t="s">
        <v>161</v>
      </c>
      <c r="F641" s="431" t="s">
        <v>317</v>
      </c>
      <c r="G641" s="431" t="s">
        <v>175</v>
      </c>
      <c r="H641" s="431"/>
      <c r="I641" s="431"/>
      <c r="J641" s="431"/>
      <c r="K641" s="431"/>
      <c r="L641" s="431" t="s">
        <v>255</v>
      </c>
      <c r="M641" s="432" t="s">
        <v>349</v>
      </c>
    </row>
    <row r="642" spans="1:13" ht="409.5" x14ac:dyDescent="0.2">
      <c r="A642" s="431" t="s">
        <v>348</v>
      </c>
      <c r="B642" s="431">
        <v>1870449</v>
      </c>
      <c r="C642" s="431" t="s">
        <v>159</v>
      </c>
      <c r="D642" s="431" t="s">
        <v>173</v>
      </c>
      <c r="E642" s="431" t="s">
        <v>161</v>
      </c>
      <c r="F642" s="431" t="s">
        <v>317</v>
      </c>
      <c r="G642" s="431" t="s">
        <v>175</v>
      </c>
      <c r="H642" s="431"/>
      <c r="I642" s="431"/>
      <c r="J642" s="431"/>
      <c r="K642" s="431"/>
      <c r="L642" s="431" t="s">
        <v>255</v>
      </c>
      <c r="M642" s="432" t="s">
        <v>349</v>
      </c>
    </row>
    <row r="643" spans="1:13" ht="409.5" x14ac:dyDescent="0.2">
      <c r="A643" s="431" t="s">
        <v>348</v>
      </c>
      <c r="B643" s="431">
        <v>1870449</v>
      </c>
      <c r="C643" s="431" t="s">
        <v>159</v>
      </c>
      <c r="D643" s="431" t="s">
        <v>173</v>
      </c>
      <c r="E643" s="431" t="s">
        <v>161</v>
      </c>
      <c r="F643" s="431" t="s">
        <v>317</v>
      </c>
      <c r="G643" s="431" t="s">
        <v>175</v>
      </c>
      <c r="H643" s="431"/>
      <c r="I643" s="431"/>
      <c r="J643" s="431"/>
      <c r="K643" s="431"/>
      <c r="L643" s="431" t="s">
        <v>255</v>
      </c>
      <c r="M643" s="432" t="s">
        <v>349</v>
      </c>
    </row>
    <row r="644" spans="1:13" ht="409.5" x14ac:dyDescent="0.2">
      <c r="A644" s="431" t="s">
        <v>348</v>
      </c>
      <c r="B644" s="431">
        <v>1870449</v>
      </c>
      <c r="C644" s="431" t="s">
        <v>159</v>
      </c>
      <c r="D644" s="431" t="s">
        <v>173</v>
      </c>
      <c r="E644" s="431" t="s">
        <v>161</v>
      </c>
      <c r="F644" s="431" t="s">
        <v>317</v>
      </c>
      <c r="G644" s="431" t="s">
        <v>175</v>
      </c>
      <c r="H644" s="431"/>
      <c r="I644" s="431"/>
      <c r="J644" s="431"/>
      <c r="K644" s="431"/>
      <c r="L644" s="431" t="s">
        <v>255</v>
      </c>
      <c r="M644" s="432" t="s">
        <v>349</v>
      </c>
    </row>
    <row r="645" spans="1:13" ht="409.5" x14ac:dyDescent="0.2">
      <c r="A645" s="431" t="s">
        <v>348</v>
      </c>
      <c r="B645" s="431">
        <v>1870449</v>
      </c>
      <c r="C645" s="431" t="s">
        <v>159</v>
      </c>
      <c r="D645" s="431" t="s">
        <v>173</v>
      </c>
      <c r="E645" s="431" t="s">
        <v>161</v>
      </c>
      <c r="F645" s="431" t="s">
        <v>317</v>
      </c>
      <c r="G645" s="431" t="s">
        <v>175</v>
      </c>
      <c r="H645" s="431"/>
      <c r="I645" s="431"/>
      <c r="J645" s="431"/>
      <c r="K645" s="431"/>
      <c r="L645" s="431" t="s">
        <v>255</v>
      </c>
      <c r="M645" s="432" t="s">
        <v>349</v>
      </c>
    </row>
    <row r="646" spans="1:13" ht="409.5" x14ac:dyDescent="0.2">
      <c r="A646" s="431" t="s">
        <v>348</v>
      </c>
      <c r="B646" s="431">
        <v>1870449</v>
      </c>
      <c r="C646" s="431" t="s">
        <v>159</v>
      </c>
      <c r="D646" s="431" t="s">
        <v>173</v>
      </c>
      <c r="E646" s="431" t="s">
        <v>161</v>
      </c>
      <c r="F646" s="431" t="s">
        <v>317</v>
      </c>
      <c r="G646" s="431" t="s">
        <v>175</v>
      </c>
      <c r="H646" s="431"/>
      <c r="I646" s="431"/>
      <c r="J646" s="431"/>
      <c r="K646" s="431"/>
      <c r="L646" s="431" t="s">
        <v>255</v>
      </c>
      <c r="M646" s="432" t="s">
        <v>349</v>
      </c>
    </row>
    <row r="647" spans="1:13" ht="409.5" x14ac:dyDescent="0.2">
      <c r="A647" s="431" t="s">
        <v>348</v>
      </c>
      <c r="B647" s="431">
        <v>1870449</v>
      </c>
      <c r="C647" s="431" t="s">
        <v>159</v>
      </c>
      <c r="D647" s="431" t="s">
        <v>173</v>
      </c>
      <c r="E647" s="431" t="s">
        <v>161</v>
      </c>
      <c r="F647" s="431" t="s">
        <v>317</v>
      </c>
      <c r="G647" s="431" t="s">
        <v>175</v>
      </c>
      <c r="H647" s="431"/>
      <c r="I647" s="431"/>
      <c r="J647" s="431"/>
      <c r="K647" s="431"/>
      <c r="L647" s="431" t="s">
        <v>255</v>
      </c>
      <c r="M647" s="432" t="s">
        <v>349</v>
      </c>
    </row>
    <row r="648" spans="1:13" ht="409.5" x14ac:dyDescent="0.2">
      <c r="A648" s="431" t="s">
        <v>348</v>
      </c>
      <c r="B648" s="431">
        <v>1870449</v>
      </c>
      <c r="C648" s="431" t="s">
        <v>159</v>
      </c>
      <c r="D648" s="431" t="s">
        <v>173</v>
      </c>
      <c r="E648" s="431" t="s">
        <v>161</v>
      </c>
      <c r="F648" s="431" t="s">
        <v>317</v>
      </c>
      <c r="G648" s="431" t="s">
        <v>175</v>
      </c>
      <c r="H648" s="431"/>
      <c r="I648" s="431"/>
      <c r="J648" s="431"/>
      <c r="K648" s="431"/>
      <c r="L648" s="431" t="s">
        <v>255</v>
      </c>
      <c r="M648" s="432" t="s">
        <v>349</v>
      </c>
    </row>
    <row r="649" spans="1:13" ht="409.5" x14ac:dyDescent="0.2">
      <c r="A649" s="431" t="s">
        <v>348</v>
      </c>
      <c r="B649" s="431">
        <v>1870449</v>
      </c>
      <c r="C649" s="431" t="s">
        <v>159</v>
      </c>
      <c r="D649" s="431" t="s">
        <v>173</v>
      </c>
      <c r="E649" s="431" t="s">
        <v>161</v>
      </c>
      <c r="F649" s="431" t="s">
        <v>317</v>
      </c>
      <c r="G649" s="431" t="s">
        <v>175</v>
      </c>
      <c r="H649" s="431"/>
      <c r="I649" s="431"/>
      <c r="J649" s="431"/>
      <c r="K649" s="431"/>
      <c r="L649" s="431" t="s">
        <v>255</v>
      </c>
      <c r="M649" s="432" t="s">
        <v>349</v>
      </c>
    </row>
    <row r="650" spans="1:13" ht="409.5" x14ac:dyDescent="0.2">
      <c r="A650" s="431" t="s">
        <v>348</v>
      </c>
      <c r="B650" s="431">
        <v>1870449</v>
      </c>
      <c r="C650" s="431" t="s">
        <v>159</v>
      </c>
      <c r="D650" s="431" t="s">
        <v>173</v>
      </c>
      <c r="E650" s="431" t="s">
        <v>161</v>
      </c>
      <c r="F650" s="431" t="s">
        <v>317</v>
      </c>
      <c r="G650" s="431" t="s">
        <v>175</v>
      </c>
      <c r="H650" s="431"/>
      <c r="I650" s="431"/>
      <c r="J650" s="431"/>
      <c r="K650" s="431"/>
      <c r="L650" s="431" t="s">
        <v>255</v>
      </c>
      <c r="M650" s="432" t="s">
        <v>349</v>
      </c>
    </row>
    <row r="651" spans="1:13" ht="409.5" x14ac:dyDescent="0.2">
      <c r="A651" s="431" t="s">
        <v>348</v>
      </c>
      <c r="B651" s="431">
        <v>1870449</v>
      </c>
      <c r="C651" s="431" t="s">
        <v>159</v>
      </c>
      <c r="D651" s="431" t="s">
        <v>173</v>
      </c>
      <c r="E651" s="431" t="s">
        <v>161</v>
      </c>
      <c r="F651" s="431" t="s">
        <v>317</v>
      </c>
      <c r="G651" s="431" t="s">
        <v>175</v>
      </c>
      <c r="H651" s="431"/>
      <c r="I651" s="431"/>
      <c r="J651" s="431"/>
      <c r="K651" s="431"/>
      <c r="L651" s="431" t="s">
        <v>255</v>
      </c>
      <c r="M651" s="432" t="s">
        <v>349</v>
      </c>
    </row>
    <row r="652" spans="1:13" ht="409.5" x14ac:dyDescent="0.2">
      <c r="A652" s="431" t="s">
        <v>348</v>
      </c>
      <c r="B652" s="431">
        <v>1870449</v>
      </c>
      <c r="C652" s="431" t="s">
        <v>159</v>
      </c>
      <c r="D652" s="431" t="s">
        <v>173</v>
      </c>
      <c r="E652" s="431" t="s">
        <v>161</v>
      </c>
      <c r="F652" s="431" t="s">
        <v>317</v>
      </c>
      <c r="G652" s="431" t="s">
        <v>175</v>
      </c>
      <c r="H652" s="431"/>
      <c r="I652" s="431"/>
      <c r="J652" s="431"/>
      <c r="K652" s="431"/>
      <c r="L652" s="431" t="s">
        <v>255</v>
      </c>
      <c r="M652" s="432" t="s">
        <v>349</v>
      </c>
    </row>
    <row r="653" spans="1:13" ht="409.5" x14ac:dyDescent="0.2">
      <c r="A653" s="431" t="s">
        <v>348</v>
      </c>
      <c r="B653" s="431">
        <v>1870449</v>
      </c>
      <c r="C653" s="431" t="s">
        <v>159</v>
      </c>
      <c r="D653" s="431" t="s">
        <v>173</v>
      </c>
      <c r="E653" s="431" t="s">
        <v>161</v>
      </c>
      <c r="F653" s="431" t="s">
        <v>317</v>
      </c>
      <c r="G653" s="431" t="s">
        <v>175</v>
      </c>
      <c r="H653" s="431"/>
      <c r="I653" s="431"/>
      <c r="J653" s="431"/>
      <c r="K653" s="431"/>
      <c r="L653" s="431" t="s">
        <v>255</v>
      </c>
      <c r="M653" s="432" t="s">
        <v>349</v>
      </c>
    </row>
    <row r="654" spans="1:13" ht="409.5" x14ac:dyDescent="0.2">
      <c r="A654" s="431" t="s">
        <v>348</v>
      </c>
      <c r="B654" s="431">
        <v>1870449</v>
      </c>
      <c r="C654" s="431" t="s">
        <v>159</v>
      </c>
      <c r="D654" s="431" t="s">
        <v>173</v>
      </c>
      <c r="E654" s="431" t="s">
        <v>161</v>
      </c>
      <c r="F654" s="431" t="s">
        <v>317</v>
      </c>
      <c r="G654" s="431" t="s">
        <v>175</v>
      </c>
      <c r="H654" s="431"/>
      <c r="I654" s="431"/>
      <c r="J654" s="431"/>
      <c r="K654" s="431"/>
      <c r="L654" s="431" t="s">
        <v>255</v>
      </c>
      <c r="M654" s="432" t="s">
        <v>349</v>
      </c>
    </row>
    <row r="655" spans="1:13" ht="409.5" x14ac:dyDescent="0.2">
      <c r="A655" s="431" t="s">
        <v>348</v>
      </c>
      <c r="B655" s="431">
        <v>1870449</v>
      </c>
      <c r="C655" s="431" t="s">
        <v>159</v>
      </c>
      <c r="D655" s="431" t="s">
        <v>173</v>
      </c>
      <c r="E655" s="431" t="s">
        <v>161</v>
      </c>
      <c r="F655" s="431" t="s">
        <v>317</v>
      </c>
      <c r="G655" s="431" t="s">
        <v>175</v>
      </c>
      <c r="H655" s="431"/>
      <c r="I655" s="431"/>
      <c r="J655" s="431"/>
      <c r="K655" s="431"/>
      <c r="L655" s="431" t="s">
        <v>255</v>
      </c>
      <c r="M655" s="432" t="s">
        <v>349</v>
      </c>
    </row>
    <row r="656" spans="1:13" ht="409.5" x14ac:dyDescent="0.2">
      <c r="A656" s="431" t="s">
        <v>348</v>
      </c>
      <c r="B656" s="431">
        <v>1870449</v>
      </c>
      <c r="C656" s="431" t="s">
        <v>159</v>
      </c>
      <c r="D656" s="431" t="s">
        <v>173</v>
      </c>
      <c r="E656" s="431" t="s">
        <v>161</v>
      </c>
      <c r="F656" s="431" t="s">
        <v>317</v>
      </c>
      <c r="G656" s="431" t="s">
        <v>175</v>
      </c>
      <c r="H656" s="431"/>
      <c r="I656" s="431"/>
      <c r="J656" s="431"/>
      <c r="K656" s="431"/>
      <c r="L656" s="431" t="s">
        <v>255</v>
      </c>
      <c r="M656" s="432" t="s">
        <v>349</v>
      </c>
    </row>
    <row r="657" spans="1:13" ht="409.5" x14ac:dyDescent="0.2">
      <c r="A657" s="431" t="s">
        <v>348</v>
      </c>
      <c r="B657" s="431">
        <v>1870449</v>
      </c>
      <c r="C657" s="431" t="s">
        <v>159</v>
      </c>
      <c r="D657" s="431" t="s">
        <v>173</v>
      </c>
      <c r="E657" s="431" t="s">
        <v>161</v>
      </c>
      <c r="F657" s="431" t="s">
        <v>317</v>
      </c>
      <c r="G657" s="431" t="s">
        <v>175</v>
      </c>
      <c r="H657" s="431"/>
      <c r="I657" s="431"/>
      <c r="J657" s="431"/>
      <c r="K657" s="431"/>
      <c r="L657" s="431" t="s">
        <v>255</v>
      </c>
      <c r="M657" s="432" t="s">
        <v>349</v>
      </c>
    </row>
    <row r="658" spans="1:13" ht="409.5" x14ac:dyDescent="0.2">
      <c r="A658" s="431" t="s">
        <v>348</v>
      </c>
      <c r="B658" s="431">
        <v>1870449</v>
      </c>
      <c r="C658" s="431" t="s">
        <v>159</v>
      </c>
      <c r="D658" s="431" t="s">
        <v>173</v>
      </c>
      <c r="E658" s="431" t="s">
        <v>161</v>
      </c>
      <c r="F658" s="431" t="s">
        <v>317</v>
      </c>
      <c r="G658" s="431" t="s">
        <v>175</v>
      </c>
      <c r="H658" s="431"/>
      <c r="I658" s="431"/>
      <c r="J658" s="431"/>
      <c r="K658" s="431"/>
      <c r="L658" s="431" t="s">
        <v>255</v>
      </c>
      <c r="M658" s="432" t="s">
        <v>349</v>
      </c>
    </row>
    <row r="659" spans="1:13" ht="409.5" x14ac:dyDescent="0.2">
      <c r="A659" s="431" t="s">
        <v>348</v>
      </c>
      <c r="B659" s="431">
        <v>1870449</v>
      </c>
      <c r="C659" s="431" t="s">
        <v>159</v>
      </c>
      <c r="D659" s="431" t="s">
        <v>173</v>
      </c>
      <c r="E659" s="431" t="s">
        <v>161</v>
      </c>
      <c r="F659" s="431" t="s">
        <v>317</v>
      </c>
      <c r="G659" s="431" t="s">
        <v>175</v>
      </c>
      <c r="H659" s="431"/>
      <c r="I659" s="431"/>
      <c r="J659" s="431"/>
      <c r="K659" s="431"/>
      <c r="L659" s="431" t="s">
        <v>255</v>
      </c>
      <c r="M659" s="432" t="s">
        <v>349</v>
      </c>
    </row>
    <row r="660" spans="1:13" ht="409.5" x14ac:dyDescent="0.2">
      <c r="A660" s="431" t="s">
        <v>348</v>
      </c>
      <c r="B660" s="431">
        <v>1870449</v>
      </c>
      <c r="C660" s="431" t="s">
        <v>159</v>
      </c>
      <c r="D660" s="431" t="s">
        <v>173</v>
      </c>
      <c r="E660" s="431" t="s">
        <v>161</v>
      </c>
      <c r="F660" s="431" t="s">
        <v>317</v>
      </c>
      <c r="G660" s="431" t="s">
        <v>175</v>
      </c>
      <c r="H660" s="431"/>
      <c r="I660" s="431"/>
      <c r="J660" s="431"/>
      <c r="K660" s="431"/>
      <c r="L660" s="431" t="s">
        <v>255</v>
      </c>
      <c r="M660" s="432" t="s">
        <v>349</v>
      </c>
    </row>
    <row r="661" spans="1:13" ht="409.5" x14ac:dyDescent="0.2">
      <c r="A661" s="431" t="s">
        <v>348</v>
      </c>
      <c r="B661" s="431">
        <v>1870449</v>
      </c>
      <c r="C661" s="431" t="s">
        <v>159</v>
      </c>
      <c r="D661" s="431" t="s">
        <v>173</v>
      </c>
      <c r="E661" s="431" t="s">
        <v>161</v>
      </c>
      <c r="F661" s="431" t="s">
        <v>317</v>
      </c>
      <c r="G661" s="431" t="s">
        <v>175</v>
      </c>
      <c r="H661" s="431"/>
      <c r="I661" s="431"/>
      <c r="J661" s="431"/>
      <c r="K661" s="431"/>
      <c r="L661" s="431" t="s">
        <v>255</v>
      </c>
      <c r="M661" s="432" t="s">
        <v>349</v>
      </c>
    </row>
    <row r="662" spans="1:13" ht="409.5" x14ac:dyDescent="0.2">
      <c r="A662" s="431" t="s">
        <v>348</v>
      </c>
      <c r="B662" s="431">
        <v>1870449</v>
      </c>
      <c r="C662" s="431" t="s">
        <v>159</v>
      </c>
      <c r="D662" s="431" t="s">
        <v>173</v>
      </c>
      <c r="E662" s="431" t="s">
        <v>161</v>
      </c>
      <c r="F662" s="431" t="s">
        <v>317</v>
      </c>
      <c r="G662" s="431" t="s">
        <v>175</v>
      </c>
      <c r="H662" s="431"/>
      <c r="I662" s="431"/>
      <c r="J662" s="431"/>
      <c r="K662" s="431"/>
      <c r="L662" s="431" t="s">
        <v>255</v>
      </c>
      <c r="M662" s="432" t="s">
        <v>349</v>
      </c>
    </row>
    <row r="663" spans="1:13" ht="409.5" x14ac:dyDescent="0.2">
      <c r="A663" s="431" t="s">
        <v>348</v>
      </c>
      <c r="B663" s="431">
        <v>1870449</v>
      </c>
      <c r="C663" s="431" t="s">
        <v>159</v>
      </c>
      <c r="D663" s="431" t="s">
        <v>173</v>
      </c>
      <c r="E663" s="431" t="s">
        <v>161</v>
      </c>
      <c r="F663" s="431" t="s">
        <v>317</v>
      </c>
      <c r="G663" s="431" t="s">
        <v>175</v>
      </c>
      <c r="H663" s="431"/>
      <c r="I663" s="431"/>
      <c r="J663" s="431"/>
      <c r="K663" s="431"/>
      <c r="L663" s="431" t="s">
        <v>255</v>
      </c>
      <c r="M663" s="432" t="s">
        <v>349</v>
      </c>
    </row>
    <row r="664" spans="1:13" ht="409.5" x14ac:dyDescent="0.2">
      <c r="A664" s="431" t="s">
        <v>348</v>
      </c>
      <c r="B664" s="431">
        <v>1870449</v>
      </c>
      <c r="C664" s="431" t="s">
        <v>159</v>
      </c>
      <c r="D664" s="431" t="s">
        <v>173</v>
      </c>
      <c r="E664" s="431" t="s">
        <v>161</v>
      </c>
      <c r="F664" s="431" t="s">
        <v>317</v>
      </c>
      <c r="G664" s="431" t="s">
        <v>175</v>
      </c>
      <c r="H664" s="431"/>
      <c r="I664" s="431"/>
      <c r="J664" s="431"/>
      <c r="K664" s="431"/>
      <c r="L664" s="431" t="s">
        <v>255</v>
      </c>
      <c r="M664" s="432" t="s">
        <v>349</v>
      </c>
    </row>
    <row r="665" spans="1:13" ht="409.5" x14ac:dyDescent="0.2">
      <c r="A665" s="431" t="s">
        <v>348</v>
      </c>
      <c r="B665" s="431">
        <v>1870449</v>
      </c>
      <c r="C665" s="431" t="s">
        <v>159</v>
      </c>
      <c r="D665" s="431" t="s">
        <v>173</v>
      </c>
      <c r="E665" s="431" t="s">
        <v>161</v>
      </c>
      <c r="F665" s="431" t="s">
        <v>317</v>
      </c>
      <c r="G665" s="431" t="s">
        <v>175</v>
      </c>
      <c r="H665" s="431"/>
      <c r="I665" s="431"/>
      <c r="J665" s="431"/>
      <c r="K665" s="431"/>
      <c r="L665" s="431" t="s">
        <v>255</v>
      </c>
      <c r="M665" s="432" t="s">
        <v>349</v>
      </c>
    </row>
    <row r="666" spans="1:13" ht="409.5" x14ac:dyDescent="0.2">
      <c r="A666" s="431" t="s">
        <v>348</v>
      </c>
      <c r="B666" s="431">
        <v>1870449</v>
      </c>
      <c r="C666" s="431" t="s">
        <v>159</v>
      </c>
      <c r="D666" s="431" t="s">
        <v>173</v>
      </c>
      <c r="E666" s="431" t="s">
        <v>161</v>
      </c>
      <c r="F666" s="431" t="s">
        <v>317</v>
      </c>
      <c r="G666" s="431" t="s">
        <v>175</v>
      </c>
      <c r="H666" s="431"/>
      <c r="I666" s="431"/>
      <c r="J666" s="431"/>
      <c r="K666" s="431"/>
      <c r="L666" s="431" t="s">
        <v>255</v>
      </c>
      <c r="M666" s="432" t="s">
        <v>349</v>
      </c>
    </row>
    <row r="667" spans="1:13" ht="409.5" x14ac:dyDescent="0.2">
      <c r="A667" s="431" t="s">
        <v>348</v>
      </c>
      <c r="B667" s="431">
        <v>1870449</v>
      </c>
      <c r="C667" s="431" t="s">
        <v>159</v>
      </c>
      <c r="D667" s="431" t="s">
        <v>173</v>
      </c>
      <c r="E667" s="431" t="s">
        <v>161</v>
      </c>
      <c r="F667" s="431" t="s">
        <v>317</v>
      </c>
      <c r="G667" s="431" t="s">
        <v>175</v>
      </c>
      <c r="H667" s="431"/>
      <c r="I667" s="431"/>
      <c r="J667" s="431"/>
      <c r="K667" s="431"/>
      <c r="L667" s="431" t="s">
        <v>255</v>
      </c>
      <c r="M667" s="432" t="s">
        <v>349</v>
      </c>
    </row>
    <row r="668" spans="1:13" ht="409.5" x14ac:dyDescent="0.2">
      <c r="A668" s="431" t="s">
        <v>348</v>
      </c>
      <c r="B668" s="431">
        <v>1870449</v>
      </c>
      <c r="C668" s="431" t="s">
        <v>159</v>
      </c>
      <c r="D668" s="431" t="s">
        <v>173</v>
      </c>
      <c r="E668" s="431" t="s">
        <v>161</v>
      </c>
      <c r="F668" s="431" t="s">
        <v>317</v>
      </c>
      <c r="G668" s="431" t="s">
        <v>175</v>
      </c>
      <c r="H668" s="431"/>
      <c r="I668" s="431"/>
      <c r="J668" s="431"/>
      <c r="K668" s="431"/>
      <c r="L668" s="431" t="s">
        <v>255</v>
      </c>
      <c r="M668" s="432" t="s">
        <v>349</v>
      </c>
    </row>
    <row r="669" spans="1:13" ht="409.5" x14ac:dyDescent="0.2">
      <c r="A669" s="431" t="s">
        <v>348</v>
      </c>
      <c r="B669" s="431">
        <v>1870449</v>
      </c>
      <c r="C669" s="431" t="s">
        <v>159</v>
      </c>
      <c r="D669" s="431" t="s">
        <v>173</v>
      </c>
      <c r="E669" s="431" t="s">
        <v>161</v>
      </c>
      <c r="F669" s="431" t="s">
        <v>317</v>
      </c>
      <c r="G669" s="431" t="s">
        <v>175</v>
      </c>
      <c r="H669" s="431"/>
      <c r="I669" s="431"/>
      <c r="J669" s="431"/>
      <c r="K669" s="431"/>
      <c r="L669" s="431" t="s">
        <v>255</v>
      </c>
      <c r="M669" s="432" t="s">
        <v>349</v>
      </c>
    </row>
    <row r="670" spans="1:13" ht="409.5" x14ac:dyDescent="0.2">
      <c r="A670" s="431" t="s">
        <v>348</v>
      </c>
      <c r="B670" s="431">
        <v>1870449</v>
      </c>
      <c r="C670" s="431" t="s">
        <v>159</v>
      </c>
      <c r="D670" s="431" t="s">
        <v>173</v>
      </c>
      <c r="E670" s="431" t="s">
        <v>161</v>
      </c>
      <c r="F670" s="431" t="s">
        <v>317</v>
      </c>
      <c r="G670" s="431" t="s">
        <v>175</v>
      </c>
      <c r="H670" s="431"/>
      <c r="I670" s="431"/>
      <c r="J670" s="431"/>
      <c r="K670" s="431"/>
      <c r="L670" s="431" t="s">
        <v>255</v>
      </c>
      <c r="M670" s="432" t="s">
        <v>349</v>
      </c>
    </row>
    <row r="671" spans="1:13" ht="409.5" x14ac:dyDescent="0.2">
      <c r="A671" s="431" t="s">
        <v>348</v>
      </c>
      <c r="B671" s="431">
        <v>1870449</v>
      </c>
      <c r="C671" s="431" t="s">
        <v>159</v>
      </c>
      <c r="D671" s="431" t="s">
        <v>173</v>
      </c>
      <c r="E671" s="431" t="s">
        <v>161</v>
      </c>
      <c r="F671" s="431" t="s">
        <v>317</v>
      </c>
      <c r="G671" s="431" t="s">
        <v>175</v>
      </c>
      <c r="H671" s="431"/>
      <c r="I671" s="431"/>
      <c r="J671" s="431"/>
      <c r="K671" s="431"/>
      <c r="L671" s="431" t="s">
        <v>255</v>
      </c>
      <c r="M671" s="432" t="s">
        <v>349</v>
      </c>
    </row>
    <row r="672" spans="1:13" ht="409.5" x14ac:dyDescent="0.2">
      <c r="A672" s="431" t="s">
        <v>348</v>
      </c>
      <c r="B672" s="431">
        <v>1870449</v>
      </c>
      <c r="C672" s="431" t="s">
        <v>159</v>
      </c>
      <c r="D672" s="431" t="s">
        <v>173</v>
      </c>
      <c r="E672" s="431" t="s">
        <v>161</v>
      </c>
      <c r="F672" s="431" t="s">
        <v>317</v>
      </c>
      <c r="G672" s="431" t="s">
        <v>175</v>
      </c>
      <c r="H672" s="431"/>
      <c r="I672" s="431"/>
      <c r="J672" s="431"/>
      <c r="K672" s="431"/>
      <c r="L672" s="431" t="s">
        <v>255</v>
      </c>
      <c r="M672" s="432" t="s">
        <v>349</v>
      </c>
    </row>
    <row r="673" spans="1:13" ht="409.5" x14ac:dyDescent="0.2">
      <c r="A673" s="431" t="s">
        <v>348</v>
      </c>
      <c r="B673" s="431">
        <v>1870449</v>
      </c>
      <c r="C673" s="431" t="s">
        <v>159</v>
      </c>
      <c r="D673" s="431" t="s">
        <v>173</v>
      </c>
      <c r="E673" s="431" t="s">
        <v>161</v>
      </c>
      <c r="F673" s="431" t="s">
        <v>317</v>
      </c>
      <c r="G673" s="431" t="s">
        <v>175</v>
      </c>
      <c r="H673" s="431"/>
      <c r="I673" s="431"/>
      <c r="J673" s="431"/>
      <c r="K673" s="431"/>
      <c r="L673" s="431" t="s">
        <v>255</v>
      </c>
      <c r="M673" s="432" t="s">
        <v>349</v>
      </c>
    </row>
    <row r="674" spans="1:13" ht="409.5" x14ac:dyDescent="0.2">
      <c r="A674" s="431" t="s">
        <v>348</v>
      </c>
      <c r="B674" s="431">
        <v>1870449</v>
      </c>
      <c r="C674" s="431" t="s">
        <v>159</v>
      </c>
      <c r="D674" s="431" t="s">
        <v>173</v>
      </c>
      <c r="E674" s="431" t="s">
        <v>161</v>
      </c>
      <c r="F674" s="431" t="s">
        <v>317</v>
      </c>
      <c r="G674" s="431" t="s">
        <v>175</v>
      </c>
      <c r="H674" s="431"/>
      <c r="I674" s="431"/>
      <c r="J674" s="431"/>
      <c r="K674" s="431"/>
      <c r="L674" s="431" t="s">
        <v>255</v>
      </c>
      <c r="M674" s="432" t="s">
        <v>349</v>
      </c>
    </row>
    <row r="675" spans="1:13" ht="409.5" x14ac:dyDescent="0.2">
      <c r="A675" s="431" t="s">
        <v>348</v>
      </c>
      <c r="B675" s="431">
        <v>1870449</v>
      </c>
      <c r="C675" s="431" t="s">
        <v>159</v>
      </c>
      <c r="D675" s="431" t="s">
        <v>173</v>
      </c>
      <c r="E675" s="431" t="s">
        <v>161</v>
      </c>
      <c r="F675" s="431" t="s">
        <v>317</v>
      </c>
      <c r="G675" s="431" t="s">
        <v>175</v>
      </c>
      <c r="H675" s="431"/>
      <c r="I675" s="431"/>
      <c r="J675" s="431"/>
      <c r="K675" s="431"/>
      <c r="L675" s="431" t="s">
        <v>255</v>
      </c>
      <c r="M675" s="432" t="s">
        <v>349</v>
      </c>
    </row>
    <row r="676" spans="1:13" ht="409.5" x14ac:dyDescent="0.2">
      <c r="A676" s="431" t="s">
        <v>348</v>
      </c>
      <c r="B676" s="431">
        <v>1870449</v>
      </c>
      <c r="C676" s="431" t="s">
        <v>159</v>
      </c>
      <c r="D676" s="431" t="s">
        <v>173</v>
      </c>
      <c r="E676" s="431" t="s">
        <v>161</v>
      </c>
      <c r="F676" s="431" t="s">
        <v>317</v>
      </c>
      <c r="G676" s="431" t="s">
        <v>175</v>
      </c>
      <c r="H676" s="431"/>
      <c r="I676" s="431"/>
      <c r="J676" s="431"/>
      <c r="K676" s="431"/>
      <c r="L676" s="431" t="s">
        <v>255</v>
      </c>
      <c r="M676" s="432" t="s">
        <v>349</v>
      </c>
    </row>
    <row r="677" spans="1:13" ht="409.5" x14ac:dyDescent="0.2">
      <c r="A677" s="431" t="s">
        <v>348</v>
      </c>
      <c r="B677" s="431">
        <v>1870449</v>
      </c>
      <c r="C677" s="431" t="s">
        <v>159</v>
      </c>
      <c r="D677" s="431" t="s">
        <v>173</v>
      </c>
      <c r="E677" s="431" t="s">
        <v>161</v>
      </c>
      <c r="F677" s="431" t="s">
        <v>317</v>
      </c>
      <c r="G677" s="431" t="s">
        <v>175</v>
      </c>
      <c r="H677" s="431"/>
      <c r="I677" s="431"/>
      <c r="J677" s="431"/>
      <c r="K677" s="431"/>
      <c r="L677" s="431" t="s">
        <v>255</v>
      </c>
      <c r="M677" s="432" t="s">
        <v>349</v>
      </c>
    </row>
    <row r="678" spans="1:13" ht="409.5" x14ac:dyDescent="0.2">
      <c r="A678" s="431" t="s">
        <v>348</v>
      </c>
      <c r="B678" s="431">
        <v>1870449</v>
      </c>
      <c r="C678" s="431" t="s">
        <v>159</v>
      </c>
      <c r="D678" s="431" t="s">
        <v>173</v>
      </c>
      <c r="E678" s="431" t="s">
        <v>161</v>
      </c>
      <c r="F678" s="431" t="s">
        <v>317</v>
      </c>
      <c r="G678" s="431" t="s">
        <v>175</v>
      </c>
      <c r="H678" s="431"/>
      <c r="I678" s="431"/>
      <c r="J678" s="431"/>
      <c r="K678" s="431"/>
      <c r="L678" s="431" t="s">
        <v>255</v>
      </c>
      <c r="M678" s="432" t="s">
        <v>349</v>
      </c>
    </row>
    <row r="679" spans="1:13" ht="409.5" x14ac:dyDescent="0.2">
      <c r="A679" s="431" t="s">
        <v>348</v>
      </c>
      <c r="B679" s="431">
        <v>1870449</v>
      </c>
      <c r="C679" s="431" t="s">
        <v>159</v>
      </c>
      <c r="D679" s="431" t="s">
        <v>173</v>
      </c>
      <c r="E679" s="431" t="s">
        <v>161</v>
      </c>
      <c r="F679" s="431" t="s">
        <v>317</v>
      </c>
      <c r="G679" s="431" t="s">
        <v>175</v>
      </c>
      <c r="H679" s="431"/>
      <c r="I679" s="431"/>
      <c r="J679" s="431"/>
      <c r="K679" s="431"/>
      <c r="L679" s="431" t="s">
        <v>255</v>
      </c>
      <c r="M679" s="432" t="s">
        <v>349</v>
      </c>
    </row>
    <row r="680" spans="1:13" ht="409.5" x14ac:dyDescent="0.2">
      <c r="A680" s="431" t="s">
        <v>348</v>
      </c>
      <c r="B680" s="431">
        <v>1870449</v>
      </c>
      <c r="C680" s="431" t="s">
        <v>159</v>
      </c>
      <c r="D680" s="431" t="s">
        <v>173</v>
      </c>
      <c r="E680" s="431" t="s">
        <v>161</v>
      </c>
      <c r="F680" s="431" t="s">
        <v>317</v>
      </c>
      <c r="G680" s="431" t="s">
        <v>175</v>
      </c>
      <c r="H680" s="431"/>
      <c r="I680" s="431"/>
      <c r="J680" s="431"/>
      <c r="K680" s="431"/>
      <c r="L680" s="431" t="s">
        <v>255</v>
      </c>
      <c r="M680" s="432" t="s">
        <v>349</v>
      </c>
    </row>
    <row r="681" spans="1:13" ht="409.5" x14ac:dyDescent="0.2">
      <c r="A681" s="431" t="s">
        <v>348</v>
      </c>
      <c r="B681" s="431">
        <v>1870449</v>
      </c>
      <c r="C681" s="431" t="s">
        <v>159</v>
      </c>
      <c r="D681" s="431" t="s">
        <v>173</v>
      </c>
      <c r="E681" s="431" t="s">
        <v>161</v>
      </c>
      <c r="F681" s="431" t="s">
        <v>317</v>
      </c>
      <c r="G681" s="431" t="s">
        <v>175</v>
      </c>
      <c r="H681" s="431"/>
      <c r="I681" s="431"/>
      <c r="J681" s="431"/>
      <c r="K681" s="431"/>
      <c r="L681" s="431" t="s">
        <v>255</v>
      </c>
      <c r="M681" s="432" t="s">
        <v>349</v>
      </c>
    </row>
    <row r="682" spans="1:13" ht="409.5" x14ac:dyDescent="0.2">
      <c r="A682" s="431" t="s">
        <v>348</v>
      </c>
      <c r="B682" s="431">
        <v>1870449</v>
      </c>
      <c r="C682" s="431" t="s">
        <v>159</v>
      </c>
      <c r="D682" s="431" t="s">
        <v>173</v>
      </c>
      <c r="E682" s="431" t="s">
        <v>161</v>
      </c>
      <c r="F682" s="431" t="s">
        <v>317</v>
      </c>
      <c r="G682" s="431" t="s">
        <v>175</v>
      </c>
      <c r="H682" s="431"/>
      <c r="I682" s="431"/>
      <c r="J682" s="431"/>
      <c r="K682" s="431"/>
      <c r="L682" s="431" t="s">
        <v>255</v>
      </c>
      <c r="M682" s="432" t="s">
        <v>349</v>
      </c>
    </row>
    <row r="683" spans="1:13" ht="409.5" x14ac:dyDescent="0.2">
      <c r="A683" s="431" t="s">
        <v>348</v>
      </c>
      <c r="B683" s="431">
        <v>1870449</v>
      </c>
      <c r="C683" s="431" t="s">
        <v>159</v>
      </c>
      <c r="D683" s="431" t="s">
        <v>173</v>
      </c>
      <c r="E683" s="431" t="s">
        <v>161</v>
      </c>
      <c r="F683" s="431" t="s">
        <v>317</v>
      </c>
      <c r="G683" s="431" t="s">
        <v>175</v>
      </c>
      <c r="H683" s="431"/>
      <c r="I683" s="431"/>
      <c r="J683" s="431"/>
      <c r="K683" s="431"/>
      <c r="L683" s="431" t="s">
        <v>255</v>
      </c>
      <c r="M683" s="432" t="s">
        <v>349</v>
      </c>
    </row>
    <row r="684" spans="1:13" ht="409.5" x14ac:dyDescent="0.2">
      <c r="A684" s="431" t="s">
        <v>348</v>
      </c>
      <c r="B684" s="431">
        <v>1870449</v>
      </c>
      <c r="C684" s="431" t="s">
        <v>159</v>
      </c>
      <c r="D684" s="431" t="s">
        <v>173</v>
      </c>
      <c r="E684" s="431" t="s">
        <v>161</v>
      </c>
      <c r="F684" s="431" t="s">
        <v>317</v>
      </c>
      <c r="G684" s="431" t="s">
        <v>175</v>
      </c>
      <c r="H684" s="431"/>
      <c r="I684" s="431"/>
      <c r="J684" s="431"/>
      <c r="K684" s="431"/>
      <c r="L684" s="431" t="s">
        <v>255</v>
      </c>
      <c r="M684" s="432" t="s">
        <v>349</v>
      </c>
    </row>
    <row r="685" spans="1:13" ht="409.5" x14ac:dyDescent="0.2">
      <c r="A685" s="431" t="s">
        <v>348</v>
      </c>
      <c r="B685" s="431">
        <v>1870449</v>
      </c>
      <c r="C685" s="431" t="s">
        <v>159</v>
      </c>
      <c r="D685" s="431" t="s">
        <v>173</v>
      </c>
      <c r="E685" s="431" t="s">
        <v>161</v>
      </c>
      <c r="F685" s="431" t="s">
        <v>317</v>
      </c>
      <c r="G685" s="431" t="s">
        <v>175</v>
      </c>
      <c r="H685" s="431"/>
      <c r="I685" s="431"/>
      <c r="J685" s="431"/>
      <c r="K685" s="431"/>
      <c r="L685" s="431" t="s">
        <v>255</v>
      </c>
      <c r="M685" s="432" t="s">
        <v>349</v>
      </c>
    </row>
    <row r="686" spans="1:13" ht="409.5" x14ac:dyDescent="0.2">
      <c r="A686" s="431" t="s">
        <v>348</v>
      </c>
      <c r="B686" s="431">
        <v>1870449</v>
      </c>
      <c r="C686" s="431" t="s">
        <v>159</v>
      </c>
      <c r="D686" s="431" t="s">
        <v>173</v>
      </c>
      <c r="E686" s="431" t="s">
        <v>161</v>
      </c>
      <c r="F686" s="431" t="s">
        <v>317</v>
      </c>
      <c r="G686" s="431" t="s">
        <v>175</v>
      </c>
      <c r="H686" s="431"/>
      <c r="I686" s="431"/>
      <c r="J686" s="431"/>
      <c r="K686" s="431"/>
      <c r="L686" s="431" t="s">
        <v>255</v>
      </c>
      <c r="M686" s="432" t="s">
        <v>349</v>
      </c>
    </row>
    <row r="687" spans="1:13" ht="409.5" x14ac:dyDescent="0.2">
      <c r="A687" s="431" t="s">
        <v>348</v>
      </c>
      <c r="B687" s="431">
        <v>1870449</v>
      </c>
      <c r="C687" s="431" t="s">
        <v>159</v>
      </c>
      <c r="D687" s="431" t="s">
        <v>173</v>
      </c>
      <c r="E687" s="431" t="s">
        <v>161</v>
      </c>
      <c r="F687" s="431" t="s">
        <v>317</v>
      </c>
      <c r="G687" s="431" t="s">
        <v>175</v>
      </c>
      <c r="H687" s="431"/>
      <c r="I687" s="431"/>
      <c r="J687" s="431"/>
      <c r="K687" s="431"/>
      <c r="L687" s="431" t="s">
        <v>255</v>
      </c>
      <c r="M687" s="432" t="s">
        <v>349</v>
      </c>
    </row>
    <row r="688" spans="1:13" ht="409.5" x14ac:dyDescent="0.2">
      <c r="A688" s="431" t="s">
        <v>348</v>
      </c>
      <c r="B688" s="431">
        <v>1870449</v>
      </c>
      <c r="C688" s="431" t="s">
        <v>159</v>
      </c>
      <c r="D688" s="431" t="s">
        <v>173</v>
      </c>
      <c r="E688" s="431" t="s">
        <v>161</v>
      </c>
      <c r="F688" s="431" t="s">
        <v>317</v>
      </c>
      <c r="G688" s="431" t="s">
        <v>175</v>
      </c>
      <c r="H688" s="431"/>
      <c r="I688" s="431"/>
      <c r="J688" s="431"/>
      <c r="K688" s="431"/>
      <c r="L688" s="431" t="s">
        <v>255</v>
      </c>
      <c r="M688" s="432" t="s">
        <v>349</v>
      </c>
    </row>
    <row r="689" spans="1:13" ht="409.5" x14ac:dyDescent="0.2">
      <c r="A689" s="431" t="s">
        <v>348</v>
      </c>
      <c r="B689" s="431">
        <v>1870449</v>
      </c>
      <c r="C689" s="431" t="s">
        <v>159</v>
      </c>
      <c r="D689" s="431" t="s">
        <v>173</v>
      </c>
      <c r="E689" s="431" t="s">
        <v>161</v>
      </c>
      <c r="F689" s="431" t="s">
        <v>317</v>
      </c>
      <c r="G689" s="431" t="s">
        <v>175</v>
      </c>
      <c r="H689" s="431"/>
      <c r="I689" s="431"/>
      <c r="J689" s="431"/>
      <c r="K689" s="431"/>
      <c r="L689" s="431" t="s">
        <v>255</v>
      </c>
      <c r="M689" s="432" t="s">
        <v>349</v>
      </c>
    </row>
    <row r="690" spans="1:13" ht="409.5" x14ac:dyDescent="0.2">
      <c r="A690" s="431" t="s">
        <v>348</v>
      </c>
      <c r="B690" s="431">
        <v>1870449</v>
      </c>
      <c r="C690" s="431" t="s">
        <v>159</v>
      </c>
      <c r="D690" s="431" t="s">
        <v>173</v>
      </c>
      <c r="E690" s="431" t="s">
        <v>161</v>
      </c>
      <c r="F690" s="431" t="s">
        <v>317</v>
      </c>
      <c r="G690" s="431" t="s">
        <v>175</v>
      </c>
      <c r="H690" s="431"/>
      <c r="I690" s="431"/>
      <c r="J690" s="431"/>
      <c r="K690" s="431"/>
      <c r="L690" s="431" t="s">
        <v>255</v>
      </c>
      <c r="M690" s="432" t="s">
        <v>349</v>
      </c>
    </row>
    <row r="691" spans="1:13" ht="409.5" x14ac:dyDescent="0.2">
      <c r="A691" s="431" t="s">
        <v>348</v>
      </c>
      <c r="B691" s="431">
        <v>1870449</v>
      </c>
      <c r="C691" s="431" t="s">
        <v>159</v>
      </c>
      <c r="D691" s="431" t="s">
        <v>173</v>
      </c>
      <c r="E691" s="431" t="s">
        <v>161</v>
      </c>
      <c r="F691" s="431" t="s">
        <v>317</v>
      </c>
      <c r="G691" s="431" t="s">
        <v>175</v>
      </c>
      <c r="H691" s="431"/>
      <c r="I691" s="431"/>
      <c r="J691" s="431"/>
      <c r="K691" s="431"/>
      <c r="L691" s="431" t="s">
        <v>255</v>
      </c>
      <c r="M691" s="432" t="s">
        <v>349</v>
      </c>
    </row>
    <row r="692" spans="1:13" ht="409.5" x14ac:dyDescent="0.2">
      <c r="A692" s="431" t="s">
        <v>348</v>
      </c>
      <c r="B692" s="431">
        <v>1870449</v>
      </c>
      <c r="C692" s="431" t="s">
        <v>159</v>
      </c>
      <c r="D692" s="431" t="s">
        <v>173</v>
      </c>
      <c r="E692" s="431" t="s">
        <v>161</v>
      </c>
      <c r="F692" s="431" t="s">
        <v>317</v>
      </c>
      <c r="G692" s="431" t="s">
        <v>175</v>
      </c>
      <c r="H692" s="431"/>
      <c r="I692" s="431"/>
      <c r="J692" s="431"/>
      <c r="K692" s="431"/>
      <c r="L692" s="431" t="s">
        <v>255</v>
      </c>
      <c r="M692" s="432" t="s">
        <v>349</v>
      </c>
    </row>
    <row r="693" spans="1:13" ht="409.5" x14ac:dyDescent="0.2">
      <c r="A693" s="431" t="s">
        <v>348</v>
      </c>
      <c r="B693" s="431">
        <v>1870449</v>
      </c>
      <c r="C693" s="431" t="s">
        <v>159</v>
      </c>
      <c r="D693" s="431" t="s">
        <v>173</v>
      </c>
      <c r="E693" s="431" t="s">
        <v>161</v>
      </c>
      <c r="F693" s="431" t="s">
        <v>317</v>
      </c>
      <c r="G693" s="431" t="s">
        <v>175</v>
      </c>
      <c r="H693" s="431"/>
      <c r="I693" s="431"/>
      <c r="J693" s="431"/>
      <c r="K693" s="431"/>
      <c r="L693" s="431" t="s">
        <v>255</v>
      </c>
      <c r="M693" s="432" t="s">
        <v>349</v>
      </c>
    </row>
    <row r="694" spans="1:13" ht="409.5" x14ac:dyDescent="0.2">
      <c r="A694" s="431" t="s">
        <v>348</v>
      </c>
      <c r="B694" s="431">
        <v>1870449</v>
      </c>
      <c r="C694" s="431" t="s">
        <v>159</v>
      </c>
      <c r="D694" s="431" t="s">
        <v>173</v>
      </c>
      <c r="E694" s="431" t="s">
        <v>161</v>
      </c>
      <c r="F694" s="431" t="s">
        <v>317</v>
      </c>
      <c r="G694" s="431" t="s">
        <v>175</v>
      </c>
      <c r="H694" s="431"/>
      <c r="I694" s="431"/>
      <c r="J694" s="431"/>
      <c r="K694" s="431"/>
      <c r="L694" s="431" t="s">
        <v>255</v>
      </c>
      <c r="M694" s="432" t="s">
        <v>349</v>
      </c>
    </row>
    <row r="695" spans="1:13" ht="409.5" x14ac:dyDescent="0.2">
      <c r="A695" s="431" t="s">
        <v>348</v>
      </c>
      <c r="B695" s="431">
        <v>1870449</v>
      </c>
      <c r="C695" s="431" t="s">
        <v>159</v>
      </c>
      <c r="D695" s="431" t="s">
        <v>173</v>
      </c>
      <c r="E695" s="431" t="s">
        <v>161</v>
      </c>
      <c r="F695" s="431" t="s">
        <v>317</v>
      </c>
      <c r="G695" s="431" t="s">
        <v>175</v>
      </c>
      <c r="H695" s="431"/>
      <c r="I695" s="431"/>
      <c r="J695" s="431"/>
      <c r="K695" s="431"/>
      <c r="L695" s="431" t="s">
        <v>255</v>
      </c>
      <c r="M695" s="432" t="s">
        <v>349</v>
      </c>
    </row>
    <row r="696" spans="1:13" ht="409.5" x14ac:dyDescent="0.2">
      <c r="A696" s="431" t="s">
        <v>348</v>
      </c>
      <c r="B696" s="431">
        <v>1870449</v>
      </c>
      <c r="C696" s="431" t="s">
        <v>159</v>
      </c>
      <c r="D696" s="431" t="s">
        <v>173</v>
      </c>
      <c r="E696" s="431" t="s">
        <v>161</v>
      </c>
      <c r="F696" s="431" t="s">
        <v>317</v>
      </c>
      <c r="G696" s="431" t="s">
        <v>175</v>
      </c>
      <c r="H696" s="431"/>
      <c r="I696" s="431"/>
      <c r="J696" s="431"/>
      <c r="K696" s="431"/>
      <c r="L696" s="431" t="s">
        <v>255</v>
      </c>
      <c r="M696" s="432" t="s">
        <v>349</v>
      </c>
    </row>
    <row r="697" spans="1:13" ht="409.5" x14ac:dyDescent="0.2">
      <c r="A697" s="431" t="s">
        <v>348</v>
      </c>
      <c r="B697" s="431">
        <v>1870449</v>
      </c>
      <c r="C697" s="431" t="s">
        <v>159</v>
      </c>
      <c r="D697" s="431" t="s">
        <v>173</v>
      </c>
      <c r="E697" s="431" t="s">
        <v>161</v>
      </c>
      <c r="F697" s="431" t="s">
        <v>317</v>
      </c>
      <c r="G697" s="431" t="s">
        <v>175</v>
      </c>
      <c r="H697" s="431"/>
      <c r="I697" s="431"/>
      <c r="J697" s="431"/>
      <c r="K697" s="431"/>
      <c r="L697" s="431" t="s">
        <v>255</v>
      </c>
      <c r="M697" s="432" t="s">
        <v>349</v>
      </c>
    </row>
    <row r="698" spans="1:13" ht="409.5" x14ac:dyDescent="0.2">
      <c r="A698" s="431" t="s">
        <v>348</v>
      </c>
      <c r="B698" s="431">
        <v>1870449</v>
      </c>
      <c r="C698" s="431" t="s">
        <v>159</v>
      </c>
      <c r="D698" s="431" t="s">
        <v>173</v>
      </c>
      <c r="E698" s="431" t="s">
        <v>161</v>
      </c>
      <c r="F698" s="431" t="s">
        <v>317</v>
      </c>
      <c r="G698" s="431" t="s">
        <v>175</v>
      </c>
      <c r="H698" s="431"/>
      <c r="I698" s="431"/>
      <c r="J698" s="431"/>
      <c r="K698" s="431"/>
      <c r="L698" s="431" t="s">
        <v>255</v>
      </c>
      <c r="M698" s="432" t="s">
        <v>349</v>
      </c>
    </row>
    <row r="699" spans="1:13" ht="409.5" x14ac:dyDescent="0.2">
      <c r="A699" s="431" t="s">
        <v>350</v>
      </c>
      <c r="B699" s="431">
        <v>1870450</v>
      </c>
      <c r="C699" s="431" t="s">
        <v>159</v>
      </c>
      <c r="D699" s="431" t="s">
        <v>173</v>
      </c>
      <c r="E699" s="431" t="s">
        <v>161</v>
      </c>
      <c r="F699" s="431" t="s">
        <v>351</v>
      </c>
      <c r="G699" s="431" t="s">
        <v>175</v>
      </c>
      <c r="H699" s="431"/>
      <c r="I699" s="431"/>
      <c r="J699" s="431"/>
      <c r="K699" s="431"/>
      <c r="L699" s="431" t="s">
        <v>352</v>
      </c>
      <c r="M699" s="432" t="s">
        <v>353</v>
      </c>
    </row>
    <row r="700" spans="1:13" ht="409.5" x14ac:dyDescent="0.2">
      <c r="A700" s="431" t="s">
        <v>350</v>
      </c>
      <c r="B700" s="431">
        <v>1870450</v>
      </c>
      <c r="C700" s="431" t="s">
        <v>159</v>
      </c>
      <c r="D700" s="431" t="s">
        <v>173</v>
      </c>
      <c r="E700" s="431" t="s">
        <v>161</v>
      </c>
      <c r="F700" s="431" t="s">
        <v>351</v>
      </c>
      <c r="G700" s="431" t="s">
        <v>175</v>
      </c>
      <c r="H700" s="431"/>
      <c r="I700" s="431"/>
      <c r="J700" s="431"/>
      <c r="K700" s="431"/>
      <c r="L700" s="431" t="s">
        <v>352</v>
      </c>
      <c r="M700" s="432" t="s">
        <v>353</v>
      </c>
    </row>
    <row r="701" spans="1:13" ht="409.5" x14ac:dyDescent="0.2">
      <c r="A701" s="431" t="s">
        <v>350</v>
      </c>
      <c r="B701" s="431">
        <v>1870450</v>
      </c>
      <c r="C701" s="431" t="s">
        <v>159</v>
      </c>
      <c r="D701" s="431" t="s">
        <v>173</v>
      </c>
      <c r="E701" s="431" t="s">
        <v>161</v>
      </c>
      <c r="F701" s="431" t="s">
        <v>351</v>
      </c>
      <c r="G701" s="431" t="s">
        <v>175</v>
      </c>
      <c r="H701" s="431"/>
      <c r="I701" s="431"/>
      <c r="J701" s="431"/>
      <c r="K701" s="431"/>
      <c r="L701" s="431" t="s">
        <v>352</v>
      </c>
      <c r="M701" s="432" t="s">
        <v>353</v>
      </c>
    </row>
    <row r="702" spans="1:13" ht="409.5" x14ac:dyDescent="0.2">
      <c r="A702" s="431" t="s">
        <v>350</v>
      </c>
      <c r="B702" s="431">
        <v>1870450</v>
      </c>
      <c r="C702" s="431" t="s">
        <v>159</v>
      </c>
      <c r="D702" s="431" t="s">
        <v>173</v>
      </c>
      <c r="E702" s="431" t="s">
        <v>161</v>
      </c>
      <c r="F702" s="431" t="s">
        <v>351</v>
      </c>
      <c r="G702" s="431" t="s">
        <v>175</v>
      </c>
      <c r="H702" s="431"/>
      <c r="I702" s="431"/>
      <c r="J702" s="431"/>
      <c r="K702" s="431"/>
      <c r="L702" s="431" t="s">
        <v>352</v>
      </c>
      <c r="M702" s="432" t="s">
        <v>353</v>
      </c>
    </row>
    <row r="703" spans="1:13" ht="409.5" x14ac:dyDescent="0.2">
      <c r="A703" s="431" t="s">
        <v>350</v>
      </c>
      <c r="B703" s="431">
        <v>1870450</v>
      </c>
      <c r="C703" s="431" t="s">
        <v>159</v>
      </c>
      <c r="D703" s="431" t="s">
        <v>173</v>
      </c>
      <c r="E703" s="431" t="s">
        <v>161</v>
      </c>
      <c r="F703" s="431" t="s">
        <v>354</v>
      </c>
      <c r="G703" s="431" t="s">
        <v>175</v>
      </c>
      <c r="H703" s="431"/>
      <c r="I703" s="431"/>
      <c r="J703" s="431"/>
      <c r="K703" s="431"/>
      <c r="L703" s="431" t="s">
        <v>352</v>
      </c>
      <c r="M703" s="432" t="s">
        <v>353</v>
      </c>
    </row>
    <row r="704" spans="1:13" ht="409.5" x14ac:dyDescent="0.2">
      <c r="A704" s="431" t="s">
        <v>350</v>
      </c>
      <c r="B704" s="431">
        <v>1870450</v>
      </c>
      <c r="C704" s="431" t="s">
        <v>159</v>
      </c>
      <c r="D704" s="431" t="s">
        <v>173</v>
      </c>
      <c r="E704" s="431" t="s">
        <v>161</v>
      </c>
      <c r="F704" s="431" t="s">
        <v>354</v>
      </c>
      <c r="G704" s="431" t="s">
        <v>175</v>
      </c>
      <c r="H704" s="431"/>
      <c r="I704" s="431"/>
      <c r="J704" s="431"/>
      <c r="K704" s="431"/>
      <c r="L704" s="431" t="s">
        <v>352</v>
      </c>
      <c r="M704" s="432" t="s">
        <v>353</v>
      </c>
    </row>
    <row r="705" spans="1:13" ht="409.5" x14ac:dyDescent="0.2">
      <c r="A705" s="431" t="s">
        <v>355</v>
      </c>
      <c r="B705" s="431">
        <v>1870451</v>
      </c>
      <c r="C705" s="431" t="s">
        <v>159</v>
      </c>
      <c r="D705" s="431" t="s">
        <v>173</v>
      </c>
      <c r="E705" s="431" t="s">
        <v>161</v>
      </c>
      <c r="F705" s="431" t="s">
        <v>356</v>
      </c>
      <c r="G705" s="431" t="s">
        <v>175</v>
      </c>
      <c r="H705" s="431"/>
      <c r="I705" s="431"/>
      <c r="J705" s="431"/>
      <c r="K705" s="431"/>
      <c r="L705" s="431" t="s">
        <v>262</v>
      </c>
      <c r="M705" s="432" t="s">
        <v>357</v>
      </c>
    </row>
    <row r="706" spans="1:13" ht="409.5" x14ac:dyDescent="0.2">
      <c r="A706" s="431" t="s">
        <v>355</v>
      </c>
      <c r="B706" s="431">
        <v>1870451</v>
      </c>
      <c r="C706" s="431" t="s">
        <v>159</v>
      </c>
      <c r="D706" s="431" t="s">
        <v>173</v>
      </c>
      <c r="E706" s="431" t="s">
        <v>161</v>
      </c>
      <c r="F706" s="431" t="s">
        <v>356</v>
      </c>
      <c r="G706" s="431" t="s">
        <v>175</v>
      </c>
      <c r="H706" s="431"/>
      <c r="I706" s="431"/>
      <c r="J706" s="431"/>
      <c r="K706" s="431"/>
      <c r="L706" s="431" t="s">
        <v>262</v>
      </c>
      <c r="M706" s="432" t="s">
        <v>357</v>
      </c>
    </row>
    <row r="707" spans="1:13" ht="409.5" x14ac:dyDescent="0.2">
      <c r="A707" s="431" t="s">
        <v>355</v>
      </c>
      <c r="B707" s="431">
        <v>1870451</v>
      </c>
      <c r="C707" s="431" t="s">
        <v>159</v>
      </c>
      <c r="D707" s="431" t="s">
        <v>173</v>
      </c>
      <c r="E707" s="431" t="s">
        <v>161</v>
      </c>
      <c r="F707" s="431" t="s">
        <v>356</v>
      </c>
      <c r="G707" s="431" t="s">
        <v>175</v>
      </c>
      <c r="H707" s="431"/>
      <c r="I707" s="431"/>
      <c r="J707" s="431"/>
      <c r="K707" s="431"/>
      <c r="L707" s="431" t="s">
        <v>262</v>
      </c>
      <c r="M707" s="432" t="s">
        <v>357</v>
      </c>
    </row>
    <row r="708" spans="1:13" ht="409.5" x14ac:dyDescent="0.2">
      <c r="A708" s="431" t="s">
        <v>355</v>
      </c>
      <c r="B708" s="431">
        <v>1870451</v>
      </c>
      <c r="C708" s="431" t="s">
        <v>159</v>
      </c>
      <c r="D708" s="431" t="s">
        <v>173</v>
      </c>
      <c r="E708" s="431" t="s">
        <v>161</v>
      </c>
      <c r="F708" s="431" t="s">
        <v>356</v>
      </c>
      <c r="G708" s="431" t="s">
        <v>175</v>
      </c>
      <c r="H708" s="431"/>
      <c r="I708" s="431"/>
      <c r="J708" s="431"/>
      <c r="K708" s="431"/>
      <c r="L708" s="431" t="s">
        <v>262</v>
      </c>
      <c r="M708" s="432" t="s">
        <v>357</v>
      </c>
    </row>
    <row r="709" spans="1:13" ht="409.5" x14ac:dyDescent="0.2">
      <c r="A709" s="431" t="s">
        <v>355</v>
      </c>
      <c r="B709" s="431">
        <v>1870451</v>
      </c>
      <c r="C709" s="431" t="s">
        <v>159</v>
      </c>
      <c r="D709" s="431" t="s">
        <v>173</v>
      </c>
      <c r="E709" s="431" t="s">
        <v>161</v>
      </c>
      <c r="F709" s="431" t="s">
        <v>356</v>
      </c>
      <c r="G709" s="431" t="s">
        <v>175</v>
      </c>
      <c r="H709" s="431"/>
      <c r="I709" s="431"/>
      <c r="J709" s="431"/>
      <c r="K709" s="431"/>
      <c r="L709" s="431" t="s">
        <v>262</v>
      </c>
      <c r="M709" s="432" t="s">
        <v>357</v>
      </c>
    </row>
    <row r="710" spans="1:13" ht="409.5" x14ac:dyDescent="0.2">
      <c r="A710" s="431" t="s">
        <v>355</v>
      </c>
      <c r="B710" s="431">
        <v>1870451</v>
      </c>
      <c r="C710" s="431" t="s">
        <v>159</v>
      </c>
      <c r="D710" s="431" t="s">
        <v>173</v>
      </c>
      <c r="E710" s="431" t="s">
        <v>161</v>
      </c>
      <c r="F710" s="431" t="s">
        <v>356</v>
      </c>
      <c r="G710" s="431" t="s">
        <v>175</v>
      </c>
      <c r="H710" s="431"/>
      <c r="I710" s="431"/>
      <c r="J710" s="431"/>
      <c r="K710" s="431"/>
      <c r="L710" s="431" t="s">
        <v>262</v>
      </c>
      <c r="M710" s="432" t="s">
        <v>357</v>
      </c>
    </row>
    <row r="711" spans="1:13" ht="409.5" x14ac:dyDescent="0.2">
      <c r="A711" s="431" t="s">
        <v>355</v>
      </c>
      <c r="B711" s="431">
        <v>1870451</v>
      </c>
      <c r="C711" s="431" t="s">
        <v>159</v>
      </c>
      <c r="D711" s="431" t="s">
        <v>173</v>
      </c>
      <c r="E711" s="431" t="s">
        <v>161</v>
      </c>
      <c r="F711" s="431" t="s">
        <v>356</v>
      </c>
      <c r="G711" s="431" t="s">
        <v>175</v>
      </c>
      <c r="H711" s="431"/>
      <c r="I711" s="431"/>
      <c r="J711" s="431"/>
      <c r="K711" s="431"/>
      <c r="L711" s="431" t="s">
        <v>262</v>
      </c>
      <c r="M711" s="432" t="s">
        <v>357</v>
      </c>
    </row>
    <row r="712" spans="1:13" ht="409.5" x14ac:dyDescent="0.2">
      <c r="A712" s="431" t="s">
        <v>355</v>
      </c>
      <c r="B712" s="431">
        <v>1870451</v>
      </c>
      <c r="C712" s="431" t="s">
        <v>159</v>
      </c>
      <c r="D712" s="431" t="s">
        <v>173</v>
      </c>
      <c r="E712" s="431" t="s">
        <v>161</v>
      </c>
      <c r="F712" s="431" t="s">
        <v>356</v>
      </c>
      <c r="G712" s="431" t="s">
        <v>175</v>
      </c>
      <c r="H712" s="431"/>
      <c r="I712" s="431"/>
      <c r="J712" s="431"/>
      <c r="K712" s="431"/>
      <c r="L712" s="431" t="s">
        <v>262</v>
      </c>
      <c r="M712" s="432" t="s">
        <v>357</v>
      </c>
    </row>
    <row r="713" spans="1:13" ht="409.5" x14ac:dyDescent="0.2">
      <c r="A713" s="431" t="s">
        <v>355</v>
      </c>
      <c r="B713" s="431">
        <v>1870451</v>
      </c>
      <c r="C713" s="431" t="s">
        <v>159</v>
      </c>
      <c r="D713" s="431" t="s">
        <v>173</v>
      </c>
      <c r="E713" s="431" t="s">
        <v>161</v>
      </c>
      <c r="F713" s="431" t="s">
        <v>356</v>
      </c>
      <c r="G713" s="431" t="s">
        <v>175</v>
      </c>
      <c r="H713" s="431"/>
      <c r="I713" s="431"/>
      <c r="J713" s="431"/>
      <c r="K713" s="431"/>
      <c r="L713" s="431" t="s">
        <v>262</v>
      </c>
      <c r="M713" s="432" t="s">
        <v>357</v>
      </c>
    </row>
    <row r="714" spans="1:13" ht="409.5" x14ac:dyDescent="0.2">
      <c r="A714" s="431" t="s">
        <v>355</v>
      </c>
      <c r="B714" s="431">
        <v>1870451</v>
      </c>
      <c r="C714" s="431" t="s">
        <v>159</v>
      </c>
      <c r="D714" s="431" t="s">
        <v>173</v>
      </c>
      <c r="E714" s="431" t="s">
        <v>161</v>
      </c>
      <c r="F714" s="431" t="s">
        <v>356</v>
      </c>
      <c r="G714" s="431" t="s">
        <v>175</v>
      </c>
      <c r="H714" s="431"/>
      <c r="I714" s="431"/>
      <c r="J714" s="431"/>
      <c r="K714" s="431"/>
      <c r="L714" s="431" t="s">
        <v>262</v>
      </c>
      <c r="M714" s="432" t="s">
        <v>357</v>
      </c>
    </row>
    <row r="715" spans="1:13" ht="409.5" x14ac:dyDescent="0.2">
      <c r="A715" s="431" t="s">
        <v>355</v>
      </c>
      <c r="B715" s="431">
        <v>1870451</v>
      </c>
      <c r="C715" s="431" t="s">
        <v>159</v>
      </c>
      <c r="D715" s="431" t="s">
        <v>173</v>
      </c>
      <c r="E715" s="431" t="s">
        <v>161</v>
      </c>
      <c r="F715" s="431" t="s">
        <v>356</v>
      </c>
      <c r="G715" s="431" t="s">
        <v>175</v>
      </c>
      <c r="H715" s="431"/>
      <c r="I715" s="431"/>
      <c r="J715" s="431"/>
      <c r="K715" s="431"/>
      <c r="L715" s="431" t="s">
        <v>262</v>
      </c>
      <c r="M715" s="432" t="s">
        <v>357</v>
      </c>
    </row>
    <row r="716" spans="1:13" ht="409.5" x14ac:dyDescent="0.2">
      <c r="A716" s="431" t="s">
        <v>355</v>
      </c>
      <c r="B716" s="431">
        <v>1870451</v>
      </c>
      <c r="C716" s="431" t="s">
        <v>159</v>
      </c>
      <c r="D716" s="431" t="s">
        <v>173</v>
      </c>
      <c r="E716" s="431" t="s">
        <v>161</v>
      </c>
      <c r="F716" s="431" t="s">
        <v>356</v>
      </c>
      <c r="G716" s="431" t="s">
        <v>175</v>
      </c>
      <c r="H716" s="431"/>
      <c r="I716" s="431"/>
      <c r="J716" s="431"/>
      <c r="K716" s="431"/>
      <c r="L716" s="431" t="s">
        <v>262</v>
      </c>
      <c r="M716" s="432" t="s">
        <v>357</v>
      </c>
    </row>
    <row r="717" spans="1:13" ht="409.5" x14ac:dyDescent="0.2">
      <c r="A717" s="431" t="s">
        <v>355</v>
      </c>
      <c r="B717" s="431">
        <v>1870451</v>
      </c>
      <c r="C717" s="431" t="s">
        <v>159</v>
      </c>
      <c r="D717" s="431" t="s">
        <v>173</v>
      </c>
      <c r="E717" s="431" t="s">
        <v>161</v>
      </c>
      <c r="F717" s="431" t="s">
        <v>356</v>
      </c>
      <c r="G717" s="431" t="s">
        <v>175</v>
      </c>
      <c r="H717" s="431"/>
      <c r="I717" s="431"/>
      <c r="J717" s="431"/>
      <c r="K717" s="431"/>
      <c r="L717" s="431" t="s">
        <v>262</v>
      </c>
      <c r="M717" s="432" t="s">
        <v>357</v>
      </c>
    </row>
    <row r="718" spans="1:13" ht="409.5" x14ac:dyDescent="0.2">
      <c r="A718" s="431" t="s">
        <v>355</v>
      </c>
      <c r="B718" s="431">
        <v>1870451</v>
      </c>
      <c r="C718" s="431" t="s">
        <v>159</v>
      </c>
      <c r="D718" s="431" t="s">
        <v>173</v>
      </c>
      <c r="E718" s="431" t="s">
        <v>161</v>
      </c>
      <c r="F718" s="431" t="s">
        <v>356</v>
      </c>
      <c r="G718" s="431" t="s">
        <v>175</v>
      </c>
      <c r="H718" s="431"/>
      <c r="I718" s="431"/>
      <c r="J718" s="431"/>
      <c r="K718" s="431"/>
      <c r="L718" s="431" t="s">
        <v>262</v>
      </c>
      <c r="M718" s="432" t="s">
        <v>357</v>
      </c>
    </row>
    <row r="719" spans="1:13" ht="409.5" x14ac:dyDescent="0.2">
      <c r="A719" s="431" t="s">
        <v>355</v>
      </c>
      <c r="B719" s="431">
        <v>1870451</v>
      </c>
      <c r="C719" s="431" t="s">
        <v>159</v>
      </c>
      <c r="D719" s="431" t="s">
        <v>173</v>
      </c>
      <c r="E719" s="431" t="s">
        <v>161</v>
      </c>
      <c r="F719" s="431" t="s">
        <v>356</v>
      </c>
      <c r="G719" s="431" t="s">
        <v>175</v>
      </c>
      <c r="H719" s="431"/>
      <c r="I719" s="431"/>
      <c r="J719" s="431"/>
      <c r="K719" s="431"/>
      <c r="L719" s="431" t="s">
        <v>262</v>
      </c>
      <c r="M719" s="432" t="s">
        <v>357</v>
      </c>
    </row>
    <row r="720" spans="1:13" ht="409.5" x14ac:dyDescent="0.2">
      <c r="A720" s="431" t="s">
        <v>355</v>
      </c>
      <c r="B720" s="431">
        <v>1870451</v>
      </c>
      <c r="C720" s="431" t="s">
        <v>159</v>
      </c>
      <c r="D720" s="431" t="s">
        <v>173</v>
      </c>
      <c r="E720" s="431" t="s">
        <v>161</v>
      </c>
      <c r="F720" s="431" t="s">
        <v>356</v>
      </c>
      <c r="G720" s="431" t="s">
        <v>175</v>
      </c>
      <c r="H720" s="431"/>
      <c r="I720" s="431"/>
      <c r="J720" s="431"/>
      <c r="K720" s="431"/>
      <c r="L720" s="431" t="s">
        <v>262</v>
      </c>
      <c r="M720" s="432" t="s">
        <v>357</v>
      </c>
    </row>
    <row r="721" spans="1:13" ht="409.5" x14ac:dyDescent="0.2">
      <c r="A721" s="431" t="s">
        <v>355</v>
      </c>
      <c r="B721" s="431">
        <v>1870451</v>
      </c>
      <c r="C721" s="431" t="s">
        <v>159</v>
      </c>
      <c r="D721" s="431" t="s">
        <v>173</v>
      </c>
      <c r="E721" s="431" t="s">
        <v>161</v>
      </c>
      <c r="F721" s="431" t="s">
        <v>356</v>
      </c>
      <c r="G721" s="431" t="s">
        <v>175</v>
      </c>
      <c r="H721" s="431"/>
      <c r="I721" s="431"/>
      <c r="J721" s="431"/>
      <c r="K721" s="431"/>
      <c r="L721" s="431" t="s">
        <v>262</v>
      </c>
      <c r="M721" s="432" t="s">
        <v>357</v>
      </c>
    </row>
    <row r="722" spans="1:13" ht="409.5" x14ac:dyDescent="0.2">
      <c r="A722" s="431" t="s">
        <v>355</v>
      </c>
      <c r="B722" s="431">
        <v>1870451</v>
      </c>
      <c r="C722" s="431" t="s">
        <v>159</v>
      </c>
      <c r="D722" s="431" t="s">
        <v>173</v>
      </c>
      <c r="E722" s="431" t="s">
        <v>161</v>
      </c>
      <c r="F722" s="431" t="s">
        <v>356</v>
      </c>
      <c r="G722" s="431" t="s">
        <v>175</v>
      </c>
      <c r="H722" s="431"/>
      <c r="I722" s="431"/>
      <c r="J722" s="431"/>
      <c r="K722" s="431"/>
      <c r="L722" s="431" t="s">
        <v>262</v>
      </c>
      <c r="M722" s="432" t="s">
        <v>357</v>
      </c>
    </row>
    <row r="723" spans="1:13" ht="409.5" x14ac:dyDescent="0.2">
      <c r="A723" s="431" t="s">
        <v>355</v>
      </c>
      <c r="B723" s="431">
        <v>1870451</v>
      </c>
      <c r="C723" s="431" t="s">
        <v>159</v>
      </c>
      <c r="D723" s="431" t="s">
        <v>173</v>
      </c>
      <c r="E723" s="431" t="s">
        <v>161</v>
      </c>
      <c r="F723" s="431" t="s">
        <v>356</v>
      </c>
      <c r="G723" s="431" t="s">
        <v>175</v>
      </c>
      <c r="H723" s="431"/>
      <c r="I723" s="431"/>
      <c r="J723" s="431"/>
      <c r="K723" s="431"/>
      <c r="L723" s="431" t="s">
        <v>262</v>
      </c>
      <c r="M723" s="432" t="s">
        <v>357</v>
      </c>
    </row>
    <row r="724" spans="1:13" ht="409.5" x14ac:dyDescent="0.2">
      <c r="A724" s="431" t="s">
        <v>355</v>
      </c>
      <c r="B724" s="431">
        <v>1870451</v>
      </c>
      <c r="C724" s="431" t="s">
        <v>159</v>
      </c>
      <c r="D724" s="431" t="s">
        <v>173</v>
      </c>
      <c r="E724" s="431" t="s">
        <v>161</v>
      </c>
      <c r="F724" s="431" t="s">
        <v>356</v>
      </c>
      <c r="G724" s="431" t="s">
        <v>175</v>
      </c>
      <c r="H724" s="431"/>
      <c r="I724" s="431"/>
      <c r="J724" s="431"/>
      <c r="K724" s="431"/>
      <c r="L724" s="431" t="s">
        <v>262</v>
      </c>
      <c r="M724" s="432" t="s">
        <v>357</v>
      </c>
    </row>
    <row r="725" spans="1:13" ht="409.5" x14ac:dyDescent="0.2">
      <c r="A725" s="431" t="s">
        <v>355</v>
      </c>
      <c r="B725" s="431">
        <v>1870451</v>
      </c>
      <c r="C725" s="431" t="s">
        <v>159</v>
      </c>
      <c r="D725" s="431" t="s">
        <v>173</v>
      </c>
      <c r="E725" s="431" t="s">
        <v>161</v>
      </c>
      <c r="F725" s="431" t="s">
        <v>356</v>
      </c>
      <c r="G725" s="431" t="s">
        <v>175</v>
      </c>
      <c r="H725" s="431"/>
      <c r="I725" s="431"/>
      <c r="J725" s="431"/>
      <c r="K725" s="431"/>
      <c r="L725" s="431" t="s">
        <v>262</v>
      </c>
      <c r="M725" s="432" t="s">
        <v>357</v>
      </c>
    </row>
    <row r="726" spans="1:13" ht="409.5" x14ac:dyDescent="0.2">
      <c r="A726" s="431" t="s">
        <v>355</v>
      </c>
      <c r="B726" s="431">
        <v>1870451</v>
      </c>
      <c r="C726" s="431" t="s">
        <v>159</v>
      </c>
      <c r="D726" s="431" t="s">
        <v>173</v>
      </c>
      <c r="E726" s="431" t="s">
        <v>161</v>
      </c>
      <c r="F726" s="431" t="s">
        <v>356</v>
      </c>
      <c r="G726" s="431" t="s">
        <v>175</v>
      </c>
      <c r="H726" s="431"/>
      <c r="I726" s="431"/>
      <c r="J726" s="431"/>
      <c r="K726" s="431"/>
      <c r="L726" s="431" t="s">
        <v>262</v>
      </c>
      <c r="M726" s="432" t="s">
        <v>357</v>
      </c>
    </row>
    <row r="727" spans="1:13" ht="409.5" x14ac:dyDescent="0.2">
      <c r="A727" s="431" t="s">
        <v>355</v>
      </c>
      <c r="B727" s="431">
        <v>1870451</v>
      </c>
      <c r="C727" s="431" t="s">
        <v>159</v>
      </c>
      <c r="D727" s="431" t="s">
        <v>173</v>
      </c>
      <c r="E727" s="431" t="s">
        <v>161</v>
      </c>
      <c r="F727" s="431" t="s">
        <v>356</v>
      </c>
      <c r="G727" s="431" t="s">
        <v>175</v>
      </c>
      <c r="H727" s="431"/>
      <c r="I727" s="431"/>
      <c r="J727" s="431"/>
      <c r="K727" s="431"/>
      <c r="L727" s="431" t="s">
        <v>262</v>
      </c>
      <c r="M727" s="432" t="s">
        <v>357</v>
      </c>
    </row>
    <row r="728" spans="1:13" ht="409.5" x14ac:dyDescent="0.2">
      <c r="A728" s="431" t="s">
        <v>355</v>
      </c>
      <c r="B728" s="431">
        <v>1870451</v>
      </c>
      <c r="C728" s="431" t="s">
        <v>159</v>
      </c>
      <c r="D728" s="431" t="s">
        <v>173</v>
      </c>
      <c r="E728" s="431" t="s">
        <v>161</v>
      </c>
      <c r="F728" s="431" t="s">
        <v>356</v>
      </c>
      <c r="G728" s="431" t="s">
        <v>175</v>
      </c>
      <c r="H728" s="431"/>
      <c r="I728" s="431"/>
      <c r="J728" s="431"/>
      <c r="K728" s="431"/>
      <c r="L728" s="431" t="s">
        <v>262</v>
      </c>
      <c r="M728" s="432" t="s">
        <v>357</v>
      </c>
    </row>
    <row r="729" spans="1:13" ht="409.5" x14ac:dyDescent="0.2">
      <c r="A729" s="431" t="s">
        <v>355</v>
      </c>
      <c r="B729" s="431">
        <v>1870451</v>
      </c>
      <c r="C729" s="431" t="s">
        <v>159</v>
      </c>
      <c r="D729" s="431" t="s">
        <v>173</v>
      </c>
      <c r="E729" s="431" t="s">
        <v>161</v>
      </c>
      <c r="F729" s="431" t="s">
        <v>356</v>
      </c>
      <c r="G729" s="431" t="s">
        <v>175</v>
      </c>
      <c r="H729" s="431"/>
      <c r="I729" s="431"/>
      <c r="J729" s="431"/>
      <c r="K729" s="431"/>
      <c r="L729" s="431" t="s">
        <v>262</v>
      </c>
      <c r="M729" s="432" t="s">
        <v>357</v>
      </c>
    </row>
    <row r="730" spans="1:13" ht="409.5" x14ac:dyDescent="0.2">
      <c r="A730" s="431" t="s">
        <v>355</v>
      </c>
      <c r="B730" s="431">
        <v>1870451</v>
      </c>
      <c r="C730" s="431" t="s">
        <v>159</v>
      </c>
      <c r="D730" s="431" t="s">
        <v>173</v>
      </c>
      <c r="E730" s="431" t="s">
        <v>161</v>
      </c>
      <c r="F730" s="431" t="s">
        <v>356</v>
      </c>
      <c r="G730" s="431" t="s">
        <v>175</v>
      </c>
      <c r="H730" s="431"/>
      <c r="I730" s="431"/>
      <c r="J730" s="431"/>
      <c r="K730" s="431"/>
      <c r="L730" s="431" t="s">
        <v>262</v>
      </c>
      <c r="M730" s="432" t="s">
        <v>357</v>
      </c>
    </row>
    <row r="731" spans="1:13" ht="409.5" x14ac:dyDescent="0.2">
      <c r="A731" s="431" t="s">
        <v>355</v>
      </c>
      <c r="B731" s="431">
        <v>1870451</v>
      </c>
      <c r="C731" s="431" t="s">
        <v>159</v>
      </c>
      <c r="D731" s="431" t="s">
        <v>173</v>
      </c>
      <c r="E731" s="431" t="s">
        <v>161</v>
      </c>
      <c r="F731" s="431" t="s">
        <v>356</v>
      </c>
      <c r="G731" s="431" t="s">
        <v>175</v>
      </c>
      <c r="H731" s="431"/>
      <c r="I731" s="431"/>
      <c r="J731" s="431"/>
      <c r="K731" s="431"/>
      <c r="L731" s="431" t="s">
        <v>262</v>
      </c>
      <c r="M731" s="432" t="s">
        <v>357</v>
      </c>
    </row>
    <row r="732" spans="1:13" ht="409.5" x14ac:dyDescent="0.2">
      <c r="A732" s="431" t="s">
        <v>355</v>
      </c>
      <c r="B732" s="431">
        <v>1870451</v>
      </c>
      <c r="C732" s="431" t="s">
        <v>159</v>
      </c>
      <c r="D732" s="431" t="s">
        <v>173</v>
      </c>
      <c r="E732" s="431" t="s">
        <v>161</v>
      </c>
      <c r="F732" s="431" t="s">
        <v>356</v>
      </c>
      <c r="G732" s="431" t="s">
        <v>175</v>
      </c>
      <c r="H732" s="431"/>
      <c r="I732" s="431"/>
      <c r="J732" s="431"/>
      <c r="K732" s="431"/>
      <c r="L732" s="431" t="s">
        <v>262</v>
      </c>
      <c r="M732" s="432" t="s">
        <v>357</v>
      </c>
    </row>
    <row r="733" spans="1:13" ht="409.5" x14ac:dyDescent="0.2">
      <c r="A733" s="431" t="s">
        <v>355</v>
      </c>
      <c r="B733" s="431">
        <v>1870451</v>
      </c>
      <c r="C733" s="431" t="s">
        <v>159</v>
      </c>
      <c r="D733" s="431" t="s">
        <v>173</v>
      </c>
      <c r="E733" s="431" t="s">
        <v>161</v>
      </c>
      <c r="F733" s="431" t="s">
        <v>356</v>
      </c>
      <c r="G733" s="431" t="s">
        <v>175</v>
      </c>
      <c r="H733" s="431"/>
      <c r="I733" s="431"/>
      <c r="J733" s="431"/>
      <c r="K733" s="431"/>
      <c r="L733" s="431" t="s">
        <v>262</v>
      </c>
      <c r="M733" s="432" t="s">
        <v>357</v>
      </c>
    </row>
    <row r="734" spans="1:13" ht="409.5" x14ac:dyDescent="0.2">
      <c r="A734" s="431" t="s">
        <v>355</v>
      </c>
      <c r="B734" s="431">
        <v>1870451</v>
      </c>
      <c r="C734" s="431" t="s">
        <v>159</v>
      </c>
      <c r="D734" s="431" t="s">
        <v>173</v>
      </c>
      <c r="E734" s="431" t="s">
        <v>161</v>
      </c>
      <c r="F734" s="431" t="s">
        <v>356</v>
      </c>
      <c r="G734" s="431" t="s">
        <v>175</v>
      </c>
      <c r="H734" s="431"/>
      <c r="I734" s="431"/>
      <c r="J734" s="431"/>
      <c r="K734" s="431"/>
      <c r="L734" s="431" t="s">
        <v>262</v>
      </c>
      <c r="M734" s="432" t="s">
        <v>357</v>
      </c>
    </row>
    <row r="735" spans="1:13" ht="409.5" x14ac:dyDescent="0.2">
      <c r="A735" s="431" t="s">
        <v>355</v>
      </c>
      <c r="B735" s="431">
        <v>1870451</v>
      </c>
      <c r="C735" s="431" t="s">
        <v>159</v>
      </c>
      <c r="D735" s="431" t="s">
        <v>173</v>
      </c>
      <c r="E735" s="431" t="s">
        <v>161</v>
      </c>
      <c r="F735" s="431" t="s">
        <v>356</v>
      </c>
      <c r="G735" s="431" t="s">
        <v>175</v>
      </c>
      <c r="H735" s="431"/>
      <c r="I735" s="431"/>
      <c r="J735" s="431"/>
      <c r="K735" s="431"/>
      <c r="L735" s="431" t="s">
        <v>262</v>
      </c>
      <c r="M735" s="432" t="s">
        <v>357</v>
      </c>
    </row>
    <row r="736" spans="1:13" ht="409.5" x14ac:dyDescent="0.2">
      <c r="A736" s="431" t="s">
        <v>355</v>
      </c>
      <c r="B736" s="431">
        <v>1870451</v>
      </c>
      <c r="C736" s="431" t="s">
        <v>159</v>
      </c>
      <c r="D736" s="431" t="s">
        <v>173</v>
      </c>
      <c r="E736" s="431" t="s">
        <v>161</v>
      </c>
      <c r="F736" s="431" t="s">
        <v>356</v>
      </c>
      <c r="G736" s="431" t="s">
        <v>175</v>
      </c>
      <c r="H736" s="431"/>
      <c r="I736" s="431"/>
      <c r="J736" s="431"/>
      <c r="K736" s="431"/>
      <c r="L736" s="431" t="s">
        <v>262</v>
      </c>
      <c r="M736" s="432" t="s">
        <v>357</v>
      </c>
    </row>
    <row r="737" spans="1:13" ht="409.5" x14ac:dyDescent="0.2">
      <c r="A737" s="431" t="s">
        <v>355</v>
      </c>
      <c r="B737" s="431">
        <v>1870451</v>
      </c>
      <c r="C737" s="431" t="s">
        <v>159</v>
      </c>
      <c r="D737" s="431" t="s">
        <v>173</v>
      </c>
      <c r="E737" s="431" t="s">
        <v>161</v>
      </c>
      <c r="F737" s="431" t="s">
        <v>356</v>
      </c>
      <c r="G737" s="431" t="s">
        <v>175</v>
      </c>
      <c r="H737" s="431"/>
      <c r="I737" s="431"/>
      <c r="J737" s="431"/>
      <c r="K737" s="431"/>
      <c r="L737" s="431" t="s">
        <v>262</v>
      </c>
      <c r="M737" s="432" t="s">
        <v>357</v>
      </c>
    </row>
    <row r="738" spans="1:13" ht="409.5" x14ac:dyDescent="0.2">
      <c r="A738" s="431" t="s">
        <v>355</v>
      </c>
      <c r="B738" s="431">
        <v>1870451</v>
      </c>
      <c r="C738" s="431" t="s">
        <v>159</v>
      </c>
      <c r="D738" s="431" t="s">
        <v>173</v>
      </c>
      <c r="E738" s="431" t="s">
        <v>161</v>
      </c>
      <c r="F738" s="431" t="s">
        <v>356</v>
      </c>
      <c r="G738" s="431" t="s">
        <v>175</v>
      </c>
      <c r="H738" s="431"/>
      <c r="I738" s="431"/>
      <c r="J738" s="431"/>
      <c r="K738" s="431"/>
      <c r="L738" s="431" t="s">
        <v>262</v>
      </c>
      <c r="M738" s="432" t="s">
        <v>357</v>
      </c>
    </row>
    <row r="739" spans="1:13" ht="409.5" x14ac:dyDescent="0.2">
      <c r="A739" s="431" t="s">
        <v>355</v>
      </c>
      <c r="B739" s="431">
        <v>1870451</v>
      </c>
      <c r="C739" s="431" t="s">
        <v>159</v>
      </c>
      <c r="D739" s="431" t="s">
        <v>173</v>
      </c>
      <c r="E739" s="431" t="s">
        <v>161</v>
      </c>
      <c r="F739" s="431" t="s">
        <v>356</v>
      </c>
      <c r="G739" s="431" t="s">
        <v>175</v>
      </c>
      <c r="H739" s="431"/>
      <c r="I739" s="431"/>
      <c r="J739" s="431"/>
      <c r="K739" s="431"/>
      <c r="L739" s="431" t="s">
        <v>262</v>
      </c>
      <c r="M739" s="432" t="s">
        <v>357</v>
      </c>
    </row>
    <row r="740" spans="1:13" ht="409.5" x14ac:dyDescent="0.2">
      <c r="A740" s="431" t="s">
        <v>355</v>
      </c>
      <c r="B740" s="431">
        <v>1870451</v>
      </c>
      <c r="C740" s="431" t="s">
        <v>159</v>
      </c>
      <c r="D740" s="431" t="s">
        <v>173</v>
      </c>
      <c r="E740" s="431" t="s">
        <v>161</v>
      </c>
      <c r="F740" s="431" t="s">
        <v>356</v>
      </c>
      <c r="G740" s="431" t="s">
        <v>175</v>
      </c>
      <c r="H740" s="431"/>
      <c r="I740" s="431"/>
      <c r="J740" s="431"/>
      <c r="K740" s="431"/>
      <c r="L740" s="431" t="s">
        <v>262</v>
      </c>
      <c r="M740" s="432" t="s">
        <v>357</v>
      </c>
    </row>
    <row r="741" spans="1:13" ht="409.5" x14ac:dyDescent="0.2">
      <c r="A741" s="431" t="s">
        <v>355</v>
      </c>
      <c r="B741" s="431">
        <v>1870451</v>
      </c>
      <c r="C741" s="431" t="s">
        <v>159</v>
      </c>
      <c r="D741" s="431" t="s">
        <v>173</v>
      </c>
      <c r="E741" s="431" t="s">
        <v>161</v>
      </c>
      <c r="F741" s="431" t="s">
        <v>356</v>
      </c>
      <c r="G741" s="431" t="s">
        <v>175</v>
      </c>
      <c r="H741" s="431"/>
      <c r="I741" s="431"/>
      <c r="J741" s="431"/>
      <c r="K741" s="431"/>
      <c r="L741" s="431" t="s">
        <v>262</v>
      </c>
      <c r="M741" s="432" t="s">
        <v>357</v>
      </c>
    </row>
    <row r="742" spans="1:13" ht="409.5" x14ac:dyDescent="0.2">
      <c r="A742" s="431" t="s">
        <v>355</v>
      </c>
      <c r="B742" s="431">
        <v>1870451</v>
      </c>
      <c r="C742" s="431" t="s">
        <v>159</v>
      </c>
      <c r="D742" s="431" t="s">
        <v>173</v>
      </c>
      <c r="E742" s="431" t="s">
        <v>161</v>
      </c>
      <c r="F742" s="431" t="s">
        <v>356</v>
      </c>
      <c r="G742" s="431" t="s">
        <v>175</v>
      </c>
      <c r="H742" s="431"/>
      <c r="I742" s="431"/>
      <c r="J742" s="431"/>
      <c r="K742" s="431"/>
      <c r="L742" s="431" t="s">
        <v>262</v>
      </c>
      <c r="M742" s="432" t="s">
        <v>357</v>
      </c>
    </row>
    <row r="743" spans="1:13" ht="409.5" x14ac:dyDescent="0.2">
      <c r="A743" s="431" t="s">
        <v>355</v>
      </c>
      <c r="B743" s="431">
        <v>1870451</v>
      </c>
      <c r="C743" s="431" t="s">
        <v>159</v>
      </c>
      <c r="D743" s="431" t="s">
        <v>173</v>
      </c>
      <c r="E743" s="431" t="s">
        <v>161</v>
      </c>
      <c r="F743" s="431" t="s">
        <v>356</v>
      </c>
      <c r="G743" s="431" t="s">
        <v>175</v>
      </c>
      <c r="H743" s="431"/>
      <c r="I743" s="431"/>
      <c r="J743" s="431"/>
      <c r="K743" s="431"/>
      <c r="L743" s="431" t="s">
        <v>262</v>
      </c>
      <c r="M743" s="432" t="s">
        <v>357</v>
      </c>
    </row>
    <row r="744" spans="1:13" ht="409.5" x14ac:dyDescent="0.2">
      <c r="A744" s="431" t="s">
        <v>355</v>
      </c>
      <c r="B744" s="431">
        <v>1870451</v>
      </c>
      <c r="C744" s="431" t="s">
        <v>159</v>
      </c>
      <c r="D744" s="431" t="s">
        <v>173</v>
      </c>
      <c r="E744" s="431" t="s">
        <v>161</v>
      </c>
      <c r="F744" s="431" t="s">
        <v>356</v>
      </c>
      <c r="G744" s="431" t="s">
        <v>175</v>
      </c>
      <c r="H744" s="431"/>
      <c r="I744" s="431"/>
      <c r="J744" s="431"/>
      <c r="K744" s="431"/>
      <c r="L744" s="431" t="s">
        <v>262</v>
      </c>
      <c r="M744" s="432" t="s">
        <v>357</v>
      </c>
    </row>
    <row r="745" spans="1:13" ht="409.5" x14ac:dyDescent="0.2">
      <c r="A745" s="431" t="s">
        <v>355</v>
      </c>
      <c r="B745" s="431">
        <v>1870451</v>
      </c>
      <c r="C745" s="431" t="s">
        <v>159</v>
      </c>
      <c r="D745" s="431" t="s">
        <v>173</v>
      </c>
      <c r="E745" s="431" t="s">
        <v>161</v>
      </c>
      <c r="F745" s="431" t="s">
        <v>356</v>
      </c>
      <c r="G745" s="431" t="s">
        <v>175</v>
      </c>
      <c r="H745" s="431"/>
      <c r="I745" s="431"/>
      <c r="J745" s="431"/>
      <c r="K745" s="431"/>
      <c r="L745" s="431" t="s">
        <v>262</v>
      </c>
      <c r="M745" s="432" t="s">
        <v>357</v>
      </c>
    </row>
    <row r="746" spans="1:13" ht="409.5" x14ac:dyDescent="0.2">
      <c r="A746" s="431" t="s">
        <v>355</v>
      </c>
      <c r="B746" s="431">
        <v>1870451</v>
      </c>
      <c r="C746" s="431" t="s">
        <v>159</v>
      </c>
      <c r="D746" s="431" t="s">
        <v>173</v>
      </c>
      <c r="E746" s="431" t="s">
        <v>161</v>
      </c>
      <c r="F746" s="431" t="s">
        <v>356</v>
      </c>
      <c r="G746" s="431" t="s">
        <v>175</v>
      </c>
      <c r="H746" s="431"/>
      <c r="I746" s="431"/>
      <c r="J746" s="431"/>
      <c r="K746" s="431"/>
      <c r="L746" s="431" t="s">
        <v>262</v>
      </c>
      <c r="M746" s="432" t="s">
        <v>357</v>
      </c>
    </row>
    <row r="747" spans="1:13" ht="409.5" x14ac:dyDescent="0.2">
      <c r="A747" s="431" t="s">
        <v>355</v>
      </c>
      <c r="B747" s="431">
        <v>1870451</v>
      </c>
      <c r="C747" s="431" t="s">
        <v>159</v>
      </c>
      <c r="D747" s="431" t="s">
        <v>173</v>
      </c>
      <c r="E747" s="431" t="s">
        <v>161</v>
      </c>
      <c r="F747" s="431" t="s">
        <v>356</v>
      </c>
      <c r="G747" s="431" t="s">
        <v>175</v>
      </c>
      <c r="H747" s="431"/>
      <c r="I747" s="431"/>
      <c r="J747" s="431"/>
      <c r="K747" s="431"/>
      <c r="L747" s="431" t="s">
        <v>262</v>
      </c>
      <c r="M747" s="432" t="s">
        <v>357</v>
      </c>
    </row>
    <row r="748" spans="1:13" ht="409.5" x14ac:dyDescent="0.2">
      <c r="A748" s="431" t="s">
        <v>355</v>
      </c>
      <c r="B748" s="431">
        <v>1870451</v>
      </c>
      <c r="C748" s="431" t="s">
        <v>159</v>
      </c>
      <c r="D748" s="431" t="s">
        <v>173</v>
      </c>
      <c r="E748" s="431" t="s">
        <v>161</v>
      </c>
      <c r="F748" s="431" t="s">
        <v>356</v>
      </c>
      <c r="G748" s="431" t="s">
        <v>175</v>
      </c>
      <c r="H748" s="431"/>
      <c r="I748" s="431"/>
      <c r="J748" s="431"/>
      <c r="K748" s="431"/>
      <c r="L748" s="431" t="s">
        <v>262</v>
      </c>
      <c r="M748" s="432" t="s">
        <v>357</v>
      </c>
    </row>
    <row r="749" spans="1:13" ht="409.5" x14ac:dyDescent="0.2">
      <c r="A749" s="431" t="s">
        <v>355</v>
      </c>
      <c r="B749" s="431">
        <v>1870451</v>
      </c>
      <c r="C749" s="431" t="s">
        <v>159</v>
      </c>
      <c r="D749" s="431" t="s">
        <v>173</v>
      </c>
      <c r="E749" s="431" t="s">
        <v>161</v>
      </c>
      <c r="F749" s="431" t="s">
        <v>356</v>
      </c>
      <c r="G749" s="431" t="s">
        <v>175</v>
      </c>
      <c r="H749" s="431"/>
      <c r="I749" s="431"/>
      <c r="J749" s="431"/>
      <c r="K749" s="431"/>
      <c r="L749" s="431" t="s">
        <v>262</v>
      </c>
      <c r="M749" s="432" t="s">
        <v>357</v>
      </c>
    </row>
    <row r="750" spans="1:13" ht="409.5" x14ac:dyDescent="0.2">
      <c r="A750" s="431" t="s">
        <v>355</v>
      </c>
      <c r="B750" s="431">
        <v>1870451</v>
      </c>
      <c r="C750" s="431" t="s">
        <v>159</v>
      </c>
      <c r="D750" s="431" t="s">
        <v>173</v>
      </c>
      <c r="E750" s="431" t="s">
        <v>161</v>
      </c>
      <c r="F750" s="431" t="s">
        <v>356</v>
      </c>
      <c r="G750" s="431" t="s">
        <v>175</v>
      </c>
      <c r="H750" s="431"/>
      <c r="I750" s="431"/>
      <c r="J750" s="431"/>
      <c r="K750" s="431"/>
      <c r="L750" s="431" t="s">
        <v>262</v>
      </c>
      <c r="M750" s="432" t="s">
        <v>357</v>
      </c>
    </row>
    <row r="751" spans="1:13" ht="409.5" x14ac:dyDescent="0.2">
      <c r="A751" s="431" t="s">
        <v>355</v>
      </c>
      <c r="B751" s="431">
        <v>1870451</v>
      </c>
      <c r="C751" s="431" t="s">
        <v>159</v>
      </c>
      <c r="D751" s="431" t="s">
        <v>173</v>
      </c>
      <c r="E751" s="431" t="s">
        <v>161</v>
      </c>
      <c r="F751" s="431" t="s">
        <v>356</v>
      </c>
      <c r="G751" s="431" t="s">
        <v>175</v>
      </c>
      <c r="H751" s="431"/>
      <c r="I751" s="431"/>
      <c r="J751" s="431"/>
      <c r="K751" s="431"/>
      <c r="L751" s="431" t="s">
        <v>262</v>
      </c>
      <c r="M751" s="432" t="s">
        <v>357</v>
      </c>
    </row>
    <row r="752" spans="1:13" ht="409.5" x14ac:dyDescent="0.2">
      <c r="A752" s="431" t="s">
        <v>355</v>
      </c>
      <c r="B752" s="431">
        <v>1870451</v>
      </c>
      <c r="C752" s="431" t="s">
        <v>159</v>
      </c>
      <c r="D752" s="431" t="s">
        <v>173</v>
      </c>
      <c r="E752" s="431" t="s">
        <v>161</v>
      </c>
      <c r="F752" s="431" t="s">
        <v>356</v>
      </c>
      <c r="G752" s="431" t="s">
        <v>175</v>
      </c>
      <c r="H752" s="431"/>
      <c r="I752" s="431"/>
      <c r="J752" s="431"/>
      <c r="K752" s="431"/>
      <c r="L752" s="431" t="s">
        <v>262</v>
      </c>
      <c r="M752" s="432" t="s">
        <v>357</v>
      </c>
    </row>
    <row r="753" spans="1:13" ht="409.5" x14ac:dyDescent="0.2">
      <c r="A753" s="431" t="s">
        <v>355</v>
      </c>
      <c r="B753" s="431">
        <v>1870451</v>
      </c>
      <c r="C753" s="431" t="s">
        <v>159</v>
      </c>
      <c r="D753" s="431" t="s">
        <v>173</v>
      </c>
      <c r="E753" s="431" t="s">
        <v>161</v>
      </c>
      <c r="F753" s="431" t="s">
        <v>356</v>
      </c>
      <c r="G753" s="431" t="s">
        <v>175</v>
      </c>
      <c r="H753" s="431"/>
      <c r="I753" s="431"/>
      <c r="J753" s="431"/>
      <c r="K753" s="431"/>
      <c r="L753" s="431" t="s">
        <v>262</v>
      </c>
      <c r="M753" s="432" t="s">
        <v>357</v>
      </c>
    </row>
    <row r="754" spans="1:13" ht="409.5" x14ac:dyDescent="0.2">
      <c r="A754" s="431" t="s">
        <v>355</v>
      </c>
      <c r="B754" s="431">
        <v>1870451</v>
      </c>
      <c r="C754" s="431" t="s">
        <v>159</v>
      </c>
      <c r="D754" s="431" t="s">
        <v>173</v>
      </c>
      <c r="E754" s="431" t="s">
        <v>161</v>
      </c>
      <c r="F754" s="431" t="s">
        <v>356</v>
      </c>
      <c r="G754" s="431" t="s">
        <v>175</v>
      </c>
      <c r="H754" s="431"/>
      <c r="I754" s="431"/>
      <c r="J754" s="431"/>
      <c r="K754" s="431"/>
      <c r="L754" s="431" t="s">
        <v>262</v>
      </c>
      <c r="M754" s="432" t="s">
        <v>357</v>
      </c>
    </row>
    <row r="755" spans="1:13" ht="409.5" x14ac:dyDescent="0.2">
      <c r="A755" s="431" t="s">
        <v>355</v>
      </c>
      <c r="B755" s="431">
        <v>1870451</v>
      </c>
      <c r="C755" s="431" t="s">
        <v>159</v>
      </c>
      <c r="D755" s="431" t="s">
        <v>173</v>
      </c>
      <c r="E755" s="431" t="s">
        <v>161</v>
      </c>
      <c r="F755" s="431" t="s">
        <v>356</v>
      </c>
      <c r="G755" s="431" t="s">
        <v>175</v>
      </c>
      <c r="H755" s="431"/>
      <c r="I755" s="431"/>
      <c r="J755" s="431"/>
      <c r="K755" s="431"/>
      <c r="L755" s="431" t="s">
        <v>262</v>
      </c>
      <c r="M755" s="432" t="s">
        <v>357</v>
      </c>
    </row>
    <row r="756" spans="1:13" ht="409.5" x14ac:dyDescent="0.2">
      <c r="A756" s="431" t="s">
        <v>355</v>
      </c>
      <c r="B756" s="431">
        <v>1870451</v>
      </c>
      <c r="C756" s="431" t="s">
        <v>159</v>
      </c>
      <c r="D756" s="431" t="s">
        <v>173</v>
      </c>
      <c r="E756" s="431" t="s">
        <v>161</v>
      </c>
      <c r="F756" s="431" t="s">
        <v>356</v>
      </c>
      <c r="G756" s="431" t="s">
        <v>175</v>
      </c>
      <c r="H756" s="431"/>
      <c r="I756" s="431"/>
      <c r="J756" s="431"/>
      <c r="K756" s="431"/>
      <c r="L756" s="431" t="s">
        <v>262</v>
      </c>
      <c r="M756" s="432" t="s">
        <v>357</v>
      </c>
    </row>
    <row r="757" spans="1:13" ht="409.5" x14ac:dyDescent="0.2">
      <c r="A757" s="431" t="s">
        <v>355</v>
      </c>
      <c r="B757" s="431">
        <v>1870451</v>
      </c>
      <c r="C757" s="431" t="s">
        <v>159</v>
      </c>
      <c r="D757" s="431" t="s">
        <v>173</v>
      </c>
      <c r="E757" s="431" t="s">
        <v>161</v>
      </c>
      <c r="F757" s="431" t="s">
        <v>356</v>
      </c>
      <c r="G757" s="431" t="s">
        <v>175</v>
      </c>
      <c r="H757" s="431"/>
      <c r="I757" s="431"/>
      <c r="J757" s="431"/>
      <c r="K757" s="431"/>
      <c r="L757" s="431" t="s">
        <v>262</v>
      </c>
      <c r="M757" s="432" t="s">
        <v>357</v>
      </c>
    </row>
    <row r="758" spans="1:13" ht="409.5" x14ac:dyDescent="0.2">
      <c r="A758" s="431" t="s">
        <v>355</v>
      </c>
      <c r="B758" s="431">
        <v>1870451</v>
      </c>
      <c r="C758" s="431" t="s">
        <v>159</v>
      </c>
      <c r="D758" s="431" t="s">
        <v>173</v>
      </c>
      <c r="E758" s="431" t="s">
        <v>161</v>
      </c>
      <c r="F758" s="431" t="s">
        <v>356</v>
      </c>
      <c r="G758" s="431" t="s">
        <v>175</v>
      </c>
      <c r="H758" s="431"/>
      <c r="I758" s="431"/>
      <c r="J758" s="431"/>
      <c r="K758" s="431"/>
      <c r="L758" s="431" t="s">
        <v>262</v>
      </c>
      <c r="M758" s="432" t="s">
        <v>357</v>
      </c>
    </row>
    <row r="759" spans="1:13" ht="409.5" x14ac:dyDescent="0.2">
      <c r="A759" s="431" t="s">
        <v>355</v>
      </c>
      <c r="B759" s="431">
        <v>1870451</v>
      </c>
      <c r="C759" s="431" t="s">
        <v>159</v>
      </c>
      <c r="D759" s="431" t="s">
        <v>173</v>
      </c>
      <c r="E759" s="431" t="s">
        <v>161</v>
      </c>
      <c r="F759" s="431" t="s">
        <v>356</v>
      </c>
      <c r="G759" s="431" t="s">
        <v>175</v>
      </c>
      <c r="H759" s="431"/>
      <c r="I759" s="431"/>
      <c r="J759" s="431"/>
      <c r="K759" s="431"/>
      <c r="L759" s="431" t="s">
        <v>262</v>
      </c>
      <c r="M759" s="432" t="s">
        <v>357</v>
      </c>
    </row>
    <row r="760" spans="1:13" ht="409.5" x14ac:dyDescent="0.2">
      <c r="A760" s="431" t="s">
        <v>355</v>
      </c>
      <c r="B760" s="431">
        <v>1870451</v>
      </c>
      <c r="C760" s="431" t="s">
        <v>159</v>
      </c>
      <c r="D760" s="431" t="s">
        <v>173</v>
      </c>
      <c r="E760" s="431" t="s">
        <v>161</v>
      </c>
      <c r="F760" s="431" t="s">
        <v>356</v>
      </c>
      <c r="G760" s="431" t="s">
        <v>175</v>
      </c>
      <c r="H760" s="431"/>
      <c r="I760" s="431"/>
      <c r="J760" s="431"/>
      <c r="K760" s="431"/>
      <c r="L760" s="431" t="s">
        <v>262</v>
      </c>
      <c r="M760" s="432" t="s">
        <v>357</v>
      </c>
    </row>
    <row r="761" spans="1:13" ht="409.5" x14ac:dyDescent="0.2">
      <c r="A761" s="431" t="s">
        <v>355</v>
      </c>
      <c r="B761" s="431">
        <v>1870451</v>
      </c>
      <c r="C761" s="431" t="s">
        <v>159</v>
      </c>
      <c r="D761" s="431" t="s">
        <v>173</v>
      </c>
      <c r="E761" s="431" t="s">
        <v>161</v>
      </c>
      <c r="F761" s="431" t="s">
        <v>356</v>
      </c>
      <c r="G761" s="431" t="s">
        <v>175</v>
      </c>
      <c r="H761" s="431"/>
      <c r="I761" s="431"/>
      <c r="J761" s="431"/>
      <c r="K761" s="431"/>
      <c r="L761" s="431" t="s">
        <v>262</v>
      </c>
      <c r="M761" s="432" t="s">
        <v>357</v>
      </c>
    </row>
    <row r="762" spans="1:13" ht="409.5" x14ac:dyDescent="0.2">
      <c r="A762" s="431" t="s">
        <v>355</v>
      </c>
      <c r="B762" s="431">
        <v>1870451</v>
      </c>
      <c r="C762" s="431" t="s">
        <v>159</v>
      </c>
      <c r="D762" s="431" t="s">
        <v>173</v>
      </c>
      <c r="E762" s="431" t="s">
        <v>161</v>
      </c>
      <c r="F762" s="431" t="s">
        <v>356</v>
      </c>
      <c r="G762" s="431" t="s">
        <v>175</v>
      </c>
      <c r="H762" s="431"/>
      <c r="I762" s="431"/>
      <c r="J762" s="431"/>
      <c r="K762" s="431"/>
      <c r="L762" s="431" t="s">
        <v>262</v>
      </c>
      <c r="M762" s="432" t="s">
        <v>357</v>
      </c>
    </row>
    <row r="763" spans="1:13" ht="409.5" x14ac:dyDescent="0.2">
      <c r="A763" s="431" t="s">
        <v>355</v>
      </c>
      <c r="B763" s="431">
        <v>1870451</v>
      </c>
      <c r="C763" s="431" t="s">
        <v>159</v>
      </c>
      <c r="D763" s="431" t="s">
        <v>173</v>
      </c>
      <c r="E763" s="431" t="s">
        <v>161</v>
      </c>
      <c r="F763" s="431" t="s">
        <v>356</v>
      </c>
      <c r="G763" s="431" t="s">
        <v>175</v>
      </c>
      <c r="H763" s="431"/>
      <c r="I763" s="431"/>
      <c r="J763" s="431"/>
      <c r="K763" s="431"/>
      <c r="L763" s="431" t="s">
        <v>262</v>
      </c>
      <c r="M763" s="432" t="s">
        <v>357</v>
      </c>
    </row>
    <row r="764" spans="1:13" ht="409.5" x14ac:dyDescent="0.2">
      <c r="A764" s="431" t="s">
        <v>355</v>
      </c>
      <c r="B764" s="431">
        <v>1870451</v>
      </c>
      <c r="C764" s="431" t="s">
        <v>159</v>
      </c>
      <c r="D764" s="431" t="s">
        <v>173</v>
      </c>
      <c r="E764" s="431" t="s">
        <v>161</v>
      </c>
      <c r="F764" s="431" t="s">
        <v>356</v>
      </c>
      <c r="G764" s="431" t="s">
        <v>175</v>
      </c>
      <c r="H764" s="431"/>
      <c r="I764" s="431"/>
      <c r="J764" s="431"/>
      <c r="K764" s="431"/>
      <c r="L764" s="431" t="s">
        <v>262</v>
      </c>
      <c r="M764" s="432" t="s">
        <v>357</v>
      </c>
    </row>
    <row r="765" spans="1:13" ht="409.5" x14ac:dyDescent="0.2">
      <c r="A765" s="431" t="s">
        <v>355</v>
      </c>
      <c r="B765" s="431">
        <v>1870451</v>
      </c>
      <c r="C765" s="431" t="s">
        <v>159</v>
      </c>
      <c r="D765" s="431" t="s">
        <v>173</v>
      </c>
      <c r="E765" s="431" t="s">
        <v>161</v>
      </c>
      <c r="F765" s="431" t="s">
        <v>356</v>
      </c>
      <c r="G765" s="431" t="s">
        <v>175</v>
      </c>
      <c r="H765" s="431"/>
      <c r="I765" s="431"/>
      <c r="J765" s="431"/>
      <c r="K765" s="431"/>
      <c r="L765" s="431" t="s">
        <v>262</v>
      </c>
      <c r="M765" s="432" t="s">
        <v>357</v>
      </c>
    </row>
    <row r="766" spans="1:13" ht="409.5" x14ac:dyDescent="0.2">
      <c r="A766" s="431" t="s">
        <v>355</v>
      </c>
      <c r="B766" s="431">
        <v>1870451</v>
      </c>
      <c r="C766" s="431" t="s">
        <v>159</v>
      </c>
      <c r="D766" s="431" t="s">
        <v>173</v>
      </c>
      <c r="E766" s="431" t="s">
        <v>161</v>
      </c>
      <c r="F766" s="431" t="s">
        <v>356</v>
      </c>
      <c r="G766" s="431" t="s">
        <v>175</v>
      </c>
      <c r="H766" s="431"/>
      <c r="I766" s="431"/>
      <c r="J766" s="431"/>
      <c r="K766" s="431"/>
      <c r="L766" s="431" t="s">
        <v>262</v>
      </c>
      <c r="M766" s="432" t="s">
        <v>357</v>
      </c>
    </row>
    <row r="767" spans="1:13" ht="409.5" x14ac:dyDescent="0.2">
      <c r="A767" s="431" t="s">
        <v>355</v>
      </c>
      <c r="B767" s="431">
        <v>1870451</v>
      </c>
      <c r="C767" s="431" t="s">
        <v>159</v>
      </c>
      <c r="D767" s="431" t="s">
        <v>173</v>
      </c>
      <c r="E767" s="431" t="s">
        <v>161</v>
      </c>
      <c r="F767" s="431" t="s">
        <v>356</v>
      </c>
      <c r="G767" s="431" t="s">
        <v>175</v>
      </c>
      <c r="H767" s="431"/>
      <c r="I767" s="431"/>
      <c r="J767" s="431"/>
      <c r="K767" s="431"/>
      <c r="L767" s="431" t="s">
        <v>262</v>
      </c>
      <c r="M767" s="432" t="s">
        <v>357</v>
      </c>
    </row>
    <row r="768" spans="1:13" ht="409.5" x14ac:dyDescent="0.2">
      <c r="A768" s="431" t="s">
        <v>355</v>
      </c>
      <c r="B768" s="431">
        <v>1870451</v>
      </c>
      <c r="C768" s="431" t="s">
        <v>159</v>
      </c>
      <c r="D768" s="431" t="s">
        <v>173</v>
      </c>
      <c r="E768" s="431" t="s">
        <v>161</v>
      </c>
      <c r="F768" s="431" t="s">
        <v>356</v>
      </c>
      <c r="G768" s="431" t="s">
        <v>175</v>
      </c>
      <c r="H768" s="431"/>
      <c r="I768" s="431"/>
      <c r="J768" s="431"/>
      <c r="K768" s="431"/>
      <c r="L768" s="431" t="s">
        <v>262</v>
      </c>
      <c r="M768" s="432" t="s">
        <v>357</v>
      </c>
    </row>
    <row r="769" spans="1:13" ht="409.5" x14ac:dyDescent="0.2">
      <c r="A769" s="431" t="s">
        <v>355</v>
      </c>
      <c r="B769" s="431">
        <v>1870451</v>
      </c>
      <c r="C769" s="431" t="s">
        <v>159</v>
      </c>
      <c r="D769" s="431" t="s">
        <v>173</v>
      </c>
      <c r="E769" s="431" t="s">
        <v>161</v>
      </c>
      <c r="F769" s="431" t="s">
        <v>356</v>
      </c>
      <c r="G769" s="431" t="s">
        <v>175</v>
      </c>
      <c r="H769" s="431"/>
      <c r="I769" s="431"/>
      <c r="J769" s="431"/>
      <c r="K769" s="431"/>
      <c r="L769" s="431" t="s">
        <v>262</v>
      </c>
      <c r="M769" s="432" t="s">
        <v>357</v>
      </c>
    </row>
    <row r="770" spans="1:13" ht="409.5" x14ac:dyDescent="0.2">
      <c r="A770" s="431" t="s">
        <v>355</v>
      </c>
      <c r="B770" s="431">
        <v>1870451</v>
      </c>
      <c r="C770" s="431" t="s">
        <v>159</v>
      </c>
      <c r="D770" s="431" t="s">
        <v>173</v>
      </c>
      <c r="E770" s="431" t="s">
        <v>161</v>
      </c>
      <c r="F770" s="431" t="s">
        <v>356</v>
      </c>
      <c r="G770" s="431" t="s">
        <v>175</v>
      </c>
      <c r="H770" s="431"/>
      <c r="I770" s="431"/>
      <c r="J770" s="431"/>
      <c r="K770" s="431"/>
      <c r="L770" s="431" t="s">
        <v>262</v>
      </c>
      <c r="M770" s="432" t="s">
        <v>357</v>
      </c>
    </row>
    <row r="771" spans="1:13" ht="409.5" x14ac:dyDescent="0.2">
      <c r="A771" s="431" t="s">
        <v>355</v>
      </c>
      <c r="B771" s="431">
        <v>1870451</v>
      </c>
      <c r="C771" s="431" t="s">
        <v>159</v>
      </c>
      <c r="D771" s="431" t="s">
        <v>173</v>
      </c>
      <c r="E771" s="431" t="s">
        <v>161</v>
      </c>
      <c r="F771" s="431" t="s">
        <v>356</v>
      </c>
      <c r="G771" s="431" t="s">
        <v>175</v>
      </c>
      <c r="H771" s="431"/>
      <c r="I771" s="431"/>
      <c r="J771" s="431"/>
      <c r="K771" s="431"/>
      <c r="L771" s="431" t="s">
        <v>262</v>
      </c>
      <c r="M771" s="432" t="s">
        <v>357</v>
      </c>
    </row>
    <row r="772" spans="1:13" ht="409.5" x14ac:dyDescent="0.2">
      <c r="A772" s="431" t="s">
        <v>355</v>
      </c>
      <c r="B772" s="431">
        <v>1870451</v>
      </c>
      <c r="C772" s="431" t="s">
        <v>159</v>
      </c>
      <c r="D772" s="431" t="s">
        <v>173</v>
      </c>
      <c r="E772" s="431" t="s">
        <v>161</v>
      </c>
      <c r="F772" s="431" t="s">
        <v>356</v>
      </c>
      <c r="G772" s="431" t="s">
        <v>175</v>
      </c>
      <c r="H772" s="431"/>
      <c r="I772" s="431"/>
      <c r="J772" s="431"/>
      <c r="K772" s="431"/>
      <c r="L772" s="431" t="s">
        <v>262</v>
      </c>
      <c r="M772" s="432" t="s">
        <v>357</v>
      </c>
    </row>
    <row r="773" spans="1:13" ht="409.5" x14ac:dyDescent="0.2">
      <c r="A773" s="431" t="s">
        <v>355</v>
      </c>
      <c r="B773" s="431">
        <v>1870451</v>
      </c>
      <c r="C773" s="431" t="s">
        <v>159</v>
      </c>
      <c r="D773" s="431" t="s">
        <v>173</v>
      </c>
      <c r="E773" s="431" t="s">
        <v>161</v>
      </c>
      <c r="F773" s="431" t="s">
        <v>356</v>
      </c>
      <c r="G773" s="431" t="s">
        <v>175</v>
      </c>
      <c r="H773" s="431"/>
      <c r="I773" s="431"/>
      <c r="J773" s="431"/>
      <c r="K773" s="431"/>
      <c r="L773" s="431" t="s">
        <v>262</v>
      </c>
      <c r="M773" s="432" t="s">
        <v>357</v>
      </c>
    </row>
    <row r="774" spans="1:13" ht="409.5" x14ac:dyDescent="0.2">
      <c r="A774" s="431" t="s">
        <v>355</v>
      </c>
      <c r="B774" s="431">
        <v>1870451</v>
      </c>
      <c r="C774" s="431" t="s">
        <v>159</v>
      </c>
      <c r="D774" s="431" t="s">
        <v>173</v>
      </c>
      <c r="E774" s="431" t="s">
        <v>161</v>
      </c>
      <c r="F774" s="431" t="s">
        <v>356</v>
      </c>
      <c r="G774" s="431" t="s">
        <v>175</v>
      </c>
      <c r="H774" s="431"/>
      <c r="I774" s="431"/>
      <c r="J774" s="431"/>
      <c r="K774" s="431"/>
      <c r="L774" s="431" t="s">
        <v>262</v>
      </c>
      <c r="M774" s="432" t="s">
        <v>357</v>
      </c>
    </row>
    <row r="775" spans="1:13" ht="409.5" x14ac:dyDescent="0.2">
      <c r="A775" s="431" t="s">
        <v>355</v>
      </c>
      <c r="B775" s="431">
        <v>1870451</v>
      </c>
      <c r="C775" s="431" t="s">
        <v>159</v>
      </c>
      <c r="D775" s="431" t="s">
        <v>173</v>
      </c>
      <c r="E775" s="431" t="s">
        <v>161</v>
      </c>
      <c r="F775" s="431" t="s">
        <v>356</v>
      </c>
      <c r="G775" s="431" t="s">
        <v>175</v>
      </c>
      <c r="H775" s="431"/>
      <c r="I775" s="431"/>
      <c r="J775" s="431"/>
      <c r="K775" s="431"/>
      <c r="L775" s="431" t="s">
        <v>262</v>
      </c>
      <c r="M775" s="432" t="s">
        <v>357</v>
      </c>
    </row>
    <row r="776" spans="1:13" ht="409.5" x14ac:dyDescent="0.2">
      <c r="A776" s="431" t="s">
        <v>355</v>
      </c>
      <c r="B776" s="431">
        <v>1870451</v>
      </c>
      <c r="C776" s="431" t="s">
        <v>159</v>
      </c>
      <c r="D776" s="431" t="s">
        <v>173</v>
      </c>
      <c r="E776" s="431" t="s">
        <v>161</v>
      </c>
      <c r="F776" s="431" t="s">
        <v>356</v>
      </c>
      <c r="G776" s="431" t="s">
        <v>175</v>
      </c>
      <c r="H776" s="431"/>
      <c r="I776" s="431"/>
      <c r="J776" s="431"/>
      <c r="K776" s="431"/>
      <c r="L776" s="431" t="s">
        <v>262</v>
      </c>
      <c r="M776" s="432" t="s">
        <v>357</v>
      </c>
    </row>
    <row r="777" spans="1:13" ht="409.5" x14ac:dyDescent="0.2">
      <c r="A777" s="431" t="s">
        <v>355</v>
      </c>
      <c r="B777" s="431">
        <v>1870451</v>
      </c>
      <c r="C777" s="431" t="s">
        <v>159</v>
      </c>
      <c r="D777" s="431" t="s">
        <v>173</v>
      </c>
      <c r="E777" s="431" t="s">
        <v>161</v>
      </c>
      <c r="F777" s="431" t="s">
        <v>323</v>
      </c>
      <c r="G777" s="431" t="s">
        <v>175</v>
      </c>
      <c r="H777" s="431"/>
      <c r="I777" s="431"/>
      <c r="J777" s="431"/>
      <c r="K777" s="431"/>
      <c r="L777" s="431" t="s">
        <v>262</v>
      </c>
      <c r="M777" s="432" t="s">
        <v>357</v>
      </c>
    </row>
    <row r="778" spans="1:13" ht="409.5" x14ac:dyDescent="0.2">
      <c r="A778" s="431" t="s">
        <v>355</v>
      </c>
      <c r="B778" s="431">
        <v>1870451</v>
      </c>
      <c r="C778" s="431" t="s">
        <v>159</v>
      </c>
      <c r="D778" s="431" t="s">
        <v>173</v>
      </c>
      <c r="E778" s="431" t="s">
        <v>161</v>
      </c>
      <c r="F778" s="431" t="s">
        <v>323</v>
      </c>
      <c r="G778" s="431" t="s">
        <v>175</v>
      </c>
      <c r="H778" s="431"/>
      <c r="I778" s="431"/>
      <c r="J778" s="431"/>
      <c r="K778" s="431"/>
      <c r="L778" s="431" t="s">
        <v>262</v>
      </c>
      <c r="M778" s="432" t="s">
        <v>357</v>
      </c>
    </row>
    <row r="779" spans="1:13" ht="409.5" x14ac:dyDescent="0.2">
      <c r="A779" s="431" t="s">
        <v>355</v>
      </c>
      <c r="B779" s="431">
        <v>1870451</v>
      </c>
      <c r="C779" s="431" t="s">
        <v>159</v>
      </c>
      <c r="D779" s="431" t="s">
        <v>173</v>
      </c>
      <c r="E779" s="431" t="s">
        <v>161</v>
      </c>
      <c r="F779" s="431" t="s">
        <v>323</v>
      </c>
      <c r="G779" s="431" t="s">
        <v>175</v>
      </c>
      <c r="H779" s="431"/>
      <c r="I779" s="431"/>
      <c r="J779" s="431"/>
      <c r="K779" s="431"/>
      <c r="L779" s="431" t="s">
        <v>262</v>
      </c>
      <c r="M779" s="432" t="s">
        <v>357</v>
      </c>
    </row>
    <row r="780" spans="1:13" ht="409.5" x14ac:dyDescent="0.2">
      <c r="A780" s="431" t="s">
        <v>355</v>
      </c>
      <c r="B780" s="431">
        <v>1870451</v>
      </c>
      <c r="C780" s="431" t="s">
        <v>159</v>
      </c>
      <c r="D780" s="431" t="s">
        <v>173</v>
      </c>
      <c r="E780" s="431" t="s">
        <v>161</v>
      </c>
      <c r="F780" s="431" t="s">
        <v>323</v>
      </c>
      <c r="G780" s="431" t="s">
        <v>175</v>
      </c>
      <c r="H780" s="431"/>
      <c r="I780" s="431"/>
      <c r="J780" s="431"/>
      <c r="K780" s="431"/>
      <c r="L780" s="431" t="s">
        <v>262</v>
      </c>
      <c r="M780" s="432" t="s">
        <v>357</v>
      </c>
    </row>
    <row r="781" spans="1:13" ht="409.5" x14ac:dyDescent="0.2">
      <c r="A781" s="431" t="s">
        <v>355</v>
      </c>
      <c r="B781" s="431">
        <v>1870451</v>
      </c>
      <c r="C781" s="431" t="s">
        <v>159</v>
      </c>
      <c r="D781" s="431" t="s">
        <v>173</v>
      </c>
      <c r="E781" s="431" t="s">
        <v>161</v>
      </c>
      <c r="F781" s="431" t="s">
        <v>323</v>
      </c>
      <c r="G781" s="431" t="s">
        <v>175</v>
      </c>
      <c r="H781" s="431"/>
      <c r="I781" s="431"/>
      <c r="J781" s="431"/>
      <c r="K781" s="431"/>
      <c r="L781" s="431" t="s">
        <v>262</v>
      </c>
      <c r="M781" s="432" t="s">
        <v>357</v>
      </c>
    </row>
    <row r="782" spans="1:13" ht="409.5" x14ac:dyDescent="0.2">
      <c r="A782" s="431" t="s">
        <v>355</v>
      </c>
      <c r="B782" s="431">
        <v>1870451</v>
      </c>
      <c r="C782" s="431" t="s">
        <v>159</v>
      </c>
      <c r="D782" s="431" t="s">
        <v>173</v>
      </c>
      <c r="E782" s="431" t="s">
        <v>161</v>
      </c>
      <c r="F782" s="431" t="s">
        <v>323</v>
      </c>
      <c r="G782" s="431" t="s">
        <v>175</v>
      </c>
      <c r="H782" s="431"/>
      <c r="I782" s="431"/>
      <c r="J782" s="431"/>
      <c r="K782" s="431"/>
      <c r="L782" s="431" t="s">
        <v>262</v>
      </c>
      <c r="M782" s="432" t="s">
        <v>357</v>
      </c>
    </row>
    <row r="783" spans="1:13" ht="409.5" x14ac:dyDescent="0.2">
      <c r="A783" s="431" t="s">
        <v>355</v>
      </c>
      <c r="B783" s="431">
        <v>1870451</v>
      </c>
      <c r="C783" s="431" t="s">
        <v>159</v>
      </c>
      <c r="D783" s="431" t="s">
        <v>173</v>
      </c>
      <c r="E783" s="431" t="s">
        <v>161</v>
      </c>
      <c r="F783" s="431" t="s">
        <v>323</v>
      </c>
      <c r="G783" s="431" t="s">
        <v>175</v>
      </c>
      <c r="H783" s="431"/>
      <c r="I783" s="431"/>
      <c r="J783" s="431"/>
      <c r="K783" s="431"/>
      <c r="L783" s="431" t="s">
        <v>262</v>
      </c>
      <c r="M783" s="432" t="s">
        <v>357</v>
      </c>
    </row>
    <row r="784" spans="1:13" ht="409.5" x14ac:dyDescent="0.2">
      <c r="A784" s="431" t="s">
        <v>355</v>
      </c>
      <c r="B784" s="431">
        <v>1870451</v>
      </c>
      <c r="C784" s="431" t="s">
        <v>159</v>
      </c>
      <c r="D784" s="431" t="s">
        <v>173</v>
      </c>
      <c r="E784" s="431" t="s">
        <v>161</v>
      </c>
      <c r="F784" s="431" t="s">
        <v>323</v>
      </c>
      <c r="G784" s="431" t="s">
        <v>175</v>
      </c>
      <c r="H784" s="431"/>
      <c r="I784" s="431"/>
      <c r="J784" s="431"/>
      <c r="K784" s="431"/>
      <c r="L784" s="431" t="s">
        <v>262</v>
      </c>
      <c r="M784" s="432" t="s">
        <v>357</v>
      </c>
    </row>
    <row r="785" spans="1:13" ht="409.5" x14ac:dyDescent="0.2">
      <c r="A785" s="431" t="s">
        <v>355</v>
      </c>
      <c r="B785" s="431">
        <v>1870451</v>
      </c>
      <c r="C785" s="431" t="s">
        <v>159</v>
      </c>
      <c r="D785" s="431" t="s">
        <v>173</v>
      </c>
      <c r="E785" s="431" t="s">
        <v>161</v>
      </c>
      <c r="F785" s="431" t="s">
        <v>323</v>
      </c>
      <c r="G785" s="431" t="s">
        <v>175</v>
      </c>
      <c r="H785" s="431"/>
      <c r="I785" s="431"/>
      <c r="J785" s="431"/>
      <c r="K785" s="431"/>
      <c r="L785" s="431" t="s">
        <v>262</v>
      </c>
      <c r="M785" s="432" t="s">
        <v>357</v>
      </c>
    </row>
    <row r="786" spans="1:13" ht="409.5" x14ac:dyDescent="0.2">
      <c r="A786" s="431" t="s">
        <v>355</v>
      </c>
      <c r="B786" s="431">
        <v>1870451</v>
      </c>
      <c r="C786" s="431" t="s">
        <v>159</v>
      </c>
      <c r="D786" s="431" t="s">
        <v>173</v>
      </c>
      <c r="E786" s="431" t="s">
        <v>161</v>
      </c>
      <c r="F786" s="431" t="s">
        <v>323</v>
      </c>
      <c r="G786" s="431" t="s">
        <v>175</v>
      </c>
      <c r="H786" s="431"/>
      <c r="I786" s="431"/>
      <c r="J786" s="431"/>
      <c r="K786" s="431"/>
      <c r="L786" s="431" t="s">
        <v>262</v>
      </c>
      <c r="M786" s="432" t="s">
        <v>357</v>
      </c>
    </row>
    <row r="787" spans="1:13" ht="409.5" x14ac:dyDescent="0.2">
      <c r="A787" s="431" t="s">
        <v>355</v>
      </c>
      <c r="B787" s="431">
        <v>1870451</v>
      </c>
      <c r="C787" s="431" t="s">
        <v>159</v>
      </c>
      <c r="D787" s="431" t="s">
        <v>173</v>
      </c>
      <c r="E787" s="431" t="s">
        <v>161</v>
      </c>
      <c r="F787" s="431" t="s">
        <v>323</v>
      </c>
      <c r="G787" s="431" t="s">
        <v>175</v>
      </c>
      <c r="H787" s="431"/>
      <c r="I787" s="431"/>
      <c r="J787" s="431"/>
      <c r="K787" s="431"/>
      <c r="L787" s="431" t="s">
        <v>262</v>
      </c>
      <c r="M787" s="432" t="s">
        <v>357</v>
      </c>
    </row>
    <row r="788" spans="1:13" ht="409.5" x14ac:dyDescent="0.2">
      <c r="A788" s="431" t="s">
        <v>355</v>
      </c>
      <c r="B788" s="431">
        <v>1870451</v>
      </c>
      <c r="C788" s="431" t="s">
        <v>159</v>
      </c>
      <c r="D788" s="431" t="s">
        <v>173</v>
      </c>
      <c r="E788" s="431" t="s">
        <v>161</v>
      </c>
      <c r="F788" s="431" t="s">
        <v>323</v>
      </c>
      <c r="G788" s="431" t="s">
        <v>175</v>
      </c>
      <c r="H788" s="431"/>
      <c r="I788" s="431"/>
      <c r="J788" s="431"/>
      <c r="K788" s="431"/>
      <c r="L788" s="431" t="s">
        <v>262</v>
      </c>
      <c r="M788" s="432" t="s">
        <v>357</v>
      </c>
    </row>
    <row r="789" spans="1:13" ht="409.5" x14ac:dyDescent="0.2">
      <c r="A789" s="431" t="s">
        <v>355</v>
      </c>
      <c r="B789" s="431">
        <v>1870451</v>
      </c>
      <c r="C789" s="431" t="s">
        <v>159</v>
      </c>
      <c r="D789" s="431" t="s">
        <v>173</v>
      </c>
      <c r="E789" s="431" t="s">
        <v>161</v>
      </c>
      <c r="F789" s="431" t="s">
        <v>323</v>
      </c>
      <c r="G789" s="431" t="s">
        <v>175</v>
      </c>
      <c r="H789" s="431"/>
      <c r="I789" s="431"/>
      <c r="J789" s="431"/>
      <c r="K789" s="431"/>
      <c r="L789" s="431" t="s">
        <v>262</v>
      </c>
      <c r="M789" s="432" t="s">
        <v>357</v>
      </c>
    </row>
    <row r="790" spans="1:13" ht="409.5" x14ac:dyDescent="0.2">
      <c r="A790" s="431" t="s">
        <v>355</v>
      </c>
      <c r="B790" s="431">
        <v>1870451</v>
      </c>
      <c r="C790" s="431" t="s">
        <v>159</v>
      </c>
      <c r="D790" s="431" t="s">
        <v>173</v>
      </c>
      <c r="E790" s="431" t="s">
        <v>161</v>
      </c>
      <c r="F790" s="431" t="s">
        <v>323</v>
      </c>
      <c r="G790" s="431" t="s">
        <v>175</v>
      </c>
      <c r="H790" s="431"/>
      <c r="I790" s="431"/>
      <c r="J790" s="431"/>
      <c r="K790" s="431"/>
      <c r="L790" s="431" t="s">
        <v>262</v>
      </c>
      <c r="M790" s="432" t="s">
        <v>357</v>
      </c>
    </row>
    <row r="791" spans="1:13" ht="409.5" x14ac:dyDescent="0.2">
      <c r="A791" s="431" t="s">
        <v>355</v>
      </c>
      <c r="B791" s="431">
        <v>1870451</v>
      </c>
      <c r="C791" s="431" t="s">
        <v>159</v>
      </c>
      <c r="D791" s="431" t="s">
        <v>173</v>
      </c>
      <c r="E791" s="431" t="s">
        <v>161</v>
      </c>
      <c r="F791" s="431" t="s">
        <v>323</v>
      </c>
      <c r="G791" s="431" t="s">
        <v>175</v>
      </c>
      <c r="H791" s="431"/>
      <c r="I791" s="431"/>
      <c r="J791" s="431"/>
      <c r="K791" s="431"/>
      <c r="L791" s="431" t="s">
        <v>262</v>
      </c>
      <c r="M791" s="432" t="s">
        <v>357</v>
      </c>
    </row>
    <row r="792" spans="1:13" ht="409.5" x14ac:dyDescent="0.2">
      <c r="A792" s="431" t="s">
        <v>355</v>
      </c>
      <c r="B792" s="431">
        <v>1870451</v>
      </c>
      <c r="C792" s="431" t="s">
        <v>159</v>
      </c>
      <c r="D792" s="431" t="s">
        <v>173</v>
      </c>
      <c r="E792" s="431" t="s">
        <v>161</v>
      </c>
      <c r="F792" s="431" t="s">
        <v>323</v>
      </c>
      <c r="G792" s="431" t="s">
        <v>175</v>
      </c>
      <c r="H792" s="431"/>
      <c r="I792" s="431"/>
      <c r="J792" s="431"/>
      <c r="K792" s="431"/>
      <c r="L792" s="431" t="s">
        <v>262</v>
      </c>
      <c r="M792" s="432" t="s">
        <v>357</v>
      </c>
    </row>
    <row r="793" spans="1:13" ht="409.5" x14ac:dyDescent="0.2">
      <c r="A793" s="431" t="s">
        <v>355</v>
      </c>
      <c r="B793" s="431">
        <v>1870451</v>
      </c>
      <c r="C793" s="431" t="s">
        <v>159</v>
      </c>
      <c r="D793" s="431" t="s">
        <v>173</v>
      </c>
      <c r="E793" s="431" t="s">
        <v>161</v>
      </c>
      <c r="F793" s="431" t="s">
        <v>323</v>
      </c>
      <c r="G793" s="431" t="s">
        <v>175</v>
      </c>
      <c r="H793" s="431"/>
      <c r="I793" s="431"/>
      <c r="J793" s="431"/>
      <c r="K793" s="431"/>
      <c r="L793" s="431" t="s">
        <v>262</v>
      </c>
      <c r="M793" s="432" t="s">
        <v>357</v>
      </c>
    </row>
    <row r="794" spans="1:13" ht="409.5" x14ac:dyDescent="0.2">
      <c r="A794" s="431" t="s">
        <v>355</v>
      </c>
      <c r="B794" s="431">
        <v>1870451</v>
      </c>
      <c r="C794" s="431" t="s">
        <v>159</v>
      </c>
      <c r="D794" s="431" t="s">
        <v>173</v>
      </c>
      <c r="E794" s="431" t="s">
        <v>161</v>
      </c>
      <c r="F794" s="431" t="s">
        <v>323</v>
      </c>
      <c r="G794" s="431" t="s">
        <v>175</v>
      </c>
      <c r="H794" s="431"/>
      <c r="I794" s="431"/>
      <c r="J794" s="431"/>
      <c r="K794" s="431"/>
      <c r="L794" s="431" t="s">
        <v>262</v>
      </c>
      <c r="M794" s="432" t="s">
        <v>357</v>
      </c>
    </row>
    <row r="795" spans="1:13" ht="409.5" x14ac:dyDescent="0.2">
      <c r="A795" s="431" t="s">
        <v>355</v>
      </c>
      <c r="B795" s="431">
        <v>1870451</v>
      </c>
      <c r="C795" s="431" t="s">
        <v>159</v>
      </c>
      <c r="D795" s="431" t="s">
        <v>173</v>
      </c>
      <c r="E795" s="431" t="s">
        <v>161</v>
      </c>
      <c r="F795" s="431" t="s">
        <v>323</v>
      </c>
      <c r="G795" s="431" t="s">
        <v>175</v>
      </c>
      <c r="H795" s="431"/>
      <c r="I795" s="431"/>
      <c r="J795" s="431"/>
      <c r="K795" s="431"/>
      <c r="L795" s="431" t="s">
        <v>262</v>
      </c>
      <c r="M795" s="432" t="s">
        <v>357</v>
      </c>
    </row>
    <row r="796" spans="1:13" ht="409.5" x14ac:dyDescent="0.2">
      <c r="A796" s="431" t="s">
        <v>355</v>
      </c>
      <c r="B796" s="431">
        <v>1870451</v>
      </c>
      <c r="C796" s="431" t="s">
        <v>159</v>
      </c>
      <c r="D796" s="431" t="s">
        <v>173</v>
      </c>
      <c r="E796" s="431" t="s">
        <v>161</v>
      </c>
      <c r="F796" s="431" t="s">
        <v>323</v>
      </c>
      <c r="G796" s="431" t="s">
        <v>175</v>
      </c>
      <c r="H796" s="431"/>
      <c r="I796" s="431"/>
      <c r="J796" s="431"/>
      <c r="K796" s="431"/>
      <c r="L796" s="431" t="s">
        <v>262</v>
      </c>
      <c r="M796" s="432" t="s">
        <v>357</v>
      </c>
    </row>
    <row r="797" spans="1:13" ht="409.5" x14ac:dyDescent="0.2">
      <c r="A797" s="431" t="s">
        <v>355</v>
      </c>
      <c r="B797" s="431">
        <v>1870451</v>
      </c>
      <c r="C797" s="431" t="s">
        <v>159</v>
      </c>
      <c r="D797" s="431" t="s">
        <v>173</v>
      </c>
      <c r="E797" s="431" t="s">
        <v>161</v>
      </c>
      <c r="F797" s="431" t="s">
        <v>323</v>
      </c>
      <c r="G797" s="431" t="s">
        <v>175</v>
      </c>
      <c r="H797" s="431"/>
      <c r="I797" s="431"/>
      <c r="J797" s="431"/>
      <c r="K797" s="431"/>
      <c r="L797" s="431" t="s">
        <v>262</v>
      </c>
      <c r="M797" s="432" t="s">
        <v>357</v>
      </c>
    </row>
    <row r="798" spans="1:13" ht="409.5" x14ac:dyDescent="0.2">
      <c r="A798" s="431" t="s">
        <v>355</v>
      </c>
      <c r="B798" s="431">
        <v>1870451</v>
      </c>
      <c r="C798" s="431" t="s">
        <v>159</v>
      </c>
      <c r="D798" s="431" t="s">
        <v>173</v>
      </c>
      <c r="E798" s="431" t="s">
        <v>161</v>
      </c>
      <c r="F798" s="431" t="s">
        <v>323</v>
      </c>
      <c r="G798" s="431" t="s">
        <v>175</v>
      </c>
      <c r="H798" s="431"/>
      <c r="I798" s="431"/>
      <c r="J798" s="431"/>
      <c r="K798" s="431"/>
      <c r="L798" s="431" t="s">
        <v>262</v>
      </c>
      <c r="M798" s="432" t="s">
        <v>357</v>
      </c>
    </row>
    <row r="799" spans="1:13" ht="409.5" x14ac:dyDescent="0.2">
      <c r="A799" s="431" t="s">
        <v>355</v>
      </c>
      <c r="B799" s="431">
        <v>1870451</v>
      </c>
      <c r="C799" s="431" t="s">
        <v>159</v>
      </c>
      <c r="D799" s="431" t="s">
        <v>173</v>
      </c>
      <c r="E799" s="431" t="s">
        <v>161</v>
      </c>
      <c r="F799" s="431" t="s">
        <v>323</v>
      </c>
      <c r="G799" s="431" t="s">
        <v>175</v>
      </c>
      <c r="H799" s="431"/>
      <c r="I799" s="431"/>
      <c r="J799" s="431"/>
      <c r="K799" s="431"/>
      <c r="L799" s="431" t="s">
        <v>262</v>
      </c>
      <c r="M799" s="432" t="s">
        <v>357</v>
      </c>
    </row>
    <row r="800" spans="1:13" ht="409.5" x14ac:dyDescent="0.2">
      <c r="A800" s="431" t="s">
        <v>355</v>
      </c>
      <c r="B800" s="431">
        <v>1870451</v>
      </c>
      <c r="C800" s="431" t="s">
        <v>159</v>
      </c>
      <c r="D800" s="431" t="s">
        <v>173</v>
      </c>
      <c r="E800" s="431" t="s">
        <v>161</v>
      </c>
      <c r="F800" s="431" t="s">
        <v>323</v>
      </c>
      <c r="G800" s="431" t="s">
        <v>175</v>
      </c>
      <c r="H800" s="431"/>
      <c r="I800" s="431"/>
      <c r="J800" s="431"/>
      <c r="K800" s="431"/>
      <c r="L800" s="431" t="s">
        <v>262</v>
      </c>
      <c r="M800" s="432" t="s">
        <v>357</v>
      </c>
    </row>
    <row r="801" spans="1:13" ht="409.5" x14ac:dyDescent="0.2">
      <c r="A801" s="431" t="s">
        <v>355</v>
      </c>
      <c r="B801" s="431">
        <v>1870451</v>
      </c>
      <c r="C801" s="431" t="s">
        <v>159</v>
      </c>
      <c r="D801" s="431" t="s">
        <v>173</v>
      </c>
      <c r="E801" s="431" t="s">
        <v>161</v>
      </c>
      <c r="F801" s="431" t="s">
        <v>323</v>
      </c>
      <c r="G801" s="431" t="s">
        <v>175</v>
      </c>
      <c r="H801" s="431"/>
      <c r="I801" s="431"/>
      <c r="J801" s="431"/>
      <c r="K801" s="431"/>
      <c r="L801" s="431" t="s">
        <v>262</v>
      </c>
      <c r="M801" s="432" t="s">
        <v>357</v>
      </c>
    </row>
    <row r="802" spans="1:13" ht="409.5" x14ac:dyDescent="0.2">
      <c r="A802" s="431" t="s">
        <v>355</v>
      </c>
      <c r="B802" s="431">
        <v>1870451</v>
      </c>
      <c r="C802" s="431" t="s">
        <v>159</v>
      </c>
      <c r="D802" s="431" t="s">
        <v>173</v>
      </c>
      <c r="E802" s="431" t="s">
        <v>161</v>
      </c>
      <c r="F802" s="431" t="s">
        <v>323</v>
      </c>
      <c r="G802" s="431" t="s">
        <v>175</v>
      </c>
      <c r="H802" s="431"/>
      <c r="I802" s="431"/>
      <c r="J802" s="431"/>
      <c r="K802" s="431"/>
      <c r="L802" s="431" t="s">
        <v>262</v>
      </c>
      <c r="M802" s="432" t="s">
        <v>357</v>
      </c>
    </row>
    <row r="803" spans="1:13" ht="409.5" x14ac:dyDescent="0.2">
      <c r="A803" s="431" t="s">
        <v>355</v>
      </c>
      <c r="B803" s="431">
        <v>1870451</v>
      </c>
      <c r="C803" s="431" t="s">
        <v>159</v>
      </c>
      <c r="D803" s="431" t="s">
        <v>173</v>
      </c>
      <c r="E803" s="431" t="s">
        <v>161</v>
      </c>
      <c r="F803" s="431" t="s">
        <v>323</v>
      </c>
      <c r="G803" s="431" t="s">
        <v>175</v>
      </c>
      <c r="H803" s="431"/>
      <c r="I803" s="431"/>
      <c r="J803" s="431"/>
      <c r="K803" s="431"/>
      <c r="L803" s="431" t="s">
        <v>262</v>
      </c>
      <c r="M803" s="432" t="s">
        <v>357</v>
      </c>
    </row>
    <row r="804" spans="1:13" ht="409.5" x14ac:dyDescent="0.2">
      <c r="A804" s="431" t="s">
        <v>355</v>
      </c>
      <c r="B804" s="431">
        <v>1870451</v>
      </c>
      <c r="C804" s="431" t="s">
        <v>159</v>
      </c>
      <c r="D804" s="431" t="s">
        <v>173</v>
      </c>
      <c r="E804" s="431" t="s">
        <v>161</v>
      </c>
      <c r="F804" s="431" t="s">
        <v>323</v>
      </c>
      <c r="G804" s="431" t="s">
        <v>175</v>
      </c>
      <c r="H804" s="431"/>
      <c r="I804" s="431"/>
      <c r="J804" s="431"/>
      <c r="K804" s="431"/>
      <c r="L804" s="431" t="s">
        <v>262</v>
      </c>
      <c r="M804" s="432" t="s">
        <v>357</v>
      </c>
    </row>
    <row r="805" spans="1:13" ht="409.5" x14ac:dyDescent="0.2">
      <c r="A805" s="431" t="s">
        <v>355</v>
      </c>
      <c r="B805" s="431">
        <v>1870451</v>
      </c>
      <c r="C805" s="431" t="s">
        <v>159</v>
      </c>
      <c r="D805" s="431" t="s">
        <v>173</v>
      </c>
      <c r="E805" s="431" t="s">
        <v>161</v>
      </c>
      <c r="F805" s="431" t="s">
        <v>323</v>
      </c>
      <c r="G805" s="431" t="s">
        <v>175</v>
      </c>
      <c r="H805" s="431"/>
      <c r="I805" s="431"/>
      <c r="J805" s="431"/>
      <c r="K805" s="431"/>
      <c r="L805" s="431" t="s">
        <v>262</v>
      </c>
      <c r="M805" s="432" t="s">
        <v>357</v>
      </c>
    </row>
    <row r="806" spans="1:13" ht="409.5" x14ac:dyDescent="0.2">
      <c r="A806" s="431" t="s">
        <v>355</v>
      </c>
      <c r="B806" s="431">
        <v>1870451</v>
      </c>
      <c r="C806" s="431" t="s">
        <v>159</v>
      </c>
      <c r="D806" s="431" t="s">
        <v>173</v>
      </c>
      <c r="E806" s="431" t="s">
        <v>161</v>
      </c>
      <c r="F806" s="431" t="s">
        <v>323</v>
      </c>
      <c r="G806" s="431" t="s">
        <v>175</v>
      </c>
      <c r="H806" s="431"/>
      <c r="I806" s="431"/>
      <c r="J806" s="431"/>
      <c r="K806" s="431"/>
      <c r="L806" s="431" t="s">
        <v>262</v>
      </c>
      <c r="M806" s="432" t="s">
        <v>357</v>
      </c>
    </row>
    <row r="807" spans="1:13" ht="409.5" x14ac:dyDescent="0.2">
      <c r="A807" s="431" t="s">
        <v>355</v>
      </c>
      <c r="B807" s="431">
        <v>1870451</v>
      </c>
      <c r="C807" s="431" t="s">
        <v>159</v>
      </c>
      <c r="D807" s="431" t="s">
        <v>173</v>
      </c>
      <c r="E807" s="431" t="s">
        <v>161</v>
      </c>
      <c r="F807" s="431" t="s">
        <v>323</v>
      </c>
      <c r="G807" s="431" t="s">
        <v>175</v>
      </c>
      <c r="H807" s="431"/>
      <c r="I807" s="431"/>
      <c r="J807" s="431"/>
      <c r="K807" s="431"/>
      <c r="L807" s="431" t="s">
        <v>262</v>
      </c>
      <c r="M807" s="432" t="s">
        <v>357</v>
      </c>
    </row>
    <row r="808" spans="1:13" ht="409.5" x14ac:dyDescent="0.2">
      <c r="A808" s="431" t="s">
        <v>355</v>
      </c>
      <c r="B808" s="431">
        <v>1870451</v>
      </c>
      <c r="C808" s="431" t="s">
        <v>159</v>
      </c>
      <c r="D808" s="431" t="s">
        <v>173</v>
      </c>
      <c r="E808" s="431" t="s">
        <v>161</v>
      </c>
      <c r="F808" s="431" t="s">
        <v>323</v>
      </c>
      <c r="G808" s="431" t="s">
        <v>175</v>
      </c>
      <c r="H808" s="431"/>
      <c r="I808" s="431"/>
      <c r="J808" s="431"/>
      <c r="K808" s="431"/>
      <c r="L808" s="431" t="s">
        <v>262</v>
      </c>
      <c r="M808" s="432" t="s">
        <v>357</v>
      </c>
    </row>
    <row r="809" spans="1:13" ht="409.5" x14ac:dyDescent="0.2">
      <c r="A809" s="431" t="s">
        <v>355</v>
      </c>
      <c r="B809" s="431">
        <v>1870451</v>
      </c>
      <c r="C809" s="431" t="s">
        <v>159</v>
      </c>
      <c r="D809" s="431" t="s">
        <v>173</v>
      </c>
      <c r="E809" s="431" t="s">
        <v>161</v>
      </c>
      <c r="F809" s="431" t="s">
        <v>323</v>
      </c>
      <c r="G809" s="431" t="s">
        <v>175</v>
      </c>
      <c r="H809" s="431"/>
      <c r="I809" s="431"/>
      <c r="J809" s="431"/>
      <c r="K809" s="431"/>
      <c r="L809" s="431" t="s">
        <v>262</v>
      </c>
      <c r="M809" s="432" t="s">
        <v>357</v>
      </c>
    </row>
    <row r="810" spans="1:13" ht="409.5" x14ac:dyDescent="0.2">
      <c r="A810" s="431" t="s">
        <v>355</v>
      </c>
      <c r="B810" s="431">
        <v>1870451</v>
      </c>
      <c r="C810" s="431" t="s">
        <v>159</v>
      </c>
      <c r="D810" s="431" t="s">
        <v>173</v>
      </c>
      <c r="E810" s="431" t="s">
        <v>161</v>
      </c>
      <c r="F810" s="431" t="s">
        <v>323</v>
      </c>
      <c r="G810" s="431" t="s">
        <v>175</v>
      </c>
      <c r="H810" s="431"/>
      <c r="I810" s="431"/>
      <c r="J810" s="431"/>
      <c r="K810" s="431"/>
      <c r="L810" s="431" t="s">
        <v>262</v>
      </c>
      <c r="M810" s="432" t="s">
        <v>357</v>
      </c>
    </row>
    <row r="811" spans="1:13" ht="409.5" x14ac:dyDescent="0.2">
      <c r="A811" s="431" t="s">
        <v>355</v>
      </c>
      <c r="B811" s="431">
        <v>1870451</v>
      </c>
      <c r="C811" s="431" t="s">
        <v>159</v>
      </c>
      <c r="D811" s="431" t="s">
        <v>173</v>
      </c>
      <c r="E811" s="431" t="s">
        <v>161</v>
      </c>
      <c r="F811" s="431" t="s">
        <v>323</v>
      </c>
      <c r="G811" s="431" t="s">
        <v>175</v>
      </c>
      <c r="H811" s="431"/>
      <c r="I811" s="431"/>
      <c r="J811" s="431"/>
      <c r="K811" s="431"/>
      <c r="L811" s="431" t="s">
        <v>262</v>
      </c>
      <c r="M811" s="432" t="s">
        <v>357</v>
      </c>
    </row>
    <row r="812" spans="1:13" ht="409.5" x14ac:dyDescent="0.2">
      <c r="A812" s="431" t="s">
        <v>355</v>
      </c>
      <c r="B812" s="431">
        <v>1870451</v>
      </c>
      <c r="C812" s="431" t="s">
        <v>159</v>
      </c>
      <c r="D812" s="431" t="s">
        <v>173</v>
      </c>
      <c r="E812" s="431" t="s">
        <v>161</v>
      </c>
      <c r="F812" s="431" t="s">
        <v>323</v>
      </c>
      <c r="G812" s="431" t="s">
        <v>175</v>
      </c>
      <c r="H812" s="431"/>
      <c r="I812" s="431"/>
      <c r="J812" s="431"/>
      <c r="K812" s="431"/>
      <c r="L812" s="431" t="s">
        <v>262</v>
      </c>
      <c r="M812" s="432" t="s">
        <v>357</v>
      </c>
    </row>
    <row r="813" spans="1:13" ht="409.5" x14ac:dyDescent="0.2">
      <c r="A813" s="431" t="s">
        <v>355</v>
      </c>
      <c r="B813" s="431">
        <v>1870451</v>
      </c>
      <c r="C813" s="431" t="s">
        <v>159</v>
      </c>
      <c r="D813" s="431" t="s">
        <v>173</v>
      </c>
      <c r="E813" s="431" t="s">
        <v>161</v>
      </c>
      <c r="F813" s="431" t="s">
        <v>323</v>
      </c>
      <c r="G813" s="431" t="s">
        <v>175</v>
      </c>
      <c r="H813" s="431"/>
      <c r="I813" s="431"/>
      <c r="J813" s="431"/>
      <c r="K813" s="431"/>
      <c r="L813" s="431" t="s">
        <v>262</v>
      </c>
      <c r="M813" s="432" t="s">
        <v>357</v>
      </c>
    </row>
    <row r="814" spans="1:13" ht="409.5" x14ac:dyDescent="0.2">
      <c r="A814" s="431" t="s">
        <v>355</v>
      </c>
      <c r="B814" s="431">
        <v>1870451</v>
      </c>
      <c r="C814" s="431" t="s">
        <v>159</v>
      </c>
      <c r="D814" s="431" t="s">
        <v>173</v>
      </c>
      <c r="E814" s="431" t="s">
        <v>161</v>
      </c>
      <c r="F814" s="431" t="s">
        <v>323</v>
      </c>
      <c r="G814" s="431" t="s">
        <v>175</v>
      </c>
      <c r="H814" s="431"/>
      <c r="I814" s="431"/>
      <c r="J814" s="431"/>
      <c r="K814" s="431"/>
      <c r="L814" s="431" t="s">
        <v>262</v>
      </c>
      <c r="M814" s="432" t="s">
        <v>357</v>
      </c>
    </row>
    <row r="815" spans="1:13" ht="409.5" x14ac:dyDescent="0.2">
      <c r="A815" s="431" t="s">
        <v>355</v>
      </c>
      <c r="B815" s="431">
        <v>1870451</v>
      </c>
      <c r="C815" s="431" t="s">
        <v>159</v>
      </c>
      <c r="D815" s="431" t="s">
        <v>173</v>
      </c>
      <c r="E815" s="431" t="s">
        <v>161</v>
      </c>
      <c r="F815" s="431" t="s">
        <v>323</v>
      </c>
      <c r="G815" s="431" t="s">
        <v>175</v>
      </c>
      <c r="H815" s="431"/>
      <c r="I815" s="431"/>
      <c r="J815" s="431"/>
      <c r="K815" s="431"/>
      <c r="L815" s="431" t="s">
        <v>262</v>
      </c>
      <c r="M815" s="432" t="s">
        <v>357</v>
      </c>
    </row>
    <row r="816" spans="1:13" ht="409.5" x14ac:dyDescent="0.2">
      <c r="A816" s="431" t="s">
        <v>355</v>
      </c>
      <c r="B816" s="431">
        <v>1870451</v>
      </c>
      <c r="C816" s="431" t="s">
        <v>159</v>
      </c>
      <c r="D816" s="431" t="s">
        <v>173</v>
      </c>
      <c r="E816" s="431" t="s">
        <v>161</v>
      </c>
      <c r="F816" s="431" t="s">
        <v>323</v>
      </c>
      <c r="G816" s="431" t="s">
        <v>175</v>
      </c>
      <c r="H816" s="431"/>
      <c r="I816" s="431"/>
      <c r="J816" s="431"/>
      <c r="K816" s="431"/>
      <c r="L816" s="431" t="s">
        <v>262</v>
      </c>
      <c r="M816" s="432" t="s">
        <v>357</v>
      </c>
    </row>
    <row r="817" spans="1:13" ht="409.5" x14ac:dyDescent="0.2">
      <c r="A817" s="431" t="s">
        <v>355</v>
      </c>
      <c r="B817" s="431">
        <v>1870451</v>
      </c>
      <c r="C817" s="431" t="s">
        <v>159</v>
      </c>
      <c r="D817" s="431" t="s">
        <v>173</v>
      </c>
      <c r="E817" s="431" t="s">
        <v>161</v>
      </c>
      <c r="F817" s="431" t="s">
        <v>323</v>
      </c>
      <c r="G817" s="431" t="s">
        <v>175</v>
      </c>
      <c r="H817" s="431"/>
      <c r="I817" s="431"/>
      <c r="J817" s="431"/>
      <c r="K817" s="431"/>
      <c r="L817" s="431" t="s">
        <v>262</v>
      </c>
      <c r="M817" s="432" t="s">
        <v>357</v>
      </c>
    </row>
    <row r="818" spans="1:13" ht="409.5" x14ac:dyDescent="0.2">
      <c r="A818" s="431" t="s">
        <v>355</v>
      </c>
      <c r="B818" s="431">
        <v>1870451</v>
      </c>
      <c r="C818" s="431" t="s">
        <v>159</v>
      </c>
      <c r="D818" s="431" t="s">
        <v>173</v>
      </c>
      <c r="E818" s="431" t="s">
        <v>161</v>
      </c>
      <c r="F818" s="431" t="s">
        <v>323</v>
      </c>
      <c r="G818" s="431" t="s">
        <v>175</v>
      </c>
      <c r="H818" s="431"/>
      <c r="I818" s="431"/>
      <c r="J818" s="431"/>
      <c r="K818" s="431"/>
      <c r="L818" s="431" t="s">
        <v>262</v>
      </c>
      <c r="M818" s="432" t="s">
        <v>357</v>
      </c>
    </row>
    <row r="819" spans="1:13" ht="409.5" x14ac:dyDescent="0.2">
      <c r="A819" s="431" t="s">
        <v>355</v>
      </c>
      <c r="B819" s="431">
        <v>1870451</v>
      </c>
      <c r="C819" s="431" t="s">
        <v>159</v>
      </c>
      <c r="D819" s="431" t="s">
        <v>173</v>
      </c>
      <c r="E819" s="431" t="s">
        <v>161</v>
      </c>
      <c r="F819" s="431" t="s">
        <v>323</v>
      </c>
      <c r="G819" s="431" t="s">
        <v>175</v>
      </c>
      <c r="H819" s="431"/>
      <c r="I819" s="431"/>
      <c r="J819" s="431"/>
      <c r="K819" s="431"/>
      <c r="L819" s="431" t="s">
        <v>262</v>
      </c>
      <c r="M819" s="432" t="s">
        <v>357</v>
      </c>
    </row>
    <row r="820" spans="1:13" ht="409.5" x14ac:dyDescent="0.2">
      <c r="A820" s="431" t="s">
        <v>355</v>
      </c>
      <c r="B820" s="431">
        <v>1870451</v>
      </c>
      <c r="C820" s="431" t="s">
        <v>159</v>
      </c>
      <c r="D820" s="431" t="s">
        <v>173</v>
      </c>
      <c r="E820" s="431" t="s">
        <v>161</v>
      </c>
      <c r="F820" s="431" t="s">
        <v>323</v>
      </c>
      <c r="G820" s="431" t="s">
        <v>175</v>
      </c>
      <c r="H820" s="431"/>
      <c r="I820" s="431"/>
      <c r="J820" s="431"/>
      <c r="K820" s="431"/>
      <c r="L820" s="431" t="s">
        <v>262</v>
      </c>
      <c r="M820" s="432" t="s">
        <v>357</v>
      </c>
    </row>
    <row r="821" spans="1:13" ht="409.5" x14ac:dyDescent="0.2">
      <c r="A821" s="431" t="s">
        <v>355</v>
      </c>
      <c r="B821" s="431">
        <v>1870451</v>
      </c>
      <c r="C821" s="431" t="s">
        <v>159</v>
      </c>
      <c r="D821" s="431" t="s">
        <v>173</v>
      </c>
      <c r="E821" s="431" t="s">
        <v>161</v>
      </c>
      <c r="F821" s="431" t="s">
        <v>323</v>
      </c>
      <c r="G821" s="431" t="s">
        <v>175</v>
      </c>
      <c r="H821" s="431"/>
      <c r="I821" s="431"/>
      <c r="J821" s="431"/>
      <c r="K821" s="431"/>
      <c r="L821" s="431" t="s">
        <v>262</v>
      </c>
      <c r="M821" s="432" t="s">
        <v>357</v>
      </c>
    </row>
    <row r="822" spans="1:13" ht="409.5" x14ac:dyDescent="0.2">
      <c r="A822" s="431" t="s">
        <v>355</v>
      </c>
      <c r="B822" s="431">
        <v>1870451</v>
      </c>
      <c r="C822" s="431" t="s">
        <v>159</v>
      </c>
      <c r="D822" s="431" t="s">
        <v>173</v>
      </c>
      <c r="E822" s="431" t="s">
        <v>161</v>
      </c>
      <c r="F822" s="431" t="s">
        <v>323</v>
      </c>
      <c r="G822" s="431" t="s">
        <v>175</v>
      </c>
      <c r="H822" s="431"/>
      <c r="I822" s="431"/>
      <c r="J822" s="431"/>
      <c r="K822" s="431"/>
      <c r="L822" s="431" t="s">
        <v>262</v>
      </c>
      <c r="M822" s="432" t="s">
        <v>357</v>
      </c>
    </row>
    <row r="823" spans="1:13" ht="409.5" x14ac:dyDescent="0.2">
      <c r="A823" s="431" t="s">
        <v>355</v>
      </c>
      <c r="B823" s="431">
        <v>1870451</v>
      </c>
      <c r="C823" s="431" t="s">
        <v>159</v>
      </c>
      <c r="D823" s="431" t="s">
        <v>173</v>
      </c>
      <c r="E823" s="431" t="s">
        <v>161</v>
      </c>
      <c r="F823" s="431" t="s">
        <v>323</v>
      </c>
      <c r="G823" s="431" t="s">
        <v>175</v>
      </c>
      <c r="H823" s="431"/>
      <c r="I823" s="431"/>
      <c r="J823" s="431"/>
      <c r="K823" s="431"/>
      <c r="L823" s="431" t="s">
        <v>262</v>
      </c>
      <c r="M823" s="432" t="s">
        <v>357</v>
      </c>
    </row>
    <row r="824" spans="1:13" ht="409.5" x14ac:dyDescent="0.2">
      <c r="A824" s="431" t="s">
        <v>355</v>
      </c>
      <c r="B824" s="431">
        <v>1870451</v>
      </c>
      <c r="C824" s="431" t="s">
        <v>159</v>
      </c>
      <c r="D824" s="431" t="s">
        <v>173</v>
      </c>
      <c r="E824" s="431" t="s">
        <v>161</v>
      </c>
      <c r="F824" s="431" t="s">
        <v>323</v>
      </c>
      <c r="G824" s="431" t="s">
        <v>175</v>
      </c>
      <c r="H824" s="431"/>
      <c r="I824" s="431"/>
      <c r="J824" s="431"/>
      <c r="K824" s="431"/>
      <c r="L824" s="431" t="s">
        <v>262</v>
      </c>
      <c r="M824" s="432" t="s">
        <v>357</v>
      </c>
    </row>
    <row r="825" spans="1:13" ht="409.5" x14ac:dyDescent="0.2">
      <c r="A825" s="431" t="s">
        <v>355</v>
      </c>
      <c r="B825" s="431">
        <v>1870451</v>
      </c>
      <c r="C825" s="431" t="s">
        <v>159</v>
      </c>
      <c r="D825" s="431" t="s">
        <v>173</v>
      </c>
      <c r="E825" s="431" t="s">
        <v>161</v>
      </c>
      <c r="F825" s="431" t="s">
        <v>323</v>
      </c>
      <c r="G825" s="431" t="s">
        <v>175</v>
      </c>
      <c r="H825" s="431"/>
      <c r="I825" s="431"/>
      <c r="J825" s="431"/>
      <c r="K825" s="431"/>
      <c r="L825" s="431" t="s">
        <v>262</v>
      </c>
      <c r="M825" s="432" t="s">
        <v>357</v>
      </c>
    </row>
    <row r="826" spans="1:13" ht="409.5" x14ac:dyDescent="0.2">
      <c r="A826" s="431" t="s">
        <v>355</v>
      </c>
      <c r="B826" s="431">
        <v>1870451</v>
      </c>
      <c r="C826" s="431" t="s">
        <v>159</v>
      </c>
      <c r="D826" s="431" t="s">
        <v>173</v>
      </c>
      <c r="E826" s="431" t="s">
        <v>161</v>
      </c>
      <c r="F826" s="431" t="s">
        <v>323</v>
      </c>
      <c r="G826" s="431" t="s">
        <v>175</v>
      </c>
      <c r="H826" s="431"/>
      <c r="I826" s="431"/>
      <c r="J826" s="431"/>
      <c r="K826" s="431"/>
      <c r="L826" s="431" t="s">
        <v>262</v>
      </c>
      <c r="M826" s="432" t="s">
        <v>357</v>
      </c>
    </row>
    <row r="827" spans="1:13" ht="409.5" x14ac:dyDescent="0.2">
      <c r="A827" s="431" t="s">
        <v>355</v>
      </c>
      <c r="B827" s="431">
        <v>1870451</v>
      </c>
      <c r="C827" s="431" t="s">
        <v>159</v>
      </c>
      <c r="D827" s="431" t="s">
        <v>173</v>
      </c>
      <c r="E827" s="431" t="s">
        <v>161</v>
      </c>
      <c r="F827" s="431" t="s">
        <v>323</v>
      </c>
      <c r="G827" s="431" t="s">
        <v>175</v>
      </c>
      <c r="H827" s="431"/>
      <c r="I827" s="431"/>
      <c r="J827" s="431"/>
      <c r="K827" s="431"/>
      <c r="L827" s="431" t="s">
        <v>262</v>
      </c>
      <c r="M827" s="432" t="s">
        <v>357</v>
      </c>
    </row>
    <row r="828" spans="1:13" ht="409.5" x14ac:dyDescent="0.2">
      <c r="A828" s="431" t="s">
        <v>355</v>
      </c>
      <c r="B828" s="431">
        <v>1870451</v>
      </c>
      <c r="C828" s="431" t="s">
        <v>159</v>
      </c>
      <c r="D828" s="431" t="s">
        <v>173</v>
      </c>
      <c r="E828" s="431" t="s">
        <v>161</v>
      </c>
      <c r="F828" s="431" t="s">
        <v>323</v>
      </c>
      <c r="G828" s="431" t="s">
        <v>175</v>
      </c>
      <c r="H828" s="431"/>
      <c r="I828" s="431"/>
      <c r="J828" s="431"/>
      <c r="K828" s="431"/>
      <c r="L828" s="431" t="s">
        <v>262</v>
      </c>
      <c r="M828" s="432" t="s">
        <v>357</v>
      </c>
    </row>
    <row r="829" spans="1:13" ht="409.5" x14ac:dyDescent="0.2">
      <c r="A829" s="431" t="s">
        <v>355</v>
      </c>
      <c r="B829" s="431">
        <v>1870451</v>
      </c>
      <c r="C829" s="431" t="s">
        <v>159</v>
      </c>
      <c r="D829" s="431" t="s">
        <v>173</v>
      </c>
      <c r="E829" s="431" t="s">
        <v>161</v>
      </c>
      <c r="F829" s="431" t="s">
        <v>323</v>
      </c>
      <c r="G829" s="431" t="s">
        <v>175</v>
      </c>
      <c r="H829" s="431"/>
      <c r="I829" s="431"/>
      <c r="J829" s="431"/>
      <c r="K829" s="431"/>
      <c r="L829" s="431" t="s">
        <v>262</v>
      </c>
      <c r="M829" s="432" t="s">
        <v>357</v>
      </c>
    </row>
    <row r="830" spans="1:13" ht="409.5" x14ac:dyDescent="0.2">
      <c r="A830" s="431" t="s">
        <v>355</v>
      </c>
      <c r="B830" s="431">
        <v>1870451</v>
      </c>
      <c r="C830" s="431" t="s">
        <v>159</v>
      </c>
      <c r="D830" s="431" t="s">
        <v>173</v>
      </c>
      <c r="E830" s="431" t="s">
        <v>161</v>
      </c>
      <c r="F830" s="431" t="s">
        <v>323</v>
      </c>
      <c r="G830" s="431" t="s">
        <v>175</v>
      </c>
      <c r="H830" s="431"/>
      <c r="I830" s="431"/>
      <c r="J830" s="431"/>
      <c r="K830" s="431"/>
      <c r="L830" s="431" t="s">
        <v>262</v>
      </c>
      <c r="M830" s="432" t="s">
        <v>357</v>
      </c>
    </row>
    <row r="831" spans="1:13" ht="409.5" x14ac:dyDescent="0.2">
      <c r="A831" s="431" t="s">
        <v>355</v>
      </c>
      <c r="B831" s="431">
        <v>1870451</v>
      </c>
      <c r="C831" s="431" t="s">
        <v>159</v>
      </c>
      <c r="D831" s="431" t="s">
        <v>173</v>
      </c>
      <c r="E831" s="431" t="s">
        <v>161</v>
      </c>
      <c r="F831" s="431" t="s">
        <v>323</v>
      </c>
      <c r="G831" s="431" t="s">
        <v>175</v>
      </c>
      <c r="H831" s="431"/>
      <c r="I831" s="431"/>
      <c r="J831" s="431"/>
      <c r="K831" s="431"/>
      <c r="L831" s="431" t="s">
        <v>262</v>
      </c>
      <c r="M831" s="432" t="s">
        <v>357</v>
      </c>
    </row>
    <row r="832" spans="1:13" ht="409.5" x14ac:dyDescent="0.2">
      <c r="A832" s="431" t="s">
        <v>355</v>
      </c>
      <c r="B832" s="431">
        <v>1870451</v>
      </c>
      <c r="C832" s="431" t="s">
        <v>159</v>
      </c>
      <c r="D832" s="431" t="s">
        <v>173</v>
      </c>
      <c r="E832" s="431" t="s">
        <v>161</v>
      </c>
      <c r="F832" s="431" t="s">
        <v>323</v>
      </c>
      <c r="G832" s="431" t="s">
        <v>175</v>
      </c>
      <c r="H832" s="431"/>
      <c r="I832" s="431"/>
      <c r="J832" s="431"/>
      <c r="K832" s="431"/>
      <c r="L832" s="431" t="s">
        <v>262</v>
      </c>
      <c r="M832" s="432" t="s">
        <v>357</v>
      </c>
    </row>
    <row r="833" spans="1:13" ht="409.5" x14ac:dyDescent="0.2">
      <c r="A833" s="431" t="s">
        <v>355</v>
      </c>
      <c r="B833" s="431">
        <v>1870451</v>
      </c>
      <c r="C833" s="431" t="s">
        <v>159</v>
      </c>
      <c r="D833" s="431" t="s">
        <v>173</v>
      </c>
      <c r="E833" s="431" t="s">
        <v>161</v>
      </c>
      <c r="F833" s="431" t="s">
        <v>323</v>
      </c>
      <c r="G833" s="431" t="s">
        <v>175</v>
      </c>
      <c r="H833" s="431"/>
      <c r="I833" s="431"/>
      <c r="J833" s="431"/>
      <c r="K833" s="431"/>
      <c r="L833" s="431" t="s">
        <v>262</v>
      </c>
      <c r="M833" s="432" t="s">
        <v>357</v>
      </c>
    </row>
    <row r="834" spans="1:13" ht="409.5" x14ac:dyDescent="0.2">
      <c r="A834" s="431" t="s">
        <v>355</v>
      </c>
      <c r="B834" s="431">
        <v>1870451</v>
      </c>
      <c r="C834" s="431" t="s">
        <v>159</v>
      </c>
      <c r="D834" s="431" t="s">
        <v>173</v>
      </c>
      <c r="E834" s="431" t="s">
        <v>161</v>
      </c>
      <c r="F834" s="431" t="s">
        <v>323</v>
      </c>
      <c r="G834" s="431" t="s">
        <v>175</v>
      </c>
      <c r="H834" s="431"/>
      <c r="I834" s="431"/>
      <c r="J834" s="431"/>
      <c r="K834" s="431"/>
      <c r="L834" s="431" t="s">
        <v>262</v>
      </c>
      <c r="M834" s="432" t="s">
        <v>357</v>
      </c>
    </row>
    <row r="835" spans="1:13" ht="409.5" x14ac:dyDescent="0.2">
      <c r="A835" s="431" t="s">
        <v>355</v>
      </c>
      <c r="B835" s="431">
        <v>1870451</v>
      </c>
      <c r="C835" s="431" t="s">
        <v>159</v>
      </c>
      <c r="D835" s="431" t="s">
        <v>173</v>
      </c>
      <c r="E835" s="431" t="s">
        <v>161</v>
      </c>
      <c r="F835" s="431" t="s">
        <v>323</v>
      </c>
      <c r="G835" s="431" t="s">
        <v>175</v>
      </c>
      <c r="H835" s="431"/>
      <c r="I835" s="431"/>
      <c r="J835" s="431"/>
      <c r="K835" s="431"/>
      <c r="L835" s="431" t="s">
        <v>262</v>
      </c>
      <c r="M835" s="432" t="s">
        <v>357</v>
      </c>
    </row>
    <row r="836" spans="1:13" ht="409.5" x14ac:dyDescent="0.2">
      <c r="A836" s="431" t="s">
        <v>355</v>
      </c>
      <c r="B836" s="431">
        <v>1870451</v>
      </c>
      <c r="C836" s="431" t="s">
        <v>159</v>
      </c>
      <c r="D836" s="431" t="s">
        <v>173</v>
      </c>
      <c r="E836" s="431" t="s">
        <v>161</v>
      </c>
      <c r="F836" s="431" t="s">
        <v>323</v>
      </c>
      <c r="G836" s="431" t="s">
        <v>175</v>
      </c>
      <c r="H836" s="431"/>
      <c r="I836" s="431"/>
      <c r="J836" s="431"/>
      <c r="K836" s="431"/>
      <c r="L836" s="431" t="s">
        <v>262</v>
      </c>
      <c r="M836" s="432" t="s">
        <v>357</v>
      </c>
    </row>
    <row r="837" spans="1:13" ht="409.5" x14ac:dyDescent="0.2">
      <c r="A837" s="431" t="s">
        <v>355</v>
      </c>
      <c r="B837" s="431">
        <v>1870451</v>
      </c>
      <c r="C837" s="431" t="s">
        <v>159</v>
      </c>
      <c r="D837" s="431" t="s">
        <v>173</v>
      </c>
      <c r="E837" s="431" t="s">
        <v>161</v>
      </c>
      <c r="F837" s="431" t="s">
        <v>323</v>
      </c>
      <c r="G837" s="431" t="s">
        <v>175</v>
      </c>
      <c r="H837" s="431"/>
      <c r="I837" s="431"/>
      <c r="J837" s="431"/>
      <c r="K837" s="431"/>
      <c r="L837" s="431" t="s">
        <v>262</v>
      </c>
      <c r="M837" s="432" t="s">
        <v>357</v>
      </c>
    </row>
    <row r="838" spans="1:13" ht="409.5" x14ac:dyDescent="0.2">
      <c r="A838" s="431" t="s">
        <v>355</v>
      </c>
      <c r="B838" s="431">
        <v>1870451</v>
      </c>
      <c r="C838" s="431" t="s">
        <v>159</v>
      </c>
      <c r="D838" s="431" t="s">
        <v>173</v>
      </c>
      <c r="E838" s="431" t="s">
        <v>161</v>
      </c>
      <c r="F838" s="431" t="s">
        <v>323</v>
      </c>
      <c r="G838" s="431" t="s">
        <v>175</v>
      </c>
      <c r="H838" s="431"/>
      <c r="I838" s="431"/>
      <c r="J838" s="431"/>
      <c r="K838" s="431"/>
      <c r="L838" s="431" t="s">
        <v>262</v>
      </c>
      <c r="M838" s="432" t="s">
        <v>357</v>
      </c>
    </row>
    <row r="839" spans="1:13" ht="409.5" x14ac:dyDescent="0.2">
      <c r="A839" s="431" t="s">
        <v>355</v>
      </c>
      <c r="B839" s="431">
        <v>1870451</v>
      </c>
      <c r="C839" s="431" t="s">
        <v>159</v>
      </c>
      <c r="D839" s="431" t="s">
        <v>173</v>
      </c>
      <c r="E839" s="431" t="s">
        <v>161</v>
      </c>
      <c r="F839" s="431" t="s">
        <v>323</v>
      </c>
      <c r="G839" s="431" t="s">
        <v>175</v>
      </c>
      <c r="H839" s="431"/>
      <c r="I839" s="431"/>
      <c r="J839" s="431"/>
      <c r="K839" s="431"/>
      <c r="L839" s="431" t="s">
        <v>262</v>
      </c>
      <c r="M839" s="432" t="s">
        <v>357</v>
      </c>
    </row>
    <row r="840" spans="1:13" ht="409.5" x14ac:dyDescent="0.2">
      <c r="A840" s="431" t="s">
        <v>355</v>
      </c>
      <c r="B840" s="431">
        <v>1870451</v>
      </c>
      <c r="C840" s="431" t="s">
        <v>159</v>
      </c>
      <c r="D840" s="431" t="s">
        <v>173</v>
      </c>
      <c r="E840" s="431" t="s">
        <v>161</v>
      </c>
      <c r="F840" s="431" t="s">
        <v>323</v>
      </c>
      <c r="G840" s="431" t="s">
        <v>175</v>
      </c>
      <c r="H840" s="431"/>
      <c r="I840" s="431"/>
      <c r="J840" s="431"/>
      <c r="K840" s="431"/>
      <c r="L840" s="431" t="s">
        <v>262</v>
      </c>
      <c r="M840" s="432" t="s">
        <v>357</v>
      </c>
    </row>
    <row r="841" spans="1:13" ht="409.5" x14ac:dyDescent="0.2">
      <c r="A841" s="431" t="s">
        <v>355</v>
      </c>
      <c r="B841" s="431">
        <v>1870451</v>
      </c>
      <c r="C841" s="431" t="s">
        <v>159</v>
      </c>
      <c r="D841" s="431" t="s">
        <v>173</v>
      </c>
      <c r="E841" s="431" t="s">
        <v>161</v>
      </c>
      <c r="F841" s="431" t="s">
        <v>323</v>
      </c>
      <c r="G841" s="431" t="s">
        <v>175</v>
      </c>
      <c r="H841" s="431"/>
      <c r="I841" s="431"/>
      <c r="J841" s="431"/>
      <c r="K841" s="431"/>
      <c r="L841" s="431" t="s">
        <v>262</v>
      </c>
      <c r="M841" s="432" t="s">
        <v>357</v>
      </c>
    </row>
    <row r="842" spans="1:13" ht="409.5" x14ac:dyDescent="0.2">
      <c r="A842" s="431" t="s">
        <v>355</v>
      </c>
      <c r="B842" s="431">
        <v>1870451</v>
      </c>
      <c r="C842" s="431" t="s">
        <v>159</v>
      </c>
      <c r="D842" s="431" t="s">
        <v>173</v>
      </c>
      <c r="E842" s="431" t="s">
        <v>161</v>
      </c>
      <c r="F842" s="431" t="s">
        <v>323</v>
      </c>
      <c r="G842" s="431" t="s">
        <v>175</v>
      </c>
      <c r="H842" s="431"/>
      <c r="I842" s="431"/>
      <c r="J842" s="431"/>
      <c r="K842" s="431"/>
      <c r="L842" s="431" t="s">
        <v>262</v>
      </c>
      <c r="M842" s="432" t="s">
        <v>357</v>
      </c>
    </row>
    <row r="843" spans="1:13" ht="409.5" x14ac:dyDescent="0.2">
      <c r="A843" s="431" t="s">
        <v>355</v>
      </c>
      <c r="B843" s="431">
        <v>1870451</v>
      </c>
      <c r="C843" s="431" t="s">
        <v>159</v>
      </c>
      <c r="D843" s="431" t="s">
        <v>173</v>
      </c>
      <c r="E843" s="431" t="s">
        <v>161</v>
      </c>
      <c r="F843" s="431" t="s">
        <v>323</v>
      </c>
      <c r="G843" s="431" t="s">
        <v>175</v>
      </c>
      <c r="H843" s="431"/>
      <c r="I843" s="431"/>
      <c r="J843" s="431"/>
      <c r="K843" s="431"/>
      <c r="L843" s="431" t="s">
        <v>262</v>
      </c>
      <c r="M843" s="432" t="s">
        <v>357</v>
      </c>
    </row>
    <row r="844" spans="1:13" ht="409.5" x14ac:dyDescent="0.2">
      <c r="A844" s="431" t="s">
        <v>355</v>
      </c>
      <c r="B844" s="431">
        <v>1870451</v>
      </c>
      <c r="C844" s="431" t="s">
        <v>159</v>
      </c>
      <c r="D844" s="431" t="s">
        <v>173</v>
      </c>
      <c r="E844" s="431" t="s">
        <v>161</v>
      </c>
      <c r="F844" s="431" t="s">
        <v>323</v>
      </c>
      <c r="G844" s="431" t="s">
        <v>175</v>
      </c>
      <c r="H844" s="431"/>
      <c r="I844" s="431"/>
      <c r="J844" s="431"/>
      <c r="K844" s="431"/>
      <c r="L844" s="431" t="s">
        <v>262</v>
      </c>
      <c r="M844" s="432" t="s">
        <v>357</v>
      </c>
    </row>
    <row r="845" spans="1:13" ht="409.5" x14ac:dyDescent="0.2">
      <c r="A845" s="431" t="s">
        <v>355</v>
      </c>
      <c r="B845" s="431">
        <v>1870451</v>
      </c>
      <c r="C845" s="431" t="s">
        <v>159</v>
      </c>
      <c r="D845" s="431" t="s">
        <v>173</v>
      </c>
      <c r="E845" s="431" t="s">
        <v>161</v>
      </c>
      <c r="F845" s="431" t="s">
        <v>323</v>
      </c>
      <c r="G845" s="431" t="s">
        <v>175</v>
      </c>
      <c r="H845" s="431"/>
      <c r="I845" s="431"/>
      <c r="J845" s="431"/>
      <c r="K845" s="431"/>
      <c r="L845" s="431" t="s">
        <v>262</v>
      </c>
      <c r="M845" s="432" t="s">
        <v>357</v>
      </c>
    </row>
    <row r="846" spans="1:13" ht="409.5" x14ac:dyDescent="0.2">
      <c r="A846" s="431" t="s">
        <v>355</v>
      </c>
      <c r="B846" s="431">
        <v>1870451</v>
      </c>
      <c r="C846" s="431" t="s">
        <v>159</v>
      </c>
      <c r="D846" s="431" t="s">
        <v>173</v>
      </c>
      <c r="E846" s="431" t="s">
        <v>161</v>
      </c>
      <c r="F846" s="431" t="s">
        <v>323</v>
      </c>
      <c r="G846" s="431" t="s">
        <v>175</v>
      </c>
      <c r="H846" s="431"/>
      <c r="I846" s="431"/>
      <c r="J846" s="431"/>
      <c r="K846" s="431"/>
      <c r="L846" s="431" t="s">
        <v>262</v>
      </c>
      <c r="M846" s="432" t="s">
        <v>357</v>
      </c>
    </row>
    <row r="847" spans="1:13" ht="409.5" x14ac:dyDescent="0.2">
      <c r="A847" s="431" t="s">
        <v>355</v>
      </c>
      <c r="B847" s="431">
        <v>1870451</v>
      </c>
      <c r="C847" s="431" t="s">
        <v>159</v>
      </c>
      <c r="D847" s="431" t="s">
        <v>173</v>
      </c>
      <c r="E847" s="431" t="s">
        <v>161</v>
      </c>
      <c r="F847" s="431" t="s">
        <v>323</v>
      </c>
      <c r="G847" s="431" t="s">
        <v>175</v>
      </c>
      <c r="H847" s="431"/>
      <c r="I847" s="431"/>
      <c r="J847" s="431"/>
      <c r="K847" s="431"/>
      <c r="L847" s="431" t="s">
        <v>262</v>
      </c>
      <c r="M847" s="432" t="s">
        <v>357</v>
      </c>
    </row>
    <row r="848" spans="1:13" ht="409.5" x14ac:dyDescent="0.2">
      <c r="A848" s="431" t="s">
        <v>355</v>
      </c>
      <c r="B848" s="431">
        <v>1870451</v>
      </c>
      <c r="C848" s="431" t="s">
        <v>159</v>
      </c>
      <c r="D848" s="431" t="s">
        <v>173</v>
      </c>
      <c r="E848" s="431" t="s">
        <v>161</v>
      </c>
      <c r="F848" s="431" t="s">
        <v>323</v>
      </c>
      <c r="G848" s="431" t="s">
        <v>175</v>
      </c>
      <c r="H848" s="431"/>
      <c r="I848" s="431"/>
      <c r="J848" s="431"/>
      <c r="K848" s="431"/>
      <c r="L848" s="431" t="s">
        <v>262</v>
      </c>
      <c r="M848" s="432" t="s">
        <v>357</v>
      </c>
    </row>
    <row r="849" spans="1:13" ht="409.5" x14ac:dyDescent="0.2">
      <c r="A849" s="431" t="s">
        <v>358</v>
      </c>
      <c r="B849" s="431">
        <v>1870452</v>
      </c>
      <c r="C849" s="431" t="s">
        <v>159</v>
      </c>
      <c r="D849" s="431" t="s">
        <v>173</v>
      </c>
      <c r="E849" s="431" t="s">
        <v>161</v>
      </c>
      <c r="F849" s="431" t="s">
        <v>328</v>
      </c>
      <c r="G849" s="431" t="s">
        <v>175</v>
      </c>
      <c r="H849" s="431"/>
      <c r="I849" s="431"/>
      <c r="J849" s="431"/>
      <c r="K849" s="431"/>
      <c r="L849" s="431" t="s">
        <v>241</v>
      </c>
      <c r="M849" s="432" t="s">
        <v>359</v>
      </c>
    </row>
    <row r="850" spans="1:13" ht="409.5" x14ac:dyDescent="0.2">
      <c r="A850" s="431" t="s">
        <v>358</v>
      </c>
      <c r="B850" s="431">
        <v>1870452</v>
      </c>
      <c r="C850" s="431" t="s">
        <v>159</v>
      </c>
      <c r="D850" s="431" t="s">
        <v>173</v>
      </c>
      <c r="E850" s="431" t="s">
        <v>161</v>
      </c>
      <c r="F850" s="431" t="s">
        <v>328</v>
      </c>
      <c r="G850" s="431" t="s">
        <v>175</v>
      </c>
      <c r="H850" s="431"/>
      <c r="I850" s="431"/>
      <c r="J850" s="431"/>
      <c r="K850" s="431"/>
      <c r="L850" s="431" t="s">
        <v>241</v>
      </c>
      <c r="M850" s="432" t="s">
        <v>359</v>
      </c>
    </row>
    <row r="851" spans="1:13" ht="409.5" x14ac:dyDescent="0.2">
      <c r="A851" s="431" t="s">
        <v>358</v>
      </c>
      <c r="B851" s="431">
        <v>1870452</v>
      </c>
      <c r="C851" s="431" t="s">
        <v>159</v>
      </c>
      <c r="D851" s="431" t="s">
        <v>173</v>
      </c>
      <c r="E851" s="431" t="s">
        <v>161</v>
      </c>
      <c r="F851" s="431" t="s">
        <v>328</v>
      </c>
      <c r="G851" s="431" t="s">
        <v>175</v>
      </c>
      <c r="H851" s="431"/>
      <c r="I851" s="431"/>
      <c r="J851" s="431"/>
      <c r="K851" s="431"/>
      <c r="L851" s="431" t="s">
        <v>241</v>
      </c>
      <c r="M851" s="432" t="s">
        <v>359</v>
      </c>
    </row>
    <row r="852" spans="1:13" ht="409.5" x14ac:dyDescent="0.2">
      <c r="A852" s="431" t="s">
        <v>358</v>
      </c>
      <c r="B852" s="431">
        <v>1870452</v>
      </c>
      <c r="C852" s="431" t="s">
        <v>159</v>
      </c>
      <c r="D852" s="431" t="s">
        <v>173</v>
      </c>
      <c r="E852" s="431" t="s">
        <v>161</v>
      </c>
      <c r="F852" s="431" t="s">
        <v>328</v>
      </c>
      <c r="G852" s="431" t="s">
        <v>175</v>
      </c>
      <c r="H852" s="431"/>
      <c r="I852" s="431"/>
      <c r="J852" s="431"/>
      <c r="K852" s="431"/>
      <c r="L852" s="431" t="s">
        <v>241</v>
      </c>
      <c r="M852" s="432" t="s">
        <v>359</v>
      </c>
    </row>
    <row r="853" spans="1:13" ht="409.5" x14ac:dyDescent="0.2">
      <c r="A853" s="431" t="s">
        <v>358</v>
      </c>
      <c r="B853" s="431">
        <v>1870452</v>
      </c>
      <c r="C853" s="431" t="s">
        <v>159</v>
      </c>
      <c r="D853" s="431" t="s">
        <v>173</v>
      </c>
      <c r="E853" s="431" t="s">
        <v>161</v>
      </c>
      <c r="F853" s="431" t="s">
        <v>328</v>
      </c>
      <c r="G853" s="431" t="s">
        <v>175</v>
      </c>
      <c r="H853" s="431"/>
      <c r="I853" s="431"/>
      <c r="J853" s="431"/>
      <c r="K853" s="431"/>
      <c r="L853" s="431" t="s">
        <v>241</v>
      </c>
      <c r="M853" s="432" t="s">
        <v>359</v>
      </c>
    </row>
    <row r="854" spans="1:13" ht="409.5" x14ac:dyDescent="0.2">
      <c r="A854" s="431" t="s">
        <v>358</v>
      </c>
      <c r="B854" s="431">
        <v>1870452</v>
      </c>
      <c r="C854" s="431" t="s">
        <v>159</v>
      </c>
      <c r="D854" s="431" t="s">
        <v>173</v>
      </c>
      <c r="E854" s="431" t="s">
        <v>161</v>
      </c>
      <c r="F854" s="431" t="s">
        <v>328</v>
      </c>
      <c r="G854" s="431" t="s">
        <v>175</v>
      </c>
      <c r="H854" s="431"/>
      <c r="I854" s="431"/>
      <c r="J854" s="431"/>
      <c r="K854" s="431"/>
      <c r="L854" s="431" t="s">
        <v>241</v>
      </c>
      <c r="M854" s="432" t="s">
        <v>359</v>
      </c>
    </row>
    <row r="855" spans="1:13" ht="409.5" x14ac:dyDescent="0.2">
      <c r="A855" s="431" t="s">
        <v>358</v>
      </c>
      <c r="B855" s="431">
        <v>1870452</v>
      </c>
      <c r="C855" s="431" t="s">
        <v>159</v>
      </c>
      <c r="D855" s="431" t="s">
        <v>173</v>
      </c>
      <c r="E855" s="431" t="s">
        <v>161</v>
      </c>
      <c r="F855" s="431" t="s">
        <v>328</v>
      </c>
      <c r="G855" s="431" t="s">
        <v>175</v>
      </c>
      <c r="H855" s="431"/>
      <c r="I855" s="431"/>
      <c r="J855" s="431"/>
      <c r="K855" s="431"/>
      <c r="L855" s="431" t="s">
        <v>241</v>
      </c>
      <c r="M855" s="432" t="s">
        <v>359</v>
      </c>
    </row>
    <row r="856" spans="1:13" ht="409.5" x14ac:dyDescent="0.2">
      <c r="A856" s="431" t="s">
        <v>358</v>
      </c>
      <c r="B856" s="431">
        <v>1870452</v>
      </c>
      <c r="C856" s="431" t="s">
        <v>159</v>
      </c>
      <c r="D856" s="431" t="s">
        <v>173</v>
      </c>
      <c r="E856" s="431" t="s">
        <v>161</v>
      </c>
      <c r="F856" s="431" t="s">
        <v>328</v>
      </c>
      <c r="G856" s="431" t="s">
        <v>175</v>
      </c>
      <c r="H856" s="431"/>
      <c r="I856" s="431"/>
      <c r="J856" s="431"/>
      <c r="K856" s="431"/>
      <c r="L856" s="431" t="s">
        <v>241</v>
      </c>
      <c r="M856" s="432" t="s">
        <v>359</v>
      </c>
    </row>
    <row r="857" spans="1:13" ht="409.5" x14ac:dyDescent="0.2">
      <c r="A857" s="431" t="s">
        <v>358</v>
      </c>
      <c r="B857" s="431">
        <v>1870452</v>
      </c>
      <c r="C857" s="431" t="s">
        <v>159</v>
      </c>
      <c r="D857" s="431" t="s">
        <v>173</v>
      </c>
      <c r="E857" s="431" t="s">
        <v>161</v>
      </c>
      <c r="F857" s="431" t="s">
        <v>328</v>
      </c>
      <c r="G857" s="431" t="s">
        <v>175</v>
      </c>
      <c r="H857" s="431"/>
      <c r="I857" s="431"/>
      <c r="J857" s="431"/>
      <c r="K857" s="431"/>
      <c r="L857" s="431" t="s">
        <v>241</v>
      </c>
      <c r="M857" s="432" t="s">
        <v>359</v>
      </c>
    </row>
    <row r="858" spans="1:13" ht="409.5" x14ac:dyDescent="0.2">
      <c r="A858" s="431" t="s">
        <v>358</v>
      </c>
      <c r="B858" s="431">
        <v>1870452</v>
      </c>
      <c r="C858" s="431" t="s">
        <v>159</v>
      </c>
      <c r="D858" s="431" t="s">
        <v>173</v>
      </c>
      <c r="E858" s="431" t="s">
        <v>161</v>
      </c>
      <c r="F858" s="431" t="s">
        <v>328</v>
      </c>
      <c r="G858" s="431" t="s">
        <v>175</v>
      </c>
      <c r="H858" s="431"/>
      <c r="I858" s="431"/>
      <c r="J858" s="431"/>
      <c r="K858" s="431"/>
      <c r="L858" s="431" t="s">
        <v>241</v>
      </c>
      <c r="M858" s="432" t="s">
        <v>359</v>
      </c>
    </row>
    <row r="859" spans="1:13" ht="409.5" x14ac:dyDescent="0.2">
      <c r="A859" s="431" t="s">
        <v>360</v>
      </c>
      <c r="B859" s="431">
        <v>1870453</v>
      </c>
      <c r="C859" s="431" t="s">
        <v>159</v>
      </c>
      <c r="D859" s="431" t="s">
        <v>173</v>
      </c>
      <c r="E859" s="431" t="s">
        <v>161</v>
      </c>
      <c r="F859" s="431" t="s">
        <v>179</v>
      </c>
      <c r="G859" s="431" t="s">
        <v>175</v>
      </c>
      <c r="H859" s="431"/>
      <c r="I859" s="431"/>
      <c r="J859" s="431"/>
      <c r="K859" s="431"/>
      <c r="L859" s="431" t="s">
        <v>176</v>
      </c>
      <c r="M859" s="432" t="s">
        <v>361</v>
      </c>
    </row>
    <row r="860" spans="1:13" ht="409.5" x14ac:dyDescent="0.2">
      <c r="A860" s="431" t="s">
        <v>360</v>
      </c>
      <c r="B860" s="431">
        <v>1870453</v>
      </c>
      <c r="C860" s="431" t="s">
        <v>159</v>
      </c>
      <c r="D860" s="431" t="s">
        <v>173</v>
      </c>
      <c r="E860" s="431" t="s">
        <v>161</v>
      </c>
      <c r="F860" s="431" t="s">
        <v>179</v>
      </c>
      <c r="G860" s="431" t="s">
        <v>175</v>
      </c>
      <c r="H860" s="431"/>
      <c r="I860" s="431"/>
      <c r="J860" s="431"/>
      <c r="K860" s="431"/>
      <c r="L860" s="431" t="s">
        <v>176</v>
      </c>
      <c r="M860" s="432" t="s">
        <v>361</v>
      </c>
    </row>
    <row r="861" spans="1:13" ht="409.5" x14ac:dyDescent="0.2">
      <c r="A861" s="431" t="s">
        <v>360</v>
      </c>
      <c r="B861" s="431">
        <v>1870453</v>
      </c>
      <c r="C861" s="431" t="s">
        <v>159</v>
      </c>
      <c r="D861" s="431" t="s">
        <v>173</v>
      </c>
      <c r="E861" s="431" t="s">
        <v>161</v>
      </c>
      <c r="F861" s="431" t="s">
        <v>179</v>
      </c>
      <c r="G861" s="431" t="s">
        <v>175</v>
      </c>
      <c r="H861" s="431"/>
      <c r="I861" s="431"/>
      <c r="J861" s="431"/>
      <c r="K861" s="431"/>
      <c r="L861" s="431" t="s">
        <v>176</v>
      </c>
      <c r="M861" s="432" t="s">
        <v>361</v>
      </c>
    </row>
    <row r="862" spans="1:13" ht="409.5" x14ac:dyDescent="0.2">
      <c r="A862" s="431" t="s">
        <v>360</v>
      </c>
      <c r="B862" s="431">
        <v>1870453</v>
      </c>
      <c r="C862" s="431" t="s">
        <v>159</v>
      </c>
      <c r="D862" s="431" t="s">
        <v>173</v>
      </c>
      <c r="E862" s="431" t="s">
        <v>161</v>
      </c>
      <c r="F862" s="431" t="s">
        <v>179</v>
      </c>
      <c r="G862" s="431" t="s">
        <v>175</v>
      </c>
      <c r="H862" s="431"/>
      <c r="I862" s="431"/>
      <c r="J862" s="431"/>
      <c r="K862" s="431"/>
      <c r="L862" s="431" t="s">
        <v>176</v>
      </c>
      <c r="M862" s="432" t="s">
        <v>361</v>
      </c>
    </row>
    <row r="863" spans="1:13" ht="409.5" x14ac:dyDescent="0.2">
      <c r="A863" s="431" t="s">
        <v>360</v>
      </c>
      <c r="B863" s="431">
        <v>1870453</v>
      </c>
      <c r="C863" s="431" t="s">
        <v>159</v>
      </c>
      <c r="D863" s="431" t="s">
        <v>173</v>
      </c>
      <c r="E863" s="431" t="s">
        <v>161</v>
      </c>
      <c r="F863" s="431" t="s">
        <v>179</v>
      </c>
      <c r="G863" s="431" t="s">
        <v>175</v>
      </c>
      <c r="H863" s="431"/>
      <c r="I863" s="431"/>
      <c r="J863" s="431"/>
      <c r="K863" s="431"/>
      <c r="L863" s="431" t="s">
        <v>176</v>
      </c>
      <c r="M863" s="432" t="s">
        <v>361</v>
      </c>
    </row>
    <row r="864" spans="1:13" ht="409.5" x14ac:dyDescent="0.2">
      <c r="A864" s="431" t="s">
        <v>360</v>
      </c>
      <c r="B864" s="431">
        <v>1870453</v>
      </c>
      <c r="C864" s="431" t="s">
        <v>159</v>
      </c>
      <c r="D864" s="431" t="s">
        <v>173</v>
      </c>
      <c r="E864" s="431" t="s">
        <v>161</v>
      </c>
      <c r="F864" s="431" t="s">
        <v>179</v>
      </c>
      <c r="G864" s="431" t="s">
        <v>175</v>
      </c>
      <c r="H864" s="431"/>
      <c r="I864" s="431"/>
      <c r="J864" s="431"/>
      <c r="K864" s="431"/>
      <c r="L864" s="431" t="s">
        <v>176</v>
      </c>
      <c r="M864" s="432" t="s">
        <v>361</v>
      </c>
    </row>
    <row r="865" spans="1:13" ht="409.5" x14ac:dyDescent="0.2">
      <c r="A865" s="431" t="s">
        <v>360</v>
      </c>
      <c r="B865" s="431">
        <v>1870453</v>
      </c>
      <c r="C865" s="431" t="s">
        <v>159</v>
      </c>
      <c r="D865" s="431" t="s">
        <v>173</v>
      </c>
      <c r="E865" s="431" t="s">
        <v>161</v>
      </c>
      <c r="F865" s="431" t="s">
        <v>179</v>
      </c>
      <c r="G865" s="431" t="s">
        <v>175</v>
      </c>
      <c r="H865" s="431"/>
      <c r="I865" s="431"/>
      <c r="J865" s="431"/>
      <c r="K865" s="431"/>
      <c r="L865" s="431" t="s">
        <v>176</v>
      </c>
      <c r="M865" s="432" t="s">
        <v>361</v>
      </c>
    </row>
    <row r="866" spans="1:13" ht="409.5" x14ac:dyDescent="0.2">
      <c r="A866" s="431" t="s">
        <v>360</v>
      </c>
      <c r="B866" s="431">
        <v>1870453</v>
      </c>
      <c r="C866" s="431" t="s">
        <v>159</v>
      </c>
      <c r="D866" s="431" t="s">
        <v>173</v>
      </c>
      <c r="E866" s="431" t="s">
        <v>161</v>
      </c>
      <c r="F866" s="431" t="s">
        <v>179</v>
      </c>
      <c r="G866" s="431" t="s">
        <v>175</v>
      </c>
      <c r="H866" s="431"/>
      <c r="I866" s="431"/>
      <c r="J866" s="431"/>
      <c r="K866" s="431"/>
      <c r="L866" s="431" t="s">
        <v>176</v>
      </c>
      <c r="M866" s="432" t="s">
        <v>361</v>
      </c>
    </row>
    <row r="867" spans="1:13" ht="409.5" x14ac:dyDescent="0.2">
      <c r="A867" s="431" t="s">
        <v>360</v>
      </c>
      <c r="B867" s="431">
        <v>1870453</v>
      </c>
      <c r="C867" s="431" t="s">
        <v>159</v>
      </c>
      <c r="D867" s="431" t="s">
        <v>173</v>
      </c>
      <c r="E867" s="431" t="s">
        <v>161</v>
      </c>
      <c r="F867" s="431" t="s">
        <v>179</v>
      </c>
      <c r="G867" s="431" t="s">
        <v>175</v>
      </c>
      <c r="H867" s="431"/>
      <c r="I867" s="431"/>
      <c r="J867" s="431"/>
      <c r="K867" s="431"/>
      <c r="L867" s="431" t="s">
        <v>176</v>
      </c>
      <c r="M867" s="432" t="s">
        <v>361</v>
      </c>
    </row>
    <row r="868" spans="1:13" ht="409.5" x14ac:dyDescent="0.2">
      <c r="A868" s="431" t="s">
        <v>360</v>
      </c>
      <c r="B868" s="431">
        <v>1870453</v>
      </c>
      <c r="C868" s="431" t="s">
        <v>159</v>
      </c>
      <c r="D868" s="431" t="s">
        <v>173</v>
      </c>
      <c r="E868" s="431" t="s">
        <v>161</v>
      </c>
      <c r="F868" s="431" t="s">
        <v>179</v>
      </c>
      <c r="G868" s="431" t="s">
        <v>175</v>
      </c>
      <c r="H868" s="431"/>
      <c r="I868" s="431"/>
      <c r="J868" s="431"/>
      <c r="K868" s="431"/>
      <c r="L868" s="431" t="s">
        <v>176</v>
      </c>
      <c r="M868" s="432" t="s">
        <v>361</v>
      </c>
    </row>
    <row r="869" spans="1:13" ht="409.5" x14ac:dyDescent="0.2">
      <c r="A869" s="431" t="s">
        <v>360</v>
      </c>
      <c r="B869" s="431">
        <v>1870453</v>
      </c>
      <c r="C869" s="431" t="s">
        <v>159</v>
      </c>
      <c r="D869" s="431" t="s">
        <v>173</v>
      </c>
      <c r="E869" s="431" t="s">
        <v>161</v>
      </c>
      <c r="F869" s="431" t="s">
        <v>179</v>
      </c>
      <c r="G869" s="431" t="s">
        <v>175</v>
      </c>
      <c r="H869" s="431"/>
      <c r="I869" s="431"/>
      <c r="J869" s="431"/>
      <c r="K869" s="431"/>
      <c r="L869" s="431" t="s">
        <v>176</v>
      </c>
      <c r="M869" s="432" t="s">
        <v>361</v>
      </c>
    </row>
    <row r="870" spans="1:13" ht="409.5" x14ac:dyDescent="0.2">
      <c r="A870" s="431" t="s">
        <v>360</v>
      </c>
      <c r="B870" s="431">
        <v>1870453</v>
      </c>
      <c r="C870" s="431" t="s">
        <v>159</v>
      </c>
      <c r="D870" s="431" t="s">
        <v>173</v>
      </c>
      <c r="E870" s="431" t="s">
        <v>161</v>
      </c>
      <c r="F870" s="431" t="s">
        <v>179</v>
      </c>
      <c r="G870" s="431" t="s">
        <v>175</v>
      </c>
      <c r="H870" s="431"/>
      <c r="I870" s="431"/>
      <c r="J870" s="431"/>
      <c r="K870" s="431"/>
      <c r="L870" s="431" t="s">
        <v>176</v>
      </c>
      <c r="M870" s="432" t="s">
        <v>361</v>
      </c>
    </row>
    <row r="871" spans="1:13" ht="409.5" x14ac:dyDescent="0.2">
      <c r="A871" s="431" t="s">
        <v>360</v>
      </c>
      <c r="B871" s="431">
        <v>1870453</v>
      </c>
      <c r="C871" s="431" t="s">
        <v>159</v>
      </c>
      <c r="D871" s="431" t="s">
        <v>173</v>
      </c>
      <c r="E871" s="431" t="s">
        <v>161</v>
      </c>
      <c r="F871" s="431" t="s">
        <v>179</v>
      </c>
      <c r="G871" s="431" t="s">
        <v>175</v>
      </c>
      <c r="H871" s="431"/>
      <c r="I871" s="431"/>
      <c r="J871" s="431"/>
      <c r="K871" s="431"/>
      <c r="L871" s="431" t="s">
        <v>176</v>
      </c>
      <c r="M871" s="432" t="s">
        <v>361</v>
      </c>
    </row>
    <row r="872" spans="1:13" ht="409.5" x14ac:dyDescent="0.2">
      <c r="A872" s="431" t="s">
        <v>360</v>
      </c>
      <c r="B872" s="431">
        <v>1870453</v>
      </c>
      <c r="C872" s="431" t="s">
        <v>159</v>
      </c>
      <c r="D872" s="431" t="s">
        <v>173</v>
      </c>
      <c r="E872" s="431" t="s">
        <v>161</v>
      </c>
      <c r="F872" s="431" t="s">
        <v>179</v>
      </c>
      <c r="G872" s="431" t="s">
        <v>175</v>
      </c>
      <c r="H872" s="431"/>
      <c r="I872" s="431"/>
      <c r="J872" s="431"/>
      <c r="K872" s="431"/>
      <c r="L872" s="431" t="s">
        <v>176</v>
      </c>
      <c r="M872" s="432" t="s">
        <v>361</v>
      </c>
    </row>
    <row r="873" spans="1:13" ht="409.5" x14ac:dyDescent="0.2">
      <c r="A873" s="431" t="s">
        <v>360</v>
      </c>
      <c r="B873" s="431">
        <v>1870453</v>
      </c>
      <c r="C873" s="431" t="s">
        <v>159</v>
      </c>
      <c r="D873" s="431" t="s">
        <v>173</v>
      </c>
      <c r="E873" s="431" t="s">
        <v>161</v>
      </c>
      <c r="F873" s="431" t="s">
        <v>179</v>
      </c>
      <c r="G873" s="431" t="s">
        <v>175</v>
      </c>
      <c r="H873" s="431"/>
      <c r="I873" s="431"/>
      <c r="J873" s="431"/>
      <c r="K873" s="431"/>
      <c r="L873" s="431" t="s">
        <v>176</v>
      </c>
      <c r="M873" s="432" t="s">
        <v>361</v>
      </c>
    </row>
    <row r="874" spans="1:13" ht="409.5" x14ac:dyDescent="0.2">
      <c r="A874" s="431" t="s">
        <v>360</v>
      </c>
      <c r="B874" s="431">
        <v>1870453</v>
      </c>
      <c r="C874" s="431" t="s">
        <v>159</v>
      </c>
      <c r="D874" s="431" t="s">
        <v>173</v>
      </c>
      <c r="E874" s="431" t="s">
        <v>161</v>
      </c>
      <c r="F874" s="431" t="s">
        <v>179</v>
      </c>
      <c r="G874" s="431" t="s">
        <v>175</v>
      </c>
      <c r="H874" s="431"/>
      <c r="I874" s="431"/>
      <c r="J874" s="431"/>
      <c r="K874" s="431"/>
      <c r="L874" s="431" t="s">
        <v>176</v>
      </c>
      <c r="M874" s="432" t="s">
        <v>361</v>
      </c>
    </row>
    <row r="875" spans="1:13" ht="409.5" x14ac:dyDescent="0.2">
      <c r="A875" s="431" t="s">
        <v>360</v>
      </c>
      <c r="B875" s="431">
        <v>1870453</v>
      </c>
      <c r="C875" s="431" t="s">
        <v>159</v>
      </c>
      <c r="D875" s="431" t="s">
        <v>173</v>
      </c>
      <c r="E875" s="431" t="s">
        <v>161</v>
      </c>
      <c r="F875" s="431" t="s">
        <v>179</v>
      </c>
      <c r="G875" s="431" t="s">
        <v>175</v>
      </c>
      <c r="H875" s="431"/>
      <c r="I875" s="431"/>
      <c r="J875" s="431"/>
      <c r="K875" s="431"/>
      <c r="L875" s="431" t="s">
        <v>176</v>
      </c>
      <c r="M875" s="432" t="s">
        <v>361</v>
      </c>
    </row>
    <row r="876" spans="1:13" ht="409.5" x14ac:dyDescent="0.2">
      <c r="A876" s="431" t="s">
        <v>360</v>
      </c>
      <c r="B876" s="431">
        <v>1870453</v>
      </c>
      <c r="C876" s="431" t="s">
        <v>159</v>
      </c>
      <c r="D876" s="431" t="s">
        <v>173</v>
      </c>
      <c r="E876" s="431" t="s">
        <v>161</v>
      </c>
      <c r="F876" s="431" t="s">
        <v>179</v>
      </c>
      <c r="G876" s="431" t="s">
        <v>175</v>
      </c>
      <c r="H876" s="431"/>
      <c r="I876" s="431"/>
      <c r="J876" s="431"/>
      <c r="K876" s="431"/>
      <c r="L876" s="431" t="s">
        <v>176</v>
      </c>
      <c r="M876" s="432" t="s">
        <v>361</v>
      </c>
    </row>
    <row r="877" spans="1:13" ht="409.5" x14ac:dyDescent="0.2">
      <c r="A877" s="431" t="s">
        <v>360</v>
      </c>
      <c r="B877" s="431">
        <v>1870453</v>
      </c>
      <c r="C877" s="431" t="s">
        <v>159</v>
      </c>
      <c r="D877" s="431" t="s">
        <v>173</v>
      </c>
      <c r="E877" s="431" t="s">
        <v>161</v>
      </c>
      <c r="F877" s="431" t="s">
        <v>179</v>
      </c>
      <c r="G877" s="431" t="s">
        <v>175</v>
      </c>
      <c r="H877" s="431"/>
      <c r="I877" s="431"/>
      <c r="J877" s="431"/>
      <c r="K877" s="431"/>
      <c r="L877" s="431" t="s">
        <v>176</v>
      </c>
      <c r="M877" s="432" t="s">
        <v>361</v>
      </c>
    </row>
    <row r="878" spans="1:13" ht="409.5" x14ac:dyDescent="0.2">
      <c r="A878" s="431" t="s">
        <v>360</v>
      </c>
      <c r="B878" s="431">
        <v>1870453</v>
      </c>
      <c r="C878" s="431" t="s">
        <v>159</v>
      </c>
      <c r="D878" s="431" t="s">
        <v>173</v>
      </c>
      <c r="E878" s="431" t="s">
        <v>161</v>
      </c>
      <c r="F878" s="431" t="s">
        <v>179</v>
      </c>
      <c r="G878" s="431" t="s">
        <v>175</v>
      </c>
      <c r="H878" s="431"/>
      <c r="I878" s="431"/>
      <c r="J878" s="431"/>
      <c r="K878" s="431"/>
      <c r="L878" s="431" t="s">
        <v>176</v>
      </c>
      <c r="M878" s="432" t="s">
        <v>361</v>
      </c>
    </row>
    <row r="879" spans="1:13" ht="409.5" x14ac:dyDescent="0.2">
      <c r="A879" s="431" t="s">
        <v>360</v>
      </c>
      <c r="B879" s="431">
        <v>1870453</v>
      </c>
      <c r="C879" s="431" t="s">
        <v>159</v>
      </c>
      <c r="D879" s="431" t="s">
        <v>173</v>
      </c>
      <c r="E879" s="431" t="s">
        <v>161</v>
      </c>
      <c r="F879" s="431" t="s">
        <v>179</v>
      </c>
      <c r="G879" s="431" t="s">
        <v>175</v>
      </c>
      <c r="H879" s="431"/>
      <c r="I879" s="431"/>
      <c r="J879" s="431"/>
      <c r="K879" s="431"/>
      <c r="L879" s="431" t="s">
        <v>176</v>
      </c>
      <c r="M879" s="432" t="s">
        <v>361</v>
      </c>
    </row>
    <row r="880" spans="1:13" ht="409.5" x14ac:dyDescent="0.2">
      <c r="A880" s="431" t="s">
        <v>360</v>
      </c>
      <c r="B880" s="431">
        <v>1870453</v>
      </c>
      <c r="C880" s="431" t="s">
        <v>159</v>
      </c>
      <c r="D880" s="431" t="s">
        <v>173</v>
      </c>
      <c r="E880" s="431" t="s">
        <v>161</v>
      </c>
      <c r="F880" s="431" t="s">
        <v>179</v>
      </c>
      <c r="G880" s="431" t="s">
        <v>175</v>
      </c>
      <c r="H880" s="431"/>
      <c r="I880" s="431"/>
      <c r="J880" s="431"/>
      <c r="K880" s="431"/>
      <c r="L880" s="431" t="s">
        <v>176</v>
      </c>
      <c r="M880" s="432" t="s">
        <v>361</v>
      </c>
    </row>
    <row r="881" spans="1:13" ht="409.5" x14ac:dyDescent="0.2">
      <c r="A881" s="431" t="s">
        <v>360</v>
      </c>
      <c r="B881" s="431">
        <v>1870453</v>
      </c>
      <c r="C881" s="431" t="s">
        <v>159</v>
      </c>
      <c r="D881" s="431" t="s">
        <v>173</v>
      </c>
      <c r="E881" s="431" t="s">
        <v>161</v>
      </c>
      <c r="F881" s="431" t="s">
        <v>179</v>
      </c>
      <c r="G881" s="431" t="s">
        <v>175</v>
      </c>
      <c r="H881" s="431"/>
      <c r="I881" s="431"/>
      <c r="J881" s="431"/>
      <c r="K881" s="431"/>
      <c r="L881" s="431" t="s">
        <v>176</v>
      </c>
      <c r="M881" s="432" t="s">
        <v>361</v>
      </c>
    </row>
    <row r="882" spans="1:13" ht="409.5" x14ac:dyDescent="0.2">
      <c r="A882" s="431" t="s">
        <v>360</v>
      </c>
      <c r="B882" s="431">
        <v>1870453</v>
      </c>
      <c r="C882" s="431" t="s">
        <v>159</v>
      </c>
      <c r="D882" s="431" t="s">
        <v>173</v>
      </c>
      <c r="E882" s="431" t="s">
        <v>161</v>
      </c>
      <c r="F882" s="431" t="s">
        <v>179</v>
      </c>
      <c r="G882" s="431" t="s">
        <v>175</v>
      </c>
      <c r="H882" s="431"/>
      <c r="I882" s="431"/>
      <c r="J882" s="431"/>
      <c r="K882" s="431"/>
      <c r="L882" s="431" t="s">
        <v>176</v>
      </c>
      <c r="M882" s="432" t="s">
        <v>361</v>
      </c>
    </row>
    <row r="883" spans="1:13" ht="409.5" x14ac:dyDescent="0.2">
      <c r="A883" s="431" t="s">
        <v>360</v>
      </c>
      <c r="B883" s="431">
        <v>1870453</v>
      </c>
      <c r="C883" s="431" t="s">
        <v>159</v>
      </c>
      <c r="D883" s="431" t="s">
        <v>173</v>
      </c>
      <c r="E883" s="431" t="s">
        <v>161</v>
      </c>
      <c r="F883" s="431" t="s">
        <v>179</v>
      </c>
      <c r="G883" s="431" t="s">
        <v>175</v>
      </c>
      <c r="H883" s="431"/>
      <c r="I883" s="431"/>
      <c r="J883" s="431"/>
      <c r="K883" s="431"/>
      <c r="L883" s="431" t="s">
        <v>176</v>
      </c>
      <c r="M883" s="432" t="s">
        <v>361</v>
      </c>
    </row>
    <row r="884" spans="1:13" ht="409.5" x14ac:dyDescent="0.2">
      <c r="A884" s="431" t="s">
        <v>360</v>
      </c>
      <c r="B884" s="431">
        <v>1870453</v>
      </c>
      <c r="C884" s="431" t="s">
        <v>159</v>
      </c>
      <c r="D884" s="431" t="s">
        <v>173</v>
      </c>
      <c r="E884" s="431" t="s">
        <v>161</v>
      </c>
      <c r="F884" s="431" t="s">
        <v>179</v>
      </c>
      <c r="G884" s="431" t="s">
        <v>175</v>
      </c>
      <c r="H884" s="431"/>
      <c r="I884" s="431"/>
      <c r="J884" s="431"/>
      <c r="K884" s="431"/>
      <c r="L884" s="431" t="s">
        <v>176</v>
      </c>
      <c r="M884" s="432" t="s">
        <v>361</v>
      </c>
    </row>
    <row r="885" spans="1:13" ht="409.5" x14ac:dyDescent="0.2">
      <c r="A885" s="431" t="s">
        <v>360</v>
      </c>
      <c r="B885" s="431">
        <v>1870453</v>
      </c>
      <c r="C885" s="431" t="s">
        <v>159</v>
      </c>
      <c r="D885" s="431" t="s">
        <v>173</v>
      </c>
      <c r="E885" s="431" t="s">
        <v>161</v>
      </c>
      <c r="F885" s="431" t="s">
        <v>179</v>
      </c>
      <c r="G885" s="431" t="s">
        <v>175</v>
      </c>
      <c r="H885" s="431"/>
      <c r="I885" s="431"/>
      <c r="J885" s="431"/>
      <c r="K885" s="431"/>
      <c r="L885" s="431" t="s">
        <v>176</v>
      </c>
      <c r="M885" s="432" t="s">
        <v>361</v>
      </c>
    </row>
    <row r="886" spans="1:13" ht="409.5" x14ac:dyDescent="0.2">
      <c r="A886" s="431" t="s">
        <v>360</v>
      </c>
      <c r="B886" s="431">
        <v>1870453</v>
      </c>
      <c r="C886" s="431" t="s">
        <v>159</v>
      </c>
      <c r="D886" s="431" t="s">
        <v>173</v>
      </c>
      <c r="E886" s="431" t="s">
        <v>161</v>
      </c>
      <c r="F886" s="431" t="s">
        <v>179</v>
      </c>
      <c r="G886" s="431" t="s">
        <v>175</v>
      </c>
      <c r="H886" s="431"/>
      <c r="I886" s="431"/>
      <c r="J886" s="431"/>
      <c r="K886" s="431"/>
      <c r="L886" s="431" t="s">
        <v>176</v>
      </c>
      <c r="M886" s="432" t="s">
        <v>361</v>
      </c>
    </row>
    <row r="887" spans="1:13" ht="409.5" x14ac:dyDescent="0.2">
      <c r="A887" s="431" t="s">
        <v>360</v>
      </c>
      <c r="B887" s="431">
        <v>1870453</v>
      </c>
      <c r="C887" s="431" t="s">
        <v>159</v>
      </c>
      <c r="D887" s="431" t="s">
        <v>173</v>
      </c>
      <c r="E887" s="431" t="s">
        <v>161</v>
      </c>
      <c r="F887" s="431" t="s">
        <v>179</v>
      </c>
      <c r="G887" s="431" t="s">
        <v>175</v>
      </c>
      <c r="H887" s="431"/>
      <c r="I887" s="431"/>
      <c r="J887" s="431"/>
      <c r="K887" s="431"/>
      <c r="L887" s="431" t="s">
        <v>176</v>
      </c>
      <c r="M887" s="432" t="s">
        <v>361</v>
      </c>
    </row>
    <row r="888" spans="1:13" ht="409.5" x14ac:dyDescent="0.2">
      <c r="A888" s="431" t="s">
        <v>360</v>
      </c>
      <c r="B888" s="431">
        <v>1870453</v>
      </c>
      <c r="C888" s="431" t="s">
        <v>159</v>
      </c>
      <c r="D888" s="431" t="s">
        <v>173</v>
      </c>
      <c r="E888" s="431" t="s">
        <v>161</v>
      </c>
      <c r="F888" s="431" t="s">
        <v>179</v>
      </c>
      <c r="G888" s="431" t="s">
        <v>175</v>
      </c>
      <c r="H888" s="431"/>
      <c r="I888" s="431"/>
      <c r="J888" s="431"/>
      <c r="K888" s="431"/>
      <c r="L888" s="431" t="s">
        <v>176</v>
      </c>
      <c r="M888" s="432" t="s">
        <v>361</v>
      </c>
    </row>
    <row r="889" spans="1:13" ht="409.5" x14ac:dyDescent="0.2">
      <c r="A889" s="431" t="s">
        <v>360</v>
      </c>
      <c r="B889" s="431">
        <v>1870453</v>
      </c>
      <c r="C889" s="431" t="s">
        <v>159</v>
      </c>
      <c r="D889" s="431" t="s">
        <v>173</v>
      </c>
      <c r="E889" s="431" t="s">
        <v>161</v>
      </c>
      <c r="F889" s="431" t="s">
        <v>179</v>
      </c>
      <c r="G889" s="431" t="s">
        <v>175</v>
      </c>
      <c r="H889" s="431"/>
      <c r="I889" s="431"/>
      <c r="J889" s="431"/>
      <c r="K889" s="431"/>
      <c r="L889" s="431" t="s">
        <v>176</v>
      </c>
      <c r="M889" s="432" t="s">
        <v>361</v>
      </c>
    </row>
    <row r="890" spans="1:13" ht="409.5" x14ac:dyDescent="0.2">
      <c r="A890" s="431" t="s">
        <v>360</v>
      </c>
      <c r="B890" s="431">
        <v>1870453</v>
      </c>
      <c r="C890" s="431" t="s">
        <v>159</v>
      </c>
      <c r="D890" s="431" t="s">
        <v>173</v>
      </c>
      <c r="E890" s="431" t="s">
        <v>161</v>
      </c>
      <c r="F890" s="431" t="s">
        <v>179</v>
      </c>
      <c r="G890" s="431" t="s">
        <v>175</v>
      </c>
      <c r="H890" s="431"/>
      <c r="I890" s="431"/>
      <c r="J890" s="431"/>
      <c r="K890" s="431"/>
      <c r="L890" s="431" t="s">
        <v>176</v>
      </c>
      <c r="M890" s="432" t="s">
        <v>361</v>
      </c>
    </row>
    <row r="891" spans="1:13" ht="409.5" x14ac:dyDescent="0.2">
      <c r="A891" s="431" t="s">
        <v>360</v>
      </c>
      <c r="B891" s="431">
        <v>1870453</v>
      </c>
      <c r="C891" s="431" t="s">
        <v>159</v>
      </c>
      <c r="D891" s="431" t="s">
        <v>173</v>
      </c>
      <c r="E891" s="431" t="s">
        <v>161</v>
      </c>
      <c r="F891" s="431" t="s">
        <v>179</v>
      </c>
      <c r="G891" s="431" t="s">
        <v>175</v>
      </c>
      <c r="H891" s="431"/>
      <c r="I891" s="431"/>
      <c r="J891" s="431"/>
      <c r="K891" s="431"/>
      <c r="L891" s="431" t="s">
        <v>176</v>
      </c>
      <c r="M891" s="432" t="s">
        <v>361</v>
      </c>
    </row>
    <row r="892" spans="1:13" ht="409.5" x14ac:dyDescent="0.2">
      <c r="A892" s="431" t="s">
        <v>360</v>
      </c>
      <c r="B892" s="431">
        <v>1870453</v>
      </c>
      <c r="C892" s="431" t="s">
        <v>159</v>
      </c>
      <c r="D892" s="431" t="s">
        <v>173</v>
      </c>
      <c r="E892" s="431" t="s">
        <v>161</v>
      </c>
      <c r="F892" s="431" t="s">
        <v>179</v>
      </c>
      <c r="G892" s="431" t="s">
        <v>175</v>
      </c>
      <c r="H892" s="431"/>
      <c r="I892" s="431"/>
      <c r="J892" s="431"/>
      <c r="K892" s="431"/>
      <c r="L892" s="431" t="s">
        <v>176</v>
      </c>
      <c r="M892" s="432" t="s">
        <v>361</v>
      </c>
    </row>
    <row r="893" spans="1:13" ht="409.5" x14ac:dyDescent="0.2">
      <c r="A893" s="431" t="s">
        <v>360</v>
      </c>
      <c r="B893" s="431">
        <v>1870453</v>
      </c>
      <c r="C893" s="431" t="s">
        <v>159</v>
      </c>
      <c r="D893" s="431" t="s">
        <v>173</v>
      </c>
      <c r="E893" s="431" t="s">
        <v>161</v>
      </c>
      <c r="F893" s="431" t="s">
        <v>179</v>
      </c>
      <c r="G893" s="431" t="s">
        <v>175</v>
      </c>
      <c r="H893" s="431"/>
      <c r="I893" s="431"/>
      <c r="J893" s="431"/>
      <c r="K893" s="431"/>
      <c r="L893" s="431" t="s">
        <v>176</v>
      </c>
      <c r="M893" s="432" t="s">
        <v>361</v>
      </c>
    </row>
    <row r="894" spans="1:13" ht="409.5" x14ac:dyDescent="0.2">
      <c r="A894" s="431" t="s">
        <v>360</v>
      </c>
      <c r="B894" s="431">
        <v>1870453</v>
      </c>
      <c r="C894" s="431" t="s">
        <v>159</v>
      </c>
      <c r="D894" s="431" t="s">
        <v>173</v>
      </c>
      <c r="E894" s="431" t="s">
        <v>161</v>
      </c>
      <c r="F894" s="431" t="s">
        <v>179</v>
      </c>
      <c r="G894" s="431" t="s">
        <v>175</v>
      </c>
      <c r="H894" s="431"/>
      <c r="I894" s="431"/>
      <c r="J894" s="431"/>
      <c r="K894" s="431"/>
      <c r="L894" s="431" t="s">
        <v>176</v>
      </c>
      <c r="M894" s="432" t="s">
        <v>361</v>
      </c>
    </row>
    <row r="895" spans="1:13" ht="409.5" x14ac:dyDescent="0.2">
      <c r="A895" s="431" t="s">
        <v>360</v>
      </c>
      <c r="B895" s="431">
        <v>1870453</v>
      </c>
      <c r="C895" s="431" t="s">
        <v>159</v>
      </c>
      <c r="D895" s="431" t="s">
        <v>173</v>
      </c>
      <c r="E895" s="431" t="s">
        <v>161</v>
      </c>
      <c r="F895" s="431" t="s">
        <v>179</v>
      </c>
      <c r="G895" s="431" t="s">
        <v>175</v>
      </c>
      <c r="H895" s="431"/>
      <c r="I895" s="431"/>
      <c r="J895" s="431"/>
      <c r="K895" s="431"/>
      <c r="L895" s="431" t="s">
        <v>176</v>
      </c>
      <c r="M895" s="432" t="s">
        <v>361</v>
      </c>
    </row>
    <row r="896" spans="1:13" ht="409.5" x14ac:dyDescent="0.2">
      <c r="A896" s="431" t="s">
        <v>360</v>
      </c>
      <c r="B896" s="431">
        <v>1870453</v>
      </c>
      <c r="C896" s="431" t="s">
        <v>159</v>
      </c>
      <c r="D896" s="431" t="s">
        <v>173</v>
      </c>
      <c r="E896" s="431" t="s">
        <v>161</v>
      </c>
      <c r="F896" s="431" t="s">
        <v>179</v>
      </c>
      <c r="G896" s="431" t="s">
        <v>175</v>
      </c>
      <c r="H896" s="431"/>
      <c r="I896" s="431"/>
      <c r="J896" s="431"/>
      <c r="K896" s="431"/>
      <c r="L896" s="431" t="s">
        <v>176</v>
      </c>
      <c r="M896" s="432" t="s">
        <v>361</v>
      </c>
    </row>
    <row r="897" spans="1:13" ht="409.5" x14ac:dyDescent="0.2">
      <c r="A897" s="431" t="s">
        <v>360</v>
      </c>
      <c r="B897" s="431">
        <v>1870453</v>
      </c>
      <c r="C897" s="431" t="s">
        <v>159</v>
      </c>
      <c r="D897" s="431" t="s">
        <v>173</v>
      </c>
      <c r="E897" s="431" t="s">
        <v>161</v>
      </c>
      <c r="F897" s="431" t="s">
        <v>179</v>
      </c>
      <c r="G897" s="431" t="s">
        <v>175</v>
      </c>
      <c r="H897" s="431"/>
      <c r="I897" s="431"/>
      <c r="J897" s="431"/>
      <c r="K897" s="431"/>
      <c r="L897" s="431" t="s">
        <v>176</v>
      </c>
      <c r="M897" s="432" t="s">
        <v>361</v>
      </c>
    </row>
    <row r="898" spans="1:13" ht="409.5" x14ac:dyDescent="0.2">
      <c r="A898" s="431" t="s">
        <v>360</v>
      </c>
      <c r="B898" s="431">
        <v>1870453</v>
      </c>
      <c r="C898" s="431" t="s">
        <v>159</v>
      </c>
      <c r="D898" s="431" t="s">
        <v>173</v>
      </c>
      <c r="E898" s="431" t="s">
        <v>161</v>
      </c>
      <c r="F898" s="431" t="s">
        <v>179</v>
      </c>
      <c r="G898" s="431" t="s">
        <v>175</v>
      </c>
      <c r="H898" s="431"/>
      <c r="I898" s="431"/>
      <c r="J898" s="431"/>
      <c r="K898" s="431"/>
      <c r="L898" s="431" t="s">
        <v>176</v>
      </c>
      <c r="M898" s="432" t="s">
        <v>361</v>
      </c>
    </row>
    <row r="899" spans="1:13" ht="409.5" x14ac:dyDescent="0.2">
      <c r="A899" s="431" t="s">
        <v>360</v>
      </c>
      <c r="B899" s="431">
        <v>1870453</v>
      </c>
      <c r="C899" s="431" t="s">
        <v>159</v>
      </c>
      <c r="D899" s="431" t="s">
        <v>173</v>
      </c>
      <c r="E899" s="431" t="s">
        <v>161</v>
      </c>
      <c r="F899" s="431" t="s">
        <v>179</v>
      </c>
      <c r="G899" s="431" t="s">
        <v>175</v>
      </c>
      <c r="H899" s="431"/>
      <c r="I899" s="431"/>
      <c r="J899" s="431"/>
      <c r="K899" s="431"/>
      <c r="L899" s="431" t="s">
        <v>176</v>
      </c>
      <c r="M899" s="432" t="s">
        <v>361</v>
      </c>
    </row>
    <row r="900" spans="1:13" ht="409.5" x14ac:dyDescent="0.2">
      <c r="A900" s="431" t="s">
        <v>360</v>
      </c>
      <c r="B900" s="431">
        <v>1870453</v>
      </c>
      <c r="C900" s="431" t="s">
        <v>159</v>
      </c>
      <c r="D900" s="431" t="s">
        <v>173</v>
      </c>
      <c r="E900" s="431" t="s">
        <v>161</v>
      </c>
      <c r="F900" s="431" t="s">
        <v>179</v>
      </c>
      <c r="G900" s="431" t="s">
        <v>175</v>
      </c>
      <c r="H900" s="431"/>
      <c r="I900" s="431"/>
      <c r="J900" s="431"/>
      <c r="K900" s="431"/>
      <c r="L900" s="431" t="s">
        <v>176</v>
      </c>
      <c r="M900" s="432" t="s">
        <v>361</v>
      </c>
    </row>
    <row r="901" spans="1:13" ht="409.5" x14ac:dyDescent="0.2">
      <c r="A901" s="431" t="s">
        <v>360</v>
      </c>
      <c r="B901" s="431">
        <v>1870453</v>
      </c>
      <c r="C901" s="431" t="s">
        <v>159</v>
      </c>
      <c r="D901" s="431" t="s">
        <v>173</v>
      </c>
      <c r="E901" s="431" t="s">
        <v>161</v>
      </c>
      <c r="F901" s="431" t="s">
        <v>179</v>
      </c>
      <c r="G901" s="431" t="s">
        <v>175</v>
      </c>
      <c r="H901" s="431"/>
      <c r="I901" s="431"/>
      <c r="J901" s="431"/>
      <c r="K901" s="431"/>
      <c r="L901" s="431" t="s">
        <v>176</v>
      </c>
      <c r="M901" s="432" t="s">
        <v>361</v>
      </c>
    </row>
    <row r="902" spans="1:13" ht="409.5" x14ac:dyDescent="0.2">
      <c r="A902" s="431" t="s">
        <v>360</v>
      </c>
      <c r="B902" s="431">
        <v>1870453</v>
      </c>
      <c r="C902" s="431" t="s">
        <v>159</v>
      </c>
      <c r="D902" s="431" t="s">
        <v>173</v>
      </c>
      <c r="E902" s="431" t="s">
        <v>161</v>
      </c>
      <c r="F902" s="431" t="s">
        <v>179</v>
      </c>
      <c r="G902" s="431" t="s">
        <v>175</v>
      </c>
      <c r="H902" s="431"/>
      <c r="I902" s="431"/>
      <c r="J902" s="431"/>
      <c r="K902" s="431"/>
      <c r="L902" s="431" t="s">
        <v>176</v>
      </c>
      <c r="M902" s="432" t="s">
        <v>361</v>
      </c>
    </row>
    <row r="903" spans="1:13" ht="409.5" x14ac:dyDescent="0.2">
      <c r="A903" s="431" t="s">
        <v>360</v>
      </c>
      <c r="B903" s="431">
        <v>1870453</v>
      </c>
      <c r="C903" s="431" t="s">
        <v>159</v>
      </c>
      <c r="D903" s="431" t="s">
        <v>173</v>
      </c>
      <c r="E903" s="431" t="s">
        <v>161</v>
      </c>
      <c r="F903" s="431" t="s">
        <v>179</v>
      </c>
      <c r="G903" s="431" t="s">
        <v>175</v>
      </c>
      <c r="H903" s="431"/>
      <c r="I903" s="431"/>
      <c r="J903" s="431"/>
      <c r="K903" s="431"/>
      <c r="L903" s="431" t="s">
        <v>176</v>
      </c>
      <c r="M903" s="432" t="s">
        <v>361</v>
      </c>
    </row>
    <row r="904" spans="1:13" ht="409.5" x14ac:dyDescent="0.2">
      <c r="A904" s="431" t="s">
        <v>360</v>
      </c>
      <c r="B904" s="431">
        <v>1870453</v>
      </c>
      <c r="C904" s="431" t="s">
        <v>159</v>
      </c>
      <c r="D904" s="431" t="s">
        <v>173</v>
      </c>
      <c r="E904" s="431" t="s">
        <v>161</v>
      </c>
      <c r="F904" s="431" t="s">
        <v>179</v>
      </c>
      <c r="G904" s="431" t="s">
        <v>175</v>
      </c>
      <c r="H904" s="431"/>
      <c r="I904" s="431"/>
      <c r="J904" s="431"/>
      <c r="K904" s="431"/>
      <c r="L904" s="431" t="s">
        <v>176</v>
      </c>
      <c r="M904" s="432" t="s">
        <v>361</v>
      </c>
    </row>
    <row r="905" spans="1:13" ht="409.5" x14ac:dyDescent="0.2">
      <c r="A905" s="431" t="s">
        <v>360</v>
      </c>
      <c r="B905" s="431">
        <v>1870453</v>
      </c>
      <c r="C905" s="431" t="s">
        <v>159</v>
      </c>
      <c r="D905" s="431" t="s">
        <v>173</v>
      </c>
      <c r="E905" s="431" t="s">
        <v>161</v>
      </c>
      <c r="F905" s="431" t="s">
        <v>179</v>
      </c>
      <c r="G905" s="431" t="s">
        <v>175</v>
      </c>
      <c r="H905" s="431"/>
      <c r="I905" s="431"/>
      <c r="J905" s="431"/>
      <c r="K905" s="431"/>
      <c r="L905" s="431" t="s">
        <v>176</v>
      </c>
      <c r="M905" s="432" t="s">
        <v>361</v>
      </c>
    </row>
    <row r="906" spans="1:13" ht="409.5" x14ac:dyDescent="0.2">
      <c r="A906" s="431" t="s">
        <v>360</v>
      </c>
      <c r="B906" s="431">
        <v>1870453</v>
      </c>
      <c r="C906" s="431" t="s">
        <v>159</v>
      </c>
      <c r="D906" s="431" t="s">
        <v>173</v>
      </c>
      <c r="E906" s="431" t="s">
        <v>161</v>
      </c>
      <c r="F906" s="431" t="s">
        <v>179</v>
      </c>
      <c r="G906" s="431" t="s">
        <v>175</v>
      </c>
      <c r="H906" s="431"/>
      <c r="I906" s="431"/>
      <c r="J906" s="431"/>
      <c r="K906" s="431"/>
      <c r="L906" s="431" t="s">
        <v>176</v>
      </c>
      <c r="M906" s="432" t="s">
        <v>361</v>
      </c>
    </row>
    <row r="907" spans="1:13" ht="409.5" x14ac:dyDescent="0.2">
      <c r="A907" s="431" t="s">
        <v>360</v>
      </c>
      <c r="B907" s="431">
        <v>1870453</v>
      </c>
      <c r="C907" s="431" t="s">
        <v>159</v>
      </c>
      <c r="D907" s="431" t="s">
        <v>173</v>
      </c>
      <c r="E907" s="431" t="s">
        <v>161</v>
      </c>
      <c r="F907" s="431" t="s">
        <v>179</v>
      </c>
      <c r="G907" s="431" t="s">
        <v>175</v>
      </c>
      <c r="H907" s="431"/>
      <c r="I907" s="431"/>
      <c r="J907" s="431"/>
      <c r="K907" s="431"/>
      <c r="L907" s="431" t="s">
        <v>176</v>
      </c>
      <c r="M907" s="432" t="s">
        <v>361</v>
      </c>
    </row>
    <row r="908" spans="1:13" ht="409.5" x14ac:dyDescent="0.2">
      <c r="A908" s="431" t="s">
        <v>360</v>
      </c>
      <c r="B908" s="431">
        <v>1870453</v>
      </c>
      <c r="C908" s="431" t="s">
        <v>159</v>
      </c>
      <c r="D908" s="431" t="s">
        <v>173</v>
      </c>
      <c r="E908" s="431" t="s">
        <v>161</v>
      </c>
      <c r="F908" s="431" t="s">
        <v>179</v>
      </c>
      <c r="G908" s="431" t="s">
        <v>175</v>
      </c>
      <c r="H908" s="431"/>
      <c r="I908" s="431"/>
      <c r="J908" s="431"/>
      <c r="K908" s="431"/>
      <c r="L908" s="431" t="s">
        <v>176</v>
      </c>
      <c r="M908" s="432" t="s">
        <v>361</v>
      </c>
    </row>
    <row r="909" spans="1:13" ht="409.5" x14ac:dyDescent="0.2">
      <c r="A909" s="431" t="s">
        <v>360</v>
      </c>
      <c r="B909" s="431">
        <v>1870453</v>
      </c>
      <c r="C909" s="431" t="s">
        <v>159</v>
      </c>
      <c r="D909" s="431" t="s">
        <v>173</v>
      </c>
      <c r="E909" s="431" t="s">
        <v>161</v>
      </c>
      <c r="F909" s="431" t="s">
        <v>179</v>
      </c>
      <c r="G909" s="431" t="s">
        <v>175</v>
      </c>
      <c r="H909" s="431"/>
      <c r="I909" s="431"/>
      <c r="J909" s="431"/>
      <c r="K909" s="431"/>
      <c r="L909" s="431" t="s">
        <v>176</v>
      </c>
      <c r="M909" s="432" t="s">
        <v>361</v>
      </c>
    </row>
    <row r="910" spans="1:13" ht="409.5" x14ac:dyDescent="0.2">
      <c r="A910" s="431" t="s">
        <v>360</v>
      </c>
      <c r="B910" s="431">
        <v>1870453</v>
      </c>
      <c r="C910" s="431" t="s">
        <v>159</v>
      </c>
      <c r="D910" s="431" t="s">
        <v>173</v>
      </c>
      <c r="E910" s="431" t="s">
        <v>161</v>
      </c>
      <c r="F910" s="431" t="s">
        <v>179</v>
      </c>
      <c r="G910" s="431" t="s">
        <v>175</v>
      </c>
      <c r="H910" s="431"/>
      <c r="I910" s="431"/>
      <c r="J910" s="431"/>
      <c r="K910" s="431"/>
      <c r="L910" s="431" t="s">
        <v>176</v>
      </c>
      <c r="M910" s="432" t="s">
        <v>361</v>
      </c>
    </row>
    <row r="911" spans="1:13" ht="409.5" x14ac:dyDescent="0.2">
      <c r="A911" s="431" t="s">
        <v>360</v>
      </c>
      <c r="B911" s="431">
        <v>1870453</v>
      </c>
      <c r="C911" s="431" t="s">
        <v>159</v>
      </c>
      <c r="D911" s="431" t="s">
        <v>173</v>
      </c>
      <c r="E911" s="431" t="s">
        <v>161</v>
      </c>
      <c r="F911" s="431" t="s">
        <v>179</v>
      </c>
      <c r="G911" s="431" t="s">
        <v>175</v>
      </c>
      <c r="H911" s="431"/>
      <c r="I911" s="431"/>
      <c r="J911" s="431"/>
      <c r="K911" s="431"/>
      <c r="L911" s="431" t="s">
        <v>176</v>
      </c>
      <c r="M911" s="432" t="s">
        <v>361</v>
      </c>
    </row>
    <row r="912" spans="1:13" ht="409.5" x14ac:dyDescent="0.2">
      <c r="A912" s="431" t="s">
        <v>360</v>
      </c>
      <c r="B912" s="431">
        <v>1870453</v>
      </c>
      <c r="C912" s="431" t="s">
        <v>159</v>
      </c>
      <c r="D912" s="431" t="s">
        <v>173</v>
      </c>
      <c r="E912" s="431" t="s">
        <v>161</v>
      </c>
      <c r="F912" s="431" t="s">
        <v>179</v>
      </c>
      <c r="G912" s="431" t="s">
        <v>175</v>
      </c>
      <c r="H912" s="431"/>
      <c r="I912" s="431"/>
      <c r="J912" s="431"/>
      <c r="K912" s="431"/>
      <c r="L912" s="431" t="s">
        <v>176</v>
      </c>
      <c r="M912" s="432" t="s">
        <v>361</v>
      </c>
    </row>
    <row r="913" spans="1:13" ht="409.5" x14ac:dyDescent="0.2">
      <c r="A913" s="431" t="s">
        <v>360</v>
      </c>
      <c r="B913" s="431">
        <v>1870453</v>
      </c>
      <c r="C913" s="431" t="s">
        <v>159</v>
      </c>
      <c r="D913" s="431" t="s">
        <v>173</v>
      </c>
      <c r="E913" s="431" t="s">
        <v>161</v>
      </c>
      <c r="F913" s="431" t="s">
        <v>179</v>
      </c>
      <c r="G913" s="431" t="s">
        <v>175</v>
      </c>
      <c r="H913" s="431"/>
      <c r="I913" s="431"/>
      <c r="J913" s="431"/>
      <c r="K913" s="431"/>
      <c r="L913" s="431" t="s">
        <v>176</v>
      </c>
      <c r="M913" s="432" t="s">
        <v>361</v>
      </c>
    </row>
    <row r="914" spans="1:13" ht="409.5" x14ac:dyDescent="0.2">
      <c r="A914" s="431" t="s">
        <v>360</v>
      </c>
      <c r="B914" s="431">
        <v>1870453</v>
      </c>
      <c r="C914" s="431" t="s">
        <v>159</v>
      </c>
      <c r="D914" s="431" t="s">
        <v>173</v>
      </c>
      <c r="E914" s="431" t="s">
        <v>161</v>
      </c>
      <c r="F914" s="431" t="s">
        <v>179</v>
      </c>
      <c r="G914" s="431" t="s">
        <v>175</v>
      </c>
      <c r="H914" s="431"/>
      <c r="I914" s="431"/>
      <c r="J914" s="431"/>
      <c r="K914" s="431"/>
      <c r="L914" s="431" t="s">
        <v>176</v>
      </c>
      <c r="M914" s="432" t="s">
        <v>361</v>
      </c>
    </row>
    <row r="915" spans="1:13" ht="409.5" x14ac:dyDescent="0.2">
      <c r="A915" s="431" t="s">
        <v>360</v>
      </c>
      <c r="B915" s="431">
        <v>1870453</v>
      </c>
      <c r="C915" s="431" t="s">
        <v>159</v>
      </c>
      <c r="D915" s="431" t="s">
        <v>173</v>
      </c>
      <c r="E915" s="431" t="s">
        <v>161</v>
      </c>
      <c r="F915" s="431" t="s">
        <v>179</v>
      </c>
      <c r="G915" s="431" t="s">
        <v>175</v>
      </c>
      <c r="H915" s="431"/>
      <c r="I915" s="431"/>
      <c r="J915" s="431"/>
      <c r="K915" s="431"/>
      <c r="L915" s="431" t="s">
        <v>176</v>
      </c>
      <c r="M915" s="432" t="s">
        <v>361</v>
      </c>
    </row>
    <row r="916" spans="1:13" ht="409.5" x14ac:dyDescent="0.2">
      <c r="A916" s="431" t="s">
        <v>360</v>
      </c>
      <c r="B916" s="431">
        <v>1870453</v>
      </c>
      <c r="C916" s="431" t="s">
        <v>159</v>
      </c>
      <c r="D916" s="431" t="s">
        <v>173</v>
      </c>
      <c r="E916" s="431" t="s">
        <v>161</v>
      </c>
      <c r="F916" s="431" t="s">
        <v>179</v>
      </c>
      <c r="G916" s="431" t="s">
        <v>175</v>
      </c>
      <c r="H916" s="431"/>
      <c r="I916" s="431"/>
      <c r="J916" s="431"/>
      <c r="K916" s="431"/>
      <c r="L916" s="431" t="s">
        <v>176</v>
      </c>
      <c r="M916" s="432" t="s">
        <v>361</v>
      </c>
    </row>
    <row r="917" spans="1:13" ht="409.5" x14ac:dyDescent="0.2">
      <c r="A917" s="431" t="s">
        <v>360</v>
      </c>
      <c r="B917" s="431">
        <v>1870453</v>
      </c>
      <c r="C917" s="431" t="s">
        <v>159</v>
      </c>
      <c r="D917" s="431" t="s">
        <v>173</v>
      </c>
      <c r="E917" s="431" t="s">
        <v>161</v>
      </c>
      <c r="F917" s="431" t="s">
        <v>179</v>
      </c>
      <c r="G917" s="431" t="s">
        <v>175</v>
      </c>
      <c r="H917" s="431"/>
      <c r="I917" s="431"/>
      <c r="J917" s="431"/>
      <c r="K917" s="431"/>
      <c r="L917" s="431" t="s">
        <v>176</v>
      </c>
      <c r="M917" s="432" t="s">
        <v>361</v>
      </c>
    </row>
    <row r="918" spans="1:13" ht="409.5" x14ac:dyDescent="0.2">
      <c r="A918" s="431" t="s">
        <v>360</v>
      </c>
      <c r="B918" s="431">
        <v>1870453</v>
      </c>
      <c r="C918" s="431" t="s">
        <v>159</v>
      </c>
      <c r="D918" s="431" t="s">
        <v>173</v>
      </c>
      <c r="E918" s="431" t="s">
        <v>161</v>
      </c>
      <c r="F918" s="431" t="s">
        <v>179</v>
      </c>
      <c r="G918" s="431" t="s">
        <v>175</v>
      </c>
      <c r="H918" s="431"/>
      <c r="I918" s="431"/>
      <c r="J918" s="431"/>
      <c r="K918" s="431"/>
      <c r="L918" s="431" t="s">
        <v>176</v>
      </c>
      <c r="M918" s="432" t="s">
        <v>361</v>
      </c>
    </row>
    <row r="919" spans="1:13" ht="409.5" x14ac:dyDescent="0.2">
      <c r="A919" s="431" t="s">
        <v>360</v>
      </c>
      <c r="B919" s="431">
        <v>1870453</v>
      </c>
      <c r="C919" s="431" t="s">
        <v>159</v>
      </c>
      <c r="D919" s="431" t="s">
        <v>173</v>
      </c>
      <c r="E919" s="431" t="s">
        <v>161</v>
      </c>
      <c r="F919" s="431" t="s">
        <v>179</v>
      </c>
      <c r="G919" s="431" t="s">
        <v>175</v>
      </c>
      <c r="H919" s="431"/>
      <c r="I919" s="431"/>
      <c r="J919" s="431"/>
      <c r="K919" s="431"/>
      <c r="L919" s="431" t="s">
        <v>176</v>
      </c>
      <c r="M919" s="432" t="s">
        <v>361</v>
      </c>
    </row>
    <row r="920" spans="1:13" ht="409.5" x14ac:dyDescent="0.2">
      <c r="A920" s="431" t="s">
        <v>360</v>
      </c>
      <c r="B920" s="431">
        <v>1870453</v>
      </c>
      <c r="C920" s="431" t="s">
        <v>159</v>
      </c>
      <c r="D920" s="431" t="s">
        <v>173</v>
      </c>
      <c r="E920" s="431" t="s">
        <v>161</v>
      </c>
      <c r="F920" s="431" t="s">
        <v>179</v>
      </c>
      <c r="G920" s="431" t="s">
        <v>175</v>
      </c>
      <c r="H920" s="431"/>
      <c r="I920" s="431"/>
      <c r="J920" s="431"/>
      <c r="K920" s="431"/>
      <c r="L920" s="431" t="s">
        <v>176</v>
      </c>
      <c r="M920" s="432" t="s">
        <v>361</v>
      </c>
    </row>
    <row r="921" spans="1:13" ht="409.5" x14ac:dyDescent="0.2">
      <c r="A921" s="431" t="s">
        <v>360</v>
      </c>
      <c r="B921" s="431">
        <v>1870453</v>
      </c>
      <c r="C921" s="431" t="s">
        <v>159</v>
      </c>
      <c r="D921" s="431" t="s">
        <v>173</v>
      </c>
      <c r="E921" s="431" t="s">
        <v>161</v>
      </c>
      <c r="F921" s="431" t="s">
        <v>179</v>
      </c>
      <c r="G921" s="431" t="s">
        <v>175</v>
      </c>
      <c r="H921" s="431"/>
      <c r="I921" s="431"/>
      <c r="J921" s="431"/>
      <c r="K921" s="431"/>
      <c r="L921" s="431" t="s">
        <v>176</v>
      </c>
      <c r="M921" s="432" t="s">
        <v>361</v>
      </c>
    </row>
    <row r="922" spans="1:13" ht="409.5" x14ac:dyDescent="0.2">
      <c r="A922" s="431" t="s">
        <v>360</v>
      </c>
      <c r="B922" s="431">
        <v>1870453</v>
      </c>
      <c r="C922" s="431" t="s">
        <v>159</v>
      </c>
      <c r="D922" s="431" t="s">
        <v>173</v>
      </c>
      <c r="E922" s="431" t="s">
        <v>161</v>
      </c>
      <c r="F922" s="431" t="s">
        <v>179</v>
      </c>
      <c r="G922" s="431" t="s">
        <v>175</v>
      </c>
      <c r="H922" s="431"/>
      <c r="I922" s="431"/>
      <c r="J922" s="431"/>
      <c r="K922" s="431"/>
      <c r="L922" s="431" t="s">
        <v>176</v>
      </c>
      <c r="M922" s="432" t="s">
        <v>361</v>
      </c>
    </row>
    <row r="923" spans="1:13" ht="409.5" x14ac:dyDescent="0.2">
      <c r="A923" s="431" t="s">
        <v>360</v>
      </c>
      <c r="B923" s="431">
        <v>1870453</v>
      </c>
      <c r="C923" s="431" t="s">
        <v>159</v>
      </c>
      <c r="D923" s="431" t="s">
        <v>173</v>
      </c>
      <c r="E923" s="431" t="s">
        <v>161</v>
      </c>
      <c r="F923" s="431" t="s">
        <v>179</v>
      </c>
      <c r="G923" s="431" t="s">
        <v>175</v>
      </c>
      <c r="H923" s="431"/>
      <c r="I923" s="431"/>
      <c r="J923" s="431"/>
      <c r="K923" s="431"/>
      <c r="L923" s="431" t="s">
        <v>176</v>
      </c>
      <c r="M923" s="432" t="s">
        <v>361</v>
      </c>
    </row>
    <row r="924" spans="1:13" ht="409.5" x14ac:dyDescent="0.2">
      <c r="A924" s="431" t="s">
        <v>360</v>
      </c>
      <c r="B924" s="431">
        <v>1870453</v>
      </c>
      <c r="C924" s="431" t="s">
        <v>159</v>
      </c>
      <c r="D924" s="431" t="s">
        <v>173</v>
      </c>
      <c r="E924" s="431" t="s">
        <v>161</v>
      </c>
      <c r="F924" s="431" t="s">
        <v>179</v>
      </c>
      <c r="G924" s="431" t="s">
        <v>175</v>
      </c>
      <c r="H924" s="431"/>
      <c r="I924" s="431"/>
      <c r="J924" s="431"/>
      <c r="K924" s="431"/>
      <c r="L924" s="431" t="s">
        <v>176</v>
      </c>
      <c r="M924" s="432" t="s">
        <v>361</v>
      </c>
    </row>
    <row r="925" spans="1:13" ht="409.5" x14ac:dyDescent="0.2">
      <c r="A925" s="431" t="s">
        <v>360</v>
      </c>
      <c r="B925" s="431">
        <v>1870453</v>
      </c>
      <c r="C925" s="431" t="s">
        <v>159</v>
      </c>
      <c r="D925" s="431" t="s">
        <v>173</v>
      </c>
      <c r="E925" s="431" t="s">
        <v>161</v>
      </c>
      <c r="F925" s="431" t="s">
        <v>179</v>
      </c>
      <c r="G925" s="431" t="s">
        <v>175</v>
      </c>
      <c r="H925" s="431"/>
      <c r="I925" s="431"/>
      <c r="J925" s="431"/>
      <c r="K925" s="431"/>
      <c r="L925" s="431" t="s">
        <v>176</v>
      </c>
      <c r="M925" s="432" t="s">
        <v>361</v>
      </c>
    </row>
    <row r="926" spans="1:13" ht="409.5" x14ac:dyDescent="0.2">
      <c r="A926" s="431" t="s">
        <v>360</v>
      </c>
      <c r="B926" s="431">
        <v>1870453</v>
      </c>
      <c r="C926" s="431" t="s">
        <v>159</v>
      </c>
      <c r="D926" s="431" t="s">
        <v>173</v>
      </c>
      <c r="E926" s="431" t="s">
        <v>161</v>
      </c>
      <c r="F926" s="431" t="s">
        <v>179</v>
      </c>
      <c r="G926" s="431" t="s">
        <v>175</v>
      </c>
      <c r="H926" s="431"/>
      <c r="I926" s="431"/>
      <c r="J926" s="431"/>
      <c r="K926" s="431"/>
      <c r="L926" s="431" t="s">
        <v>176</v>
      </c>
      <c r="M926" s="432" t="s">
        <v>361</v>
      </c>
    </row>
    <row r="927" spans="1:13" ht="409.5" x14ac:dyDescent="0.2">
      <c r="A927" s="431" t="s">
        <v>360</v>
      </c>
      <c r="B927" s="431">
        <v>1870453</v>
      </c>
      <c r="C927" s="431" t="s">
        <v>159</v>
      </c>
      <c r="D927" s="431" t="s">
        <v>173</v>
      </c>
      <c r="E927" s="431" t="s">
        <v>161</v>
      </c>
      <c r="F927" s="431" t="s">
        <v>179</v>
      </c>
      <c r="G927" s="431" t="s">
        <v>175</v>
      </c>
      <c r="H927" s="431"/>
      <c r="I927" s="431"/>
      <c r="J927" s="431"/>
      <c r="K927" s="431"/>
      <c r="L927" s="431" t="s">
        <v>176</v>
      </c>
      <c r="M927" s="432" t="s">
        <v>361</v>
      </c>
    </row>
    <row r="928" spans="1:13" ht="409.5" x14ac:dyDescent="0.2">
      <c r="A928" s="431" t="s">
        <v>360</v>
      </c>
      <c r="B928" s="431">
        <v>1870453</v>
      </c>
      <c r="C928" s="431" t="s">
        <v>159</v>
      </c>
      <c r="D928" s="431" t="s">
        <v>173</v>
      </c>
      <c r="E928" s="431" t="s">
        <v>161</v>
      </c>
      <c r="F928" s="431" t="s">
        <v>179</v>
      </c>
      <c r="G928" s="431" t="s">
        <v>175</v>
      </c>
      <c r="H928" s="431"/>
      <c r="I928" s="431"/>
      <c r="J928" s="431"/>
      <c r="K928" s="431"/>
      <c r="L928" s="431" t="s">
        <v>176</v>
      </c>
      <c r="M928" s="432" t="s">
        <v>361</v>
      </c>
    </row>
    <row r="929" spans="1:13" ht="409.5" x14ac:dyDescent="0.2">
      <c r="A929" s="431" t="s">
        <v>360</v>
      </c>
      <c r="B929" s="431">
        <v>1870453</v>
      </c>
      <c r="C929" s="431" t="s">
        <v>159</v>
      </c>
      <c r="D929" s="431" t="s">
        <v>173</v>
      </c>
      <c r="E929" s="431" t="s">
        <v>161</v>
      </c>
      <c r="F929" s="431" t="s">
        <v>179</v>
      </c>
      <c r="G929" s="431" t="s">
        <v>175</v>
      </c>
      <c r="H929" s="431"/>
      <c r="I929" s="431"/>
      <c r="J929" s="431"/>
      <c r="K929" s="431"/>
      <c r="L929" s="431" t="s">
        <v>176</v>
      </c>
      <c r="M929" s="432" t="s">
        <v>361</v>
      </c>
    </row>
    <row r="930" spans="1:13" ht="409.5" x14ac:dyDescent="0.2">
      <c r="A930" s="431" t="s">
        <v>360</v>
      </c>
      <c r="B930" s="431">
        <v>1870453</v>
      </c>
      <c r="C930" s="431" t="s">
        <v>159</v>
      </c>
      <c r="D930" s="431" t="s">
        <v>173</v>
      </c>
      <c r="E930" s="431" t="s">
        <v>161</v>
      </c>
      <c r="F930" s="431" t="s">
        <v>179</v>
      </c>
      <c r="G930" s="431" t="s">
        <v>175</v>
      </c>
      <c r="H930" s="431"/>
      <c r="I930" s="431"/>
      <c r="J930" s="431"/>
      <c r="K930" s="431"/>
      <c r="L930" s="431" t="s">
        <v>176</v>
      </c>
      <c r="M930" s="432" t="s">
        <v>361</v>
      </c>
    </row>
    <row r="931" spans="1:13" ht="409.5" x14ac:dyDescent="0.2">
      <c r="A931" s="431" t="s">
        <v>362</v>
      </c>
      <c r="B931" s="431">
        <v>1870454</v>
      </c>
      <c r="C931" s="431" t="s">
        <v>159</v>
      </c>
      <c r="D931" s="431" t="s">
        <v>173</v>
      </c>
      <c r="E931" s="431" t="s">
        <v>161</v>
      </c>
      <c r="F931" s="431" t="s">
        <v>317</v>
      </c>
      <c r="G931" s="431" t="s">
        <v>175</v>
      </c>
      <c r="H931" s="431"/>
      <c r="I931" s="431"/>
      <c r="J931" s="431"/>
      <c r="K931" s="431"/>
      <c r="L931" s="431" t="s">
        <v>255</v>
      </c>
      <c r="M931" s="432" t="s">
        <v>363</v>
      </c>
    </row>
    <row r="932" spans="1:13" ht="409.5" x14ac:dyDescent="0.2">
      <c r="A932" s="431" t="s">
        <v>362</v>
      </c>
      <c r="B932" s="431">
        <v>1870454</v>
      </c>
      <c r="C932" s="431" t="s">
        <v>159</v>
      </c>
      <c r="D932" s="431" t="s">
        <v>173</v>
      </c>
      <c r="E932" s="431" t="s">
        <v>161</v>
      </c>
      <c r="F932" s="431" t="s">
        <v>317</v>
      </c>
      <c r="G932" s="431" t="s">
        <v>175</v>
      </c>
      <c r="H932" s="431"/>
      <c r="I932" s="431"/>
      <c r="J932" s="431"/>
      <c r="K932" s="431"/>
      <c r="L932" s="431" t="s">
        <v>255</v>
      </c>
      <c r="M932" s="432" t="s">
        <v>363</v>
      </c>
    </row>
    <row r="933" spans="1:13" ht="409.5" x14ac:dyDescent="0.2">
      <c r="A933" s="431" t="s">
        <v>362</v>
      </c>
      <c r="B933" s="431">
        <v>1870454</v>
      </c>
      <c r="C933" s="431" t="s">
        <v>159</v>
      </c>
      <c r="D933" s="431" t="s">
        <v>173</v>
      </c>
      <c r="E933" s="431" t="s">
        <v>161</v>
      </c>
      <c r="F933" s="431" t="s">
        <v>317</v>
      </c>
      <c r="G933" s="431" t="s">
        <v>175</v>
      </c>
      <c r="H933" s="431"/>
      <c r="I933" s="431"/>
      <c r="J933" s="431"/>
      <c r="K933" s="431"/>
      <c r="L933" s="431" t="s">
        <v>255</v>
      </c>
      <c r="M933" s="432" t="s">
        <v>363</v>
      </c>
    </row>
    <row r="934" spans="1:13" ht="409.5" x14ac:dyDescent="0.2">
      <c r="A934" s="431" t="s">
        <v>362</v>
      </c>
      <c r="B934" s="431">
        <v>1870454</v>
      </c>
      <c r="C934" s="431" t="s">
        <v>159</v>
      </c>
      <c r="D934" s="431" t="s">
        <v>173</v>
      </c>
      <c r="E934" s="431" t="s">
        <v>161</v>
      </c>
      <c r="F934" s="431" t="s">
        <v>317</v>
      </c>
      <c r="G934" s="431" t="s">
        <v>175</v>
      </c>
      <c r="H934" s="431"/>
      <c r="I934" s="431"/>
      <c r="J934" s="431"/>
      <c r="K934" s="431"/>
      <c r="L934" s="431" t="s">
        <v>255</v>
      </c>
      <c r="M934" s="432" t="s">
        <v>363</v>
      </c>
    </row>
    <row r="935" spans="1:13" ht="409.5" x14ac:dyDescent="0.2">
      <c r="A935" s="431" t="s">
        <v>362</v>
      </c>
      <c r="B935" s="431">
        <v>1870454</v>
      </c>
      <c r="C935" s="431" t="s">
        <v>159</v>
      </c>
      <c r="D935" s="431" t="s">
        <v>173</v>
      </c>
      <c r="E935" s="431" t="s">
        <v>161</v>
      </c>
      <c r="F935" s="431" t="s">
        <v>317</v>
      </c>
      <c r="G935" s="431" t="s">
        <v>175</v>
      </c>
      <c r="H935" s="431"/>
      <c r="I935" s="431"/>
      <c r="J935" s="431"/>
      <c r="K935" s="431"/>
      <c r="L935" s="431" t="s">
        <v>255</v>
      </c>
      <c r="M935" s="432" t="s">
        <v>363</v>
      </c>
    </row>
    <row r="936" spans="1:13" ht="409.5" x14ac:dyDescent="0.2">
      <c r="A936" s="431" t="s">
        <v>362</v>
      </c>
      <c r="B936" s="431">
        <v>1870454</v>
      </c>
      <c r="C936" s="431" t="s">
        <v>159</v>
      </c>
      <c r="D936" s="431" t="s">
        <v>173</v>
      </c>
      <c r="E936" s="431" t="s">
        <v>161</v>
      </c>
      <c r="F936" s="431" t="s">
        <v>317</v>
      </c>
      <c r="G936" s="431" t="s">
        <v>175</v>
      </c>
      <c r="H936" s="431"/>
      <c r="I936" s="431"/>
      <c r="J936" s="431"/>
      <c r="K936" s="431"/>
      <c r="L936" s="431" t="s">
        <v>255</v>
      </c>
      <c r="M936" s="432" t="s">
        <v>363</v>
      </c>
    </row>
    <row r="937" spans="1:13" ht="409.5" x14ac:dyDescent="0.2">
      <c r="A937" s="431" t="s">
        <v>362</v>
      </c>
      <c r="B937" s="431">
        <v>1870454</v>
      </c>
      <c r="C937" s="431" t="s">
        <v>159</v>
      </c>
      <c r="D937" s="431" t="s">
        <v>173</v>
      </c>
      <c r="E937" s="431" t="s">
        <v>161</v>
      </c>
      <c r="F937" s="431" t="s">
        <v>317</v>
      </c>
      <c r="G937" s="431" t="s">
        <v>175</v>
      </c>
      <c r="H937" s="431"/>
      <c r="I937" s="431"/>
      <c r="J937" s="431"/>
      <c r="K937" s="431"/>
      <c r="L937" s="431" t="s">
        <v>255</v>
      </c>
      <c r="M937" s="432" t="s">
        <v>363</v>
      </c>
    </row>
    <row r="938" spans="1:13" ht="409.5" x14ac:dyDescent="0.2">
      <c r="A938" s="431" t="s">
        <v>362</v>
      </c>
      <c r="B938" s="431">
        <v>1870454</v>
      </c>
      <c r="C938" s="431" t="s">
        <v>159</v>
      </c>
      <c r="D938" s="431" t="s">
        <v>173</v>
      </c>
      <c r="E938" s="431" t="s">
        <v>161</v>
      </c>
      <c r="F938" s="431" t="s">
        <v>317</v>
      </c>
      <c r="G938" s="431" t="s">
        <v>175</v>
      </c>
      <c r="H938" s="431"/>
      <c r="I938" s="431"/>
      <c r="J938" s="431"/>
      <c r="K938" s="431"/>
      <c r="L938" s="431" t="s">
        <v>255</v>
      </c>
      <c r="M938" s="432" t="s">
        <v>363</v>
      </c>
    </row>
    <row r="939" spans="1:13" ht="409.5" x14ac:dyDescent="0.2">
      <c r="A939" s="431" t="s">
        <v>362</v>
      </c>
      <c r="B939" s="431">
        <v>1870454</v>
      </c>
      <c r="C939" s="431" t="s">
        <v>159</v>
      </c>
      <c r="D939" s="431" t="s">
        <v>173</v>
      </c>
      <c r="E939" s="431" t="s">
        <v>161</v>
      </c>
      <c r="F939" s="431" t="s">
        <v>317</v>
      </c>
      <c r="G939" s="431" t="s">
        <v>175</v>
      </c>
      <c r="H939" s="431"/>
      <c r="I939" s="431"/>
      <c r="J939" s="431"/>
      <c r="K939" s="431"/>
      <c r="L939" s="431" t="s">
        <v>255</v>
      </c>
      <c r="M939" s="432" t="s">
        <v>363</v>
      </c>
    </row>
    <row r="940" spans="1:13" ht="409.5" x14ac:dyDescent="0.2">
      <c r="A940" s="431" t="s">
        <v>362</v>
      </c>
      <c r="B940" s="431">
        <v>1870454</v>
      </c>
      <c r="C940" s="431" t="s">
        <v>159</v>
      </c>
      <c r="D940" s="431" t="s">
        <v>173</v>
      </c>
      <c r="E940" s="431" t="s">
        <v>161</v>
      </c>
      <c r="F940" s="431" t="s">
        <v>317</v>
      </c>
      <c r="G940" s="431" t="s">
        <v>175</v>
      </c>
      <c r="H940" s="431"/>
      <c r="I940" s="431"/>
      <c r="J940" s="431"/>
      <c r="K940" s="431"/>
      <c r="L940" s="431" t="s">
        <v>255</v>
      </c>
      <c r="M940" s="432" t="s">
        <v>363</v>
      </c>
    </row>
    <row r="941" spans="1:13" ht="409.5" x14ac:dyDescent="0.2">
      <c r="A941" s="431" t="s">
        <v>362</v>
      </c>
      <c r="B941" s="431">
        <v>1870454</v>
      </c>
      <c r="C941" s="431" t="s">
        <v>159</v>
      </c>
      <c r="D941" s="431" t="s">
        <v>173</v>
      </c>
      <c r="E941" s="431" t="s">
        <v>161</v>
      </c>
      <c r="F941" s="431" t="s">
        <v>317</v>
      </c>
      <c r="G941" s="431" t="s">
        <v>175</v>
      </c>
      <c r="H941" s="431"/>
      <c r="I941" s="431"/>
      <c r="J941" s="431"/>
      <c r="K941" s="431"/>
      <c r="L941" s="431" t="s">
        <v>255</v>
      </c>
      <c r="M941" s="432" t="s">
        <v>363</v>
      </c>
    </row>
    <row r="942" spans="1:13" ht="409.5" x14ac:dyDescent="0.2">
      <c r="A942" s="431" t="s">
        <v>362</v>
      </c>
      <c r="B942" s="431">
        <v>1870454</v>
      </c>
      <c r="C942" s="431" t="s">
        <v>159</v>
      </c>
      <c r="D942" s="431" t="s">
        <v>173</v>
      </c>
      <c r="E942" s="431" t="s">
        <v>161</v>
      </c>
      <c r="F942" s="431" t="s">
        <v>317</v>
      </c>
      <c r="G942" s="431" t="s">
        <v>175</v>
      </c>
      <c r="H942" s="431"/>
      <c r="I942" s="431"/>
      <c r="J942" s="431"/>
      <c r="K942" s="431"/>
      <c r="L942" s="431" t="s">
        <v>255</v>
      </c>
      <c r="M942" s="432" t="s">
        <v>363</v>
      </c>
    </row>
    <row r="943" spans="1:13" ht="409.5" x14ac:dyDescent="0.2">
      <c r="A943" s="431" t="s">
        <v>362</v>
      </c>
      <c r="B943" s="431">
        <v>1870454</v>
      </c>
      <c r="C943" s="431" t="s">
        <v>159</v>
      </c>
      <c r="D943" s="431" t="s">
        <v>173</v>
      </c>
      <c r="E943" s="431" t="s">
        <v>161</v>
      </c>
      <c r="F943" s="431" t="s">
        <v>317</v>
      </c>
      <c r="G943" s="431" t="s">
        <v>175</v>
      </c>
      <c r="H943" s="431"/>
      <c r="I943" s="431"/>
      <c r="J943" s="431"/>
      <c r="K943" s="431"/>
      <c r="L943" s="431" t="s">
        <v>255</v>
      </c>
      <c r="M943" s="432" t="s">
        <v>363</v>
      </c>
    </row>
    <row r="944" spans="1:13" ht="409.5" x14ac:dyDescent="0.2">
      <c r="A944" s="431" t="s">
        <v>362</v>
      </c>
      <c r="B944" s="431">
        <v>1870454</v>
      </c>
      <c r="C944" s="431" t="s">
        <v>159</v>
      </c>
      <c r="D944" s="431" t="s">
        <v>173</v>
      </c>
      <c r="E944" s="431" t="s">
        <v>161</v>
      </c>
      <c r="F944" s="431" t="s">
        <v>317</v>
      </c>
      <c r="G944" s="431" t="s">
        <v>175</v>
      </c>
      <c r="H944" s="431"/>
      <c r="I944" s="431"/>
      <c r="J944" s="431"/>
      <c r="K944" s="431"/>
      <c r="L944" s="431" t="s">
        <v>255</v>
      </c>
      <c r="M944" s="432" t="s">
        <v>363</v>
      </c>
    </row>
    <row r="945" spans="1:13" ht="409.5" x14ac:dyDescent="0.2">
      <c r="A945" s="431" t="s">
        <v>362</v>
      </c>
      <c r="B945" s="431">
        <v>1870454</v>
      </c>
      <c r="C945" s="431" t="s">
        <v>159</v>
      </c>
      <c r="D945" s="431" t="s">
        <v>173</v>
      </c>
      <c r="E945" s="431" t="s">
        <v>161</v>
      </c>
      <c r="F945" s="431" t="s">
        <v>317</v>
      </c>
      <c r="G945" s="431" t="s">
        <v>175</v>
      </c>
      <c r="H945" s="431"/>
      <c r="I945" s="431"/>
      <c r="J945" s="431"/>
      <c r="K945" s="431"/>
      <c r="L945" s="431" t="s">
        <v>255</v>
      </c>
      <c r="M945" s="432" t="s">
        <v>363</v>
      </c>
    </row>
    <row r="946" spans="1:13" ht="409.5" x14ac:dyDescent="0.2">
      <c r="A946" s="431" t="s">
        <v>362</v>
      </c>
      <c r="B946" s="431">
        <v>1870454</v>
      </c>
      <c r="C946" s="431" t="s">
        <v>159</v>
      </c>
      <c r="D946" s="431" t="s">
        <v>173</v>
      </c>
      <c r="E946" s="431" t="s">
        <v>161</v>
      </c>
      <c r="F946" s="431" t="s">
        <v>317</v>
      </c>
      <c r="G946" s="431" t="s">
        <v>175</v>
      </c>
      <c r="H946" s="431"/>
      <c r="I946" s="431"/>
      <c r="J946" s="431"/>
      <c r="K946" s="431"/>
      <c r="L946" s="431" t="s">
        <v>255</v>
      </c>
      <c r="M946" s="432" t="s">
        <v>363</v>
      </c>
    </row>
    <row r="947" spans="1:13" ht="409.5" x14ac:dyDescent="0.2">
      <c r="A947" s="431" t="s">
        <v>362</v>
      </c>
      <c r="B947" s="431">
        <v>1870454</v>
      </c>
      <c r="C947" s="431" t="s">
        <v>159</v>
      </c>
      <c r="D947" s="431" t="s">
        <v>173</v>
      </c>
      <c r="E947" s="431" t="s">
        <v>161</v>
      </c>
      <c r="F947" s="431" t="s">
        <v>317</v>
      </c>
      <c r="G947" s="431" t="s">
        <v>175</v>
      </c>
      <c r="H947" s="431"/>
      <c r="I947" s="431"/>
      <c r="J947" s="431"/>
      <c r="K947" s="431"/>
      <c r="L947" s="431" t="s">
        <v>255</v>
      </c>
      <c r="M947" s="432" t="s">
        <v>363</v>
      </c>
    </row>
    <row r="948" spans="1:13" ht="409.5" x14ac:dyDescent="0.2">
      <c r="A948" s="431" t="s">
        <v>362</v>
      </c>
      <c r="B948" s="431">
        <v>1870454</v>
      </c>
      <c r="C948" s="431" t="s">
        <v>159</v>
      </c>
      <c r="D948" s="431" t="s">
        <v>173</v>
      </c>
      <c r="E948" s="431" t="s">
        <v>161</v>
      </c>
      <c r="F948" s="431" t="s">
        <v>317</v>
      </c>
      <c r="G948" s="431" t="s">
        <v>175</v>
      </c>
      <c r="H948" s="431"/>
      <c r="I948" s="431"/>
      <c r="J948" s="431"/>
      <c r="K948" s="431"/>
      <c r="L948" s="431" t="s">
        <v>255</v>
      </c>
      <c r="M948" s="432" t="s">
        <v>363</v>
      </c>
    </row>
    <row r="949" spans="1:13" ht="409.5" x14ac:dyDescent="0.2">
      <c r="A949" s="431" t="s">
        <v>362</v>
      </c>
      <c r="B949" s="431">
        <v>1870454</v>
      </c>
      <c r="C949" s="431" t="s">
        <v>159</v>
      </c>
      <c r="D949" s="431" t="s">
        <v>173</v>
      </c>
      <c r="E949" s="431" t="s">
        <v>161</v>
      </c>
      <c r="F949" s="431" t="s">
        <v>317</v>
      </c>
      <c r="G949" s="431" t="s">
        <v>175</v>
      </c>
      <c r="H949" s="431"/>
      <c r="I949" s="431"/>
      <c r="J949" s="431"/>
      <c r="K949" s="431"/>
      <c r="L949" s="431" t="s">
        <v>255</v>
      </c>
      <c r="M949" s="432" t="s">
        <v>363</v>
      </c>
    </row>
    <row r="950" spans="1:13" ht="409.5" x14ac:dyDescent="0.2">
      <c r="A950" s="431" t="s">
        <v>362</v>
      </c>
      <c r="B950" s="431">
        <v>1870454</v>
      </c>
      <c r="C950" s="431" t="s">
        <v>159</v>
      </c>
      <c r="D950" s="431" t="s">
        <v>173</v>
      </c>
      <c r="E950" s="431" t="s">
        <v>161</v>
      </c>
      <c r="F950" s="431" t="s">
        <v>317</v>
      </c>
      <c r="G950" s="431" t="s">
        <v>175</v>
      </c>
      <c r="H950" s="431"/>
      <c r="I950" s="431"/>
      <c r="J950" s="431"/>
      <c r="K950" s="431"/>
      <c r="L950" s="431" t="s">
        <v>255</v>
      </c>
      <c r="M950" s="432" t="s">
        <v>363</v>
      </c>
    </row>
    <row r="951" spans="1:13" ht="409.5" x14ac:dyDescent="0.2">
      <c r="A951" s="431" t="s">
        <v>362</v>
      </c>
      <c r="B951" s="431">
        <v>1870454</v>
      </c>
      <c r="C951" s="431" t="s">
        <v>159</v>
      </c>
      <c r="D951" s="431" t="s">
        <v>173</v>
      </c>
      <c r="E951" s="431" t="s">
        <v>161</v>
      </c>
      <c r="F951" s="431" t="s">
        <v>317</v>
      </c>
      <c r="G951" s="431" t="s">
        <v>175</v>
      </c>
      <c r="H951" s="431"/>
      <c r="I951" s="431"/>
      <c r="J951" s="431"/>
      <c r="K951" s="431"/>
      <c r="L951" s="431" t="s">
        <v>255</v>
      </c>
      <c r="M951" s="432" t="s">
        <v>363</v>
      </c>
    </row>
    <row r="952" spans="1:13" ht="409.5" x14ac:dyDescent="0.2">
      <c r="A952" s="431" t="s">
        <v>362</v>
      </c>
      <c r="B952" s="431">
        <v>1870454</v>
      </c>
      <c r="C952" s="431" t="s">
        <v>159</v>
      </c>
      <c r="D952" s="431" t="s">
        <v>173</v>
      </c>
      <c r="E952" s="431" t="s">
        <v>161</v>
      </c>
      <c r="F952" s="431" t="s">
        <v>317</v>
      </c>
      <c r="G952" s="431" t="s">
        <v>175</v>
      </c>
      <c r="H952" s="431"/>
      <c r="I952" s="431"/>
      <c r="J952" s="431"/>
      <c r="K952" s="431"/>
      <c r="L952" s="431" t="s">
        <v>255</v>
      </c>
      <c r="M952" s="432" t="s">
        <v>363</v>
      </c>
    </row>
    <row r="953" spans="1:13" ht="409.5" x14ac:dyDescent="0.2">
      <c r="A953" s="431" t="s">
        <v>362</v>
      </c>
      <c r="B953" s="431">
        <v>1870454</v>
      </c>
      <c r="C953" s="431" t="s">
        <v>159</v>
      </c>
      <c r="D953" s="431" t="s">
        <v>173</v>
      </c>
      <c r="E953" s="431" t="s">
        <v>161</v>
      </c>
      <c r="F953" s="431" t="s">
        <v>317</v>
      </c>
      <c r="G953" s="431" t="s">
        <v>175</v>
      </c>
      <c r="H953" s="431"/>
      <c r="I953" s="431"/>
      <c r="J953" s="431"/>
      <c r="K953" s="431"/>
      <c r="L953" s="431" t="s">
        <v>255</v>
      </c>
      <c r="M953" s="432" t="s">
        <v>363</v>
      </c>
    </row>
    <row r="954" spans="1:13" ht="409.5" x14ac:dyDescent="0.2">
      <c r="A954" s="431" t="s">
        <v>362</v>
      </c>
      <c r="B954" s="431">
        <v>1870454</v>
      </c>
      <c r="C954" s="431" t="s">
        <v>159</v>
      </c>
      <c r="D954" s="431" t="s">
        <v>173</v>
      </c>
      <c r="E954" s="431" t="s">
        <v>161</v>
      </c>
      <c r="F954" s="431" t="s">
        <v>317</v>
      </c>
      <c r="G954" s="431" t="s">
        <v>175</v>
      </c>
      <c r="H954" s="431"/>
      <c r="I954" s="431"/>
      <c r="J954" s="431"/>
      <c r="K954" s="431"/>
      <c r="L954" s="431" t="s">
        <v>255</v>
      </c>
      <c r="M954" s="432" t="s">
        <v>363</v>
      </c>
    </row>
    <row r="955" spans="1:13" ht="409.5" x14ac:dyDescent="0.2">
      <c r="A955" s="431" t="s">
        <v>362</v>
      </c>
      <c r="B955" s="431">
        <v>1870454</v>
      </c>
      <c r="C955" s="431" t="s">
        <v>159</v>
      </c>
      <c r="D955" s="431" t="s">
        <v>173</v>
      </c>
      <c r="E955" s="431" t="s">
        <v>161</v>
      </c>
      <c r="F955" s="431" t="s">
        <v>317</v>
      </c>
      <c r="G955" s="431" t="s">
        <v>175</v>
      </c>
      <c r="H955" s="431"/>
      <c r="I955" s="431"/>
      <c r="J955" s="431"/>
      <c r="K955" s="431"/>
      <c r="L955" s="431" t="s">
        <v>255</v>
      </c>
      <c r="M955" s="432" t="s">
        <v>363</v>
      </c>
    </row>
    <row r="956" spans="1:13" ht="409.5" x14ac:dyDescent="0.2">
      <c r="A956" s="431" t="s">
        <v>362</v>
      </c>
      <c r="B956" s="431">
        <v>1870454</v>
      </c>
      <c r="C956" s="431" t="s">
        <v>159</v>
      </c>
      <c r="D956" s="431" t="s">
        <v>173</v>
      </c>
      <c r="E956" s="431" t="s">
        <v>161</v>
      </c>
      <c r="F956" s="431" t="s">
        <v>317</v>
      </c>
      <c r="G956" s="431" t="s">
        <v>175</v>
      </c>
      <c r="H956" s="431"/>
      <c r="I956" s="431"/>
      <c r="J956" s="431"/>
      <c r="K956" s="431"/>
      <c r="L956" s="431" t="s">
        <v>255</v>
      </c>
      <c r="M956" s="432" t="s">
        <v>363</v>
      </c>
    </row>
    <row r="957" spans="1:13" ht="409.5" x14ac:dyDescent="0.2">
      <c r="A957" s="431" t="s">
        <v>362</v>
      </c>
      <c r="B957" s="431">
        <v>1870454</v>
      </c>
      <c r="C957" s="431" t="s">
        <v>159</v>
      </c>
      <c r="D957" s="431" t="s">
        <v>173</v>
      </c>
      <c r="E957" s="431" t="s">
        <v>161</v>
      </c>
      <c r="F957" s="431" t="s">
        <v>317</v>
      </c>
      <c r="G957" s="431" t="s">
        <v>175</v>
      </c>
      <c r="H957" s="431"/>
      <c r="I957" s="431"/>
      <c r="J957" s="431"/>
      <c r="K957" s="431"/>
      <c r="L957" s="431" t="s">
        <v>255</v>
      </c>
      <c r="M957" s="432" t="s">
        <v>363</v>
      </c>
    </row>
    <row r="958" spans="1:13" ht="409.5" x14ac:dyDescent="0.2">
      <c r="A958" s="431" t="s">
        <v>362</v>
      </c>
      <c r="B958" s="431">
        <v>1870454</v>
      </c>
      <c r="C958" s="431" t="s">
        <v>159</v>
      </c>
      <c r="D958" s="431" t="s">
        <v>173</v>
      </c>
      <c r="E958" s="431" t="s">
        <v>161</v>
      </c>
      <c r="F958" s="431" t="s">
        <v>317</v>
      </c>
      <c r="G958" s="431" t="s">
        <v>175</v>
      </c>
      <c r="H958" s="431"/>
      <c r="I958" s="431"/>
      <c r="J958" s="431"/>
      <c r="K958" s="431"/>
      <c r="L958" s="431" t="s">
        <v>255</v>
      </c>
      <c r="M958" s="432" t="s">
        <v>363</v>
      </c>
    </row>
    <row r="959" spans="1:13" ht="409.5" x14ac:dyDescent="0.2">
      <c r="A959" s="431" t="s">
        <v>362</v>
      </c>
      <c r="B959" s="431">
        <v>1870454</v>
      </c>
      <c r="C959" s="431" t="s">
        <v>159</v>
      </c>
      <c r="D959" s="431" t="s">
        <v>173</v>
      </c>
      <c r="E959" s="431" t="s">
        <v>161</v>
      </c>
      <c r="F959" s="431" t="s">
        <v>317</v>
      </c>
      <c r="G959" s="431" t="s">
        <v>175</v>
      </c>
      <c r="H959" s="431"/>
      <c r="I959" s="431"/>
      <c r="J959" s="431"/>
      <c r="K959" s="431"/>
      <c r="L959" s="431" t="s">
        <v>255</v>
      </c>
      <c r="M959" s="432" t="s">
        <v>363</v>
      </c>
    </row>
    <row r="960" spans="1:13" ht="409.5" x14ac:dyDescent="0.2">
      <c r="A960" s="431" t="s">
        <v>362</v>
      </c>
      <c r="B960" s="431">
        <v>1870454</v>
      </c>
      <c r="C960" s="431" t="s">
        <v>159</v>
      </c>
      <c r="D960" s="431" t="s">
        <v>173</v>
      </c>
      <c r="E960" s="431" t="s">
        <v>161</v>
      </c>
      <c r="F960" s="431" t="s">
        <v>317</v>
      </c>
      <c r="G960" s="431" t="s">
        <v>175</v>
      </c>
      <c r="H960" s="431"/>
      <c r="I960" s="431"/>
      <c r="J960" s="431"/>
      <c r="K960" s="431"/>
      <c r="L960" s="431" t="s">
        <v>255</v>
      </c>
      <c r="M960" s="432" t="s">
        <v>363</v>
      </c>
    </row>
    <row r="961" spans="1:13" ht="409.5" x14ac:dyDescent="0.2">
      <c r="A961" s="431" t="s">
        <v>362</v>
      </c>
      <c r="B961" s="431">
        <v>1870454</v>
      </c>
      <c r="C961" s="431" t="s">
        <v>159</v>
      </c>
      <c r="D961" s="431" t="s">
        <v>173</v>
      </c>
      <c r="E961" s="431" t="s">
        <v>161</v>
      </c>
      <c r="F961" s="431" t="s">
        <v>317</v>
      </c>
      <c r="G961" s="431" t="s">
        <v>175</v>
      </c>
      <c r="H961" s="431"/>
      <c r="I961" s="431"/>
      <c r="J961" s="431"/>
      <c r="K961" s="431"/>
      <c r="L961" s="431" t="s">
        <v>255</v>
      </c>
      <c r="M961" s="432" t="s">
        <v>363</v>
      </c>
    </row>
    <row r="962" spans="1:13" ht="409.5" x14ac:dyDescent="0.2">
      <c r="A962" s="431" t="s">
        <v>362</v>
      </c>
      <c r="B962" s="431">
        <v>1870454</v>
      </c>
      <c r="C962" s="431" t="s">
        <v>159</v>
      </c>
      <c r="D962" s="431" t="s">
        <v>173</v>
      </c>
      <c r="E962" s="431" t="s">
        <v>161</v>
      </c>
      <c r="F962" s="431" t="s">
        <v>317</v>
      </c>
      <c r="G962" s="431" t="s">
        <v>175</v>
      </c>
      <c r="H962" s="431"/>
      <c r="I962" s="431"/>
      <c r="J962" s="431"/>
      <c r="K962" s="431"/>
      <c r="L962" s="431" t="s">
        <v>255</v>
      </c>
      <c r="M962" s="432" t="s">
        <v>363</v>
      </c>
    </row>
    <row r="963" spans="1:13" ht="409.5" x14ac:dyDescent="0.2">
      <c r="A963" s="431" t="s">
        <v>362</v>
      </c>
      <c r="B963" s="431">
        <v>1870454</v>
      </c>
      <c r="C963" s="431" t="s">
        <v>159</v>
      </c>
      <c r="D963" s="431" t="s">
        <v>173</v>
      </c>
      <c r="E963" s="431" t="s">
        <v>161</v>
      </c>
      <c r="F963" s="431" t="s">
        <v>317</v>
      </c>
      <c r="G963" s="431" t="s">
        <v>175</v>
      </c>
      <c r="H963" s="431"/>
      <c r="I963" s="431"/>
      <c r="J963" s="431"/>
      <c r="K963" s="431"/>
      <c r="L963" s="431" t="s">
        <v>255</v>
      </c>
      <c r="M963" s="432" t="s">
        <v>363</v>
      </c>
    </row>
    <row r="964" spans="1:13" ht="409.5" x14ac:dyDescent="0.2">
      <c r="A964" s="431" t="s">
        <v>362</v>
      </c>
      <c r="B964" s="431">
        <v>1870454</v>
      </c>
      <c r="C964" s="431" t="s">
        <v>159</v>
      </c>
      <c r="D964" s="431" t="s">
        <v>173</v>
      </c>
      <c r="E964" s="431" t="s">
        <v>161</v>
      </c>
      <c r="F964" s="431" t="s">
        <v>317</v>
      </c>
      <c r="G964" s="431" t="s">
        <v>175</v>
      </c>
      <c r="H964" s="431"/>
      <c r="I964" s="431"/>
      <c r="J964" s="431"/>
      <c r="K964" s="431"/>
      <c r="L964" s="431" t="s">
        <v>255</v>
      </c>
      <c r="M964" s="432" t="s">
        <v>363</v>
      </c>
    </row>
    <row r="965" spans="1:13" ht="409.5" x14ac:dyDescent="0.2">
      <c r="A965" s="431" t="s">
        <v>362</v>
      </c>
      <c r="B965" s="431">
        <v>1870454</v>
      </c>
      <c r="C965" s="431" t="s">
        <v>159</v>
      </c>
      <c r="D965" s="431" t="s">
        <v>173</v>
      </c>
      <c r="E965" s="431" t="s">
        <v>161</v>
      </c>
      <c r="F965" s="431" t="s">
        <v>317</v>
      </c>
      <c r="G965" s="431" t="s">
        <v>175</v>
      </c>
      <c r="H965" s="431"/>
      <c r="I965" s="431"/>
      <c r="J965" s="431"/>
      <c r="K965" s="431"/>
      <c r="L965" s="431" t="s">
        <v>255</v>
      </c>
      <c r="M965" s="432" t="s">
        <v>363</v>
      </c>
    </row>
    <row r="966" spans="1:13" ht="409.5" x14ac:dyDescent="0.2">
      <c r="A966" s="431" t="s">
        <v>362</v>
      </c>
      <c r="B966" s="431">
        <v>1870454</v>
      </c>
      <c r="C966" s="431" t="s">
        <v>159</v>
      </c>
      <c r="D966" s="431" t="s">
        <v>173</v>
      </c>
      <c r="E966" s="431" t="s">
        <v>161</v>
      </c>
      <c r="F966" s="431" t="s">
        <v>317</v>
      </c>
      <c r="G966" s="431" t="s">
        <v>175</v>
      </c>
      <c r="H966" s="431"/>
      <c r="I966" s="431"/>
      <c r="J966" s="431"/>
      <c r="K966" s="431"/>
      <c r="L966" s="431" t="s">
        <v>255</v>
      </c>
      <c r="M966" s="432" t="s">
        <v>363</v>
      </c>
    </row>
    <row r="967" spans="1:13" ht="409.5" x14ac:dyDescent="0.2">
      <c r="A967" s="431" t="s">
        <v>362</v>
      </c>
      <c r="B967" s="431">
        <v>1870454</v>
      </c>
      <c r="C967" s="431" t="s">
        <v>159</v>
      </c>
      <c r="D967" s="431" t="s">
        <v>173</v>
      </c>
      <c r="E967" s="431" t="s">
        <v>161</v>
      </c>
      <c r="F967" s="431" t="s">
        <v>317</v>
      </c>
      <c r="G967" s="431" t="s">
        <v>175</v>
      </c>
      <c r="H967" s="431"/>
      <c r="I967" s="431"/>
      <c r="J967" s="431"/>
      <c r="K967" s="431"/>
      <c r="L967" s="431" t="s">
        <v>255</v>
      </c>
      <c r="M967" s="432" t="s">
        <v>363</v>
      </c>
    </row>
    <row r="968" spans="1:13" ht="409.5" x14ac:dyDescent="0.2">
      <c r="A968" s="431" t="s">
        <v>362</v>
      </c>
      <c r="B968" s="431">
        <v>1870454</v>
      </c>
      <c r="C968" s="431" t="s">
        <v>159</v>
      </c>
      <c r="D968" s="431" t="s">
        <v>173</v>
      </c>
      <c r="E968" s="431" t="s">
        <v>161</v>
      </c>
      <c r="F968" s="431" t="s">
        <v>317</v>
      </c>
      <c r="G968" s="431" t="s">
        <v>175</v>
      </c>
      <c r="H968" s="431"/>
      <c r="I968" s="431"/>
      <c r="J968" s="431"/>
      <c r="K968" s="431"/>
      <c r="L968" s="431" t="s">
        <v>255</v>
      </c>
      <c r="M968" s="432" t="s">
        <v>363</v>
      </c>
    </row>
    <row r="969" spans="1:13" ht="409.5" x14ac:dyDescent="0.2">
      <c r="A969" s="431" t="s">
        <v>362</v>
      </c>
      <c r="B969" s="431">
        <v>1870454</v>
      </c>
      <c r="C969" s="431" t="s">
        <v>159</v>
      </c>
      <c r="D969" s="431" t="s">
        <v>173</v>
      </c>
      <c r="E969" s="431" t="s">
        <v>161</v>
      </c>
      <c r="F969" s="431" t="s">
        <v>317</v>
      </c>
      <c r="G969" s="431" t="s">
        <v>175</v>
      </c>
      <c r="H969" s="431"/>
      <c r="I969" s="431"/>
      <c r="J969" s="431"/>
      <c r="K969" s="431"/>
      <c r="L969" s="431" t="s">
        <v>255</v>
      </c>
      <c r="M969" s="432" t="s">
        <v>363</v>
      </c>
    </row>
    <row r="970" spans="1:13" ht="409.5" x14ac:dyDescent="0.2">
      <c r="A970" s="431" t="s">
        <v>362</v>
      </c>
      <c r="B970" s="431">
        <v>1870454</v>
      </c>
      <c r="C970" s="431" t="s">
        <v>159</v>
      </c>
      <c r="D970" s="431" t="s">
        <v>173</v>
      </c>
      <c r="E970" s="431" t="s">
        <v>161</v>
      </c>
      <c r="F970" s="431" t="s">
        <v>317</v>
      </c>
      <c r="G970" s="431" t="s">
        <v>175</v>
      </c>
      <c r="H970" s="431"/>
      <c r="I970" s="431"/>
      <c r="J970" s="431"/>
      <c r="K970" s="431"/>
      <c r="L970" s="431" t="s">
        <v>255</v>
      </c>
      <c r="M970" s="432" t="s">
        <v>363</v>
      </c>
    </row>
    <row r="971" spans="1:13" ht="409.5" x14ac:dyDescent="0.2">
      <c r="A971" s="431" t="s">
        <v>362</v>
      </c>
      <c r="B971" s="431">
        <v>1870454</v>
      </c>
      <c r="C971" s="431" t="s">
        <v>159</v>
      </c>
      <c r="D971" s="431" t="s">
        <v>173</v>
      </c>
      <c r="E971" s="431" t="s">
        <v>161</v>
      </c>
      <c r="F971" s="431" t="s">
        <v>317</v>
      </c>
      <c r="G971" s="431" t="s">
        <v>175</v>
      </c>
      <c r="H971" s="431"/>
      <c r="I971" s="431"/>
      <c r="J971" s="431"/>
      <c r="K971" s="431"/>
      <c r="L971" s="431" t="s">
        <v>255</v>
      </c>
      <c r="M971" s="432" t="s">
        <v>363</v>
      </c>
    </row>
    <row r="972" spans="1:13" ht="409.5" x14ac:dyDescent="0.2">
      <c r="A972" s="431" t="s">
        <v>362</v>
      </c>
      <c r="B972" s="431">
        <v>1870454</v>
      </c>
      <c r="C972" s="431" t="s">
        <v>159</v>
      </c>
      <c r="D972" s="431" t="s">
        <v>173</v>
      </c>
      <c r="E972" s="431" t="s">
        <v>161</v>
      </c>
      <c r="F972" s="431" t="s">
        <v>317</v>
      </c>
      <c r="G972" s="431" t="s">
        <v>175</v>
      </c>
      <c r="H972" s="431"/>
      <c r="I972" s="431"/>
      <c r="J972" s="431"/>
      <c r="K972" s="431"/>
      <c r="L972" s="431" t="s">
        <v>255</v>
      </c>
      <c r="M972" s="432" t="s">
        <v>363</v>
      </c>
    </row>
    <row r="973" spans="1:13" ht="409.5" x14ac:dyDescent="0.2">
      <c r="A973" s="431" t="s">
        <v>362</v>
      </c>
      <c r="B973" s="431">
        <v>1870454</v>
      </c>
      <c r="C973" s="431" t="s">
        <v>159</v>
      </c>
      <c r="D973" s="431" t="s">
        <v>173</v>
      </c>
      <c r="E973" s="431" t="s">
        <v>161</v>
      </c>
      <c r="F973" s="431" t="s">
        <v>317</v>
      </c>
      <c r="G973" s="431" t="s">
        <v>175</v>
      </c>
      <c r="H973" s="431"/>
      <c r="I973" s="431"/>
      <c r="J973" s="431"/>
      <c r="K973" s="431"/>
      <c r="L973" s="431" t="s">
        <v>255</v>
      </c>
      <c r="M973" s="432" t="s">
        <v>363</v>
      </c>
    </row>
    <row r="974" spans="1:13" ht="409.5" x14ac:dyDescent="0.2">
      <c r="A974" s="431" t="s">
        <v>362</v>
      </c>
      <c r="B974" s="431">
        <v>1870454</v>
      </c>
      <c r="C974" s="431" t="s">
        <v>159</v>
      </c>
      <c r="D974" s="431" t="s">
        <v>173</v>
      </c>
      <c r="E974" s="431" t="s">
        <v>161</v>
      </c>
      <c r="F974" s="431" t="s">
        <v>317</v>
      </c>
      <c r="G974" s="431" t="s">
        <v>175</v>
      </c>
      <c r="H974" s="431"/>
      <c r="I974" s="431"/>
      <c r="J974" s="431"/>
      <c r="K974" s="431"/>
      <c r="L974" s="431" t="s">
        <v>255</v>
      </c>
      <c r="M974" s="432" t="s">
        <v>363</v>
      </c>
    </row>
    <row r="975" spans="1:13" ht="409.5" x14ac:dyDescent="0.2">
      <c r="A975" s="431" t="s">
        <v>362</v>
      </c>
      <c r="B975" s="431">
        <v>1870454</v>
      </c>
      <c r="C975" s="431" t="s">
        <v>159</v>
      </c>
      <c r="D975" s="431" t="s">
        <v>173</v>
      </c>
      <c r="E975" s="431" t="s">
        <v>161</v>
      </c>
      <c r="F975" s="431" t="s">
        <v>317</v>
      </c>
      <c r="G975" s="431" t="s">
        <v>175</v>
      </c>
      <c r="H975" s="431"/>
      <c r="I975" s="431"/>
      <c r="J975" s="431"/>
      <c r="K975" s="431"/>
      <c r="L975" s="431" t="s">
        <v>255</v>
      </c>
      <c r="M975" s="432" t="s">
        <v>363</v>
      </c>
    </row>
    <row r="976" spans="1:13" ht="409.5" x14ac:dyDescent="0.2">
      <c r="A976" s="431" t="s">
        <v>362</v>
      </c>
      <c r="B976" s="431">
        <v>1870454</v>
      </c>
      <c r="C976" s="431" t="s">
        <v>159</v>
      </c>
      <c r="D976" s="431" t="s">
        <v>173</v>
      </c>
      <c r="E976" s="431" t="s">
        <v>161</v>
      </c>
      <c r="F976" s="431" t="s">
        <v>317</v>
      </c>
      <c r="G976" s="431" t="s">
        <v>175</v>
      </c>
      <c r="H976" s="431"/>
      <c r="I976" s="431"/>
      <c r="J976" s="431"/>
      <c r="K976" s="431"/>
      <c r="L976" s="431" t="s">
        <v>255</v>
      </c>
      <c r="M976" s="432" t="s">
        <v>363</v>
      </c>
    </row>
    <row r="977" spans="1:13" ht="409.5" x14ac:dyDescent="0.2">
      <c r="A977" s="431" t="s">
        <v>362</v>
      </c>
      <c r="B977" s="431">
        <v>1870454</v>
      </c>
      <c r="C977" s="431" t="s">
        <v>159</v>
      </c>
      <c r="D977" s="431" t="s">
        <v>173</v>
      </c>
      <c r="E977" s="431" t="s">
        <v>161</v>
      </c>
      <c r="F977" s="431" t="s">
        <v>317</v>
      </c>
      <c r="G977" s="431" t="s">
        <v>175</v>
      </c>
      <c r="H977" s="431"/>
      <c r="I977" s="431"/>
      <c r="J977" s="431"/>
      <c r="K977" s="431"/>
      <c r="L977" s="431" t="s">
        <v>255</v>
      </c>
      <c r="M977" s="432" t="s">
        <v>363</v>
      </c>
    </row>
    <row r="978" spans="1:13" ht="409.5" x14ac:dyDescent="0.2">
      <c r="A978" s="431" t="s">
        <v>362</v>
      </c>
      <c r="B978" s="431">
        <v>1870454</v>
      </c>
      <c r="C978" s="431" t="s">
        <v>159</v>
      </c>
      <c r="D978" s="431" t="s">
        <v>173</v>
      </c>
      <c r="E978" s="431" t="s">
        <v>161</v>
      </c>
      <c r="F978" s="431" t="s">
        <v>317</v>
      </c>
      <c r="G978" s="431" t="s">
        <v>175</v>
      </c>
      <c r="H978" s="431"/>
      <c r="I978" s="431"/>
      <c r="J978" s="431"/>
      <c r="K978" s="431"/>
      <c r="L978" s="431" t="s">
        <v>255</v>
      </c>
      <c r="M978" s="432" t="s">
        <v>363</v>
      </c>
    </row>
    <row r="979" spans="1:13" ht="409.5" x14ac:dyDescent="0.2">
      <c r="A979" s="431" t="s">
        <v>362</v>
      </c>
      <c r="B979" s="431">
        <v>1870454</v>
      </c>
      <c r="C979" s="431" t="s">
        <v>159</v>
      </c>
      <c r="D979" s="431" t="s">
        <v>173</v>
      </c>
      <c r="E979" s="431" t="s">
        <v>161</v>
      </c>
      <c r="F979" s="431" t="s">
        <v>317</v>
      </c>
      <c r="G979" s="431" t="s">
        <v>175</v>
      </c>
      <c r="H979" s="431"/>
      <c r="I979" s="431"/>
      <c r="J979" s="431"/>
      <c r="K979" s="431"/>
      <c r="L979" s="431" t="s">
        <v>255</v>
      </c>
      <c r="M979" s="432" t="s">
        <v>363</v>
      </c>
    </row>
    <row r="980" spans="1:13" ht="409.5" x14ac:dyDescent="0.2">
      <c r="A980" s="431" t="s">
        <v>362</v>
      </c>
      <c r="B980" s="431">
        <v>1870454</v>
      </c>
      <c r="C980" s="431" t="s">
        <v>159</v>
      </c>
      <c r="D980" s="431" t="s">
        <v>173</v>
      </c>
      <c r="E980" s="431" t="s">
        <v>161</v>
      </c>
      <c r="F980" s="431" t="s">
        <v>317</v>
      </c>
      <c r="G980" s="431" t="s">
        <v>175</v>
      </c>
      <c r="H980" s="431"/>
      <c r="I980" s="431"/>
      <c r="J980" s="431"/>
      <c r="K980" s="431"/>
      <c r="L980" s="431" t="s">
        <v>255</v>
      </c>
      <c r="M980" s="432" t="s">
        <v>363</v>
      </c>
    </row>
    <row r="981" spans="1:13" ht="409.5" x14ac:dyDescent="0.2">
      <c r="A981" s="431" t="s">
        <v>362</v>
      </c>
      <c r="B981" s="431">
        <v>1870454</v>
      </c>
      <c r="C981" s="431" t="s">
        <v>159</v>
      </c>
      <c r="D981" s="431" t="s">
        <v>173</v>
      </c>
      <c r="E981" s="431" t="s">
        <v>161</v>
      </c>
      <c r="F981" s="431" t="s">
        <v>317</v>
      </c>
      <c r="G981" s="431" t="s">
        <v>175</v>
      </c>
      <c r="H981" s="431"/>
      <c r="I981" s="431"/>
      <c r="J981" s="431"/>
      <c r="K981" s="431"/>
      <c r="L981" s="431" t="s">
        <v>255</v>
      </c>
      <c r="M981" s="432" t="s">
        <v>363</v>
      </c>
    </row>
    <row r="982" spans="1:13" ht="409.5" x14ac:dyDescent="0.2">
      <c r="A982" s="431" t="s">
        <v>362</v>
      </c>
      <c r="B982" s="431">
        <v>1870454</v>
      </c>
      <c r="C982" s="431" t="s">
        <v>159</v>
      </c>
      <c r="D982" s="431" t="s">
        <v>173</v>
      </c>
      <c r="E982" s="431" t="s">
        <v>161</v>
      </c>
      <c r="F982" s="431" t="s">
        <v>317</v>
      </c>
      <c r="G982" s="431" t="s">
        <v>175</v>
      </c>
      <c r="H982" s="431"/>
      <c r="I982" s="431"/>
      <c r="J982" s="431"/>
      <c r="K982" s="431"/>
      <c r="L982" s="431" t="s">
        <v>255</v>
      </c>
      <c r="M982" s="432" t="s">
        <v>363</v>
      </c>
    </row>
    <row r="983" spans="1:13" ht="409.5" x14ac:dyDescent="0.2">
      <c r="A983" s="431" t="s">
        <v>362</v>
      </c>
      <c r="B983" s="431">
        <v>1870454</v>
      </c>
      <c r="C983" s="431" t="s">
        <v>159</v>
      </c>
      <c r="D983" s="431" t="s">
        <v>173</v>
      </c>
      <c r="E983" s="431" t="s">
        <v>161</v>
      </c>
      <c r="F983" s="431" t="s">
        <v>317</v>
      </c>
      <c r="G983" s="431" t="s">
        <v>175</v>
      </c>
      <c r="H983" s="431"/>
      <c r="I983" s="431"/>
      <c r="J983" s="431"/>
      <c r="K983" s="431"/>
      <c r="L983" s="431" t="s">
        <v>255</v>
      </c>
      <c r="M983" s="432" t="s">
        <v>363</v>
      </c>
    </row>
    <row r="984" spans="1:13" ht="409.5" x14ac:dyDescent="0.2">
      <c r="A984" s="431" t="s">
        <v>362</v>
      </c>
      <c r="B984" s="431">
        <v>1870454</v>
      </c>
      <c r="C984" s="431" t="s">
        <v>159</v>
      </c>
      <c r="D984" s="431" t="s">
        <v>173</v>
      </c>
      <c r="E984" s="431" t="s">
        <v>161</v>
      </c>
      <c r="F984" s="431" t="s">
        <v>317</v>
      </c>
      <c r="G984" s="431" t="s">
        <v>175</v>
      </c>
      <c r="H984" s="431"/>
      <c r="I984" s="431"/>
      <c r="J984" s="431"/>
      <c r="K984" s="431"/>
      <c r="L984" s="431" t="s">
        <v>255</v>
      </c>
      <c r="M984" s="432" t="s">
        <v>363</v>
      </c>
    </row>
    <row r="985" spans="1:13" ht="409.5" x14ac:dyDescent="0.2">
      <c r="A985" s="431" t="s">
        <v>362</v>
      </c>
      <c r="B985" s="431">
        <v>1870454</v>
      </c>
      <c r="C985" s="431" t="s">
        <v>159</v>
      </c>
      <c r="D985" s="431" t="s">
        <v>173</v>
      </c>
      <c r="E985" s="431" t="s">
        <v>161</v>
      </c>
      <c r="F985" s="431" t="s">
        <v>317</v>
      </c>
      <c r="G985" s="431" t="s">
        <v>175</v>
      </c>
      <c r="H985" s="431"/>
      <c r="I985" s="431"/>
      <c r="J985" s="431"/>
      <c r="K985" s="431"/>
      <c r="L985" s="431" t="s">
        <v>255</v>
      </c>
      <c r="M985" s="432" t="s">
        <v>363</v>
      </c>
    </row>
    <row r="986" spans="1:13" ht="409.5" x14ac:dyDescent="0.2">
      <c r="A986" s="431" t="s">
        <v>362</v>
      </c>
      <c r="B986" s="431">
        <v>1870454</v>
      </c>
      <c r="C986" s="431" t="s">
        <v>159</v>
      </c>
      <c r="D986" s="431" t="s">
        <v>173</v>
      </c>
      <c r="E986" s="431" t="s">
        <v>161</v>
      </c>
      <c r="F986" s="431" t="s">
        <v>317</v>
      </c>
      <c r="G986" s="431" t="s">
        <v>175</v>
      </c>
      <c r="H986" s="431"/>
      <c r="I986" s="431"/>
      <c r="J986" s="431"/>
      <c r="K986" s="431"/>
      <c r="L986" s="431" t="s">
        <v>255</v>
      </c>
      <c r="M986" s="432" t="s">
        <v>363</v>
      </c>
    </row>
    <row r="987" spans="1:13" ht="409.5" x14ac:dyDescent="0.2">
      <c r="A987" s="431" t="s">
        <v>362</v>
      </c>
      <c r="B987" s="431">
        <v>1870454</v>
      </c>
      <c r="C987" s="431" t="s">
        <v>159</v>
      </c>
      <c r="D987" s="431" t="s">
        <v>173</v>
      </c>
      <c r="E987" s="431" t="s">
        <v>161</v>
      </c>
      <c r="F987" s="431" t="s">
        <v>317</v>
      </c>
      <c r="G987" s="431" t="s">
        <v>175</v>
      </c>
      <c r="H987" s="431"/>
      <c r="I987" s="431"/>
      <c r="J987" s="431"/>
      <c r="K987" s="431"/>
      <c r="L987" s="431" t="s">
        <v>255</v>
      </c>
      <c r="M987" s="432" t="s">
        <v>363</v>
      </c>
    </row>
    <row r="988" spans="1:13" ht="409.5" x14ac:dyDescent="0.2">
      <c r="A988" s="431" t="s">
        <v>362</v>
      </c>
      <c r="B988" s="431">
        <v>1870454</v>
      </c>
      <c r="C988" s="431" t="s">
        <v>159</v>
      </c>
      <c r="D988" s="431" t="s">
        <v>173</v>
      </c>
      <c r="E988" s="431" t="s">
        <v>161</v>
      </c>
      <c r="F988" s="431" t="s">
        <v>317</v>
      </c>
      <c r="G988" s="431" t="s">
        <v>175</v>
      </c>
      <c r="H988" s="431"/>
      <c r="I988" s="431"/>
      <c r="J988" s="431"/>
      <c r="K988" s="431"/>
      <c r="L988" s="431" t="s">
        <v>255</v>
      </c>
      <c r="M988" s="432" t="s">
        <v>363</v>
      </c>
    </row>
    <row r="989" spans="1:13" ht="409.5" x14ac:dyDescent="0.2">
      <c r="A989" s="431" t="s">
        <v>364</v>
      </c>
      <c r="B989" s="431">
        <v>1870455</v>
      </c>
      <c r="C989" s="431" t="s">
        <v>159</v>
      </c>
      <c r="D989" s="431" t="s">
        <v>173</v>
      </c>
      <c r="E989" s="431" t="s">
        <v>161</v>
      </c>
      <c r="F989" s="431" t="s">
        <v>351</v>
      </c>
      <c r="G989" s="431" t="s">
        <v>175</v>
      </c>
      <c r="H989" s="431"/>
      <c r="I989" s="431"/>
      <c r="J989" s="431"/>
      <c r="K989" s="431"/>
      <c r="L989" s="431" t="s">
        <v>163</v>
      </c>
      <c r="M989" s="432" t="s">
        <v>365</v>
      </c>
    </row>
    <row r="990" spans="1:13" ht="409.5" x14ac:dyDescent="0.2">
      <c r="A990" s="431" t="s">
        <v>364</v>
      </c>
      <c r="B990" s="431">
        <v>1870455</v>
      </c>
      <c r="C990" s="431" t="s">
        <v>159</v>
      </c>
      <c r="D990" s="431" t="s">
        <v>173</v>
      </c>
      <c r="E990" s="431" t="s">
        <v>161</v>
      </c>
      <c r="F990" s="431" t="s">
        <v>351</v>
      </c>
      <c r="G990" s="431" t="s">
        <v>175</v>
      </c>
      <c r="H990" s="431"/>
      <c r="I990" s="431"/>
      <c r="J990" s="431"/>
      <c r="K990" s="431"/>
      <c r="L990" s="431" t="s">
        <v>163</v>
      </c>
      <c r="M990" s="432" t="s">
        <v>365</v>
      </c>
    </row>
    <row r="991" spans="1:13" ht="409.5" x14ac:dyDescent="0.2">
      <c r="A991" s="431" t="s">
        <v>364</v>
      </c>
      <c r="B991" s="431">
        <v>1870455</v>
      </c>
      <c r="C991" s="431" t="s">
        <v>159</v>
      </c>
      <c r="D991" s="431" t="s">
        <v>173</v>
      </c>
      <c r="E991" s="431" t="s">
        <v>161</v>
      </c>
      <c r="F991" s="431" t="s">
        <v>351</v>
      </c>
      <c r="G991" s="431" t="s">
        <v>175</v>
      </c>
      <c r="H991" s="431"/>
      <c r="I991" s="431"/>
      <c r="J991" s="431"/>
      <c r="K991" s="431"/>
      <c r="L991" s="431" t="s">
        <v>163</v>
      </c>
      <c r="M991" s="432" t="s">
        <v>365</v>
      </c>
    </row>
    <row r="992" spans="1:13" ht="409.5" x14ac:dyDescent="0.2">
      <c r="A992" s="431" t="s">
        <v>364</v>
      </c>
      <c r="B992" s="431">
        <v>1870455</v>
      </c>
      <c r="C992" s="431" t="s">
        <v>159</v>
      </c>
      <c r="D992" s="431" t="s">
        <v>173</v>
      </c>
      <c r="E992" s="431" t="s">
        <v>161</v>
      </c>
      <c r="F992" s="431" t="s">
        <v>351</v>
      </c>
      <c r="G992" s="431" t="s">
        <v>175</v>
      </c>
      <c r="H992" s="431"/>
      <c r="I992" s="431"/>
      <c r="J992" s="431"/>
      <c r="K992" s="431"/>
      <c r="L992" s="431" t="s">
        <v>163</v>
      </c>
      <c r="M992" s="432" t="s">
        <v>365</v>
      </c>
    </row>
    <row r="993" spans="1:13" ht="409.5" x14ac:dyDescent="0.2">
      <c r="A993" s="431" t="s">
        <v>364</v>
      </c>
      <c r="B993" s="431">
        <v>1870455</v>
      </c>
      <c r="C993" s="431" t="s">
        <v>159</v>
      </c>
      <c r="D993" s="431" t="s">
        <v>173</v>
      </c>
      <c r="E993" s="431" t="s">
        <v>161</v>
      </c>
      <c r="F993" s="431" t="s">
        <v>354</v>
      </c>
      <c r="G993" s="431" t="s">
        <v>175</v>
      </c>
      <c r="H993" s="431"/>
      <c r="I993" s="431"/>
      <c r="J993" s="431"/>
      <c r="K993" s="431"/>
      <c r="L993" s="431" t="s">
        <v>163</v>
      </c>
      <c r="M993" s="432" t="s">
        <v>365</v>
      </c>
    </row>
    <row r="994" spans="1:13" ht="409.5" x14ac:dyDescent="0.2">
      <c r="A994" s="431" t="s">
        <v>364</v>
      </c>
      <c r="B994" s="431">
        <v>1870455</v>
      </c>
      <c r="C994" s="431" t="s">
        <v>159</v>
      </c>
      <c r="D994" s="431" t="s">
        <v>173</v>
      </c>
      <c r="E994" s="431" t="s">
        <v>161</v>
      </c>
      <c r="F994" s="431" t="s">
        <v>354</v>
      </c>
      <c r="G994" s="431" t="s">
        <v>175</v>
      </c>
      <c r="H994" s="431"/>
      <c r="I994" s="431"/>
      <c r="J994" s="431"/>
      <c r="K994" s="431"/>
      <c r="L994" s="431" t="s">
        <v>163</v>
      </c>
      <c r="M994" s="432" t="s">
        <v>365</v>
      </c>
    </row>
    <row r="995" spans="1:13" ht="409.5" x14ac:dyDescent="0.2">
      <c r="A995" s="431" t="s">
        <v>366</v>
      </c>
      <c r="B995" s="431">
        <v>1870456</v>
      </c>
      <c r="C995" s="431" t="s">
        <v>159</v>
      </c>
      <c r="D995" s="431" t="s">
        <v>173</v>
      </c>
      <c r="E995" s="431" t="s">
        <v>161</v>
      </c>
      <c r="F995" s="431" t="s">
        <v>323</v>
      </c>
      <c r="G995" s="431" t="s">
        <v>175</v>
      </c>
      <c r="H995" s="431"/>
      <c r="I995" s="431"/>
      <c r="J995" s="431"/>
      <c r="K995" s="431"/>
      <c r="L995" s="431" t="s">
        <v>314</v>
      </c>
      <c r="M995" s="432" t="s">
        <v>367</v>
      </c>
    </row>
    <row r="996" spans="1:13" ht="409.5" x14ac:dyDescent="0.2">
      <c r="A996" s="431" t="s">
        <v>366</v>
      </c>
      <c r="B996" s="431">
        <v>1870456</v>
      </c>
      <c r="C996" s="431" t="s">
        <v>159</v>
      </c>
      <c r="D996" s="431" t="s">
        <v>173</v>
      </c>
      <c r="E996" s="431" t="s">
        <v>161</v>
      </c>
      <c r="F996" s="431" t="s">
        <v>323</v>
      </c>
      <c r="G996" s="431" t="s">
        <v>175</v>
      </c>
      <c r="H996" s="431"/>
      <c r="I996" s="431"/>
      <c r="J996" s="431"/>
      <c r="K996" s="431"/>
      <c r="L996" s="431" t="s">
        <v>314</v>
      </c>
      <c r="M996" s="432" t="s">
        <v>367</v>
      </c>
    </row>
    <row r="997" spans="1:13" ht="409.5" x14ac:dyDescent="0.2">
      <c r="A997" s="431" t="s">
        <v>366</v>
      </c>
      <c r="B997" s="431">
        <v>1870456</v>
      </c>
      <c r="C997" s="431" t="s">
        <v>159</v>
      </c>
      <c r="D997" s="431" t="s">
        <v>173</v>
      </c>
      <c r="E997" s="431" t="s">
        <v>161</v>
      </c>
      <c r="F997" s="431" t="s">
        <v>323</v>
      </c>
      <c r="G997" s="431" t="s">
        <v>175</v>
      </c>
      <c r="H997" s="431"/>
      <c r="I997" s="431"/>
      <c r="J997" s="431"/>
      <c r="K997" s="431"/>
      <c r="L997" s="431" t="s">
        <v>314</v>
      </c>
      <c r="M997" s="432" t="s">
        <v>367</v>
      </c>
    </row>
    <row r="998" spans="1:13" ht="409.5" x14ac:dyDescent="0.2">
      <c r="A998" s="431" t="s">
        <v>366</v>
      </c>
      <c r="B998" s="431">
        <v>1870456</v>
      </c>
      <c r="C998" s="431" t="s">
        <v>159</v>
      </c>
      <c r="D998" s="431" t="s">
        <v>173</v>
      </c>
      <c r="E998" s="431" t="s">
        <v>161</v>
      </c>
      <c r="F998" s="431" t="s">
        <v>323</v>
      </c>
      <c r="G998" s="431" t="s">
        <v>175</v>
      </c>
      <c r="H998" s="431"/>
      <c r="I998" s="431"/>
      <c r="J998" s="431"/>
      <c r="K998" s="431"/>
      <c r="L998" s="431" t="s">
        <v>314</v>
      </c>
      <c r="M998" s="432" t="s">
        <v>367</v>
      </c>
    </row>
    <row r="999" spans="1:13" ht="409.5" x14ac:dyDescent="0.2">
      <c r="A999" s="431" t="s">
        <v>366</v>
      </c>
      <c r="B999" s="431">
        <v>1870456</v>
      </c>
      <c r="C999" s="431" t="s">
        <v>159</v>
      </c>
      <c r="D999" s="431" t="s">
        <v>173</v>
      </c>
      <c r="E999" s="431" t="s">
        <v>161</v>
      </c>
      <c r="F999" s="431" t="s">
        <v>323</v>
      </c>
      <c r="G999" s="431" t="s">
        <v>175</v>
      </c>
      <c r="H999" s="431"/>
      <c r="I999" s="431"/>
      <c r="J999" s="431"/>
      <c r="K999" s="431"/>
      <c r="L999" s="431" t="s">
        <v>314</v>
      </c>
      <c r="M999" s="432" t="s">
        <v>367</v>
      </c>
    </row>
    <row r="1000" spans="1:13" ht="409.5" x14ac:dyDescent="0.2">
      <c r="A1000" s="431" t="s">
        <v>366</v>
      </c>
      <c r="B1000" s="431">
        <v>1870456</v>
      </c>
      <c r="C1000" s="431" t="s">
        <v>159</v>
      </c>
      <c r="D1000" s="431" t="s">
        <v>173</v>
      </c>
      <c r="E1000" s="431" t="s">
        <v>161</v>
      </c>
      <c r="F1000" s="431" t="s">
        <v>323</v>
      </c>
      <c r="G1000" s="431" t="s">
        <v>175</v>
      </c>
      <c r="H1000" s="431"/>
      <c r="I1000" s="431"/>
      <c r="J1000" s="431"/>
      <c r="K1000" s="431"/>
      <c r="L1000" s="431" t="s">
        <v>314</v>
      </c>
      <c r="M1000" s="432" t="s">
        <v>367</v>
      </c>
    </row>
    <row r="1001" spans="1:13" ht="409.5" x14ac:dyDescent="0.2">
      <c r="A1001" s="431" t="s">
        <v>366</v>
      </c>
      <c r="B1001" s="431">
        <v>1870456</v>
      </c>
      <c r="C1001" s="431" t="s">
        <v>159</v>
      </c>
      <c r="D1001" s="431" t="s">
        <v>173</v>
      </c>
      <c r="E1001" s="431" t="s">
        <v>161</v>
      </c>
      <c r="F1001" s="431" t="s">
        <v>323</v>
      </c>
      <c r="G1001" s="431" t="s">
        <v>175</v>
      </c>
      <c r="H1001" s="431"/>
      <c r="I1001" s="431"/>
      <c r="J1001" s="431"/>
      <c r="K1001" s="431"/>
      <c r="L1001" s="431" t="s">
        <v>314</v>
      </c>
      <c r="M1001" s="432" t="s">
        <v>367</v>
      </c>
    </row>
    <row r="1002" spans="1:13" ht="409.5" x14ac:dyDescent="0.2">
      <c r="A1002" s="431" t="s">
        <v>366</v>
      </c>
      <c r="B1002" s="431">
        <v>1870456</v>
      </c>
      <c r="C1002" s="431" t="s">
        <v>159</v>
      </c>
      <c r="D1002" s="431" t="s">
        <v>173</v>
      </c>
      <c r="E1002" s="431" t="s">
        <v>161</v>
      </c>
      <c r="F1002" s="431" t="s">
        <v>323</v>
      </c>
      <c r="G1002" s="431" t="s">
        <v>175</v>
      </c>
      <c r="H1002" s="431"/>
      <c r="I1002" s="431"/>
      <c r="J1002" s="431"/>
      <c r="K1002" s="431"/>
      <c r="L1002" s="431" t="s">
        <v>314</v>
      </c>
      <c r="M1002" s="432" t="s">
        <v>367</v>
      </c>
    </row>
    <row r="1003" spans="1:13" ht="409.5" x14ac:dyDescent="0.2">
      <c r="A1003" s="431" t="s">
        <v>366</v>
      </c>
      <c r="B1003" s="431">
        <v>1870456</v>
      </c>
      <c r="C1003" s="431" t="s">
        <v>159</v>
      </c>
      <c r="D1003" s="431" t="s">
        <v>173</v>
      </c>
      <c r="E1003" s="431" t="s">
        <v>161</v>
      </c>
      <c r="F1003" s="431" t="s">
        <v>323</v>
      </c>
      <c r="G1003" s="431" t="s">
        <v>175</v>
      </c>
      <c r="H1003" s="431"/>
      <c r="I1003" s="431"/>
      <c r="J1003" s="431"/>
      <c r="K1003" s="431"/>
      <c r="L1003" s="431" t="s">
        <v>314</v>
      </c>
      <c r="M1003" s="432" t="s">
        <v>367</v>
      </c>
    </row>
    <row r="1004" spans="1:13" ht="409.5" x14ac:dyDescent="0.2">
      <c r="A1004" s="431" t="s">
        <v>366</v>
      </c>
      <c r="B1004" s="431">
        <v>1870456</v>
      </c>
      <c r="C1004" s="431" t="s">
        <v>159</v>
      </c>
      <c r="D1004" s="431" t="s">
        <v>173</v>
      </c>
      <c r="E1004" s="431" t="s">
        <v>161</v>
      </c>
      <c r="F1004" s="431" t="s">
        <v>323</v>
      </c>
      <c r="G1004" s="431" t="s">
        <v>175</v>
      </c>
      <c r="H1004" s="431"/>
      <c r="I1004" s="431"/>
      <c r="J1004" s="431"/>
      <c r="K1004" s="431"/>
      <c r="L1004" s="431" t="s">
        <v>314</v>
      </c>
      <c r="M1004" s="432" t="s">
        <v>367</v>
      </c>
    </row>
    <row r="1005" spans="1:13" ht="409.5" x14ac:dyDescent="0.2">
      <c r="A1005" s="431" t="s">
        <v>366</v>
      </c>
      <c r="B1005" s="431">
        <v>1870456</v>
      </c>
      <c r="C1005" s="431" t="s">
        <v>159</v>
      </c>
      <c r="D1005" s="431" t="s">
        <v>173</v>
      </c>
      <c r="E1005" s="431" t="s">
        <v>161</v>
      </c>
      <c r="F1005" s="431" t="s">
        <v>323</v>
      </c>
      <c r="G1005" s="431" t="s">
        <v>175</v>
      </c>
      <c r="H1005" s="431"/>
      <c r="I1005" s="431"/>
      <c r="J1005" s="431"/>
      <c r="K1005" s="431"/>
      <c r="L1005" s="431" t="s">
        <v>314</v>
      </c>
      <c r="M1005" s="432" t="s">
        <v>367</v>
      </c>
    </row>
    <row r="1006" spans="1:13" ht="409.5" x14ac:dyDescent="0.2">
      <c r="A1006" s="431" t="s">
        <v>366</v>
      </c>
      <c r="B1006" s="431">
        <v>1870456</v>
      </c>
      <c r="C1006" s="431" t="s">
        <v>159</v>
      </c>
      <c r="D1006" s="431" t="s">
        <v>173</v>
      </c>
      <c r="E1006" s="431" t="s">
        <v>161</v>
      </c>
      <c r="F1006" s="431" t="s">
        <v>323</v>
      </c>
      <c r="G1006" s="431" t="s">
        <v>175</v>
      </c>
      <c r="H1006" s="431"/>
      <c r="I1006" s="431"/>
      <c r="J1006" s="431"/>
      <c r="K1006" s="431"/>
      <c r="L1006" s="431" t="s">
        <v>314</v>
      </c>
      <c r="M1006" s="432" t="s">
        <v>367</v>
      </c>
    </row>
    <row r="1007" spans="1:13" ht="409.5" x14ac:dyDescent="0.2">
      <c r="A1007" s="431" t="s">
        <v>366</v>
      </c>
      <c r="B1007" s="431">
        <v>1870456</v>
      </c>
      <c r="C1007" s="431" t="s">
        <v>159</v>
      </c>
      <c r="D1007" s="431" t="s">
        <v>173</v>
      </c>
      <c r="E1007" s="431" t="s">
        <v>161</v>
      </c>
      <c r="F1007" s="431" t="s">
        <v>323</v>
      </c>
      <c r="G1007" s="431" t="s">
        <v>175</v>
      </c>
      <c r="H1007" s="431"/>
      <c r="I1007" s="431"/>
      <c r="J1007" s="431"/>
      <c r="K1007" s="431"/>
      <c r="L1007" s="431" t="s">
        <v>314</v>
      </c>
      <c r="M1007" s="432" t="s">
        <v>367</v>
      </c>
    </row>
    <row r="1008" spans="1:13" ht="409.5" x14ac:dyDescent="0.2">
      <c r="A1008" s="431" t="s">
        <v>366</v>
      </c>
      <c r="B1008" s="431">
        <v>1870456</v>
      </c>
      <c r="C1008" s="431" t="s">
        <v>159</v>
      </c>
      <c r="D1008" s="431" t="s">
        <v>173</v>
      </c>
      <c r="E1008" s="431" t="s">
        <v>161</v>
      </c>
      <c r="F1008" s="431" t="s">
        <v>323</v>
      </c>
      <c r="G1008" s="431" t="s">
        <v>175</v>
      </c>
      <c r="H1008" s="431"/>
      <c r="I1008" s="431"/>
      <c r="J1008" s="431"/>
      <c r="K1008" s="431"/>
      <c r="L1008" s="431" t="s">
        <v>314</v>
      </c>
      <c r="M1008" s="432" t="s">
        <v>367</v>
      </c>
    </row>
    <row r="1009" spans="1:13" ht="409.5" x14ac:dyDescent="0.2">
      <c r="A1009" s="431" t="s">
        <v>366</v>
      </c>
      <c r="B1009" s="431">
        <v>1870456</v>
      </c>
      <c r="C1009" s="431" t="s">
        <v>159</v>
      </c>
      <c r="D1009" s="431" t="s">
        <v>173</v>
      </c>
      <c r="E1009" s="431" t="s">
        <v>161</v>
      </c>
      <c r="F1009" s="431" t="s">
        <v>323</v>
      </c>
      <c r="G1009" s="431" t="s">
        <v>175</v>
      </c>
      <c r="H1009" s="431"/>
      <c r="I1009" s="431"/>
      <c r="J1009" s="431"/>
      <c r="K1009" s="431"/>
      <c r="L1009" s="431" t="s">
        <v>314</v>
      </c>
      <c r="M1009" s="432" t="s">
        <v>367</v>
      </c>
    </row>
    <row r="1010" spans="1:13" ht="409.5" x14ac:dyDescent="0.2">
      <c r="A1010" s="431" t="s">
        <v>366</v>
      </c>
      <c r="B1010" s="431">
        <v>1870456</v>
      </c>
      <c r="C1010" s="431" t="s">
        <v>159</v>
      </c>
      <c r="D1010" s="431" t="s">
        <v>173</v>
      </c>
      <c r="E1010" s="431" t="s">
        <v>161</v>
      </c>
      <c r="F1010" s="431" t="s">
        <v>323</v>
      </c>
      <c r="G1010" s="431" t="s">
        <v>175</v>
      </c>
      <c r="H1010" s="431"/>
      <c r="I1010" s="431"/>
      <c r="J1010" s="431"/>
      <c r="K1010" s="431"/>
      <c r="L1010" s="431" t="s">
        <v>314</v>
      </c>
      <c r="M1010" s="432" t="s">
        <v>367</v>
      </c>
    </row>
    <row r="1011" spans="1:13" ht="409.5" x14ac:dyDescent="0.2">
      <c r="A1011" s="431" t="s">
        <v>366</v>
      </c>
      <c r="B1011" s="431">
        <v>1870456</v>
      </c>
      <c r="C1011" s="431" t="s">
        <v>159</v>
      </c>
      <c r="D1011" s="431" t="s">
        <v>173</v>
      </c>
      <c r="E1011" s="431" t="s">
        <v>161</v>
      </c>
      <c r="F1011" s="431" t="s">
        <v>323</v>
      </c>
      <c r="G1011" s="431" t="s">
        <v>175</v>
      </c>
      <c r="H1011" s="431"/>
      <c r="I1011" s="431"/>
      <c r="J1011" s="431"/>
      <c r="K1011" s="431"/>
      <c r="L1011" s="431" t="s">
        <v>314</v>
      </c>
      <c r="M1011" s="432" t="s">
        <v>367</v>
      </c>
    </row>
    <row r="1012" spans="1:13" ht="409.5" x14ac:dyDescent="0.2">
      <c r="A1012" s="431" t="s">
        <v>366</v>
      </c>
      <c r="B1012" s="431">
        <v>1870456</v>
      </c>
      <c r="C1012" s="431" t="s">
        <v>159</v>
      </c>
      <c r="D1012" s="431" t="s">
        <v>173</v>
      </c>
      <c r="E1012" s="431" t="s">
        <v>161</v>
      </c>
      <c r="F1012" s="431" t="s">
        <v>323</v>
      </c>
      <c r="G1012" s="431" t="s">
        <v>175</v>
      </c>
      <c r="H1012" s="431"/>
      <c r="I1012" s="431"/>
      <c r="J1012" s="431"/>
      <c r="K1012" s="431"/>
      <c r="L1012" s="431" t="s">
        <v>314</v>
      </c>
      <c r="M1012" s="432" t="s">
        <v>367</v>
      </c>
    </row>
    <row r="1013" spans="1:13" ht="409.5" x14ac:dyDescent="0.2">
      <c r="A1013" s="431" t="s">
        <v>366</v>
      </c>
      <c r="B1013" s="431">
        <v>1870456</v>
      </c>
      <c r="C1013" s="431" t="s">
        <v>159</v>
      </c>
      <c r="D1013" s="431" t="s">
        <v>173</v>
      </c>
      <c r="E1013" s="431" t="s">
        <v>161</v>
      </c>
      <c r="F1013" s="431" t="s">
        <v>323</v>
      </c>
      <c r="G1013" s="431" t="s">
        <v>175</v>
      </c>
      <c r="H1013" s="431"/>
      <c r="I1013" s="431"/>
      <c r="J1013" s="431"/>
      <c r="K1013" s="431"/>
      <c r="L1013" s="431" t="s">
        <v>314</v>
      </c>
      <c r="M1013" s="432" t="s">
        <v>367</v>
      </c>
    </row>
    <row r="1014" spans="1:13" ht="409.5" x14ac:dyDescent="0.2">
      <c r="A1014" s="431" t="s">
        <v>366</v>
      </c>
      <c r="B1014" s="431">
        <v>1870456</v>
      </c>
      <c r="C1014" s="431" t="s">
        <v>159</v>
      </c>
      <c r="D1014" s="431" t="s">
        <v>173</v>
      </c>
      <c r="E1014" s="431" t="s">
        <v>161</v>
      </c>
      <c r="F1014" s="431" t="s">
        <v>323</v>
      </c>
      <c r="G1014" s="431" t="s">
        <v>175</v>
      </c>
      <c r="H1014" s="431"/>
      <c r="I1014" s="431"/>
      <c r="J1014" s="431"/>
      <c r="K1014" s="431"/>
      <c r="L1014" s="431" t="s">
        <v>314</v>
      </c>
      <c r="M1014" s="432" t="s">
        <v>367</v>
      </c>
    </row>
    <row r="1015" spans="1:13" ht="409.5" x14ac:dyDescent="0.2">
      <c r="A1015" s="431" t="s">
        <v>366</v>
      </c>
      <c r="B1015" s="431">
        <v>1870456</v>
      </c>
      <c r="C1015" s="431" t="s">
        <v>159</v>
      </c>
      <c r="D1015" s="431" t="s">
        <v>173</v>
      </c>
      <c r="E1015" s="431" t="s">
        <v>161</v>
      </c>
      <c r="F1015" s="431" t="s">
        <v>323</v>
      </c>
      <c r="G1015" s="431" t="s">
        <v>175</v>
      </c>
      <c r="H1015" s="431"/>
      <c r="I1015" s="431"/>
      <c r="J1015" s="431"/>
      <c r="K1015" s="431"/>
      <c r="L1015" s="431" t="s">
        <v>314</v>
      </c>
      <c r="M1015" s="432" t="s">
        <v>367</v>
      </c>
    </row>
    <row r="1016" spans="1:13" ht="409.5" x14ac:dyDescent="0.2">
      <c r="A1016" s="431" t="s">
        <v>366</v>
      </c>
      <c r="B1016" s="431">
        <v>1870456</v>
      </c>
      <c r="C1016" s="431" t="s">
        <v>159</v>
      </c>
      <c r="D1016" s="431" t="s">
        <v>173</v>
      </c>
      <c r="E1016" s="431" t="s">
        <v>161</v>
      </c>
      <c r="F1016" s="431" t="s">
        <v>323</v>
      </c>
      <c r="G1016" s="431" t="s">
        <v>175</v>
      </c>
      <c r="H1016" s="431"/>
      <c r="I1016" s="431"/>
      <c r="J1016" s="431"/>
      <c r="K1016" s="431"/>
      <c r="L1016" s="431" t="s">
        <v>314</v>
      </c>
      <c r="M1016" s="432" t="s">
        <v>367</v>
      </c>
    </row>
    <row r="1017" spans="1:13" ht="409.5" x14ac:dyDescent="0.2">
      <c r="A1017" s="431" t="s">
        <v>366</v>
      </c>
      <c r="B1017" s="431">
        <v>1870456</v>
      </c>
      <c r="C1017" s="431" t="s">
        <v>159</v>
      </c>
      <c r="D1017" s="431" t="s">
        <v>173</v>
      </c>
      <c r="E1017" s="431" t="s">
        <v>161</v>
      </c>
      <c r="F1017" s="431" t="s">
        <v>323</v>
      </c>
      <c r="G1017" s="431" t="s">
        <v>175</v>
      </c>
      <c r="H1017" s="431"/>
      <c r="I1017" s="431"/>
      <c r="J1017" s="431"/>
      <c r="K1017" s="431"/>
      <c r="L1017" s="431" t="s">
        <v>314</v>
      </c>
      <c r="M1017" s="432" t="s">
        <v>367</v>
      </c>
    </row>
    <row r="1018" spans="1:13" ht="409.5" x14ac:dyDescent="0.2">
      <c r="A1018" s="431" t="s">
        <v>366</v>
      </c>
      <c r="B1018" s="431">
        <v>1870456</v>
      </c>
      <c r="C1018" s="431" t="s">
        <v>159</v>
      </c>
      <c r="D1018" s="431" t="s">
        <v>173</v>
      </c>
      <c r="E1018" s="431" t="s">
        <v>161</v>
      </c>
      <c r="F1018" s="431" t="s">
        <v>323</v>
      </c>
      <c r="G1018" s="431" t="s">
        <v>175</v>
      </c>
      <c r="H1018" s="431"/>
      <c r="I1018" s="431"/>
      <c r="J1018" s="431"/>
      <c r="K1018" s="431"/>
      <c r="L1018" s="431" t="s">
        <v>314</v>
      </c>
      <c r="M1018" s="432" t="s">
        <v>367</v>
      </c>
    </row>
    <row r="1019" spans="1:13" ht="409.5" x14ac:dyDescent="0.2">
      <c r="A1019" s="431" t="s">
        <v>366</v>
      </c>
      <c r="B1019" s="431">
        <v>1870456</v>
      </c>
      <c r="C1019" s="431" t="s">
        <v>159</v>
      </c>
      <c r="D1019" s="431" t="s">
        <v>173</v>
      </c>
      <c r="E1019" s="431" t="s">
        <v>161</v>
      </c>
      <c r="F1019" s="431" t="s">
        <v>323</v>
      </c>
      <c r="G1019" s="431" t="s">
        <v>175</v>
      </c>
      <c r="H1019" s="431"/>
      <c r="I1019" s="431"/>
      <c r="J1019" s="431"/>
      <c r="K1019" s="431"/>
      <c r="L1019" s="431" t="s">
        <v>314</v>
      </c>
      <c r="M1019" s="432" t="s">
        <v>367</v>
      </c>
    </row>
    <row r="1020" spans="1:13" ht="409.5" x14ac:dyDescent="0.2">
      <c r="A1020" s="431" t="s">
        <v>366</v>
      </c>
      <c r="B1020" s="431">
        <v>1870456</v>
      </c>
      <c r="C1020" s="431" t="s">
        <v>159</v>
      </c>
      <c r="D1020" s="431" t="s">
        <v>173</v>
      </c>
      <c r="E1020" s="431" t="s">
        <v>161</v>
      </c>
      <c r="F1020" s="431" t="s">
        <v>323</v>
      </c>
      <c r="G1020" s="431" t="s">
        <v>175</v>
      </c>
      <c r="H1020" s="431"/>
      <c r="I1020" s="431"/>
      <c r="J1020" s="431"/>
      <c r="K1020" s="431"/>
      <c r="L1020" s="431" t="s">
        <v>314</v>
      </c>
      <c r="M1020" s="432" t="s">
        <v>367</v>
      </c>
    </row>
    <row r="1021" spans="1:13" ht="409.5" x14ac:dyDescent="0.2">
      <c r="A1021" s="431" t="s">
        <v>366</v>
      </c>
      <c r="B1021" s="431">
        <v>1870456</v>
      </c>
      <c r="C1021" s="431" t="s">
        <v>159</v>
      </c>
      <c r="D1021" s="431" t="s">
        <v>173</v>
      </c>
      <c r="E1021" s="431" t="s">
        <v>161</v>
      </c>
      <c r="F1021" s="431" t="s">
        <v>323</v>
      </c>
      <c r="G1021" s="431" t="s">
        <v>175</v>
      </c>
      <c r="H1021" s="431"/>
      <c r="I1021" s="431"/>
      <c r="J1021" s="431"/>
      <c r="K1021" s="431"/>
      <c r="L1021" s="431" t="s">
        <v>314</v>
      </c>
      <c r="M1021" s="432" t="s">
        <v>367</v>
      </c>
    </row>
    <row r="1022" spans="1:13" ht="409.5" x14ac:dyDescent="0.2">
      <c r="A1022" s="431" t="s">
        <v>366</v>
      </c>
      <c r="B1022" s="431">
        <v>1870456</v>
      </c>
      <c r="C1022" s="431" t="s">
        <v>159</v>
      </c>
      <c r="D1022" s="431" t="s">
        <v>173</v>
      </c>
      <c r="E1022" s="431" t="s">
        <v>161</v>
      </c>
      <c r="F1022" s="431" t="s">
        <v>323</v>
      </c>
      <c r="G1022" s="431" t="s">
        <v>175</v>
      </c>
      <c r="H1022" s="431"/>
      <c r="I1022" s="431"/>
      <c r="J1022" s="431"/>
      <c r="K1022" s="431"/>
      <c r="L1022" s="431" t="s">
        <v>314</v>
      </c>
      <c r="M1022" s="432" t="s">
        <v>367</v>
      </c>
    </row>
    <row r="1023" spans="1:13" ht="409.5" x14ac:dyDescent="0.2">
      <c r="A1023" s="431" t="s">
        <v>366</v>
      </c>
      <c r="B1023" s="431">
        <v>1870456</v>
      </c>
      <c r="C1023" s="431" t="s">
        <v>159</v>
      </c>
      <c r="D1023" s="431" t="s">
        <v>173</v>
      </c>
      <c r="E1023" s="431" t="s">
        <v>161</v>
      </c>
      <c r="F1023" s="431" t="s">
        <v>323</v>
      </c>
      <c r="G1023" s="431" t="s">
        <v>175</v>
      </c>
      <c r="H1023" s="431"/>
      <c r="I1023" s="431"/>
      <c r="J1023" s="431"/>
      <c r="K1023" s="431"/>
      <c r="L1023" s="431" t="s">
        <v>314</v>
      </c>
      <c r="M1023" s="432" t="s">
        <v>367</v>
      </c>
    </row>
    <row r="1024" spans="1:13" ht="409.5" x14ac:dyDescent="0.2">
      <c r="A1024" s="431" t="s">
        <v>366</v>
      </c>
      <c r="B1024" s="431">
        <v>1870456</v>
      </c>
      <c r="C1024" s="431" t="s">
        <v>159</v>
      </c>
      <c r="D1024" s="431" t="s">
        <v>173</v>
      </c>
      <c r="E1024" s="431" t="s">
        <v>161</v>
      </c>
      <c r="F1024" s="431" t="s">
        <v>323</v>
      </c>
      <c r="G1024" s="431" t="s">
        <v>175</v>
      </c>
      <c r="H1024" s="431"/>
      <c r="I1024" s="431"/>
      <c r="J1024" s="431"/>
      <c r="K1024" s="431"/>
      <c r="L1024" s="431" t="s">
        <v>314</v>
      </c>
      <c r="M1024" s="432" t="s">
        <v>367</v>
      </c>
    </row>
    <row r="1025" spans="1:13" ht="409.5" x14ac:dyDescent="0.2">
      <c r="A1025" s="431" t="s">
        <v>366</v>
      </c>
      <c r="B1025" s="431">
        <v>1870456</v>
      </c>
      <c r="C1025" s="431" t="s">
        <v>159</v>
      </c>
      <c r="D1025" s="431" t="s">
        <v>173</v>
      </c>
      <c r="E1025" s="431" t="s">
        <v>161</v>
      </c>
      <c r="F1025" s="431" t="s">
        <v>323</v>
      </c>
      <c r="G1025" s="431" t="s">
        <v>175</v>
      </c>
      <c r="H1025" s="431"/>
      <c r="I1025" s="431"/>
      <c r="J1025" s="431"/>
      <c r="K1025" s="431"/>
      <c r="L1025" s="431" t="s">
        <v>314</v>
      </c>
      <c r="M1025" s="432" t="s">
        <v>367</v>
      </c>
    </row>
    <row r="1026" spans="1:13" ht="409.5" x14ac:dyDescent="0.2">
      <c r="A1026" s="431" t="s">
        <v>366</v>
      </c>
      <c r="B1026" s="431">
        <v>1870456</v>
      </c>
      <c r="C1026" s="431" t="s">
        <v>159</v>
      </c>
      <c r="D1026" s="431" t="s">
        <v>173</v>
      </c>
      <c r="E1026" s="431" t="s">
        <v>161</v>
      </c>
      <c r="F1026" s="431" t="s">
        <v>323</v>
      </c>
      <c r="G1026" s="431" t="s">
        <v>175</v>
      </c>
      <c r="H1026" s="431"/>
      <c r="I1026" s="431"/>
      <c r="J1026" s="431"/>
      <c r="K1026" s="431"/>
      <c r="L1026" s="431" t="s">
        <v>314</v>
      </c>
      <c r="M1026" s="432" t="s">
        <v>367</v>
      </c>
    </row>
    <row r="1027" spans="1:13" ht="409.5" x14ac:dyDescent="0.2">
      <c r="A1027" s="431" t="s">
        <v>366</v>
      </c>
      <c r="B1027" s="431">
        <v>1870456</v>
      </c>
      <c r="C1027" s="431" t="s">
        <v>159</v>
      </c>
      <c r="D1027" s="431" t="s">
        <v>173</v>
      </c>
      <c r="E1027" s="431" t="s">
        <v>161</v>
      </c>
      <c r="F1027" s="431" t="s">
        <v>323</v>
      </c>
      <c r="G1027" s="431" t="s">
        <v>175</v>
      </c>
      <c r="H1027" s="431"/>
      <c r="I1027" s="431"/>
      <c r="J1027" s="431"/>
      <c r="K1027" s="431"/>
      <c r="L1027" s="431" t="s">
        <v>314</v>
      </c>
      <c r="M1027" s="432" t="s">
        <v>367</v>
      </c>
    </row>
    <row r="1028" spans="1:13" ht="409.5" x14ac:dyDescent="0.2">
      <c r="A1028" s="431" t="s">
        <v>366</v>
      </c>
      <c r="B1028" s="431">
        <v>1870456</v>
      </c>
      <c r="C1028" s="431" t="s">
        <v>159</v>
      </c>
      <c r="D1028" s="431" t="s">
        <v>173</v>
      </c>
      <c r="E1028" s="431" t="s">
        <v>161</v>
      </c>
      <c r="F1028" s="431" t="s">
        <v>323</v>
      </c>
      <c r="G1028" s="431" t="s">
        <v>175</v>
      </c>
      <c r="H1028" s="431"/>
      <c r="I1028" s="431"/>
      <c r="J1028" s="431"/>
      <c r="K1028" s="431"/>
      <c r="L1028" s="431" t="s">
        <v>314</v>
      </c>
      <c r="M1028" s="432" t="s">
        <v>367</v>
      </c>
    </row>
    <row r="1029" spans="1:13" ht="409.5" x14ac:dyDescent="0.2">
      <c r="A1029" s="431" t="s">
        <v>366</v>
      </c>
      <c r="B1029" s="431">
        <v>1870456</v>
      </c>
      <c r="C1029" s="431" t="s">
        <v>159</v>
      </c>
      <c r="D1029" s="431" t="s">
        <v>173</v>
      </c>
      <c r="E1029" s="431" t="s">
        <v>161</v>
      </c>
      <c r="F1029" s="431" t="s">
        <v>323</v>
      </c>
      <c r="G1029" s="431" t="s">
        <v>175</v>
      </c>
      <c r="H1029" s="431"/>
      <c r="I1029" s="431"/>
      <c r="J1029" s="431"/>
      <c r="K1029" s="431"/>
      <c r="L1029" s="431" t="s">
        <v>314</v>
      </c>
      <c r="M1029" s="432" t="s">
        <v>367</v>
      </c>
    </row>
    <row r="1030" spans="1:13" ht="409.5" x14ac:dyDescent="0.2">
      <c r="A1030" s="431" t="s">
        <v>366</v>
      </c>
      <c r="B1030" s="431">
        <v>1870456</v>
      </c>
      <c r="C1030" s="431" t="s">
        <v>159</v>
      </c>
      <c r="D1030" s="431" t="s">
        <v>173</v>
      </c>
      <c r="E1030" s="431" t="s">
        <v>161</v>
      </c>
      <c r="F1030" s="431" t="s">
        <v>323</v>
      </c>
      <c r="G1030" s="431" t="s">
        <v>175</v>
      </c>
      <c r="H1030" s="431"/>
      <c r="I1030" s="431"/>
      <c r="J1030" s="431"/>
      <c r="K1030" s="431"/>
      <c r="L1030" s="431" t="s">
        <v>314</v>
      </c>
      <c r="M1030" s="432" t="s">
        <v>367</v>
      </c>
    </row>
    <row r="1031" spans="1:13" ht="409.5" x14ac:dyDescent="0.2">
      <c r="A1031" s="431" t="s">
        <v>366</v>
      </c>
      <c r="B1031" s="431">
        <v>1870456</v>
      </c>
      <c r="C1031" s="431" t="s">
        <v>159</v>
      </c>
      <c r="D1031" s="431" t="s">
        <v>173</v>
      </c>
      <c r="E1031" s="431" t="s">
        <v>161</v>
      </c>
      <c r="F1031" s="431" t="s">
        <v>323</v>
      </c>
      <c r="G1031" s="431" t="s">
        <v>175</v>
      </c>
      <c r="H1031" s="431"/>
      <c r="I1031" s="431"/>
      <c r="J1031" s="431"/>
      <c r="K1031" s="431"/>
      <c r="L1031" s="431" t="s">
        <v>314</v>
      </c>
      <c r="M1031" s="432" t="s">
        <v>367</v>
      </c>
    </row>
    <row r="1032" spans="1:13" ht="409.5" x14ac:dyDescent="0.2">
      <c r="A1032" s="431" t="s">
        <v>366</v>
      </c>
      <c r="B1032" s="431">
        <v>1870456</v>
      </c>
      <c r="C1032" s="431" t="s">
        <v>159</v>
      </c>
      <c r="D1032" s="431" t="s">
        <v>173</v>
      </c>
      <c r="E1032" s="431" t="s">
        <v>161</v>
      </c>
      <c r="F1032" s="431" t="s">
        <v>323</v>
      </c>
      <c r="G1032" s="431" t="s">
        <v>175</v>
      </c>
      <c r="H1032" s="431"/>
      <c r="I1032" s="431"/>
      <c r="J1032" s="431"/>
      <c r="K1032" s="431"/>
      <c r="L1032" s="431" t="s">
        <v>314</v>
      </c>
      <c r="M1032" s="432" t="s">
        <v>367</v>
      </c>
    </row>
    <row r="1033" spans="1:13" ht="409.5" x14ac:dyDescent="0.2">
      <c r="A1033" s="431" t="s">
        <v>366</v>
      </c>
      <c r="B1033" s="431">
        <v>1870456</v>
      </c>
      <c r="C1033" s="431" t="s">
        <v>159</v>
      </c>
      <c r="D1033" s="431" t="s">
        <v>173</v>
      </c>
      <c r="E1033" s="431" t="s">
        <v>161</v>
      </c>
      <c r="F1033" s="431" t="s">
        <v>323</v>
      </c>
      <c r="G1033" s="431" t="s">
        <v>175</v>
      </c>
      <c r="H1033" s="431"/>
      <c r="I1033" s="431"/>
      <c r="J1033" s="431"/>
      <c r="K1033" s="431"/>
      <c r="L1033" s="431" t="s">
        <v>314</v>
      </c>
      <c r="M1033" s="432" t="s">
        <v>367</v>
      </c>
    </row>
    <row r="1034" spans="1:13" ht="409.5" x14ac:dyDescent="0.2">
      <c r="A1034" s="431" t="s">
        <v>366</v>
      </c>
      <c r="B1034" s="431">
        <v>1870456</v>
      </c>
      <c r="C1034" s="431" t="s">
        <v>159</v>
      </c>
      <c r="D1034" s="431" t="s">
        <v>173</v>
      </c>
      <c r="E1034" s="431" t="s">
        <v>161</v>
      </c>
      <c r="F1034" s="431" t="s">
        <v>323</v>
      </c>
      <c r="G1034" s="431" t="s">
        <v>175</v>
      </c>
      <c r="H1034" s="431"/>
      <c r="I1034" s="431"/>
      <c r="J1034" s="431"/>
      <c r="K1034" s="431"/>
      <c r="L1034" s="431" t="s">
        <v>314</v>
      </c>
      <c r="M1034" s="432" t="s">
        <v>367</v>
      </c>
    </row>
    <row r="1035" spans="1:13" ht="409.5" x14ac:dyDescent="0.2">
      <c r="A1035" s="431" t="s">
        <v>366</v>
      </c>
      <c r="B1035" s="431">
        <v>1870456</v>
      </c>
      <c r="C1035" s="431" t="s">
        <v>159</v>
      </c>
      <c r="D1035" s="431" t="s">
        <v>173</v>
      </c>
      <c r="E1035" s="431" t="s">
        <v>161</v>
      </c>
      <c r="F1035" s="431" t="s">
        <v>323</v>
      </c>
      <c r="G1035" s="431" t="s">
        <v>175</v>
      </c>
      <c r="H1035" s="431"/>
      <c r="I1035" s="431"/>
      <c r="J1035" s="431"/>
      <c r="K1035" s="431"/>
      <c r="L1035" s="431" t="s">
        <v>314</v>
      </c>
      <c r="M1035" s="432" t="s">
        <v>367</v>
      </c>
    </row>
    <row r="1036" spans="1:13" ht="409.5" x14ac:dyDescent="0.2">
      <c r="A1036" s="431" t="s">
        <v>366</v>
      </c>
      <c r="B1036" s="431">
        <v>1870456</v>
      </c>
      <c r="C1036" s="431" t="s">
        <v>159</v>
      </c>
      <c r="D1036" s="431" t="s">
        <v>173</v>
      </c>
      <c r="E1036" s="431" t="s">
        <v>161</v>
      </c>
      <c r="F1036" s="431" t="s">
        <v>323</v>
      </c>
      <c r="G1036" s="431" t="s">
        <v>175</v>
      </c>
      <c r="H1036" s="431"/>
      <c r="I1036" s="431"/>
      <c r="J1036" s="431"/>
      <c r="K1036" s="431"/>
      <c r="L1036" s="431" t="s">
        <v>314</v>
      </c>
      <c r="M1036" s="432" t="s">
        <v>367</v>
      </c>
    </row>
    <row r="1037" spans="1:13" ht="409.5" x14ac:dyDescent="0.2">
      <c r="A1037" s="431" t="s">
        <v>366</v>
      </c>
      <c r="B1037" s="431">
        <v>1870456</v>
      </c>
      <c r="C1037" s="431" t="s">
        <v>159</v>
      </c>
      <c r="D1037" s="431" t="s">
        <v>173</v>
      </c>
      <c r="E1037" s="431" t="s">
        <v>161</v>
      </c>
      <c r="F1037" s="431" t="s">
        <v>323</v>
      </c>
      <c r="G1037" s="431" t="s">
        <v>175</v>
      </c>
      <c r="H1037" s="431"/>
      <c r="I1037" s="431"/>
      <c r="J1037" s="431"/>
      <c r="K1037" s="431"/>
      <c r="L1037" s="431" t="s">
        <v>314</v>
      </c>
      <c r="M1037" s="432" t="s">
        <v>367</v>
      </c>
    </row>
    <row r="1038" spans="1:13" ht="409.5" x14ac:dyDescent="0.2">
      <c r="A1038" s="431" t="s">
        <v>366</v>
      </c>
      <c r="B1038" s="431">
        <v>1870456</v>
      </c>
      <c r="C1038" s="431" t="s">
        <v>159</v>
      </c>
      <c r="D1038" s="431" t="s">
        <v>173</v>
      </c>
      <c r="E1038" s="431" t="s">
        <v>161</v>
      </c>
      <c r="F1038" s="431" t="s">
        <v>323</v>
      </c>
      <c r="G1038" s="431" t="s">
        <v>175</v>
      </c>
      <c r="H1038" s="431"/>
      <c r="I1038" s="431"/>
      <c r="J1038" s="431"/>
      <c r="K1038" s="431"/>
      <c r="L1038" s="431" t="s">
        <v>314</v>
      </c>
      <c r="M1038" s="432" t="s">
        <v>367</v>
      </c>
    </row>
    <row r="1039" spans="1:13" ht="409.5" x14ac:dyDescent="0.2">
      <c r="A1039" s="431" t="s">
        <v>366</v>
      </c>
      <c r="B1039" s="431">
        <v>1870456</v>
      </c>
      <c r="C1039" s="431" t="s">
        <v>159</v>
      </c>
      <c r="D1039" s="431" t="s">
        <v>173</v>
      </c>
      <c r="E1039" s="431" t="s">
        <v>161</v>
      </c>
      <c r="F1039" s="431" t="s">
        <v>323</v>
      </c>
      <c r="G1039" s="431" t="s">
        <v>175</v>
      </c>
      <c r="H1039" s="431"/>
      <c r="I1039" s="431"/>
      <c r="J1039" s="431"/>
      <c r="K1039" s="431"/>
      <c r="L1039" s="431" t="s">
        <v>314</v>
      </c>
      <c r="M1039" s="432" t="s">
        <v>367</v>
      </c>
    </row>
    <row r="1040" spans="1:13" ht="409.5" x14ac:dyDescent="0.2">
      <c r="A1040" s="431" t="s">
        <v>366</v>
      </c>
      <c r="B1040" s="431">
        <v>1870456</v>
      </c>
      <c r="C1040" s="431" t="s">
        <v>159</v>
      </c>
      <c r="D1040" s="431" t="s">
        <v>173</v>
      </c>
      <c r="E1040" s="431" t="s">
        <v>161</v>
      </c>
      <c r="F1040" s="431" t="s">
        <v>323</v>
      </c>
      <c r="G1040" s="431" t="s">
        <v>175</v>
      </c>
      <c r="H1040" s="431"/>
      <c r="I1040" s="431"/>
      <c r="J1040" s="431"/>
      <c r="K1040" s="431"/>
      <c r="L1040" s="431" t="s">
        <v>314</v>
      </c>
      <c r="M1040" s="432" t="s">
        <v>367</v>
      </c>
    </row>
    <row r="1041" spans="1:13" ht="409.5" x14ac:dyDescent="0.2">
      <c r="A1041" s="431" t="s">
        <v>366</v>
      </c>
      <c r="B1041" s="431">
        <v>1870456</v>
      </c>
      <c r="C1041" s="431" t="s">
        <v>159</v>
      </c>
      <c r="D1041" s="431" t="s">
        <v>173</v>
      </c>
      <c r="E1041" s="431" t="s">
        <v>161</v>
      </c>
      <c r="F1041" s="431" t="s">
        <v>323</v>
      </c>
      <c r="G1041" s="431" t="s">
        <v>175</v>
      </c>
      <c r="H1041" s="431"/>
      <c r="I1041" s="431"/>
      <c r="J1041" s="431"/>
      <c r="K1041" s="431"/>
      <c r="L1041" s="431" t="s">
        <v>314</v>
      </c>
      <c r="M1041" s="432" t="s">
        <v>367</v>
      </c>
    </row>
    <row r="1042" spans="1:13" ht="409.5" x14ac:dyDescent="0.2">
      <c r="A1042" s="431" t="s">
        <v>366</v>
      </c>
      <c r="B1042" s="431">
        <v>1870456</v>
      </c>
      <c r="C1042" s="431" t="s">
        <v>159</v>
      </c>
      <c r="D1042" s="431" t="s">
        <v>173</v>
      </c>
      <c r="E1042" s="431" t="s">
        <v>161</v>
      </c>
      <c r="F1042" s="431" t="s">
        <v>323</v>
      </c>
      <c r="G1042" s="431" t="s">
        <v>175</v>
      </c>
      <c r="H1042" s="431"/>
      <c r="I1042" s="431"/>
      <c r="J1042" s="431"/>
      <c r="K1042" s="431"/>
      <c r="L1042" s="431" t="s">
        <v>314</v>
      </c>
      <c r="M1042" s="432" t="s">
        <v>367</v>
      </c>
    </row>
    <row r="1043" spans="1:13" ht="409.5" x14ac:dyDescent="0.2">
      <c r="A1043" s="431" t="s">
        <v>366</v>
      </c>
      <c r="B1043" s="431">
        <v>1870456</v>
      </c>
      <c r="C1043" s="431" t="s">
        <v>159</v>
      </c>
      <c r="D1043" s="431" t="s">
        <v>173</v>
      </c>
      <c r="E1043" s="431" t="s">
        <v>161</v>
      </c>
      <c r="F1043" s="431" t="s">
        <v>323</v>
      </c>
      <c r="G1043" s="431" t="s">
        <v>175</v>
      </c>
      <c r="H1043" s="431"/>
      <c r="I1043" s="431"/>
      <c r="J1043" s="431"/>
      <c r="K1043" s="431"/>
      <c r="L1043" s="431" t="s">
        <v>314</v>
      </c>
      <c r="M1043" s="432" t="s">
        <v>367</v>
      </c>
    </row>
    <row r="1044" spans="1:13" ht="409.5" x14ac:dyDescent="0.2">
      <c r="A1044" s="431" t="s">
        <v>366</v>
      </c>
      <c r="B1044" s="431">
        <v>1870456</v>
      </c>
      <c r="C1044" s="431" t="s">
        <v>159</v>
      </c>
      <c r="D1044" s="431" t="s">
        <v>173</v>
      </c>
      <c r="E1044" s="431" t="s">
        <v>161</v>
      </c>
      <c r="F1044" s="431" t="s">
        <v>323</v>
      </c>
      <c r="G1044" s="431" t="s">
        <v>175</v>
      </c>
      <c r="H1044" s="431"/>
      <c r="I1044" s="431"/>
      <c r="J1044" s="431"/>
      <c r="K1044" s="431"/>
      <c r="L1044" s="431" t="s">
        <v>314</v>
      </c>
      <c r="M1044" s="432" t="s">
        <v>367</v>
      </c>
    </row>
    <row r="1045" spans="1:13" ht="409.5" x14ac:dyDescent="0.2">
      <c r="A1045" s="431" t="s">
        <v>366</v>
      </c>
      <c r="B1045" s="431">
        <v>1870456</v>
      </c>
      <c r="C1045" s="431" t="s">
        <v>159</v>
      </c>
      <c r="D1045" s="431" t="s">
        <v>173</v>
      </c>
      <c r="E1045" s="431" t="s">
        <v>161</v>
      </c>
      <c r="F1045" s="431" t="s">
        <v>323</v>
      </c>
      <c r="G1045" s="431" t="s">
        <v>175</v>
      </c>
      <c r="H1045" s="431"/>
      <c r="I1045" s="431"/>
      <c r="J1045" s="431"/>
      <c r="K1045" s="431"/>
      <c r="L1045" s="431" t="s">
        <v>314</v>
      </c>
      <c r="M1045" s="432" t="s">
        <v>367</v>
      </c>
    </row>
    <row r="1046" spans="1:13" ht="409.5" x14ac:dyDescent="0.2">
      <c r="A1046" s="431" t="s">
        <v>366</v>
      </c>
      <c r="B1046" s="431">
        <v>1870456</v>
      </c>
      <c r="C1046" s="431" t="s">
        <v>159</v>
      </c>
      <c r="D1046" s="431" t="s">
        <v>173</v>
      </c>
      <c r="E1046" s="431" t="s">
        <v>161</v>
      </c>
      <c r="F1046" s="431" t="s">
        <v>323</v>
      </c>
      <c r="G1046" s="431" t="s">
        <v>175</v>
      </c>
      <c r="H1046" s="431"/>
      <c r="I1046" s="431"/>
      <c r="J1046" s="431"/>
      <c r="K1046" s="431"/>
      <c r="L1046" s="431" t="s">
        <v>314</v>
      </c>
      <c r="M1046" s="432" t="s">
        <v>367</v>
      </c>
    </row>
    <row r="1047" spans="1:13" ht="409.5" x14ac:dyDescent="0.2">
      <c r="A1047" s="431" t="s">
        <v>366</v>
      </c>
      <c r="B1047" s="431">
        <v>1870456</v>
      </c>
      <c r="C1047" s="431" t="s">
        <v>159</v>
      </c>
      <c r="D1047" s="431" t="s">
        <v>173</v>
      </c>
      <c r="E1047" s="431" t="s">
        <v>161</v>
      </c>
      <c r="F1047" s="431" t="s">
        <v>323</v>
      </c>
      <c r="G1047" s="431" t="s">
        <v>175</v>
      </c>
      <c r="H1047" s="431"/>
      <c r="I1047" s="431"/>
      <c r="J1047" s="431"/>
      <c r="K1047" s="431"/>
      <c r="L1047" s="431" t="s">
        <v>314</v>
      </c>
      <c r="M1047" s="432" t="s">
        <v>367</v>
      </c>
    </row>
    <row r="1048" spans="1:13" ht="409.5" x14ac:dyDescent="0.2">
      <c r="A1048" s="431" t="s">
        <v>366</v>
      </c>
      <c r="B1048" s="431">
        <v>1870456</v>
      </c>
      <c r="C1048" s="431" t="s">
        <v>159</v>
      </c>
      <c r="D1048" s="431" t="s">
        <v>173</v>
      </c>
      <c r="E1048" s="431" t="s">
        <v>161</v>
      </c>
      <c r="F1048" s="431" t="s">
        <v>323</v>
      </c>
      <c r="G1048" s="431" t="s">
        <v>175</v>
      </c>
      <c r="H1048" s="431"/>
      <c r="I1048" s="431"/>
      <c r="J1048" s="431"/>
      <c r="K1048" s="431"/>
      <c r="L1048" s="431" t="s">
        <v>314</v>
      </c>
      <c r="M1048" s="432" t="s">
        <v>367</v>
      </c>
    </row>
    <row r="1049" spans="1:13" ht="409.5" x14ac:dyDescent="0.2">
      <c r="A1049" s="431" t="s">
        <v>366</v>
      </c>
      <c r="B1049" s="431">
        <v>1870456</v>
      </c>
      <c r="C1049" s="431" t="s">
        <v>159</v>
      </c>
      <c r="D1049" s="431" t="s">
        <v>173</v>
      </c>
      <c r="E1049" s="431" t="s">
        <v>161</v>
      </c>
      <c r="F1049" s="431" t="s">
        <v>323</v>
      </c>
      <c r="G1049" s="431" t="s">
        <v>175</v>
      </c>
      <c r="H1049" s="431"/>
      <c r="I1049" s="431"/>
      <c r="J1049" s="431"/>
      <c r="K1049" s="431"/>
      <c r="L1049" s="431" t="s">
        <v>314</v>
      </c>
      <c r="M1049" s="432" t="s">
        <v>367</v>
      </c>
    </row>
    <row r="1050" spans="1:13" ht="409.5" x14ac:dyDescent="0.2">
      <c r="A1050" s="431" t="s">
        <v>366</v>
      </c>
      <c r="B1050" s="431">
        <v>1870456</v>
      </c>
      <c r="C1050" s="431" t="s">
        <v>159</v>
      </c>
      <c r="D1050" s="431" t="s">
        <v>173</v>
      </c>
      <c r="E1050" s="431" t="s">
        <v>161</v>
      </c>
      <c r="F1050" s="431" t="s">
        <v>323</v>
      </c>
      <c r="G1050" s="431" t="s">
        <v>175</v>
      </c>
      <c r="H1050" s="431"/>
      <c r="I1050" s="431"/>
      <c r="J1050" s="431"/>
      <c r="K1050" s="431"/>
      <c r="L1050" s="431" t="s">
        <v>314</v>
      </c>
      <c r="M1050" s="432" t="s">
        <v>367</v>
      </c>
    </row>
    <row r="1051" spans="1:13" ht="409.5" x14ac:dyDescent="0.2">
      <c r="A1051" s="431" t="s">
        <v>366</v>
      </c>
      <c r="B1051" s="431">
        <v>1870456</v>
      </c>
      <c r="C1051" s="431" t="s">
        <v>159</v>
      </c>
      <c r="D1051" s="431" t="s">
        <v>173</v>
      </c>
      <c r="E1051" s="431" t="s">
        <v>161</v>
      </c>
      <c r="F1051" s="431" t="s">
        <v>323</v>
      </c>
      <c r="G1051" s="431" t="s">
        <v>175</v>
      </c>
      <c r="H1051" s="431"/>
      <c r="I1051" s="431"/>
      <c r="J1051" s="431"/>
      <c r="K1051" s="431"/>
      <c r="L1051" s="431" t="s">
        <v>314</v>
      </c>
      <c r="M1051" s="432" t="s">
        <v>367</v>
      </c>
    </row>
    <row r="1052" spans="1:13" ht="409.5" x14ac:dyDescent="0.2">
      <c r="A1052" s="431" t="s">
        <v>366</v>
      </c>
      <c r="B1052" s="431">
        <v>1870456</v>
      </c>
      <c r="C1052" s="431" t="s">
        <v>159</v>
      </c>
      <c r="D1052" s="431" t="s">
        <v>173</v>
      </c>
      <c r="E1052" s="431" t="s">
        <v>161</v>
      </c>
      <c r="F1052" s="431" t="s">
        <v>323</v>
      </c>
      <c r="G1052" s="431" t="s">
        <v>175</v>
      </c>
      <c r="H1052" s="431"/>
      <c r="I1052" s="431"/>
      <c r="J1052" s="431"/>
      <c r="K1052" s="431"/>
      <c r="L1052" s="431" t="s">
        <v>314</v>
      </c>
      <c r="M1052" s="432" t="s">
        <v>367</v>
      </c>
    </row>
    <row r="1053" spans="1:13" ht="409.5" x14ac:dyDescent="0.2">
      <c r="A1053" s="431" t="s">
        <v>366</v>
      </c>
      <c r="B1053" s="431">
        <v>1870456</v>
      </c>
      <c r="C1053" s="431" t="s">
        <v>159</v>
      </c>
      <c r="D1053" s="431" t="s">
        <v>173</v>
      </c>
      <c r="E1053" s="431" t="s">
        <v>161</v>
      </c>
      <c r="F1053" s="431" t="s">
        <v>323</v>
      </c>
      <c r="G1053" s="431" t="s">
        <v>175</v>
      </c>
      <c r="H1053" s="431"/>
      <c r="I1053" s="431"/>
      <c r="J1053" s="431"/>
      <c r="K1053" s="431"/>
      <c r="L1053" s="431" t="s">
        <v>314</v>
      </c>
      <c r="M1053" s="432" t="s">
        <v>367</v>
      </c>
    </row>
    <row r="1054" spans="1:13" ht="409.5" x14ac:dyDescent="0.2">
      <c r="A1054" s="431" t="s">
        <v>366</v>
      </c>
      <c r="B1054" s="431">
        <v>1870456</v>
      </c>
      <c r="C1054" s="431" t="s">
        <v>159</v>
      </c>
      <c r="D1054" s="431" t="s">
        <v>173</v>
      </c>
      <c r="E1054" s="431" t="s">
        <v>161</v>
      </c>
      <c r="F1054" s="431" t="s">
        <v>323</v>
      </c>
      <c r="G1054" s="431" t="s">
        <v>175</v>
      </c>
      <c r="H1054" s="431"/>
      <c r="I1054" s="431"/>
      <c r="J1054" s="431"/>
      <c r="K1054" s="431"/>
      <c r="L1054" s="431" t="s">
        <v>314</v>
      </c>
      <c r="M1054" s="432" t="s">
        <v>367</v>
      </c>
    </row>
    <row r="1055" spans="1:13" ht="409.5" x14ac:dyDescent="0.2">
      <c r="A1055" s="431" t="s">
        <v>366</v>
      </c>
      <c r="B1055" s="431">
        <v>1870456</v>
      </c>
      <c r="C1055" s="431" t="s">
        <v>159</v>
      </c>
      <c r="D1055" s="431" t="s">
        <v>173</v>
      </c>
      <c r="E1055" s="431" t="s">
        <v>161</v>
      </c>
      <c r="F1055" s="431" t="s">
        <v>323</v>
      </c>
      <c r="G1055" s="431" t="s">
        <v>175</v>
      </c>
      <c r="H1055" s="431"/>
      <c r="I1055" s="431"/>
      <c r="J1055" s="431"/>
      <c r="K1055" s="431"/>
      <c r="L1055" s="431" t="s">
        <v>314</v>
      </c>
      <c r="M1055" s="432" t="s">
        <v>367</v>
      </c>
    </row>
    <row r="1056" spans="1:13" ht="409.5" x14ac:dyDescent="0.2">
      <c r="A1056" s="431" t="s">
        <v>366</v>
      </c>
      <c r="B1056" s="431">
        <v>1870456</v>
      </c>
      <c r="C1056" s="431" t="s">
        <v>159</v>
      </c>
      <c r="D1056" s="431" t="s">
        <v>173</v>
      </c>
      <c r="E1056" s="431" t="s">
        <v>161</v>
      </c>
      <c r="F1056" s="431" t="s">
        <v>323</v>
      </c>
      <c r="G1056" s="431" t="s">
        <v>175</v>
      </c>
      <c r="H1056" s="431"/>
      <c r="I1056" s="431"/>
      <c r="J1056" s="431"/>
      <c r="K1056" s="431"/>
      <c r="L1056" s="431" t="s">
        <v>314</v>
      </c>
      <c r="M1056" s="432" t="s">
        <v>367</v>
      </c>
    </row>
    <row r="1057" spans="1:13" ht="409.5" x14ac:dyDescent="0.2">
      <c r="A1057" s="431" t="s">
        <v>366</v>
      </c>
      <c r="B1057" s="431">
        <v>1870456</v>
      </c>
      <c r="C1057" s="431" t="s">
        <v>159</v>
      </c>
      <c r="D1057" s="431" t="s">
        <v>173</v>
      </c>
      <c r="E1057" s="431" t="s">
        <v>161</v>
      </c>
      <c r="F1057" s="431" t="s">
        <v>323</v>
      </c>
      <c r="G1057" s="431" t="s">
        <v>175</v>
      </c>
      <c r="H1057" s="431"/>
      <c r="I1057" s="431"/>
      <c r="J1057" s="431"/>
      <c r="K1057" s="431"/>
      <c r="L1057" s="431" t="s">
        <v>314</v>
      </c>
      <c r="M1057" s="432" t="s">
        <v>367</v>
      </c>
    </row>
    <row r="1058" spans="1:13" ht="409.5" x14ac:dyDescent="0.2">
      <c r="A1058" s="431" t="s">
        <v>366</v>
      </c>
      <c r="B1058" s="431">
        <v>1870456</v>
      </c>
      <c r="C1058" s="431" t="s">
        <v>159</v>
      </c>
      <c r="D1058" s="431" t="s">
        <v>173</v>
      </c>
      <c r="E1058" s="431" t="s">
        <v>161</v>
      </c>
      <c r="F1058" s="431" t="s">
        <v>323</v>
      </c>
      <c r="G1058" s="431" t="s">
        <v>175</v>
      </c>
      <c r="H1058" s="431"/>
      <c r="I1058" s="431"/>
      <c r="J1058" s="431"/>
      <c r="K1058" s="431"/>
      <c r="L1058" s="431" t="s">
        <v>314</v>
      </c>
      <c r="M1058" s="432" t="s">
        <v>367</v>
      </c>
    </row>
    <row r="1059" spans="1:13" ht="409.5" x14ac:dyDescent="0.2">
      <c r="A1059" s="431" t="s">
        <v>366</v>
      </c>
      <c r="B1059" s="431">
        <v>1870456</v>
      </c>
      <c r="C1059" s="431" t="s">
        <v>159</v>
      </c>
      <c r="D1059" s="431" t="s">
        <v>173</v>
      </c>
      <c r="E1059" s="431" t="s">
        <v>161</v>
      </c>
      <c r="F1059" s="431" t="s">
        <v>323</v>
      </c>
      <c r="G1059" s="431" t="s">
        <v>175</v>
      </c>
      <c r="H1059" s="431"/>
      <c r="I1059" s="431"/>
      <c r="J1059" s="431"/>
      <c r="K1059" s="431"/>
      <c r="L1059" s="431" t="s">
        <v>314</v>
      </c>
      <c r="M1059" s="432" t="s">
        <v>367</v>
      </c>
    </row>
    <row r="1060" spans="1:13" ht="409.5" x14ac:dyDescent="0.2">
      <c r="A1060" s="431" t="s">
        <v>366</v>
      </c>
      <c r="B1060" s="431">
        <v>1870456</v>
      </c>
      <c r="C1060" s="431" t="s">
        <v>159</v>
      </c>
      <c r="D1060" s="431" t="s">
        <v>173</v>
      </c>
      <c r="E1060" s="431" t="s">
        <v>161</v>
      </c>
      <c r="F1060" s="431" t="s">
        <v>323</v>
      </c>
      <c r="G1060" s="431" t="s">
        <v>175</v>
      </c>
      <c r="H1060" s="431"/>
      <c r="I1060" s="431"/>
      <c r="J1060" s="431"/>
      <c r="K1060" s="431"/>
      <c r="L1060" s="431" t="s">
        <v>314</v>
      </c>
      <c r="M1060" s="432" t="s">
        <v>367</v>
      </c>
    </row>
    <row r="1061" spans="1:13" ht="409.5" x14ac:dyDescent="0.2">
      <c r="A1061" s="431" t="s">
        <v>366</v>
      </c>
      <c r="B1061" s="431">
        <v>1870456</v>
      </c>
      <c r="C1061" s="431" t="s">
        <v>159</v>
      </c>
      <c r="D1061" s="431" t="s">
        <v>173</v>
      </c>
      <c r="E1061" s="431" t="s">
        <v>161</v>
      </c>
      <c r="F1061" s="431" t="s">
        <v>323</v>
      </c>
      <c r="G1061" s="431" t="s">
        <v>175</v>
      </c>
      <c r="H1061" s="431"/>
      <c r="I1061" s="431"/>
      <c r="J1061" s="431"/>
      <c r="K1061" s="431"/>
      <c r="L1061" s="431" t="s">
        <v>314</v>
      </c>
      <c r="M1061" s="432" t="s">
        <v>367</v>
      </c>
    </row>
    <row r="1062" spans="1:13" ht="409.5" x14ac:dyDescent="0.2">
      <c r="A1062" s="431" t="s">
        <v>366</v>
      </c>
      <c r="B1062" s="431">
        <v>1870456</v>
      </c>
      <c r="C1062" s="431" t="s">
        <v>159</v>
      </c>
      <c r="D1062" s="431" t="s">
        <v>173</v>
      </c>
      <c r="E1062" s="431" t="s">
        <v>161</v>
      </c>
      <c r="F1062" s="431" t="s">
        <v>323</v>
      </c>
      <c r="G1062" s="431" t="s">
        <v>175</v>
      </c>
      <c r="H1062" s="431"/>
      <c r="I1062" s="431"/>
      <c r="J1062" s="431"/>
      <c r="K1062" s="431"/>
      <c r="L1062" s="431" t="s">
        <v>314</v>
      </c>
      <c r="M1062" s="432" t="s">
        <v>367</v>
      </c>
    </row>
    <row r="1063" spans="1:13" ht="409.5" x14ac:dyDescent="0.2">
      <c r="A1063" s="431" t="s">
        <v>366</v>
      </c>
      <c r="B1063" s="431">
        <v>1870456</v>
      </c>
      <c r="C1063" s="431" t="s">
        <v>159</v>
      </c>
      <c r="D1063" s="431" t="s">
        <v>173</v>
      </c>
      <c r="E1063" s="431" t="s">
        <v>161</v>
      </c>
      <c r="F1063" s="431" t="s">
        <v>323</v>
      </c>
      <c r="G1063" s="431" t="s">
        <v>175</v>
      </c>
      <c r="H1063" s="431"/>
      <c r="I1063" s="431"/>
      <c r="J1063" s="431"/>
      <c r="K1063" s="431"/>
      <c r="L1063" s="431" t="s">
        <v>314</v>
      </c>
      <c r="M1063" s="432" t="s">
        <v>367</v>
      </c>
    </row>
    <row r="1064" spans="1:13" ht="409.5" x14ac:dyDescent="0.2">
      <c r="A1064" s="431" t="s">
        <v>366</v>
      </c>
      <c r="B1064" s="431">
        <v>1870456</v>
      </c>
      <c r="C1064" s="431" t="s">
        <v>159</v>
      </c>
      <c r="D1064" s="431" t="s">
        <v>173</v>
      </c>
      <c r="E1064" s="431" t="s">
        <v>161</v>
      </c>
      <c r="F1064" s="431" t="s">
        <v>323</v>
      </c>
      <c r="G1064" s="431" t="s">
        <v>175</v>
      </c>
      <c r="H1064" s="431"/>
      <c r="I1064" s="431"/>
      <c r="J1064" s="431"/>
      <c r="K1064" s="431"/>
      <c r="L1064" s="431" t="s">
        <v>314</v>
      </c>
      <c r="M1064" s="432" t="s">
        <v>367</v>
      </c>
    </row>
    <row r="1065" spans="1:13" ht="409.5" x14ac:dyDescent="0.2">
      <c r="A1065" s="431" t="s">
        <v>366</v>
      </c>
      <c r="B1065" s="431">
        <v>1870456</v>
      </c>
      <c r="C1065" s="431" t="s">
        <v>159</v>
      </c>
      <c r="D1065" s="431" t="s">
        <v>173</v>
      </c>
      <c r="E1065" s="431" t="s">
        <v>161</v>
      </c>
      <c r="F1065" s="431" t="s">
        <v>323</v>
      </c>
      <c r="G1065" s="431" t="s">
        <v>175</v>
      </c>
      <c r="H1065" s="431"/>
      <c r="I1065" s="431"/>
      <c r="J1065" s="431"/>
      <c r="K1065" s="431"/>
      <c r="L1065" s="431" t="s">
        <v>314</v>
      </c>
      <c r="M1065" s="432" t="s">
        <v>367</v>
      </c>
    </row>
    <row r="1066" spans="1:13" ht="409.5" x14ac:dyDescent="0.2">
      <c r="A1066" s="431" t="s">
        <v>366</v>
      </c>
      <c r="B1066" s="431">
        <v>1870456</v>
      </c>
      <c r="C1066" s="431" t="s">
        <v>159</v>
      </c>
      <c r="D1066" s="431" t="s">
        <v>173</v>
      </c>
      <c r="E1066" s="431" t="s">
        <v>161</v>
      </c>
      <c r="F1066" s="431" t="s">
        <v>323</v>
      </c>
      <c r="G1066" s="431" t="s">
        <v>175</v>
      </c>
      <c r="H1066" s="431"/>
      <c r="I1066" s="431"/>
      <c r="J1066" s="431"/>
      <c r="K1066" s="431"/>
      <c r="L1066" s="431" t="s">
        <v>314</v>
      </c>
      <c r="M1066" s="432" t="s">
        <v>367</v>
      </c>
    </row>
    <row r="1067" spans="1:13" ht="409.5" x14ac:dyDescent="0.2">
      <c r="A1067" s="431" t="s">
        <v>368</v>
      </c>
      <c r="B1067" s="431">
        <v>1870457</v>
      </c>
      <c r="C1067" s="431" t="s">
        <v>159</v>
      </c>
      <c r="D1067" s="431" t="s">
        <v>173</v>
      </c>
      <c r="E1067" s="431" t="s">
        <v>161</v>
      </c>
      <c r="F1067" s="431" t="s">
        <v>328</v>
      </c>
      <c r="G1067" s="431" t="s">
        <v>175</v>
      </c>
      <c r="H1067" s="431"/>
      <c r="I1067" s="431"/>
      <c r="J1067" s="431"/>
      <c r="K1067" s="431"/>
      <c r="L1067" s="431" t="s">
        <v>241</v>
      </c>
      <c r="M1067" s="432" t="s">
        <v>369</v>
      </c>
    </row>
    <row r="1068" spans="1:13" ht="409.5" x14ac:dyDescent="0.2">
      <c r="A1068" s="431" t="s">
        <v>368</v>
      </c>
      <c r="B1068" s="431">
        <v>1870457</v>
      </c>
      <c r="C1068" s="431" t="s">
        <v>159</v>
      </c>
      <c r="D1068" s="431" t="s">
        <v>173</v>
      </c>
      <c r="E1068" s="431" t="s">
        <v>161</v>
      </c>
      <c r="F1068" s="431" t="s">
        <v>328</v>
      </c>
      <c r="G1068" s="431" t="s">
        <v>175</v>
      </c>
      <c r="H1068" s="431"/>
      <c r="I1068" s="431"/>
      <c r="J1068" s="431"/>
      <c r="K1068" s="431"/>
      <c r="L1068" s="431" t="s">
        <v>241</v>
      </c>
      <c r="M1068" s="432" t="s">
        <v>369</v>
      </c>
    </row>
    <row r="1069" spans="1:13" ht="409.5" x14ac:dyDescent="0.2">
      <c r="A1069" s="431" t="s">
        <v>368</v>
      </c>
      <c r="B1069" s="431">
        <v>1870457</v>
      </c>
      <c r="C1069" s="431" t="s">
        <v>159</v>
      </c>
      <c r="D1069" s="431" t="s">
        <v>173</v>
      </c>
      <c r="E1069" s="431" t="s">
        <v>161</v>
      </c>
      <c r="F1069" s="431" t="s">
        <v>328</v>
      </c>
      <c r="G1069" s="431" t="s">
        <v>175</v>
      </c>
      <c r="H1069" s="431"/>
      <c r="I1069" s="431"/>
      <c r="J1069" s="431"/>
      <c r="K1069" s="431"/>
      <c r="L1069" s="431" t="s">
        <v>241</v>
      </c>
      <c r="M1069" s="432" t="s">
        <v>369</v>
      </c>
    </row>
    <row r="1070" spans="1:13" ht="409.5" x14ac:dyDescent="0.2">
      <c r="A1070" s="431" t="s">
        <v>368</v>
      </c>
      <c r="B1070" s="431">
        <v>1870457</v>
      </c>
      <c r="C1070" s="431" t="s">
        <v>159</v>
      </c>
      <c r="D1070" s="431" t="s">
        <v>173</v>
      </c>
      <c r="E1070" s="431" t="s">
        <v>161</v>
      </c>
      <c r="F1070" s="431" t="s">
        <v>328</v>
      </c>
      <c r="G1070" s="431" t="s">
        <v>175</v>
      </c>
      <c r="H1070" s="431"/>
      <c r="I1070" s="431"/>
      <c r="J1070" s="431"/>
      <c r="K1070" s="431"/>
      <c r="L1070" s="431" t="s">
        <v>241</v>
      </c>
      <c r="M1070" s="432" t="s">
        <v>369</v>
      </c>
    </row>
    <row r="1071" spans="1:13" ht="409.5" x14ac:dyDescent="0.2">
      <c r="A1071" s="431" t="s">
        <v>368</v>
      </c>
      <c r="B1071" s="431">
        <v>1870457</v>
      </c>
      <c r="C1071" s="431" t="s">
        <v>159</v>
      </c>
      <c r="D1071" s="431" t="s">
        <v>173</v>
      </c>
      <c r="E1071" s="431" t="s">
        <v>161</v>
      </c>
      <c r="F1071" s="431" t="s">
        <v>328</v>
      </c>
      <c r="G1071" s="431" t="s">
        <v>175</v>
      </c>
      <c r="H1071" s="431"/>
      <c r="I1071" s="431"/>
      <c r="J1071" s="431"/>
      <c r="K1071" s="431"/>
      <c r="L1071" s="431" t="s">
        <v>241</v>
      </c>
      <c r="M1071" s="432" t="s">
        <v>369</v>
      </c>
    </row>
    <row r="1072" spans="1:13" ht="409.5" x14ac:dyDescent="0.2">
      <c r="A1072" s="431" t="s">
        <v>368</v>
      </c>
      <c r="B1072" s="431">
        <v>1870457</v>
      </c>
      <c r="C1072" s="431" t="s">
        <v>159</v>
      </c>
      <c r="D1072" s="431" t="s">
        <v>173</v>
      </c>
      <c r="E1072" s="431" t="s">
        <v>161</v>
      </c>
      <c r="F1072" s="431" t="s">
        <v>328</v>
      </c>
      <c r="G1072" s="431" t="s">
        <v>175</v>
      </c>
      <c r="H1072" s="431"/>
      <c r="I1072" s="431"/>
      <c r="J1072" s="431"/>
      <c r="K1072" s="431"/>
      <c r="L1072" s="431" t="s">
        <v>241</v>
      </c>
      <c r="M1072" s="432" t="s">
        <v>369</v>
      </c>
    </row>
    <row r="1073" spans="1:13" ht="409.5" x14ac:dyDescent="0.2">
      <c r="A1073" s="431" t="s">
        <v>368</v>
      </c>
      <c r="B1073" s="431">
        <v>1870457</v>
      </c>
      <c r="C1073" s="431" t="s">
        <v>159</v>
      </c>
      <c r="D1073" s="431" t="s">
        <v>173</v>
      </c>
      <c r="E1073" s="431" t="s">
        <v>161</v>
      </c>
      <c r="F1073" s="431" t="s">
        <v>328</v>
      </c>
      <c r="G1073" s="431" t="s">
        <v>175</v>
      </c>
      <c r="H1073" s="431"/>
      <c r="I1073" s="431"/>
      <c r="J1073" s="431"/>
      <c r="K1073" s="431"/>
      <c r="L1073" s="431" t="s">
        <v>241</v>
      </c>
      <c r="M1073" s="432" t="s">
        <v>369</v>
      </c>
    </row>
    <row r="1074" spans="1:13" ht="409.5" x14ac:dyDescent="0.2">
      <c r="A1074" s="431" t="s">
        <v>368</v>
      </c>
      <c r="B1074" s="431">
        <v>1870457</v>
      </c>
      <c r="C1074" s="431" t="s">
        <v>159</v>
      </c>
      <c r="D1074" s="431" t="s">
        <v>173</v>
      </c>
      <c r="E1074" s="431" t="s">
        <v>161</v>
      </c>
      <c r="F1074" s="431" t="s">
        <v>328</v>
      </c>
      <c r="G1074" s="431" t="s">
        <v>175</v>
      </c>
      <c r="H1074" s="431"/>
      <c r="I1074" s="431"/>
      <c r="J1074" s="431"/>
      <c r="K1074" s="431"/>
      <c r="L1074" s="431" t="s">
        <v>241</v>
      </c>
      <c r="M1074" s="432" t="s">
        <v>369</v>
      </c>
    </row>
    <row r="1075" spans="1:13" ht="409.5" x14ac:dyDescent="0.2">
      <c r="A1075" s="431" t="s">
        <v>368</v>
      </c>
      <c r="B1075" s="431">
        <v>1870457</v>
      </c>
      <c r="C1075" s="431" t="s">
        <v>159</v>
      </c>
      <c r="D1075" s="431" t="s">
        <v>173</v>
      </c>
      <c r="E1075" s="431" t="s">
        <v>161</v>
      </c>
      <c r="F1075" s="431" t="s">
        <v>328</v>
      </c>
      <c r="G1075" s="431" t="s">
        <v>175</v>
      </c>
      <c r="H1075" s="431"/>
      <c r="I1075" s="431"/>
      <c r="J1075" s="431"/>
      <c r="K1075" s="431"/>
      <c r="L1075" s="431" t="s">
        <v>241</v>
      </c>
      <c r="M1075" s="432" t="s">
        <v>369</v>
      </c>
    </row>
    <row r="1076" spans="1:13" ht="409.5" x14ac:dyDescent="0.2">
      <c r="A1076" s="431" t="s">
        <v>368</v>
      </c>
      <c r="B1076" s="431">
        <v>1870457</v>
      </c>
      <c r="C1076" s="431" t="s">
        <v>159</v>
      </c>
      <c r="D1076" s="431" t="s">
        <v>173</v>
      </c>
      <c r="E1076" s="431" t="s">
        <v>161</v>
      </c>
      <c r="F1076" s="431" t="s">
        <v>328</v>
      </c>
      <c r="G1076" s="431" t="s">
        <v>175</v>
      </c>
      <c r="H1076" s="431"/>
      <c r="I1076" s="431"/>
      <c r="J1076" s="431"/>
      <c r="K1076" s="431"/>
      <c r="L1076" s="431" t="s">
        <v>241</v>
      </c>
      <c r="M1076" s="432" t="s">
        <v>369</v>
      </c>
    </row>
    <row r="1077" spans="1:13" ht="409.5" x14ac:dyDescent="0.2">
      <c r="A1077" s="431" t="s">
        <v>370</v>
      </c>
      <c r="B1077" s="431">
        <v>1870458</v>
      </c>
      <c r="C1077" s="431" t="s">
        <v>159</v>
      </c>
      <c r="D1077" s="431" t="s">
        <v>173</v>
      </c>
      <c r="E1077" s="431" t="s">
        <v>161</v>
      </c>
      <c r="F1077" s="431" t="s">
        <v>371</v>
      </c>
      <c r="G1077" s="431" t="s">
        <v>175</v>
      </c>
      <c r="H1077" s="431"/>
      <c r="I1077" s="431"/>
      <c r="J1077" s="431"/>
      <c r="K1077" s="431"/>
      <c r="L1077" s="431" t="s">
        <v>176</v>
      </c>
      <c r="M1077" s="432" t="s">
        <v>372</v>
      </c>
    </row>
    <row r="1078" spans="1:13" ht="409.5" x14ac:dyDescent="0.2">
      <c r="A1078" s="431" t="s">
        <v>370</v>
      </c>
      <c r="B1078" s="431">
        <v>1870458</v>
      </c>
      <c r="C1078" s="431" t="s">
        <v>159</v>
      </c>
      <c r="D1078" s="431" t="s">
        <v>173</v>
      </c>
      <c r="E1078" s="431" t="s">
        <v>161</v>
      </c>
      <c r="F1078" s="431" t="s">
        <v>371</v>
      </c>
      <c r="G1078" s="431" t="s">
        <v>175</v>
      </c>
      <c r="H1078" s="431"/>
      <c r="I1078" s="431"/>
      <c r="J1078" s="431"/>
      <c r="K1078" s="431"/>
      <c r="L1078" s="431" t="s">
        <v>176</v>
      </c>
      <c r="M1078" s="432" t="s">
        <v>372</v>
      </c>
    </row>
    <row r="1079" spans="1:13" ht="409.5" x14ac:dyDescent="0.2">
      <c r="A1079" s="431" t="s">
        <v>370</v>
      </c>
      <c r="B1079" s="431">
        <v>1870458</v>
      </c>
      <c r="C1079" s="431" t="s">
        <v>159</v>
      </c>
      <c r="D1079" s="431" t="s">
        <v>173</v>
      </c>
      <c r="E1079" s="431" t="s">
        <v>161</v>
      </c>
      <c r="F1079" s="431" t="s">
        <v>371</v>
      </c>
      <c r="G1079" s="431" t="s">
        <v>175</v>
      </c>
      <c r="H1079" s="431"/>
      <c r="I1079" s="431"/>
      <c r="J1079" s="431"/>
      <c r="K1079" s="431"/>
      <c r="L1079" s="431" t="s">
        <v>176</v>
      </c>
      <c r="M1079" s="432" t="s">
        <v>372</v>
      </c>
    </row>
    <row r="1080" spans="1:13" ht="409.5" x14ac:dyDescent="0.2">
      <c r="A1080" s="431" t="s">
        <v>370</v>
      </c>
      <c r="B1080" s="431">
        <v>1870458</v>
      </c>
      <c r="C1080" s="431" t="s">
        <v>159</v>
      </c>
      <c r="D1080" s="431" t="s">
        <v>173</v>
      </c>
      <c r="E1080" s="431" t="s">
        <v>161</v>
      </c>
      <c r="F1080" s="431" t="s">
        <v>371</v>
      </c>
      <c r="G1080" s="431" t="s">
        <v>175</v>
      </c>
      <c r="H1080" s="431"/>
      <c r="I1080" s="431"/>
      <c r="J1080" s="431"/>
      <c r="K1080" s="431"/>
      <c r="L1080" s="431" t="s">
        <v>176</v>
      </c>
      <c r="M1080" s="432" t="s">
        <v>372</v>
      </c>
    </row>
    <row r="1081" spans="1:13" ht="409.5" x14ac:dyDescent="0.2">
      <c r="A1081" s="431" t="s">
        <v>370</v>
      </c>
      <c r="B1081" s="431">
        <v>1870458</v>
      </c>
      <c r="C1081" s="431" t="s">
        <v>159</v>
      </c>
      <c r="D1081" s="431" t="s">
        <v>173</v>
      </c>
      <c r="E1081" s="431" t="s">
        <v>161</v>
      </c>
      <c r="F1081" s="431" t="s">
        <v>371</v>
      </c>
      <c r="G1081" s="431" t="s">
        <v>175</v>
      </c>
      <c r="H1081" s="431"/>
      <c r="I1081" s="431"/>
      <c r="J1081" s="431"/>
      <c r="K1081" s="431"/>
      <c r="L1081" s="431" t="s">
        <v>176</v>
      </c>
      <c r="M1081" s="432" t="s">
        <v>372</v>
      </c>
    </row>
    <row r="1082" spans="1:13" ht="409.5" x14ac:dyDescent="0.2">
      <c r="A1082" s="431" t="s">
        <v>370</v>
      </c>
      <c r="B1082" s="431">
        <v>1870458</v>
      </c>
      <c r="C1082" s="431" t="s">
        <v>159</v>
      </c>
      <c r="D1082" s="431" t="s">
        <v>173</v>
      </c>
      <c r="E1082" s="431" t="s">
        <v>161</v>
      </c>
      <c r="F1082" s="431" t="s">
        <v>371</v>
      </c>
      <c r="G1082" s="431" t="s">
        <v>175</v>
      </c>
      <c r="H1082" s="431"/>
      <c r="I1082" s="431"/>
      <c r="J1082" s="431"/>
      <c r="K1082" s="431"/>
      <c r="L1082" s="431" t="s">
        <v>176</v>
      </c>
      <c r="M1082" s="432" t="s">
        <v>372</v>
      </c>
    </row>
    <row r="1083" spans="1:13" ht="409.5" x14ac:dyDescent="0.2">
      <c r="A1083" s="431" t="s">
        <v>370</v>
      </c>
      <c r="B1083" s="431">
        <v>1870458</v>
      </c>
      <c r="C1083" s="431" t="s">
        <v>159</v>
      </c>
      <c r="D1083" s="431" t="s">
        <v>173</v>
      </c>
      <c r="E1083" s="431" t="s">
        <v>161</v>
      </c>
      <c r="F1083" s="431" t="s">
        <v>371</v>
      </c>
      <c r="G1083" s="431" t="s">
        <v>175</v>
      </c>
      <c r="H1083" s="431"/>
      <c r="I1083" s="431"/>
      <c r="J1083" s="431"/>
      <c r="K1083" s="431"/>
      <c r="L1083" s="431" t="s">
        <v>176</v>
      </c>
      <c r="M1083" s="432" t="s">
        <v>372</v>
      </c>
    </row>
    <row r="1084" spans="1:13" ht="409.5" x14ac:dyDescent="0.2">
      <c r="A1084" s="431" t="s">
        <v>370</v>
      </c>
      <c r="B1084" s="431">
        <v>1870458</v>
      </c>
      <c r="C1084" s="431" t="s">
        <v>159</v>
      </c>
      <c r="D1084" s="431" t="s">
        <v>173</v>
      </c>
      <c r="E1084" s="431" t="s">
        <v>161</v>
      </c>
      <c r="F1084" s="431" t="s">
        <v>371</v>
      </c>
      <c r="G1084" s="431" t="s">
        <v>175</v>
      </c>
      <c r="H1084" s="431"/>
      <c r="I1084" s="431"/>
      <c r="J1084" s="431"/>
      <c r="K1084" s="431"/>
      <c r="L1084" s="431" t="s">
        <v>176</v>
      </c>
      <c r="M1084" s="432" t="s">
        <v>372</v>
      </c>
    </row>
    <row r="1085" spans="1:13" ht="409.5" x14ac:dyDescent="0.2">
      <c r="A1085" s="431" t="s">
        <v>370</v>
      </c>
      <c r="B1085" s="431">
        <v>1870458</v>
      </c>
      <c r="C1085" s="431" t="s">
        <v>159</v>
      </c>
      <c r="D1085" s="431" t="s">
        <v>173</v>
      </c>
      <c r="E1085" s="431" t="s">
        <v>161</v>
      </c>
      <c r="F1085" s="431" t="s">
        <v>371</v>
      </c>
      <c r="G1085" s="431" t="s">
        <v>175</v>
      </c>
      <c r="H1085" s="431"/>
      <c r="I1085" s="431"/>
      <c r="J1085" s="431"/>
      <c r="K1085" s="431"/>
      <c r="L1085" s="431" t="s">
        <v>176</v>
      </c>
      <c r="M1085" s="432" t="s">
        <v>372</v>
      </c>
    </row>
    <row r="1086" spans="1:13" ht="409.5" x14ac:dyDescent="0.2">
      <c r="A1086" s="431" t="s">
        <v>370</v>
      </c>
      <c r="B1086" s="431">
        <v>1870458</v>
      </c>
      <c r="C1086" s="431" t="s">
        <v>159</v>
      </c>
      <c r="D1086" s="431" t="s">
        <v>173</v>
      </c>
      <c r="E1086" s="431" t="s">
        <v>161</v>
      </c>
      <c r="F1086" s="431" t="s">
        <v>371</v>
      </c>
      <c r="G1086" s="431" t="s">
        <v>175</v>
      </c>
      <c r="H1086" s="431"/>
      <c r="I1086" s="431"/>
      <c r="J1086" s="431"/>
      <c r="K1086" s="431"/>
      <c r="L1086" s="431" t="s">
        <v>176</v>
      </c>
      <c r="M1086" s="432" t="s">
        <v>372</v>
      </c>
    </row>
    <row r="1087" spans="1:13" ht="409.5" x14ac:dyDescent="0.2">
      <c r="A1087" s="431" t="s">
        <v>370</v>
      </c>
      <c r="B1087" s="431">
        <v>1870458</v>
      </c>
      <c r="C1087" s="431" t="s">
        <v>159</v>
      </c>
      <c r="D1087" s="431" t="s">
        <v>173</v>
      </c>
      <c r="E1087" s="431" t="s">
        <v>161</v>
      </c>
      <c r="F1087" s="431" t="s">
        <v>371</v>
      </c>
      <c r="G1087" s="431" t="s">
        <v>175</v>
      </c>
      <c r="H1087" s="431"/>
      <c r="I1087" s="431"/>
      <c r="J1087" s="431"/>
      <c r="K1087" s="431"/>
      <c r="L1087" s="431" t="s">
        <v>176</v>
      </c>
      <c r="M1087" s="432" t="s">
        <v>372</v>
      </c>
    </row>
    <row r="1088" spans="1:13" ht="409.5" x14ac:dyDescent="0.2">
      <c r="A1088" s="431" t="s">
        <v>370</v>
      </c>
      <c r="B1088" s="431">
        <v>1870458</v>
      </c>
      <c r="C1088" s="431" t="s">
        <v>159</v>
      </c>
      <c r="D1088" s="431" t="s">
        <v>173</v>
      </c>
      <c r="E1088" s="431" t="s">
        <v>161</v>
      </c>
      <c r="F1088" s="431" t="s">
        <v>371</v>
      </c>
      <c r="G1088" s="431" t="s">
        <v>175</v>
      </c>
      <c r="H1088" s="431"/>
      <c r="I1088" s="431"/>
      <c r="J1088" s="431"/>
      <c r="K1088" s="431"/>
      <c r="L1088" s="431" t="s">
        <v>176</v>
      </c>
      <c r="M1088" s="432" t="s">
        <v>372</v>
      </c>
    </row>
    <row r="1089" spans="1:13" ht="409.5" x14ac:dyDescent="0.2">
      <c r="A1089" s="431" t="s">
        <v>370</v>
      </c>
      <c r="B1089" s="431">
        <v>1870458</v>
      </c>
      <c r="C1089" s="431" t="s">
        <v>159</v>
      </c>
      <c r="D1089" s="431" t="s">
        <v>173</v>
      </c>
      <c r="E1089" s="431" t="s">
        <v>161</v>
      </c>
      <c r="F1089" s="431" t="s">
        <v>371</v>
      </c>
      <c r="G1089" s="431" t="s">
        <v>175</v>
      </c>
      <c r="H1089" s="431"/>
      <c r="I1089" s="431"/>
      <c r="J1089" s="431"/>
      <c r="K1089" s="431"/>
      <c r="L1089" s="431" t="s">
        <v>176</v>
      </c>
      <c r="M1089" s="432" t="s">
        <v>372</v>
      </c>
    </row>
    <row r="1090" spans="1:13" ht="409.5" x14ac:dyDescent="0.2">
      <c r="A1090" s="431" t="s">
        <v>370</v>
      </c>
      <c r="B1090" s="431">
        <v>1870458</v>
      </c>
      <c r="C1090" s="431" t="s">
        <v>159</v>
      </c>
      <c r="D1090" s="431" t="s">
        <v>173</v>
      </c>
      <c r="E1090" s="431" t="s">
        <v>161</v>
      </c>
      <c r="F1090" s="431" t="s">
        <v>371</v>
      </c>
      <c r="G1090" s="431" t="s">
        <v>175</v>
      </c>
      <c r="H1090" s="431"/>
      <c r="I1090" s="431"/>
      <c r="J1090" s="431"/>
      <c r="K1090" s="431"/>
      <c r="L1090" s="431" t="s">
        <v>176</v>
      </c>
      <c r="M1090" s="432" t="s">
        <v>372</v>
      </c>
    </row>
    <row r="1091" spans="1:13" ht="409.5" x14ac:dyDescent="0.2">
      <c r="A1091" s="431" t="s">
        <v>370</v>
      </c>
      <c r="B1091" s="431">
        <v>1870458</v>
      </c>
      <c r="C1091" s="431" t="s">
        <v>159</v>
      </c>
      <c r="D1091" s="431" t="s">
        <v>173</v>
      </c>
      <c r="E1091" s="431" t="s">
        <v>161</v>
      </c>
      <c r="F1091" s="431" t="s">
        <v>371</v>
      </c>
      <c r="G1091" s="431" t="s">
        <v>175</v>
      </c>
      <c r="H1091" s="431"/>
      <c r="I1091" s="431"/>
      <c r="J1091" s="431"/>
      <c r="K1091" s="431"/>
      <c r="L1091" s="431" t="s">
        <v>176</v>
      </c>
      <c r="M1091" s="432" t="s">
        <v>372</v>
      </c>
    </row>
    <row r="1092" spans="1:13" ht="409.5" x14ac:dyDescent="0.2">
      <c r="A1092" s="431" t="s">
        <v>370</v>
      </c>
      <c r="B1092" s="431">
        <v>1870458</v>
      </c>
      <c r="C1092" s="431" t="s">
        <v>159</v>
      </c>
      <c r="D1092" s="431" t="s">
        <v>173</v>
      </c>
      <c r="E1092" s="431" t="s">
        <v>161</v>
      </c>
      <c r="F1092" s="431" t="s">
        <v>371</v>
      </c>
      <c r="G1092" s="431" t="s">
        <v>175</v>
      </c>
      <c r="H1092" s="431"/>
      <c r="I1092" s="431"/>
      <c r="J1092" s="431"/>
      <c r="K1092" s="431"/>
      <c r="L1092" s="431" t="s">
        <v>176</v>
      </c>
      <c r="M1092" s="432" t="s">
        <v>372</v>
      </c>
    </row>
    <row r="1093" spans="1:13" ht="409.5" x14ac:dyDescent="0.2">
      <c r="A1093" s="431" t="s">
        <v>370</v>
      </c>
      <c r="B1093" s="431">
        <v>1870458</v>
      </c>
      <c r="C1093" s="431" t="s">
        <v>159</v>
      </c>
      <c r="D1093" s="431" t="s">
        <v>173</v>
      </c>
      <c r="E1093" s="431" t="s">
        <v>161</v>
      </c>
      <c r="F1093" s="431" t="s">
        <v>371</v>
      </c>
      <c r="G1093" s="431" t="s">
        <v>175</v>
      </c>
      <c r="H1093" s="431"/>
      <c r="I1093" s="431"/>
      <c r="J1093" s="431"/>
      <c r="K1093" s="431"/>
      <c r="L1093" s="431" t="s">
        <v>176</v>
      </c>
      <c r="M1093" s="432" t="s">
        <v>372</v>
      </c>
    </row>
    <row r="1094" spans="1:13" ht="409.5" x14ac:dyDescent="0.2">
      <c r="A1094" s="431" t="s">
        <v>370</v>
      </c>
      <c r="B1094" s="431">
        <v>1870458</v>
      </c>
      <c r="C1094" s="431" t="s">
        <v>159</v>
      </c>
      <c r="D1094" s="431" t="s">
        <v>173</v>
      </c>
      <c r="E1094" s="431" t="s">
        <v>161</v>
      </c>
      <c r="F1094" s="431" t="s">
        <v>371</v>
      </c>
      <c r="G1094" s="431" t="s">
        <v>175</v>
      </c>
      <c r="H1094" s="431"/>
      <c r="I1094" s="431"/>
      <c r="J1094" s="431"/>
      <c r="K1094" s="431"/>
      <c r="L1094" s="431" t="s">
        <v>176</v>
      </c>
      <c r="M1094" s="432" t="s">
        <v>372</v>
      </c>
    </row>
    <row r="1095" spans="1:13" ht="409.5" x14ac:dyDescent="0.2">
      <c r="A1095" s="431" t="s">
        <v>370</v>
      </c>
      <c r="B1095" s="431">
        <v>1870458</v>
      </c>
      <c r="C1095" s="431" t="s">
        <v>159</v>
      </c>
      <c r="D1095" s="431" t="s">
        <v>173</v>
      </c>
      <c r="E1095" s="431" t="s">
        <v>161</v>
      </c>
      <c r="F1095" s="431" t="s">
        <v>371</v>
      </c>
      <c r="G1095" s="431" t="s">
        <v>175</v>
      </c>
      <c r="H1095" s="431"/>
      <c r="I1095" s="431"/>
      <c r="J1095" s="431"/>
      <c r="K1095" s="431"/>
      <c r="L1095" s="431" t="s">
        <v>176</v>
      </c>
      <c r="M1095" s="432" t="s">
        <v>372</v>
      </c>
    </row>
    <row r="1096" spans="1:13" ht="409.5" x14ac:dyDescent="0.2">
      <c r="A1096" s="431" t="s">
        <v>370</v>
      </c>
      <c r="B1096" s="431">
        <v>1870458</v>
      </c>
      <c r="C1096" s="431" t="s">
        <v>159</v>
      </c>
      <c r="D1096" s="431" t="s">
        <v>173</v>
      </c>
      <c r="E1096" s="431" t="s">
        <v>161</v>
      </c>
      <c r="F1096" s="431" t="s">
        <v>371</v>
      </c>
      <c r="G1096" s="431" t="s">
        <v>175</v>
      </c>
      <c r="H1096" s="431"/>
      <c r="I1096" s="431"/>
      <c r="J1096" s="431"/>
      <c r="K1096" s="431"/>
      <c r="L1096" s="431" t="s">
        <v>176</v>
      </c>
      <c r="M1096" s="432" t="s">
        <v>372</v>
      </c>
    </row>
    <row r="1097" spans="1:13" ht="409.5" x14ac:dyDescent="0.2">
      <c r="A1097" s="431" t="s">
        <v>370</v>
      </c>
      <c r="B1097" s="431">
        <v>1870458</v>
      </c>
      <c r="C1097" s="431" t="s">
        <v>159</v>
      </c>
      <c r="D1097" s="431" t="s">
        <v>173</v>
      </c>
      <c r="E1097" s="431" t="s">
        <v>161</v>
      </c>
      <c r="F1097" s="431" t="s">
        <v>371</v>
      </c>
      <c r="G1097" s="431" t="s">
        <v>175</v>
      </c>
      <c r="H1097" s="431"/>
      <c r="I1097" s="431"/>
      <c r="J1097" s="431"/>
      <c r="K1097" s="431"/>
      <c r="L1097" s="431" t="s">
        <v>176</v>
      </c>
      <c r="M1097" s="432" t="s">
        <v>372</v>
      </c>
    </row>
    <row r="1098" spans="1:13" ht="409.5" x14ac:dyDescent="0.2">
      <c r="A1098" s="431" t="s">
        <v>370</v>
      </c>
      <c r="B1098" s="431">
        <v>1870458</v>
      </c>
      <c r="C1098" s="431" t="s">
        <v>159</v>
      </c>
      <c r="D1098" s="431" t="s">
        <v>173</v>
      </c>
      <c r="E1098" s="431" t="s">
        <v>161</v>
      </c>
      <c r="F1098" s="431" t="s">
        <v>371</v>
      </c>
      <c r="G1098" s="431" t="s">
        <v>175</v>
      </c>
      <c r="H1098" s="431"/>
      <c r="I1098" s="431"/>
      <c r="J1098" s="431"/>
      <c r="K1098" s="431"/>
      <c r="L1098" s="431" t="s">
        <v>176</v>
      </c>
      <c r="M1098" s="432" t="s">
        <v>372</v>
      </c>
    </row>
    <row r="1099" spans="1:13" ht="409.5" x14ac:dyDescent="0.2">
      <c r="A1099" s="431" t="s">
        <v>370</v>
      </c>
      <c r="B1099" s="431">
        <v>1870458</v>
      </c>
      <c r="C1099" s="431" t="s">
        <v>159</v>
      </c>
      <c r="D1099" s="431" t="s">
        <v>173</v>
      </c>
      <c r="E1099" s="431" t="s">
        <v>161</v>
      </c>
      <c r="F1099" s="431" t="s">
        <v>371</v>
      </c>
      <c r="G1099" s="431" t="s">
        <v>175</v>
      </c>
      <c r="H1099" s="431"/>
      <c r="I1099" s="431"/>
      <c r="J1099" s="431"/>
      <c r="K1099" s="431"/>
      <c r="L1099" s="431" t="s">
        <v>176</v>
      </c>
      <c r="M1099" s="432" t="s">
        <v>372</v>
      </c>
    </row>
    <row r="1100" spans="1:13" ht="409.5" x14ac:dyDescent="0.2">
      <c r="A1100" s="431" t="s">
        <v>370</v>
      </c>
      <c r="B1100" s="431">
        <v>1870458</v>
      </c>
      <c r="C1100" s="431" t="s">
        <v>159</v>
      </c>
      <c r="D1100" s="431" t="s">
        <v>173</v>
      </c>
      <c r="E1100" s="431" t="s">
        <v>161</v>
      </c>
      <c r="F1100" s="431" t="s">
        <v>371</v>
      </c>
      <c r="G1100" s="431" t="s">
        <v>175</v>
      </c>
      <c r="H1100" s="431"/>
      <c r="I1100" s="431"/>
      <c r="J1100" s="431"/>
      <c r="K1100" s="431"/>
      <c r="L1100" s="431" t="s">
        <v>176</v>
      </c>
      <c r="M1100" s="432" t="s">
        <v>372</v>
      </c>
    </row>
    <row r="1101" spans="1:13" ht="409.5" x14ac:dyDescent="0.2">
      <c r="A1101" s="431" t="s">
        <v>370</v>
      </c>
      <c r="B1101" s="431">
        <v>1870458</v>
      </c>
      <c r="C1101" s="431" t="s">
        <v>159</v>
      </c>
      <c r="D1101" s="431" t="s">
        <v>173</v>
      </c>
      <c r="E1101" s="431" t="s">
        <v>161</v>
      </c>
      <c r="F1101" s="431" t="s">
        <v>371</v>
      </c>
      <c r="G1101" s="431" t="s">
        <v>175</v>
      </c>
      <c r="H1101" s="431"/>
      <c r="I1101" s="431"/>
      <c r="J1101" s="431"/>
      <c r="K1101" s="431"/>
      <c r="L1101" s="431" t="s">
        <v>176</v>
      </c>
      <c r="M1101" s="432" t="s">
        <v>372</v>
      </c>
    </row>
    <row r="1102" spans="1:13" ht="409.5" x14ac:dyDescent="0.2">
      <c r="A1102" s="431" t="s">
        <v>370</v>
      </c>
      <c r="B1102" s="431">
        <v>1870458</v>
      </c>
      <c r="C1102" s="431" t="s">
        <v>159</v>
      </c>
      <c r="D1102" s="431" t="s">
        <v>173</v>
      </c>
      <c r="E1102" s="431" t="s">
        <v>161</v>
      </c>
      <c r="F1102" s="431" t="s">
        <v>371</v>
      </c>
      <c r="G1102" s="431" t="s">
        <v>175</v>
      </c>
      <c r="H1102" s="431"/>
      <c r="I1102" s="431"/>
      <c r="J1102" s="431"/>
      <c r="K1102" s="431"/>
      <c r="L1102" s="431" t="s">
        <v>176</v>
      </c>
      <c r="M1102" s="432" t="s">
        <v>372</v>
      </c>
    </row>
    <row r="1103" spans="1:13" ht="409.5" x14ac:dyDescent="0.2">
      <c r="A1103" s="431" t="s">
        <v>370</v>
      </c>
      <c r="B1103" s="431">
        <v>1870458</v>
      </c>
      <c r="C1103" s="431" t="s">
        <v>159</v>
      </c>
      <c r="D1103" s="431" t="s">
        <v>173</v>
      </c>
      <c r="E1103" s="431" t="s">
        <v>161</v>
      </c>
      <c r="F1103" s="431" t="s">
        <v>371</v>
      </c>
      <c r="G1103" s="431" t="s">
        <v>175</v>
      </c>
      <c r="H1103" s="431"/>
      <c r="I1103" s="431"/>
      <c r="J1103" s="431"/>
      <c r="K1103" s="431"/>
      <c r="L1103" s="431" t="s">
        <v>176</v>
      </c>
      <c r="M1103" s="432" t="s">
        <v>372</v>
      </c>
    </row>
    <row r="1104" spans="1:13" ht="409.5" x14ac:dyDescent="0.2">
      <c r="A1104" s="431" t="s">
        <v>370</v>
      </c>
      <c r="B1104" s="431">
        <v>1870458</v>
      </c>
      <c r="C1104" s="431" t="s">
        <v>159</v>
      </c>
      <c r="D1104" s="431" t="s">
        <v>173</v>
      </c>
      <c r="E1104" s="431" t="s">
        <v>161</v>
      </c>
      <c r="F1104" s="431" t="s">
        <v>371</v>
      </c>
      <c r="G1104" s="431" t="s">
        <v>175</v>
      </c>
      <c r="H1104" s="431"/>
      <c r="I1104" s="431"/>
      <c r="J1104" s="431"/>
      <c r="K1104" s="431"/>
      <c r="L1104" s="431" t="s">
        <v>176</v>
      </c>
      <c r="M1104" s="432" t="s">
        <v>372</v>
      </c>
    </row>
    <row r="1105" spans="1:13" ht="409.5" x14ac:dyDescent="0.2">
      <c r="A1105" s="431" t="s">
        <v>370</v>
      </c>
      <c r="B1105" s="431">
        <v>1870458</v>
      </c>
      <c r="C1105" s="431" t="s">
        <v>159</v>
      </c>
      <c r="D1105" s="431" t="s">
        <v>173</v>
      </c>
      <c r="E1105" s="431" t="s">
        <v>161</v>
      </c>
      <c r="F1105" s="431" t="s">
        <v>371</v>
      </c>
      <c r="G1105" s="431" t="s">
        <v>175</v>
      </c>
      <c r="H1105" s="431"/>
      <c r="I1105" s="431"/>
      <c r="J1105" s="431"/>
      <c r="K1105" s="431"/>
      <c r="L1105" s="431" t="s">
        <v>176</v>
      </c>
      <c r="M1105" s="432" t="s">
        <v>372</v>
      </c>
    </row>
    <row r="1106" spans="1:13" ht="409.5" x14ac:dyDescent="0.2">
      <c r="A1106" s="431" t="s">
        <v>370</v>
      </c>
      <c r="B1106" s="431">
        <v>1870458</v>
      </c>
      <c r="C1106" s="431" t="s">
        <v>159</v>
      </c>
      <c r="D1106" s="431" t="s">
        <v>173</v>
      </c>
      <c r="E1106" s="431" t="s">
        <v>161</v>
      </c>
      <c r="F1106" s="431" t="s">
        <v>371</v>
      </c>
      <c r="G1106" s="431" t="s">
        <v>175</v>
      </c>
      <c r="H1106" s="431"/>
      <c r="I1106" s="431"/>
      <c r="J1106" s="431"/>
      <c r="K1106" s="431"/>
      <c r="L1106" s="431" t="s">
        <v>176</v>
      </c>
      <c r="M1106" s="432" t="s">
        <v>372</v>
      </c>
    </row>
    <row r="1107" spans="1:13" ht="409.5" x14ac:dyDescent="0.2">
      <c r="A1107" s="431" t="s">
        <v>370</v>
      </c>
      <c r="B1107" s="431">
        <v>1870458</v>
      </c>
      <c r="C1107" s="431" t="s">
        <v>159</v>
      </c>
      <c r="D1107" s="431" t="s">
        <v>173</v>
      </c>
      <c r="E1107" s="431" t="s">
        <v>161</v>
      </c>
      <c r="F1107" s="431" t="s">
        <v>371</v>
      </c>
      <c r="G1107" s="431" t="s">
        <v>175</v>
      </c>
      <c r="H1107" s="431"/>
      <c r="I1107" s="431"/>
      <c r="J1107" s="431"/>
      <c r="K1107" s="431"/>
      <c r="L1107" s="431" t="s">
        <v>176</v>
      </c>
      <c r="M1107" s="432" t="s">
        <v>372</v>
      </c>
    </row>
    <row r="1108" spans="1:13" ht="409.5" x14ac:dyDescent="0.2">
      <c r="A1108" s="431" t="s">
        <v>370</v>
      </c>
      <c r="B1108" s="431">
        <v>1870458</v>
      </c>
      <c r="C1108" s="431" t="s">
        <v>159</v>
      </c>
      <c r="D1108" s="431" t="s">
        <v>173</v>
      </c>
      <c r="E1108" s="431" t="s">
        <v>161</v>
      </c>
      <c r="F1108" s="431" t="s">
        <v>371</v>
      </c>
      <c r="G1108" s="431" t="s">
        <v>175</v>
      </c>
      <c r="H1108" s="431"/>
      <c r="I1108" s="431"/>
      <c r="J1108" s="431"/>
      <c r="K1108" s="431"/>
      <c r="L1108" s="431" t="s">
        <v>176</v>
      </c>
      <c r="M1108" s="432" t="s">
        <v>372</v>
      </c>
    </row>
    <row r="1109" spans="1:13" ht="409.5" x14ac:dyDescent="0.2">
      <c r="A1109" s="431" t="s">
        <v>370</v>
      </c>
      <c r="B1109" s="431">
        <v>1870458</v>
      </c>
      <c r="C1109" s="431" t="s">
        <v>159</v>
      </c>
      <c r="D1109" s="431" t="s">
        <v>173</v>
      </c>
      <c r="E1109" s="431" t="s">
        <v>161</v>
      </c>
      <c r="F1109" s="431" t="s">
        <v>371</v>
      </c>
      <c r="G1109" s="431" t="s">
        <v>175</v>
      </c>
      <c r="H1109" s="431"/>
      <c r="I1109" s="431"/>
      <c r="J1109" s="431"/>
      <c r="K1109" s="431"/>
      <c r="L1109" s="431" t="s">
        <v>176</v>
      </c>
      <c r="M1109" s="432" t="s">
        <v>372</v>
      </c>
    </row>
    <row r="1110" spans="1:13" ht="409.5" x14ac:dyDescent="0.2">
      <c r="A1110" s="431" t="s">
        <v>370</v>
      </c>
      <c r="B1110" s="431">
        <v>1870458</v>
      </c>
      <c r="C1110" s="431" t="s">
        <v>159</v>
      </c>
      <c r="D1110" s="431" t="s">
        <v>173</v>
      </c>
      <c r="E1110" s="431" t="s">
        <v>161</v>
      </c>
      <c r="F1110" s="431" t="s">
        <v>371</v>
      </c>
      <c r="G1110" s="431" t="s">
        <v>175</v>
      </c>
      <c r="H1110" s="431"/>
      <c r="I1110" s="431"/>
      <c r="J1110" s="431"/>
      <c r="K1110" s="431"/>
      <c r="L1110" s="431" t="s">
        <v>176</v>
      </c>
      <c r="M1110" s="432" t="s">
        <v>372</v>
      </c>
    </row>
    <row r="1111" spans="1:13" ht="409.5" x14ac:dyDescent="0.2">
      <c r="A1111" s="431" t="s">
        <v>370</v>
      </c>
      <c r="B1111" s="431">
        <v>1870458</v>
      </c>
      <c r="C1111" s="431" t="s">
        <v>159</v>
      </c>
      <c r="D1111" s="431" t="s">
        <v>173</v>
      </c>
      <c r="E1111" s="431" t="s">
        <v>161</v>
      </c>
      <c r="F1111" s="431" t="s">
        <v>371</v>
      </c>
      <c r="G1111" s="431" t="s">
        <v>175</v>
      </c>
      <c r="H1111" s="431"/>
      <c r="I1111" s="431"/>
      <c r="J1111" s="431"/>
      <c r="K1111" s="431"/>
      <c r="L1111" s="431" t="s">
        <v>176</v>
      </c>
      <c r="M1111" s="432" t="s">
        <v>372</v>
      </c>
    </row>
    <row r="1112" spans="1:13" ht="409.5" x14ac:dyDescent="0.2">
      <c r="A1112" s="431" t="s">
        <v>370</v>
      </c>
      <c r="B1112" s="431">
        <v>1870458</v>
      </c>
      <c r="C1112" s="431" t="s">
        <v>159</v>
      </c>
      <c r="D1112" s="431" t="s">
        <v>173</v>
      </c>
      <c r="E1112" s="431" t="s">
        <v>161</v>
      </c>
      <c r="F1112" s="431" t="s">
        <v>371</v>
      </c>
      <c r="G1112" s="431" t="s">
        <v>175</v>
      </c>
      <c r="H1112" s="431"/>
      <c r="I1112" s="431"/>
      <c r="J1112" s="431"/>
      <c r="K1112" s="431"/>
      <c r="L1112" s="431" t="s">
        <v>176</v>
      </c>
      <c r="M1112" s="432" t="s">
        <v>372</v>
      </c>
    </row>
    <row r="1113" spans="1:13" ht="409.5" x14ac:dyDescent="0.2">
      <c r="A1113" s="431" t="s">
        <v>370</v>
      </c>
      <c r="B1113" s="431">
        <v>1870458</v>
      </c>
      <c r="C1113" s="431" t="s">
        <v>159</v>
      </c>
      <c r="D1113" s="431" t="s">
        <v>173</v>
      </c>
      <c r="E1113" s="431" t="s">
        <v>161</v>
      </c>
      <c r="F1113" s="431" t="s">
        <v>371</v>
      </c>
      <c r="G1113" s="431" t="s">
        <v>175</v>
      </c>
      <c r="H1113" s="431"/>
      <c r="I1113" s="431"/>
      <c r="J1113" s="431"/>
      <c r="K1113" s="431"/>
      <c r="L1113" s="431" t="s">
        <v>176</v>
      </c>
      <c r="M1113" s="432" t="s">
        <v>372</v>
      </c>
    </row>
    <row r="1114" spans="1:13" ht="409.5" x14ac:dyDescent="0.2">
      <c r="A1114" s="431" t="s">
        <v>370</v>
      </c>
      <c r="B1114" s="431">
        <v>1870458</v>
      </c>
      <c r="C1114" s="431" t="s">
        <v>159</v>
      </c>
      <c r="D1114" s="431" t="s">
        <v>173</v>
      </c>
      <c r="E1114" s="431" t="s">
        <v>161</v>
      </c>
      <c r="F1114" s="431" t="s">
        <v>371</v>
      </c>
      <c r="G1114" s="431" t="s">
        <v>175</v>
      </c>
      <c r="H1114" s="431"/>
      <c r="I1114" s="431"/>
      <c r="J1114" s="431"/>
      <c r="K1114" s="431"/>
      <c r="L1114" s="431" t="s">
        <v>176</v>
      </c>
      <c r="M1114" s="432" t="s">
        <v>372</v>
      </c>
    </row>
    <row r="1115" spans="1:13" ht="409.5" x14ac:dyDescent="0.2">
      <c r="A1115" s="431" t="s">
        <v>370</v>
      </c>
      <c r="B1115" s="431">
        <v>1870458</v>
      </c>
      <c r="C1115" s="431" t="s">
        <v>159</v>
      </c>
      <c r="D1115" s="431" t="s">
        <v>173</v>
      </c>
      <c r="E1115" s="431" t="s">
        <v>161</v>
      </c>
      <c r="F1115" s="431" t="s">
        <v>371</v>
      </c>
      <c r="G1115" s="431" t="s">
        <v>175</v>
      </c>
      <c r="H1115" s="431"/>
      <c r="I1115" s="431"/>
      <c r="J1115" s="431"/>
      <c r="K1115" s="431"/>
      <c r="L1115" s="431" t="s">
        <v>176</v>
      </c>
      <c r="M1115" s="432" t="s">
        <v>372</v>
      </c>
    </row>
    <row r="1116" spans="1:13" ht="409.5" x14ac:dyDescent="0.2">
      <c r="A1116" s="431" t="s">
        <v>370</v>
      </c>
      <c r="B1116" s="431">
        <v>1870458</v>
      </c>
      <c r="C1116" s="431" t="s">
        <v>159</v>
      </c>
      <c r="D1116" s="431" t="s">
        <v>173</v>
      </c>
      <c r="E1116" s="431" t="s">
        <v>161</v>
      </c>
      <c r="F1116" s="431" t="s">
        <v>371</v>
      </c>
      <c r="G1116" s="431" t="s">
        <v>175</v>
      </c>
      <c r="H1116" s="431"/>
      <c r="I1116" s="431"/>
      <c r="J1116" s="431"/>
      <c r="K1116" s="431"/>
      <c r="L1116" s="431" t="s">
        <v>176</v>
      </c>
      <c r="M1116" s="432" t="s">
        <v>372</v>
      </c>
    </row>
    <row r="1117" spans="1:13" ht="409.5" x14ac:dyDescent="0.2">
      <c r="A1117" s="431" t="s">
        <v>370</v>
      </c>
      <c r="B1117" s="431">
        <v>1870458</v>
      </c>
      <c r="C1117" s="431" t="s">
        <v>159</v>
      </c>
      <c r="D1117" s="431" t="s">
        <v>173</v>
      </c>
      <c r="E1117" s="431" t="s">
        <v>161</v>
      </c>
      <c r="F1117" s="431" t="s">
        <v>371</v>
      </c>
      <c r="G1117" s="431" t="s">
        <v>175</v>
      </c>
      <c r="H1117" s="431"/>
      <c r="I1117" s="431"/>
      <c r="J1117" s="431"/>
      <c r="K1117" s="431"/>
      <c r="L1117" s="431" t="s">
        <v>176</v>
      </c>
      <c r="M1117" s="432" t="s">
        <v>372</v>
      </c>
    </row>
    <row r="1118" spans="1:13" ht="409.5" x14ac:dyDescent="0.2">
      <c r="A1118" s="431" t="s">
        <v>370</v>
      </c>
      <c r="B1118" s="431">
        <v>1870458</v>
      </c>
      <c r="C1118" s="431" t="s">
        <v>159</v>
      </c>
      <c r="D1118" s="431" t="s">
        <v>173</v>
      </c>
      <c r="E1118" s="431" t="s">
        <v>161</v>
      </c>
      <c r="F1118" s="431" t="s">
        <v>371</v>
      </c>
      <c r="G1118" s="431" t="s">
        <v>175</v>
      </c>
      <c r="H1118" s="431"/>
      <c r="I1118" s="431"/>
      <c r="J1118" s="431"/>
      <c r="K1118" s="431"/>
      <c r="L1118" s="431" t="s">
        <v>176</v>
      </c>
      <c r="M1118" s="432" t="s">
        <v>372</v>
      </c>
    </row>
    <row r="1119" spans="1:13" ht="409.5" x14ac:dyDescent="0.2">
      <c r="A1119" s="431" t="s">
        <v>370</v>
      </c>
      <c r="B1119" s="431">
        <v>1870458</v>
      </c>
      <c r="C1119" s="431" t="s">
        <v>159</v>
      </c>
      <c r="D1119" s="431" t="s">
        <v>173</v>
      </c>
      <c r="E1119" s="431" t="s">
        <v>161</v>
      </c>
      <c r="F1119" s="431" t="s">
        <v>371</v>
      </c>
      <c r="G1119" s="431" t="s">
        <v>175</v>
      </c>
      <c r="H1119" s="431"/>
      <c r="I1119" s="431"/>
      <c r="J1119" s="431"/>
      <c r="K1119" s="431"/>
      <c r="L1119" s="431" t="s">
        <v>176</v>
      </c>
      <c r="M1119" s="432" t="s">
        <v>372</v>
      </c>
    </row>
    <row r="1120" spans="1:13" ht="409.5" x14ac:dyDescent="0.2">
      <c r="A1120" s="431" t="s">
        <v>370</v>
      </c>
      <c r="B1120" s="431">
        <v>1870458</v>
      </c>
      <c r="C1120" s="431" t="s">
        <v>159</v>
      </c>
      <c r="D1120" s="431" t="s">
        <v>173</v>
      </c>
      <c r="E1120" s="431" t="s">
        <v>161</v>
      </c>
      <c r="F1120" s="431" t="s">
        <v>371</v>
      </c>
      <c r="G1120" s="431" t="s">
        <v>175</v>
      </c>
      <c r="H1120" s="431"/>
      <c r="I1120" s="431"/>
      <c r="J1120" s="431"/>
      <c r="K1120" s="431"/>
      <c r="L1120" s="431" t="s">
        <v>176</v>
      </c>
      <c r="M1120" s="432" t="s">
        <v>372</v>
      </c>
    </row>
    <row r="1121" spans="1:13" ht="409.5" x14ac:dyDescent="0.2">
      <c r="A1121" s="431" t="s">
        <v>370</v>
      </c>
      <c r="B1121" s="431">
        <v>1870458</v>
      </c>
      <c r="C1121" s="431" t="s">
        <v>159</v>
      </c>
      <c r="D1121" s="431" t="s">
        <v>173</v>
      </c>
      <c r="E1121" s="431" t="s">
        <v>161</v>
      </c>
      <c r="F1121" s="431" t="s">
        <v>371</v>
      </c>
      <c r="G1121" s="431" t="s">
        <v>175</v>
      </c>
      <c r="H1121" s="431"/>
      <c r="I1121" s="431"/>
      <c r="J1121" s="431"/>
      <c r="K1121" s="431"/>
      <c r="L1121" s="431" t="s">
        <v>176</v>
      </c>
      <c r="M1121" s="432" t="s">
        <v>372</v>
      </c>
    </row>
    <row r="1122" spans="1:13" ht="409.5" x14ac:dyDescent="0.2">
      <c r="A1122" s="431" t="s">
        <v>370</v>
      </c>
      <c r="B1122" s="431">
        <v>1870458</v>
      </c>
      <c r="C1122" s="431" t="s">
        <v>159</v>
      </c>
      <c r="D1122" s="431" t="s">
        <v>173</v>
      </c>
      <c r="E1122" s="431" t="s">
        <v>161</v>
      </c>
      <c r="F1122" s="431" t="s">
        <v>371</v>
      </c>
      <c r="G1122" s="431" t="s">
        <v>175</v>
      </c>
      <c r="H1122" s="431"/>
      <c r="I1122" s="431"/>
      <c r="J1122" s="431"/>
      <c r="K1122" s="431"/>
      <c r="L1122" s="431" t="s">
        <v>176</v>
      </c>
      <c r="M1122" s="432" t="s">
        <v>372</v>
      </c>
    </row>
    <row r="1123" spans="1:13" ht="409.5" x14ac:dyDescent="0.2">
      <c r="A1123" s="431" t="s">
        <v>370</v>
      </c>
      <c r="B1123" s="431">
        <v>1870458</v>
      </c>
      <c r="C1123" s="431" t="s">
        <v>159</v>
      </c>
      <c r="D1123" s="431" t="s">
        <v>173</v>
      </c>
      <c r="E1123" s="431" t="s">
        <v>161</v>
      </c>
      <c r="F1123" s="431" t="s">
        <v>371</v>
      </c>
      <c r="G1123" s="431" t="s">
        <v>175</v>
      </c>
      <c r="H1123" s="431"/>
      <c r="I1123" s="431"/>
      <c r="J1123" s="431"/>
      <c r="K1123" s="431"/>
      <c r="L1123" s="431" t="s">
        <v>176</v>
      </c>
      <c r="M1123" s="432" t="s">
        <v>372</v>
      </c>
    </row>
    <row r="1124" spans="1:13" ht="409.5" x14ac:dyDescent="0.2">
      <c r="A1124" s="431" t="s">
        <v>370</v>
      </c>
      <c r="B1124" s="431">
        <v>1870458</v>
      </c>
      <c r="C1124" s="431" t="s">
        <v>159</v>
      </c>
      <c r="D1124" s="431" t="s">
        <v>173</v>
      </c>
      <c r="E1124" s="431" t="s">
        <v>161</v>
      </c>
      <c r="F1124" s="431" t="s">
        <v>371</v>
      </c>
      <c r="G1124" s="431" t="s">
        <v>175</v>
      </c>
      <c r="H1124" s="431"/>
      <c r="I1124" s="431"/>
      <c r="J1124" s="431"/>
      <c r="K1124" s="431"/>
      <c r="L1124" s="431" t="s">
        <v>176</v>
      </c>
      <c r="M1124" s="432" t="s">
        <v>372</v>
      </c>
    </row>
    <row r="1125" spans="1:13" ht="409.5" x14ac:dyDescent="0.2">
      <c r="A1125" s="431" t="s">
        <v>370</v>
      </c>
      <c r="B1125" s="431">
        <v>1870458</v>
      </c>
      <c r="C1125" s="431" t="s">
        <v>159</v>
      </c>
      <c r="D1125" s="431" t="s">
        <v>173</v>
      </c>
      <c r="E1125" s="431" t="s">
        <v>161</v>
      </c>
      <c r="F1125" s="431" t="s">
        <v>371</v>
      </c>
      <c r="G1125" s="431" t="s">
        <v>175</v>
      </c>
      <c r="H1125" s="431"/>
      <c r="I1125" s="431"/>
      <c r="J1125" s="431"/>
      <c r="K1125" s="431"/>
      <c r="L1125" s="431" t="s">
        <v>176</v>
      </c>
      <c r="M1125" s="432" t="s">
        <v>372</v>
      </c>
    </row>
    <row r="1126" spans="1:13" ht="409.5" x14ac:dyDescent="0.2">
      <c r="A1126" s="431" t="s">
        <v>370</v>
      </c>
      <c r="B1126" s="431">
        <v>1870458</v>
      </c>
      <c r="C1126" s="431" t="s">
        <v>159</v>
      </c>
      <c r="D1126" s="431" t="s">
        <v>173</v>
      </c>
      <c r="E1126" s="431" t="s">
        <v>161</v>
      </c>
      <c r="F1126" s="431" t="s">
        <v>371</v>
      </c>
      <c r="G1126" s="431" t="s">
        <v>175</v>
      </c>
      <c r="H1126" s="431"/>
      <c r="I1126" s="431"/>
      <c r="J1126" s="431"/>
      <c r="K1126" s="431"/>
      <c r="L1126" s="431" t="s">
        <v>176</v>
      </c>
      <c r="M1126" s="432" t="s">
        <v>372</v>
      </c>
    </row>
    <row r="1127" spans="1:13" ht="409.5" x14ac:dyDescent="0.2">
      <c r="A1127" s="431" t="s">
        <v>370</v>
      </c>
      <c r="B1127" s="431">
        <v>1870458</v>
      </c>
      <c r="C1127" s="431" t="s">
        <v>159</v>
      </c>
      <c r="D1127" s="431" t="s">
        <v>173</v>
      </c>
      <c r="E1127" s="431" t="s">
        <v>161</v>
      </c>
      <c r="F1127" s="431" t="s">
        <v>174</v>
      </c>
      <c r="G1127" s="431" t="s">
        <v>175</v>
      </c>
      <c r="H1127" s="431"/>
      <c r="I1127" s="431"/>
      <c r="J1127" s="431"/>
      <c r="K1127" s="431"/>
      <c r="L1127" s="431" t="s">
        <v>176</v>
      </c>
      <c r="M1127" s="432" t="s">
        <v>372</v>
      </c>
    </row>
    <row r="1128" spans="1:13" ht="409.5" x14ac:dyDescent="0.2">
      <c r="A1128" s="431" t="s">
        <v>370</v>
      </c>
      <c r="B1128" s="431">
        <v>1870458</v>
      </c>
      <c r="C1128" s="431" t="s">
        <v>159</v>
      </c>
      <c r="D1128" s="431" t="s">
        <v>173</v>
      </c>
      <c r="E1128" s="431" t="s">
        <v>161</v>
      </c>
      <c r="F1128" s="431" t="s">
        <v>174</v>
      </c>
      <c r="G1128" s="431" t="s">
        <v>175</v>
      </c>
      <c r="H1128" s="431"/>
      <c r="I1128" s="431"/>
      <c r="J1128" s="431"/>
      <c r="K1128" s="431"/>
      <c r="L1128" s="431" t="s">
        <v>176</v>
      </c>
      <c r="M1128" s="432" t="s">
        <v>372</v>
      </c>
    </row>
    <row r="1129" spans="1:13" ht="409.5" x14ac:dyDescent="0.2">
      <c r="A1129" s="431" t="s">
        <v>370</v>
      </c>
      <c r="B1129" s="431">
        <v>1870458</v>
      </c>
      <c r="C1129" s="431" t="s">
        <v>159</v>
      </c>
      <c r="D1129" s="431" t="s">
        <v>173</v>
      </c>
      <c r="E1129" s="431" t="s">
        <v>161</v>
      </c>
      <c r="F1129" s="431" t="s">
        <v>174</v>
      </c>
      <c r="G1129" s="431" t="s">
        <v>175</v>
      </c>
      <c r="H1129" s="431"/>
      <c r="I1129" s="431"/>
      <c r="J1129" s="431"/>
      <c r="K1129" s="431"/>
      <c r="L1129" s="431" t="s">
        <v>176</v>
      </c>
      <c r="M1129" s="432" t="s">
        <v>372</v>
      </c>
    </row>
    <row r="1130" spans="1:13" ht="409.5" x14ac:dyDescent="0.2">
      <c r="A1130" s="431" t="s">
        <v>370</v>
      </c>
      <c r="B1130" s="431">
        <v>1870458</v>
      </c>
      <c r="C1130" s="431" t="s">
        <v>159</v>
      </c>
      <c r="D1130" s="431" t="s">
        <v>173</v>
      </c>
      <c r="E1130" s="431" t="s">
        <v>161</v>
      </c>
      <c r="F1130" s="431" t="s">
        <v>174</v>
      </c>
      <c r="G1130" s="431" t="s">
        <v>175</v>
      </c>
      <c r="H1130" s="431"/>
      <c r="I1130" s="431"/>
      <c r="J1130" s="431"/>
      <c r="K1130" s="431"/>
      <c r="L1130" s="431" t="s">
        <v>176</v>
      </c>
      <c r="M1130" s="432" t="s">
        <v>372</v>
      </c>
    </row>
    <row r="1131" spans="1:13" ht="409.5" x14ac:dyDescent="0.2">
      <c r="A1131" s="431" t="s">
        <v>370</v>
      </c>
      <c r="B1131" s="431">
        <v>1870458</v>
      </c>
      <c r="C1131" s="431" t="s">
        <v>159</v>
      </c>
      <c r="D1131" s="431" t="s">
        <v>173</v>
      </c>
      <c r="E1131" s="431" t="s">
        <v>161</v>
      </c>
      <c r="F1131" s="431" t="s">
        <v>174</v>
      </c>
      <c r="G1131" s="431" t="s">
        <v>175</v>
      </c>
      <c r="H1131" s="431"/>
      <c r="I1131" s="431"/>
      <c r="J1131" s="431"/>
      <c r="K1131" s="431"/>
      <c r="L1131" s="431" t="s">
        <v>176</v>
      </c>
      <c r="M1131" s="432" t="s">
        <v>372</v>
      </c>
    </row>
    <row r="1132" spans="1:13" ht="409.5" x14ac:dyDescent="0.2">
      <c r="A1132" s="431" t="s">
        <v>370</v>
      </c>
      <c r="B1132" s="431">
        <v>1870458</v>
      </c>
      <c r="C1132" s="431" t="s">
        <v>159</v>
      </c>
      <c r="D1132" s="431" t="s">
        <v>173</v>
      </c>
      <c r="E1132" s="431" t="s">
        <v>161</v>
      </c>
      <c r="F1132" s="431" t="s">
        <v>174</v>
      </c>
      <c r="G1132" s="431" t="s">
        <v>175</v>
      </c>
      <c r="H1132" s="431"/>
      <c r="I1132" s="431"/>
      <c r="J1132" s="431"/>
      <c r="K1132" s="431"/>
      <c r="L1132" s="431" t="s">
        <v>176</v>
      </c>
      <c r="M1132" s="432" t="s">
        <v>372</v>
      </c>
    </row>
    <row r="1133" spans="1:13" ht="409.5" x14ac:dyDescent="0.2">
      <c r="A1133" s="431" t="s">
        <v>370</v>
      </c>
      <c r="B1133" s="431">
        <v>1870458</v>
      </c>
      <c r="C1133" s="431" t="s">
        <v>159</v>
      </c>
      <c r="D1133" s="431" t="s">
        <v>173</v>
      </c>
      <c r="E1133" s="431" t="s">
        <v>161</v>
      </c>
      <c r="F1133" s="431" t="s">
        <v>174</v>
      </c>
      <c r="G1133" s="431" t="s">
        <v>175</v>
      </c>
      <c r="H1133" s="431"/>
      <c r="I1133" s="431"/>
      <c r="J1133" s="431"/>
      <c r="K1133" s="431"/>
      <c r="L1133" s="431" t="s">
        <v>176</v>
      </c>
      <c r="M1133" s="432" t="s">
        <v>372</v>
      </c>
    </row>
    <row r="1134" spans="1:13" ht="409.5" x14ac:dyDescent="0.2">
      <c r="A1134" s="431" t="s">
        <v>370</v>
      </c>
      <c r="B1134" s="431">
        <v>1870458</v>
      </c>
      <c r="C1134" s="431" t="s">
        <v>159</v>
      </c>
      <c r="D1134" s="431" t="s">
        <v>173</v>
      </c>
      <c r="E1134" s="431" t="s">
        <v>161</v>
      </c>
      <c r="F1134" s="431" t="s">
        <v>174</v>
      </c>
      <c r="G1134" s="431" t="s">
        <v>175</v>
      </c>
      <c r="H1134" s="431"/>
      <c r="I1134" s="431"/>
      <c r="J1134" s="431"/>
      <c r="K1134" s="431"/>
      <c r="L1134" s="431" t="s">
        <v>176</v>
      </c>
      <c r="M1134" s="432" t="s">
        <v>372</v>
      </c>
    </row>
    <row r="1135" spans="1:13" ht="409.5" x14ac:dyDescent="0.2">
      <c r="A1135" s="431" t="s">
        <v>370</v>
      </c>
      <c r="B1135" s="431">
        <v>1870458</v>
      </c>
      <c r="C1135" s="431" t="s">
        <v>159</v>
      </c>
      <c r="D1135" s="431" t="s">
        <v>173</v>
      </c>
      <c r="E1135" s="431" t="s">
        <v>161</v>
      </c>
      <c r="F1135" s="431" t="s">
        <v>174</v>
      </c>
      <c r="G1135" s="431" t="s">
        <v>175</v>
      </c>
      <c r="H1135" s="431"/>
      <c r="I1135" s="431"/>
      <c r="J1135" s="431"/>
      <c r="K1135" s="431"/>
      <c r="L1135" s="431" t="s">
        <v>176</v>
      </c>
      <c r="M1135" s="432" t="s">
        <v>372</v>
      </c>
    </row>
    <row r="1136" spans="1:13" ht="409.5" x14ac:dyDescent="0.2">
      <c r="A1136" s="431" t="s">
        <v>370</v>
      </c>
      <c r="B1136" s="431">
        <v>1870458</v>
      </c>
      <c r="C1136" s="431" t="s">
        <v>159</v>
      </c>
      <c r="D1136" s="431" t="s">
        <v>173</v>
      </c>
      <c r="E1136" s="431" t="s">
        <v>161</v>
      </c>
      <c r="F1136" s="431" t="s">
        <v>174</v>
      </c>
      <c r="G1136" s="431" t="s">
        <v>175</v>
      </c>
      <c r="H1136" s="431"/>
      <c r="I1136" s="431"/>
      <c r="J1136" s="431"/>
      <c r="K1136" s="431"/>
      <c r="L1136" s="431" t="s">
        <v>176</v>
      </c>
      <c r="M1136" s="432" t="s">
        <v>372</v>
      </c>
    </row>
    <row r="1137" spans="1:13" ht="409.5" x14ac:dyDescent="0.2">
      <c r="A1137" s="431" t="s">
        <v>370</v>
      </c>
      <c r="B1137" s="431">
        <v>1870458</v>
      </c>
      <c r="C1137" s="431" t="s">
        <v>159</v>
      </c>
      <c r="D1137" s="431" t="s">
        <v>173</v>
      </c>
      <c r="E1137" s="431" t="s">
        <v>161</v>
      </c>
      <c r="F1137" s="431" t="s">
        <v>174</v>
      </c>
      <c r="G1137" s="431" t="s">
        <v>175</v>
      </c>
      <c r="H1137" s="431"/>
      <c r="I1137" s="431"/>
      <c r="J1137" s="431"/>
      <c r="K1137" s="431"/>
      <c r="L1137" s="431" t="s">
        <v>176</v>
      </c>
      <c r="M1137" s="432" t="s">
        <v>372</v>
      </c>
    </row>
    <row r="1138" spans="1:13" ht="409.5" x14ac:dyDescent="0.2">
      <c r="A1138" s="431" t="s">
        <v>370</v>
      </c>
      <c r="B1138" s="431">
        <v>1870458</v>
      </c>
      <c r="C1138" s="431" t="s">
        <v>159</v>
      </c>
      <c r="D1138" s="431" t="s">
        <v>173</v>
      </c>
      <c r="E1138" s="431" t="s">
        <v>161</v>
      </c>
      <c r="F1138" s="431" t="s">
        <v>174</v>
      </c>
      <c r="G1138" s="431" t="s">
        <v>175</v>
      </c>
      <c r="H1138" s="431"/>
      <c r="I1138" s="431"/>
      <c r="J1138" s="431"/>
      <c r="K1138" s="431"/>
      <c r="L1138" s="431" t="s">
        <v>176</v>
      </c>
      <c r="M1138" s="432" t="s">
        <v>372</v>
      </c>
    </row>
    <row r="1139" spans="1:13" ht="409.5" x14ac:dyDescent="0.2">
      <c r="A1139" s="431" t="s">
        <v>370</v>
      </c>
      <c r="B1139" s="431">
        <v>1870458</v>
      </c>
      <c r="C1139" s="431" t="s">
        <v>159</v>
      </c>
      <c r="D1139" s="431" t="s">
        <v>173</v>
      </c>
      <c r="E1139" s="431" t="s">
        <v>161</v>
      </c>
      <c r="F1139" s="431" t="s">
        <v>174</v>
      </c>
      <c r="G1139" s="431" t="s">
        <v>175</v>
      </c>
      <c r="H1139" s="431"/>
      <c r="I1139" s="431"/>
      <c r="J1139" s="431"/>
      <c r="K1139" s="431"/>
      <c r="L1139" s="431" t="s">
        <v>176</v>
      </c>
      <c r="M1139" s="432" t="s">
        <v>372</v>
      </c>
    </row>
    <row r="1140" spans="1:13" ht="409.5" x14ac:dyDescent="0.2">
      <c r="A1140" s="431" t="s">
        <v>370</v>
      </c>
      <c r="B1140" s="431">
        <v>1870458</v>
      </c>
      <c r="C1140" s="431" t="s">
        <v>159</v>
      </c>
      <c r="D1140" s="431" t="s">
        <v>173</v>
      </c>
      <c r="E1140" s="431" t="s">
        <v>161</v>
      </c>
      <c r="F1140" s="431" t="s">
        <v>174</v>
      </c>
      <c r="G1140" s="431" t="s">
        <v>175</v>
      </c>
      <c r="H1140" s="431"/>
      <c r="I1140" s="431"/>
      <c r="J1140" s="431"/>
      <c r="K1140" s="431"/>
      <c r="L1140" s="431" t="s">
        <v>176</v>
      </c>
      <c r="M1140" s="432" t="s">
        <v>372</v>
      </c>
    </row>
    <row r="1141" spans="1:13" ht="409.5" x14ac:dyDescent="0.2">
      <c r="A1141" s="431" t="s">
        <v>370</v>
      </c>
      <c r="B1141" s="431">
        <v>1870458</v>
      </c>
      <c r="C1141" s="431" t="s">
        <v>159</v>
      </c>
      <c r="D1141" s="431" t="s">
        <v>173</v>
      </c>
      <c r="E1141" s="431" t="s">
        <v>161</v>
      </c>
      <c r="F1141" s="431" t="s">
        <v>174</v>
      </c>
      <c r="G1141" s="431" t="s">
        <v>175</v>
      </c>
      <c r="H1141" s="431"/>
      <c r="I1141" s="431"/>
      <c r="J1141" s="431"/>
      <c r="K1141" s="431"/>
      <c r="L1141" s="431" t="s">
        <v>176</v>
      </c>
      <c r="M1141" s="432" t="s">
        <v>372</v>
      </c>
    </row>
    <row r="1142" spans="1:13" ht="409.5" x14ac:dyDescent="0.2">
      <c r="A1142" s="431" t="s">
        <v>370</v>
      </c>
      <c r="B1142" s="431">
        <v>1870458</v>
      </c>
      <c r="C1142" s="431" t="s">
        <v>159</v>
      </c>
      <c r="D1142" s="431" t="s">
        <v>173</v>
      </c>
      <c r="E1142" s="431" t="s">
        <v>161</v>
      </c>
      <c r="F1142" s="431" t="s">
        <v>174</v>
      </c>
      <c r="G1142" s="431" t="s">
        <v>175</v>
      </c>
      <c r="H1142" s="431"/>
      <c r="I1142" s="431"/>
      <c r="J1142" s="431"/>
      <c r="K1142" s="431"/>
      <c r="L1142" s="431" t="s">
        <v>176</v>
      </c>
      <c r="M1142" s="432" t="s">
        <v>372</v>
      </c>
    </row>
    <row r="1143" spans="1:13" ht="409.5" x14ac:dyDescent="0.2">
      <c r="A1143" s="431" t="s">
        <v>370</v>
      </c>
      <c r="B1143" s="431">
        <v>1870458</v>
      </c>
      <c r="C1143" s="431" t="s">
        <v>159</v>
      </c>
      <c r="D1143" s="431" t="s">
        <v>173</v>
      </c>
      <c r="E1143" s="431" t="s">
        <v>161</v>
      </c>
      <c r="F1143" s="431" t="s">
        <v>174</v>
      </c>
      <c r="G1143" s="431" t="s">
        <v>175</v>
      </c>
      <c r="H1143" s="431"/>
      <c r="I1143" s="431"/>
      <c r="J1143" s="431"/>
      <c r="K1143" s="431"/>
      <c r="L1143" s="431" t="s">
        <v>176</v>
      </c>
      <c r="M1143" s="432" t="s">
        <v>372</v>
      </c>
    </row>
    <row r="1144" spans="1:13" ht="409.5" x14ac:dyDescent="0.2">
      <c r="A1144" s="431" t="s">
        <v>370</v>
      </c>
      <c r="B1144" s="431">
        <v>1870458</v>
      </c>
      <c r="C1144" s="431" t="s">
        <v>159</v>
      </c>
      <c r="D1144" s="431" t="s">
        <v>173</v>
      </c>
      <c r="E1144" s="431" t="s">
        <v>161</v>
      </c>
      <c r="F1144" s="431" t="s">
        <v>174</v>
      </c>
      <c r="G1144" s="431" t="s">
        <v>175</v>
      </c>
      <c r="H1144" s="431"/>
      <c r="I1144" s="431"/>
      <c r="J1144" s="431"/>
      <c r="K1144" s="431"/>
      <c r="L1144" s="431" t="s">
        <v>176</v>
      </c>
      <c r="M1144" s="432" t="s">
        <v>372</v>
      </c>
    </row>
    <row r="1145" spans="1:13" ht="409.5" x14ac:dyDescent="0.2">
      <c r="A1145" s="431" t="s">
        <v>370</v>
      </c>
      <c r="B1145" s="431">
        <v>1870458</v>
      </c>
      <c r="C1145" s="431" t="s">
        <v>159</v>
      </c>
      <c r="D1145" s="431" t="s">
        <v>173</v>
      </c>
      <c r="E1145" s="431" t="s">
        <v>161</v>
      </c>
      <c r="F1145" s="431" t="s">
        <v>174</v>
      </c>
      <c r="G1145" s="431" t="s">
        <v>175</v>
      </c>
      <c r="H1145" s="431"/>
      <c r="I1145" s="431"/>
      <c r="J1145" s="431"/>
      <c r="K1145" s="431"/>
      <c r="L1145" s="431" t="s">
        <v>176</v>
      </c>
      <c r="M1145" s="432" t="s">
        <v>372</v>
      </c>
    </row>
    <row r="1146" spans="1:13" ht="409.5" x14ac:dyDescent="0.2">
      <c r="A1146" s="431" t="s">
        <v>370</v>
      </c>
      <c r="B1146" s="431">
        <v>1870458</v>
      </c>
      <c r="C1146" s="431" t="s">
        <v>159</v>
      </c>
      <c r="D1146" s="431" t="s">
        <v>173</v>
      </c>
      <c r="E1146" s="431" t="s">
        <v>161</v>
      </c>
      <c r="F1146" s="431" t="s">
        <v>174</v>
      </c>
      <c r="G1146" s="431" t="s">
        <v>175</v>
      </c>
      <c r="H1146" s="431"/>
      <c r="I1146" s="431"/>
      <c r="J1146" s="431"/>
      <c r="K1146" s="431"/>
      <c r="L1146" s="431" t="s">
        <v>176</v>
      </c>
      <c r="M1146" s="432" t="s">
        <v>372</v>
      </c>
    </row>
    <row r="1147" spans="1:13" ht="409.5" x14ac:dyDescent="0.2">
      <c r="A1147" s="431" t="s">
        <v>370</v>
      </c>
      <c r="B1147" s="431">
        <v>1870458</v>
      </c>
      <c r="C1147" s="431" t="s">
        <v>159</v>
      </c>
      <c r="D1147" s="431" t="s">
        <v>173</v>
      </c>
      <c r="E1147" s="431" t="s">
        <v>161</v>
      </c>
      <c r="F1147" s="431" t="s">
        <v>174</v>
      </c>
      <c r="G1147" s="431" t="s">
        <v>175</v>
      </c>
      <c r="H1147" s="431"/>
      <c r="I1147" s="431"/>
      <c r="J1147" s="431"/>
      <c r="K1147" s="431"/>
      <c r="L1147" s="431" t="s">
        <v>176</v>
      </c>
      <c r="M1147" s="432" t="s">
        <v>372</v>
      </c>
    </row>
    <row r="1148" spans="1:13" ht="409.5" x14ac:dyDescent="0.2">
      <c r="A1148" s="431" t="s">
        <v>370</v>
      </c>
      <c r="B1148" s="431">
        <v>1870458</v>
      </c>
      <c r="C1148" s="431" t="s">
        <v>159</v>
      </c>
      <c r="D1148" s="431" t="s">
        <v>173</v>
      </c>
      <c r="E1148" s="431" t="s">
        <v>161</v>
      </c>
      <c r="F1148" s="431" t="s">
        <v>174</v>
      </c>
      <c r="G1148" s="431" t="s">
        <v>175</v>
      </c>
      <c r="H1148" s="431"/>
      <c r="I1148" s="431"/>
      <c r="J1148" s="431"/>
      <c r="K1148" s="431"/>
      <c r="L1148" s="431" t="s">
        <v>176</v>
      </c>
      <c r="M1148" s="432" t="s">
        <v>372</v>
      </c>
    </row>
    <row r="1149" spans="1:13" ht="409.5" x14ac:dyDescent="0.2">
      <c r="A1149" s="431" t="s">
        <v>370</v>
      </c>
      <c r="B1149" s="431">
        <v>1870458</v>
      </c>
      <c r="C1149" s="431" t="s">
        <v>159</v>
      </c>
      <c r="D1149" s="431" t="s">
        <v>173</v>
      </c>
      <c r="E1149" s="431" t="s">
        <v>161</v>
      </c>
      <c r="F1149" s="431" t="s">
        <v>174</v>
      </c>
      <c r="G1149" s="431" t="s">
        <v>175</v>
      </c>
      <c r="H1149" s="431"/>
      <c r="I1149" s="431"/>
      <c r="J1149" s="431"/>
      <c r="K1149" s="431"/>
      <c r="L1149" s="431" t="s">
        <v>176</v>
      </c>
      <c r="M1149" s="432" t="s">
        <v>372</v>
      </c>
    </row>
    <row r="1150" spans="1:13" ht="409.5" x14ac:dyDescent="0.2">
      <c r="A1150" s="431" t="s">
        <v>370</v>
      </c>
      <c r="B1150" s="431">
        <v>1870458</v>
      </c>
      <c r="C1150" s="431" t="s">
        <v>159</v>
      </c>
      <c r="D1150" s="431" t="s">
        <v>173</v>
      </c>
      <c r="E1150" s="431" t="s">
        <v>161</v>
      </c>
      <c r="F1150" s="431" t="s">
        <v>174</v>
      </c>
      <c r="G1150" s="431" t="s">
        <v>175</v>
      </c>
      <c r="H1150" s="431"/>
      <c r="I1150" s="431"/>
      <c r="J1150" s="431"/>
      <c r="K1150" s="431"/>
      <c r="L1150" s="431" t="s">
        <v>176</v>
      </c>
      <c r="M1150" s="432" t="s">
        <v>372</v>
      </c>
    </row>
    <row r="1151" spans="1:13" ht="409.5" x14ac:dyDescent="0.2">
      <c r="A1151" s="431" t="s">
        <v>370</v>
      </c>
      <c r="B1151" s="431">
        <v>1870458</v>
      </c>
      <c r="C1151" s="431" t="s">
        <v>159</v>
      </c>
      <c r="D1151" s="431" t="s">
        <v>173</v>
      </c>
      <c r="E1151" s="431" t="s">
        <v>161</v>
      </c>
      <c r="F1151" s="431" t="s">
        <v>174</v>
      </c>
      <c r="G1151" s="431" t="s">
        <v>175</v>
      </c>
      <c r="H1151" s="431"/>
      <c r="I1151" s="431"/>
      <c r="J1151" s="431"/>
      <c r="K1151" s="431"/>
      <c r="L1151" s="431" t="s">
        <v>176</v>
      </c>
      <c r="M1151" s="432" t="s">
        <v>372</v>
      </c>
    </row>
    <row r="1152" spans="1:13" ht="409.5" x14ac:dyDescent="0.2">
      <c r="A1152" s="431" t="s">
        <v>373</v>
      </c>
      <c r="B1152" s="431">
        <v>1870459</v>
      </c>
      <c r="C1152" s="431" t="s">
        <v>159</v>
      </c>
      <c r="D1152" s="431" t="s">
        <v>173</v>
      </c>
      <c r="E1152" s="431" t="s">
        <v>161</v>
      </c>
      <c r="F1152" s="431" t="s">
        <v>331</v>
      </c>
      <c r="G1152" s="431" t="s">
        <v>175</v>
      </c>
      <c r="H1152" s="431"/>
      <c r="I1152" s="431"/>
      <c r="J1152" s="431"/>
      <c r="K1152" s="431"/>
      <c r="L1152" s="431" t="s">
        <v>241</v>
      </c>
      <c r="M1152" s="432" t="s">
        <v>374</v>
      </c>
    </row>
    <row r="1153" spans="1:13" ht="409.5" x14ac:dyDescent="0.2">
      <c r="A1153" s="431" t="s">
        <v>373</v>
      </c>
      <c r="B1153" s="431">
        <v>1870459</v>
      </c>
      <c r="C1153" s="431" t="s">
        <v>159</v>
      </c>
      <c r="D1153" s="431" t="s">
        <v>173</v>
      </c>
      <c r="E1153" s="431" t="s">
        <v>161</v>
      </c>
      <c r="F1153" s="431" t="s">
        <v>331</v>
      </c>
      <c r="G1153" s="431" t="s">
        <v>175</v>
      </c>
      <c r="H1153" s="431"/>
      <c r="I1153" s="431"/>
      <c r="J1153" s="431"/>
      <c r="K1153" s="431"/>
      <c r="L1153" s="431" t="s">
        <v>241</v>
      </c>
      <c r="M1153" s="432" t="s">
        <v>374</v>
      </c>
    </row>
    <row r="1154" spans="1:13" ht="409.5" x14ac:dyDescent="0.2">
      <c r="A1154" s="431" t="s">
        <v>375</v>
      </c>
      <c r="B1154" s="431">
        <v>1870460</v>
      </c>
      <c r="C1154" s="431" t="s">
        <v>159</v>
      </c>
      <c r="D1154" s="431" t="s">
        <v>173</v>
      </c>
      <c r="E1154" s="431" t="s">
        <v>161</v>
      </c>
      <c r="F1154" s="431" t="s">
        <v>371</v>
      </c>
      <c r="G1154" s="431" t="s">
        <v>175</v>
      </c>
      <c r="H1154" s="431"/>
      <c r="I1154" s="431"/>
      <c r="J1154" s="431"/>
      <c r="K1154" s="431"/>
      <c r="L1154" s="431" t="s">
        <v>176</v>
      </c>
      <c r="M1154" s="432" t="s">
        <v>376</v>
      </c>
    </row>
    <row r="1155" spans="1:13" ht="409.5" x14ac:dyDescent="0.2">
      <c r="A1155" s="431" t="s">
        <v>375</v>
      </c>
      <c r="B1155" s="431">
        <v>1870460</v>
      </c>
      <c r="C1155" s="431" t="s">
        <v>159</v>
      </c>
      <c r="D1155" s="431" t="s">
        <v>173</v>
      </c>
      <c r="E1155" s="431" t="s">
        <v>161</v>
      </c>
      <c r="F1155" s="431" t="s">
        <v>371</v>
      </c>
      <c r="G1155" s="431" t="s">
        <v>175</v>
      </c>
      <c r="H1155" s="431"/>
      <c r="I1155" s="431"/>
      <c r="J1155" s="431"/>
      <c r="K1155" s="431"/>
      <c r="L1155" s="431" t="s">
        <v>176</v>
      </c>
      <c r="M1155" s="432" t="s">
        <v>376</v>
      </c>
    </row>
    <row r="1156" spans="1:13" ht="409.5" x14ac:dyDescent="0.2">
      <c r="A1156" s="431" t="s">
        <v>375</v>
      </c>
      <c r="B1156" s="431">
        <v>1870460</v>
      </c>
      <c r="C1156" s="431" t="s">
        <v>159</v>
      </c>
      <c r="D1156" s="431" t="s">
        <v>173</v>
      </c>
      <c r="E1156" s="431" t="s">
        <v>161</v>
      </c>
      <c r="F1156" s="431" t="s">
        <v>371</v>
      </c>
      <c r="G1156" s="431" t="s">
        <v>175</v>
      </c>
      <c r="H1156" s="431"/>
      <c r="I1156" s="431"/>
      <c r="J1156" s="431"/>
      <c r="K1156" s="431"/>
      <c r="L1156" s="431" t="s">
        <v>176</v>
      </c>
      <c r="M1156" s="432" t="s">
        <v>376</v>
      </c>
    </row>
    <row r="1157" spans="1:13" ht="409.5" x14ac:dyDescent="0.2">
      <c r="A1157" s="431" t="s">
        <v>375</v>
      </c>
      <c r="B1157" s="431">
        <v>1870460</v>
      </c>
      <c r="C1157" s="431" t="s">
        <v>159</v>
      </c>
      <c r="D1157" s="431" t="s">
        <v>173</v>
      </c>
      <c r="E1157" s="431" t="s">
        <v>161</v>
      </c>
      <c r="F1157" s="431" t="s">
        <v>371</v>
      </c>
      <c r="G1157" s="431" t="s">
        <v>175</v>
      </c>
      <c r="H1157" s="431"/>
      <c r="I1157" s="431"/>
      <c r="J1157" s="431"/>
      <c r="K1157" s="431"/>
      <c r="L1157" s="431" t="s">
        <v>176</v>
      </c>
      <c r="M1157" s="432" t="s">
        <v>376</v>
      </c>
    </row>
    <row r="1158" spans="1:13" ht="409.5" x14ac:dyDescent="0.2">
      <c r="A1158" s="431" t="s">
        <v>375</v>
      </c>
      <c r="B1158" s="431">
        <v>1870460</v>
      </c>
      <c r="C1158" s="431" t="s">
        <v>159</v>
      </c>
      <c r="D1158" s="431" t="s">
        <v>173</v>
      </c>
      <c r="E1158" s="431" t="s">
        <v>161</v>
      </c>
      <c r="F1158" s="431" t="s">
        <v>371</v>
      </c>
      <c r="G1158" s="431" t="s">
        <v>175</v>
      </c>
      <c r="H1158" s="431"/>
      <c r="I1158" s="431"/>
      <c r="J1158" s="431"/>
      <c r="K1158" s="431"/>
      <c r="L1158" s="431" t="s">
        <v>176</v>
      </c>
      <c r="M1158" s="432" t="s">
        <v>376</v>
      </c>
    </row>
    <row r="1159" spans="1:13" ht="409.5" x14ac:dyDescent="0.2">
      <c r="A1159" s="431" t="s">
        <v>375</v>
      </c>
      <c r="B1159" s="431">
        <v>1870460</v>
      </c>
      <c r="C1159" s="431" t="s">
        <v>159</v>
      </c>
      <c r="D1159" s="431" t="s">
        <v>173</v>
      </c>
      <c r="E1159" s="431" t="s">
        <v>161</v>
      </c>
      <c r="F1159" s="431" t="s">
        <v>371</v>
      </c>
      <c r="G1159" s="431" t="s">
        <v>175</v>
      </c>
      <c r="H1159" s="431"/>
      <c r="I1159" s="431"/>
      <c r="J1159" s="431"/>
      <c r="K1159" s="431"/>
      <c r="L1159" s="431" t="s">
        <v>176</v>
      </c>
      <c r="M1159" s="432" t="s">
        <v>376</v>
      </c>
    </row>
    <row r="1160" spans="1:13" ht="409.5" x14ac:dyDescent="0.2">
      <c r="A1160" s="431" t="s">
        <v>375</v>
      </c>
      <c r="B1160" s="431">
        <v>1870460</v>
      </c>
      <c r="C1160" s="431" t="s">
        <v>159</v>
      </c>
      <c r="D1160" s="431" t="s">
        <v>173</v>
      </c>
      <c r="E1160" s="431" t="s">
        <v>161</v>
      </c>
      <c r="F1160" s="431" t="s">
        <v>371</v>
      </c>
      <c r="G1160" s="431" t="s">
        <v>175</v>
      </c>
      <c r="H1160" s="431"/>
      <c r="I1160" s="431"/>
      <c r="J1160" s="431"/>
      <c r="K1160" s="431"/>
      <c r="L1160" s="431" t="s">
        <v>176</v>
      </c>
      <c r="M1160" s="432" t="s">
        <v>376</v>
      </c>
    </row>
    <row r="1161" spans="1:13" ht="409.5" x14ac:dyDescent="0.2">
      <c r="A1161" s="431" t="s">
        <v>375</v>
      </c>
      <c r="B1161" s="431">
        <v>1870460</v>
      </c>
      <c r="C1161" s="431" t="s">
        <v>159</v>
      </c>
      <c r="D1161" s="431" t="s">
        <v>173</v>
      </c>
      <c r="E1161" s="431" t="s">
        <v>161</v>
      </c>
      <c r="F1161" s="431" t="s">
        <v>371</v>
      </c>
      <c r="G1161" s="431" t="s">
        <v>175</v>
      </c>
      <c r="H1161" s="431"/>
      <c r="I1161" s="431"/>
      <c r="J1161" s="431"/>
      <c r="K1161" s="431"/>
      <c r="L1161" s="431" t="s">
        <v>176</v>
      </c>
      <c r="M1161" s="432" t="s">
        <v>376</v>
      </c>
    </row>
    <row r="1162" spans="1:13" ht="409.5" x14ac:dyDescent="0.2">
      <c r="A1162" s="431" t="s">
        <v>375</v>
      </c>
      <c r="B1162" s="431">
        <v>1870460</v>
      </c>
      <c r="C1162" s="431" t="s">
        <v>159</v>
      </c>
      <c r="D1162" s="431" t="s">
        <v>173</v>
      </c>
      <c r="E1162" s="431" t="s">
        <v>161</v>
      </c>
      <c r="F1162" s="431" t="s">
        <v>371</v>
      </c>
      <c r="G1162" s="431" t="s">
        <v>175</v>
      </c>
      <c r="H1162" s="431"/>
      <c r="I1162" s="431"/>
      <c r="J1162" s="431"/>
      <c r="K1162" s="431"/>
      <c r="L1162" s="431" t="s">
        <v>176</v>
      </c>
      <c r="M1162" s="432" t="s">
        <v>376</v>
      </c>
    </row>
    <row r="1163" spans="1:13" ht="409.5" x14ac:dyDescent="0.2">
      <c r="A1163" s="431" t="s">
        <v>375</v>
      </c>
      <c r="B1163" s="431">
        <v>1870460</v>
      </c>
      <c r="C1163" s="431" t="s">
        <v>159</v>
      </c>
      <c r="D1163" s="431" t="s">
        <v>173</v>
      </c>
      <c r="E1163" s="431" t="s">
        <v>161</v>
      </c>
      <c r="F1163" s="431" t="s">
        <v>371</v>
      </c>
      <c r="G1163" s="431" t="s">
        <v>175</v>
      </c>
      <c r="H1163" s="431"/>
      <c r="I1163" s="431"/>
      <c r="J1163" s="431"/>
      <c r="K1163" s="431"/>
      <c r="L1163" s="431" t="s">
        <v>176</v>
      </c>
      <c r="M1163" s="432" t="s">
        <v>376</v>
      </c>
    </row>
    <row r="1164" spans="1:13" ht="409.5" x14ac:dyDescent="0.2">
      <c r="A1164" s="431" t="s">
        <v>375</v>
      </c>
      <c r="B1164" s="431">
        <v>1870460</v>
      </c>
      <c r="C1164" s="431" t="s">
        <v>159</v>
      </c>
      <c r="D1164" s="431" t="s">
        <v>173</v>
      </c>
      <c r="E1164" s="431" t="s">
        <v>161</v>
      </c>
      <c r="F1164" s="431" t="s">
        <v>371</v>
      </c>
      <c r="G1164" s="431" t="s">
        <v>175</v>
      </c>
      <c r="H1164" s="431"/>
      <c r="I1164" s="431"/>
      <c r="J1164" s="431"/>
      <c r="K1164" s="431"/>
      <c r="L1164" s="431" t="s">
        <v>176</v>
      </c>
      <c r="M1164" s="432" t="s">
        <v>376</v>
      </c>
    </row>
    <row r="1165" spans="1:13" ht="409.5" x14ac:dyDescent="0.2">
      <c r="A1165" s="431" t="s">
        <v>375</v>
      </c>
      <c r="B1165" s="431">
        <v>1870460</v>
      </c>
      <c r="C1165" s="431" t="s">
        <v>159</v>
      </c>
      <c r="D1165" s="431" t="s">
        <v>173</v>
      </c>
      <c r="E1165" s="431" t="s">
        <v>161</v>
      </c>
      <c r="F1165" s="431" t="s">
        <v>371</v>
      </c>
      <c r="G1165" s="431" t="s">
        <v>175</v>
      </c>
      <c r="H1165" s="431"/>
      <c r="I1165" s="431"/>
      <c r="J1165" s="431"/>
      <c r="K1165" s="431"/>
      <c r="L1165" s="431" t="s">
        <v>176</v>
      </c>
      <c r="M1165" s="432" t="s">
        <v>376</v>
      </c>
    </row>
    <row r="1166" spans="1:13" ht="409.5" x14ac:dyDescent="0.2">
      <c r="A1166" s="431" t="s">
        <v>375</v>
      </c>
      <c r="B1166" s="431">
        <v>1870460</v>
      </c>
      <c r="C1166" s="431" t="s">
        <v>159</v>
      </c>
      <c r="D1166" s="431" t="s">
        <v>173</v>
      </c>
      <c r="E1166" s="431" t="s">
        <v>161</v>
      </c>
      <c r="F1166" s="431" t="s">
        <v>371</v>
      </c>
      <c r="G1166" s="431" t="s">
        <v>175</v>
      </c>
      <c r="H1166" s="431"/>
      <c r="I1166" s="431"/>
      <c r="J1166" s="431"/>
      <c r="K1166" s="431"/>
      <c r="L1166" s="431" t="s">
        <v>176</v>
      </c>
      <c r="M1166" s="432" t="s">
        <v>376</v>
      </c>
    </row>
    <row r="1167" spans="1:13" ht="409.5" x14ac:dyDescent="0.2">
      <c r="A1167" s="431" t="s">
        <v>375</v>
      </c>
      <c r="B1167" s="431">
        <v>1870460</v>
      </c>
      <c r="C1167" s="431" t="s">
        <v>159</v>
      </c>
      <c r="D1167" s="431" t="s">
        <v>173</v>
      </c>
      <c r="E1167" s="431" t="s">
        <v>161</v>
      </c>
      <c r="F1167" s="431" t="s">
        <v>371</v>
      </c>
      <c r="G1167" s="431" t="s">
        <v>175</v>
      </c>
      <c r="H1167" s="431"/>
      <c r="I1167" s="431"/>
      <c r="J1167" s="431"/>
      <c r="K1167" s="431"/>
      <c r="L1167" s="431" t="s">
        <v>176</v>
      </c>
      <c r="M1167" s="432" t="s">
        <v>376</v>
      </c>
    </row>
    <row r="1168" spans="1:13" ht="409.5" x14ac:dyDescent="0.2">
      <c r="A1168" s="431" t="s">
        <v>375</v>
      </c>
      <c r="B1168" s="431">
        <v>1870460</v>
      </c>
      <c r="C1168" s="431" t="s">
        <v>159</v>
      </c>
      <c r="D1168" s="431" t="s">
        <v>173</v>
      </c>
      <c r="E1168" s="431" t="s">
        <v>161</v>
      </c>
      <c r="F1168" s="431" t="s">
        <v>371</v>
      </c>
      <c r="G1168" s="431" t="s">
        <v>175</v>
      </c>
      <c r="H1168" s="431"/>
      <c r="I1168" s="431"/>
      <c r="J1168" s="431"/>
      <c r="K1168" s="431"/>
      <c r="L1168" s="431" t="s">
        <v>176</v>
      </c>
      <c r="M1168" s="432" t="s">
        <v>376</v>
      </c>
    </row>
    <row r="1169" spans="1:13" ht="409.5" x14ac:dyDescent="0.2">
      <c r="A1169" s="431" t="s">
        <v>375</v>
      </c>
      <c r="B1169" s="431">
        <v>1870460</v>
      </c>
      <c r="C1169" s="431" t="s">
        <v>159</v>
      </c>
      <c r="D1169" s="431" t="s">
        <v>173</v>
      </c>
      <c r="E1169" s="431" t="s">
        <v>161</v>
      </c>
      <c r="F1169" s="431" t="s">
        <v>371</v>
      </c>
      <c r="G1169" s="431" t="s">
        <v>175</v>
      </c>
      <c r="H1169" s="431"/>
      <c r="I1169" s="431"/>
      <c r="J1169" s="431"/>
      <c r="K1169" s="431"/>
      <c r="L1169" s="431" t="s">
        <v>176</v>
      </c>
      <c r="M1169" s="432" t="s">
        <v>376</v>
      </c>
    </row>
    <row r="1170" spans="1:13" ht="409.5" x14ac:dyDescent="0.2">
      <c r="A1170" s="431" t="s">
        <v>375</v>
      </c>
      <c r="B1170" s="431">
        <v>1870460</v>
      </c>
      <c r="C1170" s="431" t="s">
        <v>159</v>
      </c>
      <c r="D1170" s="431" t="s">
        <v>173</v>
      </c>
      <c r="E1170" s="431" t="s">
        <v>161</v>
      </c>
      <c r="F1170" s="431" t="s">
        <v>371</v>
      </c>
      <c r="G1170" s="431" t="s">
        <v>175</v>
      </c>
      <c r="H1170" s="431"/>
      <c r="I1170" s="431"/>
      <c r="J1170" s="431"/>
      <c r="K1170" s="431"/>
      <c r="L1170" s="431" t="s">
        <v>176</v>
      </c>
      <c r="M1170" s="432" t="s">
        <v>376</v>
      </c>
    </row>
    <row r="1171" spans="1:13" ht="409.5" x14ac:dyDescent="0.2">
      <c r="A1171" s="431" t="s">
        <v>375</v>
      </c>
      <c r="B1171" s="431">
        <v>1870460</v>
      </c>
      <c r="C1171" s="431" t="s">
        <v>159</v>
      </c>
      <c r="D1171" s="431" t="s">
        <v>173</v>
      </c>
      <c r="E1171" s="431" t="s">
        <v>161</v>
      </c>
      <c r="F1171" s="431" t="s">
        <v>371</v>
      </c>
      <c r="G1171" s="431" t="s">
        <v>175</v>
      </c>
      <c r="H1171" s="431"/>
      <c r="I1171" s="431"/>
      <c r="J1171" s="431"/>
      <c r="K1171" s="431"/>
      <c r="L1171" s="431" t="s">
        <v>176</v>
      </c>
      <c r="M1171" s="432" t="s">
        <v>376</v>
      </c>
    </row>
    <row r="1172" spans="1:13" ht="409.5" x14ac:dyDescent="0.2">
      <c r="A1172" s="431" t="s">
        <v>375</v>
      </c>
      <c r="B1172" s="431">
        <v>1870460</v>
      </c>
      <c r="C1172" s="431" t="s">
        <v>159</v>
      </c>
      <c r="D1172" s="431" t="s">
        <v>173</v>
      </c>
      <c r="E1172" s="431" t="s">
        <v>161</v>
      </c>
      <c r="F1172" s="431" t="s">
        <v>371</v>
      </c>
      <c r="G1172" s="431" t="s">
        <v>175</v>
      </c>
      <c r="H1172" s="431"/>
      <c r="I1172" s="431"/>
      <c r="J1172" s="431"/>
      <c r="K1172" s="431"/>
      <c r="L1172" s="431" t="s">
        <v>176</v>
      </c>
      <c r="M1172" s="432" t="s">
        <v>376</v>
      </c>
    </row>
    <row r="1173" spans="1:13" ht="409.5" x14ac:dyDescent="0.2">
      <c r="A1173" s="431" t="s">
        <v>375</v>
      </c>
      <c r="B1173" s="431">
        <v>1870460</v>
      </c>
      <c r="C1173" s="431" t="s">
        <v>159</v>
      </c>
      <c r="D1173" s="431" t="s">
        <v>173</v>
      </c>
      <c r="E1173" s="431" t="s">
        <v>161</v>
      </c>
      <c r="F1173" s="431" t="s">
        <v>371</v>
      </c>
      <c r="G1173" s="431" t="s">
        <v>175</v>
      </c>
      <c r="H1173" s="431"/>
      <c r="I1173" s="431"/>
      <c r="J1173" s="431"/>
      <c r="K1173" s="431"/>
      <c r="L1173" s="431" t="s">
        <v>176</v>
      </c>
      <c r="M1173" s="432" t="s">
        <v>376</v>
      </c>
    </row>
    <row r="1174" spans="1:13" ht="409.5" x14ac:dyDescent="0.2">
      <c r="A1174" s="431" t="s">
        <v>375</v>
      </c>
      <c r="B1174" s="431">
        <v>1870460</v>
      </c>
      <c r="C1174" s="431" t="s">
        <v>159</v>
      </c>
      <c r="D1174" s="431" t="s">
        <v>173</v>
      </c>
      <c r="E1174" s="431" t="s">
        <v>161</v>
      </c>
      <c r="F1174" s="431" t="s">
        <v>371</v>
      </c>
      <c r="G1174" s="431" t="s">
        <v>175</v>
      </c>
      <c r="H1174" s="431"/>
      <c r="I1174" s="431"/>
      <c r="J1174" s="431"/>
      <c r="K1174" s="431"/>
      <c r="L1174" s="431" t="s">
        <v>176</v>
      </c>
      <c r="M1174" s="432" t="s">
        <v>376</v>
      </c>
    </row>
    <row r="1175" spans="1:13" ht="409.5" x14ac:dyDescent="0.2">
      <c r="A1175" s="431" t="s">
        <v>375</v>
      </c>
      <c r="B1175" s="431">
        <v>1870460</v>
      </c>
      <c r="C1175" s="431" t="s">
        <v>159</v>
      </c>
      <c r="D1175" s="431" t="s">
        <v>173</v>
      </c>
      <c r="E1175" s="431" t="s">
        <v>161</v>
      </c>
      <c r="F1175" s="431" t="s">
        <v>371</v>
      </c>
      <c r="G1175" s="431" t="s">
        <v>175</v>
      </c>
      <c r="H1175" s="431"/>
      <c r="I1175" s="431"/>
      <c r="J1175" s="431"/>
      <c r="K1175" s="431"/>
      <c r="L1175" s="431" t="s">
        <v>176</v>
      </c>
      <c r="M1175" s="432" t="s">
        <v>376</v>
      </c>
    </row>
    <row r="1176" spans="1:13" ht="409.5" x14ac:dyDescent="0.2">
      <c r="A1176" s="431" t="s">
        <v>375</v>
      </c>
      <c r="B1176" s="431">
        <v>1870460</v>
      </c>
      <c r="C1176" s="431" t="s">
        <v>159</v>
      </c>
      <c r="D1176" s="431" t="s">
        <v>173</v>
      </c>
      <c r="E1176" s="431" t="s">
        <v>161</v>
      </c>
      <c r="F1176" s="431" t="s">
        <v>371</v>
      </c>
      <c r="G1176" s="431" t="s">
        <v>175</v>
      </c>
      <c r="H1176" s="431"/>
      <c r="I1176" s="431"/>
      <c r="J1176" s="431"/>
      <c r="K1176" s="431"/>
      <c r="L1176" s="431" t="s">
        <v>176</v>
      </c>
      <c r="M1176" s="432" t="s">
        <v>376</v>
      </c>
    </row>
    <row r="1177" spans="1:13" ht="409.5" x14ac:dyDescent="0.2">
      <c r="A1177" s="431" t="s">
        <v>375</v>
      </c>
      <c r="B1177" s="431">
        <v>1870460</v>
      </c>
      <c r="C1177" s="431" t="s">
        <v>159</v>
      </c>
      <c r="D1177" s="431" t="s">
        <v>173</v>
      </c>
      <c r="E1177" s="431" t="s">
        <v>161</v>
      </c>
      <c r="F1177" s="431" t="s">
        <v>371</v>
      </c>
      <c r="G1177" s="431" t="s">
        <v>175</v>
      </c>
      <c r="H1177" s="431"/>
      <c r="I1177" s="431"/>
      <c r="J1177" s="431"/>
      <c r="K1177" s="431"/>
      <c r="L1177" s="431" t="s">
        <v>176</v>
      </c>
      <c r="M1177" s="432" t="s">
        <v>376</v>
      </c>
    </row>
    <row r="1178" spans="1:13" ht="409.5" x14ac:dyDescent="0.2">
      <c r="A1178" s="431" t="s">
        <v>375</v>
      </c>
      <c r="B1178" s="431">
        <v>1870460</v>
      </c>
      <c r="C1178" s="431" t="s">
        <v>159</v>
      </c>
      <c r="D1178" s="431" t="s">
        <v>173</v>
      </c>
      <c r="E1178" s="431" t="s">
        <v>161</v>
      </c>
      <c r="F1178" s="431" t="s">
        <v>371</v>
      </c>
      <c r="G1178" s="431" t="s">
        <v>175</v>
      </c>
      <c r="H1178" s="431"/>
      <c r="I1178" s="431"/>
      <c r="J1178" s="431"/>
      <c r="K1178" s="431"/>
      <c r="L1178" s="431" t="s">
        <v>176</v>
      </c>
      <c r="M1178" s="432" t="s">
        <v>376</v>
      </c>
    </row>
    <row r="1179" spans="1:13" ht="409.5" x14ac:dyDescent="0.2">
      <c r="A1179" s="431" t="s">
        <v>375</v>
      </c>
      <c r="B1179" s="431">
        <v>1870460</v>
      </c>
      <c r="C1179" s="431" t="s">
        <v>159</v>
      </c>
      <c r="D1179" s="431" t="s">
        <v>173</v>
      </c>
      <c r="E1179" s="431" t="s">
        <v>161</v>
      </c>
      <c r="F1179" s="431" t="s">
        <v>371</v>
      </c>
      <c r="G1179" s="431" t="s">
        <v>175</v>
      </c>
      <c r="H1179" s="431"/>
      <c r="I1179" s="431"/>
      <c r="J1179" s="431"/>
      <c r="K1179" s="431"/>
      <c r="L1179" s="431" t="s">
        <v>176</v>
      </c>
      <c r="M1179" s="432" t="s">
        <v>376</v>
      </c>
    </row>
    <row r="1180" spans="1:13" ht="409.5" x14ac:dyDescent="0.2">
      <c r="A1180" s="431" t="s">
        <v>375</v>
      </c>
      <c r="B1180" s="431">
        <v>1870460</v>
      </c>
      <c r="C1180" s="431" t="s">
        <v>159</v>
      </c>
      <c r="D1180" s="431" t="s">
        <v>173</v>
      </c>
      <c r="E1180" s="431" t="s">
        <v>161</v>
      </c>
      <c r="F1180" s="431" t="s">
        <v>371</v>
      </c>
      <c r="G1180" s="431" t="s">
        <v>175</v>
      </c>
      <c r="H1180" s="431"/>
      <c r="I1180" s="431"/>
      <c r="J1180" s="431"/>
      <c r="K1180" s="431"/>
      <c r="L1180" s="431" t="s">
        <v>176</v>
      </c>
      <c r="M1180" s="432" t="s">
        <v>376</v>
      </c>
    </row>
    <row r="1181" spans="1:13" ht="409.5" x14ac:dyDescent="0.2">
      <c r="A1181" s="431" t="s">
        <v>375</v>
      </c>
      <c r="B1181" s="431">
        <v>1870460</v>
      </c>
      <c r="C1181" s="431" t="s">
        <v>159</v>
      </c>
      <c r="D1181" s="431" t="s">
        <v>173</v>
      </c>
      <c r="E1181" s="431" t="s">
        <v>161</v>
      </c>
      <c r="F1181" s="431" t="s">
        <v>371</v>
      </c>
      <c r="G1181" s="431" t="s">
        <v>175</v>
      </c>
      <c r="H1181" s="431"/>
      <c r="I1181" s="431"/>
      <c r="J1181" s="431"/>
      <c r="K1181" s="431"/>
      <c r="L1181" s="431" t="s">
        <v>176</v>
      </c>
      <c r="M1181" s="432" t="s">
        <v>376</v>
      </c>
    </row>
    <row r="1182" spans="1:13" ht="409.5" x14ac:dyDescent="0.2">
      <c r="A1182" s="431" t="s">
        <v>375</v>
      </c>
      <c r="B1182" s="431">
        <v>1870460</v>
      </c>
      <c r="C1182" s="431" t="s">
        <v>159</v>
      </c>
      <c r="D1182" s="431" t="s">
        <v>173</v>
      </c>
      <c r="E1182" s="431" t="s">
        <v>161</v>
      </c>
      <c r="F1182" s="431" t="s">
        <v>371</v>
      </c>
      <c r="G1182" s="431" t="s">
        <v>175</v>
      </c>
      <c r="H1182" s="431"/>
      <c r="I1182" s="431"/>
      <c r="J1182" s="431"/>
      <c r="K1182" s="431"/>
      <c r="L1182" s="431" t="s">
        <v>176</v>
      </c>
      <c r="M1182" s="432" t="s">
        <v>376</v>
      </c>
    </row>
    <row r="1183" spans="1:13" ht="409.5" x14ac:dyDescent="0.2">
      <c r="A1183" s="431" t="s">
        <v>375</v>
      </c>
      <c r="B1183" s="431">
        <v>1870460</v>
      </c>
      <c r="C1183" s="431" t="s">
        <v>159</v>
      </c>
      <c r="D1183" s="431" t="s">
        <v>173</v>
      </c>
      <c r="E1183" s="431" t="s">
        <v>161</v>
      </c>
      <c r="F1183" s="431" t="s">
        <v>371</v>
      </c>
      <c r="G1183" s="431" t="s">
        <v>175</v>
      </c>
      <c r="H1183" s="431"/>
      <c r="I1183" s="431"/>
      <c r="J1183" s="431"/>
      <c r="K1183" s="431"/>
      <c r="L1183" s="431" t="s">
        <v>176</v>
      </c>
      <c r="M1183" s="432" t="s">
        <v>376</v>
      </c>
    </row>
    <row r="1184" spans="1:13" ht="409.5" x14ac:dyDescent="0.2">
      <c r="A1184" s="431" t="s">
        <v>375</v>
      </c>
      <c r="B1184" s="431">
        <v>1870460</v>
      </c>
      <c r="C1184" s="431" t="s">
        <v>159</v>
      </c>
      <c r="D1184" s="431" t="s">
        <v>173</v>
      </c>
      <c r="E1184" s="431" t="s">
        <v>161</v>
      </c>
      <c r="F1184" s="431" t="s">
        <v>371</v>
      </c>
      <c r="G1184" s="431" t="s">
        <v>175</v>
      </c>
      <c r="H1184" s="431"/>
      <c r="I1184" s="431"/>
      <c r="J1184" s="431"/>
      <c r="K1184" s="431"/>
      <c r="L1184" s="431" t="s">
        <v>176</v>
      </c>
      <c r="M1184" s="432" t="s">
        <v>376</v>
      </c>
    </row>
    <row r="1185" spans="1:13" ht="409.5" x14ac:dyDescent="0.2">
      <c r="A1185" s="431" t="s">
        <v>375</v>
      </c>
      <c r="B1185" s="431">
        <v>1870460</v>
      </c>
      <c r="C1185" s="431" t="s">
        <v>159</v>
      </c>
      <c r="D1185" s="431" t="s">
        <v>173</v>
      </c>
      <c r="E1185" s="431" t="s">
        <v>161</v>
      </c>
      <c r="F1185" s="431" t="s">
        <v>371</v>
      </c>
      <c r="G1185" s="431" t="s">
        <v>175</v>
      </c>
      <c r="H1185" s="431"/>
      <c r="I1185" s="431"/>
      <c r="J1185" s="431"/>
      <c r="K1185" s="431"/>
      <c r="L1185" s="431" t="s">
        <v>176</v>
      </c>
      <c r="M1185" s="432" t="s">
        <v>376</v>
      </c>
    </row>
    <row r="1186" spans="1:13" ht="409.5" x14ac:dyDescent="0.2">
      <c r="A1186" s="431" t="s">
        <v>375</v>
      </c>
      <c r="B1186" s="431">
        <v>1870460</v>
      </c>
      <c r="C1186" s="431" t="s">
        <v>159</v>
      </c>
      <c r="D1186" s="431" t="s">
        <v>173</v>
      </c>
      <c r="E1186" s="431" t="s">
        <v>161</v>
      </c>
      <c r="F1186" s="431" t="s">
        <v>371</v>
      </c>
      <c r="G1186" s="431" t="s">
        <v>175</v>
      </c>
      <c r="H1186" s="431"/>
      <c r="I1186" s="431"/>
      <c r="J1186" s="431"/>
      <c r="K1186" s="431"/>
      <c r="L1186" s="431" t="s">
        <v>176</v>
      </c>
      <c r="M1186" s="432" t="s">
        <v>376</v>
      </c>
    </row>
    <row r="1187" spans="1:13" ht="409.5" x14ac:dyDescent="0.2">
      <c r="A1187" s="431" t="s">
        <v>375</v>
      </c>
      <c r="B1187" s="431">
        <v>1870460</v>
      </c>
      <c r="C1187" s="431" t="s">
        <v>159</v>
      </c>
      <c r="D1187" s="431" t="s">
        <v>173</v>
      </c>
      <c r="E1187" s="431" t="s">
        <v>161</v>
      </c>
      <c r="F1187" s="431" t="s">
        <v>371</v>
      </c>
      <c r="G1187" s="431" t="s">
        <v>175</v>
      </c>
      <c r="H1187" s="431"/>
      <c r="I1187" s="431"/>
      <c r="J1187" s="431"/>
      <c r="K1187" s="431"/>
      <c r="L1187" s="431" t="s">
        <v>176</v>
      </c>
      <c r="M1187" s="432" t="s">
        <v>376</v>
      </c>
    </row>
    <row r="1188" spans="1:13" ht="409.5" x14ac:dyDescent="0.2">
      <c r="A1188" s="431" t="s">
        <v>375</v>
      </c>
      <c r="B1188" s="431">
        <v>1870460</v>
      </c>
      <c r="C1188" s="431" t="s">
        <v>159</v>
      </c>
      <c r="D1188" s="431" t="s">
        <v>173</v>
      </c>
      <c r="E1188" s="431" t="s">
        <v>161</v>
      </c>
      <c r="F1188" s="431" t="s">
        <v>371</v>
      </c>
      <c r="G1188" s="431" t="s">
        <v>175</v>
      </c>
      <c r="H1188" s="431"/>
      <c r="I1188" s="431"/>
      <c r="J1188" s="431"/>
      <c r="K1188" s="431"/>
      <c r="L1188" s="431" t="s">
        <v>176</v>
      </c>
      <c r="M1188" s="432" t="s">
        <v>376</v>
      </c>
    </row>
    <row r="1189" spans="1:13" ht="409.5" x14ac:dyDescent="0.2">
      <c r="A1189" s="431" t="s">
        <v>375</v>
      </c>
      <c r="B1189" s="431">
        <v>1870460</v>
      </c>
      <c r="C1189" s="431" t="s">
        <v>159</v>
      </c>
      <c r="D1189" s="431" t="s">
        <v>173</v>
      </c>
      <c r="E1189" s="431" t="s">
        <v>161</v>
      </c>
      <c r="F1189" s="431" t="s">
        <v>371</v>
      </c>
      <c r="G1189" s="431" t="s">
        <v>175</v>
      </c>
      <c r="H1189" s="431"/>
      <c r="I1189" s="431"/>
      <c r="J1189" s="431"/>
      <c r="K1189" s="431"/>
      <c r="L1189" s="431" t="s">
        <v>176</v>
      </c>
      <c r="M1189" s="432" t="s">
        <v>376</v>
      </c>
    </row>
    <row r="1190" spans="1:13" ht="409.5" x14ac:dyDescent="0.2">
      <c r="A1190" s="431" t="s">
        <v>375</v>
      </c>
      <c r="B1190" s="431">
        <v>1870460</v>
      </c>
      <c r="C1190" s="431" t="s">
        <v>159</v>
      </c>
      <c r="D1190" s="431" t="s">
        <v>173</v>
      </c>
      <c r="E1190" s="431" t="s">
        <v>161</v>
      </c>
      <c r="F1190" s="431" t="s">
        <v>371</v>
      </c>
      <c r="G1190" s="431" t="s">
        <v>175</v>
      </c>
      <c r="H1190" s="431"/>
      <c r="I1190" s="431"/>
      <c r="J1190" s="431"/>
      <c r="K1190" s="431"/>
      <c r="L1190" s="431" t="s">
        <v>176</v>
      </c>
      <c r="M1190" s="432" t="s">
        <v>376</v>
      </c>
    </row>
    <row r="1191" spans="1:13" ht="409.5" x14ac:dyDescent="0.2">
      <c r="A1191" s="431" t="s">
        <v>375</v>
      </c>
      <c r="B1191" s="431">
        <v>1870460</v>
      </c>
      <c r="C1191" s="431" t="s">
        <v>159</v>
      </c>
      <c r="D1191" s="431" t="s">
        <v>173</v>
      </c>
      <c r="E1191" s="431" t="s">
        <v>161</v>
      </c>
      <c r="F1191" s="431" t="s">
        <v>371</v>
      </c>
      <c r="G1191" s="431" t="s">
        <v>175</v>
      </c>
      <c r="H1191" s="431"/>
      <c r="I1191" s="431"/>
      <c r="J1191" s="431"/>
      <c r="K1191" s="431"/>
      <c r="L1191" s="431" t="s">
        <v>176</v>
      </c>
      <c r="M1191" s="432" t="s">
        <v>376</v>
      </c>
    </row>
    <row r="1192" spans="1:13" ht="409.5" x14ac:dyDescent="0.2">
      <c r="A1192" s="431" t="s">
        <v>375</v>
      </c>
      <c r="B1192" s="431">
        <v>1870460</v>
      </c>
      <c r="C1192" s="431" t="s">
        <v>159</v>
      </c>
      <c r="D1192" s="431" t="s">
        <v>173</v>
      </c>
      <c r="E1192" s="431" t="s">
        <v>161</v>
      </c>
      <c r="F1192" s="431" t="s">
        <v>371</v>
      </c>
      <c r="G1192" s="431" t="s">
        <v>175</v>
      </c>
      <c r="H1192" s="431"/>
      <c r="I1192" s="431"/>
      <c r="J1192" s="431"/>
      <c r="K1192" s="431"/>
      <c r="L1192" s="431" t="s">
        <v>176</v>
      </c>
      <c r="M1192" s="432" t="s">
        <v>376</v>
      </c>
    </row>
    <row r="1193" spans="1:13" ht="409.5" x14ac:dyDescent="0.2">
      <c r="A1193" s="431" t="s">
        <v>375</v>
      </c>
      <c r="B1193" s="431">
        <v>1870460</v>
      </c>
      <c r="C1193" s="431" t="s">
        <v>159</v>
      </c>
      <c r="D1193" s="431" t="s">
        <v>173</v>
      </c>
      <c r="E1193" s="431" t="s">
        <v>161</v>
      </c>
      <c r="F1193" s="431" t="s">
        <v>371</v>
      </c>
      <c r="G1193" s="431" t="s">
        <v>175</v>
      </c>
      <c r="H1193" s="431"/>
      <c r="I1193" s="431"/>
      <c r="J1193" s="431"/>
      <c r="K1193" s="431"/>
      <c r="L1193" s="431" t="s">
        <v>176</v>
      </c>
      <c r="M1193" s="432" t="s">
        <v>376</v>
      </c>
    </row>
    <row r="1194" spans="1:13" ht="409.5" x14ac:dyDescent="0.2">
      <c r="A1194" s="431" t="s">
        <v>375</v>
      </c>
      <c r="B1194" s="431">
        <v>1870460</v>
      </c>
      <c r="C1194" s="431" t="s">
        <v>159</v>
      </c>
      <c r="D1194" s="431" t="s">
        <v>173</v>
      </c>
      <c r="E1194" s="431" t="s">
        <v>161</v>
      </c>
      <c r="F1194" s="431" t="s">
        <v>371</v>
      </c>
      <c r="G1194" s="431" t="s">
        <v>175</v>
      </c>
      <c r="H1194" s="431"/>
      <c r="I1194" s="431"/>
      <c r="J1194" s="431"/>
      <c r="K1194" s="431"/>
      <c r="L1194" s="431" t="s">
        <v>176</v>
      </c>
      <c r="M1194" s="432" t="s">
        <v>376</v>
      </c>
    </row>
    <row r="1195" spans="1:13" ht="409.5" x14ac:dyDescent="0.2">
      <c r="A1195" s="431" t="s">
        <v>375</v>
      </c>
      <c r="B1195" s="431">
        <v>1870460</v>
      </c>
      <c r="C1195" s="431" t="s">
        <v>159</v>
      </c>
      <c r="D1195" s="431" t="s">
        <v>173</v>
      </c>
      <c r="E1195" s="431" t="s">
        <v>161</v>
      </c>
      <c r="F1195" s="431" t="s">
        <v>371</v>
      </c>
      <c r="G1195" s="431" t="s">
        <v>175</v>
      </c>
      <c r="H1195" s="431"/>
      <c r="I1195" s="431"/>
      <c r="J1195" s="431"/>
      <c r="K1195" s="431"/>
      <c r="L1195" s="431" t="s">
        <v>176</v>
      </c>
      <c r="M1195" s="432" t="s">
        <v>376</v>
      </c>
    </row>
    <row r="1196" spans="1:13" ht="409.5" x14ac:dyDescent="0.2">
      <c r="A1196" s="431" t="s">
        <v>375</v>
      </c>
      <c r="B1196" s="431">
        <v>1870460</v>
      </c>
      <c r="C1196" s="431" t="s">
        <v>159</v>
      </c>
      <c r="D1196" s="431" t="s">
        <v>173</v>
      </c>
      <c r="E1196" s="431" t="s">
        <v>161</v>
      </c>
      <c r="F1196" s="431" t="s">
        <v>371</v>
      </c>
      <c r="G1196" s="431" t="s">
        <v>175</v>
      </c>
      <c r="H1196" s="431"/>
      <c r="I1196" s="431"/>
      <c r="J1196" s="431"/>
      <c r="K1196" s="431"/>
      <c r="L1196" s="431" t="s">
        <v>176</v>
      </c>
      <c r="M1196" s="432" t="s">
        <v>376</v>
      </c>
    </row>
    <row r="1197" spans="1:13" ht="409.5" x14ac:dyDescent="0.2">
      <c r="A1197" s="431" t="s">
        <v>375</v>
      </c>
      <c r="B1197" s="431">
        <v>1870460</v>
      </c>
      <c r="C1197" s="431" t="s">
        <v>159</v>
      </c>
      <c r="D1197" s="431" t="s">
        <v>173</v>
      </c>
      <c r="E1197" s="431" t="s">
        <v>161</v>
      </c>
      <c r="F1197" s="431" t="s">
        <v>371</v>
      </c>
      <c r="G1197" s="431" t="s">
        <v>175</v>
      </c>
      <c r="H1197" s="431"/>
      <c r="I1197" s="431"/>
      <c r="J1197" s="431"/>
      <c r="K1197" s="431"/>
      <c r="L1197" s="431" t="s">
        <v>176</v>
      </c>
      <c r="M1197" s="432" t="s">
        <v>376</v>
      </c>
    </row>
    <row r="1198" spans="1:13" ht="409.5" x14ac:dyDescent="0.2">
      <c r="A1198" s="431" t="s">
        <v>375</v>
      </c>
      <c r="B1198" s="431">
        <v>1870460</v>
      </c>
      <c r="C1198" s="431" t="s">
        <v>159</v>
      </c>
      <c r="D1198" s="431" t="s">
        <v>173</v>
      </c>
      <c r="E1198" s="431" t="s">
        <v>161</v>
      </c>
      <c r="F1198" s="431" t="s">
        <v>371</v>
      </c>
      <c r="G1198" s="431" t="s">
        <v>175</v>
      </c>
      <c r="H1198" s="431"/>
      <c r="I1198" s="431"/>
      <c r="J1198" s="431"/>
      <c r="K1198" s="431"/>
      <c r="L1198" s="431" t="s">
        <v>176</v>
      </c>
      <c r="M1198" s="432" t="s">
        <v>376</v>
      </c>
    </row>
    <row r="1199" spans="1:13" ht="409.5" x14ac:dyDescent="0.2">
      <c r="A1199" s="431" t="s">
        <v>375</v>
      </c>
      <c r="B1199" s="431">
        <v>1870460</v>
      </c>
      <c r="C1199" s="431" t="s">
        <v>159</v>
      </c>
      <c r="D1199" s="431" t="s">
        <v>173</v>
      </c>
      <c r="E1199" s="431" t="s">
        <v>161</v>
      </c>
      <c r="F1199" s="431" t="s">
        <v>371</v>
      </c>
      <c r="G1199" s="431" t="s">
        <v>175</v>
      </c>
      <c r="H1199" s="431"/>
      <c r="I1199" s="431"/>
      <c r="J1199" s="431"/>
      <c r="K1199" s="431"/>
      <c r="L1199" s="431" t="s">
        <v>176</v>
      </c>
      <c r="M1199" s="432" t="s">
        <v>376</v>
      </c>
    </row>
    <row r="1200" spans="1:13" ht="409.5" x14ac:dyDescent="0.2">
      <c r="A1200" s="431" t="s">
        <v>375</v>
      </c>
      <c r="B1200" s="431">
        <v>1870460</v>
      </c>
      <c r="C1200" s="431" t="s">
        <v>159</v>
      </c>
      <c r="D1200" s="431" t="s">
        <v>173</v>
      </c>
      <c r="E1200" s="431" t="s">
        <v>161</v>
      </c>
      <c r="F1200" s="431" t="s">
        <v>371</v>
      </c>
      <c r="G1200" s="431" t="s">
        <v>175</v>
      </c>
      <c r="H1200" s="431"/>
      <c r="I1200" s="431"/>
      <c r="J1200" s="431"/>
      <c r="K1200" s="431"/>
      <c r="L1200" s="431" t="s">
        <v>176</v>
      </c>
      <c r="M1200" s="432" t="s">
        <v>376</v>
      </c>
    </row>
    <row r="1201" spans="1:13" ht="409.5" x14ac:dyDescent="0.2">
      <c r="A1201" s="431" t="s">
        <v>375</v>
      </c>
      <c r="B1201" s="431">
        <v>1870460</v>
      </c>
      <c r="C1201" s="431" t="s">
        <v>159</v>
      </c>
      <c r="D1201" s="431" t="s">
        <v>173</v>
      </c>
      <c r="E1201" s="431" t="s">
        <v>161</v>
      </c>
      <c r="F1201" s="431" t="s">
        <v>371</v>
      </c>
      <c r="G1201" s="431" t="s">
        <v>175</v>
      </c>
      <c r="H1201" s="431"/>
      <c r="I1201" s="431"/>
      <c r="J1201" s="431"/>
      <c r="K1201" s="431"/>
      <c r="L1201" s="431" t="s">
        <v>176</v>
      </c>
      <c r="M1201" s="432" t="s">
        <v>376</v>
      </c>
    </row>
    <row r="1202" spans="1:13" ht="409.5" x14ac:dyDescent="0.2">
      <c r="A1202" s="431" t="s">
        <v>375</v>
      </c>
      <c r="B1202" s="431">
        <v>1870460</v>
      </c>
      <c r="C1202" s="431" t="s">
        <v>159</v>
      </c>
      <c r="D1202" s="431" t="s">
        <v>173</v>
      </c>
      <c r="E1202" s="431" t="s">
        <v>161</v>
      </c>
      <c r="F1202" s="431" t="s">
        <v>371</v>
      </c>
      <c r="G1202" s="431" t="s">
        <v>175</v>
      </c>
      <c r="H1202" s="431"/>
      <c r="I1202" s="431"/>
      <c r="J1202" s="431"/>
      <c r="K1202" s="431"/>
      <c r="L1202" s="431" t="s">
        <v>176</v>
      </c>
      <c r="M1202" s="432" t="s">
        <v>376</v>
      </c>
    </row>
    <row r="1203" spans="1:13" ht="409.5" x14ac:dyDescent="0.2">
      <c r="A1203" s="431" t="s">
        <v>375</v>
      </c>
      <c r="B1203" s="431">
        <v>1870460</v>
      </c>
      <c r="C1203" s="431" t="s">
        <v>159</v>
      </c>
      <c r="D1203" s="431" t="s">
        <v>173</v>
      </c>
      <c r="E1203" s="431" t="s">
        <v>161</v>
      </c>
      <c r="F1203" s="431" t="s">
        <v>371</v>
      </c>
      <c r="G1203" s="431" t="s">
        <v>175</v>
      </c>
      <c r="H1203" s="431"/>
      <c r="I1203" s="431"/>
      <c r="J1203" s="431"/>
      <c r="K1203" s="431"/>
      <c r="L1203" s="431" t="s">
        <v>176</v>
      </c>
      <c r="M1203" s="432" t="s">
        <v>376</v>
      </c>
    </row>
    <row r="1204" spans="1:13" ht="409.5" x14ac:dyDescent="0.2">
      <c r="A1204" s="431" t="s">
        <v>375</v>
      </c>
      <c r="B1204" s="431">
        <v>1870460</v>
      </c>
      <c r="C1204" s="431" t="s">
        <v>159</v>
      </c>
      <c r="D1204" s="431" t="s">
        <v>173</v>
      </c>
      <c r="E1204" s="431" t="s">
        <v>161</v>
      </c>
      <c r="F1204" s="431" t="s">
        <v>178</v>
      </c>
      <c r="G1204" s="431" t="s">
        <v>175</v>
      </c>
      <c r="H1204" s="431"/>
      <c r="I1204" s="431"/>
      <c r="J1204" s="431"/>
      <c r="K1204" s="431"/>
      <c r="L1204" s="431" t="s">
        <v>176</v>
      </c>
      <c r="M1204" s="432" t="s">
        <v>376</v>
      </c>
    </row>
    <row r="1205" spans="1:13" ht="409.5" x14ac:dyDescent="0.2">
      <c r="A1205" s="431" t="s">
        <v>375</v>
      </c>
      <c r="B1205" s="431">
        <v>1870460</v>
      </c>
      <c r="C1205" s="431" t="s">
        <v>159</v>
      </c>
      <c r="D1205" s="431" t="s">
        <v>173</v>
      </c>
      <c r="E1205" s="431" t="s">
        <v>161</v>
      </c>
      <c r="F1205" s="431" t="s">
        <v>178</v>
      </c>
      <c r="G1205" s="431" t="s">
        <v>175</v>
      </c>
      <c r="H1205" s="431"/>
      <c r="I1205" s="431"/>
      <c r="J1205" s="431"/>
      <c r="K1205" s="431"/>
      <c r="L1205" s="431" t="s">
        <v>176</v>
      </c>
      <c r="M1205" s="432" t="s">
        <v>376</v>
      </c>
    </row>
    <row r="1206" spans="1:13" ht="409.5" x14ac:dyDescent="0.2">
      <c r="A1206" s="431" t="s">
        <v>375</v>
      </c>
      <c r="B1206" s="431">
        <v>1870460</v>
      </c>
      <c r="C1206" s="431" t="s">
        <v>159</v>
      </c>
      <c r="D1206" s="431" t="s">
        <v>173</v>
      </c>
      <c r="E1206" s="431" t="s">
        <v>161</v>
      </c>
      <c r="F1206" s="431" t="s">
        <v>178</v>
      </c>
      <c r="G1206" s="431" t="s">
        <v>175</v>
      </c>
      <c r="H1206" s="431"/>
      <c r="I1206" s="431"/>
      <c r="J1206" s="431"/>
      <c r="K1206" s="431"/>
      <c r="L1206" s="431" t="s">
        <v>176</v>
      </c>
      <c r="M1206" s="432" t="s">
        <v>376</v>
      </c>
    </row>
    <row r="1207" spans="1:13" ht="409.5" x14ac:dyDescent="0.2">
      <c r="A1207" s="431" t="s">
        <v>375</v>
      </c>
      <c r="B1207" s="431">
        <v>1870460</v>
      </c>
      <c r="C1207" s="431" t="s">
        <v>159</v>
      </c>
      <c r="D1207" s="431" t="s">
        <v>173</v>
      </c>
      <c r="E1207" s="431" t="s">
        <v>161</v>
      </c>
      <c r="F1207" s="431" t="s">
        <v>178</v>
      </c>
      <c r="G1207" s="431" t="s">
        <v>175</v>
      </c>
      <c r="H1207" s="431"/>
      <c r="I1207" s="431"/>
      <c r="J1207" s="431"/>
      <c r="K1207" s="431"/>
      <c r="L1207" s="431" t="s">
        <v>176</v>
      </c>
      <c r="M1207" s="432" t="s">
        <v>376</v>
      </c>
    </row>
    <row r="1208" spans="1:13" ht="409.5" x14ac:dyDescent="0.2">
      <c r="A1208" s="431" t="s">
        <v>375</v>
      </c>
      <c r="B1208" s="431">
        <v>1870460</v>
      </c>
      <c r="C1208" s="431" t="s">
        <v>159</v>
      </c>
      <c r="D1208" s="431" t="s">
        <v>173</v>
      </c>
      <c r="E1208" s="431" t="s">
        <v>161</v>
      </c>
      <c r="F1208" s="431" t="s">
        <v>178</v>
      </c>
      <c r="G1208" s="431" t="s">
        <v>175</v>
      </c>
      <c r="H1208" s="431"/>
      <c r="I1208" s="431"/>
      <c r="J1208" s="431"/>
      <c r="K1208" s="431"/>
      <c r="L1208" s="431" t="s">
        <v>176</v>
      </c>
      <c r="M1208" s="432" t="s">
        <v>376</v>
      </c>
    </row>
    <row r="1209" spans="1:13" ht="409.5" x14ac:dyDescent="0.2">
      <c r="A1209" s="431" t="s">
        <v>375</v>
      </c>
      <c r="B1209" s="431">
        <v>1870460</v>
      </c>
      <c r="C1209" s="431" t="s">
        <v>159</v>
      </c>
      <c r="D1209" s="431" t="s">
        <v>173</v>
      </c>
      <c r="E1209" s="431" t="s">
        <v>161</v>
      </c>
      <c r="F1209" s="431" t="s">
        <v>178</v>
      </c>
      <c r="G1209" s="431" t="s">
        <v>175</v>
      </c>
      <c r="H1209" s="431"/>
      <c r="I1209" s="431"/>
      <c r="J1209" s="431"/>
      <c r="K1209" s="431"/>
      <c r="L1209" s="431" t="s">
        <v>176</v>
      </c>
      <c r="M1209" s="432" t="s">
        <v>376</v>
      </c>
    </row>
    <row r="1210" spans="1:13" ht="409.5" x14ac:dyDescent="0.2">
      <c r="A1210" s="431" t="s">
        <v>375</v>
      </c>
      <c r="B1210" s="431">
        <v>1870460</v>
      </c>
      <c r="C1210" s="431" t="s">
        <v>159</v>
      </c>
      <c r="D1210" s="431" t="s">
        <v>173</v>
      </c>
      <c r="E1210" s="431" t="s">
        <v>161</v>
      </c>
      <c r="F1210" s="431" t="s">
        <v>178</v>
      </c>
      <c r="G1210" s="431" t="s">
        <v>175</v>
      </c>
      <c r="H1210" s="431"/>
      <c r="I1210" s="431"/>
      <c r="J1210" s="431"/>
      <c r="K1210" s="431"/>
      <c r="L1210" s="431" t="s">
        <v>176</v>
      </c>
      <c r="M1210" s="432" t="s">
        <v>376</v>
      </c>
    </row>
    <row r="1211" spans="1:13" ht="409.5" x14ac:dyDescent="0.2">
      <c r="A1211" s="431" t="s">
        <v>375</v>
      </c>
      <c r="B1211" s="431">
        <v>1870460</v>
      </c>
      <c r="C1211" s="431" t="s">
        <v>159</v>
      </c>
      <c r="D1211" s="431" t="s">
        <v>173</v>
      </c>
      <c r="E1211" s="431" t="s">
        <v>161</v>
      </c>
      <c r="F1211" s="431" t="s">
        <v>178</v>
      </c>
      <c r="G1211" s="431" t="s">
        <v>175</v>
      </c>
      <c r="H1211" s="431"/>
      <c r="I1211" s="431"/>
      <c r="J1211" s="431"/>
      <c r="K1211" s="431"/>
      <c r="L1211" s="431" t="s">
        <v>176</v>
      </c>
      <c r="M1211" s="432" t="s">
        <v>376</v>
      </c>
    </row>
    <row r="1212" spans="1:13" ht="409.5" x14ac:dyDescent="0.2">
      <c r="A1212" s="431" t="s">
        <v>375</v>
      </c>
      <c r="B1212" s="431">
        <v>1870460</v>
      </c>
      <c r="C1212" s="431" t="s">
        <v>159</v>
      </c>
      <c r="D1212" s="431" t="s">
        <v>173</v>
      </c>
      <c r="E1212" s="431" t="s">
        <v>161</v>
      </c>
      <c r="F1212" s="431" t="s">
        <v>178</v>
      </c>
      <c r="G1212" s="431" t="s">
        <v>175</v>
      </c>
      <c r="H1212" s="431"/>
      <c r="I1212" s="431"/>
      <c r="J1212" s="431"/>
      <c r="K1212" s="431"/>
      <c r="L1212" s="431" t="s">
        <v>176</v>
      </c>
      <c r="M1212" s="432" t="s">
        <v>376</v>
      </c>
    </row>
    <row r="1213" spans="1:13" ht="409.5" x14ac:dyDescent="0.2">
      <c r="A1213" s="431" t="s">
        <v>375</v>
      </c>
      <c r="B1213" s="431">
        <v>1870460</v>
      </c>
      <c r="C1213" s="431" t="s">
        <v>159</v>
      </c>
      <c r="D1213" s="431" t="s">
        <v>173</v>
      </c>
      <c r="E1213" s="431" t="s">
        <v>161</v>
      </c>
      <c r="F1213" s="431" t="s">
        <v>178</v>
      </c>
      <c r="G1213" s="431" t="s">
        <v>175</v>
      </c>
      <c r="H1213" s="431"/>
      <c r="I1213" s="431"/>
      <c r="J1213" s="431"/>
      <c r="K1213" s="431"/>
      <c r="L1213" s="431" t="s">
        <v>176</v>
      </c>
      <c r="M1213" s="432" t="s">
        <v>376</v>
      </c>
    </row>
    <row r="1214" spans="1:13" ht="409.5" x14ac:dyDescent="0.2">
      <c r="A1214" s="431" t="s">
        <v>375</v>
      </c>
      <c r="B1214" s="431">
        <v>1870460</v>
      </c>
      <c r="C1214" s="431" t="s">
        <v>159</v>
      </c>
      <c r="D1214" s="431" t="s">
        <v>173</v>
      </c>
      <c r="E1214" s="431" t="s">
        <v>161</v>
      </c>
      <c r="F1214" s="431" t="s">
        <v>178</v>
      </c>
      <c r="G1214" s="431" t="s">
        <v>175</v>
      </c>
      <c r="H1214" s="431"/>
      <c r="I1214" s="431"/>
      <c r="J1214" s="431"/>
      <c r="K1214" s="431"/>
      <c r="L1214" s="431" t="s">
        <v>176</v>
      </c>
      <c r="M1214" s="432" t="s">
        <v>376</v>
      </c>
    </row>
    <row r="1215" spans="1:13" ht="409.5" x14ac:dyDescent="0.2">
      <c r="A1215" s="431" t="s">
        <v>375</v>
      </c>
      <c r="B1215" s="431">
        <v>1870460</v>
      </c>
      <c r="C1215" s="431" t="s">
        <v>159</v>
      </c>
      <c r="D1215" s="431" t="s">
        <v>173</v>
      </c>
      <c r="E1215" s="431" t="s">
        <v>161</v>
      </c>
      <c r="F1215" s="431" t="s">
        <v>178</v>
      </c>
      <c r="G1215" s="431" t="s">
        <v>175</v>
      </c>
      <c r="H1215" s="431"/>
      <c r="I1215" s="431"/>
      <c r="J1215" s="431"/>
      <c r="K1215" s="431"/>
      <c r="L1215" s="431" t="s">
        <v>176</v>
      </c>
      <c r="M1215" s="432" t="s">
        <v>376</v>
      </c>
    </row>
    <row r="1216" spans="1:13" ht="409.5" x14ac:dyDescent="0.2">
      <c r="A1216" s="431" t="s">
        <v>375</v>
      </c>
      <c r="B1216" s="431">
        <v>1870460</v>
      </c>
      <c r="C1216" s="431" t="s">
        <v>159</v>
      </c>
      <c r="D1216" s="431" t="s">
        <v>173</v>
      </c>
      <c r="E1216" s="431" t="s">
        <v>161</v>
      </c>
      <c r="F1216" s="431" t="s">
        <v>178</v>
      </c>
      <c r="G1216" s="431" t="s">
        <v>175</v>
      </c>
      <c r="H1216" s="431"/>
      <c r="I1216" s="431"/>
      <c r="J1216" s="431"/>
      <c r="K1216" s="431"/>
      <c r="L1216" s="431" t="s">
        <v>176</v>
      </c>
      <c r="M1216" s="432" t="s">
        <v>376</v>
      </c>
    </row>
    <row r="1217" spans="1:13" ht="409.5" x14ac:dyDescent="0.2">
      <c r="A1217" s="431" t="s">
        <v>375</v>
      </c>
      <c r="B1217" s="431">
        <v>1870460</v>
      </c>
      <c r="C1217" s="431" t="s">
        <v>159</v>
      </c>
      <c r="D1217" s="431" t="s">
        <v>173</v>
      </c>
      <c r="E1217" s="431" t="s">
        <v>161</v>
      </c>
      <c r="F1217" s="431" t="s">
        <v>178</v>
      </c>
      <c r="G1217" s="431" t="s">
        <v>175</v>
      </c>
      <c r="H1217" s="431"/>
      <c r="I1217" s="431"/>
      <c r="J1217" s="431"/>
      <c r="K1217" s="431"/>
      <c r="L1217" s="431" t="s">
        <v>176</v>
      </c>
      <c r="M1217" s="432" t="s">
        <v>376</v>
      </c>
    </row>
    <row r="1218" spans="1:13" ht="409.5" x14ac:dyDescent="0.2">
      <c r="A1218" s="431" t="s">
        <v>375</v>
      </c>
      <c r="B1218" s="431">
        <v>1870460</v>
      </c>
      <c r="C1218" s="431" t="s">
        <v>159</v>
      </c>
      <c r="D1218" s="431" t="s">
        <v>173</v>
      </c>
      <c r="E1218" s="431" t="s">
        <v>161</v>
      </c>
      <c r="F1218" s="431" t="s">
        <v>178</v>
      </c>
      <c r="G1218" s="431" t="s">
        <v>175</v>
      </c>
      <c r="H1218" s="431"/>
      <c r="I1218" s="431"/>
      <c r="J1218" s="431"/>
      <c r="K1218" s="431"/>
      <c r="L1218" s="431" t="s">
        <v>176</v>
      </c>
      <c r="M1218" s="432" t="s">
        <v>376</v>
      </c>
    </row>
    <row r="1219" spans="1:13" ht="409.5" x14ac:dyDescent="0.2">
      <c r="A1219" s="431" t="s">
        <v>375</v>
      </c>
      <c r="B1219" s="431">
        <v>1870460</v>
      </c>
      <c r="C1219" s="431" t="s">
        <v>159</v>
      </c>
      <c r="D1219" s="431" t="s">
        <v>173</v>
      </c>
      <c r="E1219" s="431" t="s">
        <v>161</v>
      </c>
      <c r="F1219" s="431" t="s">
        <v>178</v>
      </c>
      <c r="G1219" s="431" t="s">
        <v>175</v>
      </c>
      <c r="H1219" s="431"/>
      <c r="I1219" s="431"/>
      <c r="J1219" s="431"/>
      <c r="K1219" s="431"/>
      <c r="L1219" s="431" t="s">
        <v>176</v>
      </c>
      <c r="M1219" s="432" t="s">
        <v>376</v>
      </c>
    </row>
    <row r="1220" spans="1:13" ht="409.5" x14ac:dyDescent="0.2">
      <c r="A1220" s="431" t="s">
        <v>375</v>
      </c>
      <c r="B1220" s="431">
        <v>1870460</v>
      </c>
      <c r="C1220" s="431" t="s">
        <v>159</v>
      </c>
      <c r="D1220" s="431" t="s">
        <v>173</v>
      </c>
      <c r="E1220" s="431" t="s">
        <v>161</v>
      </c>
      <c r="F1220" s="431" t="s">
        <v>178</v>
      </c>
      <c r="G1220" s="431" t="s">
        <v>175</v>
      </c>
      <c r="H1220" s="431"/>
      <c r="I1220" s="431"/>
      <c r="J1220" s="431"/>
      <c r="K1220" s="431"/>
      <c r="L1220" s="431" t="s">
        <v>176</v>
      </c>
      <c r="M1220" s="432" t="s">
        <v>376</v>
      </c>
    </row>
    <row r="1221" spans="1:13" ht="409.5" x14ac:dyDescent="0.2">
      <c r="A1221" s="431" t="s">
        <v>375</v>
      </c>
      <c r="B1221" s="431">
        <v>1870460</v>
      </c>
      <c r="C1221" s="431" t="s">
        <v>159</v>
      </c>
      <c r="D1221" s="431" t="s">
        <v>173</v>
      </c>
      <c r="E1221" s="431" t="s">
        <v>161</v>
      </c>
      <c r="F1221" s="431" t="s">
        <v>178</v>
      </c>
      <c r="G1221" s="431" t="s">
        <v>175</v>
      </c>
      <c r="H1221" s="431"/>
      <c r="I1221" s="431"/>
      <c r="J1221" s="431"/>
      <c r="K1221" s="431"/>
      <c r="L1221" s="431" t="s">
        <v>176</v>
      </c>
      <c r="M1221" s="432" t="s">
        <v>376</v>
      </c>
    </row>
    <row r="1222" spans="1:13" ht="409.5" x14ac:dyDescent="0.2">
      <c r="A1222" s="431" t="s">
        <v>375</v>
      </c>
      <c r="B1222" s="431">
        <v>1870460</v>
      </c>
      <c r="C1222" s="431" t="s">
        <v>159</v>
      </c>
      <c r="D1222" s="431" t="s">
        <v>173</v>
      </c>
      <c r="E1222" s="431" t="s">
        <v>161</v>
      </c>
      <c r="F1222" s="431" t="s">
        <v>178</v>
      </c>
      <c r="G1222" s="431" t="s">
        <v>175</v>
      </c>
      <c r="H1222" s="431"/>
      <c r="I1222" s="431"/>
      <c r="J1222" s="431"/>
      <c r="K1222" s="431"/>
      <c r="L1222" s="431" t="s">
        <v>176</v>
      </c>
      <c r="M1222" s="432" t="s">
        <v>376</v>
      </c>
    </row>
    <row r="1223" spans="1:13" ht="409.5" x14ac:dyDescent="0.2">
      <c r="A1223" s="431" t="s">
        <v>375</v>
      </c>
      <c r="B1223" s="431">
        <v>1870460</v>
      </c>
      <c r="C1223" s="431" t="s">
        <v>159</v>
      </c>
      <c r="D1223" s="431" t="s">
        <v>173</v>
      </c>
      <c r="E1223" s="431" t="s">
        <v>161</v>
      </c>
      <c r="F1223" s="431" t="s">
        <v>178</v>
      </c>
      <c r="G1223" s="431" t="s">
        <v>175</v>
      </c>
      <c r="H1223" s="431"/>
      <c r="I1223" s="431"/>
      <c r="J1223" s="431"/>
      <c r="K1223" s="431"/>
      <c r="L1223" s="431" t="s">
        <v>176</v>
      </c>
      <c r="M1223" s="432" t="s">
        <v>376</v>
      </c>
    </row>
    <row r="1224" spans="1:13" ht="409.5" x14ac:dyDescent="0.2">
      <c r="A1224" s="431" t="s">
        <v>375</v>
      </c>
      <c r="B1224" s="431">
        <v>1870460</v>
      </c>
      <c r="C1224" s="431" t="s">
        <v>159</v>
      </c>
      <c r="D1224" s="431" t="s">
        <v>173</v>
      </c>
      <c r="E1224" s="431" t="s">
        <v>161</v>
      </c>
      <c r="F1224" s="431" t="s">
        <v>178</v>
      </c>
      <c r="G1224" s="431" t="s">
        <v>175</v>
      </c>
      <c r="H1224" s="431"/>
      <c r="I1224" s="431"/>
      <c r="J1224" s="431"/>
      <c r="K1224" s="431"/>
      <c r="L1224" s="431" t="s">
        <v>176</v>
      </c>
      <c r="M1224" s="432" t="s">
        <v>376</v>
      </c>
    </row>
    <row r="1225" spans="1:13" ht="409.5" x14ac:dyDescent="0.2">
      <c r="A1225" s="431" t="s">
        <v>375</v>
      </c>
      <c r="B1225" s="431">
        <v>1870460</v>
      </c>
      <c r="C1225" s="431" t="s">
        <v>159</v>
      </c>
      <c r="D1225" s="431" t="s">
        <v>173</v>
      </c>
      <c r="E1225" s="431" t="s">
        <v>161</v>
      </c>
      <c r="F1225" s="431" t="s">
        <v>178</v>
      </c>
      <c r="G1225" s="431" t="s">
        <v>175</v>
      </c>
      <c r="H1225" s="431"/>
      <c r="I1225" s="431"/>
      <c r="J1225" s="431"/>
      <c r="K1225" s="431"/>
      <c r="L1225" s="431" t="s">
        <v>176</v>
      </c>
      <c r="M1225" s="432" t="s">
        <v>376</v>
      </c>
    </row>
    <row r="1226" spans="1:13" ht="409.5" x14ac:dyDescent="0.2">
      <c r="A1226" s="431" t="s">
        <v>375</v>
      </c>
      <c r="B1226" s="431">
        <v>1870460</v>
      </c>
      <c r="C1226" s="431" t="s">
        <v>159</v>
      </c>
      <c r="D1226" s="431" t="s">
        <v>173</v>
      </c>
      <c r="E1226" s="431" t="s">
        <v>161</v>
      </c>
      <c r="F1226" s="431" t="s">
        <v>178</v>
      </c>
      <c r="G1226" s="431" t="s">
        <v>175</v>
      </c>
      <c r="H1226" s="431"/>
      <c r="I1226" s="431"/>
      <c r="J1226" s="431"/>
      <c r="K1226" s="431"/>
      <c r="L1226" s="431" t="s">
        <v>176</v>
      </c>
      <c r="M1226" s="432" t="s">
        <v>376</v>
      </c>
    </row>
    <row r="1227" spans="1:13" ht="409.5" x14ac:dyDescent="0.2">
      <c r="A1227" s="431" t="s">
        <v>375</v>
      </c>
      <c r="B1227" s="431">
        <v>1870460</v>
      </c>
      <c r="C1227" s="431" t="s">
        <v>159</v>
      </c>
      <c r="D1227" s="431" t="s">
        <v>173</v>
      </c>
      <c r="E1227" s="431" t="s">
        <v>161</v>
      </c>
      <c r="F1227" s="431" t="s">
        <v>178</v>
      </c>
      <c r="G1227" s="431" t="s">
        <v>175</v>
      </c>
      <c r="H1227" s="431"/>
      <c r="I1227" s="431"/>
      <c r="J1227" s="431"/>
      <c r="K1227" s="431"/>
      <c r="L1227" s="431" t="s">
        <v>176</v>
      </c>
      <c r="M1227" s="432" t="s">
        <v>376</v>
      </c>
    </row>
    <row r="1228" spans="1:13" ht="409.5" x14ac:dyDescent="0.2">
      <c r="A1228" s="431" t="s">
        <v>375</v>
      </c>
      <c r="B1228" s="431">
        <v>1870460</v>
      </c>
      <c r="C1228" s="431" t="s">
        <v>159</v>
      </c>
      <c r="D1228" s="431" t="s">
        <v>173</v>
      </c>
      <c r="E1228" s="431" t="s">
        <v>161</v>
      </c>
      <c r="F1228" s="431" t="s">
        <v>178</v>
      </c>
      <c r="G1228" s="431" t="s">
        <v>175</v>
      </c>
      <c r="H1228" s="431"/>
      <c r="I1228" s="431"/>
      <c r="J1228" s="431"/>
      <c r="K1228" s="431"/>
      <c r="L1228" s="431" t="s">
        <v>176</v>
      </c>
      <c r="M1228" s="432" t="s">
        <v>376</v>
      </c>
    </row>
    <row r="1229" spans="1:13" ht="409.5" x14ac:dyDescent="0.2">
      <c r="A1229" s="431" t="s">
        <v>377</v>
      </c>
      <c r="B1229" s="431">
        <v>1870461</v>
      </c>
      <c r="C1229" s="431" t="s">
        <v>159</v>
      </c>
      <c r="D1229" s="431" t="s">
        <v>173</v>
      </c>
      <c r="E1229" s="431" t="s">
        <v>161</v>
      </c>
      <c r="F1229" s="431" t="s">
        <v>331</v>
      </c>
      <c r="G1229" s="431" t="s">
        <v>175</v>
      </c>
      <c r="H1229" s="431"/>
      <c r="I1229" s="431"/>
      <c r="J1229" s="431"/>
      <c r="K1229" s="431"/>
      <c r="L1229" s="431" t="s">
        <v>241</v>
      </c>
      <c r="M1229" s="432" t="s">
        <v>378</v>
      </c>
    </row>
    <row r="1230" spans="1:13" ht="409.5" x14ac:dyDescent="0.2">
      <c r="A1230" s="431" t="s">
        <v>377</v>
      </c>
      <c r="B1230" s="431">
        <v>1870461</v>
      </c>
      <c r="C1230" s="431" t="s">
        <v>159</v>
      </c>
      <c r="D1230" s="431" t="s">
        <v>173</v>
      </c>
      <c r="E1230" s="431" t="s">
        <v>161</v>
      </c>
      <c r="F1230" s="431" t="s">
        <v>331</v>
      </c>
      <c r="G1230" s="431" t="s">
        <v>175</v>
      </c>
      <c r="H1230" s="431"/>
      <c r="I1230" s="431"/>
      <c r="J1230" s="431"/>
      <c r="K1230" s="431"/>
      <c r="L1230" s="431" t="s">
        <v>241</v>
      </c>
      <c r="M1230" s="432" t="s">
        <v>378</v>
      </c>
    </row>
    <row r="1231" spans="1:13" x14ac:dyDescent="0.2">
      <c r="A1231" s="431" t="s">
        <v>379</v>
      </c>
      <c r="B1231" s="431">
        <v>1870468</v>
      </c>
      <c r="C1231" s="431" t="s">
        <v>159</v>
      </c>
      <c r="D1231" s="431" t="s">
        <v>173</v>
      </c>
      <c r="E1231" s="431" t="s">
        <v>161</v>
      </c>
      <c r="F1231" s="431" t="s">
        <v>380</v>
      </c>
      <c r="G1231" s="431" t="s">
        <v>175</v>
      </c>
      <c r="H1231" s="431"/>
      <c r="I1231" s="431"/>
      <c r="J1231" s="431"/>
      <c r="K1231" s="431"/>
      <c r="L1231" s="431" t="s">
        <v>163</v>
      </c>
      <c r="M1231" s="431" t="s">
        <v>381</v>
      </c>
    </row>
    <row r="1232" spans="1:13" x14ac:dyDescent="0.2">
      <c r="A1232" s="431" t="s">
        <v>379</v>
      </c>
      <c r="B1232" s="431">
        <v>1870468</v>
      </c>
      <c r="C1232" s="431" t="s">
        <v>159</v>
      </c>
      <c r="D1232" s="431" t="s">
        <v>173</v>
      </c>
      <c r="E1232" s="431" t="s">
        <v>161</v>
      </c>
      <c r="F1232" s="431" t="s">
        <v>382</v>
      </c>
      <c r="G1232" s="431" t="s">
        <v>175</v>
      </c>
      <c r="H1232" s="431"/>
      <c r="I1232" s="431"/>
      <c r="J1232" s="431"/>
      <c r="K1232" s="431"/>
      <c r="L1232" s="431" t="s">
        <v>163</v>
      </c>
      <c r="M1232" s="431" t="s">
        <v>381</v>
      </c>
    </row>
    <row r="1233" spans="1:13" x14ac:dyDescent="0.2">
      <c r="A1233" s="431" t="s">
        <v>379</v>
      </c>
      <c r="B1233" s="431">
        <v>1870468</v>
      </c>
      <c r="C1233" s="431" t="s">
        <v>159</v>
      </c>
      <c r="D1233" s="431" t="s">
        <v>173</v>
      </c>
      <c r="E1233" s="431" t="s">
        <v>161</v>
      </c>
      <c r="F1233" s="431" t="s">
        <v>382</v>
      </c>
      <c r="G1233" s="431" t="s">
        <v>175</v>
      </c>
      <c r="H1233" s="431"/>
      <c r="I1233" s="431"/>
      <c r="J1233" s="431"/>
      <c r="K1233" s="431"/>
      <c r="L1233" s="431" t="s">
        <v>163</v>
      </c>
      <c r="M1233" s="431" t="s">
        <v>381</v>
      </c>
    </row>
    <row r="1234" spans="1:13" x14ac:dyDescent="0.2">
      <c r="A1234" s="431" t="s">
        <v>379</v>
      </c>
      <c r="B1234" s="431">
        <v>1870468</v>
      </c>
      <c r="C1234" s="431" t="s">
        <v>159</v>
      </c>
      <c r="D1234" s="431" t="s">
        <v>173</v>
      </c>
      <c r="E1234" s="431" t="s">
        <v>161</v>
      </c>
      <c r="F1234" s="431" t="s">
        <v>382</v>
      </c>
      <c r="G1234" s="431" t="s">
        <v>175</v>
      </c>
      <c r="H1234" s="431"/>
      <c r="I1234" s="431"/>
      <c r="J1234" s="431"/>
      <c r="K1234" s="431"/>
      <c r="L1234" s="431" t="s">
        <v>163</v>
      </c>
      <c r="M1234" s="431" t="s">
        <v>381</v>
      </c>
    </row>
    <row r="1235" spans="1:13" x14ac:dyDescent="0.2">
      <c r="A1235" s="431" t="s">
        <v>379</v>
      </c>
      <c r="B1235" s="431">
        <v>1870468</v>
      </c>
      <c r="C1235" s="431" t="s">
        <v>159</v>
      </c>
      <c r="D1235" s="431" t="s">
        <v>173</v>
      </c>
      <c r="E1235" s="431" t="s">
        <v>161</v>
      </c>
      <c r="F1235" s="431" t="s">
        <v>382</v>
      </c>
      <c r="G1235" s="431" t="s">
        <v>175</v>
      </c>
      <c r="H1235" s="431"/>
      <c r="I1235" s="431"/>
      <c r="J1235" s="431"/>
      <c r="K1235" s="431"/>
      <c r="L1235" s="431" t="s">
        <v>163</v>
      </c>
      <c r="M1235" s="431" t="s">
        <v>381</v>
      </c>
    </row>
    <row r="1236" spans="1:13" x14ac:dyDescent="0.2">
      <c r="A1236" s="431" t="s">
        <v>379</v>
      </c>
      <c r="B1236" s="431">
        <v>1870468</v>
      </c>
      <c r="C1236" s="431" t="s">
        <v>159</v>
      </c>
      <c r="D1236" s="431" t="s">
        <v>173</v>
      </c>
      <c r="E1236" s="431" t="s">
        <v>161</v>
      </c>
      <c r="F1236" s="431" t="s">
        <v>382</v>
      </c>
      <c r="G1236" s="431" t="s">
        <v>175</v>
      </c>
      <c r="H1236" s="431"/>
      <c r="I1236" s="431"/>
      <c r="J1236" s="431"/>
      <c r="K1236" s="431"/>
      <c r="L1236" s="431" t="s">
        <v>163</v>
      </c>
      <c r="M1236" s="431" t="s">
        <v>381</v>
      </c>
    </row>
    <row r="1237" spans="1:13" x14ac:dyDescent="0.2">
      <c r="A1237" s="431" t="s">
        <v>379</v>
      </c>
      <c r="B1237" s="431">
        <v>1870468</v>
      </c>
      <c r="C1237" s="431" t="s">
        <v>159</v>
      </c>
      <c r="D1237" s="431" t="s">
        <v>173</v>
      </c>
      <c r="E1237" s="431" t="s">
        <v>161</v>
      </c>
      <c r="F1237" s="431" t="s">
        <v>382</v>
      </c>
      <c r="G1237" s="431" t="s">
        <v>175</v>
      </c>
      <c r="H1237" s="431"/>
      <c r="I1237" s="431"/>
      <c r="J1237" s="431"/>
      <c r="K1237" s="431"/>
      <c r="L1237" s="431" t="s">
        <v>163</v>
      </c>
      <c r="M1237" s="431" t="s">
        <v>381</v>
      </c>
    </row>
    <row r="1238" spans="1:13" x14ac:dyDescent="0.2">
      <c r="A1238" s="431" t="s">
        <v>379</v>
      </c>
      <c r="B1238" s="431">
        <v>1870468</v>
      </c>
      <c r="C1238" s="431" t="s">
        <v>159</v>
      </c>
      <c r="D1238" s="431" t="s">
        <v>173</v>
      </c>
      <c r="E1238" s="431" t="s">
        <v>161</v>
      </c>
      <c r="F1238" s="431" t="s">
        <v>382</v>
      </c>
      <c r="G1238" s="431" t="s">
        <v>175</v>
      </c>
      <c r="H1238" s="431"/>
      <c r="I1238" s="431"/>
      <c r="J1238" s="431"/>
      <c r="K1238" s="431"/>
      <c r="L1238" s="431" t="s">
        <v>163</v>
      </c>
      <c r="M1238" s="431" t="s">
        <v>381</v>
      </c>
    </row>
    <row r="1239" spans="1:13" x14ac:dyDescent="0.2">
      <c r="A1239" s="431" t="s">
        <v>379</v>
      </c>
      <c r="B1239" s="431">
        <v>1870468</v>
      </c>
      <c r="C1239" s="431" t="s">
        <v>159</v>
      </c>
      <c r="D1239" s="431" t="s">
        <v>173</v>
      </c>
      <c r="E1239" s="431" t="s">
        <v>161</v>
      </c>
      <c r="F1239" s="431" t="s">
        <v>382</v>
      </c>
      <c r="G1239" s="431" t="s">
        <v>175</v>
      </c>
      <c r="H1239" s="431"/>
      <c r="I1239" s="431"/>
      <c r="J1239" s="431"/>
      <c r="K1239" s="431"/>
      <c r="L1239" s="431" t="s">
        <v>163</v>
      </c>
      <c r="M1239" s="431" t="s">
        <v>381</v>
      </c>
    </row>
    <row r="1240" spans="1:13" x14ac:dyDescent="0.2">
      <c r="A1240" s="431" t="s">
        <v>379</v>
      </c>
      <c r="B1240" s="431">
        <v>1870468</v>
      </c>
      <c r="C1240" s="431" t="s">
        <v>159</v>
      </c>
      <c r="D1240" s="431" t="s">
        <v>173</v>
      </c>
      <c r="E1240" s="431" t="s">
        <v>161</v>
      </c>
      <c r="F1240" s="431" t="s">
        <v>382</v>
      </c>
      <c r="G1240" s="431" t="s">
        <v>175</v>
      </c>
      <c r="H1240" s="431"/>
      <c r="I1240" s="431"/>
      <c r="J1240" s="431"/>
      <c r="K1240" s="431"/>
      <c r="L1240" s="431" t="s">
        <v>163</v>
      </c>
      <c r="M1240" s="431" t="s">
        <v>381</v>
      </c>
    </row>
    <row r="1241" spans="1:13" x14ac:dyDescent="0.2">
      <c r="A1241" s="431" t="s">
        <v>379</v>
      </c>
      <c r="B1241" s="431">
        <v>1870468</v>
      </c>
      <c r="C1241" s="431" t="s">
        <v>159</v>
      </c>
      <c r="D1241" s="431" t="s">
        <v>173</v>
      </c>
      <c r="E1241" s="431" t="s">
        <v>161</v>
      </c>
      <c r="F1241" s="431" t="s">
        <v>382</v>
      </c>
      <c r="G1241" s="431" t="s">
        <v>175</v>
      </c>
      <c r="H1241" s="431"/>
      <c r="I1241" s="431"/>
      <c r="J1241" s="431"/>
      <c r="K1241" s="431"/>
      <c r="L1241" s="431" t="s">
        <v>163</v>
      </c>
      <c r="M1241" s="431" t="s">
        <v>381</v>
      </c>
    </row>
    <row r="1242" spans="1:13" x14ac:dyDescent="0.2">
      <c r="A1242" s="431" t="s">
        <v>379</v>
      </c>
      <c r="B1242" s="431">
        <v>1870468</v>
      </c>
      <c r="C1242" s="431" t="s">
        <v>159</v>
      </c>
      <c r="D1242" s="431" t="s">
        <v>173</v>
      </c>
      <c r="E1242" s="431" t="s">
        <v>161</v>
      </c>
      <c r="F1242" s="431" t="s">
        <v>383</v>
      </c>
      <c r="G1242" s="431" t="s">
        <v>175</v>
      </c>
      <c r="H1242" s="431"/>
      <c r="I1242" s="431"/>
      <c r="J1242" s="431"/>
      <c r="K1242" s="431"/>
      <c r="L1242" s="431" t="s">
        <v>163</v>
      </c>
      <c r="M1242" s="431" t="s">
        <v>381</v>
      </c>
    </row>
    <row r="1243" spans="1:13" ht="369.75" x14ac:dyDescent="0.2">
      <c r="A1243" s="431" t="s">
        <v>384</v>
      </c>
      <c r="B1243" s="431">
        <v>1870467</v>
      </c>
      <c r="C1243" s="431" t="s">
        <v>159</v>
      </c>
      <c r="D1243" s="431" t="s">
        <v>173</v>
      </c>
      <c r="E1243" s="431" t="s">
        <v>161</v>
      </c>
      <c r="F1243" s="431" t="s">
        <v>385</v>
      </c>
      <c r="G1243" s="431" t="s">
        <v>175</v>
      </c>
      <c r="H1243" s="431"/>
      <c r="I1243" s="431"/>
      <c r="J1243" s="431"/>
      <c r="K1243" s="431"/>
      <c r="L1243" s="431" t="s">
        <v>311</v>
      </c>
      <c r="M1243" s="432" t="s">
        <v>386</v>
      </c>
    </row>
    <row r="1244" spans="1:13" ht="369.75" x14ac:dyDescent="0.2">
      <c r="A1244" s="431" t="s">
        <v>384</v>
      </c>
      <c r="B1244" s="431">
        <v>1870467</v>
      </c>
      <c r="C1244" s="431" t="s">
        <v>159</v>
      </c>
      <c r="D1244" s="431" t="s">
        <v>173</v>
      </c>
      <c r="E1244" s="431" t="s">
        <v>161</v>
      </c>
      <c r="F1244" s="431" t="s">
        <v>287</v>
      </c>
      <c r="G1244" s="431" t="s">
        <v>175</v>
      </c>
      <c r="H1244" s="431"/>
      <c r="I1244" s="431"/>
      <c r="J1244" s="431"/>
      <c r="K1244" s="431"/>
      <c r="L1244" s="431" t="s">
        <v>311</v>
      </c>
      <c r="M1244" s="432" t="s">
        <v>386</v>
      </c>
    </row>
    <row r="1245" spans="1:13" ht="369.75" x14ac:dyDescent="0.2">
      <c r="A1245" s="431" t="s">
        <v>384</v>
      </c>
      <c r="B1245" s="431">
        <v>1870467</v>
      </c>
      <c r="C1245" s="431" t="s">
        <v>159</v>
      </c>
      <c r="D1245" s="431" t="s">
        <v>173</v>
      </c>
      <c r="E1245" s="431" t="s">
        <v>161</v>
      </c>
      <c r="F1245" s="431" t="s">
        <v>287</v>
      </c>
      <c r="G1245" s="431" t="s">
        <v>175</v>
      </c>
      <c r="H1245" s="431"/>
      <c r="I1245" s="431"/>
      <c r="J1245" s="431"/>
      <c r="K1245" s="431"/>
      <c r="L1245" s="431" t="s">
        <v>311</v>
      </c>
      <c r="M1245" s="432" t="s">
        <v>386</v>
      </c>
    </row>
    <row r="1246" spans="1:13" ht="369.75" x14ac:dyDescent="0.2">
      <c r="A1246" s="431" t="s">
        <v>384</v>
      </c>
      <c r="B1246" s="431">
        <v>1870467</v>
      </c>
      <c r="C1246" s="431" t="s">
        <v>159</v>
      </c>
      <c r="D1246" s="431" t="s">
        <v>173</v>
      </c>
      <c r="E1246" s="431" t="s">
        <v>161</v>
      </c>
      <c r="F1246" s="431" t="s">
        <v>288</v>
      </c>
      <c r="G1246" s="431" t="s">
        <v>175</v>
      </c>
      <c r="H1246" s="431"/>
      <c r="I1246" s="431"/>
      <c r="J1246" s="431"/>
      <c r="K1246" s="431"/>
      <c r="L1246" s="431" t="s">
        <v>311</v>
      </c>
      <c r="M1246" s="432" t="s">
        <v>386</v>
      </c>
    </row>
    <row r="1247" spans="1:13" ht="369.75" x14ac:dyDescent="0.2">
      <c r="A1247" s="431" t="s">
        <v>384</v>
      </c>
      <c r="B1247" s="431">
        <v>1870467</v>
      </c>
      <c r="C1247" s="431" t="s">
        <v>159</v>
      </c>
      <c r="D1247" s="431" t="s">
        <v>173</v>
      </c>
      <c r="E1247" s="431" t="s">
        <v>161</v>
      </c>
      <c r="F1247" s="431" t="s">
        <v>288</v>
      </c>
      <c r="G1247" s="431" t="s">
        <v>175</v>
      </c>
      <c r="H1247" s="431"/>
      <c r="I1247" s="431"/>
      <c r="J1247" s="431"/>
      <c r="K1247" s="431"/>
      <c r="L1247" s="431" t="s">
        <v>311</v>
      </c>
      <c r="M1247" s="432" t="s">
        <v>386</v>
      </c>
    </row>
    <row r="1248" spans="1:13" x14ac:dyDescent="0.2">
      <c r="A1248" s="431" t="s">
        <v>387</v>
      </c>
      <c r="B1248" s="431">
        <v>1870470</v>
      </c>
      <c r="C1248" s="431" t="s">
        <v>159</v>
      </c>
      <c r="D1248" s="431" t="s">
        <v>173</v>
      </c>
      <c r="E1248" s="431" t="s">
        <v>161</v>
      </c>
      <c r="F1248" s="431" t="s">
        <v>388</v>
      </c>
      <c r="G1248" s="431" t="s">
        <v>175</v>
      </c>
      <c r="H1248" s="431"/>
      <c r="I1248" s="431"/>
      <c r="J1248" s="431"/>
      <c r="K1248" s="431"/>
      <c r="L1248" s="431" t="s">
        <v>163</v>
      </c>
      <c r="M1248" s="431" t="s">
        <v>389</v>
      </c>
    </row>
    <row r="1249" spans="1:13" x14ac:dyDescent="0.2">
      <c r="A1249" s="431" t="s">
        <v>387</v>
      </c>
      <c r="B1249" s="431">
        <v>1870470</v>
      </c>
      <c r="C1249" s="431" t="s">
        <v>159</v>
      </c>
      <c r="D1249" s="431" t="s">
        <v>173</v>
      </c>
      <c r="E1249" s="431" t="s">
        <v>161</v>
      </c>
      <c r="F1249" s="431" t="s">
        <v>388</v>
      </c>
      <c r="G1249" s="431" t="s">
        <v>175</v>
      </c>
      <c r="H1249" s="431"/>
      <c r="I1249" s="431"/>
      <c r="J1249" s="431"/>
      <c r="K1249" s="431"/>
      <c r="L1249" s="431" t="s">
        <v>163</v>
      </c>
      <c r="M1249" s="431" t="s">
        <v>389</v>
      </c>
    </row>
    <row r="1250" spans="1:13" x14ac:dyDescent="0.2">
      <c r="A1250" s="431" t="s">
        <v>387</v>
      </c>
      <c r="B1250" s="431">
        <v>1870470</v>
      </c>
      <c r="C1250" s="431" t="s">
        <v>159</v>
      </c>
      <c r="D1250" s="431" t="s">
        <v>173</v>
      </c>
      <c r="E1250" s="431" t="s">
        <v>161</v>
      </c>
      <c r="F1250" s="431" t="s">
        <v>388</v>
      </c>
      <c r="G1250" s="431" t="s">
        <v>175</v>
      </c>
      <c r="H1250" s="431"/>
      <c r="I1250" s="431"/>
      <c r="J1250" s="431"/>
      <c r="K1250" s="431"/>
      <c r="L1250" s="431" t="s">
        <v>163</v>
      </c>
      <c r="M1250" s="431" t="s">
        <v>389</v>
      </c>
    </row>
    <row r="1251" spans="1:13" x14ac:dyDescent="0.2">
      <c r="A1251" s="431" t="s">
        <v>387</v>
      </c>
      <c r="B1251" s="431">
        <v>1870470</v>
      </c>
      <c r="C1251" s="431" t="s">
        <v>159</v>
      </c>
      <c r="D1251" s="431" t="s">
        <v>173</v>
      </c>
      <c r="E1251" s="431" t="s">
        <v>161</v>
      </c>
      <c r="F1251" s="431" t="s">
        <v>388</v>
      </c>
      <c r="G1251" s="431" t="s">
        <v>175</v>
      </c>
      <c r="H1251" s="431"/>
      <c r="I1251" s="431"/>
      <c r="J1251" s="431"/>
      <c r="K1251" s="431"/>
      <c r="L1251" s="431" t="s">
        <v>163</v>
      </c>
      <c r="M1251" s="431" t="s">
        <v>389</v>
      </c>
    </row>
    <row r="1252" spans="1:13" x14ac:dyDescent="0.2">
      <c r="A1252" s="431" t="s">
        <v>387</v>
      </c>
      <c r="B1252" s="431">
        <v>1870470</v>
      </c>
      <c r="C1252" s="431" t="s">
        <v>159</v>
      </c>
      <c r="D1252" s="431" t="s">
        <v>173</v>
      </c>
      <c r="E1252" s="431" t="s">
        <v>161</v>
      </c>
      <c r="F1252" s="431" t="s">
        <v>388</v>
      </c>
      <c r="G1252" s="431" t="s">
        <v>175</v>
      </c>
      <c r="H1252" s="431"/>
      <c r="I1252" s="431"/>
      <c r="J1252" s="431"/>
      <c r="K1252" s="431"/>
      <c r="L1252" s="431" t="s">
        <v>163</v>
      </c>
      <c r="M1252" s="431" t="s">
        <v>389</v>
      </c>
    </row>
    <row r="1253" spans="1:13" x14ac:dyDescent="0.2">
      <c r="A1253" s="431" t="s">
        <v>387</v>
      </c>
      <c r="B1253" s="431">
        <v>1870470</v>
      </c>
      <c r="C1253" s="431" t="s">
        <v>159</v>
      </c>
      <c r="D1253" s="431" t="s">
        <v>173</v>
      </c>
      <c r="E1253" s="431" t="s">
        <v>161</v>
      </c>
      <c r="F1253" s="431" t="s">
        <v>388</v>
      </c>
      <c r="G1253" s="431" t="s">
        <v>175</v>
      </c>
      <c r="H1253" s="431"/>
      <c r="I1253" s="431"/>
      <c r="J1253" s="431"/>
      <c r="K1253" s="431"/>
      <c r="L1253" s="431" t="s">
        <v>163</v>
      </c>
      <c r="M1253" s="431" t="s">
        <v>389</v>
      </c>
    </row>
    <row r="1254" spans="1:13" x14ac:dyDescent="0.2">
      <c r="A1254" s="431" t="s">
        <v>387</v>
      </c>
      <c r="B1254" s="431">
        <v>1870470</v>
      </c>
      <c r="C1254" s="431" t="s">
        <v>159</v>
      </c>
      <c r="D1254" s="431" t="s">
        <v>173</v>
      </c>
      <c r="E1254" s="431" t="s">
        <v>161</v>
      </c>
      <c r="F1254" s="431" t="s">
        <v>388</v>
      </c>
      <c r="G1254" s="431" t="s">
        <v>175</v>
      </c>
      <c r="H1254" s="431"/>
      <c r="I1254" s="431"/>
      <c r="J1254" s="431"/>
      <c r="K1254" s="431"/>
      <c r="L1254" s="431" t="s">
        <v>163</v>
      </c>
      <c r="M1254" s="431" t="s">
        <v>389</v>
      </c>
    </row>
    <row r="1255" spans="1:13" x14ac:dyDescent="0.2">
      <c r="A1255" s="431" t="s">
        <v>387</v>
      </c>
      <c r="B1255" s="431">
        <v>1870470</v>
      </c>
      <c r="C1255" s="431" t="s">
        <v>159</v>
      </c>
      <c r="D1255" s="431" t="s">
        <v>173</v>
      </c>
      <c r="E1255" s="431" t="s">
        <v>161</v>
      </c>
      <c r="F1255" s="431" t="s">
        <v>388</v>
      </c>
      <c r="G1255" s="431" t="s">
        <v>175</v>
      </c>
      <c r="H1255" s="431"/>
      <c r="I1255" s="431"/>
      <c r="J1255" s="431"/>
      <c r="K1255" s="431"/>
      <c r="L1255" s="431" t="s">
        <v>163</v>
      </c>
      <c r="M1255" s="431" t="s">
        <v>389</v>
      </c>
    </row>
    <row r="1256" spans="1:13" x14ac:dyDescent="0.2">
      <c r="A1256" s="431" t="s">
        <v>387</v>
      </c>
      <c r="B1256" s="431">
        <v>1870470</v>
      </c>
      <c r="C1256" s="431" t="s">
        <v>159</v>
      </c>
      <c r="D1256" s="431" t="s">
        <v>173</v>
      </c>
      <c r="E1256" s="431" t="s">
        <v>161</v>
      </c>
      <c r="F1256" s="431" t="s">
        <v>390</v>
      </c>
      <c r="G1256" s="431" t="s">
        <v>175</v>
      </c>
      <c r="H1256" s="431"/>
      <c r="I1256" s="431"/>
      <c r="J1256" s="431"/>
      <c r="K1256" s="431"/>
      <c r="L1256" s="431" t="s">
        <v>163</v>
      </c>
      <c r="M1256" s="431" t="s">
        <v>389</v>
      </c>
    </row>
    <row r="1257" spans="1:13" x14ac:dyDescent="0.2">
      <c r="A1257" s="431" t="s">
        <v>387</v>
      </c>
      <c r="B1257" s="431">
        <v>1870470</v>
      </c>
      <c r="C1257" s="431" t="s">
        <v>159</v>
      </c>
      <c r="D1257" s="431" t="s">
        <v>173</v>
      </c>
      <c r="E1257" s="431" t="s">
        <v>161</v>
      </c>
      <c r="F1257" s="431" t="s">
        <v>390</v>
      </c>
      <c r="G1257" s="431" t="s">
        <v>175</v>
      </c>
      <c r="H1257" s="431"/>
      <c r="I1257" s="431"/>
      <c r="J1257" s="431"/>
      <c r="K1257" s="431"/>
      <c r="L1257" s="431" t="s">
        <v>163</v>
      </c>
      <c r="M1257" s="431" t="s">
        <v>389</v>
      </c>
    </row>
    <row r="1258" spans="1:13" x14ac:dyDescent="0.2">
      <c r="A1258" s="431" t="s">
        <v>387</v>
      </c>
      <c r="B1258" s="431">
        <v>1870470</v>
      </c>
      <c r="C1258" s="431" t="s">
        <v>159</v>
      </c>
      <c r="D1258" s="431" t="s">
        <v>173</v>
      </c>
      <c r="E1258" s="431" t="s">
        <v>161</v>
      </c>
      <c r="F1258" s="431" t="s">
        <v>390</v>
      </c>
      <c r="G1258" s="431" t="s">
        <v>175</v>
      </c>
      <c r="H1258" s="431"/>
      <c r="I1258" s="431"/>
      <c r="J1258" s="431"/>
      <c r="K1258" s="431"/>
      <c r="L1258" s="431" t="s">
        <v>163</v>
      </c>
      <c r="M1258" s="431" t="s">
        <v>389</v>
      </c>
    </row>
    <row r="1259" spans="1:13" x14ac:dyDescent="0.2">
      <c r="A1259" s="431" t="s">
        <v>387</v>
      </c>
      <c r="B1259" s="431">
        <v>1870470</v>
      </c>
      <c r="C1259" s="431" t="s">
        <v>159</v>
      </c>
      <c r="D1259" s="431" t="s">
        <v>173</v>
      </c>
      <c r="E1259" s="431" t="s">
        <v>161</v>
      </c>
      <c r="F1259" s="431" t="s">
        <v>390</v>
      </c>
      <c r="G1259" s="431" t="s">
        <v>175</v>
      </c>
      <c r="H1259" s="431"/>
      <c r="I1259" s="431"/>
      <c r="J1259" s="431"/>
      <c r="K1259" s="431"/>
      <c r="L1259" s="431" t="s">
        <v>163</v>
      </c>
      <c r="M1259" s="431" t="s">
        <v>389</v>
      </c>
    </row>
    <row r="1260" spans="1:13" x14ac:dyDescent="0.2">
      <c r="A1260" s="431" t="s">
        <v>387</v>
      </c>
      <c r="B1260" s="431">
        <v>1870470</v>
      </c>
      <c r="C1260" s="431" t="s">
        <v>159</v>
      </c>
      <c r="D1260" s="431" t="s">
        <v>173</v>
      </c>
      <c r="E1260" s="431" t="s">
        <v>161</v>
      </c>
      <c r="F1260" s="431" t="s">
        <v>390</v>
      </c>
      <c r="G1260" s="431" t="s">
        <v>175</v>
      </c>
      <c r="H1260" s="431"/>
      <c r="I1260" s="431"/>
      <c r="J1260" s="431"/>
      <c r="K1260" s="431"/>
      <c r="L1260" s="431" t="s">
        <v>163</v>
      </c>
      <c r="M1260" s="431" t="s">
        <v>389</v>
      </c>
    </row>
    <row r="1261" spans="1:13" x14ac:dyDescent="0.2">
      <c r="A1261" s="431" t="s">
        <v>387</v>
      </c>
      <c r="B1261" s="431">
        <v>1870470</v>
      </c>
      <c r="C1261" s="431" t="s">
        <v>159</v>
      </c>
      <c r="D1261" s="431" t="s">
        <v>173</v>
      </c>
      <c r="E1261" s="431" t="s">
        <v>161</v>
      </c>
      <c r="F1261" s="431" t="s">
        <v>390</v>
      </c>
      <c r="G1261" s="431" t="s">
        <v>175</v>
      </c>
      <c r="H1261" s="431"/>
      <c r="I1261" s="431"/>
      <c r="J1261" s="431"/>
      <c r="K1261" s="431"/>
      <c r="L1261" s="431" t="s">
        <v>163</v>
      </c>
      <c r="M1261" s="431" t="s">
        <v>389</v>
      </c>
    </row>
    <row r="1262" spans="1:13" x14ac:dyDescent="0.2">
      <c r="A1262" s="431" t="s">
        <v>387</v>
      </c>
      <c r="B1262" s="431">
        <v>1870470</v>
      </c>
      <c r="C1262" s="431" t="s">
        <v>159</v>
      </c>
      <c r="D1262" s="431" t="s">
        <v>173</v>
      </c>
      <c r="E1262" s="431" t="s">
        <v>161</v>
      </c>
      <c r="F1262" s="431" t="s">
        <v>390</v>
      </c>
      <c r="G1262" s="431" t="s">
        <v>175</v>
      </c>
      <c r="H1262" s="431"/>
      <c r="I1262" s="431"/>
      <c r="J1262" s="431"/>
      <c r="K1262" s="431"/>
      <c r="L1262" s="431" t="s">
        <v>163</v>
      </c>
      <c r="M1262" s="431" t="s">
        <v>389</v>
      </c>
    </row>
    <row r="1263" spans="1:13" x14ac:dyDescent="0.2">
      <c r="A1263" s="431" t="s">
        <v>387</v>
      </c>
      <c r="B1263" s="431">
        <v>1870470</v>
      </c>
      <c r="C1263" s="431" t="s">
        <v>159</v>
      </c>
      <c r="D1263" s="431" t="s">
        <v>173</v>
      </c>
      <c r="E1263" s="431" t="s">
        <v>161</v>
      </c>
      <c r="F1263" s="431" t="s">
        <v>390</v>
      </c>
      <c r="G1263" s="431" t="s">
        <v>175</v>
      </c>
      <c r="H1263" s="431"/>
      <c r="I1263" s="431"/>
      <c r="J1263" s="431"/>
      <c r="K1263" s="431"/>
      <c r="L1263" s="431" t="s">
        <v>163</v>
      </c>
      <c r="M1263" s="431" t="s">
        <v>389</v>
      </c>
    </row>
  </sheetData>
  <autoFilter ref="A2:N2" xr:uid="{00000000-0009-0000-0000-000006000000}"/>
  <pageMargins left="0.75" right="0.75" top="1" bottom="1" header="0.4921259845" footer="0.4921259845"/>
  <pageSetup paperSize="9" orientation="portrait" r:id="rId1"/>
  <headerFooter alignWithMargins="0">
    <oddFooter>&amp;LE905722 rev xxx ver xxx&amp;R&amp;P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F2516-902D-47D4-8AE8-74C7DE3BB3C9}">
  <sheetPr codeName="Feuil7"/>
  <dimension ref="A1:N323"/>
  <sheetViews>
    <sheetView showGridLines="0" zoomScale="85" zoomScaleNormal="85" workbookViewId="0">
      <pane ySplit="2" topLeftCell="A3" activePane="bottomLeft" state="frozen"/>
      <selection pane="bottomLeft" activeCell="M323" sqref="M323"/>
    </sheetView>
  </sheetViews>
  <sheetFormatPr defaultColWidth="11.42578125" defaultRowHeight="12.75" x14ac:dyDescent="0.2"/>
  <cols>
    <col min="1" max="1" width="11.42578125" style="177"/>
    <col min="2" max="2" width="0" style="167" hidden="1" customWidth="1"/>
    <col min="3" max="9" width="11.42578125" style="167"/>
    <col min="10" max="10" width="22.7109375" style="167" customWidth="1"/>
    <col min="11" max="11" width="11.42578125" style="181"/>
    <col min="12" max="16384" width="11.42578125" style="167"/>
  </cols>
  <sheetData>
    <row r="1" spans="1:14" ht="115.5" x14ac:dyDescent="0.2">
      <c r="A1" s="430" t="s">
        <v>155</v>
      </c>
      <c r="B1" s="430" t="s">
        <v>40</v>
      </c>
      <c r="C1" s="430" t="s">
        <v>141</v>
      </c>
      <c r="D1" s="430" t="s">
        <v>41</v>
      </c>
      <c r="E1" s="430" t="s">
        <v>42</v>
      </c>
      <c r="F1" s="430" t="s">
        <v>109</v>
      </c>
      <c r="G1" s="430" t="s">
        <v>43</v>
      </c>
      <c r="H1" s="430" t="s">
        <v>156</v>
      </c>
      <c r="I1" s="430" t="s">
        <v>45</v>
      </c>
      <c r="J1" s="430" t="s">
        <v>46</v>
      </c>
      <c r="K1" s="430" t="s">
        <v>47</v>
      </c>
      <c r="L1" s="430" t="s">
        <v>140</v>
      </c>
      <c r="M1" s="430" t="s">
        <v>157</v>
      </c>
      <c r="N1" s="190"/>
    </row>
    <row r="2" spans="1:14" ht="409.5" x14ac:dyDescent="0.2">
      <c r="A2" s="431" t="s">
        <v>391</v>
      </c>
      <c r="B2" s="431">
        <v>1871163</v>
      </c>
      <c r="C2" s="431" t="s">
        <v>159</v>
      </c>
      <c r="D2" s="431" t="s">
        <v>392</v>
      </c>
      <c r="E2" s="431" t="s">
        <v>161</v>
      </c>
      <c r="F2" s="431" t="s">
        <v>200</v>
      </c>
      <c r="G2" s="431" t="s">
        <v>175</v>
      </c>
      <c r="H2" s="431"/>
      <c r="I2" s="431"/>
      <c r="J2" s="431"/>
      <c r="K2" s="431"/>
      <c r="L2" s="431" t="s">
        <v>393</v>
      </c>
      <c r="M2" s="432" t="s">
        <v>394</v>
      </c>
      <c r="N2" s="178"/>
    </row>
    <row r="3" spans="1:14" ht="409.5" x14ac:dyDescent="0.2">
      <c r="A3" s="431" t="s">
        <v>391</v>
      </c>
      <c r="B3" s="431">
        <v>1871163</v>
      </c>
      <c r="C3" s="431" t="s">
        <v>159</v>
      </c>
      <c r="D3" s="431" t="s">
        <v>392</v>
      </c>
      <c r="E3" s="431" t="s">
        <v>161</v>
      </c>
      <c r="F3" s="431" t="s">
        <v>201</v>
      </c>
      <c r="G3" s="431" t="s">
        <v>175</v>
      </c>
      <c r="H3" s="431"/>
      <c r="I3" s="431"/>
      <c r="J3" s="431"/>
      <c r="K3" s="431"/>
      <c r="L3" s="431" t="s">
        <v>393</v>
      </c>
      <c r="M3" s="432" t="s">
        <v>394</v>
      </c>
    </row>
    <row r="4" spans="1:14" ht="409.5" x14ac:dyDescent="0.2">
      <c r="A4" s="431" t="s">
        <v>391</v>
      </c>
      <c r="B4" s="431">
        <v>1871163</v>
      </c>
      <c r="C4" s="431" t="s">
        <v>159</v>
      </c>
      <c r="D4" s="431" t="s">
        <v>392</v>
      </c>
      <c r="E4" s="431" t="s">
        <v>161</v>
      </c>
      <c r="F4" s="431" t="s">
        <v>395</v>
      </c>
      <c r="G4" s="431" t="s">
        <v>175</v>
      </c>
      <c r="H4" s="431"/>
      <c r="I4" s="431"/>
      <c r="J4" s="431"/>
      <c r="K4" s="431"/>
      <c r="L4" s="431" t="s">
        <v>393</v>
      </c>
      <c r="M4" s="432" t="s">
        <v>394</v>
      </c>
    </row>
    <row r="5" spans="1:14" ht="409.5" x14ac:dyDescent="0.2">
      <c r="A5" s="431" t="s">
        <v>391</v>
      </c>
      <c r="B5" s="431">
        <v>1871163</v>
      </c>
      <c r="C5" s="431" t="s">
        <v>159</v>
      </c>
      <c r="D5" s="431" t="s">
        <v>392</v>
      </c>
      <c r="E5" s="431" t="s">
        <v>161</v>
      </c>
      <c r="F5" s="431" t="s">
        <v>395</v>
      </c>
      <c r="G5" s="431" t="s">
        <v>175</v>
      </c>
      <c r="H5" s="431"/>
      <c r="I5" s="431"/>
      <c r="J5" s="431"/>
      <c r="K5" s="431"/>
      <c r="L5" s="431" t="s">
        <v>393</v>
      </c>
      <c r="M5" s="432" t="s">
        <v>394</v>
      </c>
    </row>
    <row r="6" spans="1:14" ht="409.5" x14ac:dyDescent="0.2">
      <c r="A6" s="431" t="s">
        <v>391</v>
      </c>
      <c r="B6" s="431">
        <v>1871163</v>
      </c>
      <c r="C6" s="431" t="s">
        <v>159</v>
      </c>
      <c r="D6" s="431" t="s">
        <v>392</v>
      </c>
      <c r="E6" s="431" t="s">
        <v>161</v>
      </c>
      <c r="F6" s="431" t="s">
        <v>396</v>
      </c>
      <c r="G6" s="431" t="s">
        <v>175</v>
      </c>
      <c r="H6" s="431"/>
      <c r="I6" s="431"/>
      <c r="J6" s="431"/>
      <c r="K6" s="431"/>
      <c r="L6" s="431" t="s">
        <v>393</v>
      </c>
      <c r="M6" s="432" t="s">
        <v>394</v>
      </c>
    </row>
    <row r="7" spans="1:14" ht="409.5" x14ac:dyDescent="0.2">
      <c r="A7" s="431" t="s">
        <v>391</v>
      </c>
      <c r="B7" s="431">
        <v>1871163</v>
      </c>
      <c r="C7" s="431" t="s">
        <v>159</v>
      </c>
      <c r="D7" s="431" t="s">
        <v>392</v>
      </c>
      <c r="E7" s="431" t="s">
        <v>161</v>
      </c>
      <c r="F7" s="431" t="s">
        <v>397</v>
      </c>
      <c r="G7" s="431" t="s">
        <v>175</v>
      </c>
      <c r="H7" s="431"/>
      <c r="I7" s="431"/>
      <c r="J7" s="431"/>
      <c r="K7" s="431"/>
      <c r="L7" s="431" t="s">
        <v>393</v>
      </c>
      <c r="M7" s="432" t="s">
        <v>394</v>
      </c>
    </row>
    <row r="8" spans="1:14" ht="409.5" x14ac:dyDescent="0.2">
      <c r="A8" s="431" t="s">
        <v>391</v>
      </c>
      <c r="B8" s="431">
        <v>1871163</v>
      </c>
      <c r="C8" s="431" t="s">
        <v>159</v>
      </c>
      <c r="D8" s="431" t="s">
        <v>392</v>
      </c>
      <c r="E8" s="431" t="s">
        <v>161</v>
      </c>
      <c r="F8" s="431" t="s">
        <v>398</v>
      </c>
      <c r="G8" s="431" t="s">
        <v>175</v>
      </c>
      <c r="H8" s="431"/>
      <c r="I8" s="431"/>
      <c r="J8" s="431"/>
      <c r="K8" s="431"/>
      <c r="L8" s="431" t="s">
        <v>393</v>
      </c>
      <c r="M8" s="432" t="s">
        <v>394</v>
      </c>
    </row>
    <row r="9" spans="1:14" x14ac:dyDescent="0.2">
      <c r="A9" s="431" t="s">
        <v>399</v>
      </c>
      <c r="B9" s="431">
        <v>1871164</v>
      </c>
      <c r="C9" s="431" t="s">
        <v>159</v>
      </c>
      <c r="D9" s="431" t="s">
        <v>392</v>
      </c>
      <c r="E9" s="431" t="s">
        <v>161</v>
      </c>
      <c r="F9" s="431" t="s">
        <v>400</v>
      </c>
      <c r="G9" s="431" t="s">
        <v>175</v>
      </c>
      <c r="H9" s="431"/>
      <c r="I9" s="431"/>
      <c r="J9" s="431"/>
      <c r="K9" s="431"/>
      <c r="L9" s="431" t="s">
        <v>241</v>
      </c>
      <c r="M9" s="431" t="s">
        <v>401</v>
      </c>
    </row>
    <row r="10" spans="1:14" x14ac:dyDescent="0.2">
      <c r="A10" s="431" t="s">
        <v>399</v>
      </c>
      <c r="B10" s="431">
        <v>1871164</v>
      </c>
      <c r="C10" s="431" t="s">
        <v>159</v>
      </c>
      <c r="D10" s="431" t="s">
        <v>392</v>
      </c>
      <c r="E10" s="431" t="s">
        <v>161</v>
      </c>
      <c r="F10" s="431" t="s">
        <v>402</v>
      </c>
      <c r="G10" s="431" t="s">
        <v>175</v>
      </c>
      <c r="H10" s="431"/>
      <c r="I10" s="431"/>
      <c r="J10" s="431"/>
      <c r="K10" s="431"/>
      <c r="L10" s="431" t="s">
        <v>241</v>
      </c>
      <c r="M10" s="431" t="s">
        <v>401</v>
      </c>
    </row>
    <row r="11" spans="1:14" ht="409.5" x14ac:dyDescent="0.2">
      <c r="A11" s="431" t="s">
        <v>403</v>
      </c>
      <c r="B11" s="431">
        <v>1871166</v>
      </c>
      <c r="C11" s="431" t="s">
        <v>159</v>
      </c>
      <c r="D11" s="431" t="s">
        <v>392</v>
      </c>
      <c r="E11" s="431" t="s">
        <v>161</v>
      </c>
      <c r="F11" s="431" t="s">
        <v>214</v>
      </c>
      <c r="G11" s="431" t="s">
        <v>175</v>
      </c>
      <c r="H11" s="431"/>
      <c r="I11" s="431"/>
      <c r="J11" s="431"/>
      <c r="K11" s="431"/>
      <c r="L11" s="431" t="s">
        <v>404</v>
      </c>
      <c r="M11" s="432" t="s">
        <v>405</v>
      </c>
    </row>
    <row r="12" spans="1:14" ht="409.5" x14ac:dyDescent="0.2">
      <c r="A12" s="431" t="s">
        <v>403</v>
      </c>
      <c r="B12" s="431">
        <v>1871166</v>
      </c>
      <c r="C12" s="431" t="s">
        <v>159</v>
      </c>
      <c r="D12" s="431" t="s">
        <v>392</v>
      </c>
      <c r="E12" s="431" t="s">
        <v>161</v>
      </c>
      <c r="F12" s="431" t="s">
        <v>214</v>
      </c>
      <c r="G12" s="431" t="s">
        <v>175</v>
      </c>
      <c r="H12" s="431"/>
      <c r="I12" s="431"/>
      <c r="J12" s="431"/>
      <c r="K12" s="431"/>
      <c r="L12" s="431" t="s">
        <v>404</v>
      </c>
      <c r="M12" s="432" t="s">
        <v>405</v>
      </c>
    </row>
    <row r="13" spans="1:14" ht="409.5" x14ac:dyDescent="0.2">
      <c r="A13" s="431" t="s">
        <v>403</v>
      </c>
      <c r="B13" s="431">
        <v>1871166</v>
      </c>
      <c r="C13" s="431" t="s">
        <v>159</v>
      </c>
      <c r="D13" s="431" t="s">
        <v>392</v>
      </c>
      <c r="E13" s="431" t="s">
        <v>161</v>
      </c>
      <c r="F13" s="431" t="s">
        <v>214</v>
      </c>
      <c r="G13" s="431" t="s">
        <v>175</v>
      </c>
      <c r="H13" s="431"/>
      <c r="I13" s="431"/>
      <c r="J13" s="431"/>
      <c r="K13" s="431"/>
      <c r="L13" s="431" t="s">
        <v>404</v>
      </c>
      <c r="M13" s="432" t="s">
        <v>405</v>
      </c>
    </row>
    <row r="14" spans="1:14" ht="409.5" x14ac:dyDescent="0.2">
      <c r="A14" s="431" t="s">
        <v>403</v>
      </c>
      <c r="B14" s="431">
        <v>1871166</v>
      </c>
      <c r="C14" s="431" t="s">
        <v>159</v>
      </c>
      <c r="D14" s="431" t="s">
        <v>392</v>
      </c>
      <c r="E14" s="431" t="s">
        <v>161</v>
      </c>
      <c r="F14" s="431" t="s">
        <v>214</v>
      </c>
      <c r="G14" s="431" t="s">
        <v>175</v>
      </c>
      <c r="H14" s="431"/>
      <c r="I14" s="431"/>
      <c r="J14" s="431"/>
      <c r="K14" s="431"/>
      <c r="L14" s="431" t="s">
        <v>404</v>
      </c>
      <c r="M14" s="432" t="s">
        <v>405</v>
      </c>
    </row>
    <row r="15" spans="1:14" ht="409.5" x14ac:dyDescent="0.2">
      <c r="A15" s="431" t="s">
        <v>403</v>
      </c>
      <c r="B15" s="431">
        <v>1871166</v>
      </c>
      <c r="C15" s="431" t="s">
        <v>159</v>
      </c>
      <c r="D15" s="431" t="s">
        <v>392</v>
      </c>
      <c r="E15" s="431" t="s">
        <v>161</v>
      </c>
      <c r="F15" s="431" t="s">
        <v>214</v>
      </c>
      <c r="G15" s="431" t="s">
        <v>175</v>
      </c>
      <c r="H15" s="431"/>
      <c r="I15" s="431"/>
      <c r="J15" s="431"/>
      <c r="K15" s="431"/>
      <c r="L15" s="431" t="s">
        <v>404</v>
      </c>
      <c r="M15" s="432" t="s">
        <v>405</v>
      </c>
    </row>
    <row r="16" spans="1:14" ht="409.5" x14ac:dyDescent="0.2">
      <c r="A16" s="431" t="s">
        <v>403</v>
      </c>
      <c r="B16" s="431">
        <v>1871166</v>
      </c>
      <c r="C16" s="431" t="s">
        <v>159</v>
      </c>
      <c r="D16" s="431" t="s">
        <v>392</v>
      </c>
      <c r="E16" s="431" t="s">
        <v>161</v>
      </c>
      <c r="F16" s="431" t="s">
        <v>214</v>
      </c>
      <c r="G16" s="431" t="s">
        <v>175</v>
      </c>
      <c r="H16" s="431"/>
      <c r="I16" s="431"/>
      <c r="J16" s="431"/>
      <c r="K16" s="431"/>
      <c r="L16" s="431" t="s">
        <v>404</v>
      </c>
      <c r="M16" s="432" t="s">
        <v>405</v>
      </c>
    </row>
    <row r="17" spans="1:13" ht="409.5" x14ac:dyDescent="0.2">
      <c r="A17" s="431" t="s">
        <v>403</v>
      </c>
      <c r="B17" s="431">
        <v>1871166</v>
      </c>
      <c r="C17" s="431" t="s">
        <v>159</v>
      </c>
      <c r="D17" s="431" t="s">
        <v>392</v>
      </c>
      <c r="E17" s="431" t="s">
        <v>161</v>
      </c>
      <c r="F17" s="431" t="s">
        <v>297</v>
      </c>
      <c r="G17" s="431" t="s">
        <v>175</v>
      </c>
      <c r="H17" s="431"/>
      <c r="I17" s="431"/>
      <c r="J17" s="431"/>
      <c r="K17" s="431"/>
      <c r="L17" s="431" t="s">
        <v>404</v>
      </c>
      <c r="M17" s="432" t="s">
        <v>405</v>
      </c>
    </row>
    <row r="18" spans="1:13" ht="409.5" x14ac:dyDescent="0.2">
      <c r="A18" s="431" t="s">
        <v>403</v>
      </c>
      <c r="B18" s="431">
        <v>1871166</v>
      </c>
      <c r="C18" s="431" t="s">
        <v>159</v>
      </c>
      <c r="D18" s="431" t="s">
        <v>392</v>
      </c>
      <c r="E18" s="431" t="s">
        <v>161</v>
      </c>
      <c r="F18" s="431" t="s">
        <v>297</v>
      </c>
      <c r="G18" s="431" t="s">
        <v>175</v>
      </c>
      <c r="H18" s="431"/>
      <c r="I18" s="431"/>
      <c r="J18" s="431"/>
      <c r="K18" s="431"/>
      <c r="L18" s="431" t="s">
        <v>404</v>
      </c>
      <c r="M18" s="432" t="s">
        <v>405</v>
      </c>
    </row>
    <row r="19" spans="1:13" ht="409.5" x14ac:dyDescent="0.2">
      <c r="A19" s="431" t="s">
        <v>403</v>
      </c>
      <c r="B19" s="431">
        <v>1871166</v>
      </c>
      <c r="C19" s="431" t="s">
        <v>159</v>
      </c>
      <c r="D19" s="431" t="s">
        <v>392</v>
      </c>
      <c r="E19" s="431" t="s">
        <v>161</v>
      </c>
      <c r="F19" s="431" t="s">
        <v>297</v>
      </c>
      <c r="G19" s="431" t="s">
        <v>175</v>
      </c>
      <c r="H19" s="431"/>
      <c r="I19" s="431"/>
      <c r="J19" s="431"/>
      <c r="K19" s="431"/>
      <c r="L19" s="431" t="s">
        <v>404</v>
      </c>
      <c r="M19" s="432" t="s">
        <v>405</v>
      </c>
    </row>
    <row r="20" spans="1:13" ht="409.5" x14ac:dyDescent="0.2">
      <c r="A20" s="431" t="s">
        <v>403</v>
      </c>
      <c r="B20" s="431">
        <v>1871166</v>
      </c>
      <c r="C20" s="431" t="s">
        <v>159</v>
      </c>
      <c r="D20" s="431" t="s">
        <v>392</v>
      </c>
      <c r="E20" s="431" t="s">
        <v>161</v>
      </c>
      <c r="F20" s="431" t="s">
        <v>297</v>
      </c>
      <c r="G20" s="431" t="s">
        <v>175</v>
      </c>
      <c r="H20" s="431"/>
      <c r="I20" s="431"/>
      <c r="J20" s="431"/>
      <c r="K20" s="431"/>
      <c r="L20" s="431" t="s">
        <v>404</v>
      </c>
      <c r="M20" s="432" t="s">
        <v>405</v>
      </c>
    </row>
    <row r="21" spans="1:13" ht="409.5" x14ac:dyDescent="0.2">
      <c r="A21" s="431" t="s">
        <v>403</v>
      </c>
      <c r="B21" s="431">
        <v>1871166</v>
      </c>
      <c r="C21" s="431" t="s">
        <v>159</v>
      </c>
      <c r="D21" s="431" t="s">
        <v>392</v>
      </c>
      <c r="E21" s="431" t="s">
        <v>161</v>
      </c>
      <c r="F21" s="431" t="s">
        <v>297</v>
      </c>
      <c r="G21" s="431" t="s">
        <v>175</v>
      </c>
      <c r="H21" s="431"/>
      <c r="I21" s="431"/>
      <c r="J21" s="431"/>
      <c r="K21" s="431"/>
      <c r="L21" s="431" t="s">
        <v>404</v>
      </c>
      <c r="M21" s="432" t="s">
        <v>405</v>
      </c>
    </row>
    <row r="22" spans="1:13" ht="409.5" x14ac:dyDescent="0.2">
      <c r="A22" s="431" t="s">
        <v>403</v>
      </c>
      <c r="B22" s="431">
        <v>1871166</v>
      </c>
      <c r="C22" s="431" t="s">
        <v>159</v>
      </c>
      <c r="D22" s="431" t="s">
        <v>392</v>
      </c>
      <c r="E22" s="431" t="s">
        <v>161</v>
      </c>
      <c r="F22" s="431" t="s">
        <v>297</v>
      </c>
      <c r="G22" s="431" t="s">
        <v>175</v>
      </c>
      <c r="H22" s="431"/>
      <c r="I22" s="431"/>
      <c r="J22" s="431"/>
      <c r="K22" s="431"/>
      <c r="L22" s="431" t="s">
        <v>404</v>
      </c>
      <c r="M22" s="432" t="s">
        <v>405</v>
      </c>
    </row>
    <row r="23" spans="1:13" ht="409.5" x14ac:dyDescent="0.2">
      <c r="A23" s="431" t="s">
        <v>406</v>
      </c>
      <c r="B23" s="431">
        <v>1871168</v>
      </c>
      <c r="C23" s="431" t="s">
        <v>159</v>
      </c>
      <c r="D23" s="431" t="s">
        <v>392</v>
      </c>
      <c r="E23" s="431" t="s">
        <v>161</v>
      </c>
      <c r="F23" s="431" t="s">
        <v>407</v>
      </c>
      <c r="G23" s="431" t="s">
        <v>175</v>
      </c>
      <c r="H23" s="431"/>
      <c r="I23" s="431"/>
      <c r="J23" s="431"/>
      <c r="K23" s="431"/>
      <c r="L23" s="431" t="s">
        <v>163</v>
      </c>
      <c r="M23" s="432" t="s">
        <v>408</v>
      </c>
    </row>
    <row r="24" spans="1:13" ht="409.5" x14ac:dyDescent="0.2">
      <c r="A24" s="431" t="s">
        <v>406</v>
      </c>
      <c r="B24" s="431">
        <v>1871168</v>
      </c>
      <c r="C24" s="431" t="s">
        <v>159</v>
      </c>
      <c r="D24" s="431" t="s">
        <v>392</v>
      </c>
      <c r="E24" s="431" t="s">
        <v>161</v>
      </c>
      <c r="F24" s="431" t="s">
        <v>407</v>
      </c>
      <c r="G24" s="431" t="s">
        <v>175</v>
      </c>
      <c r="H24" s="431"/>
      <c r="I24" s="431"/>
      <c r="J24" s="431"/>
      <c r="K24" s="431"/>
      <c r="L24" s="431" t="s">
        <v>163</v>
      </c>
      <c r="M24" s="432" t="s">
        <v>408</v>
      </c>
    </row>
    <row r="25" spans="1:13" ht="409.5" x14ac:dyDescent="0.2">
      <c r="A25" s="431" t="s">
        <v>406</v>
      </c>
      <c r="B25" s="431">
        <v>1871168</v>
      </c>
      <c r="C25" s="431" t="s">
        <v>159</v>
      </c>
      <c r="D25" s="431" t="s">
        <v>392</v>
      </c>
      <c r="E25" s="431" t="s">
        <v>161</v>
      </c>
      <c r="F25" s="431" t="s">
        <v>407</v>
      </c>
      <c r="G25" s="431" t="s">
        <v>175</v>
      </c>
      <c r="H25" s="431"/>
      <c r="I25" s="431"/>
      <c r="J25" s="431"/>
      <c r="K25" s="431"/>
      <c r="L25" s="431" t="s">
        <v>163</v>
      </c>
      <c r="M25" s="432" t="s">
        <v>408</v>
      </c>
    </row>
    <row r="26" spans="1:13" ht="409.5" x14ac:dyDescent="0.2">
      <c r="A26" s="431" t="s">
        <v>406</v>
      </c>
      <c r="B26" s="431">
        <v>1871168</v>
      </c>
      <c r="C26" s="431" t="s">
        <v>159</v>
      </c>
      <c r="D26" s="431" t="s">
        <v>392</v>
      </c>
      <c r="E26" s="431" t="s">
        <v>161</v>
      </c>
      <c r="F26" s="431" t="s">
        <v>407</v>
      </c>
      <c r="G26" s="431" t="s">
        <v>175</v>
      </c>
      <c r="H26" s="431"/>
      <c r="I26" s="431"/>
      <c r="J26" s="431"/>
      <c r="K26" s="431"/>
      <c r="L26" s="431" t="s">
        <v>163</v>
      </c>
      <c r="M26" s="432" t="s">
        <v>408</v>
      </c>
    </row>
    <row r="27" spans="1:13" ht="409.5" x14ac:dyDescent="0.2">
      <c r="A27" s="431" t="s">
        <v>406</v>
      </c>
      <c r="B27" s="431">
        <v>1871168</v>
      </c>
      <c r="C27" s="431" t="s">
        <v>159</v>
      </c>
      <c r="D27" s="431" t="s">
        <v>392</v>
      </c>
      <c r="E27" s="431" t="s">
        <v>161</v>
      </c>
      <c r="F27" s="431" t="s">
        <v>407</v>
      </c>
      <c r="G27" s="431" t="s">
        <v>175</v>
      </c>
      <c r="H27" s="431"/>
      <c r="I27" s="431"/>
      <c r="J27" s="431"/>
      <c r="K27" s="431"/>
      <c r="L27" s="431" t="s">
        <v>163</v>
      </c>
      <c r="M27" s="432" t="s">
        <v>408</v>
      </c>
    </row>
    <row r="28" spans="1:13" ht="409.5" x14ac:dyDescent="0.2">
      <c r="A28" s="431" t="s">
        <v>406</v>
      </c>
      <c r="B28" s="431">
        <v>1871168</v>
      </c>
      <c r="C28" s="431" t="s">
        <v>159</v>
      </c>
      <c r="D28" s="431" t="s">
        <v>392</v>
      </c>
      <c r="E28" s="431" t="s">
        <v>161</v>
      </c>
      <c r="F28" s="431" t="s">
        <v>407</v>
      </c>
      <c r="G28" s="431" t="s">
        <v>175</v>
      </c>
      <c r="H28" s="431"/>
      <c r="I28" s="431"/>
      <c r="J28" s="431"/>
      <c r="K28" s="431"/>
      <c r="L28" s="431" t="s">
        <v>163</v>
      </c>
      <c r="M28" s="432" t="s">
        <v>408</v>
      </c>
    </row>
    <row r="29" spans="1:13" ht="409.5" x14ac:dyDescent="0.2">
      <c r="A29" s="431" t="s">
        <v>406</v>
      </c>
      <c r="B29" s="431">
        <v>1871168</v>
      </c>
      <c r="C29" s="431" t="s">
        <v>159</v>
      </c>
      <c r="D29" s="431" t="s">
        <v>392</v>
      </c>
      <c r="E29" s="431" t="s">
        <v>161</v>
      </c>
      <c r="F29" s="431" t="s">
        <v>409</v>
      </c>
      <c r="G29" s="431" t="s">
        <v>175</v>
      </c>
      <c r="H29" s="431"/>
      <c r="I29" s="431"/>
      <c r="J29" s="431"/>
      <c r="K29" s="431"/>
      <c r="L29" s="431" t="s">
        <v>163</v>
      </c>
      <c r="M29" s="432" t="s">
        <v>408</v>
      </c>
    </row>
    <row r="30" spans="1:13" ht="409.5" x14ac:dyDescent="0.2">
      <c r="A30" s="431" t="s">
        <v>406</v>
      </c>
      <c r="B30" s="431">
        <v>1871168</v>
      </c>
      <c r="C30" s="431" t="s">
        <v>159</v>
      </c>
      <c r="D30" s="431" t="s">
        <v>392</v>
      </c>
      <c r="E30" s="431" t="s">
        <v>161</v>
      </c>
      <c r="F30" s="431" t="s">
        <v>410</v>
      </c>
      <c r="G30" s="431" t="s">
        <v>175</v>
      </c>
      <c r="H30" s="431"/>
      <c r="I30" s="431"/>
      <c r="J30" s="431"/>
      <c r="K30" s="431"/>
      <c r="L30" s="431" t="s">
        <v>163</v>
      </c>
      <c r="M30" s="432" t="s">
        <v>408</v>
      </c>
    </row>
    <row r="31" spans="1:13" ht="409.5" x14ac:dyDescent="0.2">
      <c r="A31" s="431" t="s">
        <v>406</v>
      </c>
      <c r="B31" s="431">
        <v>1871168</v>
      </c>
      <c r="C31" s="431" t="s">
        <v>159</v>
      </c>
      <c r="D31" s="431" t="s">
        <v>392</v>
      </c>
      <c r="E31" s="431" t="s">
        <v>161</v>
      </c>
      <c r="F31" s="431" t="s">
        <v>410</v>
      </c>
      <c r="G31" s="431" t="s">
        <v>175</v>
      </c>
      <c r="H31" s="431"/>
      <c r="I31" s="431"/>
      <c r="J31" s="431"/>
      <c r="K31" s="431"/>
      <c r="L31" s="431" t="s">
        <v>163</v>
      </c>
      <c r="M31" s="432" t="s">
        <v>408</v>
      </c>
    </row>
    <row r="32" spans="1:13" ht="409.5" x14ac:dyDescent="0.2">
      <c r="A32" s="431" t="s">
        <v>406</v>
      </c>
      <c r="B32" s="431">
        <v>1871168</v>
      </c>
      <c r="C32" s="431" t="s">
        <v>159</v>
      </c>
      <c r="D32" s="431" t="s">
        <v>392</v>
      </c>
      <c r="E32" s="431" t="s">
        <v>161</v>
      </c>
      <c r="F32" s="431" t="s">
        <v>410</v>
      </c>
      <c r="G32" s="431" t="s">
        <v>175</v>
      </c>
      <c r="H32" s="431"/>
      <c r="I32" s="431"/>
      <c r="J32" s="431"/>
      <c r="K32" s="431"/>
      <c r="L32" s="431" t="s">
        <v>163</v>
      </c>
      <c r="M32" s="432" t="s">
        <v>408</v>
      </c>
    </row>
    <row r="33" spans="1:13" ht="409.5" x14ac:dyDescent="0.2">
      <c r="A33" s="431" t="s">
        <v>406</v>
      </c>
      <c r="B33" s="431">
        <v>1871168</v>
      </c>
      <c r="C33" s="431" t="s">
        <v>159</v>
      </c>
      <c r="D33" s="431" t="s">
        <v>392</v>
      </c>
      <c r="E33" s="431" t="s">
        <v>161</v>
      </c>
      <c r="F33" s="431" t="s">
        <v>410</v>
      </c>
      <c r="G33" s="431" t="s">
        <v>175</v>
      </c>
      <c r="H33" s="431"/>
      <c r="I33" s="431"/>
      <c r="J33" s="431"/>
      <c r="K33" s="431"/>
      <c r="L33" s="431" t="s">
        <v>163</v>
      </c>
      <c r="M33" s="432" t="s">
        <v>408</v>
      </c>
    </row>
    <row r="34" spans="1:13" ht="409.5" x14ac:dyDescent="0.2">
      <c r="A34" s="431" t="s">
        <v>406</v>
      </c>
      <c r="B34" s="431">
        <v>1871168</v>
      </c>
      <c r="C34" s="431" t="s">
        <v>159</v>
      </c>
      <c r="D34" s="431" t="s">
        <v>392</v>
      </c>
      <c r="E34" s="431" t="s">
        <v>161</v>
      </c>
      <c r="F34" s="431" t="s">
        <v>410</v>
      </c>
      <c r="G34" s="431" t="s">
        <v>175</v>
      </c>
      <c r="H34" s="431"/>
      <c r="I34" s="431"/>
      <c r="J34" s="431"/>
      <c r="K34" s="431"/>
      <c r="L34" s="431" t="s">
        <v>163</v>
      </c>
      <c r="M34" s="432" t="s">
        <v>408</v>
      </c>
    </row>
    <row r="35" spans="1:13" ht="409.5" x14ac:dyDescent="0.2">
      <c r="A35" s="431" t="s">
        <v>406</v>
      </c>
      <c r="B35" s="431">
        <v>1871168</v>
      </c>
      <c r="C35" s="431" t="s">
        <v>159</v>
      </c>
      <c r="D35" s="431" t="s">
        <v>392</v>
      </c>
      <c r="E35" s="431" t="s">
        <v>161</v>
      </c>
      <c r="F35" s="431" t="s">
        <v>410</v>
      </c>
      <c r="G35" s="431" t="s">
        <v>175</v>
      </c>
      <c r="H35" s="431"/>
      <c r="I35" s="431"/>
      <c r="J35" s="431"/>
      <c r="K35" s="431"/>
      <c r="L35" s="431" t="s">
        <v>163</v>
      </c>
      <c r="M35" s="432" t="s">
        <v>408</v>
      </c>
    </row>
    <row r="36" spans="1:13" ht="409.5" x14ac:dyDescent="0.2">
      <c r="A36" s="431" t="s">
        <v>406</v>
      </c>
      <c r="B36" s="431">
        <v>1871168</v>
      </c>
      <c r="C36" s="431" t="s">
        <v>159</v>
      </c>
      <c r="D36" s="431" t="s">
        <v>392</v>
      </c>
      <c r="E36" s="431" t="s">
        <v>161</v>
      </c>
      <c r="F36" s="431" t="s">
        <v>411</v>
      </c>
      <c r="G36" s="431" t="s">
        <v>175</v>
      </c>
      <c r="H36" s="431"/>
      <c r="I36" s="431"/>
      <c r="J36" s="431"/>
      <c r="K36" s="431"/>
      <c r="L36" s="431" t="s">
        <v>163</v>
      </c>
      <c r="M36" s="432" t="s">
        <v>408</v>
      </c>
    </row>
    <row r="37" spans="1:13" x14ac:dyDescent="0.2">
      <c r="A37" s="431" t="s">
        <v>412</v>
      </c>
      <c r="B37" s="431">
        <v>1871169</v>
      </c>
      <c r="C37" s="431" t="s">
        <v>159</v>
      </c>
      <c r="D37" s="431" t="s">
        <v>392</v>
      </c>
      <c r="E37" s="431" t="s">
        <v>161</v>
      </c>
      <c r="F37" s="431" t="s">
        <v>413</v>
      </c>
      <c r="G37" s="431" t="s">
        <v>175</v>
      </c>
      <c r="H37" s="431"/>
      <c r="I37" s="431"/>
      <c r="J37" s="431"/>
      <c r="K37" s="431"/>
      <c r="L37" s="431" t="s">
        <v>241</v>
      </c>
      <c r="M37" s="431" t="s">
        <v>414</v>
      </c>
    </row>
    <row r="38" spans="1:13" x14ac:dyDescent="0.2">
      <c r="A38" s="431" t="s">
        <v>412</v>
      </c>
      <c r="B38" s="431">
        <v>1871169</v>
      </c>
      <c r="C38" s="431" t="s">
        <v>159</v>
      </c>
      <c r="D38" s="431" t="s">
        <v>392</v>
      </c>
      <c r="E38" s="431" t="s">
        <v>161</v>
      </c>
      <c r="F38" s="431" t="s">
        <v>415</v>
      </c>
      <c r="G38" s="431" t="s">
        <v>175</v>
      </c>
      <c r="H38" s="431"/>
      <c r="I38" s="431"/>
      <c r="J38" s="431"/>
      <c r="K38" s="431"/>
      <c r="L38" s="431" t="s">
        <v>241</v>
      </c>
      <c r="M38" s="431" t="s">
        <v>414</v>
      </c>
    </row>
    <row r="39" spans="1:13" ht="409.5" x14ac:dyDescent="0.2">
      <c r="A39" s="431" t="s">
        <v>416</v>
      </c>
      <c r="B39" s="431">
        <v>1871175</v>
      </c>
      <c r="C39" s="431" t="s">
        <v>159</v>
      </c>
      <c r="D39" s="431" t="s">
        <v>392</v>
      </c>
      <c r="E39" s="431" t="s">
        <v>161</v>
      </c>
      <c r="F39" s="431" t="s">
        <v>417</v>
      </c>
      <c r="G39" s="431" t="s">
        <v>175</v>
      </c>
      <c r="H39" s="431"/>
      <c r="I39" s="431"/>
      <c r="J39" s="431"/>
      <c r="K39" s="431"/>
      <c r="L39" s="431" t="s">
        <v>418</v>
      </c>
      <c r="M39" s="432" t="s">
        <v>419</v>
      </c>
    </row>
    <row r="40" spans="1:13" ht="409.5" x14ac:dyDescent="0.2">
      <c r="A40" s="431" t="s">
        <v>416</v>
      </c>
      <c r="B40" s="431">
        <v>1871175</v>
      </c>
      <c r="C40" s="431" t="s">
        <v>159</v>
      </c>
      <c r="D40" s="431" t="s">
        <v>392</v>
      </c>
      <c r="E40" s="431" t="s">
        <v>161</v>
      </c>
      <c r="F40" s="431" t="s">
        <v>417</v>
      </c>
      <c r="G40" s="431" t="s">
        <v>175</v>
      </c>
      <c r="H40" s="431"/>
      <c r="I40" s="431"/>
      <c r="J40" s="431"/>
      <c r="K40" s="431"/>
      <c r="L40" s="431" t="s">
        <v>418</v>
      </c>
      <c r="M40" s="432" t="s">
        <v>419</v>
      </c>
    </row>
    <row r="41" spans="1:13" ht="409.5" x14ac:dyDescent="0.2">
      <c r="A41" s="431" t="s">
        <v>416</v>
      </c>
      <c r="B41" s="431">
        <v>1871175</v>
      </c>
      <c r="C41" s="431" t="s">
        <v>159</v>
      </c>
      <c r="D41" s="431" t="s">
        <v>392</v>
      </c>
      <c r="E41" s="431" t="s">
        <v>161</v>
      </c>
      <c r="F41" s="431" t="s">
        <v>420</v>
      </c>
      <c r="G41" s="431" t="s">
        <v>175</v>
      </c>
      <c r="H41" s="431"/>
      <c r="I41" s="431"/>
      <c r="J41" s="431"/>
      <c r="K41" s="431"/>
      <c r="L41" s="431" t="s">
        <v>418</v>
      </c>
      <c r="M41" s="432" t="s">
        <v>419</v>
      </c>
    </row>
    <row r="42" spans="1:13" ht="409.5" x14ac:dyDescent="0.2">
      <c r="A42" s="431" t="s">
        <v>416</v>
      </c>
      <c r="B42" s="431">
        <v>1871175</v>
      </c>
      <c r="C42" s="431" t="s">
        <v>159</v>
      </c>
      <c r="D42" s="431" t="s">
        <v>392</v>
      </c>
      <c r="E42" s="431" t="s">
        <v>161</v>
      </c>
      <c r="F42" s="431" t="s">
        <v>421</v>
      </c>
      <c r="G42" s="431" t="s">
        <v>175</v>
      </c>
      <c r="H42" s="431"/>
      <c r="I42" s="431"/>
      <c r="J42" s="431"/>
      <c r="K42" s="431"/>
      <c r="L42" s="431" t="s">
        <v>418</v>
      </c>
      <c r="M42" s="432" t="s">
        <v>419</v>
      </c>
    </row>
    <row r="43" spans="1:13" ht="409.5" x14ac:dyDescent="0.2">
      <c r="A43" s="431" t="s">
        <v>422</v>
      </c>
      <c r="B43" s="431">
        <v>1871180</v>
      </c>
      <c r="C43" s="431" t="s">
        <v>159</v>
      </c>
      <c r="D43" s="431" t="s">
        <v>392</v>
      </c>
      <c r="E43" s="431" t="s">
        <v>161</v>
      </c>
      <c r="F43" s="431" t="s">
        <v>345</v>
      </c>
      <c r="G43" s="431" t="s">
        <v>175</v>
      </c>
      <c r="H43" s="431"/>
      <c r="I43" s="431"/>
      <c r="J43" s="431"/>
      <c r="K43" s="431"/>
      <c r="L43" s="431" t="s">
        <v>418</v>
      </c>
      <c r="M43" s="432" t="s">
        <v>423</v>
      </c>
    </row>
    <row r="44" spans="1:13" ht="409.5" x14ac:dyDescent="0.2">
      <c r="A44" s="431" t="s">
        <v>422</v>
      </c>
      <c r="B44" s="431">
        <v>1871180</v>
      </c>
      <c r="C44" s="431" t="s">
        <v>159</v>
      </c>
      <c r="D44" s="431" t="s">
        <v>392</v>
      </c>
      <c r="E44" s="431" t="s">
        <v>161</v>
      </c>
      <c r="F44" s="431" t="s">
        <v>417</v>
      </c>
      <c r="G44" s="431" t="s">
        <v>175</v>
      </c>
      <c r="H44" s="431"/>
      <c r="I44" s="431"/>
      <c r="J44" s="431"/>
      <c r="K44" s="431"/>
      <c r="L44" s="431" t="s">
        <v>418</v>
      </c>
      <c r="M44" s="432" t="s">
        <v>423</v>
      </c>
    </row>
    <row r="45" spans="1:13" ht="409.5" x14ac:dyDescent="0.2">
      <c r="A45" s="431" t="s">
        <v>422</v>
      </c>
      <c r="B45" s="431">
        <v>1871180</v>
      </c>
      <c r="C45" s="431" t="s">
        <v>159</v>
      </c>
      <c r="D45" s="431" t="s">
        <v>392</v>
      </c>
      <c r="E45" s="431" t="s">
        <v>161</v>
      </c>
      <c r="F45" s="431" t="s">
        <v>417</v>
      </c>
      <c r="G45" s="431" t="s">
        <v>175</v>
      </c>
      <c r="H45" s="431"/>
      <c r="I45" s="431"/>
      <c r="J45" s="431"/>
      <c r="K45" s="431"/>
      <c r="L45" s="431" t="s">
        <v>418</v>
      </c>
      <c r="M45" s="432" t="s">
        <v>423</v>
      </c>
    </row>
    <row r="46" spans="1:13" ht="409.5" x14ac:dyDescent="0.2">
      <c r="A46" s="431" t="s">
        <v>422</v>
      </c>
      <c r="B46" s="431">
        <v>1871180</v>
      </c>
      <c r="C46" s="431" t="s">
        <v>159</v>
      </c>
      <c r="D46" s="431" t="s">
        <v>392</v>
      </c>
      <c r="E46" s="431" t="s">
        <v>161</v>
      </c>
      <c r="F46" s="431" t="s">
        <v>424</v>
      </c>
      <c r="G46" s="431" t="s">
        <v>175</v>
      </c>
      <c r="H46" s="431"/>
      <c r="I46" s="431"/>
      <c r="J46" s="431"/>
      <c r="K46" s="431"/>
      <c r="L46" s="431" t="s">
        <v>418</v>
      </c>
      <c r="M46" s="432" t="s">
        <v>423</v>
      </c>
    </row>
    <row r="47" spans="1:13" ht="229.5" x14ac:dyDescent="0.2">
      <c r="A47" s="431" t="s">
        <v>425</v>
      </c>
      <c r="B47" s="431">
        <v>1871181</v>
      </c>
      <c r="C47" s="431" t="s">
        <v>159</v>
      </c>
      <c r="D47" s="431" t="s">
        <v>392</v>
      </c>
      <c r="E47" s="431" t="s">
        <v>161</v>
      </c>
      <c r="F47" s="431" t="s">
        <v>345</v>
      </c>
      <c r="G47" s="431" t="s">
        <v>175</v>
      </c>
      <c r="H47" s="431"/>
      <c r="I47" s="431"/>
      <c r="J47" s="431"/>
      <c r="K47" s="431"/>
      <c r="L47" s="431" t="s">
        <v>418</v>
      </c>
      <c r="M47" s="432" t="s">
        <v>426</v>
      </c>
    </row>
    <row r="48" spans="1:13" ht="409.5" x14ac:dyDescent="0.2">
      <c r="A48" s="431" t="s">
        <v>427</v>
      </c>
      <c r="B48" s="431">
        <v>1871182</v>
      </c>
      <c r="C48" s="431" t="s">
        <v>159</v>
      </c>
      <c r="D48" s="431" t="s">
        <v>392</v>
      </c>
      <c r="E48" s="431" t="s">
        <v>161</v>
      </c>
      <c r="F48" s="431" t="s">
        <v>345</v>
      </c>
      <c r="G48" s="431" t="s">
        <v>175</v>
      </c>
      <c r="H48" s="431"/>
      <c r="I48" s="431"/>
      <c r="J48" s="431"/>
      <c r="K48" s="431"/>
      <c r="L48" s="431" t="s">
        <v>241</v>
      </c>
      <c r="M48" s="432" t="s">
        <v>428</v>
      </c>
    </row>
    <row r="49" spans="1:13" ht="409.5" x14ac:dyDescent="0.2">
      <c r="A49" s="431" t="s">
        <v>429</v>
      </c>
      <c r="B49" s="431">
        <v>1871183</v>
      </c>
      <c r="C49" s="431" t="s">
        <v>159</v>
      </c>
      <c r="D49" s="431" t="s">
        <v>392</v>
      </c>
      <c r="E49" s="431" t="s">
        <v>161</v>
      </c>
      <c r="F49" s="431" t="s">
        <v>345</v>
      </c>
      <c r="G49" s="431" t="s">
        <v>175</v>
      </c>
      <c r="H49" s="431"/>
      <c r="I49" s="431"/>
      <c r="J49" s="431"/>
      <c r="K49" s="431"/>
      <c r="L49" s="431" t="s">
        <v>241</v>
      </c>
      <c r="M49" s="432" t="s">
        <v>430</v>
      </c>
    </row>
    <row r="50" spans="1:13" ht="409.5" x14ac:dyDescent="0.2">
      <c r="A50" s="431" t="s">
        <v>431</v>
      </c>
      <c r="B50" s="431">
        <v>1871184</v>
      </c>
      <c r="C50" s="431" t="s">
        <v>159</v>
      </c>
      <c r="D50" s="431" t="s">
        <v>392</v>
      </c>
      <c r="E50" s="431" t="s">
        <v>161</v>
      </c>
      <c r="F50" s="431" t="s">
        <v>345</v>
      </c>
      <c r="G50" s="431" t="s">
        <v>175</v>
      </c>
      <c r="H50" s="431"/>
      <c r="I50" s="431"/>
      <c r="J50" s="431"/>
      <c r="K50" s="431"/>
      <c r="L50" s="431" t="s">
        <v>241</v>
      </c>
      <c r="M50" s="432" t="s">
        <v>432</v>
      </c>
    </row>
    <row r="51" spans="1:13" ht="409.5" x14ac:dyDescent="0.2">
      <c r="A51" s="431" t="s">
        <v>433</v>
      </c>
      <c r="B51" s="431">
        <v>1871185</v>
      </c>
      <c r="C51" s="431" t="s">
        <v>159</v>
      </c>
      <c r="D51" s="431" t="s">
        <v>392</v>
      </c>
      <c r="E51" s="431" t="s">
        <v>161</v>
      </c>
      <c r="F51" s="431" t="s">
        <v>434</v>
      </c>
      <c r="G51" s="431" t="s">
        <v>175</v>
      </c>
      <c r="H51" s="431"/>
      <c r="I51" s="431"/>
      <c r="J51" s="431"/>
      <c r="K51" s="431"/>
      <c r="L51" s="431" t="s">
        <v>241</v>
      </c>
      <c r="M51" s="432" t="s">
        <v>435</v>
      </c>
    </row>
    <row r="52" spans="1:13" ht="409.5" x14ac:dyDescent="0.2">
      <c r="A52" s="431" t="s">
        <v>433</v>
      </c>
      <c r="B52" s="431">
        <v>1871185</v>
      </c>
      <c r="C52" s="431" t="s">
        <v>159</v>
      </c>
      <c r="D52" s="431" t="s">
        <v>392</v>
      </c>
      <c r="E52" s="431" t="s">
        <v>161</v>
      </c>
      <c r="F52" s="431" t="s">
        <v>345</v>
      </c>
      <c r="G52" s="431" t="s">
        <v>175</v>
      </c>
      <c r="H52" s="431"/>
      <c r="I52" s="431"/>
      <c r="J52" s="431"/>
      <c r="K52" s="431"/>
      <c r="L52" s="431" t="s">
        <v>241</v>
      </c>
      <c r="M52" s="432" t="s">
        <v>435</v>
      </c>
    </row>
    <row r="53" spans="1:13" ht="409.5" x14ac:dyDescent="0.2">
      <c r="A53" s="431" t="s">
        <v>436</v>
      </c>
      <c r="B53" s="431">
        <v>1871186</v>
      </c>
      <c r="C53" s="431" t="s">
        <v>159</v>
      </c>
      <c r="D53" s="431" t="s">
        <v>392</v>
      </c>
      <c r="E53" s="431" t="s">
        <v>161</v>
      </c>
      <c r="F53" s="431" t="s">
        <v>437</v>
      </c>
      <c r="G53" s="431" t="s">
        <v>175</v>
      </c>
      <c r="H53" s="431"/>
      <c r="I53" s="431"/>
      <c r="J53" s="431"/>
      <c r="K53" s="431"/>
      <c r="L53" s="431" t="s">
        <v>438</v>
      </c>
      <c r="M53" s="432" t="s">
        <v>439</v>
      </c>
    </row>
    <row r="54" spans="1:13" ht="409.5" x14ac:dyDescent="0.2">
      <c r="A54" s="431" t="s">
        <v>436</v>
      </c>
      <c r="B54" s="431">
        <v>1871186</v>
      </c>
      <c r="C54" s="431" t="s">
        <v>159</v>
      </c>
      <c r="D54" s="431" t="s">
        <v>392</v>
      </c>
      <c r="E54" s="431" t="s">
        <v>161</v>
      </c>
      <c r="F54" s="431" t="s">
        <v>440</v>
      </c>
      <c r="G54" s="431" t="s">
        <v>175</v>
      </c>
      <c r="H54" s="431"/>
      <c r="I54" s="431"/>
      <c r="J54" s="431"/>
      <c r="K54" s="431"/>
      <c r="L54" s="431" t="s">
        <v>438</v>
      </c>
      <c r="M54" s="432" t="s">
        <v>439</v>
      </c>
    </row>
    <row r="55" spans="1:13" ht="409.5" x14ac:dyDescent="0.2">
      <c r="A55" s="431" t="s">
        <v>436</v>
      </c>
      <c r="B55" s="431">
        <v>1871186</v>
      </c>
      <c r="C55" s="431" t="s">
        <v>159</v>
      </c>
      <c r="D55" s="431" t="s">
        <v>392</v>
      </c>
      <c r="E55" s="431" t="s">
        <v>161</v>
      </c>
      <c r="F55" s="431" t="s">
        <v>441</v>
      </c>
      <c r="G55" s="431" t="s">
        <v>175</v>
      </c>
      <c r="H55" s="431"/>
      <c r="I55" s="431"/>
      <c r="J55" s="431"/>
      <c r="K55" s="431"/>
      <c r="L55" s="431" t="s">
        <v>438</v>
      </c>
      <c r="M55" s="432" t="s">
        <v>439</v>
      </c>
    </row>
    <row r="56" spans="1:13" ht="409.5" x14ac:dyDescent="0.2">
      <c r="A56" s="431" t="s">
        <v>436</v>
      </c>
      <c r="B56" s="431">
        <v>1871186</v>
      </c>
      <c r="C56" s="431" t="s">
        <v>159</v>
      </c>
      <c r="D56" s="431" t="s">
        <v>392</v>
      </c>
      <c r="E56" s="431" t="s">
        <v>161</v>
      </c>
      <c r="F56" s="431" t="s">
        <v>442</v>
      </c>
      <c r="G56" s="431" t="s">
        <v>175</v>
      </c>
      <c r="H56" s="431"/>
      <c r="I56" s="431"/>
      <c r="J56" s="431"/>
      <c r="K56" s="431"/>
      <c r="L56" s="431" t="s">
        <v>438</v>
      </c>
      <c r="M56" s="432" t="s">
        <v>439</v>
      </c>
    </row>
    <row r="57" spans="1:13" ht="409.5" x14ac:dyDescent="0.2">
      <c r="A57" s="431" t="s">
        <v>436</v>
      </c>
      <c r="B57" s="431">
        <v>1871186</v>
      </c>
      <c r="C57" s="431" t="s">
        <v>159</v>
      </c>
      <c r="D57" s="431" t="s">
        <v>392</v>
      </c>
      <c r="E57" s="431" t="s">
        <v>161</v>
      </c>
      <c r="F57" s="431" t="s">
        <v>345</v>
      </c>
      <c r="G57" s="431" t="s">
        <v>175</v>
      </c>
      <c r="H57" s="431"/>
      <c r="I57" s="431"/>
      <c r="J57" s="431"/>
      <c r="K57" s="431"/>
      <c r="L57" s="431" t="s">
        <v>438</v>
      </c>
      <c r="M57" s="432" t="s">
        <v>439</v>
      </c>
    </row>
    <row r="58" spans="1:13" ht="357" x14ac:dyDescent="0.2">
      <c r="A58" s="431" t="s">
        <v>443</v>
      </c>
      <c r="B58" s="431">
        <v>1871187</v>
      </c>
      <c r="C58" s="431" t="s">
        <v>159</v>
      </c>
      <c r="D58" s="431" t="s">
        <v>392</v>
      </c>
      <c r="E58" s="431" t="s">
        <v>161</v>
      </c>
      <c r="F58" s="431" t="s">
        <v>264</v>
      </c>
      <c r="G58" s="431" t="s">
        <v>175</v>
      </c>
      <c r="H58" s="431"/>
      <c r="I58" s="431"/>
      <c r="J58" s="431"/>
      <c r="K58" s="431"/>
      <c r="L58" s="431" t="s">
        <v>352</v>
      </c>
      <c r="M58" s="432" t="s">
        <v>444</v>
      </c>
    </row>
    <row r="59" spans="1:13" ht="357" x14ac:dyDescent="0.2">
      <c r="A59" s="431" t="s">
        <v>443</v>
      </c>
      <c r="B59" s="431">
        <v>1871187</v>
      </c>
      <c r="C59" s="431" t="s">
        <v>159</v>
      </c>
      <c r="D59" s="431" t="s">
        <v>392</v>
      </c>
      <c r="E59" s="431" t="s">
        <v>161</v>
      </c>
      <c r="F59" s="431" t="s">
        <v>345</v>
      </c>
      <c r="G59" s="431" t="s">
        <v>175</v>
      </c>
      <c r="H59" s="431"/>
      <c r="I59" s="431"/>
      <c r="J59" s="431"/>
      <c r="K59" s="431"/>
      <c r="L59" s="431" t="s">
        <v>352</v>
      </c>
      <c r="M59" s="432" t="s">
        <v>444</v>
      </c>
    </row>
    <row r="60" spans="1:13" ht="409.5" x14ac:dyDescent="0.2">
      <c r="A60" s="431" t="s">
        <v>445</v>
      </c>
      <c r="B60" s="431">
        <v>1871189</v>
      </c>
      <c r="C60" s="431" t="s">
        <v>159</v>
      </c>
      <c r="D60" s="431" t="s">
        <v>392</v>
      </c>
      <c r="E60" s="431" t="s">
        <v>161</v>
      </c>
      <c r="F60" s="431" t="s">
        <v>446</v>
      </c>
      <c r="G60" s="431" t="s">
        <v>175</v>
      </c>
      <c r="H60" s="431"/>
      <c r="I60" s="431"/>
      <c r="J60" s="431"/>
      <c r="K60" s="431"/>
      <c r="L60" s="431" t="s">
        <v>404</v>
      </c>
      <c r="M60" s="432" t="s">
        <v>447</v>
      </c>
    </row>
    <row r="61" spans="1:13" x14ac:dyDescent="0.2">
      <c r="A61" s="431" t="s">
        <v>448</v>
      </c>
      <c r="B61" s="431">
        <v>1871190</v>
      </c>
      <c r="C61" s="431" t="s">
        <v>159</v>
      </c>
      <c r="D61" s="431" t="s">
        <v>392</v>
      </c>
      <c r="E61" s="431" t="s">
        <v>161</v>
      </c>
      <c r="F61" s="431" t="s">
        <v>264</v>
      </c>
      <c r="G61" s="431" t="s">
        <v>175</v>
      </c>
      <c r="H61" s="431"/>
      <c r="I61" s="431"/>
      <c r="J61" s="431"/>
      <c r="K61" s="431"/>
      <c r="L61" s="431" t="s">
        <v>449</v>
      </c>
      <c r="M61" s="431" t="s">
        <v>450</v>
      </c>
    </row>
    <row r="62" spans="1:13" x14ac:dyDescent="0.2">
      <c r="A62" s="431" t="s">
        <v>448</v>
      </c>
      <c r="B62" s="431">
        <v>1871190</v>
      </c>
      <c r="C62" s="431" t="s">
        <v>159</v>
      </c>
      <c r="D62" s="431" t="s">
        <v>392</v>
      </c>
      <c r="E62" s="431" t="s">
        <v>161</v>
      </c>
      <c r="F62" s="431" t="s">
        <v>265</v>
      </c>
      <c r="G62" s="431" t="s">
        <v>175</v>
      </c>
      <c r="H62" s="431"/>
      <c r="I62" s="431"/>
      <c r="J62" s="431"/>
      <c r="K62" s="431"/>
      <c r="L62" s="431" t="s">
        <v>449</v>
      </c>
      <c r="M62" s="431" t="s">
        <v>450</v>
      </c>
    </row>
    <row r="63" spans="1:13" x14ac:dyDescent="0.2">
      <c r="A63" s="431" t="s">
        <v>448</v>
      </c>
      <c r="B63" s="431">
        <v>1871190</v>
      </c>
      <c r="C63" s="431" t="s">
        <v>159</v>
      </c>
      <c r="D63" s="431" t="s">
        <v>392</v>
      </c>
      <c r="E63" s="431" t="s">
        <v>161</v>
      </c>
      <c r="F63" s="431" t="s">
        <v>266</v>
      </c>
      <c r="G63" s="431" t="s">
        <v>175</v>
      </c>
      <c r="H63" s="431"/>
      <c r="I63" s="431"/>
      <c r="J63" s="431"/>
      <c r="K63" s="431"/>
      <c r="L63" s="431" t="s">
        <v>449</v>
      </c>
      <c r="M63" s="431" t="s">
        <v>450</v>
      </c>
    </row>
    <row r="64" spans="1:13" x14ac:dyDescent="0.2">
      <c r="A64" s="431" t="s">
        <v>448</v>
      </c>
      <c r="B64" s="431">
        <v>1871190</v>
      </c>
      <c r="C64" s="431" t="s">
        <v>159</v>
      </c>
      <c r="D64" s="431" t="s">
        <v>392</v>
      </c>
      <c r="E64" s="431" t="s">
        <v>161</v>
      </c>
      <c r="F64" s="431" t="s">
        <v>267</v>
      </c>
      <c r="G64" s="431" t="s">
        <v>175</v>
      </c>
      <c r="H64" s="431"/>
      <c r="I64" s="431"/>
      <c r="J64" s="431"/>
      <c r="K64" s="431"/>
      <c r="L64" s="431" t="s">
        <v>449</v>
      </c>
      <c r="M64" s="431" t="s">
        <v>450</v>
      </c>
    </row>
    <row r="65" spans="1:13" x14ac:dyDescent="0.2">
      <c r="A65" s="431" t="s">
        <v>448</v>
      </c>
      <c r="B65" s="431">
        <v>1871190</v>
      </c>
      <c r="C65" s="431" t="s">
        <v>159</v>
      </c>
      <c r="D65" s="431" t="s">
        <v>392</v>
      </c>
      <c r="E65" s="431" t="s">
        <v>161</v>
      </c>
      <c r="F65" s="431" t="s">
        <v>268</v>
      </c>
      <c r="G65" s="431" t="s">
        <v>175</v>
      </c>
      <c r="H65" s="431"/>
      <c r="I65" s="431"/>
      <c r="J65" s="431"/>
      <c r="K65" s="431"/>
      <c r="L65" s="431" t="s">
        <v>449</v>
      </c>
      <c r="M65" s="431" t="s">
        <v>450</v>
      </c>
    </row>
    <row r="66" spans="1:13" ht="409.5" x14ac:dyDescent="0.2">
      <c r="A66" s="431" t="s">
        <v>451</v>
      </c>
      <c r="B66" s="431">
        <v>1871192</v>
      </c>
      <c r="C66" s="431" t="s">
        <v>159</v>
      </c>
      <c r="D66" s="431" t="s">
        <v>392</v>
      </c>
      <c r="E66" s="431" t="s">
        <v>161</v>
      </c>
      <c r="F66" s="431" t="s">
        <v>296</v>
      </c>
      <c r="G66" s="431" t="s">
        <v>175</v>
      </c>
      <c r="H66" s="431"/>
      <c r="I66" s="431"/>
      <c r="J66" s="431"/>
      <c r="K66" s="431"/>
      <c r="L66" s="431" t="s">
        <v>404</v>
      </c>
      <c r="M66" s="432" t="s">
        <v>452</v>
      </c>
    </row>
    <row r="67" spans="1:13" ht="409.5" x14ac:dyDescent="0.2">
      <c r="A67" s="431" t="s">
        <v>451</v>
      </c>
      <c r="B67" s="431">
        <v>1871192</v>
      </c>
      <c r="C67" s="431" t="s">
        <v>159</v>
      </c>
      <c r="D67" s="431" t="s">
        <v>392</v>
      </c>
      <c r="E67" s="431" t="s">
        <v>161</v>
      </c>
      <c r="F67" s="431" t="s">
        <v>296</v>
      </c>
      <c r="G67" s="431" t="s">
        <v>175</v>
      </c>
      <c r="H67" s="431"/>
      <c r="I67" s="431"/>
      <c r="J67" s="431"/>
      <c r="K67" s="431"/>
      <c r="L67" s="431" t="s">
        <v>404</v>
      </c>
      <c r="M67" s="432" t="s">
        <v>452</v>
      </c>
    </row>
    <row r="68" spans="1:13" ht="409.5" x14ac:dyDescent="0.2">
      <c r="A68" s="431" t="s">
        <v>451</v>
      </c>
      <c r="B68" s="431">
        <v>1871192</v>
      </c>
      <c r="C68" s="431" t="s">
        <v>159</v>
      </c>
      <c r="D68" s="431" t="s">
        <v>392</v>
      </c>
      <c r="E68" s="431" t="s">
        <v>161</v>
      </c>
      <c r="F68" s="431" t="s">
        <v>298</v>
      </c>
      <c r="G68" s="431" t="s">
        <v>175</v>
      </c>
      <c r="H68" s="431"/>
      <c r="I68" s="431"/>
      <c r="J68" s="431"/>
      <c r="K68" s="431"/>
      <c r="L68" s="431" t="s">
        <v>404</v>
      </c>
      <c r="M68" s="432" t="s">
        <v>452</v>
      </c>
    </row>
    <row r="69" spans="1:13" ht="409.5" x14ac:dyDescent="0.2">
      <c r="A69" s="431" t="s">
        <v>451</v>
      </c>
      <c r="B69" s="431">
        <v>1871192</v>
      </c>
      <c r="C69" s="431" t="s">
        <v>159</v>
      </c>
      <c r="D69" s="431" t="s">
        <v>392</v>
      </c>
      <c r="E69" s="431" t="s">
        <v>161</v>
      </c>
      <c r="F69" s="431" t="s">
        <v>299</v>
      </c>
      <c r="G69" s="431" t="s">
        <v>175</v>
      </c>
      <c r="H69" s="431"/>
      <c r="I69" s="431"/>
      <c r="J69" s="431"/>
      <c r="K69" s="431"/>
      <c r="L69" s="431" t="s">
        <v>404</v>
      </c>
      <c r="M69" s="432" t="s">
        <v>452</v>
      </c>
    </row>
    <row r="70" spans="1:13" ht="409.5" x14ac:dyDescent="0.2">
      <c r="A70" s="431" t="s">
        <v>451</v>
      </c>
      <c r="B70" s="431">
        <v>1871192</v>
      </c>
      <c r="C70" s="431" t="s">
        <v>159</v>
      </c>
      <c r="D70" s="431" t="s">
        <v>392</v>
      </c>
      <c r="E70" s="431" t="s">
        <v>161</v>
      </c>
      <c r="F70" s="431" t="s">
        <v>300</v>
      </c>
      <c r="G70" s="431" t="s">
        <v>175</v>
      </c>
      <c r="H70" s="431"/>
      <c r="I70" s="431"/>
      <c r="J70" s="431"/>
      <c r="K70" s="431"/>
      <c r="L70" s="431" t="s">
        <v>404</v>
      </c>
      <c r="M70" s="432" t="s">
        <v>452</v>
      </c>
    </row>
    <row r="71" spans="1:13" ht="409.5" x14ac:dyDescent="0.2">
      <c r="A71" s="431" t="s">
        <v>451</v>
      </c>
      <c r="B71" s="431">
        <v>1871192</v>
      </c>
      <c r="C71" s="431" t="s">
        <v>159</v>
      </c>
      <c r="D71" s="431" t="s">
        <v>392</v>
      </c>
      <c r="E71" s="431" t="s">
        <v>161</v>
      </c>
      <c r="F71" s="431" t="s">
        <v>453</v>
      </c>
      <c r="G71" s="431" t="s">
        <v>175</v>
      </c>
      <c r="H71" s="431"/>
      <c r="I71" s="431"/>
      <c r="J71" s="431"/>
      <c r="K71" s="431"/>
      <c r="L71" s="431" t="s">
        <v>404</v>
      </c>
      <c r="M71" s="432" t="s">
        <v>452</v>
      </c>
    </row>
    <row r="72" spans="1:13" ht="409.5" x14ac:dyDescent="0.2">
      <c r="A72" s="431" t="s">
        <v>451</v>
      </c>
      <c r="B72" s="431">
        <v>1871192</v>
      </c>
      <c r="C72" s="431" t="s">
        <v>159</v>
      </c>
      <c r="D72" s="431" t="s">
        <v>392</v>
      </c>
      <c r="E72" s="431" t="s">
        <v>161</v>
      </c>
      <c r="F72" s="431" t="s">
        <v>453</v>
      </c>
      <c r="G72" s="431" t="s">
        <v>175</v>
      </c>
      <c r="H72" s="431"/>
      <c r="I72" s="431"/>
      <c r="J72" s="431"/>
      <c r="K72" s="431"/>
      <c r="L72" s="431" t="s">
        <v>404</v>
      </c>
      <c r="M72" s="432" t="s">
        <v>452</v>
      </c>
    </row>
    <row r="73" spans="1:13" ht="409.5" x14ac:dyDescent="0.2">
      <c r="A73" s="431" t="s">
        <v>451</v>
      </c>
      <c r="B73" s="431">
        <v>1871192</v>
      </c>
      <c r="C73" s="431" t="s">
        <v>159</v>
      </c>
      <c r="D73" s="431" t="s">
        <v>392</v>
      </c>
      <c r="E73" s="431" t="s">
        <v>161</v>
      </c>
      <c r="F73" s="431" t="s">
        <v>454</v>
      </c>
      <c r="G73" s="431" t="s">
        <v>175</v>
      </c>
      <c r="H73" s="431"/>
      <c r="I73" s="431"/>
      <c r="J73" s="431"/>
      <c r="K73" s="431"/>
      <c r="L73" s="431" t="s">
        <v>404</v>
      </c>
      <c r="M73" s="432" t="s">
        <v>452</v>
      </c>
    </row>
    <row r="74" spans="1:13" ht="409.5" x14ac:dyDescent="0.2">
      <c r="A74" s="431" t="s">
        <v>451</v>
      </c>
      <c r="B74" s="431">
        <v>1871192</v>
      </c>
      <c r="C74" s="431" t="s">
        <v>159</v>
      </c>
      <c r="D74" s="431" t="s">
        <v>392</v>
      </c>
      <c r="E74" s="431" t="s">
        <v>161</v>
      </c>
      <c r="F74" s="431" t="s">
        <v>455</v>
      </c>
      <c r="G74" s="431" t="s">
        <v>175</v>
      </c>
      <c r="H74" s="431"/>
      <c r="I74" s="431"/>
      <c r="J74" s="431"/>
      <c r="K74" s="431"/>
      <c r="L74" s="431" t="s">
        <v>404</v>
      </c>
      <c r="M74" s="432" t="s">
        <v>452</v>
      </c>
    </row>
    <row r="75" spans="1:13" x14ac:dyDescent="0.2">
      <c r="A75" s="431" t="s">
        <v>456</v>
      </c>
      <c r="B75" s="431">
        <v>1871193</v>
      </c>
      <c r="C75" s="431" t="s">
        <v>159</v>
      </c>
      <c r="D75" s="431" t="s">
        <v>392</v>
      </c>
      <c r="E75" s="431" t="s">
        <v>161</v>
      </c>
      <c r="F75" s="431" t="s">
        <v>306</v>
      </c>
      <c r="G75" s="431" t="s">
        <v>175</v>
      </c>
      <c r="H75" s="431"/>
      <c r="I75" s="431"/>
      <c r="J75" s="431"/>
      <c r="K75" s="431"/>
      <c r="L75" s="431" t="s">
        <v>457</v>
      </c>
      <c r="M75" s="431" t="s">
        <v>458</v>
      </c>
    </row>
    <row r="76" spans="1:13" x14ac:dyDescent="0.2">
      <c r="A76" s="431" t="s">
        <v>456</v>
      </c>
      <c r="B76" s="431">
        <v>1871193</v>
      </c>
      <c r="C76" s="431" t="s">
        <v>159</v>
      </c>
      <c r="D76" s="431" t="s">
        <v>392</v>
      </c>
      <c r="E76" s="431" t="s">
        <v>161</v>
      </c>
      <c r="F76" s="431" t="s">
        <v>411</v>
      </c>
      <c r="G76" s="431" t="s">
        <v>175</v>
      </c>
      <c r="H76" s="431"/>
      <c r="I76" s="431"/>
      <c r="J76" s="431"/>
      <c r="K76" s="431"/>
      <c r="L76" s="431" t="s">
        <v>457</v>
      </c>
      <c r="M76" s="431" t="s">
        <v>458</v>
      </c>
    </row>
    <row r="77" spans="1:13" x14ac:dyDescent="0.2">
      <c r="A77" s="431" t="s">
        <v>459</v>
      </c>
      <c r="B77" s="431">
        <v>1871194</v>
      </c>
      <c r="C77" s="431" t="s">
        <v>159</v>
      </c>
      <c r="D77" s="431" t="s">
        <v>392</v>
      </c>
      <c r="E77" s="431" t="s">
        <v>161</v>
      </c>
      <c r="F77" s="431" t="s">
        <v>309</v>
      </c>
      <c r="G77" s="431" t="s">
        <v>175</v>
      </c>
      <c r="H77" s="431"/>
      <c r="I77" s="431"/>
      <c r="J77" s="431"/>
      <c r="K77" s="431"/>
      <c r="L77" s="431" t="s">
        <v>163</v>
      </c>
      <c r="M77" s="431" t="s">
        <v>460</v>
      </c>
    </row>
    <row r="78" spans="1:13" ht="409.5" x14ac:dyDescent="0.2">
      <c r="A78" s="431" t="s">
        <v>461</v>
      </c>
      <c r="B78" s="431">
        <v>1871195</v>
      </c>
      <c r="C78" s="431" t="s">
        <v>159</v>
      </c>
      <c r="D78" s="431" t="s">
        <v>392</v>
      </c>
      <c r="E78" s="431" t="s">
        <v>161</v>
      </c>
      <c r="F78" s="431" t="s">
        <v>462</v>
      </c>
      <c r="G78" s="431" t="s">
        <v>175</v>
      </c>
      <c r="H78" s="431"/>
      <c r="I78" s="431"/>
      <c r="J78" s="431"/>
      <c r="K78" s="431"/>
      <c r="L78" s="431" t="s">
        <v>314</v>
      </c>
      <c r="M78" s="432" t="s">
        <v>463</v>
      </c>
    </row>
    <row r="79" spans="1:13" x14ac:dyDescent="0.2">
      <c r="A79" s="431" t="s">
        <v>464</v>
      </c>
      <c r="B79" s="431">
        <v>1871196</v>
      </c>
      <c r="C79" s="431" t="s">
        <v>159</v>
      </c>
      <c r="D79" s="431" t="s">
        <v>392</v>
      </c>
      <c r="E79" s="431" t="s">
        <v>161</v>
      </c>
      <c r="F79" s="431" t="s">
        <v>465</v>
      </c>
      <c r="G79" s="431" t="s">
        <v>175</v>
      </c>
      <c r="H79" s="431"/>
      <c r="I79" s="431"/>
      <c r="J79" s="431"/>
      <c r="K79" s="431"/>
      <c r="L79" s="431" t="s">
        <v>163</v>
      </c>
      <c r="M79" s="431" t="s">
        <v>466</v>
      </c>
    </row>
    <row r="80" spans="1:13" x14ac:dyDescent="0.2">
      <c r="A80" s="431" t="s">
        <v>467</v>
      </c>
      <c r="B80" s="431">
        <v>1871198</v>
      </c>
      <c r="C80" s="431" t="s">
        <v>159</v>
      </c>
      <c r="D80" s="431" t="s">
        <v>392</v>
      </c>
      <c r="E80" s="431" t="s">
        <v>161</v>
      </c>
      <c r="F80" s="431" t="s">
        <v>468</v>
      </c>
      <c r="G80" s="431" t="s">
        <v>175</v>
      </c>
      <c r="H80" s="431"/>
      <c r="I80" s="431"/>
      <c r="J80" s="431"/>
      <c r="K80" s="431"/>
      <c r="L80" s="431" t="s">
        <v>241</v>
      </c>
      <c r="M80" s="431" t="s">
        <v>469</v>
      </c>
    </row>
    <row r="81" spans="1:13" x14ac:dyDescent="0.2">
      <c r="A81" s="431" t="s">
        <v>467</v>
      </c>
      <c r="B81" s="431">
        <v>1871198</v>
      </c>
      <c r="C81" s="431" t="s">
        <v>159</v>
      </c>
      <c r="D81" s="431" t="s">
        <v>392</v>
      </c>
      <c r="E81" s="431" t="s">
        <v>161</v>
      </c>
      <c r="F81" s="431" t="s">
        <v>470</v>
      </c>
      <c r="G81" s="431" t="s">
        <v>175</v>
      </c>
      <c r="H81" s="431"/>
      <c r="I81" s="431"/>
      <c r="J81" s="431"/>
      <c r="K81" s="431"/>
      <c r="L81" s="431" t="s">
        <v>241</v>
      </c>
      <c r="M81" s="431" t="s">
        <v>469</v>
      </c>
    </row>
    <row r="82" spans="1:13" x14ac:dyDescent="0.2">
      <c r="A82" s="431" t="s">
        <v>471</v>
      </c>
      <c r="B82" s="431">
        <v>1871199</v>
      </c>
      <c r="C82" s="431" t="s">
        <v>159</v>
      </c>
      <c r="D82" s="431" t="s">
        <v>392</v>
      </c>
      <c r="E82" s="431" t="s">
        <v>161</v>
      </c>
      <c r="F82" s="431" t="s">
        <v>472</v>
      </c>
      <c r="G82" s="431" t="s">
        <v>175</v>
      </c>
      <c r="H82" s="431"/>
      <c r="I82" s="431"/>
      <c r="J82" s="431"/>
      <c r="K82" s="431"/>
      <c r="L82" s="431" t="s">
        <v>473</v>
      </c>
      <c r="M82" s="431" t="s">
        <v>474</v>
      </c>
    </row>
    <row r="83" spans="1:13" x14ac:dyDescent="0.2">
      <c r="A83" s="431" t="s">
        <v>475</v>
      </c>
      <c r="B83" s="431">
        <v>1871202</v>
      </c>
      <c r="C83" s="431" t="s">
        <v>159</v>
      </c>
      <c r="D83" s="431" t="s">
        <v>392</v>
      </c>
      <c r="E83" s="431" t="s">
        <v>161</v>
      </c>
      <c r="F83" s="431" t="s">
        <v>455</v>
      </c>
      <c r="G83" s="431" t="s">
        <v>175</v>
      </c>
      <c r="H83" s="431"/>
      <c r="I83" s="431"/>
      <c r="J83" s="431"/>
      <c r="K83" s="431"/>
      <c r="L83" s="431" t="s">
        <v>163</v>
      </c>
      <c r="M83" s="431" t="s">
        <v>476</v>
      </c>
    </row>
    <row r="84" spans="1:13" x14ac:dyDescent="0.2">
      <c r="A84" s="431" t="s">
        <v>477</v>
      </c>
      <c r="B84" s="431">
        <v>1871204</v>
      </c>
      <c r="C84" s="431" t="s">
        <v>159</v>
      </c>
      <c r="D84" s="431" t="s">
        <v>392</v>
      </c>
      <c r="E84" s="431" t="s">
        <v>161</v>
      </c>
      <c r="F84" s="431" t="s">
        <v>478</v>
      </c>
      <c r="G84" s="431" t="s">
        <v>175</v>
      </c>
      <c r="H84" s="431"/>
      <c r="I84" s="431"/>
      <c r="J84" s="431"/>
      <c r="K84" s="431"/>
      <c r="L84" s="431" t="s">
        <v>479</v>
      </c>
      <c r="M84" s="431" t="s">
        <v>480</v>
      </c>
    </row>
    <row r="85" spans="1:13" x14ac:dyDescent="0.2">
      <c r="A85" s="431" t="s">
        <v>477</v>
      </c>
      <c r="B85" s="431">
        <v>1871204</v>
      </c>
      <c r="C85" s="431" t="s">
        <v>159</v>
      </c>
      <c r="D85" s="431" t="s">
        <v>392</v>
      </c>
      <c r="E85" s="431" t="s">
        <v>161</v>
      </c>
      <c r="F85" s="431" t="s">
        <v>481</v>
      </c>
      <c r="G85" s="431" t="s">
        <v>175</v>
      </c>
      <c r="H85" s="431"/>
      <c r="I85" s="431"/>
      <c r="J85" s="431"/>
      <c r="K85" s="431"/>
      <c r="L85" s="431" t="s">
        <v>479</v>
      </c>
      <c r="M85" s="431" t="s">
        <v>480</v>
      </c>
    </row>
    <row r="86" spans="1:13" x14ac:dyDescent="0.2">
      <c r="A86" s="431" t="s">
        <v>482</v>
      </c>
      <c r="B86" s="431">
        <v>1871207</v>
      </c>
      <c r="C86" s="431" t="s">
        <v>159</v>
      </c>
      <c r="D86" s="431" t="s">
        <v>392</v>
      </c>
      <c r="E86" s="431" t="s">
        <v>161</v>
      </c>
      <c r="F86" s="431" t="s">
        <v>424</v>
      </c>
      <c r="G86" s="431" t="s">
        <v>175</v>
      </c>
      <c r="H86" s="431"/>
      <c r="I86" s="431"/>
      <c r="J86" s="431"/>
      <c r="K86" s="431"/>
      <c r="L86" s="431" t="s">
        <v>241</v>
      </c>
      <c r="M86" s="431" t="s">
        <v>483</v>
      </c>
    </row>
    <row r="87" spans="1:13" x14ac:dyDescent="0.2">
      <c r="A87" s="431" t="s">
        <v>484</v>
      </c>
      <c r="B87" s="431">
        <v>1871208</v>
      </c>
      <c r="C87" s="431" t="s">
        <v>159</v>
      </c>
      <c r="D87" s="431" t="s">
        <v>392</v>
      </c>
      <c r="E87" s="431" t="s">
        <v>161</v>
      </c>
      <c r="F87" s="431" t="s">
        <v>410</v>
      </c>
      <c r="G87" s="431" t="s">
        <v>175</v>
      </c>
      <c r="H87" s="431"/>
      <c r="I87" s="431"/>
      <c r="J87" s="431"/>
      <c r="K87" s="431"/>
      <c r="L87" s="431" t="s">
        <v>241</v>
      </c>
      <c r="M87" s="431" t="s">
        <v>485</v>
      </c>
    </row>
    <row r="88" spans="1:13" x14ac:dyDescent="0.2">
      <c r="A88" s="431" t="s">
        <v>484</v>
      </c>
      <c r="B88" s="431">
        <v>1871208</v>
      </c>
      <c r="C88" s="431" t="s">
        <v>159</v>
      </c>
      <c r="D88" s="431" t="s">
        <v>392</v>
      </c>
      <c r="E88" s="431" t="s">
        <v>161</v>
      </c>
      <c r="F88" s="431" t="s">
        <v>410</v>
      </c>
      <c r="G88" s="431" t="s">
        <v>175</v>
      </c>
      <c r="H88" s="431"/>
      <c r="I88" s="431"/>
      <c r="J88" s="431"/>
      <c r="K88" s="431"/>
      <c r="L88" s="431" t="s">
        <v>241</v>
      </c>
      <c r="M88" s="431" t="s">
        <v>485</v>
      </c>
    </row>
    <row r="89" spans="1:13" x14ac:dyDescent="0.2">
      <c r="A89" s="431" t="s">
        <v>484</v>
      </c>
      <c r="B89" s="431">
        <v>1871208</v>
      </c>
      <c r="C89" s="431" t="s">
        <v>159</v>
      </c>
      <c r="D89" s="431" t="s">
        <v>392</v>
      </c>
      <c r="E89" s="431" t="s">
        <v>161</v>
      </c>
      <c r="F89" s="431" t="s">
        <v>410</v>
      </c>
      <c r="G89" s="431" t="s">
        <v>175</v>
      </c>
      <c r="H89" s="431"/>
      <c r="I89" s="431"/>
      <c r="J89" s="431"/>
      <c r="K89" s="431"/>
      <c r="L89" s="431" t="s">
        <v>241</v>
      </c>
      <c r="M89" s="431" t="s">
        <v>485</v>
      </c>
    </row>
    <row r="90" spans="1:13" x14ac:dyDescent="0.2">
      <c r="A90" s="431" t="s">
        <v>484</v>
      </c>
      <c r="B90" s="431">
        <v>1871208</v>
      </c>
      <c r="C90" s="431" t="s">
        <v>159</v>
      </c>
      <c r="D90" s="431" t="s">
        <v>392</v>
      </c>
      <c r="E90" s="431" t="s">
        <v>161</v>
      </c>
      <c r="F90" s="431" t="s">
        <v>410</v>
      </c>
      <c r="G90" s="431" t="s">
        <v>175</v>
      </c>
      <c r="H90" s="431"/>
      <c r="I90" s="431"/>
      <c r="J90" s="431"/>
      <c r="K90" s="431"/>
      <c r="L90" s="431" t="s">
        <v>241</v>
      </c>
      <c r="M90" s="431" t="s">
        <v>485</v>
      </c>
    </row>
    <row r="91" spans="1:13" x14ac:dyDescent="0.2">
      <c r="A91" s="431" t="s">
        <v>484</v>
      </c>
      <c r="B91" s="431">
        <v>1871208</v>
      </c>
      <c r="C91" s="431" t="s">
        <v>159</v>
      </c>
      <c r="D91" s="431" t="s">
        <v>392</v>
      </c>
      <c r="E91" s="431" t="s">
        <v>161</v>
      </c>
      <c r="F91" s="431" t="s">
        <v>410</v>
      </c>
      <c r="G91" s="431" t="s">
        <v>175</v>
      </c>
      <c r="H91" s="431"/>
      <c r="I91" s="431"/>
      <c r="J91" s="431"/>
      <c r="K91" s="431"/>
      <c r="L91" s="431" t="s">
        <v>241</v>
      </c>
      <c r="M91" s="431" t="s">
        <v>485</v>
      </c>
    </row>
    <row r="92" spans="1:13" x14ac:dyDescent="0.2">
      <c r="A92" s="431" t="s">
        <v>484</v>
      </c>
      <c r="B92" s="431">
        <v>1871208</v>
      </c>
      <c r="C92" s="431" t="s">
        <v>159</v>
      </c>
      <c r="D92" s="431" t="s">
        <v>392</v>
      </c>
      <c r="E92" s="431" t="s">
        <v>161</v>
      </c>
      <c r="F92" s="431" t="s">
        <v>410</v>
      </c>
      <c r="G92" s="431" t="s">
        <v>175</v>
      </c>
      <c r="H92" s="431"/>
      <c r="I92" s="431"/>
      <c r="J92" s="431"/>
      <c r="K92" s="431"/>
      <c r="L92" s="431" t="s">
        <v>241</v>
      </c>
      <c r="M92" s="431" t="s">
        <v>485</v>
      </c>
    </row>
    <row r="93" spans="1:13" x14ac:dyDescent="0.2">
      <c r="A93" s="431" t="s">
        <v>484</v>
      </c>
      <c r="B93" s="431">
        <v>1871208</v>
      </c>
      <c r="C93" s="431" t="s">
        <v>159</v>
      </c>
      <c r="D93" s="431" t="s">
        <v>392</v>
      </c>
      <c r="E93" s="431" t="s">
        <v>161</v>
      </c>
      <c r="F93" s="431" t="s">
        <v>411</v>
      </c>
      <c r="G93" s="431" t="s">
        <v>175</v>
      </c>
      <c r="H93" s="431"/>
      <c r="I93" s="431"/>
      <c r="J93" s="431"/>
      <c r="K93" s="431"/>
      <c r="L93" s="431" t="s">
        <v>241</v>
      </c>
      <c r="M93" s="431" t="s">
        <v>485</v>
      </c>
    </row>
    <row r="94" spans="1:13" x14ac:dyDescent="0.2">
      <c r="A94" s="431" t="s">
        <v>484</v>
      </c>
      <c r="B94" s="431">
        <v>1871208</v>
      </c>
      <c r="C94" s="431" t="s">
        <v>159</v>
      </c>
      <c r="D94" s="431" t="s">
        <v>392</v>
      </c>
      <c r="E94" s="431" t="s">
        <v>161</v>
      </c>
      <c r="F94" s="431" t="s">
        <v>486</v>
      </c>
      <c r="G94" s="431" t="s">
        <v>175</v>
      </c>
      <c r="H94" s="431"/>
      <c r="I94" s="431"/>
      <c r="J94" s="431"/>
      <c r="K94" s="431"/>
      <c r="L94" s="431" t="s">
        <v>241</v>
      </c>
      <c r="M94" s="431" t="s">
        <v>485</v>
      </c>
    </row>
    <row r="95" spans="1:13" x14ac:dyDescent="0.2">
      <c r="A95" s="431" t="s">
        <v>484</v>
      </c>
      <c r="B95" s="431">
        <v>1871208</v>
      </c>
      <c r="C95" s="431" t="s">
        <v>159</v>
      </c>
      <c r="D95" s="431" t="s">
        <v>392</v>
      </c>
      <c r="E95" s="431" t="s">
        <v>161</v>
      </c>
      <c r="F95" s="431" t="s">
        <v>486</v>
      </c>
      <c r="G95" s="431" t="s">
        <v>175</v>
      </c>
      <c r="H95" s="431"/>
      <c r="I95" s="431"/>
      <c r="J95" s="431"/>
      <c r="K95" s="431"/>
      <c r="L95" s="431" t="s">
        <v>241</v>
      </c>
      <c r="M95" s="431" t="s">
        <v>485</v>
      </c>
    </row>
    <row r="96" spans="1:13" x14ac:dyDescent="0.2">
      <c r="A96" s="431" t="s">
        <v>484</v>
      </c>
      <c r="B96" s="431">
        <v>1871208</v>
      </c>
      <c r="C96" s="431" t="s">
        <v>159</v>
      </c>
      <c r="D96" s="431" t="s">
        <v>392</v>
      </c>
      <c r="E96" s="431" t="s">
        <v>161</v>
      </c>
      <c r="F96" s="431" t="s">
        <v>486</v>
      </c>
      <c r="G96" s="431" t="s">
        <v>175</v>
      </c>
      <c r="H96" s="431"/>
      <c r="I96" s="431"/>
      <c r="J96" s="431"/>
      <c r="K96" s="431"/>
      <c r="L96" s="431" t="s">
        <v>241</v>
      </c>
      <c r="M96" s="431" t="s">
        <v>485</v>
      </c>
    </row>
    <row r="97" spans="1:13" x14ac:dyDescent="0.2">
      <c r="A97" s="431" t="s">
        <v>484</v>
      </c>
      <c r="B97" s="431">
        <v>1871208</v>
      </c>
      <c r="C97" s="431" t="s">
        <v>159</v>
      </c>
      <c r="D97" s="431" t="s">
        <v>392</v>
      </c>
      <c r="E97" s="431" t="s">
        <v>161</v>
      </c>
      <c r="F97" s="431" t="s">
        <v>487</v>
      </c>
      <c r="G97" s="431" t="s">
        <v>175</v>
      </c>
      <c r="H97" s="431"/>
      <c r="I97" s="431"/>
      <c r="J97" s="431"/>
      <c r="K97" s="431"/>
      <c r="L97" s="431" t="s">
        <v>241</v>
      </c>
      <c r="M97" s="431" t="s">
        <v>485</v>
      </c>
    </row>
    <row r="98" spans="1:13" x14ac:dyDescent="0.2">
      <c r="A98" s="431" t="s">
        <v>488</v>
      </c>
      <c r="B98" s="431">
        <v>1871209</v>
      </c>
      <c r="C98" s="431" t="s">
        <v>159</v>
      </c>
      <c r="D98" s="431" t="s">
        <v>392</v>
      </c>
      <c r="E98" s="431" t="s">
        <v>161</v>
      </c>
      <c r="F98" s="431" t="s">
        <v>397</v>
      </c>
      <c r="G98" s="431" t="s">
        <v>175</v>
      </c>
      <c r="H98" s="431"/>
      <c r="I98" s="431"/>
      <c r="J98" s="431"/>
      <c r="K98" s="431"/>
      <c r="L98" s="431" t="s">
        <v>241</v>
      </c>
      <c r="M98" s="431" t="s">
        <v>489</v>
      </c>
    </row>
    <row r="99" spans="1:13" x14ac:dyDescent="0.2">
      <c r="A99" s="431" t="s">
        <v>488</v>
      </c>
      <c r="B99" s="431">
        <v>1871209</v>
      </c>
      <c r="C99" s="431" t="s">
        <v>159</v>
      </c>
      <c r="D99" s="431" t="s">
        <v>392</v>
      </c>
      <c r="E99" s="431" t="s">
        <v>161</v>
      </c>
      <c r="F99" s="431" t="s">
        <v>398</v>
      </c>
      <c r="G99" s="431" t="s">
        <v>175</v>
      </c>
      <c r="H99" s="431"/>
      <c r="I99" s="431"/>
      <c r="J99" s="431"/>
      <c r="K99" s="431"/>
      <c r="L99" s="431" t="s">
        <v>241</v>
      </c>
      <c r="M99" s="431" t="s">
        <v>489</v>
      </c>
    </row>
    <row r="100" spans="1:13" x14ac:dyDescent="0.2">
      <c r="A100" s="431" t="s">
        <v>490</v>
      </c>
      <c r="B100" s="431">
        <v>1871211</v>
      </c>
      <c r="C100" s="431" t="s">
        <v>159</v>
      </c>
      <c r="D100" s="431" t="s">
        <v>392</v>
      </c>
      <c r="E100" s="431" t="s">
        <v>161</v>
      </c>
      <c r="F100" s="431" t="s">
        <v>491</v>
      </c>
      <c r="G100" s="431" t="s">
        <v>175</v>
      </c>
      <c r="H100" s="431"/>
      <c r="I100" s="431"/>
      <c r="J100" s="431"/>
      <c r="K100" s="431"/>
      <c r="L100" s="431" t="s">
        <v>241</v>
      </c>
      <c r="M100" s="431" t="s">
        <v>492</v>
      </c>
    </row>
    <row r="101" spans="1:13" x14ac:dyDescent="0.2">
      <c r="A101" s="431" t="s">
        <v>490</v>
      </c>
      <c r="B101" s="431">
        <v>1871211</v>
      </c>
      <c r="C101" s="431" t="s">
        <v>159</v>
      </c>
      <c r="D101" s="431" t="s">
        <v>392</v>
      </c>
      <c r="E101" s="431" t="s">
        <v>161</v>
      </c>
      <c r="F101" s="431" t="s">
        <v>493</v>
      </c>
      <c r="G101" s="431" t="s">
        <v>175</v>
      </c>
      <c r="H101" s="431"/>
      <c r="I101" s="431"/>
      <c r="J101" s="431"/>
      <c r="K101" s="431"/>
      <c r="L101" s="431" t="s">
        <v>241</v>
      </c>
      <c r="M101" s="431" t="s">
        <v>492</v>
      </c>
    </row>
    <row r="102" spans="1:13" ht="409.5" x14ac:dyDescent="0.2">
      <c r="A102" s="431" t="s">
        <v>494</v>
      </c>
      <c r="B102" s="431">
        <v>1871217</v>
      </c>
      <c r="C102" s="431" t="s">
        <v>159</v>
      </c>
      <c r="D102" s="431" t="s">
        <v>392</v>
      </c>
      <c r="E102" s="431" t="s">
        <v>161</v>
      </c>
      <c r="F102" s="431" t="s">
        <v>495</v>
      </c>
      <c r="G102" s="431" t="s">
        <v>175</v>
      </c>
      <c r="H102" s="431"/>
      <c r="I102" s="431"/>
      <c r="J102" s="431"/>
      <c r="K102" s="431"/>
      <c r="L102" s="431" t="s">
        <v>404</v>
      </c>
      <c r="M102" s="432" t="s">
        <v>496</v>
      </c>
    </row>
    <row r="103" spans="1:13" ht="409.5" x14ac:dyDescent="0.2">
      <c r="A103" s="431" t="s">
        <v>494</v>
      </c>
      <c r="B103" s="431">
        <v>1871217</v>
      </c>
      <c r="C103" s="431" t="s">
        <v>159</v>
      </c>
      <c r="D103" s="431" t="s">
        <v>392</v>
      </c>
      <c r="E103" s="431" t="s">
        <v>161</v>
      </c>
      <c r="F103" s="431" t="s">
        <v>497</v>
      </c>
      <c r="G103" s="431" t="s">
        <v>175</v>
      </c>
      <c r="H103" s="431"/>
      <c r="I103" s="431"/>
      <c r="J103" s="431"/>
      <c r="K103" s="431"/>
      <c r="L103" s="431" t="s">
        <v>404</v>
      </c>
      <c r="M103" s="432" t="s">
        <v>496</v>
      </c>
    </row>
    <row r="104" spans="1:13" ht="409.5" x14ac:dyDescent="0.2">
      <c r="A104" s="431" t="s">
        <v>494</v>
      </c>
      <c r="B104" s="431">
        <v>1871217</v>
      </c>
      <c r="C104" s="431" t="s">
        <v>159</v>
      </c>
      <c r="D104" s="431" t="s">
        <v>392</v>
      </c>
      <c r="E104" s="431" t="s">
        <v>161</v>
      </c>
      <c r="F104" s="431" t="s">
        <v>497</v>
      </c>
      <c r="G104" s="431" t="s">
        <v>175</v>
      </c>
      <c r="H104" s="431"/>
      <c r="I104" s="431"/>
      <c r="J104" s="431"/>
      <c r="K104" s="431"/>
      <c r="L104" s="431" t="s">
        <v>404</v>
      </c>
      <c r="M104" s="432" t="s">
        <v>496</v>
      </c>
    </row>
    <row r="105" spans="1:13" ht="409.5" x14ac:dyDescent="0.2">
      <c r="A105" s="431" t="s">
        <v>494</v>
      </c>
      <c r="B105" s="431">
        <v>1871217</v>
      </c>
      <c r="C105" s="431" t="s">
        <v>159</v>
      </c>
      <c r="D105" s="431" t="s">
        <v>392</v>
      </c>
      <c r="E105" s="431" t="s">
        <v>161</v>
      </c>
      <c r="F105" s="431" t="s">
        <v>498</v>
      </c>
      <c r="G105" s="431" t="s">
        <v>175</v>
      </c>
      <c r="H105" s="431"/>
      <c r="I105" s="431"/>
      <c r="J105" s="431"/>
      <c r="K105" s="431"/>
      <c r="L105" s="431" t="s">
        <v>404</v>
      </c>
      <c r="M105" s="432" t="s">
        <v>496</v>
      </c>
    </row>
    <row r="106" spans="1:13" ht="409.5" x14ac:dyDescent="0.2">
      <c r="A106" s="431" t="s">
        <v>499</v>
      </c>
      <c r="B106" s="431">
        <v>1871219</v>
      </c>
      <c r="C106" s="431" t="s">
        <v>159</v>
      </c>
      <c r="D106" s="431" t="s">
        <v>392</v>
      </c>
      <c r="E106" s="431" t="s">
        <v>161</v>
      </c>
      <c r="F106" s="431" t="s">
        <v>500</v>
      </c>
      <c r="G106" s="431" t="s">
        <v>175</v>
      </c>
      <c r="H106" s="431"/>
      <c r="I106" s="431"/>
      <c r="J106" s="431"/>
      <c r="K106" s="431"/>
      <c r="L106" s="431" t="s">
        <v>501</v>
      </c>
      <c r="M106" s="432" t="s">
        <v>502</v>
      </c>
    </row>
    <row r="107" spans="1:13" ht="409.5" x14ac:dyDescent="0.2">
      <c r="A107" s="431" t="s">
        <v>499</v>
      </c>
      <c r="B107" s="431">
        <v>1871219</v>
      </c>
      <c r="C107" s="431" t="s">
        <v>159</v>
      </c>
      <c r="D107" s="431" t="s">
        <v>392</v>
      </c>
      <c r="E107" s="431" t="s">
        <v>161</v>
      </c>
      <c r="F107" s="431" t="s">
        <v>500</v>
      </c>
      <c r="G107" s="431" t="s">
        <v>175</v>
      </c>
      <c r="H107" s="431"/>
      <c r="I107" s="431"/>
      <c r="J107" s="431"/>
      <c r="K107" s="431"/>
      <c r="L107" s="431" t="s">
        <v>501</v>
      </c>
      <c r="M107" s="432" t="s">
        <v>502</v>
      </c>
    </row>
    <row r="108" spans="1:13" ht="409.5" x14ac:dyDescent="0.2">
      <c r="A108" s="431" t="s">
        <v>499</v>
      </c>
      <c r="B108" s="431">
        <v>1871219</v>
      </c>
      <c r="C108" s="431" t="s">
        <v>159</v>
      </c>
      <c r="D108" s="431" t="s">
        <v>392</v>
      </c>
      <c r="E108" s="431" t="s">
        <v>161</v>
      </c>
      <c r="F108" s="431" t="s">
        <v>500</v>
      </c>
      <c r="G108" s="431" t="s">
        <v>175</v>
      </c>
      <c r="H108" s="431"/>
      <c r="I108" s="431"/>
      <c r="J108" s="431"/>
      <c r="K108" s="431"/>
      <c r="L108" s="431" t="s">
        <v>501</v>
      </c>
      <c r="M108" s="432" t="s">
        <v>502</v>
      </c>
    </row>
    <row r="109" spans="1:13" ht="409.5" x14ac:dyDescent="0.2">
      <c r="A109" s="431" t="s">
        <v>499</v>
      </c>
      <c r="B109" s="431">
        <v>1871219</v>
      </c>
      <c r="C109" s="431" t="s">
        <v>159</v>
      </c>
      <c r="D109" s="431" t="s">
        <v>392</v>
      </c>
      <c r="E109" s="431" t="s">
        <v>161</v>
      </c>
      <c r="F109" s="431" t="s">
        <v>500</v>
      </c>
      <c r="G109" s="431" t="s">
        <v>175</v>
      </c>
      <c r="H109" s="431"/>
      <c r="I109" s="431"/>
      <c r="J109" s="431"/>
      <c r="K109" s="431"/>
      <c r="L109" s="431" t="s">
        <v>501</v>
      </c>
      <c r="M109" s="432" t="s">
        <v>502</v>
      </c>
    </row>
    <row r="110" spans="1:13" ht="409.5" x14ac:dyDescent="0.2">
      <c r="A110" s="431" t="s">
        <v>499</v>
      </c>
      <c r="B110" s="431">
        <v>1871219</v>
      </c>
      <c r="C110" s="431" t="s">
        <v>159</v>
      </c>
      <c r="D110" s="431" t="s">
        <v>392</v>
      </c>
      <c r="E110" s="431" t="s">
        <v>161</v>
      </c>
      <c r="F110" s="431" t="s">
        <v>500</v>
      </c>
      <c r="G110" s="431" t="s">
        <v>175</v>
      </c>
      <c r="H110" s="431"/>
      <c r="I110" s="431"/>
      <c r="J110" s="431"/>
      <c r="K110" s="431"/>
      <c r="L110" s="431" t="s">
        <v>501</v>
      </c>
      <c r="M110" s="432" t="s">
        <v>502</v>
      </c>
    </row>
    <row r="111" spans="1:13" ht="409.5" x14ac:dyDescent="0.2">
      <c r="A111" s="431" t="s">
        <v>499</v>
      </c>
      <c r="B111" s="431">
        <v>1871219</v>
      </c>
      <c r="C111" s="431" t="s">
        <v>159</v>
      </c>
      <c r="D111" s="431" t="s">
        <v>392</v>
      </c>
      <c r="E111" s="431" t="s">
        <v>161</v>
      </c>
      <c r="F111" s="431" t="s">
        <v>500</v>
      </c>
      <c r="G111" s="431" t="s">
        <v>175</v>
      </c>
      <c r="H111" s="431"/>
      <c r="I111" s="431"/>
      <c r="J111" s="431"/>
      <c r="K111" s="431"/>
      <c r="L111" s="431" t="s">
        <v>501</v>
      </c>
      <c r="M111" s="432" t="s">
        <v>502</v>
      </c>
    </row>
    <row r="112" spans="1:13" ht="409.5" x14ac:dyDescent="0.2">
      <c r="A112" s="431" t="s">
        <v>499</v>
      </c>
      <c r="B112" s="431">
        <v>1871219</v>
      </c>
      <c r="C112" s="431" t="s">
        <v>159</v>
      </c>
      <c r="D112" s="431" t="s">
        <v>392</v>
      </c>
      <c r="E112" s="431" t="s">
        <v>161</v>
      </c>
      <c r="F112" s="431" t="s">
        <v>503</v>
      </c>
      <c r="G112" s="431" t="s">
        <v>175</v>
      </c>
      <c r="H112" s="431"/>
      <c r="I112" s="431"/>
      <c r="J112" s="431"/>
      <c r="K112" s="431"/>
      <c r="L112" s="431" t="s">
        <v>501</v>
      </c>
      <c r="M112" s="432" t="s">
        <v>502</v>
      </c>
    </row>
    <row r="113" spans="1:13" ht="409.5" x14ac:dyDescent="0.2">
      <c r="A113" s="431" t="s">
        <v>499</v>
      </c>
      <c r="B113" s="431">
        <v>1871219</v>
      </c>
      <c r="C113" s="431" t="s">
        <v>159</v>
      </c>
      <c r="D113" s="431" t="s">
        <v>392</v>
      </c>
      <c r="E113" s="431" t="s">
        <v>161</v>
      </c>
      <c r="F113" s="431" t="s">
        <v>503</v>
      </c>
      <c r="G113" s="431" t="s">
        <v>175</v>
      </c>
      <c r="H113" s="431"/>
      <c r="I113" s="431"/>
      <c r="J113" s="431"/>
      <c r="K113" s="431"/>
      <c r="L113" s="431" t="s">
        <v>501</v>
      </c>
      <c r="M113" s="432" t="s">
        <v>502</v>
      </c>
    </row>
    <row r="114" spans="1:13" ht="409.5" x14ac:dyDescent="0.2">
      <c r="A114" s="431" t="s">
        <v>499</v>
      </c>
      <c r="B114" s="431">
        <v>1871219</v>
      </c>
      <c r="C114" s="431" t="s">
        <v>159</v>
      </c>
      <c r="D114" s="431" t="s">
        <v>392</v>
      </c>
      <c r="E114" s="431" t="s">
        <v>161</v>
      </c>
      <c r="F114" s="431" t="s">
        <v>503</v>
      </c>
      <c r="G114" s="431" t="s">
        <v>175</v>
      </c>
      <c r="H114" s="431"/>
      <c r="I114" s="431"/>
      <c r="J114" s="431"/>
      <c r="K114" s="431"/>
      <c r="L114" s="431" t="s">
        <v>501</v>
      </c>
      <c r="M114" s="432" t="s">
        <v>502</v>
      </c>
    </row>
    <row r="115" spans="1:13" ht="409.5" x14ac:dyDescent="0.2">
      <c r="A115" s="431" t="s">
        <v>499</v>
      </c>
      <c r="B115" s="431">
        <v>1871219</v>
      </c>
      <c r="C115" s="431" t="s">
        <v>159</v>
      </c>
      <c r="D115" s="431" t="s">
        <v>392</v>
      </c>
      <c r="E115" s="431" t="s">
        <v>161</v>
      </c>
      <c r="F115" s="431" t="s">
        <v>504</v>
      </c>
      <c r="G115" s="431" t="s">
        <v>175</v>
      </c>
      <c r="H115" s="431"/>
      <c r="I115" s="431"/>
      <c r="J115" s="431"/>
      <c r="K115" s="431"/>
      <c r="L115" s="431" t="s">
        <v>501</v>
      </c>
      <c r="M115" s="432" t="s">
        <v>502</v>
      </c>
    </row>
    <row r="116" spans="1:13" ht="409.5" x14ac:dyDescent="0.2">
      <c r="A116" s="431" t="s">
        <v>499</v>
      </c>
      <c r="B116" s="431">
        <v>1871219</v>
      </c>
      <c r="C116" s="431" t="s">
        <v>159</v>
      </c>
      <c r="D116" s="431" t="s">
        <v>392</v>
      </c>
      <c r="E116" s="431" t="s">
        <v>161</v>
      </c>
      <c r="F116" s="431" t="s">
        <v>505</v>
      </c>
      <c r="G116" s="431" t="s">
        <v>175</v>
      </c>
      <c r="H116" s="431"/>
      <c r="I116" s="431"/>
      <c r="J116" s="431"/>
      <c r="K116" s="431"/>
      <c r="L116" s="431" t="s">
        <v>501</v>
      </c>
      <c r="M116" s="432" t="s">
        <v>502</v>
      </c>
    </row>
    <row r="117" spans="1:13" ht="409.5" x14ac:dyDescent="0.2">
      <c r="A117" s="431" t="s">
        <v>499</v>
      </c>
      <c r="B117" s="431">
        <v>1871219</v>
      </c>
      <c r="C117" s="431" t="s">
        <v>159</v>
      </c>
      <c r="D117" s="431" t="s">
        <v>392</v>
      </c>
      <c r="E117" s="431" t="s">
        <v>161</v>
      </c>
      <c r="F117" s="431" t="s">
        <v>505</v>
      </c>
      <c r="G117" s="431" t="s">
        <v>175</v>
      </c>
      <c r="H117" s="431"/>
      <c r="I117" s="431"/>
      <c r="J117" s="431"/>
      <c r="K117" s="431"/>
      <c r="L117" s="431" t="s">
        <v>501</v>
      </c>
      <c r="M117" s="432" t="s">
        <v>502</v>
      </c>
    </row>
    <row r="118" spans="1:13" ht="409.5" x14ac:dyDescent="0.2">
      <c r="A118" s="431" t="s">
        <v>499</v>
      </c>
      <c r="B118" s="431">
        <v>1871219</v>
      </c>
      <c r="C118" s="431" t="s">
        <v>159</v>
      </c>
      <c r="D118" s="431" t="s">
        <v>392</v>
      </c>
      <c r="E118" s="431" t="s">
        <v>161</v>
      </c>
      <c r="F118" s="431" t="s">
        <v>505</v>
      </c>
      <c r="G118" s="431" t="s">
        <v>175</v>
      </c>
      <c r="H118" s="431"/>
      <c r="I118" s="431"/>
      <c r="J118" s="431"/>
      <c r="K118" s="431"/>
      <c r="L118" s="431" t="s">
        <v>501</v>
      </c>
      <c r="M118" s="432" t="s">
        <v>502</v>
      </c>
    </row>
    <row r="119" spans="1:13" ht="409.5" x14ac:dyDescent="0.2">
      <c r="A119" s="431" t="s">
        <v>499</v>
      </c>
      <c r="B119" s="431">
        <v>1871219</v>
      </c>
      <c r="C119" s="431" t="s">
        <v>159</v>
      </c>
      <c r="D119" s="431" t="s">
        <v>392</v>
      </c>
      <c r="E119" s="431" t="s">
        <v>161</v>
      </c>
      <c r="F119" s="431" t="s">
        <v>505</v>
      </c>
      <c r="G119" s="431" t="s">
        <v>175</v>
      </c>
      <c r="H119" s="431"/>
      <c r="I119" s="431"/>
      <c r="J119" s="431"/>
      <c r="K119" s="431"/>
      <c r="L119" s="431" t="s">
        <v>501</v>
      </c>
      <c r="M119" s="432" t="s">
        <v>502</v>
      </c>
    </row>
    <row r="120" spans="1:13" ht="409.5" x14ac:dyDescent="0.2">
      <c r="A120" s="431" t="s">
        <v>499</v>
      </c>
      <c r="B120" s="431">
        <v>1871219</v>
      </c>
      <c r="C120" s="431" t="s">
        <v>159</v>
      </c>
      <c r="D120" s="431" t="s">
        <v>392</v>
      </c>
      <c r="E120" s="431" t="s">
        <v>161</v>
      </c>
      <c r="F120" s="431" t="s">
        <v>506</v>
      </c>
      <c r="G120" s="431" t="s">
        <v>175</v>
      </c>
      <c r="H120" s="431"/>
      <c r="I120" s="431"/>
      <c r="J120" s="431"/>
      <c r="K120" s="431"/>
      <c r="L120" s="431" t="s">
        <v>501</v>
      </c>
      <c r="M120" s="432" t="s">
        <v>502</v>
      </c>
    </row>
    <row r="121" spans="1:13" x14ac:dyDescent="0.2">
      <c r="A121" s="431" t="s">
        <v>507</v>
      </c>
      <c r="B121" s="431">
        <v>1871222</v>
      </c>
      <c r="C121" s="431" t="s">
        <v>159</v>
      </c>
      <c r="D121" s="431" t="s">
        <v>392</v>
      </c>
      <c r="E121" s="431" t="s">
        <v>161</v>
      </c>
      <c r="F121" s="431" t="s">
        <v>508</v>
      </c>
      <c r="G121" s="431" t="s">
        <v>175</v>
      </c>
      <c r="H121" s="431"/>
      <c r="I121" s="431"/>
      <c r="J121" s="431"/>
      <c r="K121" s="431"/>
      <c r="L121" s="431" t="s">
        <v>418</v>
      </c>
      <c r="M121" s="431" t="s">
        <v>509</v>
      </c>
    </row>
    <row r="122" spans="1:13" x14ac:dyDescent="0.2">
      <c r="A122" s="431" t="s">
        <v>510</v>
      </c>
      <c r="B122" s="431">
        <v>1871225</v>
      </c>
      <c r="C122" s="431" t="s">
        <v>181</v>
      </c>
      <c r="D122" s="431" t="s">
        <v>392</v>
      </c>
      <c r="E122" s="431" t="s">
        <v>161</v>
      </c>
      <c r="F122" s="431" t="s">
        <v>344</v>
      </c>
      <c r="G122" s="431" t="s">
        <v>175</v>
      </c>
      <c r="H122" s="431"/>
      <c r="I122" s="431"/>
      <c r="J122" s="431"/>
      <c r="K122" s="431"/>
      <c r="L122" s="431" t="s">
        <v>511</v>
      </c>
      <c r="M122" s="431" t="s">
        <v>512</v>
      </c>
    </row>
    <row r="123" spans="1:13" x14ac:dyDescent="0.2">
      <c r="A123" s="431" t="s">
        <v>510</v>
      </c>
      <c r="B123" s="431">
        <v>1871225</v>
      </c>
      <c r="C123" s="431" t="s">
        <v>181</v>
      </c>
      <c r="D123" s="431" t="s">
        <v>392</v>
      </c>
      <c r="E123" s="431" t="s">
        <v>161</v>
      </c>
      <c r="F123" s="431" t="s">
        <v>513</v>
      </c>
      <c r="G123" s="431" t="s">
        <v>175</v>
      </c>
      <c r="H123" s="431"/>
      <c r="I123" s="431"/>
      <c r="J123" s="431"/>
      <c r="K123" s="431"/>
      <c r="L123" s="431" t="s">
        <v>511</v>
      </c>
      <c r="M123" s="431" t="s">
        <v>512</v>
      </c>
    </row>
    <row r="124" spans="1:13" x14ac:dyDescent="0.2">
      <c r="A124" s="431" t="s">
        <v>514</v>
      </c>
      <c r="B124" s="431">
        <v>1871227</v>
      </c>
      <c r="C124" s="431" t="s">
        <v>159</v>
      </c>
      <c r="D124" s="431" t="s">
        <v>392</v>
      </c>
      <c r="E124" s="431" t="s">
        <v>161</v>
      </c>
      <c r="F124" s="431" t="s">
        <v>344</v>
      </c>
      <c r="G124" s="431" t="s">
        <v>175</v>
      </c>
      <c r="H124" s="431"/>
      <c r="I124" s="431"/>
      <c r="J124" s="431"/>
      <c r="K124" s="431"/>
      <c r="L124" s="431" t="s">
        <v>511</v>
      </c>
      <c r="M124" s="431" t="s">
        <v>515</v>
      </c>
    </row>
    <row r="125" spans="1:13" x14ac:dyDescent="0.2">
      <c r="A125" s="431" t="s">
        <v>516</v>
      </c>
      <c r="B125" s="431">
        <v>1871228</v>
      </c>
      <c r="C125" s="431" t="s">
        <v>159</v>
      </c>
      <c r="D125" s="431" t="s">
        <v>392</v>
      </c>
      <c r="E125" s="431" t="s">
        <v>161</v>
      </c>
      <c r="F125" s="431" t="s">
        <v>517</v>
      </c>
      <c r="G125" s="431" t="s">
        <v>175</v>
      </c>
      <c r="H125" s="431"/>
      <c r="I125" s="431"/>
      <c r="J125" s="431"/>
      <c r="K125" s="431"/>
      <c r="L125" s="431" t="s">
        <v>176</v>
      </c>
      <c r="M125" s="431" t="s">
        <v>518</v>
      </c>
    </row>
    <row r="126" spans="1:13" x14ac:dyDescent="0.2">
      <c r="A126" s="431" t="s">
        <v>516</v>
      </c>
      <c r="B126" s="431">
        <v>1871228</v>
      </c>
      <c r="C126" s="431" t="s">
        <v>159</v>
      </c>
      <c r="D126" s="431" t="s">
        <v>392</v>
      </c>
      <c r="E126" s="431" t="s">
        <v>161</v>
      </c>
      <c r="F126" s="431" t="s">
        <v>517</v>
      </c>
      <c r="G126" s="431" t="s">
        <v>175</v>
      </c>
      <c r="H126" s="431"/>
      <c r="I126" s="431"/>
      <c r="J126" s="431"/>
      <c r="K126" s="431"/>
      <c r="L126" s="431" t="s">
        <v>176</v>
      </c>
      <c r="M126" s="431" t="s">
        <v>518</v>
      </c>
    </row>
    <row r="127" spans="1:13" x14ac:dyDescent="0.2">
      <c r="A127" s="431" t="s">
        <v>516</v>
      </c>
      <c r="B127" s="431">
        <v>1871228</v>
      </c>
      <c r="C127" s="431" t="s">
        <v>159</v>
      </c>
      <c r="D127" s="431" t="s">
        <v>392</v>
      </c>
      <c r="E127" s="431" t="s">
        <v>161</v>
      </c>
      <c r="F127" s="431" t="s">
        <v>513</v>
      </c>
      <c r="G127" s="431" t="s">
        <v>175</v>
      </c>
      <c r="H127" s="431"/>
      <c r="I127" s="431"/>
      <c r="J127" s="431"/>
      <c r="K127" s="431"/>
      <c r="L127" s="431" t="s">
        <v>176</v>
      </c>
      <c r="M127" s="431" t="s">
        <v>518</v>
      </c>
    </row>
    <row r="128" spans="1:13" x14ac:dyDescent="0.2">
      <c r="A128" s="431" t="s">
        <v>519</v>
      </c>
      <c r="B128" s="431">
        <v>1871229</v>
      </c>
      <c r="C128" s="431" t="s">
        <v>159</v>
      </c>
      <c r="D128" s="431" t="s">
        <v>392</v>
      </c>
      <c r="E128" s="431" t="s">
        <v>161</v>
      </c>
      <c r="F128" s="431" t="s">
        <v>344</v>
      </c>
      <c r="G128" s="431" t="s">
        <v>175</v>
      </c>
      <c r="H128" s="431"/>
      <c r="I128" s="431"/>
      <c r="J128" s="431"/>
      <c r="K128" s="431"/>
      <c r="L128" s="431" t="s">
        <v>404</v>
      </c>
      <c r="M128" s="431" t="s">
        <v>520</v>
      </c>
    </row>
    <row r="129" spans="1:13" x14ac:dyDescent="0.2">
      <c r="A129" s="431" t="s">
        <v>519</v>
      </c>
      <c r="B129" s="431">
        <v>1871229</v>
      </c>
      <c r="C129" s="431" t="s">
        <v>159</v>
      </c>
      <c r="D129" s="431" t="s">
        <v>392</v>
      </c>
      <c r="E129" s="431" t="s">
        <v>161</v>
      </c>
      <c r="F129" s="431" t="s">
        <v>521</v>
      </c>
      <c r="G129" s="431" t="s">
        <v>175</v>
      </c>
      <c r="H129" s="431"/>
      <c r="I129" s="431"/>
      <c r="J129" s="431"/>
      <c r="K129" s="431"/>
      <c r="L129" s="431" t="s">
        <v>404</v>
      </c>
      <c r="M129" s="431" t="s">
        <v>520</v>
      </c>
    </row>
    <row r="130" spans="1:13" x14ac:dyDescent="0.2">
      <c r="A130" s="431" t="s">
        <v>522</v>
      </c>
      <c r="B130" s="431">
        <v>1871230</v>
      </c>
      <c r="C130" s="431" t="s">
        <v>159</v>
      </c>
      <c r="D130" s="431" t="s">
        <v>392</v>
      </c>
      <c r="E130" s="431" t="s">
        <v>161</v>
      </c>
      <c r="F130" s="431" t="s">
        <v>344</v>
      </c>
      <c r="G130" s="431" t="s">
        <v>175</v>
      </c>
      <c r="H130" s="431"/>
      <c r="I130" s="431"/>
      <c r="J130" s="431"/>
      <c r="K130" s="431"/>
      <c r="L130" s="431" t="s">
        <v>404</v>
      </c>
      <c r="M130" s="431" t="s">
        <v>523</v>
      </c>
    </row>
    <row r="131" spans="1:13" x14ac:dyDescent="0.2">
      <c r="A131" s="431" t="s">
        <v>522</v>
      </c>
      <c r="B131" s="431">
        <v>1871230</v>
      </c>
      <c r="C131" s="431" t="s">
        <v>159</v>
      </c>
      <c r="D131" s="431" t="s">
        <v>392</v>
      </c>
      <c r="E131" s="431" t="s">
        <v>161</v>
      </c>
      <c r="F131" s="431" t="s">
        <v>521</v>
      </c>
      <c r="G131" s="431" t="s">
        <v>175</v>
      </c>
      <c r="H131" s="431"/>
      <c r="I131" s="431"/>
      <c r="J131" s="431"/>
      <c r="K131" s="431"/>
      <c r="L131" s="431" t="s">
        <v>404</v>
      </c>
      <c r="M131" s="431" t="s">
        <v>523</v>
      </c>
    </row>
    <row r="132" spans="1:13" x14ac:dyDescent="0.2">
      <c r="A132" s="431" t="s">
        <v>524</v>
      </c>
      <c r="B132" s="431">
        <v>1871231</v>
      </c>
      <c r="C132" s="431" t="s">
        <v>159</v>
      </c>
      <c r="D132" s="431" t="s">
        <v>392</v>
      </c>
      <c r="E132" s="431" t="s">
        <v>161</v>
      </c>
      <c r="F132" s="431" t="s">
        <v>513</v>
      </c>
      <c r="G132" s="431" t="s">
        <v>175</v>
      </c>
      <c r="H132" s="431"/>
      <c r="I132" s="431"/>
      <c r="J132" s="431"/>
      <c r="K132" s="431"/>
      <c r="L132" s="431" t="s">
        <v>418</v>
      </c>
      <c r="M132" s="431" t="s">
        <v>525</v>
      </c>
    </row>
    <row r="133" spans="1:13" x14ac:dyDescent="0.2">
      <c r="A133" s="431" t="s">
        <v>526</v>
      </c>
      <c r="B133" s="431">
        <v>1871232</v>
      </c>
      <c r="C133" s="431" t="s">
        <v>170</v>
      </c>
      <c r="D133" s="431" t="s">
        <v>392</v>
      </c>
      <c r="E133" s="431" t="s">
        <v>161</v>
      </c>
      <c r="F133" s="431" t="s">
        <v>521</v>
      </c>
      <c r="G133" s="431" t="s">
        <v>175</v>
      </c>
      <c r="H133" s="431"/>
      <c r="I133" s="431"/>
      <c r="J133" s="431"/>
      <c r="K133" s="431"/>
      <c r="L133" s="431" t="s">
        <v>404</v>
      </c>
      <c r="M133" s="431" t="s">
        <v>527</v>
      </c>
    </row>
    <row r="134" spans="1:13" x14ac:dyDescent="0.2">
      <c r="A134" s="431" t="s">
        <v>526</v>
      </c>
      <c r="B134" s="431">
        <v>1871232</v>
      </c>
      <c r="C134" s="431" t="s">
        <v>170</v>
      </c>
      <c r="D134" s="431" t="s">
        <v>392</v>
      </c>
      <c r="E134" s="431" t="s">
        <v>161</v>
      </c>
      <c r="F134" s="431" t="s">
        <v>513</v>
      </c>
      <c r="G134" s="431" t="s">
        <v>175</v>
      </c>
      <c r="H134" s="431"/>
      <c r="I134" s="431"/>
      <c r="J134" s="431"/>
      <c r="K134" s="431"/>
      <c r="L134" s="431" t="s">
        <v>404</v>
      </c>
      <c r="M134" s="431" t="s">
        <v>527</v>
      </c>
    </row>
    <row r="135" spans="1:13" x14ac:dyDescent="0.2">
      <c r="A135" s="431" t="s">
        <v>528</v>
      </c>
      <c r="B135" s="431">
        <v>1871233</v>
      </c>
      <c r="C135" s="431" t="s">
        <v>159</v>
      </c>
      <c r="D135" s="431" t="s">
        <v>392</v>
      </c>
      <c r="E135" s="431" t="s">
        <v>161</v>
      </c>
      <c r="F135" s="431" t="s">
        <v>344</v>
      </c>
      <c r="G135" s="431" t="s">
        <v>162</v>
      </c>
      <c r="H135" s="431"/>
      <c r="I135" s="431"/>
      <c r="J135" s="431"/>
      <c r="K135" s="431"/>
      <c r="L135" s="431" t="s">
        <v>241</v>
      </c>
      <c r="M135" s="431" t="s">
        <v>529</v>
      </c>
    </row>
    <row r="136" spans="1:13" x14ac:dyDescent="0.2">
      <c r="A136" s="431" t="s">
        <v>528</v>
      </c>
      <c r="B136" s="431">
        <v>1871233</v>
      </c>
      <c r="C136" s="431" t="s">
        <v>159</v>
      </c>
      <c r="D136" s="431" t="s">
        <v>392</v>
      </c>
      <c r="E136" s="431" t="s">
        <v>161</v>
      </c>
      <c r="F136" s="431" t="s">
        <v>530</v>
      </c>
      <c r="G136" s="431" t="s">
        <v>162</v>
      </c>
      <c r="H136" s="431"/>
      <c r="I136" s="431"/>
      <c r="J136" s="431"/>
      <c r="K136" s="431"/>
      <c r="L136" s="431" t="s">
        <v>241</v>
      </c>
      <c r="M136" s="431" t="s">
        <v>529</v>
      </c>
    </row>
    <row r="137" spans="1:13" ht="409.5" x14ac:dyDescent="0.2">
      <c r="A137" s="431" t="s">
        <v>531</v>
      </c>
      <c r="B137" s="431">
        <v>1871235</v>
      </c>
      <c r="C137" s="431" t="s">
        <v>159</v>
      </c>
      <c r="D137" s="431" t="s">
        <v>392</v>
      </c>
      <c r="E137" s="431" t="s">
        <v>161</v>
      </c>
      <c r="F137" s="431" t="s">
        <v>257</v>
      </c>
      <c r="G137" s="431" t="s">
        <v>175</v>
      </c>
      <c r="H137" s="431"/>
      <c r="I137" s="431"/>
      <c r="J137" s="431"/>
      <c r="K137" s="431"/>
      <c r="L137" s="431" t="s">
        <v>393</v>
      </c>
      <c r="M137" s="432" t="s">
        <v>532</v>
      </c>
    </row>
    <row r="138" spans="1:13" ht="409.5" x14ac:dyDescent="0.2">
      <c r="A138" s="431" t="s">
        <v>531</v>
      </c>
      <c r="B138" s="431">
        <v>1871235</v>
      </c>
      <c r="C138" s="431" t="s">
        <v>159</v>
      </c>
      <c r="D138" s="431" t="s">
        <v>392</v>
      </c>
      <c r="E138" s="431" t="s">
        <v>161</v>
      </c>
      <c r="F138" s="431" t="s">
        <v>258</v>
      </c>
      <c r="G138" s="431" t="s">
        <v>175</v>
      </c>
      <c r="H138" s="431"/>
      <c r="I138" s="431"/>
      <c r="J138" s="431"/>
      <c r="K138" s="431"/>
      <c r="L138" s="431" t="s">
        <v>393</v>
      </c>
      <c r="M138" s="432" t="s">
        <v>532</v>
      </c>
    </row>
    <row r="139" spans="1:13" x14ac:dyDescent="0.2">
      <c r="A139" s="431" t="s">
        <v>533</v>
      </c>
      <c r="B139" s="431">
        <v>1871236</v>
      </c>
      <c r="C139" s="431" t="s">
        <v>159</v>
      </c>
      <c r="D139" s="431" t="s">
        <v>392</v>
      </c>
      <c r="E139" s="431" t="s">
        <v>161</v>
      </c>
      <c r="F139" s="431" t="s">
        <v>267</v>
      </c>
      <c r="G139" s="431" t="s">
        <v>175</v>
      </c>
      <c r="H139" s="431"/>
      <c r="I139" s="431"/>
      <c r="J139" s="431"/>
      <c r="K139" s="431"/>
      <c r="L139" s="431" t="s">
        <v>314</v>
      </c>
      <c r="M139" s="431" t="s">
        <v>534</v>
      </c>
    </row>
    <row r="140" spans="1:13" x14ac:dyDescent="0.2">
      <c r="A140" s="431" t="s">
        <v>533</v>
      </c>
      <c r="B140" s="431">
        <v>1871236</v>
      </c>
      <c r="C140" s="431" t="s">
        <v>159</v>
      </c>
      <c r="D140" s="431" t="s">
        <v>392</v>
      </c>
      <c r="E140" s="431" t="s">
        <v>161</v>
      </c>
      <c r="F140" s="431" t="s">
        <v>268</v>
      </c>
      <c r="G140" s="431" t="s">
        <v>175</v>
      </c>
      <c r="H140" s="431"/>
      <c r="I140" s="431"/>
      <c r="J140" s="431"/>
      <c r="K140" s="431"/>
      <c r="L140" s="431" t="s">
        <v>314</v>
      </c>
      <c r="M140" s="431" t="s">
        <v>534</v>
      </c>
    </row>
    <row r="141" spans="1:13" x14ac:dyDescent="0.2">
      <c r="A141" s="431" t="s">
        <v>535</v>
      </c>
      <c r="B141" s="431">
        <v>1871237</v>
      </c>
      <c r="C141" s="431" t="s">
        <v>159</v>
      </c>
      <c r="D141" s="431" t="s">
        <v>392</v>
      </c>
      <c r="E141" s="431" t="s">
        <v>161</v>
      </c>
      <c r="F141" s="431" t="s">
        <v>266</v>
      </c>
      <c r="G141" s="431" t="s">
        <v>175</v>
      </c>
      <c r="H141" s="431"/>
      <c r="I141" s="431"/>
      <c r="J141" s="431"/>
      <c r="K141" s="431"/>
      <c r="L141" s="431" t="s">
        <v>311</v>
      </c>
      <c r="M141" s="431" t="s">
        <v>536</v>
      </c>
    </row>
    <row r="142" spans="1:13" ht="409.5" x14ac:dyDescent="0.2">
      <c r="A142" s="431" t="s">
        <v>537</v>
      </c>
      <c r="B142" s="431">
        <v>1871239</v>
      </c>
      <c r="C142" s="431" t="s">
        <v>159</v>
      </c>
      <c r="D142" s="431" t="s">
        <v>392</v>
      </c>
      <c r="E142" s="431" t="s">
        <v>161</v>
      </c>
      <c r="F142" s="431" t="s">
        <v>538</v>
      </c>
      <c r="G142" s="431" t="s">
        <v>175</v>
      </c>
      <c r="H142" s="431"/>
      <c r="I142" s="431"/>
      <c r="J142" s="431"/>
      <c r="K142" s="431"/>
      <c r="L142" s="431" t="s">
        <v>404</v>
      </c>
      <c r="M142" s="432" t="s">
        <v>539</v>
      </c>
    </row>
    <row r="143" spans="1:13" ht="409.5" x14ac:dyDescent="0.2">
      <c r="A143" s="431" t="s">
        <v>537</v>
      </c>
      <c r="B143" s="431">
        <v>1871239</v>
      </c>
      <c r="C143" s="431" t="s">
        <v>159</v>
      </c>
      <c r="D143" s="431" t="s">
        <v>392</v>
      </c>
      <c r="E143" s="431" t="s">
        <v>161</v>
      </c>
      <c r="F143" s="431" t="s">
        <v>538</v>
      </c>
      <c r="G143" s="431" t="s">
        <v>175</v>
      </c>
      <c r="H143" s="431"/>
      <c r="I143" s="431"/>
      <c r="J143" s="431"/>
      <c r="K143" s="431"/>
      <c r="L143" s="431" t="s">
        <v>404</v>
      </c>
      <c r="M143" s="432" t="s">
        <v>539</v>
      </c>
    </row>
    <row r="144" spans="1:13" ht="409.5" x14ac:dyDescent="0.2">
      <c r="A144" s="431" t="s">
        <v>537</v>
      </c>
      <c r="B144" s="431">
        <v>1871239</v>
      </c>
      <c r="C144" s="431" t="s">
        <v>159</v>
      </c>
      <c r="D144" s="431" t="s">
        <v>392</v>
      </c>
      <c r="E144" s="431" t="s">
        <v>161</v>
      </c>
      <c r="F144" s="431" t="s">
        <v>540</v>
      </c>
      <c r="G144" s="431" t="s">
        <v>175</v>
      </c>
      <c r="H144" s="431"/>
      <c r="I144" s="431"/>
      <c r="J144" s="431"/>
      <c r="K144" s="431"/>
      <c r="L144" s="431" t="s">
        <v>404</v>
      </c>
      <c r="M144" s="432" t="s">
        <v>539</v>
      </c>
    </row>
    <row r="145" spans="1:13" ht="409.5" x14ac:dyDescent="0.2">
      <c r="A145" s="431" t="s">
        <v>537</v>
      </c>
      <c r="B145" s="431">
        <v>1871239</v>
      </c>
      <c r="C145" s="431" t="s">
        <v>159</v>
      </c>
      <c r="D145" s="431" t="s">
        <v>392</v>
      </c>
      <c r="E145" s="431" t="s">
        <v>161</v>
      </c>
      <c r="F145" s="431" t="s">
        <v>541</v>
      </c>
      <c r="G145" s="431" t="s">
        <v>175</v>
      </c>
      <c r="H145" s="431"/>
      <c r="I145" s="431"/>
      <c r="J145" s="431"/>
      <c r="K145" s="431"/>
      <c r="L145" s="431" t="s">
        <v>404</v>
      </c>
      <c r="M145" s="432" t="s">
        <v>539</v>
      </c>
    </row>
    <row r="146" spans="1:13" ht="409.5" x14ac:dyDescent="0.2">
      <c r="A146" s="431" t="s">
        <v>537</v>
      </c>
      <c r="B146" s="431">
        <v>1871239</v>
      </c>
      <c r="C146" s="431" t="s">
        <v>159</v>
      </c>
      <c r="D146" s="431" t="s">
        <v>392</v>
      </c>
      <c r="E146" s="431" t="s">
        <v>161</v>
      </c>
      <c r="F146" s="431" t="s">
        <v>542</v>
      </c>
      <c r="G146" s="431" t="s">
        <v>175</v>
      </c>
      <c r="H146" s="431"/>
      <c r="I146" s="431"/>
      <c r="J146" s="431"/>
      <c r="K146" s="431"/>
      <c r="L146" s="431" t="s">
        <v>404</v>
      </c>
      <c r="M146" s="432" t="s">
        <v>539</v>
      </c>
    </row>
    <row r="147" spans="1:13" ht="409.5" x14ac:dyDescent="0.2">
      <c r="A147" s="431" t="s">
        <v>537</v>
      </c>
      <c r="B147" s="431">
        <v>1871239</v>
      </c>
      <c r="C147" s="431" t="s">
        <v>159</v>
      </c>
      <c r="D147" s="431" t="s">
        <v>392</v>
      </c>
      <c r="E147" s="431" t="s">
        <v>161</v>
      </c>
      <c r="F147" s="431" t="s">
        <v>543</v>
      </c>
      <c r="G147" s="431" t="s">
        <v>175</v>
      </c>
      <c r="H147" s="431"/>
      <c r="I147" s="431"/>
      <c r="J147" s="431"/>
      <c r="K147" s="431"/>
      <c r="L147" s="431" t="s">
        <v>404</v>
      </c>
      <c r="M147" s="432" t="s">
        <v>539</v>
      </c>
    </row>
    <row r="148" spans="1:13" ht="409.5" x14ac:dyDescent="0.2">
      <c r="A148" s="431" t="s">
        <v>537</v>
      </c>
      <c r="B148" s="431">
        <v>1871239</v>
      </c>
      <c r="C148" s="431" t="s">
        <v>159</v>
      </c>
      <c r="D148" s="431" t="s">
        <v>392</v>
      </c>
      <c r="E148" s="431" t="s">
        <v>161</v>
      </c>
      <c r="F148" s="431" t="s">
        <v>544</v>
      </c>
      <c r="G148" s="431" t="s">
        <v>175</v>
      </c>
      <c r="H148" s="431"/>
      <c r="I148" s="431"/>
      <c r="J148" s="431"/>
      <c r="K148" s="431"/>
      <c r="L148" s="431" t="s">
        <v>404</v>
      </c>
      <c r="M148" s="432" t="s">
        <v>539</v>
      </c>
    </row>
    <row r="149" spans="1:13" ht="409.5" x14ac:dyDescent="0.2">
      <c r="A149" s="431" t="s">
        <v>537</v>
      </c>
      <c r="B149" s="431">
        <v>1871239</v>
      </c>
      <c r="C149" s="431" t="s">
        <v>159</v>
      </c>
      <c r="D149" s="431" t="s">
        <v>392</v>
      </c>
      <c r="E149" s="431" t="s">
        <v>161</v>
      </c>
      <c r="F149" s="431" t="s">
        <v>545</v>
      </c>
      <c r="G149" s="431" t="s">
        <v>175</v>
      </c>
      <c r="H149" s="431"/>
      <c r="I149" s="431"/>
      <c r="J149" s="431"/>
      <c r="K149" s="431"/>
      <c r="L149" s="431" t="s">
        <v>404</v>
      </c>
      <c r="M149" s="432" t="s">
        <v>539</v>
      </c>
    </row>
    <row r="150" spans="1:13" ht="409.5" x14ac:dyDescent="0.2">
      <c r="A150" s="431" t="s">
        <v>537</v>
      </c>
      <c r="B150" s="431">
        <v>1871239</v>
      </c>
      <c r="C150" s="431" t="s">
        <v>159</v>
      </c>
      <c r="D150" s="431" t="s">
        <v>392</v>
      </c>
      <c r="E150" s="431" t="s">
        <v>161</v>
      </c>
      <c r="F150" s="431" t="s">
        <v>546</v>
      </c>
      <c r="G150" s="431" t="s">
        <v>175</v>
      </c>
      <c r="H150" s="431"/>
      <c r="I150" s="431"/>
      <c r="J150" s="431"/>
      <c r="K150" s="431"/>
      <c r="L150" s="431" t="s">
        <v>404</v>
      </c>
      <c r="M150" s="432" t="s">
        <v>539</v>
      </c>
    </row>
    <row r="151" spans="1:13" ht="409.5" x14ac:dyDescent="0.2">
      <c r="A151" s="431" t="s">
        <v>537</v>
      </c>
      <c r="B151" s="431">
        <v>1871239</v>
      </c>
      <c r="C151" s="431" t="s">
        <v>159</v>
      </c>
      <c r="D151" s="431" t="s">
        <v>392</v>
      </c>
      <c r="E151" s="431" t="s">
        <v>161</v>
      </c>
      <c r="F151" s="431" t="s">
        <v>547</v>
      </c>
      <c r="G151" s="431" t="s">
        <v>175</v>
      </c>
      <c r="H151" s="431"/>
      <c r="I151" s="431"/>
      <c r="J151" s="431"/>
      <c r="K151" s="431"/>
      <c r="L151" s="431" t="s">
        <v>404</v>
      </c>
      <c r="M151" s="432" t="s">
        <v>539</v>
      </c>
    </row>
    <row r="152" spans="1:13" ht="409.5" x14ac:dyDescent="0.2">
      <c r="A152" s="431" t="s">
        <v>537</v>
      </c>
      <c r="B152" s="431">
        <v>1871239</v>
      </c>
      <c r="C152" s="431" t="s">
        <v>159</v>
      </c>
      <c r="D152" s="431" t="s">
        <v>392</v>
      </c>
      <c r="E152" s="431" t="s">
        <v>161</v>
      </c>
      <c r="F152" s="431" t="s">
        <v>547</v>
      </c>
      <c r="G152" s="431" t="s">
        <v>175</v>
      </c>
      <c r="H152" s="431"/>
      <c r="I152" s="431"/>
      <c r="J152" s="431"/>
      <c r="K152" s="431"/>
      <c r="L152" s="431" t="s">
        <v>404</v>
      </c>
      <c r="M152" s="432" t="s">
        <v>539</v>
      </c>
    </row>
    <row r="153" spans="1:13" ht="409.5" x14ac:dyDescent="0.2">
      <c r="A153" s="431" t="s">
        <v>537</v>
      </c>
      <c r="B153" s="431">
        <v>1871239</v>
      </c>
      <c r="C153" s="431" t="s">
        <v>159</v>
      </c>
      <c r="D153" s="431" t="s">
        <v>392</v>
      </c>
      <c r="E153" s="431" t="s">
        <v>161</v>
      </c>
      <c r="F153" s="431" t="s">
        <v>547</v>
      </c>
      <c r="G153" s="431" t="s">
        <v>175</v>
      </c>
      <c r="H153" s="431"/>
      <c r="I153" s="431"/>
      <c r="J153" s="431"/>
      <c r="K153" s="431"/>
      <c r="L153" s="431" t="s">
        <v>404</v>
      </c>
      <c r="M153" s="432" t="s">
        <v>539</v>
      </c>
    </row>
    <row r="154" spans="1:13" ht="409.5" x14ac:dyDescent="0.2">
      <c r="A154" s="431" t="s">
        <v>537</v>
      </c>
      <c r="B154" s="431">
        <v>1871239</v>
      </c>
      <c r="C154" s="431" t="s">
        <v>159</v>
      </c>
      <c r="D154" s="431" t="s">
        <v>392</v>
      </c>
      <c r="E154" s="431" t="s">
        <v>161</v>
      </c>
      <c r="F154" s="431" t="s">
        <v>547</v>
      </c>
      <c r="G154" s="431" t="s">
        <v>175</v>
      </c>
      <c r="H154" s="431"/>
      <c r="I154" s="431"/>
      <c r="J154" s="431"/>
      <c r="K154" s="431"/>
      <c r="L154" s="431" t="s">
        <v>404</v>
      </c>
      <c r="M154" s="432" t="s">
        <v>539</v>
      </c>
    </row>
    <row r="155" spans="1:13" ht="409.5" x14ac:dyDescent="0.2">
      <c r="A155" s="431" t="s">
        <v>537</v>
      </c>
      <c r="B155" s="431">
        <v>1871239</v>
      </c>
      <c r="C155" s="431" t="s">
        <v>159</v>
      </c>
      <c r="D155" s="431" t="s">
        <v>392</v>
      </c>
      <c r="E155" s="431" t="s">
        <v>161</v>
      </c>
      <c r="F155" s="431" t="s">
        <v>548</v>
      </c>
      <c r="G155" s="431" t="s">
        <v>175</v>
      </c>
      <c r="H155" s="431"/>
      <c r="I155" s="431"/>
      <c r="J155" s="431"/>
      <c r="K155" s="431"/>
      <c r="L155" s="431" t="s">
        <v>404</v>
      </c>
      <c r="M155" s="432" t="s">
        <v>539</v>
      </c>
    </row>
    <row r="156" spans="1:13" ht="409.5" x14ac:dyDescent="0.2">
      <c r="A156" s="431" t="s">
        <v>537</v>
      </c>
      <c r="B156" s="431">
        <v>1871239</v>
      </c>
      <c r="C156" s="431" t="s">
        <v>159</v>
      </c>
      <c r="D156" s="431" t="s">
        <v>392</v>
      </c>
      <c r="E156" s="431" t="s">
        <v>161</v>
      </c>
      <c r="F156" s="431" t="s">
        <v>549</v>
      </c>
      <c r="G156" s="431" t="s">
        <v>175</v>
      </c>
      <c r="H156" s="431"/>
      <c r="I156" s="431"/>
      <c r="J156" s="431"/>
      <c r="K156" s="431"/>
      <c r="L156" s="431" t="s">
        <v>404</v>
      </c>
      <c r="M156" s="432" t="s">
        <v>539</v>
      </c>
    </row>
    <row r="157" spans="1:13" ht="409.5" x14ac:dyDescent="0.2">
      <c r="A157" s="431" t="s">
        <v>537</v>
      </c>
      <c r="B157" s="431">
        <v>1871239</v>
      </c>
      <c r="C157" s="431" t="s">
        <v>159</v>
      </c>
      <c r="D157" s="431" t="s">
        <v>392</v>
      </c>
      <c r="E157" s="431" t="s">
        <v>161</v>
      </c>
      <c r="F157" s="431" t="s">
        <v>550</v>
      </c>
      <c r="G157" s="431" t="s">
        <v>175</v>
      </c>
      <c r="H157" s="431"/>
      <c r="I157" s="431"/>
      <c r="J157" s="431"/>
      <c r="K157" s="431"/>
      <c r="L157" s="431" t="s">
        <v>404</v>
      </c>
      <c r="M157" s="432" t="s">
        <v>539</v>
      </c>
    </row>
    <row r="158" spans="1:13" ht="409.5" x14ac:dyDescent="0.2">
      <c r="A158" s="431" t="s">
        <v>537</v>
      </c>
      <c r="B158" s="431">
        <v>1871239</v>
      </c>
      <c r="C158" s="431" t="s">
        <v>159</v>
      </c>
      <c r="D158" s="431" t="s">
        <v>392</v>
      </c>
      <c r="E158" s="431" t="s">
        <v>161</v>
      </c>
      <c r="F158" s="431" t="s">
        <v>551</v>
      </c>
      <c r="G158" s="431" t="s">
        <v>175</v>
      </c>
      <c r="H158" s="431"/>
      <c r="I158" s="431"/>
      <c r="J158" s="431"/>
      <c r="K158" s="431"/>
      <c r="L158" s="431" t="s">
        <v>404</v>
      </c>
      <c r="M158" s="432" t="s">
        <v>539</v>
      </c>
    </row>
    <row r="159" spans="1:13" ht="409.5" x14ac:dyDescent="0.2">
      <c r="A159" s="431" t="s">
        <v>537</v>
      </c>
      <c r="B159" s="431">
        <v>1871239</v>
      </c>
      <c r="C159" s="431" t="s">
        <v>159</v>
      </c>
      <c r="D159" s="431" t="s">
        <v>392</v>
      </c>
      <c r="E159" s="431" t="s">
        <v>161</v>
      </c>
      <c r="F159" s="431" t="s">
        <v>552</v>
      </c>
      <c r="G159" s="431" t="s">
        <v>175</v>
      </c>
      <c r="H159" s="431"/>
      <c r="I159" s="431"/>
      <c r="J159" s="431"/>
      <c r="K159" s="431"/>
      <c r="L159" s="431" t="s">
        <v>404</v>
      </c>
      <c r="M159" s="432" t="s">
        <v>539</v>
      </c>
    </row>
    <row r="160" spans="1:13" ht="409.5" x14ac:dyDescent="0.2">
      <c r="A160" s="431" t="s">
        <v>537</v>
      </c>
      <c r="B160" s="431">
        <v>1871239</v>
      </c>
      <c r="C160" s="431" t="s">
        <v>159</v>
      </c>
      <c r="D160" s="431" t="s">
        <v>392</v>
      </c>
      <c r="E160" s="431" t="s">
        <v>161</v>
      </c>
      <c r="F160" s="431" t="s">
        <v>553</v>
      </c>
      <c r="G160" s="431" t="s">
        <v>175</v>
      </c>
      <c r="H160" s="431"/>
      <c r="I160" s="431"/>
      <c r="J160" s="431"/>
      <c r="K160" s="431"/>
      <c r="L160" s="431" t="s">
        <v>404</v>
      </c>
      <c r="M160" s="432" t="s">
        <v>539</v>
      </c>
    </row>
    <row r="161" spans="1:13" ht="409.5" x14ac:dyDescent="0.2">
      <c r="A161" s="431" t="s">
        <v>537</v>
      </c>
      <c r="B161" s="431">
        <v>1871239</v>
      </c>
      <c r="C161" s="431" t="s">
        <v>159</v>
      </c>
      <c r="D161" s="431" t="s">
        <v>392</v>
      </c>
      <c r="E161" s="431" t="s">
        <v>161</v>
      </c>
      <c r="F161" s="431" t="s">
        <v>553</v>
      </c>
      <c r="G161" s="431" t="s">
        <v>175</v>
      </c>
      <c r="H161" s="431"/>
      <c r="I161" s="431"/>
      <c r="J161" s="431"/>
      <c r="K161" s="431"/>
      <c r="L161" s="431" t="s">
        <v>404</v>
      </c>
      <c r="M161" s="432" t="s">
        <v>539</v>
      </c>
    </row>
    <row r="162" spans="1:13" ht="409.5" x14ac:dyDescent="0.2">
      <c r="A162" s="431" t="s">
        <v>537</v>
      </c>
      <c r="B162" s="431">
        <v>1871239</v>
      </c>
      <c r="C162" s="431" t="s">
        <v>159</v>
      </c>
      <c r="D162" s="431" t="s">
        <v>392</v>
      </c>
      <c r="E162" s="431" t="s">
        <v>161</v>
      </c>
      <c r="F162" s="431" t="s">
        <v>553</v>
      </c>
      <c r="G162" s="431" t="s">
        <v>175</v>
      </c>
      <c r="H162" s="431"/>
      <c r="I162" s="431"/>
      <c r="J162" s="431"/>
      <c r="K162" s="431"/>
      <c r="L162" s="431" t="s">
        <v>404</v>
      </c>
      <c r="M162" s="432" t="s">
        <v>539</v>
      </c>
    </row>
    <row r="163" spans="1:13" ht="409.5" x14ac:dyDescent="0.2">
      <c r="A163" s="431" t="s">
        <v>537</v>
      </c>
      <c r="B163" s="431">
        <v>1871239</v>
      </c>
      <c r="C163" s="431" t="s">
        <v>159</v>
      </c>
      <c r="D163" s="431" t="s">
        <v>392</v>
      </c>
      <c r="E163" s="431" t="s">
        <v>161</v>
      </c>
      <c r="F163" s="431" t="s">
        <v>554</v>
      </c>
      <c r="G163" s="431" t="s">
        <v>175</v>
      </c>
      <c r="H163" s="431"/>
      <c r="I163" s="431"/>
      <c r="J163" s="431"/>
      <c r="K163" s="431"/>
      <c r="L163" s="431" t="s">
        <v>404</v>
      </c>
      <c r="M163" s="432" t="s">
        <v>539</v>
      </c>
    </row>
    <row r="164" spans="1:13" ht="409.5" x14ac:dyDescent="0.2">
      <c r="A164" s="431" t="s">
        <v>537</v>
      </c>
      <c r="B164" s="431">
        <v>1871239</v>
      </c>
      <c r="C164" s="431" t="s">
        <v>159</v>
      </c>
      <c r="D164" s="431" t="s">
        <v>392</v>
      </c>
      <c r="E164" s="431" t="s">
        <v>161</v>
      </c>
      <c r="F164" s="431" t="s">
        <v>555</v>
      </c>
      <c r="G164" s="431" t="s">
        <v>175</v>
      </c>
      <c r="H164" s="431"/>
      <c r="I164" s="431"/>
      <c r="J164" s="431"/>
      <c r="K164" s="431"/>
      <c r="L164" s="431" t="s">
        <v>404</v>
      </c>
      <c r="M164" s="432" t="s">
        <v>539</v>
      </c>
    </row>
    <row r="165" spans="1:13" ht="409.5" x14ac:dyDescent="0.2">
      <c r="A165" s="431" t="s">
        <v>537</v>
      </c>
      <c r="B165" s="431">
        <v>1871239</v>
      </c>
      <c r="C165" s="431" t="s">
        <v>159</v>
      </c>
      <c r="D165" s="431" t="s">
        <v>392</v>
      </c>
      <c r="E165" s="431" t="s">
        <v>161</v>
      </c>
      <c r="F165" s="431" t="s">
        <v>556</v>
      </c>
      <c r="G165" s="431" t="s">
        <v>175</v>
      </c>
      <c r="H165" s="431"/>
      <c r="I165" s="431"/>
      <c r="J165" s="431"/>
      <c r="K165" s="431"/>
      <c r="L165" s="431" t="s">
        <v>404</v>
      </c>
      <c r="M165" s="432" t="s">
        <v>539</v>
      </c>
    </row>
    <row r="166" spans="1:13" ht="409.5" x14ac:dyDescent="0.2">
      <c r="A166" s="431" t="s">
        <v>537</v>
      </c>
      <c r="B166" s="431">
        <v>1871239</v>
      </c>
      <c r="C166" s="431" t="s">
        <v>159</v>
      </c>
      <c r="D166" s="431" t="s">
        <v>392</v>
      </c>
      <c r="E166" s="431" t="s">
        <v>161</v>
      </c>
      <c r="F166" s="431" t="s">
        <v>557</v>
      </c>
      <c r="G166" s="431" t="s">
        <v>175</v>
      </c>
      <c r="H166" s="431"/>
      <c r="I166" s="431"/>
      <c r="J166" s="431"/>
      <c r="K166" s="431"/>
      <c r="L166" s="431" t="s">
        <v>404</v>
      </c>
      <c r="M166" s="432" t="s">
        <v>539</v>
      </c>
    </row>
    <row r="167" spans="1:13" ht="409.5" x14ac:dyDescent="0.2">
      <c r="A167" s="431" t="s">
        <v>537</v>
      </c>
      <c r="B167" s="431">
        <v>1871239</v>
      </c>
      <c r="C167" s="431" t="s">
        <v>159</v>
      </c>
      <c r="D167" s="431" t="s">
        <v>392</v>
      </c>
      <c r="E167" s="431" t="s">
        <v>161</v>
      </c>
      <c r="F167" s="431" t="s">
        <v>558</v>
      </c>
      <c r="G167" s="431" t="s">
        <v>175</v>
      </c>
      <c r="H167" s="431"/>
      <c r="I167" s="431"/>
      <c r="J167" s="431"/>
      <c r="K167" s="431"/>
      <c r="L167" s="431" t="s">
        <v>404</v>
      </c>
      <c r="M167" s="432" t="s">
        <v>539</v>
      </c>
    </row>
    <row r="168" spans="1:13" ht="409.5" x14ac:dyDescent="0.2">
      <c r="A168" s="431" t="s">
        <v>537</v>
      </c>
      <c r="B168" s="431">
        <v>1871239</v>
      </c>
      <c r="C168" s="431" t="s">
        <v>159</v>
      </c>
      <c r="D168" s="431" t="s">
        <v>392</v>
      </c>
      <c r="E168" s="431" t="s">
        <v>161</v>
      </c>
      <c r="F168" s="431" t="s">
        <v>559</v>
      </c>
      <c r="G168" s="431" t="s">
        <v>175</v>
      </c>
      <c r="H168" s="431"/>
      <c r="I168" s="431"/>
      <c r="J168" s="431"/>
      <c r="K168" s="431"/>
      <c r="L168" s="431" t="s">
        <v>404</v>
      </c>
      <c r="M168" s="432" t="s">
        <v>539</v>
      </c>
    </row>
    <row r="169" spans="1:13" ht="409.5" x14ac:dyDescent="0.2">
      <c r="A169" s="431" t="s">
        <v>537</v>
      </c>
      <c r="B169" s="431">
        <v>1871239</v>
      </c>
      <c r="C169" s="431" t="s">
        <v>159</v>
      </c>
      <c r="D169" s="431" t="s">
        <v>392</v>
      </c>
      <c r="E169" s="431" t="s">
        <v>161</v>
      </c>
      <c r="F169" s="431" t="s">
        <v>560</v>
      </c>
      <c r="G169" s="431" t="s">
        <v>175</v>
      </c>
      <c r="H169" s="431"/>
      <c r="I169" s="431"/>
      <c r="J169" s="431"/>
      <c r="K169" s="431"/>
      <c r="L169" s="431" t="s">
        <v>404</v>
      </c>
      <c r="M169" s="432" t="s">
        <v>539</v>
      </c>
    </row>
    <row r="170" spans="1:13" x14ac:dyDescent="0.2">
      <c r="A170" s="431" t="s">
        <v>561</v>
      </c>
      <c r="B170" s="431">
        <v>1871240</v>
      </c>
      <c r="C170" s="431" t="s">
        <v>159</v>
      </c>
      <c r="D170" s="431" t="s">
        <v>392</v>
      </c>
      <c r="E170" s="431" t="s">
        <v>161</v>
      </c>
      <c r="F170" s="431" t="s">
        <v>306</v>
      </c>
      <c r="G170" s="431" t="s">
        <v>175</v>
      </c>
      <c r="H170" s="431"/>
      <c r="I170" s="431"/>
      <c r="J170" s="431"/>
      <c r="K170" s="431"/>
      <c r="L170" s="431" t="s">
        <v>314</v>
      </c>
      <c r="M170" s="431" t="s">
        <v>562</v>
      </c>
    </row>
    <row r="171" spans="1:13" x14ac:dyDescent="0.2">
      <c r="A171" s="431" t="s">
        <v>563</v>
      </c>
      <c r="B171" s="431">
        <v>1871241</v>
      </c>
      <c r="C171" s="431" t="s">
        <v>159</v>
      </c>
      <c r="D171" s="431" t="s">
        <v>392</v>
      </c>
      <c r="E171" s="431" t="s">
        <v>161</v>
      </c>
      <c r="F171" s="431" t="s">
        <v>309</v>
      </c>
      <c r="G171" s="431" t="s">
        <v>175</v>
      </c>
      <c r="H171" s="431"/>
      <c r="I171" s="431"/>
      <c r="J171" s="431"/>
      <c r="K171" s="431"/>
      <c r="L171" s="431" t="s">
        <v>352</v>
      </c>
      <c r="M171" s="431" t="s">
        <v>564</v>
      </c>
    </row>
    <row r="172" spans="1:13" x14ac:dyDescent="0.2">
      <c r="A172" s="431" t="s">
        <v>565</v>
      </c>
      <c r="B172" s="431">
        <v>1871242</v>
      </c>
      <c r="C172" s="431" t="s">
        <v>159</v>
      </c>
      <c r="D172" s="431" t="s">
        <v>392</v>
      </c>
      <c r="E172" s="431" t="s">
        <v>161</v>
      </c>
      <c r="F172" s="431" t="s">
        <v>462</v>
      </c>
      <c r="G172" s="431" t="s">
        <v>175</v>
      </c>
      <c r="H172" s="431"/>
      <c r="I172" s="431"/>
      <c r="J172" s="431"/>
      <c r="K172" s="431"/>
      <c r="L172" s="431" t="s">
        <v>314</v>
      </c>
      <c r="M172" s="431" t="s">
        <v>566</v>
      </c>
    </row>
    <row r="173" spans="1:13" x14ac:dyDescent="0.2">
      <c r="A173" s="431" t="s">
        <v>567</v>
      </c>
      <c r="B173" s="431">
        <v>1871243</v>
      </c>
      <c r="C173" s="431" t="s">
        <v>159</v>
      </c>
      <c r="D173" s="431" t="s">
        <v>392</v>
      </c>
      <c r="E173" s="431" t="s">
        <v>161</v>
      </c>
      <c r="F173" s="431" t="s">
        <v>552</v>
      </c>
      <c r="G173" s="431" t="s">
        <v>175</v>
      </c>
      <c r="H173" s="431"/>
      <c r="I173" s="431"/>
      <c r="J173" s="431"/>
      <c r="K173" s="431"/>
      <c r="L173" s="431" t="s">
        <v>404</v>
      </c>
      <c r="M173" s="431" t="s">
        <v>568</v>
      </c>
    </row>
    <row r="174" spans="1:13" x14ac:dyDescent="0.2">
      <c r="A174" s="431" t="s">
        <v>569</v>
      </c>
      <c r="B174" s="431">
        <v>1871249</v>
      </c>
      <c r="C174" s="431" t="s">
        <v>159</v>
      </c>
      <c r="D174" s="431" t="s">
        <v>392</v>
      </c>
      <c r="E174" s="431" t="s">
        <v>161</v>
      </c>
      <c r="F174" s="431"/>
      <c r="G174" s="431" t="s">
        <v>162</v>
      </c>
      <c r="H174" s="431"/>
      <c r="I174" s="431"/>
      <c r="J174" s="431"/>
      <c r="K174" s="431"/>
      <c r="L174" s="431" t="s">
        <v>241</v>
      </c>
      <c r="M174" s="431" t="s">
        <v>570</v>
      </c>
    </row>
    <row r="175" spans="1:13" x14ac:dyDescent="0.2">
      <c r="A175" s="431" t="s">
        <v>571</v>
      </c>
      <c r="B175" s="431">
        <v>1871250</v>
      </c>
      <c r="C175" s="431" t="s">
        <v>170</v>
      </c>
      <c r="D175" s="431" t="s">
        <v>392</v>
      </c>
      <c r="E175" s="431" t="s">
        <v>161</v>
      </c>
      <c r="F175" s="431" t="s">
        <v>572</v>
      </c>
      <c r="G175" s="431" t="s">
        <v>162</v>
      </c>
      <c r="H175" s="431"/>
      <c r="I175" s="431"/>
      <c r="J175" s="431"/>
      <c r="K175" s="431"/>
      <c r="L175" s="431" t="s">
        <v>241</v>
      </c>
      <c r="M175" s="431" t="s">
        <v>573</v>
      </c>
    </row>
    <row r="176" spans="1:13" ht="409.5" x14ac:dyDescent="0.2">
      <c r="A176" s="431" t="s">
        <v>574</v>
      </c>
      <c r="B176" s="431">
        <v>1871252</v>
      </c>
      <c r="C176" s="431" t="s">
        <v>159</v>
      </c>
      <c r="D176" s="431" t="s">
        <v>392</v>
      </c>
      <c r="E176" s="431" t="s">
        <v>161</v>
      </c>
      <c r="F176" s="431" t="s">
        <v>345</v>
      </c>
      <c r="G176" s="431" t="s">
        <v>162</v>
      </c>
      <c r="H176" s="431"/>
      <c r="I176" s="431"/>
      <c r="J176" s="431"/>
      <c r="K176" s="431"/>
      <c r="L176" s="431" t="s">
        <v>311</v>
      </c>
      <c r="M176" s="432" t="s">
        <v>575</v>
      </c>
    </row>
    <row r="177" spans="1:13" ht="409.5" x14ac:dyDescent="0.2">
      <c r="A177" s="431" t="s">
        <v>574</v>
      </c>
      <c r="B177" s="431">
        <v>1871252</v>
      </c>
      <c r="C177" s="431" t="s">
        <v>159</v>
      </c>
      <c r="D177" s="431" t="s">
        <v>392</v>
      </c>
      <c r="E177" s="431" t="s">
        <v>161</v>
      </c>
      <c r="F177" s="431" t="s">
        <v>572</v>
      </c>
      <c r="G177" s="431" t="s">
        <v>162</v>
      </c>
      <c r="H177" s="431"/>
      <c r="I177" s="431"/>
      <c r="J177" s="431"/>
      <c r="K177" s="431"/>
      <c r="L177" s="431" t="s">
        <v>311</v>
      </c>
      <c r="M177" s="432" t="s">
        <v>575</v>
      </c>
    </row>
    <row r="178" spans="1:13" ht="409.5" x14ac:dyDescent="0.2">
      <c r="A178" s="431" t="s">
        <v>576</v>
      </c>
      <c r="B178" s="431">
        <v>1871253</v>
      </c>
      <c r="C178" s="431" t="s">
        <v>170</v>
      </c>
      <c r="D178" s="431" t="s">
        <v>392</v>
      </c>
      <c r="E178" s="431" t="s">
        <v>161</v>
      </c>
      <c r="F178" s="431" t="s">
        <v>344</v>
      </c>
      <c r="G178" s="431" t="s">
        <v>162</v>
      </c>
      <c r="H178" s="431"/>
      <c r="I178" s="431"/>
      <c r="J178" s="431"/>
      <c r="K178" s="431"/>
      <c r="L178" s="431" t="s">
        <v>418</v>
      </c>
      <c r="M178" s="432" t="s">
        <v>577</v>
      </c>
    </row>
    <row r="179" spans="1:13" ht="153" x14ac:dyDescent="0.2">
      <c r="A179" s="431" t="s">
        <v>578</v>
      </c>
      <c r="B179" s="431">
        <v>1871255</v>
      </c>
      <c r="C179" s="431" t="s">
        <v>159</v>
      </c>
      <c r="D179" s="431" t="s">
        <v>392</v>
      </c>
      <c r="E179" s="431" t="s">
        <v>161</v>
      </c>
      <c r="F179" s="431" t="s">
        <v>345</v>
      </c>
      <c r="G179" s="431" t="s">
        <v>162</v>
      </c>
      <c r="H179" s="431"/>
      <c r="I179" s="431"/>
      <c r="J179" s="431"/>
      <c r="K179" s="431"/>
      <c r="L179" s="431" t="s">
        <v>241</v>
      </c>
      <c r="M179" s="432" t="s">
        <v>579</v>
      </c>
    </row>
    <row r="180" spans="1:13" ht="153" x14ac:dyDescent="0.2">
      <c r="A180" s="431" t="s">
        <v>578</v>
      </c>
      <c r="B180" s="431">
        <v>1871255</v>
      </c>
      <c r="C180" s="431" t="s">
        <v>159</v>
      </c>
      <c r="D180" s="431" t="s">
        <v>392</v>
      </c>
      <c r="E180" s="431" t="s">
        <v>161</v>
      </c>
      <c r="F180" s="431" t="s">
        <v>572</v>
      </c>
      <c r="G180" s="431" t="s">
        <v>162</v>
      </c>
      <c r="H180" s="431"/>
      <c r="I180" s="431"/>
      <c r="J180" s="431"/>
      <c r="K180" s="431"/>
      <c r="L180" s="431" t="s">
        <v>241</v>
      </c>
      <c r="M180" s="432" t="s">
        <v>579</v>
      </c>
    </row>
    <row r="181" spans="1:13" ht="409.5" x14ac:dyDescent="0.2">
      <c r="A181" s="431" t="s">
        <v>580</v>
      </c>
      <c r="B181" s="431">
        <v>1871256</v>
      </c>
      <c r="C181" s="431" t="s">
        <v>159</v>
      </c>
      <c r="D181" s="431" t="s">
        <v>392</v>
      </c>
      <c r="E181" s="431" t="s">
        <v>161</v>
      </c>
      <c r="F181" s="431" t="s">
        <v>345</v>
      </c>
      <c r="G181" s="431" t="s">
        <v>162</v>
      </c>
      <c r="H181" s="431"/>
      <c r="I181" s="431"/>
      <c r="J181" s="431"/>
      <c r="K181" s="431"/>
      <c r="L181" s="431" t="s">
        <v>241</v>
      </c>
      <c r="M181" s="432" t="s">
        <v>581</v>
      </c>
    </row>
    <row r="182" spans="1:13" ht="409.5" x14ac:dyDescent="0.2">
      <c r="A182" s="431" t="s">
        <v>580</v>
      </c>
      <c r="B182" s="431">
        <v>1871256</v>
      </c>
      <c r="C182" s="431" t="s">
        <v>159</v>
      </c>
      <c r="D182" s="431" t="s">
        <v>392</v>
      </c>
      <c r="E182" s="431" t="s">
        <v>161</v>
      </c>
      <c r="F182" s="431" t="s">
        <v>572</v>
      </c>
      <c r="G182" s="431" t="s">
        <v>162</v>
      </c>
      <c r="H182" s="431"/>
      <c r="I182" s="431"/>
      <c r="J182" s="431"/>
      <c r="K182" s="431"/>
      <c r="L182" s="431" t="s">
        <v>241</v>
      </c>
      <c r="M182" s="432" t="s">
        <v>581</v>
      </c>
    </row>
    <row r="183" spans="1:13" x14ac:dyDescent="0.2">
      <c r="A183" s="431" t="s">
        <v>582</v>
      </c>
      <c r="B183" s="431">
        <v>1871257</v>
      </c>
      <c r="C183" s="431" t="s">
        <v>159</v>
      </c>
      <c r="D183" s="431" t="s">
        <v>392</v>
      </c>
      <c r="E183" s="431" t="s">
        <v>161</v>
      </c>
      <c r="F183" s="431" t="s">
        <v>344</v>
      </c>
      <c r="G183" s="431" t="s">
        <v>583</v>
      </c>
      <c r="H183" s="431"/>
      <c r="I183" s="431"/>
      <c r="J183" s="431"/>
      <c r="K183" s="431"/>
      <c r="L183" s="431" t="s">
        <v>241</v>
      </c>
      <c r="M183" s="431" t="s">
        <v>584</v>
      </c>
    </row>
    <row r="184" spans="1:13" x14ac:dyDescent="0.2">
      <c r="A184" s="431" t="s">
        <v>585</v>
      </c>
      <c r="B184" s="431">
        <v>1871259</v>
      </c>
      <c r="C184" s="431" t="s">
        <v>159</v>
      </c>
      <c r="D184" s="431" t="s">
        <v>392</v>
      </c>
      <c r="E184" s="431" t="s">
        <v>161</v>
      </c>
      <c r="F184" s="431" t="s">
        <v>345</v>
      </c>
      <c r="G184" s="431" t="s">
        <v>162</v>
      </c>
      <c r="H184" s="431"/>
      <c r="I184" s="431"/>
      <c r="J184" s="431"/>
      <c r="K184" s="431"/>
      <c r="L184" s="431" t="s">
        <v>241</v>
      </c>
      <c r="M184" s="431" t="s">
        <v>586</v>
      </c>
    </row>
    <row r="185" spans="1:13" x14ac:dyDescent="0.2">
      <c r="A185" s="431" t="s">
        <v>587</v>
      </c>
      <c r="B185" s="431">
        <v>1871260</v>
      </c>
      <c r="C185" s="431" t="s">
        <v>159</v>
      </c>
      <c r="D185" s="431" t="s">
        <v>392</v>
      </c>
      <c r="E185" s="431" t="s">
        <v>161</v>
      </c>
      <c r="F185" s="431" t="s">
        <v>344</v>
      </c>
      <c r="G185" s="431" t="s">
        <v>162</v>
      </c>
      <c r="H185" s="431"/>
      <c r="I185" s="431"/>
      <c r="J185" s="431"/>
      <c r="K185" s="431"/>
      <c r="L185" s="431" t="s">
        <v>418</v>
      </c>
      <c r="M185" s="431" t="s">
        <v>588</v>
      </c>
    </row>
    <row r="186" spans="1:13" x14ac:dyDescent="0.2">
      <c r="A186" s="431" t="s">
        <v>587</v>
      </c>
      <c r="B186" s="431">
        <v>1871260</v>
      </c>
      <c r="C186" s="431" t="s">
        <v>159</v>
      </c>
      <c r="D186" s="431" t="s">
        <v>392</v>
      </c>
      <c r="E186" s="431" t="s">
        <v>161</v>
      </c>
      <c r="F186" s="431" t="s">
        <v>589</v>
      </c>
      <c r="G186" s="431" t="s">
        <v>162</v>
      </c>
      <c r="H186" s="431"/>
      <c r="I186" s="431"/>
      <c r="J186" s="431"/>
      <c r="K186" s="431"/>
      <c r="L186" s="431" t="s">
        <v>418</v>
      </c>
      <c r="M186" s="431" t="s">
        <v>588</v>
      </c>
    </row>
    <row r="187" spans="1:13" x14ac:dyDescent="0.2">
      <c r="A187" s="431" t="s">
        <v>590</v>
      </c>
      <c r="B187" s="431">
        <v>1871261</v>
      </c>
      <c r="C187" s="431" t="s">
        <v>159</v>
      </c>
      <c r="D187" s="431" t="s">
        <v>392</v>
      </c>
      <c r="E187" s="431" t="s">
        <v>161</v>
      </c>
      <c r="F187" s="431"/>
      <c r="G187" s="431" t="s">
        <v>162</v>
      </c>
      <c r="H187" s="431"/>
      <c r="I187" s="431"/>
      <c r="J187" s="431"/>
      <c r="K187" s="431"/>
      <c r="L187" s="431" t="s">
        <v>241</v>
      </c>
      <c r="M187" s="431" t="s">
        <v>591</v>
      </c>
    </row>
    <row r="188" spans="1:13" ht="409.5" x14ac:dyDescent="0.2">
      <c r="A188" s="431" t="s">
        <v>592</v>
      </c>
      <c r="B188" s="431">
        <v>1871262</v>
      </c>
      <c r="C188" s="431" t="s">
        <v>159</v>
      </c>
      <c r="D188" s="431" t="s">
        <v>392</v>
      </c>
      <c r="E188" s="431" t="s">
        <v>161</v>
      </c>
      <c r="F188" s="431" t="s">
        <v>593</v>
      </c>
      <c r="G188" s="431" t="s">
        <v>583</v>
      </c>
      <c r="H188" s="431"/>
      <c r="I188" s="431"/>
      <c r="J188" s="431"/>
      <c r="K188" s="431"/>
      <c r="L188" s="431" t="s">
        <v>594</v>
      </c>
      <c r="M188" s="432" t="s">
        <v>595</v>
      </c>
    </row>
    <row r="189" spans="1:13" ht="409.5" x14ac:dyDescent="0.2">
      <c r="A189" s="431" t="s">
        <v>592</v>
      </c>
      <c r="B189" s="431">
        <v>1871262</v>
      </c>
      <c r="C189" s="431" t="s">
        <v>159</v>
      </c>
      <c r="D189" s="431" t="s">
        <v>392</v>
      </c>
      <c r="E189" s="431" t="s">
        <v>161</v>
      </c>
      <c r="F189" s="431" t="s">
        <v>596</v>
      </c>
      <c r="G189" s="431" t="s">
        <v>583</v>
      </c>
      <c r="H189" s="431"/>
      <c r="I189" s="431"/>
      <c r="J189" s="431"/>
      <c r="K189" s="431"/>
      <c r="L189" s="431" t="s">
        <v>594</v>
      </c>
      <c r="M189" s="432" t="s">
        <v>595</v>
      </c>
    </row>
    <row r="190" spans="1:13" ht="409.5" x14ac:dyDescent="0.2">
      <c r="A190" s="431" t="s">
        <v>592</v>
      </c>
      <c r="B190" s="431">
        <v>1871262</v>
      </c>
      <c r="C190" s="431" t="s">
        <v>159</v>
      </c>
      <c r="D190" s="431" t="s">
        <v>392</v>
      </c>
      <c r="E190" s="431" t="s">
        <v>161</v>
      </c>
      <c r="F190" s="431" t="s">
        <v>597</v>
      </c>
      <c r="G190" s="431" t="s">
        <v>583</v>
      </c>
      <c r="H190" s="431"/>
      <c r="I190" s="431"/>
      <c r="J190" s="431"/>
      <c r="K190" s="431"/>
      <c r="L190" s="431" t="s">
        <v>594</v>
      </c>
      <c r="M190" s="432" t="s">
        <v>595</v>
      </c>
    </row>
    <row r="191" spans="1:13" ht="409.5" x14ac:dyDescent="0.2">
      <c r="A191" s="431" t="s">
        <v>592</v>
      </c>
      <c r="B191" s="431">
        <v>1871262</v>
      </c>
      <c r="C191" s="431" t="s">
        <v>159</v>
      </c>
      <c r="D191" s="431" t="s">
        <v>392</v>
      </c>
      <c r="E191" s="431" t="s">
        <v>161</v>
      </c>
      <c r="F191" s="431" t="s">
        <v>470</v>
      </c>
      <c r="G191" s="431" t="s">
        <v>583</v>
      </c>
      <c r="H191" s="431"/>
      <c r="I191" s="431"/>
      <c r="J191" s="431"/>
      <c r="K191" s="431"/>
      <c r="L191" s="431" t="s">
        <v>594</v>
      </c>
      <c r="M191" s="432" t="s">
        <v>595</v>
      </c>
    </row>
    <row r="192" spans="1:13" ht="409.5" x14ac:dyDescent="0.2">
      <c r="A192" s="431" t="s">
        <v>598</v>
      </c>
      <c r="B192" s="431">
        <v>1871267</v>
      </c>
      <c r="C192" s="431" t="s">
        <v>170</v>
      </c>
      <c r="D192" s="431" t="s">
        <v>392</v>
      </c>
      <c r="E192" s="431" t="s">
        <v>161</v>
      </c>
      <c r="F192" s="431" t="s">
        <v>599</v>
      </c>
      <c r="G192" s="431" t="s">
        <v>162</v>
      </c>
      <c r="H192" s="431"/>
      <c r="I192" s="431"/>
      <c r="J192" s="431"/>
      <c r="K192" s="431"/>
      <c r="L192" s="431" t="s">
        <v>600</v>
      </c>
      <c r="M192" s="432" t="s">
        <v>601</v>
      </c>
    </row>
    <row r="193" spans="1:13" x14ac:dyDescent="0.2">
      <c r="A193" s="431" t="s">
        <v>602</v>
      </c>
      <c r="B193" s="431">
        <v>1871268</v>
      </c>
      <c r="C193" s="431" t="s">
        <v>170</v>
      </c>
      <c r="D193" s="431" t="s">
        <v>392</v>
      </c>
      <c r="E193" s="431" t="s">
        <v>161</v>
      </c>
      <c r="F193" s="431"/>
      <c r="G193" s="431" t="s">
        <v>162</v>
      </c>
      <c r="H193" s="431"/>
      <c r="I193" s="431"/>
      <c r="J193" s="431"/>
      <c r="K193" s="431"/>
      <c r="L193" s="431" t="s">
        <v>241</v>
      </c>
      <c r="M193" s="431" t="s">
        <v>603</v>
      </c>
    </row>
    <row r="194" spans="1:13" x14ac:dyDescent="0.2">
      <c r="A194" s="431" t="s">
        <v>604</v>
      </c>
      <c r="B194" s="431">
        <v>1871273</v>
      </c>
      <c r="C194" s="431" t="s">
        <v>159</v>
      </c>
      <c r="D194" s="431" t="s">
        <v>392</v>
      </c>
      <c r="E194" s="431" t="s">
        <v>161</v>
      </c>
      <c r="F194" s="431" t="s">
        <v>605</v>
      </c>
      <c r="G194" s="431" t="s">
        <v>175</v>
      </c>
      <c r="H194" s="431"/>
      <c r="I194" s="431"/>
      <c r="J194" s="431"/>
      <c r="K194" s="431"/>
      <c r="L194" s="431" t="s">
        <v>176</v>
      </c>
      <c r="M194" s="431" t="s">
        <v>606</v>
      </c>
    </row>
    <row r="195" spans="1:13" x14ac:dyDescent="0.2">
      <c r="A195" s="431" t="s">
        <v>604</v>
      </c>
      <c r="B195" s="431">
        <v>1871273</v>
      </c>
      <c r="C195" s="431" t="s">
        <v>159</v>
      </c>
      <c r="D195" s="431" t="s">
        <v>392</v>
      </c>
      <c r="E195" s="431" t="s">
        <v>161</v>
      </c>
      <c r="F195" s="431" t="s">
        <v>605</v>
      </c>
      <c r="G195" s="431" t="s">
        <v>175</v>
      </c>
      <c r="H195" s="431"/>
      <c r="I195" s="431"/>
      <c r="J195" s="431"/>
      <c r="K195" s="431"/>
      <c r="L195" s="431" t="s">
        <v>176</v>
      </c>
      <c r="M195" s="431" t="s">
        <v>606</v>
      </c>
    </row>
    <row r="196" spans="1:13" x14ac:dyDescent="0.2">
      <c r="A196" s="431" t="s">
        <v>607</v>
      </c>
      <c r="B196" s="431">
        <v>1871274</v>
      </c>
      <c r="C196" s="431" t="s">
        <v>159</v>
      </c>
      <c r="D196" s="431" t="s">
        <v>392</v>
      </c>
      <c r="E196" s="431" t="s">
        <v>161</v>
      </c>
      <c r="F196" s="431" t="s">
        <v>608</v>
      </c>
      <c r="G196" s="431" t="s">
        <v>175</v>
      </c>
      <c r="H196" s="431"/>
      <c r="I196" s="431"/>
      <c r="J196" s="431"/>
      <c r="K196" s="431"/>
      <c r="L196" s="431" t="s">
        <v>176</v>
      </c>
      <c r="M196" s="431" t="s">
        <v>609</v>
      </c>
    </row>
    <row r="197" spans="1:13" x14ac:dyDescent="0.2">
      <c r="A197" s="431" t="s">
        <v>607</v>
      </c>
      <c r="B197" s="431">
        <v>1871274</v>
      </c>
      <c r="C197" s="431" t="s">
        <v>159</v>
      </c>
      <c r="D197" s="431" t="s">
        <v>392</v>
      </c>
      <c r="E197" s="431" t="s">
        <v>161</v>
      </c>
      <c r="F197" s="431" t="s">
        <v>608</v>
      </c>
      <c r="G197" s="431" t="s">
        <v>175</v>
      </c>
      <c r="H197" s="431"/>
      <c r="I197" s="431"/>
      <c r="J197" s="431"/>
      <c r="K197" s="431"/>
      <c r="L197" s="431" t="s">
        <v>176</v>
      </c>
      <c r="M197" s="431" t="s">
        <v>609</v>
      </c>
    </row>
    <row r="198" spans="1:13" x14ac:dyDescent="0.2">
      <c r="A198" s="431" t="s">
        <v>610</v>
      </c>
      <c r="B198" s="431">
        <v>1871276</v>
      </c>
      <c r="C198" s="431" t="s">
        <v>159</v>
      </c>
      <c r="D198" s="431" t="s">
        <v>392</v>
      </c>
      <c r="E198" s="431" t="s">
        <v>161</v>
      </c>
      <c r="F198" s="431" t="s">
        <v>611</v>
      </c>
      <c r="G198" s="431" t="s">
        <v>175</v>
      </c>
      <c r="H198" s="431"/>
      <c r="I198" s="431"/>
      <c r="J198" s="431"/>
      <c r="K198" s="431"/>
      <c r="L198" s="431" t="s">
        <v>176</v>
      </c>
      <c r="M198" s="431" t="s">
        <v>612</v>
      </c>
    </row>
    <row r="199" spans="1:13" ht="409.5" x14ac:dyDescent="0.2">
      <c r="A199" s="431" t="s">
        <v>613</v>
      </c>
      <c r="B199" s="431">
        <v>1871279</v>
      </c>
      <c r="C199" s="431" t="s">
        <v>159</v>
      </c>
      <c r="D199" s="431" t="s">
        <v>392</v>
      </c>
      <c r="E199" s="431" t="s">
        <v>161</v>
      </c>
      <c r="F199" s="431" t="s">
        <v>614</v>
      </c>
      <c r="G199" s="431" t="s">
        <v>175</v>
      </c>
      <c r="H199" s="431"/>
      <c r="I199" s="431"/>
      <c r="J199" s="431"/>
      <c r="K199" s="431"/>
      <c r="L199" s="431" t="s">
        <v>163</v>
      </c>
      <c r="M199" s="432" t="s">
        <v>615</v>
      </c>
    </row>
    <row r="200" spans="1:13" ht="409.5" x14ac:dyDescent="0.2">
      <c r="A200" s="431" t="s">
        <v>613</v>
      </c>
      <c r="B200" s="431">
        <v>1871279</v>
      </c>
      <c r="C200" s="431" t="s">
        <v>159</v>
      </c>
      <c r="D200" s="431" t="s">
        <v>392</v>
      </c>
      <c r="E200" s="431" t="s">
        <v>161</v>
      </c>
      <c r="F200" s="431" t="s">
        <v>616</v>
      </c>
      <c r="G200" s="431" t="s">
        <v>175</v>
      </c>
      <c r="H200" s="431"/>
      <c r="I200" s="431"/>
      <c r="J200" s="431"/>
      <c r="K200" s="431"/>
      <c r="L200" s="431" t="s">
        <v>163</v>
      </c>
      <c r="M200" s="432" t="s">
        <v>615</v>
      </c>
    </row>
    <row r="201" spans="1:13" ht="409.5" x14ac:dyDescent="0.2">
      <c r="A201" s="431" t="s">
        <v>613</v>
      </c>
      <c r="B201" s="431">
        <v>1871279</v>
      </c>
      <c r="C201" s="431" t="s">
        <v>159</v>
      </c>
      <c r="D201" s="431" t="s">
        <v>392</v>
      </c>
      <c r="E201" s="431" t="s">
        <v>161</v>
      </c>
      <c r="F201" s="431" t="s">
        <v>617</v>
      </c>
      <c r="G201" s="431" t="s">
        <v>175</v>
      </c>
      <c r="H201" s="431"/>
      <c r="I201" s="431"/>
      <c r="J201" s="431"/>
      <c r="K201" s="431"/>
      <c r="L201" s="431" t="s">
        <v>163</v>
      </c>
      <c r="M201" s="432" t="s">
        <v>615</v>
      </c>
    </row>
    <row r="202" spans="1:13" ht="409.5" x14ac:dyDescent="0.2">
      <c r="A202" s="431" t="s">
        <v>613</v>
      </c>
      <c r="B202" s="431">
        <v>1871279</v>
      </c>
      <c r="C202" s="431" t="s">
        <v>159</v>
      </c>
      <c r="D202" s="431" t="s">
        <v>392</v>
      </c>
      <c r="E202" s="431" t="s">
        <v>161</v>
      </c>
      <c r="F202" s="431" t="s">
        <v>618</v>
      </c>
      <c r="G202" s="431" t="s">
        <v>175</v>
      </c>
      <c r="H202" s="431"/>
      <c r="I202" s="431"/>
      <c r="J202" s="431"/>
      <c r="K202" s="431"/>
      <c r="L202" s="431" t="s">
        <v>163</v>
      </c>
      <c r="M202" s="432" t="s">
        <v>615</v>
      </c>
    </row>
    <row r="203" spans="1:13" ht="409.5" x14ac:dyDescent="0.2">
      <c r="A203" s="431" t="s">
        <v>619</v>
      </c>
      <c r="B203" s="431">
        <v>1871280</v>
      </c>
      <c r="C203" s="431" t="s">
        <v>159</v>
      </c>
      <c r="D203" s="431" t="s">
        <v>392</v>
      </c>
      <c r="E203" s="431" t="s">
        <v>161</v>
      </c>
      <c r="F203" s="431" t="s">
        <v>620</v>
      </c>
      <c r="G203" s="431" t="s">
        <v>175</v>
      </c>
      <c r="H203" s="431"/>
      <c r="I203" s="431"/>
      <c r="J203" s="431"/>
      <c r="K203" s="431"/>
      <c r="L203" s="431" t="s">
        <v>621</v>
      </c>
      <c r="M203" s="432" t="s">
        <v>622</v>
      </c>
    </row>
    <row r="204" spans="1:13" ht="409.5" x14ac:dyDescent="0.2">
      <c r="A204" s="431" t="s">
        <v>619</v>
      </c>
      <c r="B204" s="431">
        <v>1871280</v>
      </c>
      <c r="C204" s="431" t="s">
        <v>159</v>
      </c>
      <c r="D204" s="431" t="s">
        <v>392</v>
      </c>
      <c r="E204" s="431" t="s">
        <v>161</v>
      </c>
      <c r="F204" s="431" t="s">
        <v>623</v>
      </c>
      <c r="G204" s="431" t="s">
        <v>175</v>
      </c>
      <c r="H204" s="431"/>
      <c r="I204" s="431"/>
      <c r="J204" s="431"/>
      <c r="K204" s="431"/>
      <c r="L204" s="431" t="s">
        <v>621</v>
      </c>
      <c r="M204" s="432" t="s">
        <v>622</v>
      </c>
    </row>
    <row r="205" spans="1:13" ht="409.5" x14ac:dyDescent="0.2">
      <c r="A205" s="431" t="s">
        <v>619</v>
      </c>
      <c r="B205" s="431">
        <v>1871280</v>
      </c>
      <c r="C205" s="431" t="s">
        <v>159</v>
      </c>
      <c r="D205" s="431" t="s">
        <v>392</v>
      </c>
      <c r="E205" s="431" t="s">
        <v>161</v>
      </c>
      <c r="F205" s="431" t="s">
        <v>599</v>
      </c>
      <c r="G205" s="431" t="s">
        <v>175</v>
      </c>
      <c r="H205" s="431"/>
      <c r="I205" s="431"/>
      <c r="J205" s="431"/>
      <c r="K205" s="431"/>
      <c r="L205" s="431" t="s">
        <v>621</v>
      </c>
      <c r="M205" s="432" t="s">
        <v>622</v>
      </c>
    </row>
    <row r="206" spans="1:13" ht="409.5" x14ac:dyDescent="0.2">
      <c r="A206" s="431" t="s">
        <v>619</v>
      </c>
      <c r="B206" s="431">
        <v>1871280</v>
      </c>
      <c r="C206" s="431" t="s">
        <v>159</v>
      </c>
      <c r="D206" s="431" t="s">
        <v>392</v>
      </c>
      <c r="E206" s="431" t="s">
        <v>161</v>
      </c>
      <c r="F206" s="431" t="s">
        <v>472</v>
      </c>
      <c r="G206" s="431" t="s">
        <v>175</v>
      </c>
      <c r="H206" s="431"/>
      <c r="I206" s="431"/>
      <c r="J206" s="431"/>
      <c r="K206" s="431"/>
      <c r="L206" s="431" t="s">
        <v>621</v>
      </c>
      <c r="M206" s="432" t="s">
        <v>622</v>
      </c>
    </row>
    <row r="207" spans="1:13" ht="165.75" x14ac:dyDescent="0.2">
      <c r="A207" s="431" t="s">
        <v>624</v>
      </c>
      <c r="B207" s="431">
        <v>1871283</v>
      </c>
      <c r="C207" s="431" t="s">
        <v>159</v>
      </c>
      <c r="D207" s="431" t="s">
        <v>392</v>
      </c>
      <c r="E207" s="431" t="s">
        <v>161</v>
      </c>
      <c r="F207" s="431" t="s">
        <v>345</v>
      </c>
      <c r="G207" s="431" t="s">
        <v>162</v>
      </c>
      <c r="H207" s="431"/>
      <c r="I207" s="431"/>
      <c r="J207" s="431"/>
      <c r="K207" s="431"/>
      <c r="L207" s="431" t="s">
        <v>311</v>
      </c>
      <c r="M207" s="432" t="s">
        <v>625</v>
      </c>
    </row>
    <row r="208" spans="1:13" ht="204" x14ac:dyDescent="0.2">
      <c r="A208" s="431" t="s">
        <v>626</v>
      </c>
      <c r="B208" s="431">
        <v>1871284</v>
      </c>
      <c r="C208" s="431" t="s">
        <v>159</v>
      </c>
      <c r="D208" s="431" t="s">
        <v>392</v>
      </c>
      <c r="E208" s="431" t="s">
        <v>161</v>
      </c>
      <c r="F208" s="431" t="s">
        <v>344</v>
      </c>
      <c r="G208" s="431" t="s">
        <v>162</v>
      </c>
      <c r="H208" s="431"/>
      <c r="I208" s="431"/>
      <c r="J208" s="431"/>
      <c r="K208" s="431"/>
      <c r="L208" s="431" t="s">
        <v>418</v>
      </c>
      <c r="M208" s="432" t="s">
        <v>627</v>
      </c>
    </row>
    <row r="209" spans="1:13" ht="153" x14ac:dyDescent="0.2">
      <c r="A209" s="431" t="s">
        <v>628</v>
      </c>
      <c r="B209" s="431">
        <v>1871286</v>
      </c>
      <c r="C209" s="431" t="s">
        <v>159</v>
      </c>
      <c r="D209" s="431" t="s">
        <v>392</v>
      </c>
      <c r="E209" s="431" t="s">
        <v>161</v>
      </c>
      <c r="F209" s="431" t="s">
        <v>481</v>
      </c>
      <c r="G209" s="431" t="s">
        <v>583</v>
      </c>
      <c r="H209" s="431"/>
      <c r="I209" s="431"/>
      <c r="J209" s="431"/>
      <c r="K209" s="431"/>
      <c r="L209" s="431" t="s">
        <v>241</v>
      </c>
      <c r="M209" s="432" t="s">
        <v>629</v>
      </c>
    </row>
    <row r="210" spans="1:13" x14ac:dyDescent="0.2">
      <c r="A210" s="431" t="s">
        <v>630</v>
      </c>
      <c r="B210" s="431">
        <v>1871288</v>
      </c>
      <c r="C210" s="431" t="s">
        <v>159</v>
      </c>
      <c r="D210" s="431" t="s">
        <v>392</v>
      </c>
      <c r="E210" s="431" t="s">
        <v>161</v>
      </c>
      <c r="F210" s="431" t="s">
        <v>328</v>
      </c>
      <c r="G210" s="431" t="s">
        <v>175</v>
      </c>
      <c r="H210" s="431"/>
      <c r="I210" s="431"/>
      <c r="J210" s="431"/>
      <c r="K210" s="431"/>
      <c r="L210" s="431" t="s">
        <v>241</v>
      </c>
      <c r="M210" s="431" t="s">
        <v>631</v>
      </c>
    </row>
    <row r="211" spans="1:13" x14ac:dyDescent="0.2">
      <c r="A211" s="431" t="s">
        <v>630</v>
      </c>
      <c r="B211" s="431">
        <v>1871288</v>
      </c>
      <c r="C211" s="431" t="s">
        <v>159</v>
      </c>
      <c r="D211" s="431" t="s">
        <v>392</v>
      </c>
      <c r="E211" s="431" t="s">
        <v>161</v>
      </c>
      <c r="F211" s="431" t="s">
        <v>328</v>
      </c>
      <c r="G211" s="431" t="s">
        <v>175</v>
      </c>
      <c r="H211" s="431"/>
      <c r="I211" s="431"/>
      <c r="J211" s="431"/>
      <c r="K211" s="431"/>
      <c r="L211" s="431" t="s">
        <v>241</v>
      </c>
      <c r="M211" s="431" t="s">
        <v>631</v>
      </c>
    </row>
    <row r="212" spans="1:13" x14ac:dyDescent="0.2">
      <c r="A212" s="431" t="s">
        <v>630</v>
      </c>
      <c r="B212" s="431">
        <v>1871288</v>
      </c>
      <c r="C212" s="431" t="s">
        <v>159</v>
      </c>
      <c r="D212" s="431" t="s">
        <v>392</v>
      </c>
      <c r="E212" s="431" t="s">
        <v>161</v>
      </c>
      <c r="F212" s="431" t="s">
        <v>328</v>
      </c>
      <c r="G212" s="431" t="s">
        <v>175</v>
      </c>
      <c r="H212" s="431"/>
      <c r="I212" s="431"/>
      <c r="J212" s="431"/>
      <c r="K212" s="431"/>
      <c r="L212" s="431" t="s">
        <v>241</v>
      </c>
      <c r="M212" s="431" t="s">
        <v>631</v>
      </c>
    </row>
    <row r="213" spans="1:13" x14ac:dyDescent="0.2">
      <c r="A213" s="431" t="s">
        <v>630</v>
      </c>
      <c r="B213" s="431">
        <v>1871288</v>
      </c>
      <c r="C213" s="431" t="s">
        <v>159</v>
      </c>
      <c r="D213" s="431" t="s">
        <v>392</v>
      </c>
      <c r="E213" s="431" t="s">
        <v>161</v>
      </c>
      <c r="F213" s="431" t="s">
        <v>328</v>
      </c>
      <c r="G213" s="431" t="s">
        <v>175</v>
      </c>
      <c r="H213" s="431"/>
      <c r="I213" s="431"/>
      <c r="J213" s="431"/>
      <c r="K213" s="431"/>
      <c r="L213" s="431" t="s">
        <v>241</v>
      </c>
      <c r="M213" s="431" t="s">
        <v>631</v>
      </c>
    </row>
    <row r="214" spans="1:13" x14ac:dyDescent="0.2">
      <c r="A214" s="431" t="s">
        <v>630</v>
      </c>
      <c r="B214" s="431">
        <v>1871288</v>
      </c>
      <c r="C214" s="431" t="s">
        <v>159</v>
      </c>
      <c r="D214" s="431" t="s">
        <v>392</v>
      </c>
      <c r="E214" s="431" t="s">
        <v>161</v>
      </c>
      <c r="F214" s="431" t="s">
        <v>328</v>
      </c>
      <c r="G214" s="431" t="s">
        <v>175</v>
      </c>
      <c r="H214" s="431"/>
      <c r="I214" s="431"/>
      <c r="J214" s="431"/>
      <c r="K214" s="431"/>
      <c r="L214" s="431" t="s">
        <v>241</v>
      </c>
      <c r="M214" s="431" t="s">
        <v>631</v>
      </c>
    </row>
    <row r="215" spans="1:13" x14ac:dyDescent="0.2">
      <c r="A215" s="431" t="s">
        <v>630</v>
      </c>
      <c r="B215" s="431">
        <v>1871288</v>
      </c>
      <c r="C215" s="431" t="s">
        <v>159</v>
      </c>
      <c r="D215" s="431" t="s">
        <v>392</v>
      </c>
      <c r="E215" s="431" t="s">
        <v>161</v>
      </c>
      <c r="F215" s="431" t="s">
        <v>328</v>
      </c>
      <c r="G215" s="431" t="s">
        <v>175</v>
      </c>
      <c r="H215" s="431"/>
      <c r="I215" s="431"/>
      <c r="J215" s="431"/>
      <c r="K215" s="431"/>
      <c r="L215" s="431" t="s">
        <v>241</v>
      </c>
      <c r="M215" s="431" t="s">
        <v>631</v>
      </c>
    </row>
    <row r="216" spans="1:13" x14ac:dyDescent="0.2">
      <c r="A216" s="431" t="s">
        <v>630</v>
      </c>
      <c r="B216" s="431">
        <v>1871288</v>
      </c>
      <c r="C216" s="431" t="s">
        <v>159</v>
      </c>
      <c r="D216" s="431" t="s">
        <v>392</v>
      </c>
      <c r="E216" s="431" t="s">
        <v>161</v>
      </c>
      <c r="F216" s="431" t="s">
        <v>328</v>
      </c>
      <c r="G216" s="431" t="s">
        <v>175</v>
      </c>
      <c r="H216" s="431"/>
      <c r="I216" s="431"/>
      <c r="J216" s="431"/>
      <c r="K216" s="431"/>
      <c r="L216" s="431" t="s">
        <v>241</v>
      </c>
      <c r="M216" s="431" t="s">
        <v>631</v>
      </c>
    </row>
    <row r="217" spans="1:13" x14ac:dyDescent="0.2">
      <c r="A217" s="431" t="s">
        <v>630</v>
      </c>
      <c r="B217" s="431">
        <v>1871288</v>
      </c>
      <c r="C217" s="431" t="s">
        <v>159</v>
      </c>
      <c r="D217" s="431" t="s">
        <v>392</v>
      </c>
      <c r="E217" s="431" t="s">
        <v>161</v>
      </c>
      <c r="F217" s="431" t="s">
        <v>328</v>
      </c>
      <c r="G217" s="431" t="s">
        <v>175</v>
      </c>
      <c r="H217" s="431"/>
      <c r="I217" s="431"/>
      <c r="J217" s="431"/>
      <c r="K217" s="431"/>
      <c r="L217" s="431" t="s">
        <v>241</v>
      </c>
      <c r="M217" s="431" t="s">
        <v>631</v>
      </c>
    </row>
    <row r="218" spans="1:13" x14ac:dyDescent="0.2">
      <c r="A218" s="431" t="s">
        <v>630</v>
      </c>
      <c r="B218" s="431">
        <v>1871288</v>
      </c>
      <c r="C218" s="431" t="s">
        <v>159</v>
      </c>
      <c r="D218" s="431" t="s">
        <v>392</v>
      </c>
      <c r="E218" s="431" t="s">
        <v>161</v>
      </c>
      <c r="F218" s="431" t="s">
        <v>328</v>
      </c>
      <c r="G218" s="431" t="s">
        <v>175</v>
      </c>
      <c r="H218" s="431"/>
      <c r="I218" s="431"/>
      <c r="J218" s="431"/>
      <c r="K218" s="431"/>
      <c r="L218" s="431" t="s">
        <v>241</v>
      </c>
      <c r="M218" s="431" t="s">
        <v>631</v>
      </c>
    </row>
    <row r="219" spans="1:13" x14ac:dyDescent="0.2">
      <c r="A219" s="431" t="s">
        <v>630</v>
      </c>
      <c r="B219" s="431">
        <v>1871288</v>
      </c>
      <c r="C219" s="431" t="s">
        <v>159</v>
      </c>
      <c r="D219" s="431" t="s">
        <v>392</v>
      </c>
      <c r="E219" s="431" t="s">
        <v>161</v>
      </c>
      <c r="F219" s="431" t="s">
        <v>328</v>
      </c>
      <c r="G219" s="431" t="s">
        <v>175</v>
      </c>
      <c r="H219" s="431"/>
      <c r="I219" s="431"/>
      <c r="J219" s="431"/>
      <c r="K219" s="431"/>
      <c r="L219" s="431" t="s">
        <v>241</v>
      </c>
      <c r="M219" s="431" t="s">
        <v>631</v>
      </c>
    </row>
    <row r="220" spans="1:13" x14ac:dyDescent="0.2">
      <c r="A220" s="431" t="s">
        <v>630</v>
      </c>
      <c r="B220" s="431">
        <v>1871288</v>
      </c>
      <c r="C220" s="431" t="s">
        <v>159</v>
      </c>
      <c r="D220" s="431" t="s">
        <v>392</v>
      </c>
      <c r="E220" s="431" t="s">
        <v>161</v>
      </c>
      <c r="F220" s="431" t="s">
        <v>632</v>
      </c>
      <c r="G220" s="431" t="s">
        <v>175</v>
      </c>
      <c r="H220" s="431"/>
      <c r="I220" s="431"/>
      <c r="J220" s="431"/>
      <c r="K220" s="431"/>
      <c r="L220" s="431" t="s">
        <v>241</v>
      </c>
      <c r="M220" s="431" t="s">
        <v>631</v>
      </c>
    </row>
    <row r="221" spans="1:13" x14ac:dyDescent="0.2">
      <c r="A221" s="431" t="s">
        <v>630</v>
      </c>
      <c r="B221" s="431">
        <v>1871288</v>
      </c>
      <c r="C221" s="431" t="s">
        <v>159</v>
      </c>
      <c r="D221" s="431" t="s">
        <v>392</v>
      </c>
      <c r="E221" s="431" t="s">
        <v>161</v>
      </c>
      <c r="F221" s="431" t="s">
        <v>632</v>
      </c>
      <c r="G221" s="431" t="s">
        <v>175</v>
      </c>
      <c r="H221" s="431"/>
      <c r="I221" s="431"/>
      <c r="J221" s="431"/>
      <c r="K221" s="431"/>
      <c r="L221" s="431" t="s">
        <v>241</v>
      </c>
      <c r="M221" s="431" t="s">
        <v>631</v>
      </c>
    </row>
    <row r="222" spans="1:13" x14ac:dyDescent="0.2">
      <c r="A222" s="431" t="s">
        <v>633</v>
      </c>
      <c r="B222" s="431">
        <v>1871291</v>
      </c>
      <c r="C222" s="431" t="s">
        <v>159</v>
      </c>
      <c r="D222" s="431" t="s">
        <v>392</v>
      </c>
      <c r="E222" s="431" t="s">
        <v>161</v>
      </c>
      <c r="F222" s="431" t="s">
        <v>179</v>
      </c>
      <c r="G222" s="431" t="s">
        <v>175</v>
      </c>
      <c r="H222" s="431"/>
      <c r="I222" s="431"/>
      <c r="J222" s="431"/>
      <c r="K222" s="431"/>
      <c r="L222" s="431" t="s">
        <v>241</v>
      </c>
      <c r="M222" s="431" t="s">
        <v>634</v>
      </c>
    </row>
    <row r="223" spans="1:13" x14ac:dyDescent="0.2">
      <c r="A223" s="431" t="s">
        <v>633</v>
      </c>
      <c r="B223" s="431">
        <v>1871291</v>
      </c>
      <c r="C223" s="431" t="s">
        <v>159</v>
      </c>
      <c r="D223" s="431" t="s">
        <v>392</v>
      </c>
      <c r="E223" s="431" t="s">
        <v>161</v>
      </c>
      <c r="F223" s="431" t="s">
        <v>179</v>
      </c>
      <c r="G223" s="431" t="s">
        <v>175</v>
      </c>
      <c r="H223" s="431"/>
      <c r="I223" s="431"/>
      <c r="J223" s="431"/>
      <c r="K223" s="431"/>
      <c r="L223" s="431" t="s">
        <v>241</v>
      </c>
      <c r="M223" s="431" t="s">
        <v>634</v>
      </c>
    </row>
    <row r="224" spans="1:13" x14ac:dyDescent="0.2">
      <c r="A224" s="431" t="s">
        <v>633</v>
      </c>
      <c r="B224" s="431">
        <v>1871291</v>
      </c>
      <c r="C224" s="431" t="s">
        <v>159</v>
      </c>
      <c r="D224" s="431" t="s">
        <v>392</v>
      </c>
      <c r="E224" s="431" t="s">
        <v>161</v>
      </c>
      <c r="F224" s="431" t="s">
        <v>179</v>
      </c>
      <c r="G224" s="431" t="s">
        <v>175</v>
      </c>
      <c r="H224" s="431"/>
      <c r="I224" s="431"/>
      <c r="J224" s="431"/>
      <c r="K224" s="431"/>
      <c r="L224" s="431" t="s">
        <v>241</v>
      </c>
      <c r="M224" s="431" t="s">
        <v>634</v>
      </c>
    </row>
    <row r="225" spans="1:13" x14ac:dyDescent="0.2">
      <c r="A225" s="431" t="s">
        <v>633</v>
      </c>
      <c r="B225" s="431">
        <v>1871291</v>
      </c>
      <c r="C225" s="431" t="s">
        <v>159</v>
      </c>
      <c r="D225" s="431" t="s">
        <v>392</v>
      </c>
      <c r="E225" s="431" t="s">
        <v>161</v>
      </c>
      <c r="F225" s="431" t="s">
        <v>179</v>
      </c>
      <c r="G225" s="431" t="s">
        <v>175</v>
      </c>
      <c r="H225" s="431"/>
      <c r="I225" s="431"/>
      <c r="J225" s="431"/>
      <c r="K225" s="431"/>
      <c r="L225" s="431" t="s">
        <v>241</v>
      </c>
      <c r="M225" s="431" t="s">
        <v>634</v>
      </c>
    </row>
    <row r="226" spans="1:13" x14ac:dyDescent="0.2">
      <c r="A226" s="431" t="s">
        <v>633</v>
      </c>
      <c r="B226" s="431">
        <v>1871291</v>
      </c>
      <c r="C226" s="431" t="s">
        <v>159</v>
      </c>
      <c r="D226" s="431" t="s">
        <v>392</v>
      </c>
      <c r="E226" s="431" t="s">
        <v>161</v>
      </c>
      <c r="F226" s="431" t="s">
        <v>179</v>
      </c>
      <c r="G226" s="431" t="s">
        <v>175</v>
      </c>
      <c r="H226" s="431"/>
      <c r="I226" s="431"/>
      <c r="J226" s="431"/>
      <c r="K226" s="431"/>
      <c r="L226" s="431" t="s">
        <v>241</v>
      </c>
      <c r="M226" s="431" t="s">
        <v>634</v>
      </c>
    </row>
    <row r="227" spans="1:13" x14ac:dyDescent="0.2">
      <c r="A227" s="431" t="s">
        <v>633</v>
      </c>
      <c r="B227" s="431">
        <v>1871291</v>
      </c>
      <c r="C227" s="431" t="s">
        <v>159</v>
      </c>
      <c r="D227" s="431" t="s">
        <v>392</v>
      </c>
      <c r="E227" s="431" t="s">
        <v>161</v>
      </c>
      <c r="F227" s="431" t="s">
        <v>179</v>
      </c>
      <c r="G227" s="431" t="s">
        <v>175</v>
      </c>
      <c r="H227" s="431"/>
      <c r="I227" s="431"/>
      <c r="J227" s="431"/>
      <c r="K227" s="431"/>
      <c r="L227" s="431" t="s">
        <v>241</v>
      </c>
      <c r="M227" s="431" t="s">
        <v>634</v>
      </c>
    </row>
    <row r="228" spans="1:13" x14ac:dyDescent="0.2">
      <c r="A228" s="431" t="s">
        <v>633</v>
      </c>
      <c r="B228" s="431">
        <v>1871291</v>
      </c>
      <c r="C228" s="431" t="s">
        <v>159</v>
      </c>
      <c r="D228" s="431" t="s">
        <v>392</v>
      </c>
      <c r="E228" s="431" t="s">
        <v>161</v>
      </c>
      <c r="F228" s="431" t="s">
        <v>179</v>
      </c>
      <c r="G228" s="431" t="s">
        <v>175</v>
      </c>
      <c r="H228" s="431"/>
      <c r="I228" s="431"/>
      <c r="J228" s="431"/>
      <c r="K228" s="431"/>
      <c r="L228" s="431" t="s">
        <v>241</v>
      </c>
      <c r="M228" s="431" t="s">
        <v>634</v>
      </c>
    </row>
    <row r="229" spans="1:13" x14ac:dyDescent="0.2">
      <c r="A229" s="431" t="s">
        <v>633</v>
      </c>
      <c r="B229" s="431">
        <v>1871291</v>
      </c>
      <c r="C229" s="431" t="s">
        <v>159</v>
      </c>
      <c r="D229" s="431" t="s">
        <v>392</v>
      </c>
      <c r="E229" s="431" t="s">
        <v>161</v>
      </c>
      <c r="F229" s="431" t="s">
        <v>179</v>
      </c>
      <c r="G229" s="431" t="s">
        <v>175</v>
      </c>
      <c r="H229" s="431"/>
      <c r="I229" s="431"/>
      <c r="J229" s="431"/>
      <c r="K229" s="431"/>
      <c r="L229" s="431" t="s">
        <v>241</v>
      </c>
      <c r="M229" s="431" t="s">
        <v>634</v>
      </c>
    </row>
    <row r="230" spans="1:13" x14ac:dyDescent="0.2">
      <c r="A230" s="431" t="s">
        <v>633</v>
      </c>
      <c r="B230" s="431">
        <v>1871291</v>
      </c>
      <c r="C230" s="431" t="s">
        <v>159</v>
      </c>
      <c r="D230" s="431" t="s">
        <v>392</v>
      </c>
      <c r="E230" s="431" t="s">
        <v>161</v>
      </c>
      <c r="F230" s="431" t="s">
        <v>179</v>
      </c>
      <c r="G230" s="431" t="s">
        <v>175</v>
      </c>
      <c r="H230" s="431"/>
      <c r="I230" s="431"/>
      <c r="J230" s="431"/>
      <c r="K230" s="431"/>
      <c r="L230" s="431" t="s">
        <v>241</v>
      </c>
      <c r="M230" s="431" t="s">
        <v>634</v>
      </c>
    </row>
    <row r="231" spans="1:13" x14ac:dyDescent="0.2">
      <c r="A231" s="431" t="s">
        <v>633</v>
      </c>
      <c r="B231" s="431">
        <v>1871291</v>
      </c>
      <c r="C231" s="431" t="s">
        <v>159</v>
      </c>
      <c r="D231" s="431" t="s">
        <v>392</v>
      </c>
      <c r="E231" s="431" t="s">
        <v>161</v>
      </c>
      <c r="F231" s="431" t="s">
        <v>179</v>
      </c>
      <c r="G231" s="431" t="s">
        <v>175</v>
      </c>
      <c r="H231" s="431"/>
      <c r="I231" s="431"/>
      <c r="J231" s="431"/>
      <c r="K231" s="431"/>
      <c r="L231" s="431" t="s">
        <v>241</v>
      </c>
      <c r="M231" s="431" t="s">
        <v>634</v>
      </c>
    </row>
    <row r="232" spans="1:13" x14ac:dyDescent="0.2">
      <c r="A232" s="431" t="s">
        <v>633</v>
      </c>
      <c r="B232" s="431">
        <v>1871291</v>
      </c>
      <c r="C232" s="431" t="s">
        <v>159</v>
      </c>
      <c r="D232" s="431" t="s">
        <v>392</v>
      </c>
      <c r="E232" s="431" t="s">
        <v>161</v>
      </c>
      <c r="F232" s="431" t="s">
        <v>179</v>
      </c>
      <c r="G232" s="431" t="s">
        <v>175</v>
      </c>
      <c r="H232" s="431"/>
      <c r="I232" s="431"/>
      <c r="J232" s="431"/>
      <c r="K232" s="431"/>
      <c r="L232" s="431" t="s">
        <v>241</v>
      </c>
      <c r="M232" s="431" t="s">
        <v>634</v>
      </c>
    </row>
    <row r="233" spans="1:13" x14ac:dyDescent="0.2">
      <c r="A233" s="431" t="s">
        <v>633</v>
      </c>
      <c r="B233" s="431">
        <v>1871291</v>
      </c>
      <c r="C233" s="431" t="s">
        <v>159</v>
      </c>
      <c r="D233" s="431" t="s">
        <v>392</v>
      </c>
      <c r="E233" s="431" t="s">
        <v>161</v>
      </c>
      <c r="F233" s="431" t="s">
        <v>179</v>
      </c>
      <c r="G233" s="431" t="s">
        <v>175</v>
      </c>
      <c r="H233" s="431"/>
      <c r="I233" s="431"/>
      <c r="J233" s="431"/>
      <c r="K233" s="431"/>
      <c r="L233" s="431" t="s">
        <v>241</v>
      </c>
      <c r="M233" s="431" t="s">
        <v>634</v>
      </c>
    </row>
    <row r="234" spans="1:13" x14ac:dyDescent="0.2">
      <c r="A234" s="431" t="s">
        <v>633</v>
      </c>
      <c r="B234" s="431">
        <v>1871291</v>
      </c>
      <c r="C234" s="431" t="s">
        <v>159</v>
      </c>
      <c r="D234" s="431" t="s">
        <v>392</v>
      </c>
      <c r="E234" s="431" t="s">
        <v>161</v>
      </c>
      <c r="F234" s="431" t="s">
        <v>179</v>
      </c>
      <c r="G234" s="431" t="s">
        <v>175</v>
      </c>
      <c r="H234" s="431"/>
      <c r="I234" s="431"/>
      <c r="J234" s="431"/>
      <c r="K234" s="431"/>
      <c r="L234" s="431" t="s">
        <v>241</v>
      </c>
      <c r="M234" s="431" t="s">
        <v>634</v>
      </c>
    </row>
    <row r="235" spans="1:13" x14ac:dyDescent="0.2">
      <c r="A235" s="431" t="s">
        <v>633</v>
      </c>
      <c r="B235" s="431">
        <v>1871291</v>
      </c>
      <c r="C235" s="431" t="s">
        <v>159</v>
      </c>
      <c r="D235" s="431" t="s">
        <v>392</v>
      </c>
      <c r="E235" s="431" t="s">
        <v>161</v>
      </c>
      <c r="F235" s="431" t="s">
        <v>179</v>
      </c>
      <c r="G235" s="431" t="s">
        <v>175</v>
      </c>
      <c r="H235" s="431"/>
      <c r="I235" s="431"/>
      <c r="J235" s="431"/>
      <c r="K235" s="431"/>
      <c r="L235" s="431" t="s">
        <v>241</v>
      </c>
      <c r="M235" s="431" t="s">
        <v>634</v>
      </c>
    </row>
    <row r="236" spans="1:13" x14ac:dyDescent="0.2">
      <c r="A236" s="431" t="s">
        <v>633</v>
      </c>
      <c r="B236" s="431">
        <v>1871291</v>
      </c>
      <c r="C236" s="431" t="s">
        <v>159</v>
      </c>
      <c r="D236" s="431" t="s">
        <v>392</v>
      </c>
      <c r="E236" s="431" t="s">
        <v>161</v>
      </c>
      <c r="F236" s="431" t="s">
        <v>179</v>
      </c>
      <c r="G236" s="431" t="s">
        <v>175</v>
      </c>
      <c r="H236" s="431"/>
      <c r="I236" s="431"/>
      <c r="J236" s="431"/>
      <c r="K236" s="431"/>
      <c r="L236" s="431" t="s">
        <v>241</v>
      </c>
      <c r="M236" s="431" t="s">
        <v>634</v>
      </c>
    </row>
    <row r="237" spans="1:13" x14ac:dyDescent="0.2">
      <c r="A237" s="431" t="s">
        <v>633</v>
      </c>
      <c r="B237" s="431">
        <v>1871291</v>
      </c>
      <c r="C237" s="431" t="s">
        <v>159</v>
      </c>
      <c r="D237" s="431" t="s">
        <v>392</v>
      </c>
      <c r="E237" s="431" t="s">
        <v>161</v>
      </c>
      <c r="F237" s="431" t="s">
        <v>179</v>
      </c>
      <c r="G237" s="431" t="s">
        <v>175</v>
      </c>
      <c r="H237" s="431"/>
      <c r="I237" s="431"/>
      <c r="J237" s="431"/>
      <c r="K237" s="431"/>
      <c r="L237" s="431" t="s">
        <v>241</v>
      </c>
      <c r="M237" s="431" t="s">
        <v>634</v>
      </c>
    </row>
    <row r="238" spans="1:13" x14ac:dyDescent="0.2">
      <c r="A238" s="431" t="s">
        <v>633</v>
      </c>
      <c r="B238" s="431">
        <v>1871291</v>
      </c>
      <c r="C238" s="431" t="s">
        <v>159</v>
      </c>
      <c r="D238" s="431" t="s">
        <v>392</v>
      </c>
      <c r="E238" s="431" t="s">
        <v>161</v>
      </c>
      <c r="F238" s="431" t="s">
        <v>179</v>
      </c>
      <c r="G238" s="431" t="s">
        <v>175</v>
      </c>
      <c r="H238" s="431"/>
      <c r="I238" s="431"/>
      <c r="J238" s="431"/>
      <c r="K238" s="431"/>
      <c r="L238" s="431" t="s">
        <v>241</v>
      </c>
      <c r="M238" s="431" t="s">
        <v>634</v>
      </c>
    </row>
    <row r="239" spans="1:13" x14ac:dyDescent="0.2">
      <c r="A239" s="431" t="s">
        <v>633</v>
      </c>
      <c r="B239" s="431">
        <v>1871291</v>
      </c>
      <c r="C239" s="431" t="s">
        <v>159</v>
      </c>
      <c r="D239" s="431" t="s">
        <v>392</v>
      </c>
      <c r="E239" s="431" t="s">
        <v>161</v>
      </c>
      <c r="F239" s="431" t="s">
        <v>179</v>
      </c>
      <c r="G239" s="431" t="s">
        <v>175</v>
      </c>
      <c r="H239" s="431"/>
      <c r="I239" s="431"/>
      <c r="J239" s="431"/>
      <c r="K239" s="431"/>
      <c r="L239" s="431" t="s">
        <v>241</v>
      </c>
      <c r="M239" s="431" t="s">
        <v>634</v>
      </c>
    </row>
    <row r="240" spans="1:13" x14ac:dyDescent="0.2">
      <c r="A240" s="431" t="s">
        <v>633</v>
      </c>
      <c r="B240" s="431">
        <v>1871291</v>
      </c>
      <c r="C240" s="431" t="s">
        <v>159</v>
      </c>
      <c r="D240" s="431" t="s">
        <v>392</v>
      </c>
      <c r="E240" s="431" t="s">
        <v>161</v>
      </c>
      <c r="F240" s="431" t="s">
        <v>179</v>
      </c>
      <c r="G240" s="431" t="s">
        <v>175</v>
      </c>
      <c r="H240" s="431"/>
      <c r="I240" s="431"/>
      <c r="J240" s="431"/>
      <c r="K240" s="431"/>
      <c r="L240" s="431" t="s">
        <v>241</v>
      </c>
      <c r="M240" s="431" t="s">
        <v>634</v>
      </c>
    </row>
    <row r="241" spans="1:13" x14ac:dyDescent="0.2">
      <c r="A241" s="431" t="s">
        <v>633</v>
      </c>
      <c r="B241" s="431">
        <v>1871291</v>
      </c>
      <c r="C241" s="431" t="s">
        <v>159</v>
      </c>
      <c r="D241" s="431" t="s">
        <v>392</v>
      </c>
      <c r="E241" s="431" t="s">
        <v>161</v>
      </c>
      <c r="F241" s="431" t="s">
        <v>179</v>
      </c>
      <c r="G241" s="431" t="s">
        <v>175</v>
      </c>
      <c r="H241" s="431"/>
      <c r="I241" s="431"/>
      <c r="J241" s="431"/>
      <c r="K241" s="431"/>
      <c r="L241" s="431" t="s">
        <v>241</v>
      </c>
      <c r="M241" s="431" t="s">
        <v>634</v>
      </c>
    </row>
    <row r="242" spans="1:13" x14ac:dyDescent="0.2">
      <c r="A242" s="431" t="s">
        <v>633</v>
      </c>
      <c r="B242" s="431">
        <v>1871291</v>
      </c>
      <c r="C242" s="431" t="s">
        <v>159</v>
      </c>
      <c r="D242" s="431" t="s">
        <v>392</v>
      </c>
      <c r="E242" s="431" t="s">
        <v>161</v>
      </c>
      <c r="F242" s="431" t="s">
        <v>179</v>
      </c>
      <c r="G242" s="431" t="s">
        <v>175</v>
      </c>
      <c r="H242" s="431"/>
      <c r="I242" s="431"/>
      <c r="J242" s="431"/>
      <c r="K242" s="431"/>
      <c r="L242" s="431" t="s">
        <v>241</v>
      </c>
      <c r="M242" s="431" t="s">
        <v>634</v>
      </c>
    </row>
    <row r="243" spans="1:13" x14ac:dyDescent="0.2">
      <c r="A243" s="431" t="s">
        <v>633</v>
      </c>
      <c r="B243" s="431">
        <v>1871291</v>
      </c>
      <c r="C243" s="431" t="s">
        <v>159</v>
      </c>
      <c r="D243" s="431" t="s">
        <v>392</v>
      </c>
      <c r="E243" s="431" t="s">
        <v>161</v>
      </c>
      <c r="F243" s="431" t="s">
        <v>179</v>
      </c>
      <c r="G243" s="431" t="s">
        <v>175</v>
      </c>
      <c r="H243" s="431"/>
      <c r="I243" s="431"/>
      <c r="J243" s="431"/>
      <c r="K243" s="431"/>
      <c r="L243" s="431" t="s">
        <v>241</v>
      </c>
      <c r="M243" s="431" t="s">
        <v>634</v>
      </c>
    </row>
    <row r="244" spans="1:13" x14ac:dyDescent="0.2">
      <c r="A244" s="431" t="s">
        <v>633</v>
      </c>
      <c r="B244" s="431">
        <v>1871291</v>
      </c>
      <c r="C244" s="431" t="s">
        <v>159</v>
      </c>
      <c r="D244" s="431" t="s">
        <v>392</v>
      </c>
      <c r="E244" s="431" t="s">
        <v>161</v>
      </c>
      <c r="F244" s="431" t="s">
        <v>179</v>
      </c>
      <c r="G244" s="431" t="s">
        <v>175</v>
      </c>
      <c r="H244" s="431"/>
      <c r="I244" s="431"/>
      <c r="J244" s="431"/>
      <c r="K244" s="431"/>
      <c r="L244" s="431" t="s">
        <v>241</v>
      </c>
      <c r="M244" s="431" t="s">
        <v>634</v>
      </c>
    </row>
    <row r="245" spans="1:13" x14ac:dyDescent="0.2">
      <c r="A245" s="431" t="s">
        <v>633</v>
      </c>
      <c r="B245" s="431">
        <v>1871291</v>
      </c>
      <c r="C245" s="431" t="s">
        <v>159</v>
      </c>
      <c r="D245" s="431" t="s">
        <v>392</v>
      </c>
      <c r="E245" s="431" t="s">
        <v>161</v>
      </c>
      <c r="F245" s="431" t="s">
        <v>179</v>
      </c>
      <c r="G245" s="431" t="s">
        <v>175</v>
      </c>
      <c r="H245" s="431"/>
      <c r="I245" s="431"/>
      <c r="J245" s="431"/>
      <c r="K245" s="431"/>
      <c r="L245" s="431" t="s">
        <v>241</v>
      </c>
      <c r="M245" s="431" t="s">
        <v>634</v>
      </c>
    </row>
    <row r="246" spans="1:13" x14ac:dyDescent="0.2">
      <c r="A246" s="431" t="s">
        <v>633</v>
      </c>
      <c r="B246" s="431">
        <v>1871291</v>
      </c>
      <c r="C246" s="431" t="s">
        <v>159</v>
      </c>
      <c r="D246" s="431" t="s">
        <v>392</v>
      </c>
      <c r="E246" s="431" t="s">
        <v>161</v>
      </c>
      <c r="F246" s="431" t="s">
        <v>179</v>
      </c>
      <c r="G246" s="431" t="s">
        <v>175</v>
      </c>
      <c r="H246" s="431"/>
      <c r="I246" s="431"/>
      <c r="J246" s="431"/>
      <c r="K246" s="431"/>
      <c r="L246" s="431" t="s">
        <v>241</v>
      </c>
      <c r="M246" s="431" t="s">
        <v>634</v>
      </c>
    </row>
    <row r="247" spans="1:13" x14ac:dyDescent="0.2">
      <c r="A247" s="431" t="s">
        <v>633</v>
      </c>
      <c r="B247" s="431">
        <v>1871291</v>
      </c>
      <c r="C247" s="431" t="s">
        <v>159</v>
      </c>
      <c r="D247" s="431" t="s">
        <v>392</v>
      </c>
      <c r="E247" s="431" t="s">
        <v>161</v>
      </c>
      <c r="F247" s="431" t="s">
        <v>179</v>
      </c>
      <c r="G247" s="431" t="s">
        <v>175</v>
      </c>
      <c r="H247" s="431"/>
      <c r="I247" s="431"/>
      <c r="J247" s="431"/>
      <c r="K247" s="431"/>
      <c r="L247" s="431" t="s">
        <v>241</v>
      </c>
      <c r="M247" s="431" t="s">
        <v>634</v>
      </c>
    </row>
    <row r="248" spans="1:13" x14ac:dyDescent="0.2">
      <c r="A248" s="431" t="s">
        <v>633</v>
      </c>
      <c r="B248" s="431">
        <v>1871291</v>
      </c>
      <c r="C248" s="431" t="s">
        <v>159</v>
      </c>
      <c r="D248" s="431" t="s">
        <v>392</v>
      </c>
      <c r="E248" s="431" t="s">
        <v>161</v>
      </c>
      <c r="F248" s="431" t="s">
        <v>179</v>
      </c>
      <c r="G248" s="431" t="s">
        <v>175</v>
      </c>
      <c r="H248" s="431"/>
      <c r="I248" s="431"/>
      <c r="J248" s="431"/>
      <c r="K248" s="431"/>
      <c r="L248" s="431" t="s">
        <v>241</v>
      </c>
      <c r="M248" s="431" t="s">
        <v>634</v>
      </c>
    </row>
    <row r="249" spans="1:13" x14ac:dyDescent="0.2">
      <c r="A249" s="431" t="s">
        <v>633</v>
      </c>
      <c r="B249" s="431">
        <v>1871291</v>
      </c>
      <c r="C249" s="431" t="s">
        <v>159</v>
      </c>
      <c r="D249" s="431" t="s">
        <v>392</v>
      </c>
      <c r="E249" s="431" t="s">
        <v>161</v>
      </c>
      <c r="F249" s="431" t="s">
        <v>179</v>
      </c>
      <c r="G249" s="431" t="s">
        <v>175</v>
      </c>
      <c r="H249" s="431"/>
      <c r="I249" s="431"/>
      <c r="J249" s="431"/>
      <c r="K249" s="431"/>
      <c r="L249" s="431" t="s">
        <v>241</v>
      </c>
      <c r="M249" s="431" t="s">
        <v>634</v>
      </c>
    </row>
    <row r="250" spans="1:13" x14ac:dyDescent="0.2">
      <c r="A250" s="431" t="s">
        <v>633</v>
      </c>
      <c r="B250" s="431">
        <v>1871291</v>
      </c>
      <c r="C250" s="431" t="s">
        <v>159</v>
      </c>
      <c r="D250" s="431" t="s">
        <v>392</v>
      </c>
      <c r="E250" s="431" t="s">
        <v>161</v>
      </c>
      <c r="F250" s="431" t="s">
        <v>179</v>
      </c>
      <c r="G250" s="431" t="s">
        <v>175</v>
      </c>
      <c r="H250" s="431"/>
      <c r="I250" s="431"/>
      <c r="J250" s="431"/>
      <c r="K250" s="431"/>
      <c r="L250" s="431" t="s">
        <v>241</v>
      </c>
      <c r="M250" s="431" t="s">
        <v>634</v>
      </c>
    </row>
    <row r="251" spans="1:13" x14ac:dyDescent="0.2">
      <c r="A251" s="431" t="s">
        <v>633</v>
      </c>
      <c r="B251" s="431">
        <v>1871291</v>
      </c>
      <c r="C251" s="431" t="s">
        <v>159</v>
      </c>
      <c r="D251" s="431" t="s">
        <v>392</v>
      </c>
      <c r="E251" s="431" t="s">
        <v>161</v>
      </c>
      <c r="F251" s="431" t="s">
        <v>179</v>
      </c>
      <c r="G251" s="431" t="s">
        <v>175</v>
      </c>
      <c r="H251" s="431"/>
      <c r="I251" s="431"/>
      <c r="J251" s="431"/>
      <c r="K251" s="431"/>
      <c r="L251" s="431" t="s">
        <v>241</v>
      </c>
      <c r="M251" s="431" t="s">
        <v>634</v>
      </c>
    </row>
    <row r="252" spans="1:13" x14ac:dyDescent="0.2">
      <c r="A252" s="431" t="s">
        <v>633</v>
      </c>
      <c r="B252" s="431">
        <v>1871291</v>
      </c>
      <c r="C252" s="431" t="s">
        <v>159</v>
      </c>
      <c r="D252" s="431" t="s">
        <v>392</v>
      </c>
      <c r="E252" s="431" t="s">
        <v>161</v>
      </c>
      <c r="F252" s="431" t="s">
        <v>179</v>
      </c>
      <c r="G252" s="431" t="s">
        <v>175</v>
      </c>
      <c r="H252" s="431"/>
      <c r="I252" s="431"/>
      <c r="J252" s="431"/>
      <c r="K252" s="431"/>
      <c r="L252" s="431" t="s">
        <v>241</v>
      </c>
      <c r="M252" s="431" t="s">
        <v>634</v>
      </c>
    </row>
    <row r="253" spans="1:13" x14ac:dyDescent="0.2">
      <c r="A253" s="431" t="s">
        <v>633</v>
      </c>
      <c r="B253" s="431">
        <v>1871291</v>
      </c>
      <c r="C253" s="431" t="s">
        <v>159</v>
      </c>
      <c r="D253" s="431" t="s">
        <v>392</v>
      </c>
      <c r="E253" s="431" t="s">
        <v>161</v>
      </c>
      <c r="F253" s="431" t="s">
        <v>179</v>
      </c>
      <c r="G253" s="431" t="s">
        <v>175</v>
      </c>
      <c r="H253" s="431"/>
      <c r="I253" s="431"/>
      <c r="J253" s="431"/>
      <c r="K253" s="431"/>
      <c r="L253" s="431" t="s">
        <v>241</v>
      </c>
      <c r="M253" s="431" t="s">
        <v>634</v>
      </c>
    </row>
    <row r="254" spans="1:13" x14ac:dyDescent="0.2">
      <c r="A254" s="431" t="s">
        <v>633</v>
      </c>
      <c r="B254" s="431">
        <v>1871291</v>
      </c>
      <c r="C254" s="431" t="s">
        <v>159</v>
      </c>
      <c r="D254" s="431" t="s">
        <v>392</v>
      </c>
      <c r="E254" s="431" t="s">
        <v>161</v>
      </c>
      <c r="F254" s="431" t="s">
        <v>179</v>
      </c>
      <c r="G254" s="431" t="s">
        <v>175</v>
      </c>
      <c r="H254" s="431"/>
      <c r="I254" s="431"/>
      <c r="J254" s="431"/>
      <c r="K254" s="431"/>
      <c r="L254" s="431" t="s">
        <v>241</v>
      </c>
      <c r="M254" s="431" t="s">
        <v>634</v>
      </c>
    </row>
    <row r="255" spans="1:13" x14ac:dyDescent="0.2">
      <c r="A255" s="431" t="s">
        <v>633</v>
      </c>
      <c r="B255" s="431">
        <v>1871291</v>
      </c>
      <c r="C255" s="431" t="s">
        <v>159</v>
      </c>
      <c r="D255" s="431" t="s">
        <v>392</v>
      </c>
      <c r="E255" s="431" t="s">
        <v>161</v>
      </c>
      <c r="F255" s="431" t="s">
        <v>179</v>
      </c>
      <c r="G255" s="431" t="s">
        <v>175</v>
      </c>
      <c r="H255" s="431"/>
      <c r="I255" s="431"/>
      <c r="J255" s="431"/>
      <c r="K255" s="431"/>
      <c r="L255" s="431" t="s">
        <v>241</v>
      </c>
      <c r="M255" s="431" t="s">
        <v>634</v>
      </c>
    </row>
    <row r="256" spans="1:13" x14ac:dyDescent="0.2">
      <c r="A256" s="431" t="s">
        <v>633</v>
      </c>
      <c r="B256" s="431">
        <v>1871291</v>
      </c>
      <c r="C256" s="431" t="s">
        <v>159</v>
      </c>
      <c r="D256" s="431" t="s">
        <v>392</v>
      </c>
      <c r="E256" s="431" t="s">
        <v>161</v>
      </c>
      <c r="F256" s="431" t="s">
        <v>179</v>
      </c>
      <c r="G256" s="431" t="s">
        <v>175</v>
      </c>
      <c r="H256" s="431"/>
      <c r="I256" s="431"/>
      <c r="J256" s="431"/>
      <c r="K256" s="431"/>
      <c r="L256" s="431" t="s">
        <v>241</v>
      </c>
      <c r="M256" s="431" t="s">
        <v>634</v>
      </c>
    </row>
    <row r="257" spans="1:13" x14ac:dyDescent="0.2">
      <c r="A257" s="431" t="s">
        <v>633</v>
      </c>
      <c r="B257" s="431">
        <v>1871291</v>
      </c>
      <c r="C257" s="431" t="s">
        <v>159</v>
      </c>
      <c r="D257" s="431" t="s">
        <v>392</v>
      </c>
      <c r="E257" s="431" t="s">
        <v>161</v>
      </c>
      <c r="F257" s="431" t="s">
        <v>179</v>
      </c>
      <c r="G257" s="431" t="s">
        <v>175</v>
      </c>
      <c r="H257" s="431"/>
      <c r="I257" s="431"/>
      <c r="J257" s="431"/>
      <c r="K257" s="431"/>
      <c r="L257" s="431" t="s">
        <v>241</v>
      </c>
      <c r="M257" s="431" t="s">
        <v>634</v>
      </c>
    </row>
    <row r="258" spans="1:13" x14ac:dyDescent="0.2">
      <c r="A258" s="431" t="s">
        <v>633</v>
      </c>
      <c r="B258" s="431">
        <v>1871291</v>
      </c>
      <c r="C258" s="431" t="s">
        <v>159</v>
      </c>
      <c r="D258" s="431" t="s">
        <v>392</v>
      </c>
      <c r="E258" s="431" t="s">
        <v>161</v>
      </c>
      <c r="F258" s="431" t="s">
        <v>179</v>
      </c>
      <c r="G258" s="431" t="s">
        <v>175</v>
      </c>
      <c r="H258" s="431"/>
      <c r="I258" s="431"/>
      <c r="J258" s="431"/>
      <c r="K258" s="431"/>
      <c r="L258" s="431" t="s">
        <v>241</v>
      </c>
      <c r="M258" s="431" t="s">
        <v>634</v>
      </c>
    </row>
    <row r="259" spans="1:13" x14ac:dyDescent="0.2">
      <c r="A259" s="431" t="s">
        <v>633</v>
      </c>
      <c r="B259" s="431">
        <v>1871291</v>
      </c>
      <c r="C259" s="431" t="s">
        <v>159</v>
      </c>
      <c r="D259" s="431" t="s">
        <v>392</v>
      </c>
      <c r="E259" s="431" t="s">
        <v>161</v>
      </c>
      <c r="F259" s="431" t="s">
        <v>179</v>
      </c>
      <c r="G259" s="431" t="s">
        <v>175</v>
      </c>
      <c r="H259" s="431"/>
      <c r="I259" s="431"/>
      <c r="J259" s="431"/>
      <c r="K259" s="431"/>
      <c r="L259" s="431" t="s">
        <v>241</v>
      </c>
      <c r="M259" s="431" t="s">
        <v>634</v>
      </c>
    </row>
    <row r="260" spans="1:13" x14ac:dyDescent="0.2">
      <c r="A260" s="431" t="s">
        <v>633</v>
      </c>
      <c r="B260" s="431">
        <v>1871291</v>
      </c>
      <c r="C260" s="431" t="s">
        <v>159</v>
      </c>
      <c r="D260" s="431" t="s">
        <v>392</v>
      </c>
      <c r="E260" s="431" t="s">
        <v>161</v>
      </c>
      <c r="F260" s="431" t="s">
        <v>179</v>
      </c>
      <c r="G260" s="431" t="s">
        <v>175</v>
      </c>
      <c r="H260" s="431"/>
      <c r="I260" s="431"/>
      <c r="J260" s="431"/>
      <c r="K260" s="431"/>
      <c r="L260" s="431" t="s">
        <v>241</v>
      </c>
      <c r="M260" s="431" t="s">
        <v>634</v>
      </c>
    </row>
    <row r="261" spans="1:13" x14ac:dyDescent="0.2">
      <c r="A261" s="431" t="s">
        <v>633</v>
      </c>
      <c r="B261" s="431">
        <v>1871291</v>
      </c>
      <c r="C261" s="431" t="s">
        <v>159</v>
      </c>
      <c r="D261" s="431" t="s">
        <v>392</v>
      </c>
      <c r="E261" s="431" t="s">
        <v>161</v>
      </c>
      <c r="F261" s="431" t="s">
        <v>179</v>
      </c>
      <c r="G261" s="431" t="s">
        <v>175</v>
      </c>
      <c r="H261" s="431"/>
      <c r="I261" s="431"/>
      <c r="J261" s="431"/>
      <c r="K261" s="431"/>
      <c r="L261" s="431" t="s">
        <v>241</v>
      </c>
      <c r="M261" s="431" t="s">
        <v>634</v>
      </c>
    </row>
    <row r="262" spans="1:13" x14ac:dyDescent="0.2">
      <c r="A262" s="431" t="s">
        <v>633</v>
      </c>
      <c r="B262" s="431">
        <v>1871291</v>
      </c>
      <c r="C262" s="431" t="s">
        <v>159</v>
      </c>
      <c r="D262" s="431" t="s">
        <v>392</v>
      </c>
      <c r="E262" s="431" t="s">
        <v>161</v>
      </c>
      <c r="F262" s="431" t="s">
        <v>179</v>
      </c>
      <c r="G262" s="431" t="s">
        <v>175</v>
      </c>
      <c r="H262" s="431"/>
      <c r="I262" s="431"/>
      <c r="J262" s="431"/>
      <c r="K262" s="431"/>
      <c r="L262" s="431" t="s">
        <v>241</v>
      </c>
      <c r="M262" s="431" t="s">
        <v>634</v>
      </c>
    </row>
    <row r="263" spans="1:13" x14ac:dyDescent="0.2">
      <c r="A263" s="431" t="s">
        <v>633</v>
      </c>
      <c r="B263" s="431">
        <v>1871291</v>
      </c>
      <c r="C263" s="431" t="s">
        <v>159</v>
      </c>
      <c r="D263" s="431" t="s">
        <v>392</v>
      </c>
      <c r="E263" s="431" t="s">
        <v>161</v>
      </c>
      <c r="F263" s="431" t="s">
        <v>179</v>
      </c>
      <c r="G263" s="431" t="s">
        <v>175</v>
      </c>
      <c r="H263" s="431"/>
      <c r="I263" s="431"/>
      <c r="J263" s="431"/>
      <c r="K263" s="431"/>
      <c r="L263" s="431" t="s">
        <v>241</v>
      </c>
      <c r="M263" s="431" t="s">
        <v>634</v>
      </c>
    </row>
    <row r="264" spans="1:13" x14ac:dyDescent="0.2">
      <c r="A264" s="431" t="s">
        <v>633</v>
      </c>
      <c r="B264" s="431">
        <v>1871291</v>
      </c>
      <c r="C264" s="431" t="s">
        <v>159</v>
      </c>
      <c r="D264" s="431" t="s">
        <v>392</v>
      </c>
      <c r="E264" s="431" t="s">
        <v>161</v>
      </c>
      <c r="F264" s="431" t="s">
        <v>179</v>
      </c>
      <c r="G264" s="431" t="s">
        <v>175</v>
      </c>
      <c r="H264" s="431"/>
      <c r="I264" s="431"/>
      <c r="J264" s="431"/>
      <c r="K264" s="431"/>
      <c r="L264" s="431" t="s">
        <v>241</v>
      </c>
      <c r="M264" s="431" t="s">
        <v>634</v>
      </c>
    </row>
    <row r="265" spans="1:13" x14ac:dyDescent="0.2">
      <c r="A265" s="431" t="s">
        <v>633</v>
      </c>
      <c r="B265" s="431">
        <v>1871291</v>
      </c>
      <c r="C265" s="431" t="s">
        <v>159</v>
      </c>
      <c r="D265" s="431" t="s">
        <v>392</v>
      </c>
      <c r="E265" s="431" t="s">
        <v>161</v>
      </c>
      <c r="F265" s="431" t="s">
        <v>179</v>
      </c>
      <c r="G265" s="431" t="s">
        <v>175</v>
      </c>
      <c r="H265" s="431"/>
      <c r="I265" s="431"/>
      <c r="J265" s="431"/>
      <c r="K265" s="431"/>
      <c r="L265" s="431" t="s">
        <v>241</v>
      </c>
      <c r="M265" s="431" t="s">
        <v>634</v>
      </c>
    </row>
    <row r="266" spans="1:13" x14ac:dyDescent="0.2">
      <c r="A266" s="431" t="s">
        <v>633</v>
      </c>
      <c r="B266" s="431">
        <v>1871291</v>
      </c>
      <c r="C266" s="431" t="s">
        <v>159</v>
      </c>
      <c r="D266" s="431" t="s">
        <v>392</v>
      </c>
      <c r="E266" s="431" t="s">
        <v>161</v>
      </c>
      <c r="F266" s="431" t="s">
        <v>179</v>
      </c>
      <c r="G266" s="431" t="s">
        <v>175</v>
      </c>
      <c r="H266" s="431"/>
      <c r="I266" s="431"/>
      <c r="J266" s="431"/>
      <c r="K266" s="431"/>
      <c r="L266" s="431" t="s">
        <v>241</v>
      </c>
      <c r="M266" s="431" t="s">
        <v>634</v>
      </c>
    </row>
    <row r="267" spans="1:13" x14ac:dyDescent="0.2">
      <c r="A267" s="431" t="s">
        <v>633</v>
      </c>
      <c r="B267" s="431">
        <v>1871291</v>
      </c>
      <c r="C267" s="431" t="s">
        <v>159</v>
      </c>
      <c r="D267" s="431" t="s">
        <v>392</v>
      </c>
      <c r="E267" s="431" t="s">
        <v>161</v>
      </c>
      <c r="F267" s="431" t="s">
        <v>179</v>
      </c>
      <c r="G267" s="431" t="s">
        <v>175</v>
      </c>
      <c r="H267" s="431"/>
      <c r="I267" s="431"/>
      <c r="J267" s="431"/>
      <c r="K267" s="431"/>
      <c r="L267" s="431" t="s">
        <v>241</v>
      </c>
      <c r="M267" s="431" t="s">
        <v>634</v>
      </c>
    </row>
    <row r="268" spans="1:13" x14ac:dyDescent="0.2">
      <c r="A268" s="431" t="s">
        <v>633</v>
      </c>
      <c r="B268" s="431">
        <v>1871291</v>
      </c>
      <c r="C268" s="431" t="s">
        <v>159</v>
      </c>
      <c r="D268" s="431" t="s">
        <v>392</v>
      </c>
      <c r="E268" s="431" t="s">
        <v>161</v>
      </c>
      <c r="F268" s="431" t="s">
        <v>179</v>
      </c>
      <c r="G268" s="431" t="s">
        <v>175</v>
      </c>
      <c r="H268" s="431"/>
      <c r="I268" s="431"/>
      <c r="J268" s="431"/>
      <c r="K268" s="431"/>
      <c r="L268" s="431" t="s">
        <v>241</v>
      </c>
      <c r="M268" s="431" t="s">
        <v>634</v>
      </c>
    </row>
    <row r="269" spans="1:13" x14ac:dyDescent="0.2">
      <c r="A269" s="431" t="s">
        <v>633</v>
      </c>
      <c r="B269" s="431">
        <v>1871291</v>
      </c>
      <c r="C269" s="431" t="s">
        <v>159</v>
      </c>
      <c r="D269" s="431" t="s">
        <v>392</v>
      </c>
      <c r="E269" s="431" t="s">
        <v>161</v>
      </c>
      <c r="F269" s="431" t="s">
        <v>179</v>
      </c>
      <c r="G269" s="431" t="s">
        <v>175</v>
      </c>
      <c r="H269" s="431"/>
      <c r="I269" s="431"/>
      <c r="J269" s="431"/>
      <c r="K269" s="431"/>
      <c r="L269" s="431" t="s">
        <v>241</v>
      </c>
      <c r="M269" s="431" t="s">
        <v>634</v>
      </c>
    </row>
    <row r="270" spans="1:13" x14ac:dyDescent="0.2">
      <c r="A270" s="431" t="s">
        <v>633</v>
      </c>
      <c r="B270" s="431">
        <v>1871291</v>
      </c>
      <c r="C270" s="431" t="s">
        <v>159</v>
      </c>
      <c r="D270" s="431" t="s">
        <v>392</v>
      </c>
      <c r="E270" s="431" t="s">
        <v>161</v>
      </c>
      <c r="F270" s="431" t="s">
        <v>179</v>
      </c>
      <c r="G270" s="431" t="s">
        <v>175</v>
      </c>
      <c r="H270" s="431"/>
      <c r="I270" s="431"/>
      <c r="J270" s="431"/>
      <c r="K270" s="431"/>
      <c r="L270" s="431" t="s">
        <v>241</v>
      </c>
      <c r="M270" s="431" t="s">
        <v>634</v>
      </c>
    </row>
    <row r="271" spans="1:13" x14ac:dyDescent="0.2">
      <c r="A271" s="431" t="s">
        <v>633</v>
      </c>
      <c r="B271" s="431">
        <v>1871291</v>
      </c>
      <c r="C271" s="431" t="s">
        <v>159</v>
      </c>
      <c r="D271" s="431" t="s">
        <v>392</v>
      </c>
      <c r="E271" s="431" t="s">
        <v>161</v>
      </c>
      <c r="F271" s="431" t="s">
        <v>179</v>
      </c>
      <c r="G271" s="431" t="s">
        <v>175</v>
      </c>
      <c r="H271" s="431"/>
      <c r="I271" s="431"/>
      <c r="J271" s="431"/>
      <c r="K271" s="431"/>
      <c r="L271" s="431" t="s">
        <v>241</v>
      </c>
      <c r="M271" s="431" t="s">
        <v>634</v>
      </c>
    </row>
    <row r="272" spans="1:13" x14ac:dyDescent="0.2">
      <c r="A272" s="431" t="s">
        <v>633</v>
      </c>
      <c r="B272" s="431">
        <v>1871291</v>
      </c>
      <c r="C272" s="431" t="s">
        <v>159</v>
      </c>
      <c r="D272" s="431" t="s">
        <v>392</v>
      </c>
      <c r="E272" s="431" t="s">
        <v>161</v>
      </c>
      <c r="F272" s="431" t="s">
        <v>179</v>
      </c>
      <c r="G272" s="431" t="s">
        <v>175</v>
      </c>
      <c r="H272" s="431"/>
      <c r="I272" s="431"/>
      <c r="J272" s="431"/>
      <c r="K272" s="431"/>
      <c r="L272" s="431" t="s">
        <v>241</v>
      </c>
      <c r="M272" s="431" t="s">
        <v>634</v>
      </c>
    </row>
    <row r="273" spans="1:13" x14ac:dyDescent="0.2">
      <c r="A273" s="431" t="s">
        <v>633</v>
      </c>
      <c r="B273" s="431">
        <v>1871291</v>
      </c>
      <c r="C273" s="431" t="s">
        <v>159</v>
      </c>
      <c r="D273" s="431" t="s">
        <v>392</v>
      </c>
      <c r="E273" s="431" t="s">
        <v>161</v>
      </c>
      <c r="F273" s="431" t="s">
        <v>179</v>
      </c>
      <c r="G273" s="431" t="s">
        <v>175</v>
      </c>
      <c r="H273" s="431"/>
      <c r="I273" s="431"/>
      <c r="J273" s="431"/>
      <c r="K273" s="431"/>
      <c r="L273" s="431" t="s">
        <v>241</v>
      </c>
      <c r="M273" s="431" t="s">
        <v>634</v>
      </c>
    </row>
    <row r="274" spans="1:13" x14ac:dyDescent="0.2">
      <c r="A274" s="431" t="s">
        <v>633</v>
      </c>
      <c r="B274" s="431">
        <v>1871291</v>
      </c>
      <c r="C274" s="431" t="s">
        <v>159</v>
      </c>
      <c r="D274" s="431" t="s">
        <v>392</v>
      </c>
      <c r="E274" s="431" t="s">
        <v>161</v>
      </c>
      <c r="F274" s="431" t="s">
        <v>179</v>
      </c>
      <c r="G274" s="431" t="s">
        <v>175</v>
      </c>
      <c r="H274" s="431"/>
      <c r="I274" s="431"/>
      <c r="J274" s="431"/>
      <c r="K274" s="431"/>
      <c r="L274" s="431" t="s">
        <v>241</v>
      </c>
      <c r="M274" s="431" t="s">
        <v>634</v>
      </c>
    </row>
    <row r="275" spans="1:13" x14ac:dyDescent="0.2">
      <c r="A275" s="431" t="s">
        <v>633</v>
      </c>
      <c r="B275" s="431">
        <v>1871291</v>
      </c>
      <c r="C275" s="431" t="s">
        <v>159</v>
      </c>
      <c r="D275" s="431" t="s">
        <v>392</v>
      </c>
      <c r="E275" s="431" t="s">
        <v>161</v>
      </c>
      <c r="F275" s="431" t="s">
        <v>179</v>
      </c>
      <c r="G275" s="431" t="s">
        <v>175</v>
      </c>
      <c r="H275" s="431"/>
      <c r="I275" s="431"/>
      <c r="J275" s="431"/>
      <c r="K275" s="431"/>
      <c r="L275" s="431" t="s">
        <v>241</v>
      </c>
      <c r="M275" s="431" t="s">
        <v>634</v>
      </c>
    </row>
    <row r="276" spans="1:13" x14ac:dyDescent="0.2">
      <c r="A276" s="431" t="s">
        <v>633</v>
      </c>
      <c r="B276" s="431">
        <v>1871291</v>
      </c>
      <c r="C276" s="431" t="s">
        <v>159</v>
      </c>
      <c r="D276" s="431" t="s">
        <v>392</v>
      </c>
      <c r="E276" s="431" t="s">
        <v>161</v>
      </c>
      <c r="F276" s="431" t="s">
        <v>179</v>
      </c>
      <c r="G276" s="431" t="s">
        <v>175</v>
      </c>
      <c r="H276" s="431"/>
      <c r="I276" s="431"/>
      <c r="J276" s="431"/>
      <c r="K276" s="431"/>
      <c r="L276" s="431" t="s">
        <v>241</v>
      </c>
      <c r="M276" s="431" t="s">
        <v>634</v>
      </c>
    </row>
    <row r="277" spans="1:13" x14ac:dyDescent="0.2">
      <c r="A277" s="431" t="s">
        <v>633</v>
      </c>
      <c r="B277" s="431">
        <v>1871291</v>
      </c>
      <c r="C277" s="431" t="s">
        <v>159</v>
      </c>
      <c r="D277" s="431" t="s">
        <v>392</v>
      </c>
      <c r="E277" s="431" t="s">
        <v>161</v>
      </c>
      <c r="F277" s="431" t="s">
        <v>179</v>
      </c>
      <c r="G277" s="431" t="s">
        <v>175</v>
      </c>
      <c r="H277" s="431"/>
      <c r="I277" s="431"/>
      <c r="J277" s="431"/>
      <c r="K277" s="431"/>
      <c r="L277" s="431" t="s">
        <v>241</v>
      </c>
      <c r="M277" s="431" t="s">
        <v>634</v>
      </c>
    </row>
    <row r="278" spans="1:13" x14ac:dyDescent="0.2">
      <c r="A278" s="431" t="s">
        <v>633</v>
      </c>
      <c r="B278" s="431">
        <v>1871291</v>
      </c>
      <c r="C278" s="431" t="s">
        <v>159</v>
      </c>
      <c r="D278" s="431" t="s">
        <v>392</v>
      </c>
      <c r="E278" s="431" t="s">
        <v>161</v>
      </c>
      <c r="F278" s="431" t="s">
        <v>179</v>
      </c>
      <c r="G278" s="431" t="s">
        <v>175</v>
      </c>
      <c r="H278" s="431"/>
      <c r="I278" s="431"/>
      <c r="J278" s="431"/>
      <c r="K278" s="431"/>
      <c r="L278" s="431" t="s">
        <v>241</v>
      </c>
      <c r="M278" s="431" t="s">
        <v>634</v>
      </c>
    </row>
    <row r="279" spans="1:13" x14ac:dyDescent="0.2">
      <c r="A279" s="431" t="s">
        <v>633</v>
      </c>
      <c r="B279" s="431">
        <v>1871291</v>
      </c>
      <c r="C279" s="431" t="s">
        <v>159</v>
      </c>
      <c r="D279" s="431" t="s">
        <v>392</v>
      </c>
      <c r="E279" s="431" t="s">
        <v>161</v>
      </c>
      <c r="F279" s="431" t="s">
        <v>179</v>
      </c>
      <c r="G279" s="431" t="s">
        <v>175</v>
      </c>
      <c r="H279" s="431"/>
      <c r="I279" s="431"/>
      <c r="J279" s="431"/>
      <c r="K279" s="431"/>
      <c r="L279" s="431" t="s">
        <v>241</v>
      </c>
      <c r="M279" s="431" t="s">
        <v>634</v>
      </c>
    </row>
    <row r="280" spans="1:13" x14ac:dyDescent="0.2">
      <c r="A280" s="431" t="s">
        <v>633</v>
      </c>
      <c r="B280" s="431">
        <v>1871291</v>
      </c>
      <c r="C280" s="431" t="s">
        <v>159</v>
      </c>
      <c r="D280" s="431" t="s">
        <v>392</v>
      </c>
      <c r="E280" s="431" t="s">
        <v>161</v>
      </c>
      <c r="F280" s="431" t="s">
        <v>179</v>
      </c>
      <c r="G280" s="431" t="s">
        <v>175</v>
      </c>
      <c r="H280" s="431"/>
      <c r="I280" s="431"/>
      <c r="J280" s="431"/>
      <c r="K280" s="431"/>
      <c r="L280" s="431" t="s">
        <v>241</v>
      </c>
      <c r="M280" s="431" t="s">
        <v>634</v>
      </c>
    </row>
    <row r="281" spans="1:13" x14ac:dyDescent="0.2">
      <c r="A281" s="431" t="s">
        <v>633</v>
      </c>
      <c r="B281" s="431">
        <v>1871291</v>
      </c>
      <c r="C281" s="431" t="s">
        <v>159</v>
      </c>
      <c r="D281" s="431" t="s">
        <v>392</v>
      </c>
      <c r="E281" s="431" t="s">
        <v>161</v>
      </c>
      <c r="F281" s="431" t="s">
        <v>179</v>
      </c>
      <c r="G281" s="431" t="s">
        <v>175</v>
      </c>
      <c r="H281" s="431"/>
      <c r="I281" s="431"/>
      <c r="J281" s="431"/>
      <c r="K281" s="431"/>
      <c r="L281" s="431" t="s">
        <v>241</v>
      </c>
      <c r="M281" s="431" t="s">
        <v>634</v>
      </c>
    </row>
    <row r="282" spans="1:13" x14ac:dyDescent="0.2">
      <c r="A282" s="431" t="s">
        <v>633</v>
      </c>
      <c r="B282" s="431">
        <v>1871291</v>
      </c>
      <c r="C282" s="431" t="s">
        <v>159</v>
      </c>
      <c r="D282" s="431" t="s">
        <v>392</v>
      </c>
      <c r="E282" s="431" t="s">
        <v>161</v>
      </c>
      <c r="F282" s="431" t="s">
        <v>179</v>
      </c>
      <c r="G282" s="431" t="s">
        <v>175</v>
      </c>
      <c r="H282" s="431"/>
      <c r="I282" s="431"/>
      <c r="J282" s="431"/>
      <c r="K282" s="431"/>
      <c r="L282" s="431" t="s">
        <v>241</v>
      </c>
      <c r="M282" s="431" t="s">
        <v>634</v>
      </c>
    </row>
    <row r="283" spans="1:13" x14ac:dyDescent="0.2">
      <c r="A283" s="431" t="s">
        <v>633</v>
      </c>
      <c r="B283" s="431">
        <v>1871291</v>
      </c>
      <c r="C283" s="431" t="s">
        <v>159</v>
      </c>
      <c r="D283" s="431" t="s">
        <v>392</v>
      </c>
      <c r="E283" s="431" t="s">
        <v>161</v>
      </c>
      <c r="F283" s="431" t="s">
        <v>179</v>
      </c>
      <c r="G283" s="431" t="s">
        <v>175</v>
      </c>
      <c r="H283" s="431"/>
      <c r="I283" s="431"/>
      <c r="J283" s="431"/>
      <c r="K283" s="431"/>
      <c r="L283" s="431" t="s">
        <v>241</v>
      </c>
      <c r="M283" s="431" t="s">
        <v>634</v>
      </c>
    </row>
    <row r="284" spans="1:13" x14ac:dyDescent="0.2">
      <c r="A284" s="431" t="s">
        <v>633</v>
      </c>
      <c r="B284" s="431">
        <v>1871291</v>
      </c>
      <c r="C284" s="431" t="s">
        <v>159</v>
      </c>
      <c r="D284" s="431" t="s">
        <v>392</v>
      </c>
      <c r="E284" s="431" t="s">
        <v>161</v>
      </c>
      <c r="F284" s="431" t="s">
        <v>179</v>
      </c>
      <c r="G284" s="431" t="s">
        <v>175</v>
      </c>
      <c r="H284" s="431"/>
      <c r="I284" s="431"/>
      <c r="J284" s="431"/>
      <c r="K284" s="431"/>
      <c r="L284" s="431" t="s">
        <v>241</v>
      </c>
      <c r="M284" s="431" t="s">
        <v>634</v>
      </c>
    </row>
    <row r="285" spans="1:13" x14ac:dyDescent="0.2">
      <c r="A285" s="431" t="s">
        <v>633</v>
      </c>
      <c r="B285" s="431">
        <v>1871291</v>
      </c>
      <c r="C285" s="431" t="s">
        <v>159</v>
      </c>
      <c r="D285" s="431" t="s">
        <v>392</v>
      </c>
      <c r="E285" s="431" t="s">
        <v>161</v>
      </c>
      <c r="F285" s="431" t="s">
        <v>179</v>
      </c>
      <c r="G285" s="431" t="s">
        <v>175</v>
      </c>
      <c r="H285" s="431"/>
      <c r="I285" s="431"/>
      <c r="J285" s="431"/>
      <c r="K285" s="431"/>
      <c r="L285" s="431" t="s">
        <v>241</v>
      </c>
      <c r="M285" s="431" t="s">
        <v>634</v>
      </c>
    </row>
    <row r="286" spans="1:13" x14ac:dyDescent="0.2">
      <c r="A286" s="431" t="s">
        <v>633</v>
      </c>
      <c r="B286" s="431">
        <v>1871291</v>
      </c>
      <c r="C286" s="431" t="s">
        <v>159</v>
      </c>
      <c r="D286" s="431" t="s">
        <v>392</v>
      </c>
      <c r="E286" s="431" t="s">
        <v>161</v>
      </c>
      <c r="F286" s="431" t="s">
        <v>179</v>
      </c>
      <c r="G286" s="431" t="s">
        <v>175</v>
      </c>
      <c r="H286" s="431"/>
      <c r="I286" s="431"/>
      <c r="J286" s="431"/>
      <c r="K286" s="431"/>
      <c r="L286" s="431" t="s">
        <v>241</v>
      </c>
      <c r="M286" s="431" t="s">
        <v>634</v>
      </c>
    </row>
    <row r="287" spans="1:13" x14ac:dyDescent="0.2">
      <c r="A287" s="431" t="s">
        <v>633</v>
      </c>
      <c r="B287" s="431">
        <v>1871291</v>
      </c>
      <c r="C287" s="431" t="s">
        <v>159</v>
      </c>
      <c r="D287" s="431" t="s">
        <v>392</v>
      </c>
      <c r="E287" s="431" t="s">
        <v>161</v>
      </c>
      <c r="F287" s="431" t="s">
        <v>179</v>
      </c>
      <c r="G287" s="431" t="s">
        <v>175</v>
      </c>
      <c r="H287" s="431"/>
      <c r="I287" s="431"/>
      <c r="J287" s="431"/>
      <c r="K287" s="431"/>
      <c r="L287" s="431" t="s">
        <v>241</v>
      </c>
      <c r="M287" s="431" t="s">
        <v>634</v>
      </c>
    </row>
    <row r="288" spans="1:13" x14ac:dyDescent="0.2">
      <c r="A288" s="431" t="s">
        <v>633</v>
      </c>
      <c r="B288" s="431">
        <v>1871291</v>
      </c>
      <c r="C288" s="431" t="s">
        <v>159</v>
      </c>
      <c r="D288" s="431" t="s">
        <v>392</v>
      </c>
      <c r="E288" s="431" t="s">
        <v>161</v>
      </c>
      <c r="F288" s="431" t="s">
        <v>179</v>
      </c>
      <c r="G288" s="431" t="s">
        <v>175</v>
      </c>
      <c r="H288" s="431"/>
      <c r="I288" s="431"/>
      <c r="J288" s="431"/>
      <c r="K288" s="431"/>
      <c r="L288" s="431" t="s">
        <v>241</v>
      </c>
      <c r="M288" s="431" t="s">
        <v>634</v>
      </c>
    </row>
    <row r="289" spans="1:13" x14ac:dyDescent="0.2">
      <c r="A289" s="431" t="s">
        <v>633</v>
      </c>
      <c r="B289" s="431">
        <v>1871291</v>
      </c>
      <c r="C289" s="431" t="s">
        <v>159</v>
      </c>
      <c r="D289" s="431" t="s">
        <v>392</v>
      </c>
      <c r="E289" s="431" t="s">
        <v>161</v>
      </c>
      <c r="F289" s="431" t="s">
        <v>179</v>
      </c>
      <c r="G289" s="431" t="s">
        <v>175</v>
      </c>
      <c r="H289" s="431"/>
      <c r="I289" s="431"/>
      <c r="J289" s="431"/>
      <c r="K289" s="431"/>
      <c r="L289" s="431" t="s">
        <v>241</v>
      </c>
      <c r="M289" s="431" t="s">
        <v>634</v>
      </c>
    </row>
    <row r="290" spans="1:13" x14ac:dyDescent="0.2">
      <c r="A290" s="431" t="s">
        <v>633</v>
      </c>
      <c r="B290" s="431">
        <v>1871291</v>
      </c>
      <c r="C290" s="431" t="s">
        <v>159</v>
      </c>
      <c r="D290" s="431" t="s">
        <v>392</v>
      </c>
      <c r="E290" s="431" t="s">
        <v>161</v>
      </c>
      <c r="F290" s="431" t="s">
        <v>179</v>
      </c>
      <c r="G290" s="431" t="s">
        <v>175</v>
      </c>
      <c r="H290" s="431"/>
      <c r="I290" s="431"/>
      <c r="J290" s="431"/>
      <c r="K290" s="431"/>
      <c r="L290" s="431" t="s">
        <v>241</v>
      </c>
      <c r="M290" s="431" t="s">
        <v>634</v>
      </c>
    </row>
    <row r="291" spans="1:13" x14ac:dyDescent="0.2">
      <c r="A291" s="431" t="s">
        <v>633</v>
      </c>
      <c r="B291" s="431">
        <v>1871291</v>
      </c>
      <c r="C291" s="431" t="s">
        <v>159</v>
      </c>
      <c r="D291" s="431" t="s">
        <v>392</v>
      </c>
      <c r="E291" s="431" t="s">
        <v>161</v>
      </c>
      <c r="F291" s="431" t="s">
        <v>179</v>
      </c>
      <c r="G291" s="431" t="s">
        <v>175</v>
      </c>
      <c r="H291" s="431"/>
      <c r="I291" s="431"/>
      <c r="J291" s="431"/>
      <c r="K291" s="431"/>
      <c r="L291" s="431" t="s">
        <v>241</v>
      </c>
      <c r="M291" s="431" t="s">
        <v>634</v>
      </c>
    </row>
    <row r="292" spans="1:13" x14ac:dyDescent="0.2">
      <c r="A292" s="431" t="s">
        <v>633</v>
      </c>
      <c r="B292" s="431">
        <v>1871291</v>
      </c>
      <c r="C292" s="431" t="s">
        <v>159</v>
      </c>
      <c r="D292" s="431" t="s">
        <v>392</v>
      </c>
      <c r="E292" s="431" t="s">
        <v>161</v>
      </c>
      <c r="F292" s="431" t="s">
        <v>179</v>
      </c>
      <c r="G292" s="431" t="s">
        <v>175</v>
      </c>
      <c r="H292" s="431"/>
      <c r="I292" s="431"/>
      <c r="J292" s="431"/>
      <c r="K292" s="431"/>
      <c r="L292" s="431" t="s">
        <v>241</v>
      </c>
      <c r="M292" s="431" t="s">
        <v>634</v>
      </c>
    </row>
    <row r="293" spans="1:13" x14ac:dyDescent="0.2">
      <c r="A293" s="431" t="s">
        <v>633</v>
      </c>
      <c r="B293" s="431">
        <v>1871291</v>
      </c>
      <c r="C293" s="431" t="s">
        <v>159</v>
      </c>
      <c r="D293" s="431" t="s">
        <v>392</v>
      </c>
      <c r="E293" s="431" t="s">
        <v>161</v>
      </c>
      <c r="F293" s="431" t="s">
        <v>179</v>
      </c>
      <c r="G293" s="431" t="s">
        <v>175</v>
      </c>
      <c r="H293" s="431"/>
      <c r="I293" s="431"/>
      <c r="J293" s="431"/>
      <c r="K293" s="431"/>
      <c r="L293" s="431" t="s">
        <v>241</v>
      </c>
      <c r="M293" s="431" t="s">
        <v>634</v>
      </c>
    </row>
    <row r="294" spans="1:13" x14ac:dyDescent="0.2">
      <c r="A294" s="431" t="s">
        <v>633</v>
      </c>
      <c r="B294" s="431">
        <v>1871291</v>
      </c>
      <c r="C294" s="431" t="s">
        <v>159</v>
      </c>
      <c r="D294" s="431" t="s">
        <v>392</v>
      </c>
      <c r="E294" s="431" t="s">
        <v>161</v>
      </c>
      <c r="F294" s="431" t="s">
        <v>635</v>
      </c>
      <c r="G294" s="431" t="s">
        <v>175</v>
      </c>
      <c r="H294" s="431"/>
      <c r="I294" s="431"/>
      <c r="J294" s="431"/>
      <c r="K294" s="431"/>
      <c r="L294" s="431" t="s">
        <v>241</v>
      </c>
      <c r="M294" s="431" t="s">
        <v>634</v>
      </c>
    </row>
    <row r="295" spans="1:13" x14ac:dyDescent="0.2">
      <c r="A295" s="431" t="s">
        <v>633</v>
      </c>
      <c r="B295" s="431">
        <v>1871291</v>
      </c>
      <c r="C295" s="431" t="s">
        <v>159</v>
      </c>
      <c r="D295" s="431" t="s">
        <v>392</v>
      </c>
      <c r="E295" s="431" t="s">
        <v>161</v>
      </c>
      <c r="F295" s="431" t="s">
        <v>635</v>
      </c>
      <c r="G295" s="431" t="s">
        <v>175</v>
      </c>
      <c r="H295" s="431"/>
      <c r="I295" s="431"/>
      <c r="J295" s="431"/>
      <c r="K295" s="431"/>
      <c r="L295" s="431" t="s">
        <v>241</v>
      </c>
      <c r="M295" s="431" t="s">
        <v>634</v>
      </c>
    </row>
    <row r="296" spans="1:13" x14ac:dyDescent="0.2">
      <c r="A296" s="431" t="s">
        <v>633</v>
      </c>
      <c r="B296" s="431">
        <v>1871291</v>
      </c>
      <c r="C296" s="431" t="s">
        <v>159</v>
      </c>
      <c r="D296" s="431" t="s">
        <v>392</v>
      </c>
      <c r="E296" s="431" t="s">
        <v>161</v>
      </c>
      <c r="F296" s="431" t="s">
        <v>635</v>
      </c>
      <c r="G296" s="431" t="s">
        <v>175</v>
      </c>
      <c r="H296" s="431"/>
      <c r="I296" s="431"/>
      <c r="J296" s="431"/>
      <c r="K296" s="431"/>
      <c r="L296" s="431" t="s">
        <v>241</v>
      </c>
      <c r="M296" s="431" t="s">
        <v>634</v>
      </c>
    </row>
    <row r="297" spans="1:13" x14ac:dyDescent="0.2">
      <c r="A297" s="431" t="s">
        <v>633</v>
      </c>
      <c r="B297" s="431">
        <v>1871291</v>
      </c>
      <c r="C297" s="431" t="s">
        <v>159</v>
      </c>
      <c r="D297" s="431" t="s">
        <v>392</v>
      </c>
      <c r="E297" s="431" t="s">
        <v>161</v>
      </c>
      <c r="F297" s="431" t="s">
        <v>635</v>
      </c>
      <c r="G297" s="431" t="s">
        <v>175</v>
      </c>
      <c r="H297" s="431"/>
      <c r="I297" s="431"/>
      <c r="J297" s="431"/>
      <c r="K297" s="431"/>
      <c r="L297" s="431" t="s">
        <v>241</v>
      </c>
      <c r="M297" s="431" t="s">
        <v>634</v>
      </c>
    </row>
    <row r="298" spans="1:13" x14ac:dyDescent="0.2">
      <c r="A298" s="431" t="s">
        <v>633</v>
      </c>
      <c r="B298" s="431">
        <v>1871291</v>
      </c>
      <c r="C298" s="431" t="s">
        <v>159</v>
      </c>
      <c r="D298" s="431" t="s">
        <v>392</v>
      </c>
      <c r="E298" s="431" t="s">
        <v>161</v>
      </c>
      <c r="F298" s="431" t="s">
        <v>635</v>
      </c>
      <c r="G298" s="431" t="s">
        <v>175</v>
      </c>
      <c r="H298" s="431"/>
      <c r="I298" s="431"/>
      <c r="J298" s="431"/>
      <c r="K298" s="431"/>
      <c r="L298" s="431" t="s">
        <v>241</v>
      </c>
      <c r="M298" s="431" t="s">
        <v>634</v>
      </c>
    </row>
    <row r="299" spans="1:13" x14ac:dyDescent="0.2">
      <c r="A299" s="431" t="s">
        <v>633</v>
      </c>
      <c r="B299" s="431">
        <v>1871291</v>
      </c>
      <c r="C299" s="431" t="s">
        <v>159</v>
      </c>
      <c r="D299" s="431" t="s">
        <v>392</v>
      </c>
      <c r="E299" s="431" t="s">
        <v>161</v>
      </c>
      <c r="F299" s="431" t="s">
        <v>635</v>
      </c>
      <c r="G299" s="431" t="s">
        <v>175</v>
      </c>
      <c r="H299" s="431"/>
      <c r="I299" s="431"/>
      <c r="J299" s="431"/>
      <c r="K299" s="431"/>
      <c r="L299" s="431" t="s">
        <v>241</v>
      </c>
      <c r="M299" s="431" t="s">
        <v>634</v>
      </c>
    </row>
    <row r="300" spans="1:13" x14ac:dyDescent="0.2">
      <c r="A300" s="431" t="s">
        <v>633</v>
      </c>
      <c r="B300" s="431">
        <v>1871291</v>
      </c>
      <c r="C300" s="431" t="s">
        <v>159</v>
      </c>
      <c r="D300" s="431" t="s">
        <v>392</v>
      </c>
      <c r="E300" s="431" t="s">
        <v>161</v>
      </c>
      <c r="F300" s="431" t="s">
        <v>635</v>
      </c>
      <c r="G300" s="431" t="s">
        <v>175</v>
      </c>
      <c r="H300" s="431"/>
      <c r="I300" s="431"/>
      <c r="J300" s="431"/>
      <c r="K300" s="431"/>
      <c r="L300" s="431" t="s">
        <v>241</v>
      </c>
      <c r="M300" s="431" t="s">
        <v>634</v>
      </c>
    </row>
    <row r="301" spans="1:13" x14ac:dyDescent="0.2">
      <c r="A301" s="431" t="s">
        <v>633</v>
      </c>
      <c r="B301" s="431">
        <v>1871291</v>
      </c>
      <c r="C301" s="431" t="s">
        <v>159</v>
      </c>
      <c r="D301" s="431" t="s">
        <v>392</v>
      </c>
      <c r="E301" s="431" t="s">
        <v>161</v>
      </c>
      <c r="F301" s="431" t="s">
        <v>635</v>
      </c>
      <c r="G301" s="431" t="s">
        <v>175</v>
      </c>
      <c r="H301" s="431"/>
      <c r="I301" s="431"/>
      <c r="J301" s="431"/>
      <c r="K301" s="431"/>
      <c r="L301" s="431" t="s">
        <v>241</v>
      </c>
      <c r="M301" s="431" t="s">
        <v>634</v>
      </c>
    </row>
    <row r="302" spans="1:13" x14ac:dyDescent="0.2">
      <c r="A302" s="431" t="s">
        <v>633</v>
      </c>
      <c r="B302" s="431">
        <v>1871291</v>
      </c>
      <c r="C302" s="431" t="s">
        <v>159</v>
      </c>
      <c r="D302" s="431" t="s">
        <v>392</v>
      </c>
      <c r="E302" s="431" t="s">
        <v>161</v>
      </c>
      <c r="F302" s="431" t="s">
        <v>635</v>
      </c>
      <c r="G302" s="431" t="s">
        <v>175</v>
      </c>
      <c r="H302" s="431"/>
      <c r="I302" s="431"/>
      <c r="J302" s="431"/>
      <c r="K302" s="431"/>
      <c r="L302" s="431" t="s">
        <v>241</v>
      </c>
      <c r="M302" s="431" t="s">
        <v>634</v>
      </c>
    </row>
    <row r="303" spans="1:13" x14ac:dyDescent="0.2">
      <c r="A303" s="431" t="s">
        <v>633</v>
      </c>
      <c r="B303" s="431">
        <v>1871291</v>
      </c>
      <c r="C303" s="431" t="s">
        <v>159</v>
      </c>
      <c r="D303" s="431" t="s">
        <v>392</v>
      </c>
      <c r="E303" s="431" t="s">
        <v>161</v>
      </c>
      <c r="F303" s="431" t="s">
        <v>635</v>
      </c>
      <c r="G303" s="431" t="s">
        <v>175</v>
      </c>
      <c r="H303" s="431"/>
      <c r="I303" s="431"/>
      <c r="J303" s="431"/>
      <c r="K303" s="431"/>
      <c r="L303" s="431" t="s">
        <v>241</v>
      </c>
      <c r="M303" s="431" t="s">
        <v>634</v>
      </c>
    </row>
    <row r="304" spans="1:13" x14ac:dyDescent="0.2">
      <c r="A304" s="431" t="s">
        <v>633</v>
      </c>
      <c r="B304" s="431">
        <v>1871291</v>
      </c>
      <c r="C304" s="431" t="s">
        <v>159</v>
      </c>
      <c r="D304" s="431" t="s">
        <v>392</v>
      </c>
      <c r="E304" s="431" t="s">
        <v>161</v>
      </c>
      <c r="F304" s="431" t="s">
        <v>635</v>
      </c>
      <c r="G304" s="431" t="s">
        <v>175</v>
      </c>
      <c r="H304" s="431"/>
      <c r="I304" s="431"/>
      <c r="J304" s="431"/>
      <c r="K304" s="431"/>
      <c r="L304" s="431" t="s">
        <v>241</v>
      </c>
      <c r="M304" s="431" t="s">
        <v>634</v>
      </c>
    </row>
    <row r="305" spans="1:13" x14ac:dyDescent="0.2">
      <c r="A305" s="431" t="s">
        <v>633</v>
      </c>
      <c r="B305" s="431">
        <v>1871291</v>
      </c>
      <c r="C305" s="431" t="s">
        <v>159</v>
      </c>
      <c r="D305" s="431" t="s">
        <v>392</v>
      </c>
      <c r="E305" s="431" t="s">
        <v>161</v>
      </c>
      <c r="F305" s="431" t="s">
        <v>635</v>
      </c>
      <c r="G305" s="431" t="s">
        <v>175</v>
      </c>
      <c r="H305" s="431"/>
      <c r="I305" s="431"/>
      <c r="J305" s="431"/>
      <c r="K305" s="431"/>
      <c r="L305" s="431" t="s">
        <v>241</v>
      </c>
      <c r="M305" s="431" t="s">
        <v>634</v>
      </c>
    </row>
    <row r="306" spans="1:13" x14ac:dyDescent="0.2">
      <c r="A306" s="431" t="s">
        <v>633</v>
      </c>
      <c r="B306" s="431">
        <v>1871291</v>
      </c>
      <c r="C306" s="431" t="s">
        <v>159</v>
      </c>
      <c r="D306" s="431" t="s">
        <v>392</v>
      </c>
      <c r="E306" s="431" t="s">
        <v>161</v>
      </c>
      <c r="F306" s="431" t="s">
        <v>635</v>
      </c>
      <c r="G306" s="431" t="s">
        <v>175</v>
      </c>
      <c r="H306" s="431"/>
      <c r="I306" s="431"/>
      <c r="J306" s="431"/>
      <c r="K306" s="431"/>
      <c r="L306" s="431" t="s">
        <v>241</v>
      </c>
      <c r="M306" s="431" t="s">
        <v>634</v>
      </c>
    </row>
    <row r="307" spans="1:13" x14ac:dyDescent="0.2">
      <c r="A307" s="431" t="s">
        <v>633</v>
      </c>
      <c r="B307" s="431">
        <v>1871291</v>
      </c>
      <c r="C307" s="431" t="s">
        <v>159</v>
      </c>
      <c r="D307" s="431" t="s">
        <v>392</v>
      </c>
      <c r="E307" s="431" t="s">
        <v>161</v>
      </c>
      <c r="F307" s="431" t="s">
        <v>635</v>
      </c>
      <c r="G307" s="431" t="s">
        <v>175</v>
      </c>
      <c r="H307" s="431"/>
      <c r="I307" s="431"/>
      <c r="J307" s="431"/>
      <c r="K307" s="431"/>
      <c r="L307" s="431" t="s">
        <v>241</v>
      </c>
      <c r="M307" s="431" t="s">
        <v>634</v>
      </c>
    </row>
    <row r="308" spans="1:13" x14ac:dyDescent="0.2">
      <c r="A308" s="431" t="s">
        <v>633</v>
      </c>
      <c r="B308" s="431">
        <v>1871291</v>
      </c>
      <c r="C308" s="431" t="s">
        <v>159</v>
      </c>
      <c r="D308" s="431" t="s">
        <v>392</v>
      </c>
      <c r="E308" s="431" t="s">
        <v>161</v>
      </c>
      <c r="F308" s="431" t="s">
        <v>635</v>
      </c>
      <c r="G308" s="431" t="s">
        <v>175</v>
      </c>
      <c r="H308" s="431"/>
      <c r="I308" s="431"/>
      <c r="J308" s="431"/>
      <c r="K308" s="431"/>
      <c r="L308" s="431" t="s">
        <v>241</v>
      </c>
      <c r="M308" s="431" t="s">
        <v>634</v>
      </c>
    </row>
    <row r="309" spans="1:13" x14ac:dyDescent="0.2">
      <c r="A309" s="431" t="s">
        <v>633</v>
      </c>
      <c r="B309" s="431">
        <v>1871291</v>
      </c>
      <c r="C309" s="431" t="s">
        <v>159</v>
      </c>
      <c r="D309" s="431" t="s">
        <v>392</v>
      </c>
      <c r="E309" s="431" t="s">
        <v>161</v>
      </c>
      <c r="F309" s="431" t="s">
        <v>635</v>
      </c>
      <c r="G309" s="431" t="s">
        <v>175</v>
      </c>
      <c r="H309" s="431"/>
      <c r="I309" s="431"/>
      <c r="J309" s="431"/>
      <c r="K309" s="431"/>
      <c r="L309" s="431" t="s">
        <v>241</v>
      </c>
      <c r="M309" s="431" t="s">
        <v>634</v>
      </c>
    </row>
    <row r="310" spans="1:13" x14ac:dyDescent="0.2">
      <c r="A310" s="431" t="s">
        <v>633</v>
      </c>
      <c r="B310" s="431">
        <v>1871291</v>
      </c>
      <c r="C310" s="431" t="s">
        <v>159</v>
      </c>
      <c r="D310" s="431" t="s">
        <v>392</v>
      </c>
      <c r="E310" s="431" t="s">
        <v>161</v>
      </c>
      <c r="F310" s="431" t="s">
        <v>635</v>
      </c>
      <c r="G310" s="431" t="s">
        <v>175</v>
      </c>
      <c r="H310" s="431"/>
      <c r="I310" s="431"/>
      <c r="J310" s="431"/>
      <c r="K310" s="431"/>
      <c r="L310" s="431" t="s">
        <v>241</v>
      </c>
      <c r="M310" s="431" t="s">
        <v>634</v>
      </c>
    </row>
    <row r="311" spans="1:13" x14ac:dyDescent="0.2">
      <c r="A311" s="431" t="s">
        <v>633</v>
      </c>
      <c r="B311" s="431">
        <v>1871291</v>
      </c>
      <c r="C311" s="431" t="s">
        <v>159</v>
      </c>
      <c r="D311" s="431" t="s">
        <v>392</v>
      </c>
      <c r="E311" s="431" t="s">
        <v>161</v>
      </c>
      <c r="F311" s="431" t="s">
        <v>635</v>
      </c>
      <c r="G311" s="431" t="s">
        <v>175</v>
      </c>
      <c r="H311" s="431"/>
      <c r="I311" s="431"/>
      <c r="J311" s="431"/>
      <c r="K311" s="431"/>
      <c r="L311" s="431" t="s">
        <v>241</v>
      </c>
      <c r="M311" s="431" t="s">
        <v>634</v>
      </c>
    </row>
    <row r="312" spans="1:13" x14ac:dyDescent="0.2">
      <c r="A312" s="431" t="s">
        <v>633</v>
      </c>
      <c r="B312" s="431">
        <v>1871291</v>
      </c>
      <c r="C312" s="431" t="s">
        <v>159</v>
      </c>
      <c r="D312" s="431" t="s">
        <v>392</v>
      </c>
      <c r="E312" s="431" t="s">
        <v>161</v>
      </c>
      <c r="F312" s="431" t="s">
        <v>635</v>
      </c>
      <c r="G312" s="431" t="s">
        <v>175</v>
      </c>
      <c r="H312" s="431"/>
      <c r="I312" s="431"/>
      <c r="J312" s="431"/>
      <c r="K312" s="431"/>
      <c r="L312" s="431" t="s">
        <v>241</v>
      </c>
      <c r="M312" s="431" t="s">
        <v>634</v>
      </c>
    </row>
    <row r="313" spans="1:13" x14ac:dyDescent="0.2">
      <c r="A313" s="431" t="s">
        <v>633</v>
      </c>
      <c r="B313" s="431">
        <v>1871291</v>
      </c>
      <c r="C313" s="431" t="s">
        <v>159</v>
      </c>
      <c r="D313" s="431" t="s">
        <v>392</v>
      </c>
      <c r="E313" s="431" t="s">
        <v>161</v>
      </c>
      <c r="F313" s="431" t="s">
        <v>635</v>
      </c>
      <c r="G313" s="431" t="s">
        <v>175</v>
      </c>
      <c r="H313" s="431"/>
      <c r="I313" s="431"/>
      <c r="J313" s="431"/>
      <c r="K313" s="431"/>
      <c r="L313" s="431" t="s">
        <v>241</v>
      </c>
      <c r="M313" s="431" t="s">
        <v>634</v>
      </c>
    </row>
    <row r="314" spans="1:13" x14ac:dyDescent="0.2">
      <c r="A314" s="431" t="s">
        <v>633</v>
      </c>
      <c r="B314" s="431">
        <v>1871291</v>
      </c>
      <c r="C314" s="431" t="s">
        <v>159</v>
      </c>
      <c r="D314" s="431" t="s">
        <v>392</v>
      </c>
      <c r="E314" s="431" t="s">
        <v>161</v>
      </c>
      <c r="F314" s="431" t="s">
        <v>635</v>
      </c>
      <c r="G314" s="431" t="s">
        <v>175</v>
      </c>
      <c r="H314" s="431"/>
      <c r="I314" s="431"/>
      <c r="J314" s="431"/>
      <c r="K314" s="431"/>
      <c r="L314" s="431" t="s">
        <v>241</v>
      </c>
      <c r="M314" s="431" t="s">
        <v>634</v>
      </c>
    </row>
    <row r="315" spans="1:13" x14ac:dyDescent="0.2">
      <c r="A315" s="431" t="s">
        <v>633</v>
      </c>
      <c r="B315" s="431">
        <v>1871291</v>
      </c>
      <c r="C315" s="431" t="s">
        <v>159</v>
      </c>
      <c r="D315" s="431" t="s">
        <v>392</v>
      </c>
      <c r="E315" s="431" t="s">
        <v>161</v>
      </c>
      <c r="F315" s="431" t="s">
        <v>635</v>
      </c>
      <c r="G315" s="431" t="s">
        <v>175</v>
      </c>
      <c r="H315" s="431"/>
      <c r="I315" s="431"/>
      <c r="J315" s="431"/>
      <c r="K315" s="431"/>
      <c r="L315" s="431" t="s">
        <v>241</v>
      </c>
      <c r="M315" s="431" t="s">
        <v>634</v>
      </c>
    </row>
    <row r="316" spans="1:13" x14ac:dyDescent="0.2">
      <c r="A316" s="431" t="s">
        <v>633</v>
      </c>
      <c r="B316" s="431">
        <v>1871291</v>
      </c>
      <c r="C316" s="431" t="s">
        <v>159</v>
      </c>
      <c r="D316" s="431" t="s">
        <v>392</v>
      </c>
      <c r="E316" s="431" t="s">
        <v>161</v>
      </c>
      <c r="F316" s="431" t="s">
        <v>635</v>
      </c>
      <c r="G316" s="431" t="s">
        <v>175</v>
      </c>
      <c r="H316" s="431"/>
      <c r="I316" s="431"/>
      <c r="J316" s="431"/>
      <c r="K316" s="431"/>
      <c r="L316" s="431" t="s">
        <v>241</v>
      </c>
      <c r="M316" s="431" t="s">
        <v>634</v>
      </c>
    </row>
    <row r="317" spans="1:13" x14ac:dyDescent="0.2">
      <c r="A317" s="431" t="s">
        <v>633</v>
      </c>
      <c r="B317" s="431">
        <v>1871291</v>
      </c>
      <c r="C317" s="431" t="s">
        <v>159</v>
      </c>
      <c r="D317" s="431" t="s">
        <v>392</v>
      </c>
      <c r="E317" s="431" t="s">
        <v>161</v>
      </c>
      <c r="F317" s="431" t="s">
        <v>635</v>
      </c>
      <c r="G317" s="431" t="s">
        <v>175</v>
      </c>
      <c r="H317" s="431"/>
      <c r="I317" s="431"/>
      <c r="J317" s="431"/>
      <c r="K317" s="431"/>
      <c r="L317" s="431" t="s">
        <v>241</v>
      </c>
      <c r="M317" s="431" t="s">
        <v>634</v>
      </c>
    </row>
    <row r="318" spans="1:13" x14ac:dyDescent="0.2">
      <c r="A318" s="431" t="s">
        <v>633</v>
      </c>
      <c r="B318" s="431">
        <v>1871291</v>
      </c>
      <c r="C318" s="431" t="s">
        <v>159</v>
      </c>
      <c r="D318" s="431" t="s">
        <v>392</v>
      </c>
      <c r="E318" s="431" t="s">
        <v>161</v>
      </c>
      <c r="F318" s="431" t="s">
        <v>635</v>
      </c>
      <c r="G318" s="431" t="s">
        <v>175</v>
      </c>
      <c r="H318" s="431"/>
      <c r="I318" s="431"/>
      <c r="J318" s="431"/>
      <c r="K318" s="431"/>
      <c r="L318" s="431" t="s">
        <v>241</v>
      </c>
      <c r="M318" s="431" t="s">
        <v>634</v>
      </c>
    </row>
    <row r="319" spans="1:13" x14ac:dyDescent="0.2">
      <c r="A319" s="431" t="s">
        <v>633</v>
      </c>
      <c r="B319" s="431">
        <v>1871291</v>
      </c>
      <c r="C319" s="431" t="s">
        <v>159</v>
      </c>
      <c r="D319" s="431" t="s">
        <v>392</v>
      </c>
      <c r="E319" s="431" t="s">
        <v>161</v>
      </c>
      <c r="F319" s="431" t="s">
        <v>635</v>
      </c>
      <c r="G319" s="431" t="s">
        <v>175</v>
      </c>
      <c r="H319" s="431"/>
      <c r="I319" s="431"/>
      <c r="J319" s="431"/>
      <c r="K319" s="431"/>
      <c r="L319" s="431" t="s">
        <v>241</v>
      </c>
      <c r="M319" s="431" t="s">
        <v>634</v>
      </c>
    </row>
    <row r="320" spans="1:13" x14ac:dyDescent="0.2">
      <c r="A320" s="431" t="s">
        <v>633</v>
      </c>
      <c r="B320" s="431">
        <v>1871291</v>
      </c>
      <c r="C320" s="431" t="s">
        <v>159</v>
      </c>
      <c r="D320" s="431" t="s">
        <v>392</v>
      </c>
      <c r="E320" s="431" t="s">
        <v>161</v>
      </c>
      <c r="F320" s="431" t="s">
        <v>635</v>
      </c>
      <c r="G320" s="431" t="s">
        <v>175</v>
      </c>
      <c r="H320" s="431"/>
      <c r="I320" s="431"/>
      <c r="J320" s="431"/>
      <c r="K320" s="431"/>
      <c r="L320" s="431" t="s">
        <v>241</v>
      </c>
      <c r="M320" s="431" t="s">
        <v>634</v>
      </c>
    </row>
    <row r="321" spans="1:13" x14ac:dyDescent="0.2">
      <c r="A321" s="431" t="s">
        <v>633</v>
      </c>
      <c r="B321" s="431">
        <v>1871291</v>
      </c>
      <c r="C321" s="431" t="s">
        <v>159</v>
      </c>
      <c r="D321" s="431" t="s">
        <v>392</v>
      </c>
      <c r="E321" s="431" t="s">
        <v>161</v>
      </c>
      <c r="F321" s="431" t="s">
        <v>635</v>
      </c>
      <c r="G321" s="431" t="s">
        <v>175</v>
      </c>
      <c r="H321" s="431"/>
      <c r="I321" s="431"/>
      <c r="J321" s="431"/>
      <c r="K321" s="431"/>
      <c r="L321" s="431" t="s">
        <v>241</v>
      </c>
      <c r="M321" s="431" t="s">
        <v>634</v>
      </c>
    </row>
    <row r="322" spans="1:13" x14ac:dyDescent="0.2">
      <c r="A322" s="431" t="s">
        <v>633</v>
      </c>
      <c r="B322" s="431">
        <v>1871291</v>
      </c>
      <c r="C322" s="431" t="s">
        <v>159</v>
      </c>
      <c r="D322" s="431" t="s">
        <v>392</v>
      </c>
      <c r="E322" s="431" t="s">
        <v>161</v>
      </c>
      <c r="F322" s="431" t="s">
        <v>635</v>
      </c>
      <c r="G322" s="431" t="s">
        <v>175</v>
      </c>
      <c r="H322" s="431"/>
      <c r="I322" s="431"/>
      <c r="J322" s="431"/>
      <c r="K322" s="431"/>
      <c r="L322" s="431" t="s">
        <v>241</v>
      </c>
      <c r="M322" s="431" t="s">
        <v>634</v>
      </c>
    </row>
    <row r="323" spans="1:13" x14ac:dyDescent="0.2">
      <c r="A323" s="431" t="s">
        <v>633</v>
      </c>
      <c r="B323" s="431">
        <v>1871291</v>
      </c>
      <c r="C323" s="431" t="s">
        <v>159</v>
      </c>
      <c r="D323" s="431" t="s">
        <v>392</v>
      </c>
      <c r="E323" s="431" t="s">
        <v>161</v>
      </c>
      <c r="F323" s="431" t="s">
        <v>635</v>
      </c>
      <c r="G323" s="431" t="s">
        <v>175</v>
      </c>
      <c r="H323" s="431"/>
      <c r="I323" s="431"/>
      <c r="J323" s="431"/>
      <c r="K323" s="431"/>
      <c r="L323" s="431" t="s">
        <v>241</v>
      </c>
      <c r="M323" s="431" t="s">
        <v>634</v>
      </c>
    </row>
  </sheetData>
  <autoFilter ref="A2:N2" xr:uid="{00000000-0009-0000-0000-000006000000}"/>
  <pageMargins left="0.75" right="0.75" top="1" bottom="1" header="0.4921259845" footer="0.4921259845"/>
  <pageSetup paperSize="9" orientation="portrait" r:id="rId1"/>
  <headerFooter alignWithMargins="0">
    <oddFooter>&amp;LE905722 rev xxx ver xxx&amp;R&amp;P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8D9AC-2D08-4AC4-9A84-D83E64EFCF41}">
  <sheetPr codeName="Feuil8"/>
  <dimension ref="A1:N2"/>
  <sheetViews>
    <sheetView showGridLines="0" zoomScale="85" zoomScaleNormal="85" workbookViewId="0">
      <pane ySplit="2" topLeftCell="A3" activePane="bottomLeft" state="frozen"/>
      <selection pane="bottomLeft" activeCell="M2" sqref="M2"/>
    </sheetView>
  </sheetViews>
  <sheetFormatPr defaultColWidth="11.42578125" defaultRowHeight="12.75" x14ac:dyDescent="0.2"/>
  <cols>
    <col min="1" max="1" width="11.42578125" style="177"/>
    <col min="2" max="2" width="0" style="167" hidden="1" customWidth="1"/>
    <col min="3" max="9" width="11.42578125" style="167"/>
    <col min="10" max="10" width="22.7109375" style="167" customWidth="1"/>
    <col min="11" max="11" width="11.42578125" style="181"/>
    <col min="12" max="16384" width="11.42578125" style="167"/>
  </cols>
  <sheetData>
    <row r="1" spans="1:14" ht="115.5" x14ac:dyDescent="0.2">
      <c r="A1" s="430" t="s">
        <v>155</v>
      </c>
      <c r="B1" s="430" t="s">
        <v>40</v>
      </c>
      <c r="C1" s="430" t="s">
        <v>141</v>
      </c>
      <c r="D1" s="430" t="s">
        <v>41</v>
      </c>
      <c r="E1" s="430" t="s">
        <v>42</v>
      </c>
      <c r="F1" s="430" t="s">
        <v>109</v>
      </c>
      <c r="G1" s="430" t="s">
        <v>43</v>
      </c>
      <c r="H1" s="430" t="s">
        <v>156</v>
      </c>
      <c r="I1" s="430" t="s">
        <v>45</v>
      </c>
      <c r="J1" s="430" t="s">
        <v>46</v>
      </c>
      <c r="K1" s="430" t="s">
        <v>47</v>
      </c>
      <c r="L1" s="430" t="s">
        <v>140</v>
      </c>
      <c r="M1" s="430" t="s">
        <v>157</v>
      </c>
      <c r="N1" s="190"/>
    </row>
    <row r="2" spans="1:14" x14ac:dyDescent="0.2">
      <c r="A2" s="431"/>
      <c r="B2" s="431"/>
      <c r="C2" s="431"/>
      <c r="D2" s="431"/>
      <c r="E2" s="431" t="s">
        <v>161</v>
      </c>
      <c r="F2" s="431"/>
      <c r="G2" s="431"/>
      <c r="H2" s="431"/>
      <c r="I2" s="431"/>
      <c r="J2" s="431"/>
      <c r="K2" s="431"/>
      <c r="L2" s="431"/>
      <c r="M2" s="431"/>
      <c r="N2" s="178"/>
    </row>
  </sheetData>
  <autoFilter ref="A2:N2" xr:uid="{00000000-0009-0000-0000-000006000000}"/>
  <pageMargins left="0.75" right="0.75" top="1" bottom="1" header="0.4921259845" footer="0.4921259845"/>
  <pageSetup paperSize="9" orientation="portrait" r:id="rId1"/>
  <headerFooter alignWithMargins="0">
    <oddFooter>&amp;LE905722 rev xxx ver xxx&amp;R&amp;P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BEED-1196-4EAC-873E-7B42CFC26CA6}">
  <sheetPr codeName="Feuil9"/>
  <dimension ref="A1:N1430"/>
  <sheetViews>
    <sheetView showGridLines="0" zoomScale="85" zoomScaleNormal="85" workbookViewId="0">
      <pane ySplit="2" topLeftCell="A3" activePane="bottomLeft" state="frozen"/>
      <selection pane="bottomLeft" activeCell="M1430" sqref="M1430"/>
    </sheetView>
  </sheetViews>
  <sheetFormatPr defaultColWidth="11.42578125" defaultRowHeight="12.75" x14ac:dyDescent="0.2"/>
  <cols>
    <col min="1" max="1" width="11.42578125" style="177"/>
    <col min="2" max="2" width="0" style="167" hidden="1" customWidth="1"/>
    <col min="3" max="9" width="11.42578125" style="167"/>
    <col min="10" max="10" width="22.7109375" style="167" customWidth="1"/>
    <col min="11" max="11" width="11.42578125" style="181"/>
    <col min="12" max="16384" width="11.42578125" style="167"/>
  </cols>
  <sheetData>
    <row r="1" spans="1:14" ht="115.5" x14ac:dyDescent="0.2">
      <c r="A1" s="430" t="s">
        <v>155</v>
      </c>
      <c r="B1" s="430" t="s">
        <v>40</v>
      </c>
      <c r="C1" s="430" t="s">
        <v>141</v>
      </c>
      <c r="D1" s="430" t="s">
        <v>41</v>
      </c>
      <c r="E1" s="430" t="s">
        <v>42</v>
      </c>
      <c r="F1" s="430" t="s">
        <v>109</v>
      </c>
      <c r="G1" s="430" t="s">
        <v>43</v>
      </c>
      <c r="H1" s="430" t="s">
        <v>156</v>
      </c>
      <c r="I1" s="430" t="s">
        <v>45</v>
      </c>
      <c r="J1" s="430" t="s">
        <v>46</v>
      </c>
      <c r="K1" s="430" t="s">
        <v>47</v>
      </c>
      <c r="L1" s="430" t="s">
        <v>140</v>
      </c>
      <c r="M1" s="430" t="s">
        <v>157</v>
      </c>
      <c r="N1" s="190"/>
    </row>
    <row r="2" spans="1:14" ht="409.5" x14ac:dyDescent="0.2">
      <c r="A2" s="431" t="s">
        <v>636</v>
      </c>
      <c r="B2" s="431">
        <v>1690031</v>
      </c>
      <c r="C2" s="431" t="s">
        <v>159</v>
      </c>
      <c r="D2" s="431" t="s">
        <v>160</v>
      </c>
      <c r="E2" s="431" t="s">
        <v>161</v>
      </c>
      <c r="F2" s="431" t="s">
        <v>195</v>
      </c>
      <c r="G2" s="431" t="s">
        <v>175</v>
      </c>
      <c r="H2" s="431"/>
      <c r="I2" s="431"/>
      <c r="J2" s="431"/>
      <c r="K2" s="431"/>
      <c r="L2" s="431" t="s">
        <v>352</v>
      </c>
      <c r="M2" s="432" t="s">
        <v>637</v>
      </c>
      <c r="N2" s="178"/>
    </row>
    <row r="3" spans="1:14" ht="409.5" x14ac:dyDescent="0.2">
      <c r="A3" s="431" t="s">
        <v>636</v>
      </c>
      <c r="B3" s="431">
        <v>1690031</v>
      </c>
      <c r="C3" s="431" t="s">
        <v>159</v>
      </c>
      <c r="D3" s="431" t="s">
        <v>160</v>
      </c>
      <c r="E3" s="431" t="s">
        <v>161</v>
      </c>
      <c r="F3" s="431" t="s">
        <v>198</v>
      </c>
      <c r="G3" s="431" t="s">
        <v>175</v>
      </c>
      <c r="H3" s="431"/>
      <c r="I3" s="431"/>
      <c r="J3" s="431"/>
      <c r="K3" s="431"/>
      <c r="L3" s="431" t="s">
        <v>352</v>
      </c>
      <c r="M3" s="432" t="s">
        <v>637</v>
      </c>
    </row>
    <row r="4" spans="1:14" ht="409.5" x14ac:dyDescent="0.2">
      <c r="A4" s="431" t="s">
        <v>636</v>
      </c>
      <c r="B4" s="431">
        <v>1690031</v>
      </c>
      <c r="C4" s="431" t="s">
        <v>159</v>
      </c>
      <c r="D4" s="431" t="s">
        <v>160</v>
      </c>
      <c r="E4" s="431" t="s">
        <v>161</v>
      </c>
      <c r="F4" s="431" t="s">
        <v>198</v>
      </c>
      <c r="G4" s="431" t="s">
        <v>175</v>
      </c>
      <c r="H4" s="431"/>
      <c r="I4" s="431"/>
      <c r="J4" s="431"/>
      <c r="K4" s="431"/>
      <c r="L4" s="431" t="s">
        <v>352</v>
      </c>
      <c r="M4" s="432" t="s">
        <v>637</v>
      </c>
    </row>
    <row r="5" spans="1:14" ht="409.5" x14ac:dyDescent="0.2">
      <c r="A5" s="431" t="s">
        <v>636</v>
      </c>
      <c r="B5" s="431">
        <v>1690031</v>
      </c>
      <c r="C5" s="431" t="s">
        <v>159</v>
      </c>
      <c r="D5" s="431" t="s">
        <v>160</v>
      </c>
      <c r="E5" s="431" t="s">
        <v>161</v>
      </c>
      <c r="F5" s="431" t="s">
        <v>199</v>
      </c>
      <c r="G5" s="431" t="s">
        <v>175</v>
      </c>
      <c r="H5" s="431"/>
      <c r="I5" s="431"/>
      <c r="J5" s="431"/>
      <c r="K5" s="431"/>
      <c r="L5" s="431" t="s">
        <v>352</v>
      </c>
      <c r="M5" s="432" t="s">
        <v>637</v>
      </c>
    </row>
    <row r="6" spans="1:14" ht="409.5" x14ac:dyDescent="0.2">
      <c r="A6" s="431" t="s">
        <v>636</v>
      </c>
      <c r="B6" s="431">
        <v>1690031</v>
      </c>
      <c r="C6" s="431" t="s">
        <v>159</v>
      </c>
      <c r="D6" s="431" t="s">
        <v>160</v>
      </c>
      <c r="E6" s="431" t="s">
        <v>161</v>
      </c>
      <c r="F6" s="431" t="s">
        <v>199</v>
      </c>
      <c r="G6" s="431" t="s">
        <v>175</v>
      </c>
      <c r="H6" s="431"/>
      <c r="I6" s="431"/>
      <c r="J6" s="431"/>
      <c r="K6" s="431"/>
      <c r="L6" s="431" t="s">
        <v>352</v>
      </c>
      <c r="M6" s="432" t="s">
        <v>637</v>
      </c>
    </row>
    <row r="7" spans="1:14" ht="409.5" x14ac:dyDescent="0.2">
      <c r="A7" s="431" t="s">
        <v>636</v>
      </c>
      <c r="B7" s="431">
        <v>1690031</v>
      </c>
      <c r="C7" s="431" t="s">
        <v>159</v>
      </c>
      <c r="D7" s="431" t="s">
        <v>160</v>
      </c>
      <c r="E7" s="431" t="s">
        <v>161</v>
      </c>
      <c r="F7" s="431" t="s">
        <v>380</v>
      </c>
      <c r="G7" s="431" t="s">
        <v>175</v>
      </c>
      <c r="H7" s="431"/>
      <c r="I7" s="431"/>
      <c r="J7" s="431"/>
      <c r="K7" s="431"/>
      <c r="L7" s="431" t="s">
        <v>352</v>
      </c>
      <c r="M7" s="432" t="s">
        <v>637</v>
      </c>
    </row>
    <row r="8" spans="1:14" ht="409.5" x14ac:dyDescent="0.2">
      <c r="A8" s="431" t="s">
        <v>636</v>
      </c>
      <c r="B8" s="431">
        <v>1690031</v>
      </c>
      <c r="C8" s="431" t="s">
        <v>159</v>
      </c>
      <c r="D8" s="431" t="s">
        <v>160</v>
      </c>
      <c r="E8" s="431" t="s">
        <v>161</v>
      </c>
      <c r="F8" s="431" t="s">
        <v>638</v>
      </c>
      <c r="G8" s="431" t="s">
        <v>175</v>
      </c>
      <c r="H8" s="431"/>
      <c r="I8" s="431"/>
      <c r="J8" s="431"/>
      <c r="K8" s="431"/>
      <c r="L8" s="431" t="s">
        <v>352</v>
      </c>
      <c r="M8" s="432" t="s">
        <v>637</v>
      </c>
    </row>
    <row r="9" spans="1:14" ht="409.5" x14ac:dyDescent="0.2">
      <c r="A9" s="431" t="s">
        <v>636</v>
      </c>
      <c r="B9" s="431">
        <v>1690031</v>
      </c>
      <c r="C9" s="431" t="s">
        <v>159</v>
      </c>
      <c r="D9" s="431" t="s">
        <v>160</v>
      </c>
      <c r="E9" s="431" t="s">
        <v>161</v>
      </c>
      <c r="F9" s="431" t="s">
        <v>638</v>
      </c>
      <c r="G9" s="431" t="s">
        <v>175</v>
      </c>
      <c r="H9" s="431"/>
      <c r="I9" s="431"/>
      <c r="J9" s="431"/>
      <c r="K9" s="431"/>
      <c r="L9" s="431" t="s">
        <v>352</v>
      </c>
      <c r="M9" s="432" t="s">
        <v>637</v>
      </c>
    </row>
    <row r="10" spans="1:14" ht="409.5" x14ac:dyDescent="0.2">
      <c r="A10" s="431" t="s">
        <v>636</v>
      </c>
      <c r="B10" s="431">
        <v>1690031</v>
      </c>
      <c r="C10" s="431" t="s">
        <v>159</v>
      </c>
      <c r="D10" s="431" t="s">
        <v>160</v>
      </c>
      <c r="E10" s="431" t="s">
        <v>161</v>
      </c>
      <c r="F10" s="431" t="s">
        <v>639</v>
      </c>
      <c r="G10" s="431" t="s">
        <v>175</v>
      </c>
      <c r="H10" s="431"/>
      <c r="I10" s="431"/>
      <c r="J10" s="431"/>
      <c r="K10" s="431"/>
      <c r="L10" s="431" t="s">
        <v>352</v>
      </c>
      <c r="M10" s="432" t="s">
        <v>637</v>
      </c>
    </row>
    <row r="11" spans="1:14" ht="409.5" x14ac:dyDescent="0.2">
      <c r="A11" s="431" t="s">
        <v>636</v>
      </c>
      <c r="B11" s="431">
        <v>1690031</v>
      </c>
      <c r="C11" s="431" t="s">
        <v>159</v>
      </c>
      <c r="D11" s="431" t="s">
        <v>160</v>
      </c>
      <c r="E11" s="431" t="s">
        <v>161</v>
      </c>
      <c r="F11" s="431" t="s">
        <v>639</v>
      </c>
      <c r="G11" s="431" t="s">
        <v>175</v>
      </c>
      <c r="H11" s="431"/>
      <c r="I11" s="431"/>
      <c r="J11" s="431"/>
      <c r="K11" s="431"/>
      <c r="L11" s="431" t="s">
        <v>352</v>
      </c>
      <c r="M11" s="432" t="s">
        <v>637</v>
      </c>
    </row>
    <row r="12" spans="1:14" ht="409.5" x14ac:dyDescent="0.2">
      <c r="A12" s="431" t="s">
        <v>636</v>
      </c>
      <c r="B12" s="431">
        <v>1690031</v>
      </c>
      <c r="C12" s="431" t="s">
        <v>159</v>
      </c>
      <c r="D12" s="431" t="s">
        <v>160</v>
      </c>
      <c r="E12" s="431" t="s">
        <v>161</v>
      </c>
      <c r="F12" s="431" t="s">
        <v>640</v>
      </c>
      <c r="G12" s="431" t="s">
        <v>175</v>
      </c>
      <c r="H12" s="431"/>
      <c r="I12" s="431"/>
      <c r="J12" s="431"/>
      <c r="K12" s="431"/>
      <c r="L12" s="431" t="s">
        <v>352</v>
      </c>
      <c r="M12" s="432" t="s">
        <v>637</v>
      </c>
    </row>
    <row r="13" spans="1:14" ht="409.5" x14ac:dyDescent="0.2">
      <c r="A13" s="431" t="s">
        <v>636</v>
      </c>
      <c r="B13" s="431">
        <v>1690031</v>
      </c>
      <c r="C13" s="431" t="s">
        <v>159</v>
      </c>
      <c r="D13" s="431" t="s">
        <v>160</v>
      </c>
      <c r="E13" s="431" t="s">
        <v>161</v>
      </c>
      <c r="F13" s="431" t="s">
        <v>640</v>
      </c>
      <c r="G13" s="431" t="s">
        <v>175</v>
      </c>
      <c r="H13" s="431"/>
      <c r="I13" s="431"/>
      <c r="J13" s="431"/>
      <c r="K13" s="431"/>
      <c r="L13" s="431" t="s">
        <v>352</v>
      </c>
      <c r="M13" s="432" t="s">
        <v>637</v>
      </c>
    </row>
    <row r="14" spans="1:14" ht="409.5" x14ac:dyDescent="0.2">
      <c r="A14" s="431" t="s">
        <v>636</v>
      </c>
      <c r="B14" s="431">
        <v>1690031</v>
      </c>
      <c r="C14" s="431" t="s">
        <v>159</v>
      </c>
      <c r="D14" s="431" t="s">
        <v>160</v>
      </c>
      <c r="E14" s="431" t="s">
        <v>161</v>
      </c>
      <c r="F14" s="431" t="s">
        <v>640</v>
      </c>
      <c r="G14" s="431" t="s">
        <v>175</v>
      </c>
      <c r="H14" s="431"/>
      <c r="I14" s="431"/>
      <c r="J14" s="431"/>
      <c r="K14" s="431"/>
      <c r="L14" s="431" t="s">
        <v>352</v>
      </c>
      <c r="M14" s="432" t="s">
        <v>637</v>
      </c>
    </row>
    <row r="15" spans="1:14" ht="409.5" x14ac:dyDescent="0.2">
      <c r="A15" s="431" t="s">
        <v>636</v>
      </c>
      <c r="B15" s="431">
        <v>1690031</v>
      </c>
      <c r="C15" s="431" t="s">
        <v>159</v>
      </c>
      <c r="D15" s="431" t="s">
        <v>160</v>
      </c>
      <c r="E15" s="431" t="s">
        <v>161</v>
      </c>
      <c r="F15" s="431" t="s">
        <v>640</v>
      </c>
      <c r="G15" s="431" t="s">
        <v>175</v>
      </c>
      <c r="H15" s="431"/>
      <c r="I15" s="431"/>
      <c r="J15" s="431"/>
      <c r="K15" s="431"/>
      <c r="L15" s="431" t="s">
        <v>352</v>
      </c>
      <c r="M15" s="432" t="s">
        <v>637</v>
      </c>
    </row>
    <row r="16" spans="1:14" ht="409.5" x14ac:dyDescent="0.2">
      <c r="A16" s="431" t="s">
        <v>636</v>
      </c>
      <c r="B16" s="431">
        <v>1690031</v>
      </c>
      <c r="C16" s="431" t="s">
        <v>159</v>
      </c>
      <c r="D16" s="431" t="s">
        <v>160</v>
      </c>
      <c r="E16" s="431" t="s">
        <v>161</v>
      </c>
      <c r="F16" s="431" t="s">
        <v>640</v>
      </c>
      <c r="G16" s="431" t="s">
        <v>175</v>
      </c>
      <c r="H16" s="431"/>
      <c r="I16" s="431"/>
      <c r="J16" s="431"/>
      <c r="K16" s="431"/>
      <c r="L16" s="431" t="s">
        <v>352</v>
      </c>
      <c r="M16" s="432" t="s">
        <v>637</v>
      </c>
    </row>
    <row r="17" spans="1:13" ht="409.5" x14ac:dyDescent="0.2">
      <c r="A17" s="431" t="s">
        <v>636</v>
      </c>
      <c r="B17" s="431">
        <v>1690031</v>
      </c>
      <c r="C17" s="431" t="s">
        <v>159</v>
      </c>
      <c r="D17" s="431" t="s">
        <v>160</v>
      </c>
      <c r="E17" s="431" t="s">
        <v>161</v>
      </c>
      <c r="F17" s="431" t="s">
        <v>640</v>
      </c>
      <c r="G17" s="431" t="s">
        <v>175</v>
      </c>
      <c r="H17" s="431"/>
      <c r="I17" s="431"/>
      <c r="J17" s="431"/>
      <c r="K17" s="431"/>
      <c r="L17" s="431" t="s">
        <v>352</v>
      </c>
      <c r="M17" s="432" t="s">
        <v>637</v>
      </c>
    </row>
    <row r="18" spans="1:13" x14ac:dyDescent="0.2">
      <c r="A18" s="431" t="s">
        <v>641</v>
      </c>
      <c r="B18" s="431">
        <v>1690134</v>
      </c>
      <c r="C18" s="431" t="s">
        <v>159</v>
      </c>
      <c r="D18" s="431" t="s">
        <v>160</v>
      </c>
      <c r="E18" s="431" t="s">
        <v>161</v>
      </c>
      <c r="F18" s="431" t="s">
        <v>195</v>
      </c>
      <c r="G18" s="431" t="s">
        <v>175</v>
      </c>
      <c r="H18" s="431"/>
      <c r="I18" s="431"/>
      <c r="J18" s="431"/>
      <c r="K18" s="431"/>
      <c r="L18" s="431" t="s">
        <v>163</v>
      </c>
      <c r="M18" s="431" t="s">
        <v>642</v>
      </c>
    </row>
    <row r="19" spans="1:13" x14ac:dyDescent="0.2">
      <c r="A19" s="431" t="s">
        <v>641</v>
      </c>
      <c r="B19" s="431">
        <v>1690134</v>
      </c>
      <c r="C19" s="431" t="s">
        <v>159</v>
      </c>
      <c r="D19" s="431" t="s">
        <v>160</v>
      </c>
      <c r="E19" s="431" t="s">
        <v>161</v>
      </c>
      <c r="F19" s="431" t="s">
        <v>643</v>
      </c>
      <c r="G19" s="431" t="s">
        <v>175</v>
      </c>
      <c r="H19" s="431"/>
      <c r="I19" s="431"/>
      <c r="J19" s="431"/>
      <c r="K19" s="431"/>
      <c r="L19" s="431" t="s">
        <v>163</v>
      </c>
      <c r="M19" s="431" t="s">
        <v>642</v>
      </c>
    </row>
    <row r="20" spans="1:13" x14ac:dyDescent="0.2">
      <c r="A20" s="431" t="s">
        <v>641</v>
      </c>
      <c r="B20" s="431">
        <v>1690134</v>
      </c>
      <c r="C20" s="431" t="s">
        <v>159</v>
      </c>
      <c r="D20" s="431" t="s">
        <v>160</v>
      </c>
      <c r="E20" s="431" t="s">
        <v>161</v>
      </c>
      <c r="F20" s="431" t="s">
        <v>644</v>
      </c>
      <c r="G20" s="431" t="s">
        <v>175</v>
      </c>
      <c r="H20" s="431"/>
      <c r="I20" s="431"/>
      <c r="J20" s="431"/>
      <c r="K20" s="431"/>
      <c r="L20" s="431" t="s">
        <v>163</v>
      </c>
      <c r="M20" s="431" t="s">
        <v>642</v>
      </c>
    </row>
    <row r="21" spans="1:13" x14ac:dyDescent="0.2">
      <c r="A21" s="431" t="s">
        <v>641</v>
      </c>
      <c r="B21" s="431">
        <v>1690134</v>
      </c>
      <c r="C21" s="431" t="s">
        <v>159</v>
      </c>
      <c r="D21" s="431" t="s">
        <v>160</v>
      </c>
      <c r="E21" s="431" t="s">
        <v>161</v>
      </c>
      <c r="F21" s="431" t="s">
        <v>644</v>
      </c>
      <c r="G21" s="431" t="s">
        <v>175</v>
      </c>
      <c r="H21" s="431"/>
      <c r="I21" s="431"/>
      <c r="J21" s="431"/>
      <c r="K21" s="431"/>
      <c r="L21" s="431" t="s">
        <v>163</v>
      </c>
      <c r="M21" s="431" t="s">
        <v>642</v>
      </c>
    </row>
    <row r="22" spans="1:13" x14ac:dyDescent="0.2">
      <c r="A22" s="431" t="s">
        <v>641</v>
      </c>
      <c r="B22" s="431">
        <v>1690134</v>
      </c>
      <c r="C22" s="431" t="s">
        <v>159</v>
      </c>
      <c r="D22" s="431" t="s">
        <v>160</v>
      </c>
      <c r="E22" s="431" t="s">
        <v>161</v>
      </c>
      <c r="F22" s="431" t="s">
        <v>644</v>
      </c>
      <c r="G22" s="431" t="s">
        <v>175</v>
      </c>
      <c r="H22" s="431"/>
      <c r="I22" s="431"/>
      <c r="J22" s="431"/>
      <c r="K22" s="431"/>
      <c r="L22" s="431" t="s">
        <v>163</v>
      </c>
      <c r="M22" s="431" t="s">
        <v>642</v>
      </c>
    </row>
    <row r="23" spans="1:13" x14ac:dyDescent="0.2">
      <c r="A23" s="431" t="s">
        <v>641</v>
      </c>
      <c r="B23" s="431">
        <v>1690134</v>
      </c>
      <c r="C23" s="431" t="s">
        <v>159</v>
      </c>
      <c r="D23" s="431" t="s">
        <v>160</v>
      </c>
      <c r="E23" s="431" t="s">
        <v>161</v>
      </c>
      <c r="F23" s="431" t="s">
        <v>644</v>
      </c>
      <c r="G23" s="431" t="s">
        <v>175</v>
      </c>
      <c r="H23" s="431"/>
      <c r="I23" s="431"/>
      <c r="J23" s="431"/>
      <c r="K23" s="431"/>
      <c r="L23" s="431" t="s">
        <v>163</v>
      </c>
      <c r="M23" s="431" t="s">
        <v>642</v>
      </c>
    </row>
    <row r="24" spans="1:13" x14ac:dyDescent="0.2">
      <c r="A24" s="431" t="s">
        <v>641</v>
      </c>
      <c r="B24" s="431">
        <v>1690134</v>
      </c>
      <c r="C24" s="431" t="s">
        <v>159</v>
      </c>
      <c r="D24" s="431" t="s">
        <v>160</v>
      </c>
      <c r="E24" s="431" t="s">
        <v>161</v>
      </c>
      <c r="F24" s="431" t="s">
        <v>644</v>
      </c>
      <c r="G24" s="431" t="s">
        <v>175</v>
      </c>
      <c r="H24" s="431"/>
      <c r="I24" s="431"/>
      <c r="J24" s="431"/>
      <c r="K24" s="431"/>
      <c r="L24" s="431" t="s">
        <v>163</v>
      </c>
      <c r="M24" s="431" t="s">
        <v>642</v>
      </c>
    </row>
    <row r="25" spans="1:13" x14ac:dyDescent="0.2">
      <c r="A25" s="431" t="s">
        <v>641</v>
      </c>
      <c r="B25" s="431">
        <v>1690134</v>
      </c>
      <c r="C25" s="431" t="s">
        <v>159</v>
      </c>
      <c r="D25" s="431" t="s">
        <v>160</v>
      </c>
      <c r="E25" s="431" t="s">
        <v>161</v>
      </c>
      <c r="F25" s="431" t="s">
        <v>644</v>
      </c>
      <c r="G25" s="431" t="s">
        <v>175</v>
      </c>
      <c r="H25" s="431"/>
      <c r="I25" s="431"/>
      <c r="J25" s="431"/>
      <c r="K25" s="431"/>
      <c r="L25" s="431" t="s">
        <v>163</v>
      </c>
      <c r="M25" s="431" t="s">
        <v>642</v>
      </c>
    </row>
    <row r="26" spans="1:13" x14ac:dyDescent="0.2">
      <c r="A26" s="431" t="s">
        <v>641</v>
      </c>
      <c r="B26" s="431">
        <v>1690134</v>
      </c>
      <c r="C26" s="431" t="s">
        <v>159</v>
      </c>
      <c r="D26" s="431" t="s">
        <v>160</v>
      </c>
      <c r="E26" s="431" t="s">
        <v>161</v>
      </c>
      <c r="F26" s="431" t="s">
        <v>640</v>
      </c>
      <c r="G26" s="431" t="s">
        <v>175</v>
      </c>
      <c r="H26" s="431"/>
      <c r="I26" s="431"/>
      <c r="J26" s="431"/>
      <c r="K26" s="431"/>
      <c r="L26" s="431" t="s">
        <v>163</v>
      </c>
      <c r="M26" s="431" t="s">
        <v>642</v>
      </c>
    </row>
    <row r="27" spans="1:13" x14ac:dyDescent="0.2">
      <c r="A27" s="431" t="s">
        <v>641</v>
      </c>
      <c r="B27" s="431">
        <v>1690134</v>
      </c>
      <c r="C27" s="431" t="s">
        <v>159</v>
      </c>
      <c r="D27" s="431" t="s">
        <v>160</v>
      </c>
      <c r="E27" s="431" t="s">
        <v>161</v>
      </c>
      <c r="F27" s="431" t="s">
        <v>640</v>
      </c>
      <c r="G27" s="431" t="s">
        <v>175</v>
      </c>
      <c r="H27" s="431"/>
      <c r="I27" s="431"/>
      <c r="J27" s="431"/>
      <c r="K27" s="431"/>
      <c r="L27" s="431" t="s">
        <v>163</v>
      </c>
      <c r="M27" s="431" t="s">
        <v>642</v>
      </c>
    </row>
    <row r="28" spans="1:13" x14ac:dyDescent="0.2">
      <c r="A28" s="431" t="s">
        <v>641</v>
      </c>
      <c r="B28" s="431">
        <v>1690134</v>
      </c>
      <c r="C28" s="431" t="s">
        <v>159</v>
      </c>
      <c r="D28" s="431" t="s">
        <v>160</v>
      </c>
      <c r="E28" s="431" t="s">
        <v>161</v>
      </c>
      <c r="F28" s="431" t="s">
        <v>640</v>
      </c>
      <c r="G28" s="431" t="s">
        <v>175</v>
      </c>
      <c r="H28" s="431"/>
      <c r="I28" s="431"/>
      <c r="J28" s="431"/>
      <c r="K28" s="431"/>
      <c r="L28" s="431" t="s">
        <v>163</v>
      </c>
      <c r="M28" s="431" t="s">
        <v>642</v>
      </c>
    </row>
    <row r="29" spans="1:13" x14ac:dyDescent="0.2">
      <c r="A29" s="431" t="s">
        <v>641</v>
      </c>
      <c r="B29" s="431">
        <v>1690134</v>
      </c>
      <c r="C29" s="431" t="s">
        <v>159</v>
      </c>
      <c r="D29" s="431" t="s">
        <v>160</v>
      </c>
      <c r="E29" s="431" t="s">
        <v>161</v>
      </c>
      <c r="F29" s="431" t="s">
        <v>640</v>
      </c>
      <c r="G29" s="431" t="s">
        <v>175</v>
      </c>
      <c r="H29" s="431"/>
      <c r="I29" s="431"/>
      <c r="J29" s="431"/>
      <c r="K29" s="431"/>
      <c r="L29" s="431" t="s">
        <v>163</v>
      </c>
      <c r="M29" s="431" t="s">
        <v>642</v>
      </c>
    </row>
    <row r="30" spans="1:13" x14ac:dyDescent="0.2">
      <c r="A30" s="431" t="s">
        <v>641</v>
      </c>
      <c r="B30" s="431">
        <v>1690134</v>
      </c>
      <c r="C30" s="431" t="s">
        <v>159</v>
      </c>
      <c r="D30" s="431" t="s">
        <v>160</v>
      </c>
      <c r="E30" s="431" t="s">
        <v>161</v>
      </c>
      <c r="F30" s="431" t="s">
        <v>640</v>
      </c>
      <c r="G30" s="431" t="s">
        <v>175</v>
      </c>
      <c r="H30" s="431"/>
      <c r="I30" s="431"/>
      <c r="J30" s="431"/>
      <c r="K30" s="431"/>
      <c r="L30" s="431" t="s">
        <v>163</v>
      </c>
      <c r="M30" s="431" t="s">
        <v>642</v>
      </c>
    </row>
    <row r="31" spans="1:13" x14ac:dyDescent="0.2">
      <c r="A31" s="431" t="s">
        <v>641</v>
      </c>
      <c r="B31" s="431">
        <v>1690134</v>
      </c>
      <c r="C31" s="431" t="s">
        <v>159</v>
      </c>
      <c r="D31" s="431" t="s">
        <v>160</v>
      </c>
      <c r="E31" s="431" t="s">
        <v>161</v>
      </c>
      <c r="F31" s="431" t="s">
        <v>640</v>
      </c>
      <c r="G31" s="431" t="s">
        <v>175</v>
      </c>
      <c r="H31" s="431"/>
      <c r="I31" s="431"/>
      <c r="J31" s="431"/>
      <c r="K31" s="431"/>
      <c r="L31" s="431" t="s">
        <v>163</v>
      </c>
      <c r="M31" s="431" t="s">
        <v>642</v>
      </c>
    </row>
    <row r="32" spans="1:13" x14ac:dyDescent="0.2">
      <c r="A32" s="431" t="s">
        <v>645</v>
      </c>
      <c r="B32" s="431">
        <v>1690181</v>
      </c>
      <c r="C32" s="431" t="s">
        <v>159</v>
      </c>
      <c r="D32" s="431" t="s">
        <v>160</v>
      </c>
      <c r="E32" s="431" t="s">
        <v>161</v>
      </c>
      <c r="F32" s="431" t="s">
        <v>198</v>
      </c>
      <c r="G32" s="431" t="s">
        <v>175</v>
      </c>
      <c r="H32" s="431"/>
      <c r="I32" s="431"/>
      <c r="J32" s="431"/>
      <c r="K32" s="431"/>
      <c r="L32" s="431" t="s">
        <v>352</v>
      </c>
      <c r="M32" s="431" t="s">
        <v>646</v>
      </c>
    </row>
    <row r="33" spans="1:13" x14ac:dyDescent="0.2">
      <c r="A33" s="431" t="s">
        <v>645</v>
      </c>
      <c r="B33" s="431">
        <v>1690181</v>
      </c>
      <c r="C33" s="431" t="s">
        <v>159</v>
      </c>
      <c r="D33" s="431" t="s">
        <v>160</v>
      </c>
      <c r="E33" s="431" t="s">
        <v>161</v>
      </c>
      <c r="F33" s="431" t="s">
        <v>198</v>
      </c>
      <c r="G33" s="431" t="s">
        <v>175</v>
      </c>
      <c r="H33" s="431"/>
      <c r="I33" s="431"/>
      <c r="J33" s="431"/>
      <c r="K33" s="431"/>
      <c r="L33" s="431" t="s">
        <v>352</v>
      </c>
      <c r="M33" s="431" t="s">
        <v>646</v>
      </c>
    </row>
    <row r="34" spans="1:13" x14ac:dyDescent="0.2">
      <c r="A34" s="431" t="s">
        <v>645</v>
      </c>
      <c r="B34" s="431">
        <v>1690181</v>
      </c>
      <c r="C34" s="431" t="s">
        <v>159</v>
      </c>
      <c r="D34" s="431" t="s">
        <v>160</v>
      </c>
      <c r="E34" s="431" t="s">
        <v>161</v>
      </c>
      <c r="F34" s="431" t="s">
        <v>199</v>
      </c>
      <c r="G34" s="431" t="s">
        <v>175</v>
      </c>
      <c r="H34" s="431"/>
      <c r="I34" s="431"/>
      <c r="J34" s="431"/>
      <c r="K34" s="431"/>
      <c r="L34" s="431" t="s">
        <v>352</v>
      </c>
      <c r="M34" s="431" t="s">
        <v>646</v>
      </c>
    </row>
    <row r="35" spans="1:13" x14ac:dyDescent="0.2">
      <c r="A35" s="431" t="s">
        <v>645</v>
      </c>
      <c r="B35" s="431">
        <v>1690181</v>
      </c>
      <c r="C35" s="431" t="s">
        <v>159</v>
      </c>
      <c r="D35" s="431" t="s">
        <v>160</v>
      </c>
      <c r="E35" s="431" t="s">
        <v>161</v>
      </c>
      <c r="F35" s="431" t="s">
        <v>199</v>
      </c>
      <c r="G35" s="431" t="s">
        <v>175</v>
      </c>
      <c r="H35" s="431"/>
      <c r="I35" s="431"/>
      <c r="J35" s="431"/>
      <c r="K35" s="431"/>
      <c r="L35" s="431" t="s">
        <v>352</v>
      </c>
      <c r="M35" s="431" t="s">
        <v>646</v>
      </c>
    </row>
    <row r="36" spans="1:13" x14ac:dyDescent="0.2">
      <c r="A36" s="431" t="s">
        <v>647</v>
      </c>
      <c r="B36" s="431">
        <v>1690078</v>
      </c>
      <c r="C36" s="431" t="s">
        <v>159</v>
      </c>
      <c r="D36" s="431" t="s">
        <v>160</v>
      </c>
      <c r="E36" s="431" t="s">
        <v>161</v>
      </c>
      <c r="F36" s="431" t="s">
        <v>380</v>
      </c>
      <c r="G36" s="431" t="s">
        <v>175</v>
      </c>
      <c r="H36" s="431"/>
      <c r="I36" s="431"/>
      <c r="J36" s="431"/>
      <c r="K36" s="431"/>
      <c r="L36" s="431" t="s">
        <v>163</v>
      </c>
      <c r="M36" s="431" t="s">
        <v>648</v>
      </c>
    </row>
    <row r="37" spans="1:13" ht="409.5" x14ac:dyDescent="0.2">
      <c r="A37" s="431" t="s">
        <v>649</v>
      </c>
      <c r="B37" s="431">
        <v>1690170</v>
      </c>
      <c r="C37" s="431" t="s">
        <v>159</v>
      </c>
      <c r="D37" s="431" t="s">
        <v>160</v>
      </c>
      <c r="E37" s="431" t="s">
        <v>161</v>
      </c>
      <c r="F37" s="431" t="s">
        <v>203</v>
      </c>
      <c r="G37" s="431" t="s">
        <v>175</v>
      </c>
      <c r="H37" s="431"/>
      <c r="I37" s="431"/>
      <c r="J37" s="431"/>
      <c r="K37" s="431"/>
      <c r="L37" s="431" t="s">
        <v>650</v>
      </c>
      <c r="M37" s="432" t="s">
        <v>651</v>
      </c>
    </row>
    <row r="38" spans="1:13" ht="409.5" x14ac:dyDescent="0.2">
      <c r="A38" s="431" t="s">
        <v>649</v>
      </c>
      <c r="B38" s="431">
        <v>1690170</v>
      </c>
      <c r="C38" s="431" t="s">
        <v>159</v>
      </c>
      <c r="D38" s="431" t="s">
        <v>160</v>
      </c>
      <c r="E38" s="431" t="s">
        <v>161</v>
      </c>
      <c r="F38" s="431" t="s">
        <v>203</v>
      </c>
      <c r="G38" s="431" t="s">
        <v>175</v>
      </c>
      <c r="H38" s="431"/>
      <c r="I38" s="431"/>
      <c r="J38" s="431"/>
      <c r="K38" s="431"/>
      <c r="L38" s="431" t="s">
        <v>650</v>
      </c>
      <c r="M38" s="432" t="s">
        <v>651</v>
      </c>
    </row>
    <row r="39" spans="1:13" ht="409.5" x14ac:dyDescent="0.2">
      <c r="A39" s="431" t="s">
        <v>649</v>
      </c>
      <c r="B39" s="431">
        <v>1690170</v>
      </c>
      <c r="C39" s="431" t="s">
        <v>159</v>
      </c>
      <c r="D39" s="431" t="s">
        <v>160</v>
      </c>
      <c r="E39" s="431" t="s">
        <v>161</v>
      </c>
      <c r="F39" s="431" t="s">
        <v>203</v>
      </c>
      <c r="G39" s="431" t="s">
        <v>175</v>
      </c>
      <c r="H39" s="431"/>
      <c r="I39" s="431"/>
      <c r="J39" s="431"/>
      <c r="K39" s="431"/>
      <c r="L39" s="431" t="s">
        <v>650</v>
      </c>
      <c r="M39" s="432" t="s">
        <v>651</v>
      </c>
    </row>
    <row r="40" spans="1:13" ht="409.5" x14ac:dyDescent="0.2">
      <c r="A40" s="431" t="s">
        <v>649</v>
      </c>
      <c r="B40" s="431">
        <v>1690170</v>
      </c>
      <c r="C40" s="431" t="s">
        <v>159</v>
      </c>
      <c r="D40" s="431" t="s">
        <v>160</v>
      </c>
      <c r="E40" s="431" t="s">
        <v>161</v>
      </c>
      <c r="F40" s="431" t="s">
        <v>203</v>
      </c>
      <c r="G40" s="431" t="s">
        <v>175</v>
      </c>
      <c r="H40" s="431"/>
      <c r="I40" s="431"/>
      <c r="J40" s="431"/>
      <c r="K40" s="431"/>
      <c r="L40" s="431" t="s">
        <v>650</v>
      </c>
      <c r="M40" s="432" t="s">
        <v>651</v>
      </c>
    </row>
    <row r="41" spans="1:13" ht="409.5" x14ac:dyDescent="0.2">
      <c r="A41" s="431" t="s">
        <v>649</v>
      </c>
      <c r="B41" s="431">
        <v>1690170</v>
      </c>
      <c r="C41" s="431" t="s">
        <v>159</v>
      </c>
      <c r="D41" s="431" t="s">
        <v>160</v>
      </c>
      <c r="E41" s="431" t="s">
        <v>161</v>
      </c>
      <c r="F41" s="431" t="s">
        <v>203</v>
      </c>
      <c r="G41" s="431" t="s">
        <v>175</v>
      </c>
      <c r="H41" s="431"/>
      <c r="I41" s="431"/>
      <c r="J41" s="431"/>
      <c r="K41" s="431"/>
      <c r="L41" s="431" t="s">
        <v>650</v>
      </c>
      <c r="M41" s="432" t="s">
        <v>651</v>
      </c>
    </row>
    <row r="42" spans="1:13" ht="409.5" x14ac:dyDescent="0.2">
      <c r="A42" s="431" t="s">
        <v>649</v>
      </c>
      <c r="B42" s="431">
        <v>1690170</v>
      </c>
      <c r="C42" s="431" t="s">
        <v>159</v>
      </c>
      <c r="D42" s="431" t="s">
        <v>160</v>
      </c>
      <c r="E42" s="431" t="s">
        <v>161</v>
      </c>
      <c r="F42" s="431" t="s">
        <v>203</v>
      </c>
      <c r="G42" s="431" t="s">
        <v>175</v>
      </c>
      <c r="H42" s="431"/>
      <c r="I42" s="431"/>
      <c r="J42" s="431"/>
      <c r="K42" s="431"/>
      <c r="L42" s="431" t="s">
        <v>650</v>
      </c>
      <c r="M42" s="432" t="s">
        <v>651</v>
      </c>
    </row>
    <row r="43" spans="1:13" ht="409.5" x14ac:dyDescent="0.2">
      <c r="A43" s="431" t="s">
        <v>649</v>
      </c>
      <c r="B43" s="431">
        <v>1690170</v>
      </c>
      <c r="C43" s="431" t="s">
        <v>159</v>
      </c>
      <c r="D43" s="431" t="s">
        <v>160</v>
      </c>
      <c r="E43" s="431" t="s">
        <v>161</v>
      </c>
      <c r="F43" s="431" t="s">
        <v>203</v>
      </c>
      <c r="G43" s="431" t="s">
        <v>175</v>
      </c>
      <c r="H43" s="431"/>
      <c r="I43" s="431"/>
      <c r="J43" s="431"/>
      <c r="K43" s="431"/>
      <c r="L43" s="431" t="s">
        <v>650</v>
      </c>
      <c r="M43" s="432" t="s">
        <v>651</v>
      </c>
    </row>
    <row r="44" spans="1:13" ht="409.5" x14ac:dyDescent="0.2">
      <c r="A44" s="431" t="s">
        <v>649</v>
      </c>
      <c r="B44" s="431">
        <v>1690170</v>
      </c>
      <c r="C44" s="431" t="s">
        <v>159</v>
      </c>
      <c r="D44" s="431" t="s">
        <v>160</v>
      </c>
      <c r="E44" s="431" t="s">
        <v>161</v>
      </c>
      <c r="F44" s="431" t="s">
        <v>203</v>
      </c>
      <c r="G44" s="431" t="s">
        <v>175</v>
      </c>
      <c r="H44" s="431"/>
      <c r="I44" s="431"/>
      <c r="J44" s="431"/>
      <c r="K44" s="431"/>
      <c r="L44" s="431" t="s">
        <v>650</v>
      </c>
      <c r="M44" s="432" t="s">
        <v>651</v>
      </c>
    </row>
    <row r="45" spans="1:13" ht="409.5" x14ac:dyDescent="0.2">
      <c r="A45" s="431" t="s">
        <v>649</v>
      </c>
      <c r="B45" s="431">
        <v>1690170</v>
      </c>
      <c r="C45" s="431" t="s">
        <v>159</v>
      </c>
      <c r="D45" s="431" t="s">
        <v>160</v>
      </c>
      <c r="E45" s="431" t="s">
        <v>161</v>
      </c>
      <c r="F45" s="431" t="s">
        <v>652</v>
      </c>
      <c r="G45" s="431" t="s">
        <v>175</v>
      </c>
      <c r="H45" s="431"/>
      <c r="I45" s="431"/>
      <c r="J45" s="431"/>
      <c r="K45" s="431"/>
      <c r="L45" s="431" t="s">
        <v>650</v>
      </c>
      <c r="M45" s="432" t="s">
        <v>651</v>
      </c>
    </row>
    <row r="46" spans="1:13" ht="409.5" x14ac:dyDescent="0.2">
      <c r="A46" s="431" t="s">
        <v>649</v>
      </c>
      <c r="B46" s="431">
        <v>1690170</v>
      </c>
      <c r="C46" s="431" t="s">
        <v>159</v>
      </c>
      <c r="D46" s="431" t="s">
        <v>160</v>
      </c>
      <c r="E46" s="431" t="s">
        <v>161</v>
      </c>
      <c r="F46" s="431" t="s">
        <v>653</v>
      </c>
      <c r="G46" s="431" t="s">
        <v>175</v>
      </c>
      <c r="H46" s="431"/>
      <c r="I46" s="431"/>
      <c r="J46" s="431"/>
      <c r="K46" s="431"/>
      <c r="L46" s="431" t="s">
        <v>650</v>
      </c>
      <c r="M46" s="432" t="s">
        <v>651</v>
      </c>
    </row>
    <row r="47" spans="1:13" ht="409.5" x14ac:dyDescent="0.2">
      <c r="A47" s="431" t="s">
        <v>649</v>
      </c>
      <c r="B47" s="431">
        <v>1690170</v>
      </c>
      <c r="C47" s="431" t="s">
        <v>159</v>
      </c>
      <c r="D47" s="431" t="s">
        <v>160</v>
      </c>
      <c r="E47" s="431" t="s">
        <v>161</v>
      </c>
      <c r="F47" s="431" t="s">
        <v>654</v>
      </c>
      <c r="G47" s="431" t="s">
        <v>175</v>
      </c>
      <c r="H47" s="431"/>
      <c r="I47" s="431"/>
      <c r="J47" s="431"/>
      <c r="K47" s="431"/>
      <c r="L47" s="431" t="s">
        <v>650</v>
      </c>
      <c r="M47" s="432" t="s">
        <v>651</v>
      </c>
    </row>
    <row r="48" spans="1:13" ht="409.5" x14ac:dyDescent="0.2">
      <c r="A48" s="431" t="s">
        <v>649</v>
      </c>
      <c r="B48" s="431">
        <v>1690170</v>
      </c>
      <c r="C48" s="431" t="s">
        <v>159</v>
      </c>
      <c r="D48" s="431" t="s">
        <v>160</v>
      </c>
      <c r="E48" s="431" t="s">
        <v>161</v>
      </c>
      <c r="F48" s="431" t="s">
        <v>655</v>
      </c>
      <c r="G48" s="431" t="s">
        <v>175</v>
      </c>
      <c r="H48" s="431"/>
      <c r="I48" s="431"/>
      <c r="J48" s="431"/>
      <c r="K48" s="431"/>
      <c r="L48" s="431" t="s">
        <v>650</v>
      </c>
      <c r="M48" s="432" t="s">
        <v>651</v>
      </c>
    </row>
    <row r="49" spans="1:13" ht="409.5" x14ac:dyDescent="0.2">
      <c r="A49" s="431" t="s">
        <v>649</v>
      </c>
      <c r="B49" s="431">
        <v>1690170</v>
      </c>
      <c r="C49" s="431" t="s">
        <v>159</v>
      </c>
      <c r="D49" s="431" t="s">
        <v>160</v>
      </c>
      <c r="E49" s="431" t="s">
        <v>161</v>
      </c>
      <c r="F49" s="431" t="s">
        <v>655</v>
      </c>
      <c r="G49" s="431" t="s">
        <v>175</v>
      </c>
      <c r="H49" s="431"/>
      <c r="I49" s="431"/>
      <c r="J49" s="431"/>
      <c r="K49" s="431"/>
      <c r="L49" s="431" t="s">
        <v>650</v>
      </c>
      <c r="M49" s="432" t="s">
        <v>651</v>
      </c>
    </row>
    <row r="50" spans="1:13" ht="409.5" x14ac:dyDescent="0.2">
      <c r="A50" s="431" t="s">
        <v>649</v>
      </c>
      <c r="B50" s="431">
        <v>1690170</v>
      </c>
      <c r="C50" s="431" t="s">
        <v>159</v>
      </c>
      <c r="D50" s="431" t="s">
        <v>160</v>
      </c>
      <c r="E50" s="431" t="s">
        <v>161</v>
      </c>
      <c r="F50" s="431" t="s">
        <v>655</v>
      </c>
      <c r="G50" s="431" t="s">
        <v>175</v>
      </c>
      <c r="H50" s="431"/>
      <c r="I50" s="431"/>
      <c r="J50" s="431"/>
      <c r="K50" s="431"/>
      <c r="L50" s="431" t="s">
        <v>650</v>
      </c>
      <c r="M50" s="432" t="s">
        <v>651</v>
      </c>
    </row>
    <row r="51" spans="1:13" ht="409.5" x14ac:dyDescent="0.2">
      <c r="A51" s="431" t="s">
        <v>649</v>
      </c>
      <c r="B51" s="431">
        <v>1690170</v>
      </c>
      <c r="C51" s="431" t="s">
        <v>159</v>
      </c>
      <c r="D51" s="431" t="s">
        <v>160</v>
      </c>
      <c r="E51" s="431" t="s">
        <v>161</v>
      </c>
      <c r="F51" s="431" t="s">
        <v>656</v>
      </c>
      <c r="G51" s="431" t="s">
        <v>175</v>
      </c>
      <c r="H51" s="431"/>
      <c r="I51" s="431"/>
      <c r="J51" s="431"/>
      <c r="K51" s="431"/>
      <c r="L51" s="431" t="s">
        <v>650</v>
      </c>
      <c r="M51" s="432" t="s">
        <v>651</v>
      </c>
    </row>
    <row r="52" spans="1:13" ht="409.5" x14ac:dyDescent="0.2">
      <c r="A52" s="431" t="s">
        <v>649</v>
      </c>
      <c r="B52" s="431">
        <v>1690170</v>
      </c>
      <c r="C52" s="431" t="s">
        <v>159</v>
      </c>
      <c r="D52" s="431" t="s">
        <v>160</v>
      </c>
      <c r="E52" s="431" t="s">
        <v>161</v>
      </c>
      <c r="F52" s="431" t="s">
        <v>657</v>
      </c>
      <c r="G52" s="431" t="s">
        <v>175</v>
      </c>
      <c r="H52" s="431"/>
      <c r="I52" s="431"/>
      <c r="J52" s="431"/>
      <c r="K52" s="431"/>
      <c r="L52" s="431" t="s">
        <v>650</v>
      </c>
      <c r="M52" s="432" t="s">
        <v>651</v>
      </c>
    </row>
    <row r="53" spans="1:13" ht="409.5" x14ac:dyDescent="0.2">
      <c r="A53" s="431" t="s">
        <v>649</v>
      </c>
      <c r="B53" s="431">
        <v>1690170</v>
      </c>
      <c r="C53" s="431" t="s">
        <v>159</v>
      </c>
      <c r="D53" s="431" t="s">
        <v>160</v>
      </c>
      <c r="E53" s="431" t="s">
        <v>161</v>
      </c>
      <c r="F53" s="431" t="s">
        <v>657</v>
      </c>
      <c r="G53" s="431" t="s">
        <v>175</v>
      </c>
      <c r="H53" s="431"/>
      <c r="I53" s="431"/>
      <c r="J53" s="431"/>
      <c r="K53" s="431"/>
      <c r="L53" s="431" t="s">
        <v>650</v>
      </c>
      <c r="M53" s="432" t="s">
        <v>651</v>
      </c>
    </row>
    <row r="54" spans="1:13" ht="409.5" x14ac:dyDescent="0.2">
      <c r="A54" s="431" t="s">
        <v>649</v>
      </c>
      <c r="B54" s="431">
        <v>1690170</v>
      </c>
      <c r="C54" s="431" t="s">
        <v>159</v>
      </c>
      <c r="D54" s="431" t="s">
        <v>160</v>
      </c>
      <c r="E54" s="431" t="s">
        <v>161</v>
      </c>
      <c r="F54" s="431" t="s">
        <v>657</v>
      </c>
      <c r="G54" s="431" t="s">
        <v>175</v>
      </c>
      <c r="H54" s="431"/>
      <c r="I54" s="431"/>
      <c r="J54" s="431"/>
      <c r="K54" s="431"/>
      <c r="L54" s="431" t="s">
        <v>650</v>
      </c>
      <c r="M54" s="432" t="s">
        <v>651</v>
      </c>
    </row>
    <row r="55" spans="1:13" ht="409.5" x14ac:dyDescent="0.2">
      <c r="A55" s="431" t="s">
        <v>649</v>
      </c>
      <c r="B55" s="431">
        <v>1690170</v>
      </c>
      <c r="C55" s="431" t="s">
        <v>159</v>
      </c>
      <c r="D55" s="431" t="s">
        <v>160</v>
      </c>
      <c r="E55" s="431" t="s">
        <v>161</v>
      </c>
      <c r="F55" s="431" t="s">
        <v>657</v>
      </c>
      <c r="G55" s="431" t="s">
        <v>175</v>
      </c>
      <c r="H55" s="431"/>
      <c r="I55" s="431"/>
      <c r="J55" s="431"/>
      <c r="K55" s="431"/>
      <c r="L55" s="431" t="s">
        <v>650</v>
      </c>
      <c r="M55" s="432" t="s">
        <v>651</v>
      </c>
    </row>
    <row r="56" spans="1:13" ht="409.5" x14ac:dyDescent="0.2">
      <c r="A56" s="431" t="s">
        <v>649</v>
      </c>
      <c r="B56" s="431">
        <v>1690170</v>
      </c>
      <c r="C56" s="431" t="s">
        <v>159</v>
      </c>
      <c r="D56" s="431" t="s">
        <v>160</v>
      </c>
      <c r="E56" s="431" t="s">
        <v>161</v>
      </c>
      <c r="F56" s="431" t="s">
        <v>658</v>
      </c>
      <c r="G56" s="431" t="s">
        <v>175</v>
      </c>
      <c r="H56" s="431"/>
      <c r="I56" s="431"/>
      <c r="J56" s="431"/>
      <c r="K56" s="431"/>
      <c r="L56" s="431" t="s">
        <v>650</v>
      </c>
      <c r="M56" s="432" t="s">
        <v>651</v>
      </c>
    </row>
    <row r="57" spans="1:13" ht="409.5" x14ac:dyDescent="0.2">
      <c r="A57" s="431" t="s">
        <v>649</v>
      </c>
      <c r="B57" s="431">
        <v>1690170</v>
      </c>
      <c r="C57" s="431" t="s">
        <v>159</v>
      </c>
      <c r="D57" s="431" t="s">
        <v>160</v>
      </c>
      <c r="E57" s="431" t="s">
        <v>161</v>
      </c>
      <c r="F57" s="431" t="s">
        <v>659</v>
      </c>
      <c r="G57" s="431" t="s">
        <v>175</v>
      </c>
      <c r="H57" s="431"/>
      <c r="I57" s="431"/>
      <c r="J57" s="431"/>
      <c r="K57" s="431"/>
      <c r="L57" s="431" t="s">
        <v>650</v>
      </c>
      <c r="M57" s="432" t="s">
        <v>651</v>
      </c>
    </row>
    <row r="58" spans="1:13" ht="409.5" x14ac:dyDescent="0.2">
      <c r="A58" s="431" t="s">
        <v>649</v>
      </c>
      <c r="B58" s="431">
        <v>1690170</v>
      </c>
      <c r="C58" s="431" t="s">
        <v>159</v>
      </c>
      <c r="D58" s="431" t="s">
        <v>160</v>
      </c>
      <c r="E58" s="431" t="s">
        <v>161</v>
      </c>
      <c r="F58" s="431" t="s">
        <v>660</v>
      </c>
      <c r="G58" s="431" t="s">
        <v>175</v>
      </c>
      <c r="H58" s="431"/>
      <c r="I58" s="431"/>
      <c r="J58" s="431"/>
      <c r="K58" s="431"/>
      <c r="L58" s="431" t="s">
        <v>650</v>
      </c>
      <c r="M58" s="432" t="s">
        <v>651</v>
      </c>
    </row>
    <row r="59" spans="1:13" ht="409.5" x14ac:dyDescent="0.2">
      <c r="A59" s="431" t="s">
        <v>649</v>
      </c>
      <c r="B59" s="431">
        <v>1690170</v>
      </c>
      <c r="C59" s="431" t="s">
        <v>159</v>
      </c>
      <c r="D59" s="431" t="s">
        <v>160</v>
      </c>
      <c r="E59" s="431" t="s">
        <v>161</v>
      </c>
      <c r="F59" s="431" t="s">
        <v>661</v>
      </c>
      <c r="G59" s="431" t="s">
        <v>175</v>
      </c>
      <c r="H59" s="431"/>
      <c r="I59" s="431"/>
      <c r="J59" s="431"/>
      <c r="K59" s="431"/>
      <c r="L59" s="431" t="s">
        <v>650</v>
      </c>
      <c r="M59" s="432" t="s">
        <v>651</v>
      </c>
    </row>
    <row r="60" spans="1:13" ht="409.5" x14ac:dyDescent="0.2">
      <c r="A60" s="431" t="s">
        <v>649</v>
      </c>
      <c r="B60" s="431">
        <v>1690170</v>
      </c>
      <c r="C60" s="431" t="s">
        <v>159</v>
      </c>
      <c r="D60" s="431" t="s">
        <v>160</v>
      </c>
      <c r="E60" s="431" t="s">
        <v>161</v>
      </c>
      <c r="F60" s="431" t="s">
        <v>662</v>
      </c>
      <c r="G60" s="431" t="s">
        <v>175</v>
      </c>
      <c r="H60" s="431"/>
      <c r="I60" s="431"/>
      <c r="J60" s="431"/>
      <c r="K60" s="431"/>
      <c r="L60" s="431" t="s">
        <v>650</v>
      </c>
      <c r="M60" s="432" t="s">
        <v>651</v>
      </c>
    </row>
    <row r="61" spans="1:13" ht="409.5" x14ac:dyDescent="0.2">
      <c r="A61" s="431" t="s">
        <v>649</v>
      </c>
      <c r="B61" s="431">
        <v>1690170</v>
      </c>
      <c r="C61" s="431" t="s">
        <v>159</v>
      </c>
      <c r="D61" s="431" t="s">
        <v>160</v>
      </c>
      <c r="E61" s="431" t="s">
        <v>161</v>
      </c>
      <c r="F61" s="431" t="s">
        <v>662</v>
      </c>
      <c r="G61" s="431" t="s">
        <v>175</v>
      </c>
      <c r="H61" s="431"/>
      <c r="I61" s="431"/>
      <c r="J61" s="431"/>
      <c r="K61" s="431"/>
      <c r="L61" s="431" t="s">
        <v>650</v>
      </c>
      <c r="M61" s="432" t="s">
        <v>651</v>
      </c>
    </row>
    <row r="62" spans="1:13" ht="409.5" x14ac:dyDescent="0.2">
      <c r="A62" s="431" t="s">
        <v>649</v>
      </c>
      <c r="B62" s="431">
        <v>1690170</v>
      </c>
      <c r="C62" s="431" t="s">
        <v>159</v>
      </c>
      <c r="D62" s="431" t="s">
        <v>160</v>
      </c>
      <c r="E62" s="431" t="s">
        <v>161</v>
      </c>
      <c r="F62" s="431" t="s">
        <v>663</v>
      </c>
      <c r="G62" s="431" t="s">
        <v>175</v>
      </c>
      <c r="H62" s="431"/>
      <c r="I62" s="431"/>
      <c r="J62" s="431"/>
      <c r="K62" s="431"/>
      <c r="L62" s="431" t="s">
        <v>650</v>
      </c>
      <c r="M62" s="432" t="s">
        <v>651</v>
      </c>
    </row>
    <row r="63" spans="1:13" ht="409.5" x14ac:dyDescent="0.2">
      <c r="A63" s="431" t="s">
        <v>649</v>
      </c>
      <c r="B63" s="431">
        <v>1690170</v>
      </c>
      <c r="C63" s="431" t="s">
        <v>159</v>
      </c>
      <c r="D63" s="431" t="s">
        <v>160</v>
      </c>
      <c r="E63" s="431" t="s">
        <v>161</v>
      </c>
      <c r="F63" s="431" t="s">
        <v>664</v>
      </c>
      <c r="G63" s="431" t="s">
        <v>175</v>
      </c>
      <c r="H63" s="431"/>
      <c r="I63" s="431"/>
      <c r="J63" s="431"/>
      <c r="K63" s="431"/>
      <c r="L63" s="431" t="s">
        <v>650</v>
      </c>
      <c r="M63" s="432" t="s">
        <v>651</v>
      </c>
    </row>
    <row r="64" spans="1:13" ht="409.5" x14ac:dyDescent="0.2">
      <c r="A64" s="431" t="s">
        <v>649</v>
      </c>
      <c r="B64" s="431">
        <v>1690170</v>
      </c>
      <c r="C64" s="431" t="s">
        <v>159</v>
      </c>
      <c r="D64" s="431" t="s">
        <v>160</v>
      </c>
      <c r="E64" s="431" t="s">
        <v>161</v>
      </c>
      <c r="F64" s="431" t="s">
        <v>665</v>
      </c>
      <c r="G64" s="431" t="s">
        <v>175</v>
      </c>
      <c r="H64" s="431"/>
      <c r="I64" s="431"/>
      <c r="J64" s="431"/>
      <c r="K64" s="431"/>
      <c r="L64" s="431" t="s">
        <v>650</v>
      </c>
      <c r="M64" s="432" t="s">
        <v>651</v>
      </c>
    </row>
    <row r="65" spans="1:13" ht="409.5" x14ac:dyDescent="0.2">
      <c r="A65" s="431" t="s">
        <v>649</v>
      </c>
      <c r="B65" s="431">
        <v>1690170</v>
      </c>
      <c r="C65" s="431" t="s">
        <v>159</v>
      </c>
      <c r="D65" s="431" t="s">
        <v>160</v>
      </c>
      <c r="E65" s="431" t="s">
        <v>161</v>
      </c>
      <c r="F65" s="431" t="s">
        <v>665</v>
      </c>
      <c r="G65" s="431" t="s">
        <v>175</v>
      </c>
      <c r="H65" s="431"/>
      <c r="I65" s="431"/>
      <c r="J65" s="431"/>
      <c r="K65" s="431"/>
      <c r="L65" s="431" t="s">
        <v>650</v>
      </c>
      <c r="M65" s="432" t="s">
        <v>651</v>
      </c>
    </row>
    <row r="66" spans="1:13" ht="409.5" x14ac:dyDescent="0.2">
      <c r="A66" s="431" t="s">
        <v>649</v>
      </c>
      <c r="B66" s="431">
        <v>1690170</v>
      </c>
      <c r="C66" s="431" t="s">
        <v>159</v>
      </c>
      <c r="D66" s="431" t="s">
        <v>160</v>
      </c>
      <c r="E66" s="431" t="s">
        <v>161</v>
      </c>
      <c r="F66" s="431" t="s">
        <v>666</v>
      </c>
      <c r="G66" s="431" t="s">
        <v>175</v>
      </c>
      <c r="H66" s="431"/>
      <c r="I66" s="431"/>
      <c r="J66" s="431"/>
      <c r="K66" s="431"/>
      <c r="L66" s="431" t="s">
        <v>650</v>
      </c>
      <c r="M66" s="432" t="s">
        <v>651</v>
      </c>
    </row>
    <row r="67" spans="1:13" ht="409.5" x14ac:dyDescent="0.2">
      <c r="A67" s="431" t="s">
        <v>649</v>
      </c>
      <c r="B67" s="431">
        <v>1690170</v>
      </c>
      <c r="C67" s="431" t="s">
        <v>159</v>
      </c>
      <c r="D67" s="431" t="s">
        <v>160</v>
      </c>
      <c r="E67" s="431" t="s">
        <v>161</v>
      </c>
      <c r="F67" s="431" t="s">
        <v>666</v>
      </c>
      <c r="G67" s="431" t="s">
        <v>175</v>
      </c>
      <c r="H67" s="431"/>
      <c r="I67" s="431"/>
      <c r="J67" s="431"/>
      <c r="K67" s="431"/>
      <c r="L67" s="431" t="s">
        <v>650</v>
      </c>
      <c r="M67" s="432" t="s">
        <v>651</v>
      </c>
    </row>
    <row r="68" spans="1:13" ht="409.5" x14ac:dyDescent="0.2">
      <c r="A68" s="431" t="s">
        <v>649</v>
      </c>
      <c r="B68" s="431">
        <v>1690170</v>
      </c>
      <c r="C68" s="431" t="s">
        <v>159</v>
      </c>
      <c r="D68" s="431" t="s">
        <v>160</v>
      </c>
      <c r="E68" s="431" t="s">
        <v>161</v>
      </c>
      <c r="F68" s="431" t="s">
        <v>666</v>
      </c>
      <c r="G68" s="431" t="s">
        <v>175</v>
      </c>
      <c r="H68" s="431"/>
      <c r="I68" s="431"/>
      <c r="J68" s="431"/>
      <c r="K68" s="431"/>
      <c r="L68" s="431" t="s">
        <v>650</v>
      </c>
      <c r="M68" s="432" t="s">
        <v>651</v>
      </c>
    </row>
    <row r="69" spans="1:13" ht="409.5" x14ac:dyDescent="0.2">
      <c r="A69" s="431" t="s">
        <v>649</v>
      </c>
      <c r="B69" s="431">
        <v>1690170</v>
      </c>
      <c r="C69" s="431" t="s">
        <v>159</v>
      </c>
      <c r="D69" s="431" t="s">
        <v>160</v>
      </c>
      <c r="E69" s="431" t="s">
        <v>161</v>
      </c>
      <c r="F69" s="431" t="s">
        <v>666</v>
      </c>
      <c r="G69" s="431" t="s">
        <v>175</v>
      </c>
      <c r="H69" s="431"/>
      <c r="I69" s="431"/>
      <c r="J69" s="431"/>
      <c r="K69" s="431"/>
      <c r="L69" s="431" t="s">
        <v>650</v>
      </c>
      <c r="M69" s="432" t="s">
        <v>651</v>
      </c>
    </row>
    <row r="70" spans="1:13" ht="409.5" x14ac:dyDescent="0.2">
      <c r="A70" s="431" t="s">
        <v>649</v>
      </c>
      <c r="B70" s="431">
        <v>1690170</v>
      </c>
      <c r="C70" s="431" t="s">
        <v>159</v>
      </c>
      <c r="D70" s="431" t="s">
        <v>160</v>
      </c>
      <c r="E70" s="431" t="s">
        <v>161</v>
      </c>
      <c r="F70" s="431" t="s">
        <v>666</v>
      </c>
      <c r="G70" s="431" t="s">
        <v>175</v>
      </c>
      <c r="H70" s="431"/>
      <c r="I70" s="431"/>
      <c r="J70" s="431"/>
      <c r="K70" s="431"/>
      <c r="L70" s="431" t="s">
        <v>650</v>
      </c>
      <c r="M70" s="432" t="s">
        <v>651</v>
      </c>
    </row>
    <row r="71" spans="1:13" ht="409.5" x14ac:dyDescent="0.2">
      <c r="A71" s="431" t="s">
        <v>649</v>
      </c>
      <c r="B71" s="431">
        <v>1690170</v>
      </c>
      <c r="C71" s="431" t="s">
        <v>159</v>
      </c>
      <c r="D71" s="431" t="s">
        <v>160</v>
      </c>
      <c r="E71" s="431" t="s">
        <v>161</v>
      </c>
      <c r="F71" s="431" t="s">
        <v>667</v>
      </c>
      <c r="G71" s="431" t="s">
        <v>175</v>
      </c>
      <c r="H71" s="431"/>
      <c r="I71" s="431"/>
      <c r="J71" s="431"/>
      <c r="K71" s="431"/>
      <c r="L71" s="431" t="s">
        <v>650</v>
      </c>
      <c r="M71" s="432" t="s">
        <v>651</v>
      </c>
    </row>
    <row r="72" spans="1:13" ht="409.5" x14ac:dyDescent="0.2">
      <c r="A72" s="431" t="s">
        <v>649</v>
      </c>
      <c r="B72" s="431">
        <v>1690170</v>
      </c>
      <c r="C72" s="431" t="s">
        <v>159</v>
      </c>
      <c r="D72" s="431" t="s">
        <v>160</v>
      </c>
      <c r="E72" s="431" t="s">
        <v>161</v>
      </c>
      <c r="F72" s="431" t="s">
        <v>667</v>
      </c>
      <c r="G72" s="431" t="s">
        <v>175</v>
      </c>
      <c r="H72" s="431"/>
      <c r="I72" s="431"/>
      <c r="J72" s="431"/>
      <c r="K72" s="431"/>
      <c r="L72" s="431" t="s">
        <v>650</v>
      </c>
      <c r="M72" s="432" t="s">
        <v>651</v>
      </c>
    </row>
    <row r="73" spans="1:13" ht="409.5" x14ac:dyDescent="0.2">
      <c r="A73" s="431" t="s">
        <v>649</v>
      </c>
      <c r="B73" s="431">
        <v>1690170</v>
      </c>
      <c r="C73" s="431" t="s">
        <v>159</v>
      </c>
      <c r="D73" s="431" t="s">
        <v>160</v>
      </c>
      <c r="E73" s="431" t="s">
        <v>161</v>
      </c>
      <c r="F73" s="431" t="s">
        <v>668</v>
      </c>
      <c r="G73" s="431" t="s">
        <v>175</v>
      </c>
      <c r="H73" s="431"/>
      <c r="I73" s="431"/>
      <c r="J73" s="431"/>
      <c r="K73" s="431"/>
      <c r="L73" s="431" t="s">
        <v>650</v>
      </c>
      <c r="M73" s="432" t="s">
        <v>651</v>
      </c>
    </row>
    <row r="74" spans="1:13" ht="409.5" x14ac:dyDescent="0.2">
      <c r="A74" s="431" t="s">
        <v>649</v>
      </c>
      <c r="B74" s="431">
        <v>1690170</v>
      </c>
      <c r="C74" s="431" t="s">
        <v>159</v>
      </c>
      <c r="D74" s="431" t="s">
        <v>160</v>
      </c>
      <c r="E74" s="431" t="s">
        <v>161</v>
      </c>
      <c r="F74" s="431" t="s">
        <v>668</v>
      </c>
      <c r="G74" s="431" t="s">
        <v>175</v>
      </c>
      <c r="H74" s="431"/>
      <c r="I74" s="431"/>
      <c r="J74" s="431"/>
      <c r="K74" s="431"/>
      <c r="L74" s="431" t="s">
        <v>650</v>
      </c>
      <c r="M74" s="432" t="s">
        <v>651</v>
      </c>
    </row>
    <row r="75" spans="1:13" ht="409.5" x14ac:dyDescent="0.2">
      <c r="A75" s="431" t="s">
        <v>649</v>
      </c>
      <c r="B75" s="431">
        <v>1690170</v>
      </c>
      <c r="C75" s="431" t="s">
        <v>159</v>
      </c>
      <c r="D75" s="431" t="s">
        <v>160</v>
      </c>
      <c r="E75" s="431" t="s">
        <v>161</v>
      </c>
      <c r="F75" s="431" t="s">
        <v>668</v>
      </c>
      <c r="G75" s="431" t="s">
        <v>175</v>
      </c>
      <c r="H75" s="431"/>
      <c r="I75" s="431"/>
      <c r="J75" s="431"/>
      <c r="K75" s="431"/>
      <c r="L75" s="431" t="s">
        <v>650</v>
      </c>
      <c r="M75" s="432" t="s">
        <v>651</v>
      </c>
    </row>
    <row r="76" spans="1:13" ht="409.5" x14ac:dyDescent="0.2">
      <c r="A76" s="431" t="s">
        <v>649</v>
      </c>
      <c r="B76" s="431">
        <v>1690170</v>
      </c>
      <c r="C76" s="431" t="s">
        <v>159</v>
      </c>
      <c r="D76" s="431" t="s">
        <v>160</v>
      </c>
      <c r="E76" s="431" t="s">
        <v>161</v>
      </c>
      <c r="F76" s="431" t="s">
        <v>668</v>
      </c>
      <c r="G76" s="431" t="s">
        <v>175</v>
      </c>
      <c r="H76" s="431"/>
      <c r="I76" s="431"/>
      <c r="J76" s="431"/>
      <c r="K76" s="431"/>
      <c r="L76" s="431" t="s">
        <v>650</v>
      </c>
      <c r="M76" s="432" t="s">
        <v>651</v>
      </c>
    </row>
    <row r="77" spans="1:13" ht="409.5" x14ac:dyDescent="0.2">
      <c r="A77" s="431" t="s">
        <v>649</v>
      </c>
      <c r="B77" s="431">
        <v>1690170</v>
      </c>
      <c r="C77" s="431" t="s">
        <v>159</v>
      </c>
      <c r="D77" s="431" t="s">
        <v>160</v>
      </c>
      <c r="E77" s="431" t="s">
        <v>161</v>
      </c>
      <c r="F77" s="431" t="s">
        <v>668</v>
      </c>
      <c r="G77" s="431" t="s">
        <v>175</v>
      </c>
      <c r="H77" s="431"/>
      <c r="I77" s="431"/>
      <c r="J77" s="431"/>
      <c r="K77" s="431"/>
      <c r="L77" s="431" t="s">
        <v>650</v>
      </c>
      <c r="M77" s="432" t="s">
        <v>651</v>
      </c>
    </row>
    <row r="78" spans="1:13" ht="409.5" x14ac:dyDescent="0.2">
      <c r="A78" s="431" t="s">
        <v>649</v>
      </c>
      <c r="B78" s="431">
        <v>1690170</v>
      </c>
      <c r="C78" s="431" t="s">
        <v>159</v>
      </c>
      <c r="D78" s="431" t="s">
        <v>160</v>
      </c>
      <c r="E78" s="431" t="s">
        <v>161</v>
      </c>
      <c r="F78" s="431" t="s">
        <v>668</v>
      </c>
      <c r="G78" s="431" t="s">
        <v>175</v>
      </c>
      <c r="H78" s="431"/>
      <c r="I78" s="431"/>
      <c r="J78" s="431"/>
      <c r="K78" s="431"/>
      <c r="L78" s="431" t="s">
        <v>650</v>
      </c>
      <c r="M78" s="432" t="s">
        <v>651</v>
      </c>
    </row>
    <row r="79" spans="1:13" ht="409.5" x14ac:dyDescent="0.2">
      <c r="A79" s="431" t="s">
        <v>649</v>
      </c>
      <c r="B79" s="431">
        <v>1690170</v>
      </c>
      <c r="C79" s="431" t="s">
        <v>159</v>
      </c>
      <c r="D79" s="431" t="s">
        <v>160</v>
      </c>
      <c r="E79" s="431" t="s">
        <v>161</v>
      </c>
      <c r="F79" s="431" t="s">
        <v>668</v>
      </c>
      <c r="G79" s="431" t="s">
        <v>175</v>
      </c>
      <c r="H79" s="431"/>
      <c r="I79" s="431"/>
      <c r="J79" s="431"/>
      <c r="K79" s="431"/>
      <c r="L79" s="431" t="s">
        <v>650</v>
      </c>
      <c r="M79" s="432" t="s">
        <v>651</v>
      </c>
    </row>
    <row r="80" spans="1:13" ht="409.5" x14ac:dyDescent="0.2">
      <c r="A80" s="431" t="s">
        <v>649</v>
      </c>
      <c r="B80" s="431">
        <v>1690170</v>
      </c>
      <c r="C80" s="431" t="s">
        <v>159</v>
      </c>
      <c r="D80" s="431" t="s">
        <v>160</v>
      </c>
      <c r="E80" s="431" t="s">
        <v>161</v>
      </c>
      <c r="F80" s="431" t="s">
        <v>668</v>
      </c>
      <c r="G80" s="431" t="s">
        <v>175</v>
      </c>
      <c r="H80" s="431"/>
      <c r="I80" s="431"/>
      <c r="J80" s="431"/>
      <c r="K80" s="431"/>
      <c r="L80" s="431" t="s">
        <v>650</v>
      </c>
      <c r="M80" s="432" t="s">
        <v>651</v>
      </c>
    </row>
    <row r="81" spans="1:13" ht="409.5" x14ac:dyDescent="0.2">
      <c r="A81" s="431" t="s">
        <v>649</v>
      </c>
      <c r="B81" s="431">
        <v>1690170</v>
      </c>
      <c r="C81" s="431" t="s">
        <v>159</v>
      </c>
      <c r="D81" s="431" t="s">
        <v>160</v>
      </c>
      <c r="E81" s="431" t="s">
        <v>161</v>
      </c>
      <c r="F81" s="431" t="s">
        <v>668</v>
      </c>
      <c r="G81" s="431" t="s">
        <v>175</v>
      </c>
      <c r="H81" s="431"/>
      <c r="I81" s="431"/>
      <c r="J81" s="431"/>
      <c r="K81" s="431"/>
      <c r="L81" s="431" t="s">
        <v>650</v>
      </c>
      <c r="M81" s="432" t="s">
        <v>651</v>
      </c>
    </row>
    <row r="82" spans="1:13" ht="409.5" x14ac:dyDescent="0.2">
      <c r="A82" s="431" t="s">
        <v>649</v>
      </c>
      <c r="B82" s="431">
        <v>1690170</v>
      </c>
      <c r="C82" s="431" t="s">
        <v>159</v>
      </c>
      <c r="D82" s="431" t="s">
        <v>160</v>
      </c>
      <c r="E82" s="431" t="s">
        <v>161</v>
      </c>
      <c r="F82" s="431" t="s">
        <v>668</v>
      </c>
      <c r="G82" s="431" t="s">
        <v>175</v>
      </c>
      <c r="H82" s="431"/>
      <c r="I82" s="431"/>
      <c r="J82" s="431"/>
      <c r="K82" s="431"/>
      <c r="L82" s="431" t="s">
        <v>650</v>
      </c>
      <c r="M82" s="432" t="s">
        <v>651</v>
      </c>
    </row>
    <row r="83" spans="1:13" ht="409.5" x14ac:dyDescent="0.2">
      <c r="A83" s="431" t="s">
        <v>649</v>
      </c>
      <c r="B83" s="431">
        <v>1690170</v>
      </c>
      <c r="C83" s="431" t="s">
        <v>159</v>
      </c>
      <c r="D83" s="431" t="s">
        <v>160</v>
      </c>
      <c r="E83" s="431" t="s">
        <v>161</v>
      </c>
      <c r="F83" s="431" t="s">
        <v>668</v>
      </c>
      <c r="G83" s="431" t="s">
        <v>175</v>
      </c>
      <c r="H83" s="431"/>
      <c r="I83" s="431"/>
      <c r="J83" s="431"/>
      <c r="K83" s="431"/>
      <c r="L83" s="431" t="s">
        <v>650</v>
      </c>
      <c r="M83" s="432" t="s">
        <v>651</v>
      </c>
    </row>
    <row r="84" spans="1:13" ht="409.5" x14ac:dyDescent="0.2">
      <c r="A84" s="431" t="s">
        <v>649</v>
      </c>
      <c r="B84" s="431">
        <v>1690170</v>
      </c>
      <c r="C84" s="431" t="s">
        <v>159</v>
      </c>
      <c r="D84" s="431" t="s">
        <v>160</v>
      </c>
      <c r="E84" s="431" t="s">
        <v>161</v>
      </c>
      <c r="F84" s="431" t="s">
        <v>668</v>
      </c>
      <c r="G84" s="431" t="s">
        <v>175</v>
      </c>
      <c r="H84" s="431"/>
      <c r="I84" s="431"/>
      <c r="J84" s="431"/>
      <c r="K84" s="431"/>
      <c r="L84" s="431" t="s">
        <v>650</v>
      </c>
      <c r="M84" s="432" t="s">
        <v>651</v>
      </c>
    </row>
    <row r="85" spans="1:13" ht="409.5" x14ac:dyDescent="0.2">
      <c r="A85" s="431" t="s">
        <v>649</v>
      </c>
      <c r="B85" s="431">
        <v>1690170</v>
      </c>
      <c r="C85" s="431" t="s">
        <v>159</v>
      </c>
      <c r="D85" s="431" t="s">
        <v>160</v>
      </c>
      <c r="E85" s="431" t="s">
        <v>161</v>
      </c>
      <c r="F85" s="431" t="s">
        <v>668</v>
      </c>
      <c r="G85" s="431" t="s">
        <v>175</v>
      </c>
      <c r="H85" s="431"/>
      <c r="I85" s="431"/>
      <c r="J85" s="431"/>
      <c r="K85" s="431"/>
      <c r="L85" s="431" t="s">
        <v>650</v>
      </c>
      <c r="M85" s="432" t="s">
        <v>651</v>
      </c>
    </row>
    <row r="86" spans="1:13" ht="409.5" x14ac:dyDescent="0.2">
      <c r="A86" s="431" t="s">
        <v>649</v>
      </c>
      <c r="B86" s="431">
        <v>1690170</v>
      </c>
      <c r="C86" s="431" t="s">
        <v>159</v>
      </c>
      <c r="D86" s="431" t="s">
        <v>160</v>
      </c>
      <c r="E86" s="431" t="s">
        <v>161</v>
      </c>
      <c r="F86" s="431" t="s">
        <v>668</v>
      </c>
      <c r="G86" s="431" t="s">
        <v>175</v>
      </c>
      <c r="H86" s="431"/>
      <c r="I86" s="431"/>
      <c r="J86" s="431"/>
      <c r="K86" s="431"/>
      <c r="L86" s="431" t="s">
        <v>650</v>
      </c>
      <c r="M86" s="432" t="s">
        <v>651</v>
      </c>
    </row>
    <row r="87" spans="1:13" ht="409.5" x14ac:dyDescent="0.2">
      <c r="A87" s="431" t="s">
        <v>649</v>
      </c>
      <c r="B87" s="431">
        <v>1690170</v>
      </c>
      <c r="C87" s="431" t="s">
        <v>159</v>
      </c>
      <c r="D87" s="431" t="s">
        <v>160</v>
      </c>
      <c r="E87" s="431" t="s">
        <v>161</v>
      </c>
      <c r="F87" s="431" t="s">
        <v>668</v>
      </c>
      <c r="G87" s="431" t="s">
        <v>175</v>
      </c>
      <c r="H87" s="431"/>
      <c r="I87" s="431"/>
      <c r="J87" s="431"/>
      <c r="K87" s="431"/>
      <c r="L87" s="431" t="s">
        <v>650</v>
      </c>
      <c r="M87" s="432" t="s">
        <v>651</v>
      </c>
    </row>
    <row r="88" spans="1:13" ht="409.5" x14ac:dyDescent="0.2">
      <c r="A88" s="431" t="s">
        <v>649</v>
      </c>
      <c r="B88" s="431">
        <v>1690170</v>
      </c>
      <c r="C88" s="431" t="s">
        <v>159</v>
      </c>
      <c r="D88" s="431" t="s">
        <v>160</v>
      </c>
      <c r="E88" s="431" t="s">
        <v>161</v>
      </c>
      <c r="F88" s="431" t="s">
        <v>668</v>
      </c>
      <c r="G88" s="431" t="s">
        <v>175</v>
      </c>
      <c r="H88" s="431"/>
      <c r="I88" s="431"/>
      <c r="J88" s="431"/>
      <c r="K88" s="431"/>
      <c r="L88" s="431" t="s">
        <v>650</v>
      </c>
      <c r="M88" s="432" t="s">
        <v>651</v>
      </c>
    </row>
    <row r="89" spans="1:13" ht="409.5" x14ac:dyDescent="0.2">
      <c r="A89" s="431" t="s">
        <v>649</v>
      </c>
      <c r="B89" s="431">
        <v>1690170</v>
      </c>
      <c r="C89" s="431" t="s">
        <v>159</v>
      </c>
      <c r="D89" s="431" t="s">
        <v>160</v>
      </c>
      <c r="E89" s="431" t="s">
        <v>161</v>
      </c>
      <c r="F89" s="431" t="s">
        <v>668</v>
      </c>
      <c r="G89" s="431" t="s">
        <v>175</v>
      </c>
      <c r="H89" s="431"/>
      <c r="I89" s="431"/>
      <c r="J89" s="431"/>
      <c r="K89" s="431"/>
      <c r="L89" s="431" t="s">
        <v>650</v>
      </c>
      <c r="M89" s="432" t="s">
        <v>651</v>
      </c>
    </row>
    <row r="90" spans="1:13" ht="409.5" x14ac:dyDescent="0.2">
      <c r="A90" s="431" t="s">
        <v>649</v>
      </c>
      <c r="B90" s="431">
        <v>1690170</v>
      </c>
      <c r="C90" s="431" t="s">
        <v>159</v>
      </c>
      <c r="D90" s="431" t="s">
        <v>160</v>
      </c>
      <c r="E90" s="431" t="s">
        <v>161</v>
      </c>
      <c r="F90" s="431" t="s">
        <v>668</v>
      </c>
      <c r="G90" s="431" t="s">
        <v>175</v>
      </c>
      <c r="H90" s="431"/>
      <c r="I90" s="431"/>
      <c r="J90" s="431"/>
      <c r="K90" s="431"/>
      <c r="L90" s="431" t="s">
        <v>650</v>
      </c>
      <c r="M90" s="432" t="s">
        <v>651</v>
      </c>
    </row>
    <row r="91" spans="1:13" ht="409.5" x14ac:dyDescent="0.2">
      <c r="A91" s="431" t="s">
        <v>649</v>
      </c>
      <c r="B91" s="431">
        <v>1690170</v>
      </c>
      <c r="C91" s="431" t="s">
        <v>159</v>
      </c>
      <c r="D91" s="431" t="s">
        <v>160</v>
      </c>
      <c r="E91" s="431" t="s">
        <v>161</v>
      </c>
      <c r="F91" s="431" t="s">
        <v>668</v>
      </c>
      <c r="G91" s="431" t="s">
        <v>175</v>
      </c>
      <c r="H91" s="431"/>
      <c r="I91" s="431"/>
      <c r="J91" s="431"/>
      <c r="K91" s="431"/>
      <c r="L91" s="431" t="s">
        <v>650</v>
      </c>
      <c r="M91" s="432" t="s">
        <v>651</v>
      </c>
    </row>
    <row r="92" spans="1:13" ht="409.5" x14ac:dyDescent="0.2">
      <c r="A92" s="431" t="s">
        <v>649</v>
      </c>
      <c r="B92" s="431">
        <v>1690170</v>
      </c>
      <c r="C92" s="431" t="s">
        <v>159</v>
      </c>
      <c r="D92" s="431" t="s">
        <v>160</v>
      </c>
      <c r="E92" s="431" t="s">
        <v>161</v>
      </c>
      <c r="F92" s="431" t="s">
        <v>668</v>
      </c>
      <c r="G92" s="431" t="s">
        <v>175</v>
      </c>
      <c r="H92" s="431"/>
      <c r="I92" s="431"/>
      <c r="J92" s="431"/>
      <c r="K92" s="431"/>
      <c r="L92" s="431" t="s">
        <v>650</v>
      </c>
      <c r="M92" s="432" t="s">
        <v>651</v>
      </c>
    </row>
    <row r="93" spans="1:13" ht="409.5" x14ac:dyDescent="0.2">
      <c r="A93" s="431" t="s">
        <v>649</v>
      </c>
      <c r="B93" s="431">
        <v>1690170</v>
      </c>
      <c r="C93" s="431" t="s">
        <v>159</v>
      </c>
      <c r="D93" s="431" t="s">
        <v>160</v>
      </c>
      <c r="E93" s="431" t="s">
        <v>161</v>
      </c>
      <c r="F93" s="431" t="s">
        <v>668</v>
      </c>
      <c r="G93" s="431" t="s">
        <v>175</v>
      </c>
      <c r="H93" s="431"/>
      <c r="I93" s="431"/>
      <c r="J93" s="431"/>
      <c r="K93" s="431"/>
      <c r="L93" s="431" t="s">
        <v>650</v>
      </c>
      <c r="M93" s="432" t="s">
        <v>651</v>
      </c>
    </row>
    <row r="94" spans="1:13" ht="409.5" x14ac:dyDescent="0.2">
      <c r="A94" s="431" t="s">
        <v>649</v>
      </c>
      <c r="B94" s="431">
        <v>1690170</v>
      </c>
      <c r="C94" s="431" t="s">
        <v>159</v>
      </c>
      <c r="D94" s="431" t="s">
        <v>160</v>
      </c>
      <c r="E94" s="431" t="s">
        <v>161</v>
      </c>
      <c r="F94" s="431" t="s">
        <v>668</v>
      </c>
      <c r="G94" s="431" t="s">
        <v>175</v>
      </c>
      <c r="H94" s="431"/>
      <c r="I94" s="431"/>
      <c r="J94" s="431"/>
      <c r="K94" s="431"/>
      <c r="L94" s="431" t="s">
        <v>650</v>
      </c>
      <c r="M94" s="432" t="s">
        <v>651</v>
      </c>
    </row>
    <row r="95" spans="1:13" ht="409.5" x14ac:dyDescent="0.2">
      <c r="A95" s="431" t="s">
        <v>649</v>
      </c>
      <c r="B95" s="431">
        <v>1690170</v>
      </c>
      <c r="C95" s="431" t="s">
        <v>159</v>
      </c>
      <c r="D95" s="431" t="s">
        <v>160</v>
      </c>
      <c r="E95" s="431" t="s">
        <v>161</v>
      </c>
      <c r="F95" s="431" t="s">
        <v>668</v>
      </c>
      <c r="G95" s="431" t="s">
        <v>175</v>
      </c>
      <c r="H95" s="431"/>
      <c r="I95" s="431"/>
      <c r="J95" s="431"/>
      <c r="K95" s="431"/>
      <c r="L95" s="431" t="s">
        <v>650</v>
      </c>
      <c r="M95" s="432" t="s">
        <v>651</v>
      </c>
    </row>
    <row r="96" spans="1:13" ht="409.5" x14ac:dyDescent="0.2">
      <c r="A96" s="431" t="s">
        <v>649</v>
      </c>
      <c r="B96" s="431">
        <v>1690170</v>
      </c>
      <c r="C96" s="431" t="s">
        <v>159</v>
      </c>
      <c r="D96" s="431" t="s">
        <v>160</v>
      </c>
      <c r="E96" s="431" t="s">
        <v>161</v>
      </c>
      <c r="F96" s="431" t="s">
        <v>668</v>
      </c>
      <c r="G96" s="431" t="s">
        <v>175</v>
      </c>
      <c r="H96" s="431"/>
      <c r="I96" s="431"/>
      <c r="J96" s="431"/>
      <c r="K96" s="431"/>
      <c r="L96" s="431" t="s">
        <v>650</v>
      </c>
      <c r="M96" s="432" t="s">
        <v>651</v>
      </c>
    </row>
    <row r="97" spans="1:13" ht="409.5" x14ac:dyDescent="0.2">
      <c r="A97" s="431" t="s">
        <v>649</v>
      </c>
      <c r="B97" s="431">
        <v>1690170</v>
      </c>
      <c r="C97" s="431" t="s">
        <v>159</v>
      </c>
      <c r="D97" s="431" t="s">
        <v>160</v>
      </c>
      <c r="E97" s="431" t="s">
        <v>161</v>
      </c>
      <c r="F97" s="431" t="s">
        <v>668</v>
      </c>
      <c r="G97" s="431" t="s">
        <v>175</v>
      </c>
      <c r="H97" s="431"/>
      <c r="I97" s="431"/>
      <c r="J97" s="431"/>
      <c r="K97" s="431"/>
      <c r="L97" s="431" t="s">
        <v>650</v>
      </c>
      <c r="M97" s="432" t="s">
        <v>651</v>
      </c>
    </row>
    <row r="98" spans="1:13" ht="409.5" x14ac:dyDescent="0.2">
      <c r="A98" s="431" t="s">
        <v>649</v>
      </c>
      <c r="B98" s="431">
        <v>1690170</v>
      </c>
      <c r="C98" s="431" t="s">
        <v>159</v>
      </c>
      <c r="D98" s="431" t="s">
        <v>160</v>
      </c>
      <c r="E98" s="431" t="s">
        <v>161</v>
      </c>
      <c r="F98" s="431" t="s">
        <v>668</v>
      </c>
      <c r="G98" s="431" t="s">
        <v>175</v>
      </c>
      <c r="H98" s="431"/>
      <c r="I98" s="431"/>
      <c r="J98" s="431"/>
      <c r="K98" s="431"/>
      <c r="L98" s="431" t="s">
        <v>650</v>
      </c>
      <c r="M98" s="432" t="s">
        <v>651</v>
      </c>
    </row>
    <row r="99" spans="1:13" ht="409.5" x14ac:dyDescent="0.2">
      <c r="A99" s="431" t="s">
        <v>649</v>
      </c>
      <c r="B99" s="431">
        <v>1690170</v>
      </c>
      <c r="C99" s="431" t="s">
        <v>159</v>
      </c>
      <c r="D99" s="431" t="s">
        <v>160</v>
      </c>
      <c r="E99" s="431" t="s">
        <v>161</v>
      </c>
      <c r="F99" s="431" t="s">
        <v>668</v>
      </c>
      <c r="G99" s="431" t="s">
        <v>175</v>
      </c>
      <c r="H99" s="431"/>
      <c r="I99" s="431"/>
      <c r="J99" s="431"/>
      <c r="K99" s="431"/>
      <c r="L99" s="431" t="s">
        <v>650</v>
      </c>
      <c r="M99" s="432" t="s">
        <v>651</v>
      </c>
    </row>
    <row r="100" spans="1:13" ht="409.5" x14ac:dyDescent="0.2">
      <c r="A100" s="431" t="s">
        <v>649</v>
      </c>
      <c r="B100" s="431">
        <v>1690170</v>
      </c>
      <c r="C100" s="431" t="s">
        <v>159</v>
      </c>
      <c r="D100" s="431" t="s">
        <v>160</v>
      </c>
      <c r="E100" s="431" t="s">
        <v>161</v>
      </c>
      <c r="F100" s="431" t="s">
        <v>668</v>
      </c>
      <c r="G100" s="431" t="s">
        <v>175</v>
      </c>
      <c r="H100" s="431"/>
      <c r="I100" s="431"/>
      <c r="J100" s="431"/>
      <c r="K100" s="431"/>
      <c r="L100" s="431" t="s">
        <v>650</v>
      </c>
      <c r="M100" s="432" t="s">
        <v>651</v>
      </c>
    </row>
    <row r="101" spans="1:13" ht="409.5" x14ac:dyDescent="0.2">
      <c r="A101" s="431" t="s">
        <v>649</v>
      </c>
      <c r="B101" s="431">
        <v>1690170</v>
      </c>
      <c r="C101" s="431" t="s">
        <v>159</v>
      </c>
      <c r="D101" s="431" t="s">
        <v>160</v>
      </c>
      <c r="E101" s="431" t="s">
        <v>161</v>
      </c>
      <c r="F101" s="431" t="s">
        <v>668</v>
      </c>
      <c r="G101" s="431" t="s">
        <v>175</v>
      </c>
      <c r="H101" s="431"/>
      <c r="I101" s="431"/>
      <c r="J101" s="431"/>
      <c r="K101" s="431"/>
      <c r="L101" s="431" t="s">
        <v>650</v>
      </c>
      <c r="M101" s="432" t="s">
        <v>651</v>
      </c>
    </row>
    <row r="102" spans="1:13" ht="409.5" x14ac:dyDescent="0.2">
      <c r="A102" s="431" t="s">
        <v>649</v>
      </c>
      <c r="B102" s="431">
        <v>1690170</v>
      </c>
      <c r="C102" s="431" t="s">
        <v>159</v>
      </c>
      <c r="D102" s="431" t="s">
        <v>160</v>
      </c>
      <c r="E102" s="431" t="s">
        <v>161</v>
      </c>
      <c r="F102" s="431" t="s">
        <v>668</v>
      </c>
      <c r="G102" s="431" t="s">
        <v>175</v>
      </c>
      <c r="H102" s="431"/>
      <c r="I102" s="431"/>
      <c r="J102" s="431"/>
      <c r="K102" s="431"/>
      <c r="L102" s="431" t="s">
        <v>650</v>
      </c>
      <c r="M102" s="432" t="s">
        <v>651</v>
      </c>
    </row>
    <row r="103" spans="1:13" ht="409.5" x14ac:dyDescent="0.2">
      <c r="A103" s="431" t="s">
        <v>649</v>
      </c>
      <c r="B103" s="431">
        <v>1690170</v>
      </c>
      <c r="C103" s="431" t="s">
        <v>159</v>
      </c>
      <c r="D103" s="431" t="s">
        <v>160</v>
      </c>
      <c r="E103" s="431" t="s">
        <v>161</v>
      </c>
      <c r="F103" s="431" t="s">
        <v>668</v>
      </c>
      <c r="G103" s="431" t="s">
        <v>175</v>
      </c>
      <c r="H103" s="431"/>
      <c r="I103" s="431"/>
      <c r="J103" s="431"/>
      <c r="K103" s="431"/>
      <c r="L103" s="431" t="s">
        <v>650</v>
      </c>
      <c r="M103" s="432" t="s">
        <v>651</v>
      </c>
    </row>
    <row r="104" spans="1:13" ht="409.5" x14ac:dyDescent="0.2">
      <c r="A104" s="431" t="s">
        <v>649</v>
      </c>
      <c r="B104" s="431">
        <v>1690170</v>
      </c>
      <c r="C104" s="431" t="s">
        <v>159</v>
      </c>
      <c r="D104" s="431" t="s">
        <v>160</v>
      </c>
      <c r="E104" s="431" t="s">
        <v>161</v>
      </c>
      <c r="F104" s="431" t="s">
        <v>668</v>
      </c>
      <c r="G104" s="431" t="s">
        <v>175</v>
      </c>
      <c r="H104" s="431"/>
      <c r="I104" s="431"/>
      <c r="J104" s="431"/>
      <c r="K104" s="431"/>
      <c r="L104" s="431" t="s">
        <v>650</v>
      </c>
      <c r="M104" s="432" t="s">
        <v>651</v>
      </c>
    </row>
    <row r="105" spans="1:13" ht="409.5" x14ac:dyDescent="0.2">
      <c r="A105" s="431" t="s">
        <v>649</v>
      </c>
      <c r="B105" s="431">
        <v>1690170</v>
      </c>
      <c r="C105" s="431" t="s">
        <v>159</v>
      </c>
      <c r="D105" s="431" t="s">
        <v>160</v>
      </c>
      <c r="E105" s="431" t="s">
        <v>161</v>
      </c>
      <c r="F105" s="431" t="s">
        <v>668</v>
      </c>
      <c r="G105" s="431" t="s">
        <v>175</v>
      </c>
      <c r="H105" s="431"/>
      <c r="I105" s="431"/>
      <c r="J105" s="431"/>
      <c r="K105" s="431"/>
      <c r="L105" s="431" t="s">
        <v>650</v>
      </c>
      <c r="M105" s="432" t="s">
        <v>651</v>
      </c>
    </row>
    <row r="106" spans="1:13" ht="409.5" x14ac:dyDescent="0.2">
      <c r="A106" s="431" t="s">
        <v>649</v>
      </c>
      <c r="B106" s="431">
        <v>1690170</v>
      </c>
      <c r="C106" s="431" t="s">
        <v>159</v>
      </c>
      <c r="D106" s="431" t="s">
        <v>160</v>
      </c>
      <c r="E106" s="431" t="s">
        <v>161</v>
      </c>
      <c r="F106" s="431" t="s">
        <v>668</v>
      </c>
      <c r="G106" s="431" t="s">
        <v>175</v>
      </c>
      <c r="H106" s="431"/>
      <c r="I106" s="431"/>
      <c r="J106" s="431"/>
      <c r="K106" s="431"/>
      <c r="L106" s="431" t="s">
        <v>650</v>
      </c>
      <c r="M106" s="432" t="s">
        <v>651</v>
      </c>
    </row>
    <row r="107" spans="1:13" ht="409.5" x14ac:dyDescent="0.2">
      <c r="A107" s="431" t="s">
        <v>649</v>
      </c>
      <c r="B107" s="431">
        <v>1690170</v>
      </c>
      <c r="C107" s="431" t="s">
        <v>159</v>
      </c>
      <c r="D107" s="431" t="s">
        <v>160</v>
      </c>
      <c r="E107" s="431" t="s">
        <v>161</v>
      </c>
      <c r="F107" s="431" t="s">
        <v>668</v>
      </c>
      <c r="G107" s="431" t="s">
        <v>175</v>
      </c>
      <c r="H107" s="431"/>
      <c r="I107" s="431"/>
      <c r="J107" s="431"/>
      <c r="K107" s="431"/>
      <c r="L107" s="431" t="s">
        <v>650</v>
      </c>
      <c r="M107" s="432" t="s">
        <v>651</v>
      </c>
    </row>
    <row r="108" spans="1:13" ht="409.5" x14ac:dyDescent="0.2">
      <c r="A108" s="431" t="s">
        <v>649</v>
      </c>
      <c r="B108" s="431">
        <v>1690170</v>
      </c>
      <c r="C108" s="431" t="s">
        <v>159</v>
      </c>
      <c r="D108" s="431" t="s">
        <v>160</v>
      </c>
      <c r="E108" s="431" t="s">
        <v>161</v>
      </c>
      <c r="F108" s="431" t="s">
        <v>668</v>
      </c>
      <c r="G108" s="431" t="s">
        <v>175</v>
      </c>
      <c r="H108" s="431"/>
      <c r="I108" s="431"/>
      <c r="J108" s="431"/>
      <c r="K108" s="431"/>
      <c r="L108" s="431" t="s">
        <v>650</v>
      </c>
      <c r="M108" s="432" t="s">
        <v>651</v>
      </c>
    </row>
    <row r="109" spans="1:13" ht="409.5" x14ac:dyDescent="0.2">
      <c r="A109" s="431" t="s">
        <v>649</v>
      </c>
      <c r="B109" s="431">
        <v>1690170</v>
      </c>
      <c r="C109" s="431" t="s">
        <v>159</v>
      </c>
      <c r="D109" s="431" t="s">
        <v>160</v>
      </c>
      <c r="E109" s="431" t="s">
        <v>161</v>
      </c>
      <c r="F109" s="431" t="s">
        <v>668</v>
      </c>
      <c r="G109" s="431" t="s">
        <v>175</v>
      </c>
      <c r="H109" s="431"/>
      <c r="I109" s="431"/>
      <c r="J109" s="431"/>
      <c r="K109" s="431"/>
      <c r="L109" s="431" t="s">
        <v>650</v>
      </c>
      <c r="M109" s="432" t="s">
        <v>651</v>
      </c>
    </row>
    <row r="110" spans="1:13" ht="409.5" x14ac:dyDescent="0.2">
      <c r="A110" s="431" t="s">
        <v>649</v>
      </c>
      <c r="B110" s="431">
        <v>1690170</v>
      </c>
      <c r="C110" s="431" t="s">
        <v>159</v>
      </c>
      <c r="D110" s="431" t="s">
        <v>160</v>
      </c>
      <c r="E110" s="431" t="s">
        <v>161</v>
      </c>
      <c r="F110" s="431" t="s">
        <v>668</v>
      </c>
      <c r="G110" s="431" t="s">
        <v>175</v>
      </c>
      <c r="H110" s="431"/>
      <c r="I110" s="431"/>
      <c r="J110" s="431"/>
      <c r="K110" s="431"/>
      <c r="L110" s="431" t="s">
        <v>650</v>
      </c>
      <c r="M110" s="432" t="s">
        <v>651</v>
      </c>
    </row>
    <row r="111" spans="1:13" ht="409.5" x14ac:dyDescent="0.2">
      <c r="A111" s="431" t="s">
        <v>649</v>
      </c>
      <c r="B111" s="431">
        <v>1690170</v>
      </c>
      <c r="C111" s="431" t="s">
        <v>159</v>
      </c>
      <c r="D111" s="431" t="s">
        <v>160</v>
      </c>
      <c r="E111" s="431" t="s">
        <v>161</v>
      </c>
      <c r="F111" s="431" t="s">
        <v>668</v>
      </c>
      <c r="G111" s="431" t="s">
        <v>175</v>
      </c>
      <c r="H111" s="431"/>
      <c r="I111" s="431"/>
      <c r="J111" s="431"/>
      <c r="K111" s="431"/>
      <c r="L111" s="431" t="s">
        <v>650</v>
      </c>
      <c r="M111" s="432" t="s">
        <v>651</v>
      </c>
    </row>
    <row r="112" spans="1:13" ht="409.5" x14ac:dyDescent="0.2">
      <c r="A112" s="431" t="s">
        <v>649</v>
      </c>
      <c r="B112" s="431">
        <v>1690170</v>
      </c>
      <c r="C112" s="431" t="s">
        <v>159</v>
      </c>
      <c r="D112" s="431" t="s">
        <v>160</v>
      </c>
      <c r="E112" s="431" t="s">
        <v>161</v>
      </c>
      <c r="F112" s="431" t="s">
        <v>668</v>
      </c>
      <c r="G112" s="431" t="s">
        <v>175</v>
      </c>
      <c r="H112" s="431"/>
      <c r="I112" s="431"/>
      <c r="J112" s="431"/>
      <c r="K112" s="431"/>
      <c r="L112" s="431" t="s">
        <v>650</v>
      </c>
      <c r="M112" s="432" t="s">
        <v>651</v>
      </c>
    </row>
    <row r="113" spans="1:13" ht="409.5" x14ac:dyDescent="0.2">
      <c r="A113" s="431" t="s">
        <v>649</v>
      </c>
      <c r="B113" s="431">
        <v>1690170</v>
      </c>
      <c r="C113" s="431" t="s">
        <v>159</v>
      </c>
      <c r="D113" s="431" t="s">
        <v>160</v>
      </c>
      <c r="E113" s="431" t="s">
        <v>161</v>
      </c>
      <c r="F113" s="431" t="s">
        <v>668</v>
      </c>
      <c r="G113" s="431" t="s">
        <v>175</v>
      </c>
      <c r="H113" s="431"/>
      <c r="I113" s="431"/>
      <c r="J113" s="431"/>
      <c r="K113" s="431"/>
      <c r="L113" s="431" t="s">
        <v>650</v>
      </c>
      <c r="M113" s="432" t="s">
        <v>651</v>
      </c>
    </row>
    <row r="114" spans="1:13" ht="409.5" x14ac:dyDescent="0.2">
      <c r="A114" s="431" t="s">
        <v>649</v>
      </c>
      <c r="B114" s="431">
        <v>1690170</v>
      </c>
      <c r="C114" s="431" t="s">
        <v>159</v>
      </c>
      <c r="D114" s="431" t="s">
        <v>160</v>
      </c>
      <c r="E114" s="431" t="s">
        <v>161</v>
      </c>
      <c r="F114" s="431" t="s">
        <v>668</v>
      </c>
      <c r="G114" s="431" t="s">
        <v>175</v>
      </c>
      <c r="H114" s="431"/>
      <c r="I114" s="431"/>
      <c r="J114" s="431"/>
      <c r="K114" s="431"/>
      <c r="L114" s="431" t="s">
        <v>650</v>
      </c>
      <c r="M114" s="432" t="s">
        <v>651</v>
      </c>
    </row>
    <row r="115" spans="1:13" ht="409.5" x14ac:dyDescent="0.2">
      <c r="A115" s="431" t="s">
        <v>649</v>
      </c>
      <c r="B115" s="431">
        <v>1690170</v>
      </c>
      <c r="C115" s="431" t="s">
        <v>159</v>
      </c>
      <c r="D115" s="431" t="s">
        <v>160</v>
      </c>
      <c r="E115" s="431" t="s">
        <v>161</v>
      </c>
      <c r="F115" s="431" t="s">
        <v>668</v>
      </c>
      <c r="G115" s="431" t="s">
        <v>175</v>
      </c>
      <c r="H115" s="431"/>
      <c r="I115" s="431"/>
      <c r="J115" s="431"/>
      <c r="K115" s="431"/>
      <c r="L115" s="431" t="s">
        <v>650</v>
      </c>
      <c r="M115" s="432" t="s">
        <v>651</v>
      </c>
    </row>
    <row r="116" spans="1:13" ht="409.5" x14ac:dyDescent="0.2">
      <c r="A116" s="431" t="s">
        <v>649</v>
      </c>
      <c r="B116" s="431">
        <v>1690170</v>
      </c>
      <c r="C116" s="431" t="s">
        <v>159</v>
      </c>
      <c r="D116" s="431" t="s">
        <v>160</v>
      </c>
      <c r="E116" s="431" t="s">
        <v>161</v>
      </c>
      <c r="F116" s="431" t="s">
        <v>668</v>
      </c>
      <c r="G116" s="431" t="s">
        <v>175</v>
      </c>
      <c r="H116" s="431"/>
      <c r="I116" s="431"/>
      <c r="J116" s="431"/>
      <c r="K116" s="431"/>
      <c r="L116" s="431" t="s">
        <v>650</v>
      </c>
      <c r="M116" s="432" t="s">
        <v>651</v>
      </c>
    </row>
    <row r="117" spans="1:13" ht="409.5" x14ac:dyDescent="0.2">
      <c r="A117" s="431" t="s">
        <v>649</v>
      </c>
      <c r="B117" s="431">
        <v>1690170</v>
      </c>
      <c r="C117" s="431" t="s">
        <v>159</v>
      </c>
      <c r="D117" s="431" t="s">
        <v>160</v>
      </c>
      <c r="E117" s="431" t="s">
        <v>161</v>
      </c>
      <c r="F117" s="431" t="s">
        <v>668</v>
      </c>
      <c r="G117" s="431" t="s">
        <v>175</v>
      </c>
      <c r="H117" s="431"/>
      <c r="I117" s="431"/>
      <c r="J117" s="431"/>
      <c r="K117" s="431"/>
      <c r="L117" s="431" t="s">
        <v>650</v>
      </c>
      <c r="M117" s="432" t="s">
        <v>651</v>
      </c>
    </row>
    <row r="118" spans="1:13" ht="409.5" x14ac:dyDescent="0.2">
      <c r="A118" s="431" t="s">
        <v>649</v>
      </c>
      <c r="B118" s="431">
        <v>1690170</v>
      </c>
      <c r="C118" s="431" t="s">
        <v>159</v>
      </c>
      <c r="D118" s="431" t="s">
        <v>160</v>
      </c>
      <c r="E118" s="431" t="s">
        <v>161</v>
      </c>
      <c r="F118" s="431" t="s">
        <v>668</v>
      </c>
      <c r="G118" s="431" t="s">
        <v>175</v>
      </c>
      <c r="H118" s="431"/>
      <c r="I118" s="431"/>
      <c r="J118" s="431"/>
      <c r="K118" s="431"/>
      <c r="L118" s="431" t="s">
        <v>650</v>
      </c>
      <c r="M118" s="432" t="s">
        <v>651</v>
      </c>
    </row>
    <row r="119" spans="1:13" ht="409.5" x14ac:dyDescent="0.2">
      <c r="A119" s="431" t="s">
        <v>649</v>
      </c>
      <c r="B119" s="431">
        <v>1690170</v>
      </c>
      <c r="C119" s="431" t="s">
        <v>159</v>
      </c>
      <c r="D119" s="431" t="s">
        <v>160</v>
      </c>
      <c r="E119" s="431" t="s">
        <v>161</v>
      </c>
      <c r="F119" s="431" t="s">
        <v>668</v>
      </c>
      <c r="G119" s="431" t="s">
        <v>175</v>
      </c>
      <c r="H119" s="431"/>
      <c r="I119" s="431"/>
      <c r="J119" s="431"/>
      <c r="K119" s="431"/>
      <c r="L119" s="431" t="s">
        <v>650</v>
      </c>
      <c r="M119" s="432" t="s">
        <v>651</v>
      </c>
    </row>
    <row r="120" spans="1:13" ht="409.5" x14ac:dyDescent="0.2">
      <c r="A120" s="431" t="s">
        <v>649</v>
      </c>
      <c r="B120" s="431">
        <v>1690170</v>
      </c>
      <c r="C120" s="431" t="s">
        <v>159</v>
      </c>
      <c r="D120" s="431" t="s">
        <v>160</v>
      </c>
      <c r="E120" s="431" t="s">
        <v>161</v>
      </c>
      <c r="F120" s="431" t="s">
        <v>668</v>
      </c>
      <c r="G120" s="431" t="s">
        <v>175</v>
      </c>
      <c r="H120" s="431"/>
      <c r="I120" s="431"/>
      <c r="J120" s="431"/>
      <c r="K120" s="431"/>
      <c r="L120" s="431" t="s">
        <v>650</v>
      </c>
      <c r="M120" s="432" t="s">
        <v>651</v>
      </c>
    </row>
    <row r="121" spans="1:13" ht="409.5" x14ac:dyDescent="0.2">
      <c r="A121" s="431" t="s">
        <v>649</v>
      </c>
      <c r="B121" s="431">
        <v>1690170</v>
      </c>
      <c r="C121" s="431" t="s">
        <v>159</v>
      </c>
      <c r="D121" s="431" t="s">
        <v>160</v>
      </c>
      <c r="E121" s="431" t="s">
        <v>161</v>
      </c>
      <c r="F121" s="431" t="s">
        <v>668</v>
      </c>
      <c r="G121" s="431" t="s">
        <v>175</v>
      </c>
      <c r="H121" s="431"/>
      <c r="I121" s="431"/>
      <c r="J121" s="431"/>
      <c r="K121" s="431"/>
      <c r="L121" s="431" t="s">
        <v>650</v>
      </c>
      <c r="M121" s="432" t="s">
        <v>651</v>
      </c>
    </row>
    <row r="122" spans="1:13" ht="409.5" x14ac:dyDescent="0.2">
      <c r="A122" s="431" t="s">
        <v>649</v>
      </c>
      <c r="B122" s="431">
        <v>1690170</v>
      </c>
      <c r="C122" s="431" t="s">
        <v>159</v>
      </c>
      <c r="D122" s="431" t="s">
        <v>160</v>
      </c>
      <c r="E122" s="431" t="s">
        <v>161</v>
      </c>
      <c r="F122" s="431" t="s">
        <v>668</v>
      </c>
      <c r="G122" s="431" t="s">
        <v>175</v>
      </c>
      <c r="H122" s="431"/>
      <c r="I122" s="431"/>
      <c r="J122" s="431"/>
      <c r="K122" s="431"/>
      <c r="L122" s="431" t="s">
        <v>650</v>
      </c>
      <c r="M122" s="432" t="s">
        <v>651</v>
      </c>
    </row>
    <row r="123" spans="1:13" ht="409.5" x14ac:dyDescent="0.2">
      <c r="A123" s="431" t="s">
        <v>649</v>
      </c>
      <c r="B123" s="431">
        <v>1690170</v>
      </c>
      <c r="C123" s="431" t="s">
        <v>159</v>
      </c>
      <c r="D123" s="431" t="s">
        <v>160</v>
      </c>
      <c r="E123" s="431" t="s">
        <v>161</v>
      </c>
      <c r="F123" s="431" t="s">
        <v>668</v>
      </c>
      <c r="G123" s="431" t="s">
        <v>175</v>
      </c>
      <c r="H123" s="431"/>
      <c r="I123" s="431"/>
      <c r="J123" s="431"/>
      <c r="K123" s="431"/>
      <c r="L123" s="431" t="s">
        <v>650</v>
      </c>
      <c r="M123" s="432" t="s">
        <v>651</v>
      </c>
    </row>
    <row r="124" spans="1:13" ht="409.5" x14ac:dyDescent="0.2">
      <c r="A124" s="431" t="s">
        <v>649</v>
      </c>
      <c r="B124" s="431">
        <v>1690170</v>
      </c>
      <c r="C124" s="431" t="s">
        <v>159</v>
      </c>
      <c r="D124" s="431" t="s">
        <v>160</v>
      </c>
      <c r="E124" s="431" t="s">
        <v>161</v>
      </c>
      <c r="F124" s="431" t="s">
        <v>668</v>
      </c>
      <c r="G124" s="431" t="s">
        <v>175</v>
      </c>
      <c r="H124" s="431"/>
      <c r="I124" s="431"/>
      <c r="J124" s="431"/>
      <c r="K124" s="431"/>
      <c r="L124" s="431" t="s">
        <v>650</v>
      </c>
      <c r="M124" s="432" t="s">
        <v>651</v>
      </c>
    </row>
    <row r="125" spans="1:13" ht="409.5" x14ac:dyDescent="0.2">
      <c r="A125" s="431" t="s">
        <v>649</v>
      </c>
      <c r="B125" s="431">
        <v>1690170</v>
      </c>
      <c r="C125" s="431" t="s">
        <v>159</v>
      </c>
      <c r="D125" s="431" t="s">
        <v>160</v>
      </c>
      <c r="E125" s="431" t="s">
        <v>161</v>
      </c>
      <c r="F125" s="431" t="s">
        <v>668</v>
      </c>
      <c r="G125" s="431" t="s">
        <v>175</v>
      </c>
      <c r="H125" s="431"/>
      <c r="I125" s="431"/>
      <c r="J125" s="431"/>
      <c r="K125" s="431"/>
      <c r="L125" s="431" t="s">
        <v>650</v>
      </c>
      <c r="M125" s="432" t="s">
        <v>651</v>
      </c>
    </row>
    <row r="126" spans="1:13" ht="409.5" x14ac:dyDescent="0.2">
      <c r="A126" s="431" t="s">
        <v>649</v>
      </c>
      <c r="B126" s="431">
        <v>1690170</v>
      </c>
      <c r="C126" s="431" t="s">
        <v>159</v>
      </c>
      <c r="D126" s="431" t="s">
        <v>160</v>
      </c>
      <c r="E126" s="431" t="s">
        <v>161</v>
      </c>
      <c r="F126" s="431" t="s">
        <v>668</v>
      </c>
      <c r="G126" s="431" t="s">
        <v>175</v>
      </c>
      <c r="H126" s="431"/>
      <c r="I126" s="431"/>
      <c r="J126" s="431"/>
      <c r="K126" s="431"/>
      <c r="L126" s="431" t="s">
        <v>650</v>
      </c>
      <c r="M126" s="432" t="s">
        <v>651</v>
      </c>
    </row>
    <row r="127" spans="1:13" ht="409.5" x14ac:dyDescent="0.2">
      <c r="A127" s="431" t="s">
        <v>649</v>
      </c>
      <c r="B127" s="431">
        <v>1690170</v>
      </c>
      <c r="C127" s="431" t="s">
        <v>159</v>
      </c>
      <c r="D127" s="431" t="s">
        <v>160</v>
      </c>
      <c r="E127" s="431" t="s">
        <v>161</v>
      </c>
      <c r="F127" s="431" t="s">
        <v>668</v>
      </c>
      <c r="G127" s="431" t="s">
        <v>175</v>
      </c>
      <c r="H127" s="431"/>
      <c r="I127" s="431"/>
      <c r="J127" s="431"/>
      <c r="K127" s="431"/>
      <c r="L127" s="431" t="s">
        <v>650</v>
      </c>
      <c r="M127" s="432" t="s">
        <v>651</v>
      </c>
    </row>
    <row r="128" spans="1:13" ht="409.5" x14ac:dyDescent="0.2">
      <c r="A128" s="431" t="s">
        <v>649</v>
      </c>
      <c r="B128" s="431">
        <v>1690170</v>
      </c>
      <c r="C128" s="431" t="s">
        <v>159</v>
      </c>
      <c r="D128" s="431" t="s">
        <v>160</v>
      </c>
      <c r="E128" s="431" t="s">
        <v>161</v>
      </c>
      <c r="F128" s="431" t="s">
        <v>668</v>
      </c>
      <c r="G128" s="431" t="s">
        <v>175</v>
      </c>
      <c r="H128" s="431"/>
      <c r="I128" s="431"/>
      <c r="J128" s="431"/>
      <c r="K128" s="431"/>
      <c r="L128" s="431" t="s">
        <v>650</v>
      </c>
      <c r="M128" s="432" t="s">
        <v>651</v>
      </c>
    </row>
    <row r="129" spans="1:13" ht="409.5" x14ac:dyDescent="0.2">
      <c r="A129" s="431" t="s">
        <v>649</v>
      </c>
      <c r="B129" s="431">
        <v>1690170</v>
      </c>
      <c r="C129" s="431" t="s">
        <v>159</v>
      </c>
      <c r="D129" s="431" t="s">
        <v>160</v>
      </c>
      <c r="E129" s="431" t="s">
        <v>161</v>
      </c>
      <c r="F129" s="431" t="s">
        <v>668</v>
      </c>
      <c r="G129" s="431" t="s">
        <v>175</v>
      </c>
      <c r="H129" s="431"/>
      <c r="I129" s="431"/>
      <c r="J129" s="431"/>
      <c r="K129" s="431"/>
      <c r="L129" s="431" t="s">
        <v>650</v>
      </c>
      <c r="M129" s="432" t="s">
        <v>651</v>
      </c>
    </row>
    <row r="130" spans="1:13" ht="409.5" x14ac:dyDescent="0.2">
      <c r="A130" s="431" t="s">
        <v>649</v>
      </c>
      <c r="B130" s="431">
        <v>1690170</v>
      </c>
      <c r="C130" s="431" t="s">
        <v>159</v>
      </c>
      <c r="D130" s="431" t="s">
        <v>160</v>
      </c>
      <c r="E130" s="431" t="s">
        <v>161</v>
      </c>
      <c r="F130" s="431" t="s">
        <v>668</v>
      </c>
      <c r="G130" s="431" t="s">
        <v>175</v>
      </c>
      <c r="H130" s="431"/>
      <c r="I130" s="431"/>
      <c r="J130" s="431"/>
      <c r="K130" s="431"/>
      <c r="L130" s="431" t="s">
        <v>650</v>
      </c>
      <c r="M130" s="432" t="s">
        <v>651</v>
      </c>
    </row>
    <row r="131" spans="1:13" ht="409.5" x14ac:dyDescent="0.2">
      <c r="A131" s="431" t="s">
        <v>649</v>
      </c>
      <c r="B131" s="431">
        <v>1690170</v>
      </c>
      <c r="C131" s="431" t="s">
        <v>159</v>
      </c>
      <c r="D131" s="431" t="s">
        <v>160</v>
      </c>
      <c r="E131" s="431" t="s">
        <v>161</v>
      </c>
      <c r="F131" s="431" t="s">
        <v>668</v>
      </c>
      <c r="G131" s="431" t="s">
        <v>175</v>
      </c>
      <c r="H131" s="431"/>
      <c r="I131" s="431"/>
      <c r="J131" s="431"/>
      <c r="K131" s="431"/>
      <c r="L131" s="431" t="s">
        <v>650</v>
      </c>
      <c r="M131" s="432" t="s">
        <v>651</v>
      </c>
    </row>
    <row r="132" spans="1:13" ht="409.5" x14ac:dyDescent="0.2">
      <c r="A132" s="431" t="s">
        <v>649</v>
      </c>
      <c r="B132" s="431">
        <v>1690170</v>
      </c>
      <c r="C132" s="431" t="s">
        <v>159</v>
      </c>
      <c r="D132" s="431" t="s">
        <v>160</v>
      </c>
      <c r="E132" s="431" t="s">
        <v>161</v>
      </c>
      <c r="F132" s="431" t="s">
        <v>668</v>
      </c>
      <c r="G132" s="431" t="s">
        <v>175</v>
      </c>
      <c r="H132" s="431"/>
      <c r="I132" s="431"/>
      <c r="J132" s="431"/>
      <c r="K132" s="431"/>
      <c r="L132" s="431" t="s">
        <v>650</v>
      </c>
      <c r="M132" s="432" t="s">
        <v>651</v>
      </c>
    </row>
    <row r="133" spans="1:13" ht="409.5" x14ac:dyDescent="0.2">
      <c r="A133" s="431" t="s">
        <v>649</v>
      </c>
      <c r="B133" s="431">
        <v>1690170</v>
      </c>
      <c r="C133" s="431" t="s">
        <v>159</v>
      </c>
      <c r="D133" s="431" t="s">
        <v>160</v>
      </c>
      <c r="E133" s="431" t="s">
        <v>161</v>
      </c>
      <c r="F133" s="431" t="s">
        <v>668</v>
      </c>
      <c r="G133" s="431" t="s">
        <v>175</v>
      </c>
      <c r="H133" s="431"/>
      <c r="I133" s="431"/>
      <c r="J133" s="431"/>
      <c r="K133" s="431"/>
      <c r="L133" s="431" t="s">
        <v>650</v>
      </c>
      <c r="M133" s="432" t="s">
        <v>651</v>
      </c>
    </row>
    <row r="134" spans="1:13" ht="409.5" x14ac:dyDescent="0.2">
      <c r="A134" s="431" t="s">
        <v>649</v>
      </c>
      <c r="B134" s="431">
        <v>1690170</v>
      </c>
      <c r="C134" s="431" t="s">
        <v>159</v>
      </c>
      <c r="D134" s="431" t="s">
        <v>160</v>
      </c>
      <c r="E134" s="431" t="s">
        <v>161</v>
      </c>
      <c r="F134" s="431" t="s">
        <v>668</v>
      </c>
      <c r="G134" s="431" t="s">
        <v>175</v>
      </c>
      <c r="H134" s="431"/>
      <c r="I134" s="431"/>
      <c r="J134" s="431"/>
      <c r="K134" s="431"/>
      <c r="L134" s="431" t="s">
        <v>650</v>
      </c>
      <c r="M134" s="432" t="s">
        <v>651</v>
      </c>
    </row>
    <row r="135" spans="1:13" ht="409.5" x14ac:dyDescent="0.2">
      <c r="A135" s="431" t="s">
        <v>649</v>
      </c>
      <c r="B135" s="431">
        <v>1690170</v>
      </c>
      <c r="C135" s="431" t="s">
        <v>159</v>
      </c>
      <c r="D135" s="431" t="s">
        <v>160</v>
      </c>
      <c r="E135" s="431" t="s">
        <v>161</v>
      </c>
      <c r="F135" s="431" t="s">
        <v>668</v>
      </c>
      <c r="G135" s="431" t="s">
        <v>175</v>
      </c>
      <c r="H135" s="431"/>
      <c r="I135" s="431"/>
      <c r="J135" s="431"/>
      <c r="K135" s="431"/>
      <c r="L135" s="431" t="s">
        <v>650</v>
      </c>
      <c r="M135" s="432" t="s">
        <v>651</v>
      </c>
    </row>
    <row r="136" spans="1:13" ht="409.5" x14ac:dyDescent="0.2">
      <c r="A136" s="431" t="s">
        <v>649</v>
      </c>
      <c r="B136" s="431">
        <v>1690170</v>
      </c>
      <c r="C136" s="431" t="s">
        <v>159</v>
      </c>
      <c r="D136" s="431" t="s">
        <v>160</v>
      </c>
      <c r="E136" s="431" t="s">
        <v>161</v>
      </c>
      <c r="F136" s="431" t="s">
        <v>668</v>
      </c>
      <c r="G136" s="431" t="s">
        <v>175</v>
      </c>
      <c r="H136" s="431"/>
      <c r="I136" s="431"/>
      <c r="J136" s="431"/>
      <c r="K136" s="431"/>
      <c r="L136" s="431" t="s">
        <v>650</v>
      </c>
      <c r="M136" s="432" t="s">
        <v>651</v>
      </c>
    </row>
    <row r="137" spans="1:13" ht="409.5" x14ac:dyDescent="0.2">
      <c r="A137" s="431" t="s">
        <v>649</v>
      </c>
      <c r="B137" s="431">
        <v>1690170</v>
      </c>
      <c r="C137" s="431" t="s">
        <v>159</v>
      </c>
      <c r="D137" s="431" t="s">
        <v>160</v>
      </c>
      <c r="E137" s="431" t="s">
        <v>161</v>
      </c>
      <c r="F137" s="431" t="s">
        <v>669</v>
      </c>
      <c r="G137" s="431" t="s">
        <v>175</v>
      </c>
      <c r="H137" s="431"/>
      <c r="I137" s="431"/>
      <c r="J137" s="431"/>
      <c r="K137" s="431"/>
      <c r="L137" s="431" t="s">
        <v>650</v>
      </c>
      <c r="M137" s="432" t="s">
        <v>651</v>
      </c>
    </row>
    <row r="138" spans="1:13" ht="409.5" x14ac:dyDescent="0.2">
      <c r="A138" s="431" t="s">
        <v>649</v>
      </c>
      <c r="B138" s="431">
        <v>1690170</v>
      </c>
      <c r="C138" s="431" t="s">
        <v>159</v>
      </c>
      <c r="D138" s="431" t="s">
        <v>160</v>
      </c>
      <c r="E138" s="431" t="s">
        <v>161</v>
      </c>
      <c r="F138" s="431" t="s">
        <v>669</v>
      </c>
      <c r="G138" s="431" t="s">
        <v>175</v>
      </c>
      <c r="H138" s="431"/>
      <c r="I138" s="431"/>
      <c r="J138" s="431"/>
      <c r="K138" s="431"/>
      <c r="L138" s="431" t="s">
        <v>650</v>
      </c>
      <c r="M138" s="432" t="s">
        <v>651</v>
      </c>
    </row>
    <row r="139" spans="1:13" ht="409.5" x14ac:dyDescent="0.2">
      <c r="A139" s="431" t="s">
        <v>649</v>
      </c>
      <c r="B139" s="431">
        <v>1690170</v>
      </c>
      <c r="C139" s="431" t="s">
        <v>159</v>
      </c>
      <c r="D139" s="431" t="s">
        <v>160</v>
      </c>
      <c r="E139" s="431" t="s">
        <v>161</v>
      </c>
      <c r="F139" s="431" t="s">
        <v>669</v>
      </c>
      <c r="G139" s="431" t="s">
        <v>175</v>
      </c>
      <c r="H139" s="431"/>
      <c r="I139" s="431"/>
      <c r="J139" s="431"/>
      <c r="K139" s="431"/>
      <c r="L139" s="431" t="s">
        <v>650</v>
      </c>
      <c r="M139" s="432" t="s">
        <v>651</v>
      </c>
    </row>
    <row r="140" spans="1:13" ht="409.5" x14ac:dyDescent="0.2">
      <c r="A140" s="431" t="s">
        <v>649</v>
      </c>
      <c r="B140" s="431">
        <v>1690170</v>
      </c>
      <c r="C140" s="431" t="s">
        <v>159</v>
      </c>
      <c r="D140" s="431" t="s">
        <v>160</v>
      </c>
      <c r="E140" s="431" t="s">
        <v>161</v>
      </c>
      <c r="F140" s="431" t="s">
        <v>669</v>
      </c>
      <c r="G140" s="431" t="s">
        <v>175</v>
      </c>
      <c r="H140" s="431"/>
      <c r="I140" s="431"/>
      <c r="J140" s="431"/>
      <c r="K140" s="431"/>
      <c r="L140" s="431" t="s">
        <v>650</v>
      </c>
      <c r="M140" s="432" t="s">
        <v>651</v>
      </c>
    </row>
    <row r="141" spans="1:13" ht="409.5" x14ac:dyDescent="0.2">
      <c r="A141" s="431" t="s">
        <v>649</v>
      </c>
      <c r="B141" s="431">
        <v>1690170</v>
      </c>
      <c r="C141" s="431" t="s">
        <v>159</v>
      </c>
      <c r="D141" s="431" t="s">
        <v>160</v>
      </c>
      <c r="E141" s="431" t="s">
        <v>161</v>
      </c>
      <c r="F141" s="431" t="s">
        <v>669</v>
      </c>
      <c r="G141" s="431" t="s">
        <v>175</v>
      </c>
      <c r="H141" s="431"/>
      <c r="I141" s="431"/>
      <c r="J141" s="431"/>
      <c r="K141" s="431"/>
      <c r="L141" s="431" t="s">
        <v>650</v>
      </c>
      <c r="M141" s="432" t="s">
        <v>651</v>
      </c>
    </row>
    <row r="142" spans="1:13" ht="409.5" x14ac:dyDescent="0.2">
      <c r="A142" s="431" t="s">
        <v>649</v>
      </c>
      <c r="B142" s="431">
        <v>1690170</v>
      </c>
      <c r="C142" s="431" t="s">
        <v>159</v>
      </c>
      <c r="D142" s="431" t="s">
        <v>160</v>
      </c>
      <c r="E142" s="431" t="s">
        <v>161</v>
      </c>
      <c r="F142" s="431" t="s">
        <v>669</v>
      </c>
      <c r="G142" s="431" t="s">
        <v>175</v>
      </c>
      <c r="H142" s="431"/>
      <c r="I142" s="431"/>
      <c r="J142" s="431"/>
      <c r="K142" s="431"/>
      <c r="L142" s="431" t="s">
        <v>650</v>
      </c>
      <c r="M142" s="432" t="s">
        <v>651</v>
      </c>
    </row>
    <row r="143" spans="1:13" ht="409.5" x14ac:dyDescent="0.2">
      <c r="A143" s="431" t="s">
        <v>649</v>
      </c>
      <c r="B143" s="431">
        <v>1690170</v>
      </c>
      <c r="C143" s="431" t="s">
        <v>159</v>
      </c>
      <c r="D143" s="431" t="s">
        <v>160</v>
      </c>
      <c r="E143" s="431" t="s">
        <v>161</v>
      </c>
      <c r="F143" s="431" t="s">
        <v>669</v>
      </c>
      <c r="G143" s="431" t="s">
        <v>175</v>
      </c>
      <c r="H143" s="431"/>
      <c r="I143" s="431"/>
      <c r="J143" s="431"/>
      <c r="K143" s="431"/>
      <c r="L143" s="431" t="s">
        <v>650</v>
      </c>
      <c r="M143" s="432" t="s">
        <v>651</v>
      </c>
    </row>
    <row r="144" spans="1:13" ht="409.5" x14ac:dyDescent="0.2">
      <c r="A144" s="431" t="s">
        <v>649</v>
      </c>
      <c r="B144" s="431">
        <v>1690170</v>
      </c>
      <c r="C144" s="431" t="s">
        <v>159</v>
      </c>
      <c r="D144" s="431" t="s">
        <v>160</v>
      </c>
      <c r="E144" s="431" t="s">
        <v>161</v>
      </c>
      <c r="F144" s="431" t="s">
        <v>669</v>
      </c>
      <c r="G144" s="431" t="s">
        <v>175</v>
      </c>
      <c r="H144" s="431"/>
      <c r="I144" s="431"/>
      <c r="J144" s="431"/>
      <c r="K144" s="431"/>
      <c r="L144" s="431" t="s">
        <v>650</v>
      </c>
      <c r="M144" s="432" t="s">
        <v>651</v>
      </c>
    </row>
    <row r="145" spans="1:13" ht="409.5" x14ac:dyDescent="0.2">
      <c r="A145" s="431" t="s">
        <v>649</v>
      </c>
      <c r="B145" s="431">
        <v>1690170</v>
      </c>
      <c r="C145" s="431" t="s">
        <v>159</v>
      </c>
      <c r="D145" s="431" t="s">
        <v>160</v>
      </c>
      <c r="E145" s="431" t="s">
        <v>161</v>
      </c>
      <c r="F145" s="431" t="s">
        <v>669</v>
      </c>
      <c r="G145" s="431" t="s">
        <v>175</v>
      </c>
      <c r="H145" s="431"/>
      <c r="I145" s="431"/>
      <c r="J145" s="431"/>
      <c r="K145" s="431"/>
      <c r="L145" s="431" t="s">
        <v>650</v>
      </c>
      <c r="M145" s="432" t="s">
        <v>651</v>
      </c>
    </row>
    <row r="146" spans="1:13" ht="409.5" x14ac:dyDescent="0.2">
      <c r="A146" s="431" t="s">
        <v>649</v>
      </c>
      <c r="B146" s="431">
        <v>1690170</v>
      </c>
      <c r="C146" s="431" t="s">
        <v>159</v>
      </c>
      <c r="D146" s="431" t="s">
        <v>160</v>
      </c>
      <c r="E146" s="431" t="s">
        <v>161</v>
      </c>
      <c r="F146" s="431" t="s">
        <v>669</v>
      </c>
      <c r="G146" s="431" t="s">
        <v>175</v>
      </c>
      <c r="H146" s="431"/>
      <c r="I146" s="431"/>
      <c r="J146" s="431"/>
      <c r="K146" s="431"/>
      <c r="L146" s="431" t="s">
        <v>650</v>
      </c>
      <c r="M146" s="432" t="s">
        <v>651</v>
      </c>
    </row>
    <row r="147" spans="1:13" ht="409.5" x14ac:dyDescent="0.2">
      <c r="A147" s="431" t="s">
        <v>649</v>
      </c>
      <c r="B147" s="431">
        <v>1690170</v>
      </c>
      <c r="C147" s="431" t="s">
        <v>159</v>
      </c>
      <c r="D147" s="431" t="s">
        <v>160</v>
      </c>
      <c r="E147" s="431" t="s">
        <v>161</v>
      </c>
      <c r="F147" s="431" t="s">
        <v>669</v>
      </c>
      <c r="G147" s="431" t="s">
        <v>175</v>
      </c>
      <c r="H147" s="431"/>
      <c r="I147" s="431"/>
      <c r="J147" s="431"/>
      <c r="K147" s="431"/>
      <c r="L147" s="431" t="s">
        <v>650</v>
      </c>
      <c r="M147" s="432" t="s">
        <v>651</v>
      </c>
    </row>
    <row r="148" spans="1:13" ht="409.5" x14ac:dyDescent="0.2">
      <c r="A148" s="431" t="s">
        <v>649</v>
      </c>
      <c r="B148" s="431">
        <v>1690170</v>
      </c>
      <c r="C148" s="431" t="s">
        <v>159</v>
      </c>
      <c r="D148" s="431" t="s">
        <v>160</v>
      </c>
      <c r="E148" s="431" t="s">
        <v>161</v>
      </c>
      <c r="F148" s="431" t="s">
        <v>669</v>
      </c>
      <c r="G148" s="431" t="s">
        <v>175</v>
      </c>
      <c r="H148" s="431"/>
      <c r="I148" s="431"/>
      <c r="J148" s="431"/>
      <c r="K148" s="431"/>
      <c r="L148" s="431" t="s">
        <v>650</v>
      </c>
      <c r="M148" s="432" t="s">
        <v>651</v>
      </c>
    </row>
    <row r="149" spans="1:13" ht="409.5" x14ac:dyDescent="0.2">
      <c r="A149" s="431" t="s">
        <v>649</v>
      </c>
      <c r="B149" s="431">
        <v>1690170</v>
      </c>
      <c r="C149" s="431" t="s">
        <v>159</v>
      </c>
      <c r="D149" s="431" t="s">
        <v>160</v>
      </c>
      <c r="E149" s="431" t="s">
        <v>161</v>
      </c>
      <c r="F149" s="431" t="s">
        <v>669</v>
      </c>
      <c r="G149" s="431" t="s">
        <v>175</v>
      </c>
      <c r="H149" s="431"/>
      <c r="I149" s="431"/>
      <c r="J149" s="431"/>
      <c r="K149" s="431"/>
      <c r="L149" s="431" t="s">
        <v>650</v>
      </c>
      <c r="M149" s="432" t="s">
        <v>651</v>
      </c>
    </row>
    <row r="150" spans="1:13" ht="409.5" x14ac:dyDescent="0.2">
      <c r="A150" s="431" t="s">
        <v>649</v>
      </c>
      <c r="B150" s="431">
        <v>1690170</v>
      </c>
      <c r="C150" s="431" t="s">
        <v>159</v>
      </c>
      <c r="D150" s="431" t="s">
        <v>160</v>
      </c>
      <c r="E150" s="431" t="s">
        <v>161</v>
      </c>
      <c r="F150" s="431" t="s">
        <v>669</v>
      </c>
      <c r="G150" s="431" t="s">
        <v>175</v>
      </c>
      <c r="H150" s="431"/>
      <c r="I150" s="431"/>
      <c r="J150" s="431"/>
      <c r="K150" s="431"/>
      <c r="L150" s="431" t="s">
        <v>650</v>
      </c>
      <c r="M150" s="432" t="s">
        <v>651</v>
      </c>
    </row>
    <row r="151" spans="1:13" ht="409.5" x14ac:dyDescent="0.2">
      <c r="A151" s="431" t="s">
        <v>649</v>
      </c>
      <c r="B151" s="431">
        <v>1690170</v>
      </c>
      <c r="C151" s="431" t="s">
        <v>159</v>
      </c>
      <c r="D151" s="431" t="s">
        <v>160</v>
      </c>
      <c r="E151" s="431" t="s">
        <v>161</v>
      </c>
      <c r="F151" s="431" t="s">
        <v>669</v>
      </c>
      <c r="G151" s="431" t="s">
        <v>175</v>
      </c>
      <c r="H151" s="431"/>
      <c r="I151" s="431"/>
      <c r="J151" s="431"/>
      <c r="K151" s="431"/>
      <c r="L151" s="431" t="s">
        <v>650</v>
      </c>
      <c r="M151" s="432" t="s">
        <v>651</v>
      </c>
    </row>
    <row r="152" spans="1:13" ht="409.5" x14ac:dyDescent="0.2">
      <c r="A152" s="431" t="s">
        <v>649</v>
      </c>
      <c r="B152" s="431">
        <v>1690170</v>
      </c>
      <c r="C152" s="431" t="s">
        <v>159</v>
      </c>
      <c r="D152" s="431" t="s">
        <v>160</v>
      </c>
      <c r="E152" s="431" t="s">
        <v>161</v>
      </c>
      <c r="F152" s="431" t="s">
        <v>669</v>
      </c>
      <c r="G152" s="431" t="s">
        <v>175</v>
      </c>
      <c r="H152" s="431"/>
      <c r="I152" s="431"/>
      <c r="J152" s="431"/>
      <c r="K152" s="431"/>
      <c r="L152" s="431" t="s">
        <v>650</v>
      </c>
      <c r="M152" s="432" t="s">
        <v>651</v>
      </c>
    </row>
    <row r="153" spans="1:13" ht="409.5" x14ac:dyDescent="0.2">
      <c r="A153" s="431" t="s">
        <v>649</v>
      </c>
      <c r="B153" s="431">
        <v>1690170</v>
      </c>
      <c r="C153" s="431" t="s">
        <v>159</v>
      </c>
      <c r="D153" s="431" t="s">
        <v>160</v>
      </c>
      <c r="E153" s="431" t="s">
        <v>161</v>
      </c>
      <c r="F153" s="431" t="s">
        <v>670</v>
      </c>
      <c r="G153" s="431" t="s">
        <v>175</v>
      </c>
      <c r="H153" s="431"/>
      <c r="I153" s="431"/>
      <c r="J153" s="431"/>
      <c r="K153" s="431"/>
      <c r="L153" s="431" t="s">
        <v>650</v>
      </c>
      <c r="M153" s="432" t="s">
        <v>651</v>
      </c>
    </row>
    <row r="154" spans="1:13" ht="409.5" x14ac:dyDescent="0.2">
      <c r="A154" s="431" t="s">
        <v>649</v>
      </c>
      <c r="B154" s="431">
        <v>1690170</v>
      </c>
      <c r="C154" s="431" t="s">
        <v>159</v>
      </c>
      <c r="D154" s="431" t="s">
        <v>160</v>
      </c>
      <c r="E154" s="431" t="s">
        <v>161</v>
      </c>
      <c r="F154" s="431" t="s">
        <v>670</v>
      </c>
      <c r="G154" s="431" t="s">
        <v>175</v>
      </c>
      <c r="H154" s="431"/>
      <c r="I154" s="431"/>
      <c r="J154" s="431"/>
      <c r="K154" s="431"/>
      <c r="L154" s="431" t="s">
        <v>650</v>
      </c>
      <c r="M154" s="432" t="s">
        <v>651</v>
      </c>
    </row>
    <row r="155" spans="1:13" ht="409.5" x14ac:dyDescent="0.2">
      <c r="A155" s="431" t="s">
        <v>649</v>
      </c>
      <c r="B155" s="431">
        <v>1690170</v>
      </c>
      <c r="C155" s="431" t="s">
        <v>159</v>
      </c>
      <c r="D155" s="431" t="s">
        <v>160</v>
      </c>
      <c r="E155" s="431" t="s">
        <v>161</v>
      </c>
      <c r="F155" s="431" t="s">
        <v>670</v>
      </c>
      <c r="G155" s="431" t="s">
        <v>175</v>
      </c>
      <c r="H155" s="431"/>
      <c r="I155" s="431"/>
      <c r="J155" s="431"/>
      <c r="K155" s="431"/>
      <c r="L155" s="431" t="s">
        <v>650</v>
      </c>
      <c r="M155" s="432" t="s">
        <v>651</v>
      </c>
    </row>
    <row r="156" spans="1:13" ht="409.5" x14ac:dyDescent="0.2">
      <c r="A156" s="431" t="s">
        <v>649</v>
      </c>
      <c r="B156" s="431">
        <v>1690170</v>
      </c>
      <c r="C156" s="431" t="s">
        <v>159</v>
      </c>
      <c r="D156" s="431" t="s">
        <v>160</v>
      </c>
      <c r="E156" s="431" t="s">
        <v>161</v>
      </c>
      <c r="F156" s="431" t="s">
        <v>670</v>
      </c>
      <c r="G156" s="431" t="s">
        <v>175</v>
      </c>
      <c r="H156" s="431"/>
      <c r="I156" s="431"/>
      <c r="J156" s="431"/>
      <c r="K156" s="431"/>
      <c r="L156" s="431" t="s">
        <v>650</v>
      </c>
      <c r="M156" s="432" t="s">
        <v>651</v>
      </c>
    </row>
    <row r="157" spans="1:13" ht="409.5" x14ac:dyDescent="0.2">
      <c r="A157" s="431" t="s">
        <v>649</v>
      </c>
      <c r="B157" s="431">
        <v>1690170</v>
      </c>
      <c r="C157" s="431" t="s">
        <v>159</v>
      </c>
      <c r="D157" s="431" t="s">
        <v>160</v>
      </c>
      <c r="E157" s="431" t="s">
        <v>161</v>
      </c>
      <c r="F157" s="431" t="s">
        <v>670</v>
      </c>
      <c r="G157" s="431" t="s">
        <v>175</v>
      </c>
      <c r="H157" s="431"/>
      <c r="I157" s="431"/>
      <c r="J157" s="431"/>
      <c r="K157" s="431"/>
      <c r="L157" s="431" t="s">
        <v>650</v>
      </c>
      <c r="M157" s="432" t="s">
        <v>651</v>
      </c>
    </row>
    <row r="158" spans="1:13" ht="409.5" x14ac:dyDescent="0.2">
      <c r="A158" s="431" t="s">
        <v>649</v>
      </c>
      <c r="B158" s="431">
        <v>1690170</v>
      </c>
      <c r="C158" s="431" t="s">
        <v>159</v>
      </c>
      <c r="D158" s="431" t="s">
        <v>160</v>
      </c>
      <c r="E158" s="431" t="s">
        <v>161</v>
      </c>
      <c r="F158" s="431" t="s">
        <v>670</v>
      </c>
      <c r="G158" s="431" t="s">
        <v>175</v>
      </c>
      <c r="H158" s="431"/>
      <c r="I158" s="431"/>
      <c r="J158" s="431"/>
      <c r="K158" s="431"/>
      <c r="L158" s="431" t="s">
        <v>650</v>
      </c>
      <c r="M158" s="432" t="s">
        <v>651</v>
      </c>
    </row>
    <row r="159" spans="1:13" ht="409.5" x14ac:dyDescent="0.2">
      <c r="A159" s="431" t="s">
        <v>649</v>
      </c>
      <c r="B159" s="431">
        <v>1690170</v>
      </c>
      <c r="C159" s="431" t="s">
        <v>159</v>
      </c>
      <c r="D159" s="431" t="s">
        <v>160</v>
      </c>
      <c r="E159" s="431" t="s">
        <v>161</v>
      </c>
      <c r="F159" s="431" t="s">
        <v>670</v>
      </c>
      <c r="G159" s="431" t="s">
        <v>175</v>
      </c>
      <c r="H159" s="431"/>
      <c r="I159" s="431"/>
      <c r="J159" s="431"/>
      <c r="K159" s="431"/>
      <c r="L159" s="431" t="s">
        <v>650</v>
      </c>
      <c r="M159" s="432" t="s">
        <v>651</v>
      </c>
    </row>
    <row r="160" spans="1:13" ht="409.5" x14ac:dyDescent="0.2">
      <c r="A160" s="431" t="s">
        <v>649</v>
      </c>
      <c r="B160" s="431">
        <v>1690170</v>
      </c>
      <c r="C160" s="431" t="s">
        <v>159</v>
      </c>
      <c r="D160" s="431" t="s">
        <v>160</v>
      </c>
      <c r="E160" s="431" t="s">
        <v>161</v>
      </c>
      <c r="F160" s="431" t="s">
        <v>670</v>
      </c>
      <c r="G160" s="431" t="s">
        <v>175</v>
      </c>
      <c r="H160" s="431"/>
      <c r="I160" s="431"/>
      <c r="J160" s="431"/>
      <c r="K160" s="431"/>
      <c r="L160" s="431" t="s">
        <v>650</v>
      </c>
      <c r="M160" s="432" t="s">
        <v>651</v>
      </c>
    </row>
    <row r="161" spans="1:13" ht="409.5" x14ac:dyDescent="0.2">
      <c r="A161" s="431" t="s">
        <v>649</v>
      </c>
      <c r="B161" s="431">
        <v>1690170</v>
      </c>
      <c r="C161" s="431" t="s">
        <v>159</v>
      </c>
      <c r="D161" s="431" t="s">
        <v>160</v>
      </c>
      <c r="E161" s="431" t="s">
        <v>161</v>
      </c>
      <c r="F161" s="431" t="s">
        <v>670</v>
      </c>
      <c r="G161" s="431" t="s">
        <v>175</v>
      </c>
      <c r="H161" s="431"/>
      <c r="I161" s="431"/>
      <c r="J161" s="431"/>
      <c r="K161" s="431"/>
      <c r="L161" s="431" t="s">
        <v>650</v>
      </c>
      <c r="M161" s="432" t="s">
        <v>651</v>
      </c>
    </row>
    <row r="162" spans="1:13" ht="409.5" x14ac:dyDescent="0.2">
      <c r="A162" s="431" t="s">
        <v>649</v>
      </c>
      <c r="B162" s="431">
        <v>1690170</v>
      </c>
      <c r="C162" s="431" t="s">
        <v>159</v>
      </c>
      <c r="D162" s="431" t="s">
        <v>160</v>
      </c>
      <c r="E162" s="431" t="s">
        <v>161</v>
      </c>
      <c r="F162" s="431" t="s">
        <v>670</v>
      </c>
      <c r="G162" s="431" t="s">
        <v>175</v>
      </c>
      <c r="H162" s="431"/>
      <c r="I162" s="431"/>
      <c r="J162" s="431"/>
      <c r="K162" s="431"/>
      <c r="L162" s="431" t="s">
        <v>650</v>
      </c>
      <c r="M162" s="432" t="s">
        <v>651</v>
      </c>
    </row>
    <row r="163" spans="1:13" ht="409.5" x14ac:dyDescent="0.2">
      <c r="A163" s="431" t="s">
        <v>649</v>
      </c>
      <c r="B163" s="431">
        <v>1690170</v>
      </c>
      <c r="C163" s="431" t="s">
        <v>159</v>
      </c>
      <c r="D163" s="431" t="s">
        <v>160</v>
      </c>
      <c r="E163" s="431" t="s">
        <v>161</v>
      </c>
      <c r="F163" s="431" t="s">
        <v>670</v>
      </c>
      <c r="G163" s="431" t="s">
        <v>175</v>
      </c>
      <c r="H163" s="431"/>
      <c r="I163" s="431"/>
      <c r="J163" s="431"/>
      <c r="K163" s="431"/>
      <c r="L163" s="431" t="s">
        <v>650</v>
      </c>
      <c r="M163" s="432" t="s">
        <v>651</v>
      </c>
    </row>
    <row r="164" spans="1:13" ht="409.5" x14ac:dyDescent="0.2">
      <c r="A164" s="431" t="s">
        <v>649</v>
      </c>
      <c r="B164" s="431">
        <v>1690170</v>
      </c>
      <c r="C164" s="431" t="s">
        <v>159</v>
      </c>
      <c r="D164" s="431" t="s">
        <v>160</v>
      </c>
      <c r="E164" s="431" t="s">
        <v>161</v>
      </c>
      <c r="F164" s="431" t="s">
        <v>670</v>
      </c>
      <c r="G164" s="431" t="s">
        <v>175</v>
      </c>
      <c r="H164" s="431"/>
      <c r="I164" s="431"/>
      <c r="J164" s="431"/>
      <c r="K164" s="431"/>
      <c r="L164" s="431" t="s">
        <v>650</v>
      </c>
      <c r="M164" s="432" t="s">
        <v>651</v>
      </c>
    </row>
    <row r="165" spans="1:13" ht="409.5" x14ac:dyDescent="0.2">
      <c r="A165" s="431" t="s">
        <v>649</v>
      </c>
      <c r="B165" s="431">
        <v>1690170</v>
      </c>
      <c r="C165" s="431" t="s">
        <v>159</v>
      </c>
      <c r="D165" s="431" t="s">
        <v>160</v>
      </c>
      <c r="E165" s="431" t="s">
        <v>161</v>
      </c>
      <c r="F165" s="431" t="s">
        <v>670</v>
      </c>
      <c r="G165" s="431" t="s">
        <v>175</v>
      </c>
      <c r="H165" s="431"/>
      <c r="I165" s="431"/>
      <c r="J165" s="431"/>
      <c r="K165" s="431"/>
      <c r="L165" s="431" t="s">
        <v>650</v>
      </c>
      <c r="M165" s="432" t="s">
        <v>651</v>
      </c>
    </row>
    <row r="166" spans="1:13" ht="409.5" x14ac:dyDescent="0.2">
      <c r="A166" s="431" t="s">
        <v>649</v>
      </c>
      <c r="B166" s="431">
        <v>1690170</v>
      </c>
      <c r="C166" s="431" t="s">
        <v>159</v>
      </c>
      <c r="D166" s="431" t="s">
        <v>160</v>
      </c>
      <c r="E166" s="431" t="s">
        <v>161</v>
      </c>
      <c r="F166" s="431" t="s">
        <v>670</v>
      </c>
      <c r="G166" s="431" t="s">
        <v>175</v>
      </c>
      <c r="H166" s="431"/>
      <c r="I166" s="431"/>
      <c r="J166" s="431"/>
      <c r="K166" s="431"/>
      <c r="L166" s="431" t="s">
        <v>650</v>
      </c>
      <c r="M166" s="432" t="s">
        <v>651</v>
      </c>
    </row>
    <row r="167" spans="1:13" ht="409.5" x14ac:dyDescent="0.2">
      <c r="A167" s="431" t="s">
        <v>649</v>
      </c>
      <c r="B167" s="431">
        <v>1690170</v>
      </c>
      <c r="C167" s="431" t="s">
        <v>159</v>
      </c>
      <c r="D167" s="431" t="s">
        <v>160</v>
      </c>
      <c r="E167" s="431" t="s">
        <v>161</v>
      </c>
      <c r="F167" s="431" t="s">
        <v>670</v>
      </c>
      <c r="G167" s="431" t="s">
        <v>175</v>
      </c>
      <c r="H167" s="431"/>
      <c r="I167" s="431"/>
      <c r="J167" s="431"/>
      <c r="K167" s="431"/>
      <c r="L167" s="431" t="s">
        <v>650</v>
      </c>
      <c r="M167" s="432" t="s">
        <v>651</v>
      </c>
    </row>
    <row r="168" spans="1:13" ht="409.5" x14ac:dyDescent="0.2">
      <c r="A168" s="431" t="s">
        <v>649</v>
      </c>
      <c r="B168" s="431">
        <v>1690170</v>
      </c>
      <c r="C168" s="431" t="s">
        <v>159</v>
      </c>
      <c r="D168" s="431" t="s">
        <v>160</v>
      </c>
      <c r="E168" s="431" t="s">
        <v>161</v>
      </c>
      <c r="F168" s="431" t="s">
        <v>670</v>
      </c>
      <c r="G168" s="431" t="s">
        <v>175</v>
      </c>
      <c r="H168" s="431"/>
      <c r="I168" s="431"/>
      <c r="J168" s="431"/>
      <c r="K168" s="431"/>
      <c r="L168" s="431" t="s">
        <v>650</v>
      </c>
      <c r="M168" s="432" t="s">
        <v>651</v>
      </c>
    </row>
    <row r="169" spans="1:13" ht="409.5" x14ac:dyDescent="0.2">
      <c r="A169" s="431" t="s">
        <v>649</v>
      </c>
      <c r="B169" s="431">
        <v>1690170</v>
      </c>
      <c r="C169" s="431" t="s">
        <v>159</v>
      </c>
      <c r="D169" s="431" t="s">
        <v>160</v>
      </c>
      <c r="E169" s="431" t="s">
        <v>161</v>
      </c>
      <c r="F169" s="431" t="s">
        <v>670</v>
      </c>
      <c r="G169" s="431" t="s">
        <v>175</v>
      </c>
      <c r="H169" s="431"/>
      <c r="I169" s="431"/>
      <c r="J169" s="431"/>
      <c r="K169" s="431"/>
      <c r="L169" s="431" t="s">
        <v>650</v>
      </c>
      <c r="M169" s="432" t="s">
        <v>651</v>
      </c>
    </row>
    <row r="170" spans="1:13" ht="409.5" x14ac:dyDescent="0.2">
      <c r="A170" s="431" t="s">
        <v>649</v>
      </c>
      <c r="B170" s="431">
        <v>1690170</v>
      </c>
      <c r="C170" s="431" t="s">
        <v>159</v>
      </c>
      <c r="D170" s="431" t="s">
        <v>160</v>
      </c>
      <c r="E170" s="431" t="s">
        <v>161</v>
      </c>
      <c r="F170" s="431" t="s">
        <v>670</v>
      </c>
      <c r="G170" s="431" t="s">
        <v>175</v>
      </c>
      <c r="H170" s="431"/>
      <c r="I170" s="431"/>
      <c r="J170" s="431"/>
      <c r="K170" s="431"/>
      <c r="L170" s="431" t="s">
        <v>650</v>
      </c>
      <c r="M170" s="432" t="s">
        <v>651</v>
      </c>
    </row>
    <row r="171" spans="1:13" ht="409.5" x14ac:dyDescent="0.2">
      <c r="A171" s="431" t="s">
        <v>649</v>
      </c>
      <c r="B171" s="431">
        <v>1690170</v>
      </c>
      <c r="C171" s="431" t="s">
        <v>159</v>
      </c>
      <c r="D171" s="431" t="s">
        <v>160</v>
      </c>
      <c r="E171" s="431" t="s">
        <v>161</v>
      </c>
      <c r="F171" s="431" t="s">
        <v>670</v>
      </c>
      <c r="G171" s="431" t="s">
        <v>175</v>
      </c>
      <c r="H171" s="431"/>
      <c r="I171" s="431"/>
      <c r="J171" s="431"/>
      <c r="K171" s="431"/>
      <c r="L171" s="431" t="s">
        <v>650</v>
      </c>
      <c r="M171" s="432" t="s">
        <v>651</v>
      </c>
    </row>
    <row r="172" spans="1:13" ht="409.5" x14ac:dyDescent="0.2">
      <c r="A172" s="431" t="s">
        <v>649</v>
      </c>
      <c r="B172" s="431">
        <v>1690170</v>
      </c>
      <c r="C172" s="431" t="s">
        <v>159</v>
      </c>
      <c r="D172" s="431" t="s">
        <v>160</v>
      </c>
      <c r="E172" s="431" t="s">
        <v>161</v>
      </c>
      <c r="F172" s="431" t="s">
        <v>670</v>
      </c>
      <c r="G172" s="431" t="s">
        <v>175</v>
      </c>
      <c r="H172" s="431"/>
      <c r="I172" s="431"/>
      <c r="J172" s="431"/>
      <c r="K172" s="431"/>
      <c r="L172" s="431" t="s">
        <v>650</v>
      </c>
      <c r="M172" s="432" t="s">
        <v>651</v>
      </c>
    </row>
    <row r="173" spans="1:13" ht="409.5" x14ac:dyDescent="0.2">
      <c r="A173" s="431" t="s">
        <v>649</v>
      </c>
      <c r="B173" s="431">
        <v>1690170</v>
      </c>
      <c r="C173" s="431" t="s">
        <v>159</v>
      </c>
      <c r="D173" s="431" t="s">
        <v>160</v>
      </c>
      <c r="E173" s="431" t="s">
        <v>161</v>
      </c>
      <c r="F173" s="431" t="s">
        <v>670</v>
      </c>
      <c r="G173" s="431" t="s">
        <v>175</v>
      </c>
      <c r="H173" s="431"/>
      <c r="I173" s="431"/>
      <c r="J173" s="431"/>
      <c r="K173" s="431"/>
      <c r="L173" s="431" t="s">
        <v>650</v>
      </c>
      <c r="M173" s="432" t="s">
        <v>651</v>
      </c>
    </row>
    <row r="174" spans="1:13" ht="409.5" x14ac:dyDescent="0.2">
      <c r="A174" s="431" t="s">
        <v>649</v>
      </c>
      <c r="B174" s="431">
        <v>1690170</v>
      </c>
      <c r="C174" s="431" t="s">
        <v>159</v>
      </c>
      <c r="D174" s="431" t="s">
        <v>160</v>
      </c>
      <c r="E174" s="431" t="s">
        <v>161</v>
      </c>
      <c r="F174" s="431" t="s">
        <v>670</v>
      </c>
      <c r="G174" s="431" t="s">
        <v>175</v>
      </c>
      <c r="H174" s="431"/>
      <c r="I174" s="431"/>
      <c r="J174" s="431"/>
      <c r="K174" s="431"/>
      <c r="L174" s="431" t="s">
        <v>650</v>
      </c>
      <c r="M174" s="432" t="s">
        <v>651</v>
      </c>
    </row>
    <row r="175" spans="1:13" ht="409.5" x14ac:dyDescent="0.2">
      <c r="A175" s="431" t="s">
        <v>649</v>
      </c>
      <c r="B175" s="431">
        <v>1690170</v>
      </c>
      <c r="C175" s="431" t="s">
        <v>159</v>
      </c>
      <c r="D175" s="431" t="s">
        <v>160</v>
      </c>
      <c r="E175" s="431" t="s">
        <v>161</v>
      </c>
      <c r="F175" s="431" t="s">
        <v>670</v>
      </c>
      <c r="G175" s="431" t="s">
        <v>175</v>
      </c>
      <c r="H175" s="431"/>
      <c r="I175" s="431"/>
      <c r="J175" s="431"/>
      <c r="K175" s="431"/>
      <c r="L175" s="431" t="s">
        <v>650</v>
      </c>
      <c r="M175" s="432" t="s">
        <v>651</v>
      </c>
    </row>
    <row r="176" spans="1:13" ht="409.5" x14ac:dyDescent="0.2">
      <c r="A176" s="431" t="s">
        <v>649</v>
      </c>
      <c r="B176" s="431">
        <v>1690170</v>
      </c>
      <c r="C176" s="431" t="s">
        <v>159</v>
      </c>
      <c r="D176" s="431" t="s">
        <v>160</v>
      </c>
      <c r="E176" s="431" t="s">
        <v>161</v>
      </c>
      <c r="F176" s="431" t="s">
        <v>670</v>
      </c>
      <c r="G176" s="431" t="s">
        <v>175</v>
      </c>
      <c r="H176" s="431"/>
      <c r="I176" s="431"/>
      <c r="J176" s="431"/>
      <c r="K176" s="431"/>
      <c r="L176" s="431" t="s">
        <v>650</v>
      </c>
      <c r="M176" s="432" t="s">
        <v>651</v>
      </c>
    </row>
    <row r="177" spans="1:13" ht="409.5" x14ac:dyDescent="0.2">
      <c r="A177" s="431" t="s">
        <v>649</v>
      </c>
      <c r="B177" s="431">
        <v>1690170</v>
      </c>
      <c r="C177" s="431" t="s">
        <v>159</v>
      </c>
      <c r="D177" s="431" t="s">
        <v>160</v>
      </c>
      <c r="E177" s="431" t="s">
        <v>161</v>
      </c>
      <c r="F177" s="431" t="s">
        <v>670</v>
      </c>
      <c r="G177" s="431" t="s">
        <v>175</v>
      </c>
      <c r="H177" s="431"/>
      <c r="I177" s="431"/>
      <c r="J177" s="431"/>
      <c r="K177" s="431"/>
      <c r="L177" s="431" t="s">
        <v>650</v>
      </c>
      <c r="M177" s="432" t="s">
        <v>651</v>
      </c>
    </row>
    <row r="178" spans="1:13" ht="409.5" x14ac:dyDescent="0.2">
      <c r="A178" s="431" t="s">
        <v>649</v>
      </c>
      <c r="B178" s="431">
        <v>1690170</v>
      </c>
      <c r="C178" s="431" t="s">
        <v>159</v>
      </c>
      <c r="D178" s="431" t="s">
        <v>160</v>
      </c>
      <c r="E178" s="431" t="s">
        <v>161</v>
      </c>
      <c r="F178" s="431" t="s">
        <v>670</v>
      </c>
      <c r="G178" s="431" t="s">
        <v>175</v>
      </c>
      <c r="H178" s="431"/>
      <c r="I178" s="431"/>
      <c r="J178" s="431"/>
      <c r="K178" s="431"/>
      <c r="L178" s="431" t="s">
        <v>650</v>
      </c>
      <c r="M178" s="432" t="s">
        <v>651</v>
      </c>
    </row>
    <row r="179" spans="1:13" ht="409.5" x14ac:dyDescent="0.2">
      <c r="A179" s="431" t="s">
        <v>649</v>
      </c>
      <c r="B179" s="431">
        <v>1690170</v>
      </c>
      <c r="C179" s="431" t="s">
        <v>159</v>
      </c>
      <c r="D179" s="431" t="s">
        <v>160</v>
      </c>
      <c r="E179" s="431" t="s">
        <v>161</v>
      </c>
      <c r="F179" s="431" t="s">
        <v>670</v>
      </c>
      <c r="G179" s="431" t="s">
        <v>175</v>
      </c>
      <c r="H179" s="431"/>
      <c r="I179" s="431"/>
      <c r="J179" s="431"/>
      <c r="K179" s="431"/>
      <c r="L179" s="431" t="s">
        <v>650</v>
      </c>
      <c r="M179" s="432" t="s">
        <v>651</v>
      </c>
    </row>
    <row r="180" spans="1:13" ht="409.5" x14ac:dyDescent="0.2">
      <c r="A180" s="431" t="s">
        <v>649</v>
      </c>
      <c r="B180" s="431">
        <v>1690170</v>
      </c>
      <c r="C180" s="431" t="s">
        <v>159</v>
      </c>
      <c r="D180" s="431" t="s">
        <v>160</v>
      </c>
      <c r="E180" s="431" t="s">
        <v>161</v>
      </c>
      <c r="F180" s="431" t="s">
        <v>670</v>
      </c>
      <c r="G180" s="431" t="s">
        <v>175</v>
      </c>
      <c r="H180" s="431"/>
      <c r="I180" s="431"/>
      <c r="J180" s="431"/>
      <c r="K180" s="431"/>
      <c r="L180" s="431" t="s">
        <v>650</v>
      </c>
      <c r="M180" s="432" t="s">
        <v>651</v>
      </c>
    </row>
    <row r="181" spans="1:13" ht="409.5" x14ac:dyDescent="0.2">
      <c r="A181" s="431" t="s">
        <v>649</v>
      </c>
      <c r="B181" s="431">
        <v>1690170</v>
      </c>
      <c r="C181" s="431" t="s">
        <v>159</v>
      </c>
      <c r="D181" s="431" t="s">
        <v>160</v>
      </c>
      <c r="E181" s="431" t="s">
        <v>161</v>
      </c>
      <c r="F181" s="431" t="s">
        <v>670</v>
      </c>
      <c r="G181" s="431" t="s">
        <v>175</v>
      </c>
      <c r="H181" s="431"/>
      <c r="I181" s="431"/>
      <c r="J181" s="431"/>
      <c r="K181" s="431"/>
      <c r="L181" s="431" t="s">
        <v>650</v>
      </c>
      <c r="M181" s="432" t="s">
        <v>651</v>
      </c>
    </row>
    <row r="182" spans="1:13" ht="409.5" x14ac:dyDescent="0.2">
      <c r="A182" s="431" t="s">
        <v>649</v>
      </c>
      <c r="B182" s="431">
        <v>1690170</v>
      </c>
      <c r="C182" s="431" t="s">
        <v>159</v>
      </c>
      <c r="D182" s="431" t="s">
        <v>160</v>
      </c>
      <c r="E182" s="431" t="s">
        <v>161</v>
      </c>
      <c r="F182" s="431" t="s">
        <v>670</v>
      </c>
      <c r="G182" s="431" t="s">
        <v>175</v>
      </c>
      <c r="H182" s="431"/>
      <c r="I182" s="431"/>
      <c r="J182" s="431"/>
      <c r="K182" s="431"/>
      <c r="L182" s="431" t="s">
        <v>650</v>
      </c>
      <c r="M182" s="432" t="s">
        <v>651</v>
      </c>
    </row>
    <row r="183" spans="1:13" ht="409.5" x14ac:dyDescent="0.2">
      <c r="A183" s="431" t="s">
        <v>649</v>
      </c>
      <c r="B183" s="431">
        <v>1690170</v>
      </c>
      <c r="C183" s="431" t="s">
        <v>159</v>
      </c>
      <c r="D183" s="431" t="s">
        <v>160</v>
      </c>
      <c r="E183" s="431" t="s">
        <v>161</v>
      </c>
      <c r="F183" s="431" t="s">
        <v>670</v>
      </c>
      <c r="G183" s="431" t="s">
        <v>175</v>
      </c>
      <c r="H183" s="431"/>
      <c r="I183" s="431"/>
      <c r="J183" s="431"/>
      <c r="K183" s="431"/>
      <c r="L183" s="431" t="s">
        <v>650</v>
      </c>
      <c r="M183" s="432" t="s">
        <v>651</v>
      </c>
    </row>
    <row r="184" spans="1:13" ht="409.5" x14ac:dyDescent="0.2">
      <c r="A184" s="431" t="s">
        <v>649</v>
      </c>
      <c r="B184" s="431">
        <v>1690170</v>
      </c>
      <c r="C184" s="431" t="s">
        <v>159</v>
      </c>
      <c r="D184" s="431" t="s">
        <v>160</v>
      </c>
      <c r="E184" s="431" t="s">
        <v>161</v>
      </c>
      <c r="F184" s="431" t="s">
        <v>670</v>
      </c>
      <c r="G184" s="431" t="s">
        <v>175</v>
      </c>
      <c r="H184" s="431"/>
      <c r="I184" s="431"/>
      <c r="J184" s="431"/>
      <c r="K184" s="431"/>
      <c r="L184" s="431" t="s">
        <v>650</v>
      </c>
      <c r="M184" s="432" t="s">
        <v>651</v>
      </c>
    </row>
    <row r="185" spans="1:13" ht="409.5" x14ac:dyDescent="0.2">
      <c r="A185" s="431" t="s">
        <v>649</v>
      </c>
      <c r="B185" s="431">
        <v>1690170</v>
      </c>
      <c r="C185" s="431" t="s">
        <v>159</v>
      </c>
      <c r="D185" s="431" t="s">
        <v>160</v>
      </c>
      <c r="E185" s="431" t="s">
        <v>161</v>
      </c>
      <c r="F185" s="431" t="s">
        <v>671</v>
      </c>
      <c r="G185" s="431" t="s">
        <v>175</v>
      </c>
      <c r="H185" s="431"/>
      <c r="I185" s="431"/>
      <c r="J185" s="431"/>
      <c r="K185" s="431"/>
      <c r="L185" s="431" t="s">
        <v>650</v>
      </c>
      <c r="M185" s="432" t="s">
        <v>651</v>
      </c>
    </row>
    <row r="186" spans="1:13" ht="409.5" x14ac:dyDescent="0.2">
      <c r="A186" s="431" t="s">
        <v>649</v>
      </c>
      <c r="B186" s="431">
        <v>1690170</v>
      </c>
      <c r="C186" s="431" t="s">
        <v>159</v>
      </c>
      <c r="D186" s="431" t="s">
        <v>160</v>
      </c>
      <c r="E186" s="431" t="s">
        <v>161</v>
      </c>
      <c r="F186" s="431" t="s">
        <v>671</v>
      </c>
      <c r="G186" s="431" t="s">
        <v>175</v>
      </c>
      <c r="H186" s="431"/>
      <c r="I186" s="431"/>
      <c r="J186" s="431"/>
      <c r="K186" s="431"/>
      <c r="L186" s="431" t="s">
        <v>650</v>
      </c>
      <c r="M186" s="432" t="s">
        <v>651</v>
      </c>
    </row>
    <row r="187" spans="1:13" ht="409.5" x14ac:dyDescent="0.2">
      <c r="A187" s="431" t="s">
        <v>649</v>
      </c>
      <c r="B187" s="431">
        <v>1690170</v>
      </c>
      <c r="C187" s="431" t="s">
        <v>159</v>
      </c>
      <c r="D187" s="431" t="s">
        <v>160</v>
      </c>
      <c r="E187" s="431" t="s">
        <v>161</v>
      </c>
      <c r="F187" s="431" t="s">
        <v>671</v>
      </c>
      <c r="G187" s="431" t="s">
        <v>175</v>
      </c>
      <c r="H187" s="431"/>
      <c r="I187" s="431"/>
      <c r="J187" s="431"/>
      <c r="K187" s="431"/>
      <c r="L187" s="431" t="s">
        <v>650</v>
      </c>
      <c r="M187" s="432" t="s">
        <v>651</v>
      </c>
    </row>
    <row r="188" spans="1:13" ht="409.5" x14ac:dyDescent="0.2">
      <c r="A188" s="431" t="s">
        <v>649</v>
      </c>
      <c r="B188" s="431">
        <v>1690170</v>
      </c>
      <c r="C188" s="431" t="s">
        <v>159</v>
      </c>
      <c r="D188" s="431" t="s">
        <v>160</v>
      </c>
      <c r="E188" s="431" t="s">
        <v>161</v>
      </c>
      <c r="F188" s="431" t="s">
        <v>671</v>
      </c>
      <c r="G188" s="431" t="s">
        <v>175</v>
      </c>
      <c r="H188" s="431"/>
      <c r="I188" s="431"/>
      <c r="J188" s="431"/>
      <c r="K188" s="431"/>
      <c r="L188" s="431" t="s">
        <v>650</v>
      </c>
      <c r="M188" s="432" t="s">
        <v>651</v>
      </c>
    </row>
    <row r="189" spans="1:13" ht="409.5" x14ac:dyDescent="0.2">
      <c r="A189" s="431" t="s">
        <v>649</v>
      </c>
      <c r="B189" s="431">
        <v>1690170</v>
      </c>
      <c r="C189" s="431" t="s">
        <v>159</v>
      </c>
      <c r="D189" s="431" t="s">
        <v>160</v>
      </c>
      <c r="E189" s="431" t="s">
        <v>161</v>
      </c>
      <c r="F189" s="431" t="s">
        <v>671</v>
      </c>
      <c r="G189" s="431" t="s">
        <v>175</v>
      </c>
      <c r="H189" s="431"/>
      <c r="I189" s="431"/>
      <c r="J189" s="431"/>
      <c r="K189" s="431"/>
      <c r="L189" s="431" t="s">
        <v>650</v>
      </c>
      <c r="M189" s="432" t="s">
        <v>651</v>
      </c>
    </row>
    <row r="190" spans="1:13" ht="409.5" x14ac:dyDescent="0.2">
      <c r="A190" s="431" t="s">
        <v>649</v>
      </c>
      <c r="B190" s="431">
        <v>1690170</v>
      </c>
      <c r="C190" s="431" t="s">
        <v>159</v>
      </c>
      <c r="D190" s="431" t="s">
        <v>160</v>
      </c>
      <c r="E190" s="431" t="s">
        <v>161</v>
      </c>
      <c r="F190" s="431" t="s">
        <v>671</v>
      </c>
      <c r="G190" s="431" t="s">
        <v>175</v>
      </c>
      <c r="H190" s="431"/>
      <c r="I190" s="431"/>
      <c r="J190" s="431"/>
      <c r="K190" s="431"/>
      <c r="L190" s="431" t="s">
        <v>650</v>
      </c>
      <c r="M190" s="432" t="s">
        <v>651</v>
      </c>
    </row>
    <row r="191" spans="1:13" ht="409.5" x14ac:dyDescent="0.2">
      <c r="A191" s="431" t="s">
        <v>649</v>
      </c>
      <c r="B191" s="431">
        <v>1690170</v>
      </c>
      <c r="C191" s="431" t="s">
        <v>159</v>
      </c>
      <c r="D191" s="431" t="s">
        <v>160</v>
      </c>
      <c r="E191" s="431" t="s">
        <v>161</v>
      </c>
      <c r="F191" s="431" t="s">
        <v>671</v>
      </c>
      <c r="G191" s="431" t="s">
        <v>175</v>
      </c>
      <c r="H191" s="431"/>
      <c r="I191" s="431"/>
      <c r="J191" s="431"/>
      <c r="K191" s="431"/>
      <c r="L191" s="431" t="s">
        <v>650</v>
      </c>
      <c r="M191" s="432" t="s">
        <v>651</v>
      </c>
    </row>
    <row r="192" spans="1:13" ht="409.5" x14ac:dyDescent="0.2">
      <c r="A192" s="431" t="s">
        <v>649</v>
      </c>
      <c r="B192" s="431">
        <v>1690170</v>
      </c>
      <c r="C192" s="431" t="s">
        <v>159</v>
      </c>
      <c r="D192" s="431" t="s">
        <v>160</v>
      </c>
      <c r="E192" s="431" t="s">
        <v>161</v>
      </c>
      <c r="F192" s="431" t="s">
        <v>671</v>
      </c>
      <c r="G192" s="431" t="s">
        <v>175</v>
      </c>
      <c r="H192" s="431"/>
      <c r="I192" s="431"/>
      <c r="J192" s="431"/>
      <c r="K192" s="431"/>
      <c r="L192" s="431" t="s">
        <v>650</v>
      </c>
      <c r="M192" s="432" t="s">
        <v>651</v>
      </c>
    </row>
    <row r="193" spans="1:13" ht="409.5" x14ac:dyDescent="0.2">
      <c r="A193" s="431" t="s">
        <v>649</v>
      </c>
      <c r="B193" s="431">
        <v>1690170</v>
      </c>
      <c r="C193" s="431" t="s">
        <v>159</v>
      </c>
      <c r="D193" s="431" t="s">
        <v>160</v>
      </c>
      <c r="E193" s="431" t="s">
        <v>161</v>
      </c>
      <c r="F193" s="431" t="s">
        <v>671</v>
      </c>
      <c r="G193" s="431" t="s">
        <v>175</v>
      </c>
      <c r="H193" s="431"/>
      <c r="I193" s="431"/>
      <c r="J193" s="431"/>
      <c r="K193" s="431"/>
      <c r="L193" s="431" t="s">
        <v>650</v>
      </c>
      <c r="M193" s="432" t="s">
        <v>651</v>
      </c>
    </row>
    <row r="194" spans="1:13" ht="409.5" x14ac:dyDescent="0.2">
      <c r="A194" s="431" t="s">
        <v>649</v>
      </c>
      <c r="B194" s="431">
        <v>1690170</v>
      </c>
      <c r="C194" s="431" t="s">
        <v>159</v>
      </c>
      <c r="D194" s="431" t="s">
        <v>160</v>
      </c>
      <c r="E194" s="431" t="s">
        <v>161</v>
      </c>
      <c r="F194" s="431" t="s">
        <v>671</v>
      </c>
      <c r="G194" s="431" t="s">
        <v>175</v>
      </c>
      <c r="H194" s="431"/>
      <c r="I194" s="431"/>
      <c r="J194" s="431"/>
      <c r="K194" s="431"/>
      <c r="L194" s="431" t="s">
        <v>650</v>
      </c>
      <c r="M194" s="432" t="s">
        <v>651</v>
      </c>
    </row>
    <row r="195" spans="1:13" ht="409.5" x14ac:dyDescent="0.2">
      <c r="A195" s="431" t="s">
        <v>649</v>
      </c>
      <c r="B195" s="431">
        <v>1690170</v>
      </c>
      <c r="C195" s="431" t="s">
        <v>159</v>
      </c>
      <c r="D195" s="431" t="s">
        <v>160</v>
      </c>
      <c r="E195" s="431" t="s">
        <v>161</v>
      </c>
      <c r="F195" s="431" t="s">
        <v>671</v>
      </c>
      <c r="G195" s="431" t="s">
        <v>175</v>
      </c>
      <c r="H195" s="431"/>
      <c r="I195" s="431"/>
      <c r="J195" s="431"/>
      <c r="K195" s="431"/>
      <c r="L195" s="431" t="s">
        <v>650</v>
      </c>
      <c r="M195" s="432" t="s">
        <v>651</v>
      </c>
    </row>
    <row r="196" spans="1:13" ht="409.5" x14ac:dyDescent="0.2">
      <c r="A196" s="431" t="s">
        <v>649</v>
      </c>
      <c r="B196" s="431">
        <v>1690170</v>
      </c>
      <c r="C196" s="431" t="s">
        <v>159</v>
      </c>
      <c r="D196" s="431" t="s">
        <v>160</v>
      </c>
      <c r="E196" s="431" t="s">
        <v>161</v>
      </c>
      <c r="F196" s="431" t="s">
        <v>671</v>
      </c>
      <c r="G196" s="431" t="s">
        <v>175</v>
      </c>
      <c r="H196" s="431"/>
      <c r="I196" s="431"/>
      <c r="J196" s="431"/>
      <c r="K196" s="431"/>
      <c r="L196" s="431" t="s">
        <v>650</v>
      </c>
      <c r="M196" s="432" t="s">
        <v>651</v>
      </c>
    </row>
    <row r="197" spans="1:13" ht="409.5" x14ac:dyDescent="0.2">
      <c r="A197" s="431" t="s">
        <v>649</v>
      </c>
      <c r="B197" s="431">
        <v>1690170</v>
      </c>
      <c r="C197" s="431" t="s">
        <v>159</v>
      </c>
      <c r="D197" s="431" t="s">
        <v>160</v>
      </c>
      <c r="E197" s="431" t="s">
        <v>161</v>
      </c>
      <c r="F197" s="431" t="s">
        <v>671</v>
      </c>
      <c r="G197" s="431" t="s">
        <v>175</v>
      </c>
      <c r="H197" s="431"/>
      <c r="I197" s="431"/>
      <c r="J197" s="431"/>
      <c r="K197" s="431"/>
      <c r="L197" s="431" t="s">
        <v>650</v>
      </c>
      <c r="M197" s="432" t="s">
        <v>651</v>
      </c>
    </row>
    <row r="198" spans="1:13" ht="409.5" x14ac:dyDescent="0.2">
      <c r="A198" s="431" t="s">
        <v>649</v>
      </c>
      <c r="B198" s="431">
        <v>1690170</v>
      </c>
      <c r="C198" s="431" t="s">
        <v>159</v>
      </c>
      <c r="D198" s="431" t="s">
        <v>160</v>
      </c>
      <c r="E198" s="431" t="s">
        <v>161</v>
      </c>
      <c r="F198" s="431" t="s">
        <v>671</v>
      </c>
      <c r="G198" s="431" t="s">
        <v>175</v>
      </c>
      <c r="H198" s="431"/>
      <c r="I198" s="431"/>
      <c r="J198" s="431"/>
      <c r="K198" s="431"/>
      <c r="L198" s="431" t="s">
        <v>650</v>
      </c>
      <c r="M198" s="432" t="s">
        <v>651</v>
      </c>
    </row>
    <row r="199" spans="1:13" ht="409.5" x14ac:dyDescent="0.2">
      <c r="A199" s="431" t="s">
        <v>649</v>
      </c>
      <c r="B199" s="431">
        <v>1690170</v>
      </c>
      <c r="C199" s="431" t="s">
        <v>159</v>
      </c>
      <c r="D199" s="431" t="s">
        <v>160</v>
      </c>
      <c r="E199" s="431" t="s">
        <v>161</v>
      </c>
      <c r="F199" s="431" t="s">
        <v>671</v>
      </c>
      <c r="G199" s="431" t="s">
        <v>175</v>
      </c>
      <c r="H199" s="431"/>
      <c r="I199" s="431"/>
      <c r="J199" s="431"/>
      <c r="K199" s="431"/>
      <c r="L199" s="431" t="s">
        <v>650</v>
      </c>
      <c r="M199" s="432" t="s">
        <v>651</v>
      </c>
    </row>
    <row r="200" spans="1:13" ht="409.5" x14ac:dyDescent="0.2">
      <c r="A200" s="431" t="s">
        <v>649</v>
      </c>
      <c r="B200" s="431">
        <v>1690170</v>
      </c>
      <c r="C200" s="431" t="s">
        <v>159</v>
      </c>
      <c r="D200" s="431" t="s">
        <v>160</v>
      </c>
      <c r="E200" s="431" t="s">
        <v>161</v>
      </c>
      <c r="F200" s="431" t="s">
        <v>671</v>
      </c>
      <c r="G200" s="431" t="s">
        <v>175</v>
      </c>
      <c r="H200" s="431"/>
      <c r="I200" s="431"/>
      <c r="J200" s="431"/>
      <c r="K200" s="431"/>
      <c r="L200" s="431" t="s">
        <v>650</v>
      </c>
      <c r="M200" s="432" t="s">
        <v>651</v>
      </c>
    </row>
    <row r="201" spans="1:13" ht="409.5" x14ac:dyDescent="0.2">
      <c r="A201" s="431" t="s">
        <v>649</v>
      </c>
      <c r="B201" s="431">
        <v>1690170</v>
      </c>
      <c r="C201" s="431" t="s">
        <v>159</v>
      </c>
      <c r="D201" s="431" t="s">
        <v>160</v>
      </c>
      <c r="E201" s="431" t="s">
        <v>161</v>
      </c>
      <c r="F201" s="431" t="s">
        <v>671</v>
      </c>
      <c r="G201" s="431" t="s">
        <v>175</v>
      </c>
      <c r="H201" s="431"/>
      <c r="I201" s="431"/>
      <c r="J201" s="431"/>
      <c r="K201" s="431"/>
      <c r="L201" s="431" t="s">
        <v>650</v>
      </c>
      <c r="M201" s="432" t="s">
        <v>651</v>
      </c>
    </row>
    <row r="202" spans="1:13" ht="409.5" x14ac:dyDescent="0.2">
      <c r="A202" s="431" t="s">
        <v>649</v>
      </c>
      <c r="B202" s="431">
        <v>1690170</v>
      </c>
      <c r="C202" s="431" t="s">
        <v>159</v>
      </c>
      <c r="D202" s="431" t="s">
        <v>160</v>
      </c>
      <c r="E202" s="431" t="s">
        <v>161</v>
      </c>
      <c r="F202" s="431" t="s">
        <v>671</v>
      </c>
      <c r="G202" s="431" t="s">
        <v>175</v>
      </c>
      <c r="H202" s="431"/>
      <c r="I202" s="431"/>
      <c r="J202" s="431"/>
      <c r="K202" s="431"/>
      <c r="L202" s="431" t="s">
        <v>650</v>
      </c>
      <c r="M202" s="432" t="s">
        <v>651</v>
      </c>
    </row>
    <row r="203" spans="1:13" ht="409.5" x14ac:dyDescent="0.2">
      <c r="A203" s="431" t="s">
        <v>649</v>
      </c>
      <c r="B203" s="431">
        <v>1690170</v>
      </c>
      <c r="C203" s="431" t="s">
        <v>159</v>
      </c>
      <c r="D203" s="431" t="s">
        <v>160</v>
      </c>
      <c r="E203" s="431" t="s">
        <v>161</v>
      </c>
      <c r="F203" s="431" t="s">
        <v>671</v>
      </c>
      <c r="G203" s="431" t="s">
        <v>175</v>
      </c>
      <c r="H203" s="431"/>
      <c r="I203" s="431"/>
      <c r="J203" s="431"/>
      <c r="K203" s="431"/>
      <c r="L203" s="431" t="s">
        <v>650</v>
      </c>
      <c r="M203" s="432" t="s">
        <v>651</v>
      </c>
    </row>
    <row r="204" spans="1:13" ht="409.5" x14ac:dyDescent="0.2">
      <c r="A204" s="431" t="s">
        <v>649</v>
      </c>
      <c r="B204" s="431">
        <v>1690170</v>
      </c>
      <c r="C204" s="431" t="s">
        <v>159</v>
      </c>
      <c r="D204" s="431" t="s">
        <v>160</v>
      </c>
      <c r="E204" s="431" t="s">
        <v>161</v>
      </c>
      <c r="F204" s="431" t="s">
        <v>671</v>
      </c>
      <c r="G204" s="431" t="s">
        <v>175</v>
      </c>
      <c r="H204" s="431"/>
      <c r="I204" s="431"/>
      <c r="J204" s="431"/>
      <c r="K204" s="431"/>
      <c r="L204" s="431" t="s">
        <v>650</v>
      </c>
      <c r="M204" s="432" t="s">
        <v>651</v>
      </c>
    </row>
    <row r="205" spans="1:13" ht="409.5" x14ac:dyDescent="0.2">
      <c r="A205" s="431" t="s">
        <v>649</v>
      </c>
      <c r="B205" s="431">
        <v>1690170</v>
      </c>
      <c r="C205" s="431" t="s">
        <v>159</v>
      </c>
      <c r="D205" s="431" t="s">
        <v>160</v>
      </c>
      <c r="E205" s="431" t="s">
        <v>161</v>
      </c>
      <c r="F205" s="431" t="s">
        <v>671</v>
      </c>
      <c r="G205" s="431" t="s">
        <v>175</v>
      </c>
      <c r="H205" s="431"/>
      <c r="I205" s="431"/>
      <c r="J205" s="431"/>
      <c r="K205" s="431"/>
      <c r="L205" s="431" t="s">
        <v>650</v>
      </c>
      <c r="M205" s="432" t="s">
        <v>651</v>
      </c>
    </row>
    <row r="206" spans="1:13" ht="409.5" x14ac:dyDescent="0.2">
      <c r="A206" s="431" t="s">
        <v>649</v>
      </c>
      <c r="B206" s="431">
        <v>1690170</v>
      </c>
      <c r="C206" s="431" t="s">
        <v>159</v>
      </c>
      <c r="D206" s="431" t="s">
        <v>160</v>
      </c>
      <c r="E206" s="431" t="s">
        <v>161</v>
      </c>
      <c r="F206" s="431" t="s">
        <v>671</v>
      </c>
      <c r="G206" s="431" t="s">
        <v>175</v>
      </c>
      <c r="H206" s="431"/>
      <c r="I206" s="431"/>
      <c r="J206" s="431"/>
      <c r="K206" s="431"/>
      <c r="L206" s="431" t="s">
        <v>650</v>
      </c>
      <c r="M206" s="432" t="s">
        <v>651</v>
      </c>
    </row>
    <row r="207" spans="1:13" ht="409.5" x14ac:dyDescent="0.2">
      <c r="A207" s="431" t="s">
        <v>649</v>
      </c>
      <c r="B207" s="431">
        <v>1690170</v>
      </c>
      <c r="C207" s="431" t="s">
        <v>159</v>
      </c>
      <c r="D207" s="431" t="s">
        <v>160</v>
      </c>
      <c r="E207" s="431" t="s">
        <v>161</v>
      </c>
      <c r="F207" s="431" t="s">
        <v>671</v>
      </c>
      <c r="G207" s="431" t="s">
        <v>175</v>
      </c>
      <c r="H207" s="431"/>
      <c r="I207" s="431"/>
      <c r="J207" s="431"/>
      <c r="K207" s="431"/>
      <c r="L207" s="431" t="s">
        <v>650</v>
      </c>
      <c r="M207" s="432" t="s">
        <v>651</v>
      </c>
    </row>
    <row r="208" spans="1:13" ht="409.5" x14ac:dyDescent="0.2">
      <c r="A208" s="431" t="s">
        <v>649</v>
      </c>
      <c r="B208" s="431">
        <v>1690170</v>
      </c>
      <c r="C208" s="431" t="s">
        <v>159</v>
      </c>
      <c r="D208" s="431" t="s">
        <v>160</v>
      </c>
      <c r="E208" s="431" t="s">
        <v>161</v>
      </c>
      <c r="F208" s="431" t="s">
        <v>671</v>
      </c>
      <c r="G208" s="431" t="s">
        <v>175</v>
      </c>
      <c r="H208" s="431"/>
      <c r="I208" s="431"/>
      <c r="J208" s="431"/>
      <c r="K208" s="431"/>
      <c r="L208" s="431" t="s">
        <v>650</v>
      </c>
      <c r="M208" s="432" t="s">
        <v>651</v>
      </c>
    </row>
    <row r="209" spans="1:13" ht="409.5" x14ac:dyDescent="0.2">
      <c r="A209" s="431" t="s">
        <v>649</v>
      </c>
      <c r="B209" s="431">
        <v>1690170</v>
      </c>
      <c r="C209" s="431" t="s">
        <v>159</v>
      </c>
      <c r="D209" s="431" t="s">
        <v>160</v>
      </c>
      <c r="E209" s="431" t="s">
        <v>161</v>
      </c>
      <c r="F209" s="431" t="s">
        <v>671</v>
      </c>
      <c r="G209" s="431" t="s">
        <v>175</v>
      </c>
      <c r="H209" s="431"/>
      <c r="I209" s="431"/>
      <c r="J209" s="431"/>
      <c r="K209" s="431"/>
      <c r="L209" s="431" t="s">
        <v>650</v>
      </c>
      <c r="M209" s="432" t="s">
        <v>651</v>
      </c>
    </row>
    <row r="210" spans="1:13" ht="409.5" x14ac:dyDescent="0.2">
      <c r="A210" s="431" t="s">
        <v>649</v>
      </c>
      <c r="B210" s="431">
        <v>1690170</v>
      </c>
      <c r="C210" s="431" t="s">
        <v>159</v>
      </c>
      <c r="D210" s="431" t="s">
        <v>160</v>
      </c>
      <c r="E210" s="431" t="s">
        <v>161</v>
      </c>
      <c r="F210" s="431" t="s">
        <v>671</v>
      </c>
      <c r="G210" s="431" t="s">
        <v>175</v>
      </c>
      <c r="H210" s="431"/>
      <c r="I210" s="431"/>
      <c r="J210" s="431"/>
      <c r="K210" s="431"/>
      <c r="L210" s="431" t="s">
        <v>650</v>
      </c>
      <c r="M210" s="432" t="s">
        <v>651</v>
      </c>
    </row>
    <row r="211" spans="1:13" ht="409.5" x14ac:dyDescent="0.2">
      <c r="A211" s="431" t="s">
        <v>649</v>
      </c>
      <c r="B211" s="431">
        <v>1690170</v>
      </c>
      <c r="C211" s="431" t="s">
        <v>159</v>
      </c>
      <c r="D211" s="431" t="s">
        <v>160</v>
      </c>
      <c r="E211" s="431" t="s">
        <v>161</v>
      </c>
      <c r="F211" s="431" t="s">
        <v>671</v>
      </c>
      <c r="G211" s="431" t="s">
        <v>175</v>
      </c>
      <c r="H211" s="431"/>
      <c r="I211" s="431"/>
      <c r="J211" s="431"/>
      <c r="K211" s="431"/>
      <c r="L211" s="431" t="s">
        <v>650</v>
      </c>
      <c r="M211" s="432" t="s">
        <v>651</v>
      </c>
    </row>
    <row r="212" spans="1:13" ht="409.5" x14ac:dyDescent="0.2">
      <c r="A212" s="431" t="s">
        <v>649</v>
      </c>
      <c r="B212" s="431">
        <v>1690170</v>
      </c>
      <c r="C212" s="431" t="s">
        <v>159</v>
      </c>
      <c r="D212" s="431" t="s">
        <v>160</v>
      </c>
      <c r="E212" s="431" t="s">
        <v>161</v>
      </c>
      <c r="F212" s="431" t="s">
        <v>671</v>
      </c>
      <c r="G212" s="431" t="s">
        <v>175</v>
      </c>
      <c r="H212" s="431"/>
      <c r="I212" s="431"/>
      <c r="J212" s="431"/>
      <c r="K212" s="431"/>
      <c r="L212" s="431" t="s">
        <v>650</v>
      </c>
      <c r="M212" s="432" t="s">
        <v>651</v>
      </c>
    </row>
    <row r="213" spans="1:13" ht="409.5" x14ac:dyDescent="0.2">
      <c r="A213" s="431" t="s">
        <v>649</v>
      </c>
      <c r="B213" s="431">
        <v>1690170</v>
      </c>
      <c r="C213" s="431" t="s">
        <v>159</v>
      </c>
      <c r="D213" s="431" t="s">
        <v>160</v>
      </c>
      <c r="E213" s="431" t="s">
        <v>161</v>
      </c>
      <c r="F213" s="431" t="s">
        <v>671</v>
      </c>
      <c r="G213" s="431" t="s">
        <v>175</v>
      </c>
      <c r="H213" s="431"/>
      <c r="I213" s="431"/>
      <c r="J213" s="431"/>
      <c r="K213" s="431"/>
      <c r="L213" s="431" t="s">
        <v>650</v>
      </c>
      <c r="M213" s="432" t="s">
        <v>651</v>
      </c>
    </row>
    <row r="214" spans="1:13" ht="409.5" x14ac:dyDescent="0.2">
      <c r="A214" s="431" t="s">
        <v>649</v>
      </c>
      <c r="B214" s="431">
        <v>1690170</v>
      </c>
      <c r="C214" s="431" t="s">
        <v>159</v>
      </c>
      <c r="D214" s="431" t="s">
        <v>160</v>
      </c>
      <c r="E214" s="431" t="s">
        <v>161</v>
      </c>
      <c r="F214" s="431" t="s">
        <v>671</v>
      </c>
      <c r="G214" s="431" t="s">
        <v>175</v>
      </c>
      <c r="H214" s="431"/>
      <c r="I214" s="431"/>
      <c r="J214" s="431"/>
      <c r="K214" s="431"/>
      <c r="L214" s="431" t="s">
        <v>650</v>
      </c>
      <c r="M214" s="432" t="s">
        <v>651</v>
      </c>
    </row>
    <row r="215" spans="1:13" ht="409.5" x14ac:dyDescent="0.2">
      <c r="A215" s="431" t="s">
        <v>649</v>
      </c>
      <c r="B215" s="431">
        <v>1690170</v>
      </c>
      <c r="C215" s="431" t="s">
        <v>159</v>
      </c>
      <c r="D215" s="431" t="s">
        <v>160</v>
      </c>
      <c r="E215" s="431" t="s">
        <v>161</v>
      </c>
      <c r="F215" s="431" t="s">
        <v>672</v>
      </c>
      <c r="G215" s="431" t="s">
        <v>175</v>
      </c>
      <c r="H215" s="431"/>
      <c r="I215" s="431"/>
      <c r="J215" s="431"/>
      <c r="K215" s="431"/>
      <c r="L215" s="431" t="s">
        <v>650</v>
      </c>
      <c r="M215" s="432" t="s">
        <v>651</v>
      </c>
    </row>
    <row r="216" spans="1:13" ht="409.5" x14ac:dyDescent="0.2">
      <c r="A216" s="431" t="s">
        <v>649</v>
      </c>
      <c r="B216" s="431">
        <v>1690170</v>
      </c>
      <c r="C216" s="431" t="s">
        <v>159</v>
      </c>
      <c r="D216" s="431" t="s">
        <v>160</v>
      </c>
      <c r="E216" s="431" t="s">
        <v>161</v>
      </c>
      <c r="F216" s="431" t="s">
        <v>672</v>
      </c>
      <c r="G216" s="431" t="s">
        <v>175</v>
      </c>
      <c r="H216" s="431"/>
      <c r="I216" s="431"/>
      <c r="J216" s="431"/>
      <c r="K216" s="431"/>
      <c r="L216" s="431" t="s">
        <v>650</v>
      </c>
      <c r="M216" s="432" t="s">
        <v>651</v>
      </c>
    </row>
    <row r="217" spans="1:13" ht="409.5" x14ac:dyDescent="0.2">
      <c r="A217" s="431" t="s">
        <v>649</v>
      </c>
      <c r="B217" s="431">
        <v>1690170</v>
      </c>
      <c r="C217" s="431" t="s">
        <v>159</v>
      </c>
      <c r="D217" s="431" t="s">
        <v>160</v>
      </c>
      <c r="E217" s="431" t="s">
        <v>161</v>
      </c>
      <c r="F217" s="431" t="s">
        <v>672</v>
      </c>
      <c r="G217" s="431" t="s">
        <v>175</v>
      </c>
      <c r="H217" s="431"/>
      <c r="I217" s="431"/>
      <c r="J217" s="431"/>
      <c r="K217" s="431"/>
      <c r="L217" s="431" t="s">
        <v>650</v>
      </c>
      <c r="M217" s="432" t="s">
        <v>651</v>
      </c>
    </row>
    <row r="218" spans="1:13" ht="409.5" x14ac:dyDescent="0.2">
      <c r="A218" s="431" t="s">
        <v>649</v>
      </c>
      <c r="B218" s="431">
        <v>1690170</v>
      </c>
      <c r="C218" s="431" t="s">
        <v>159</v>
      </c>
      <c r="D218" s="431" t="s">
        <v>160</v>
      </c>
      <c r="E218" s="431" t="s">
        <v>161</v>
      </c>
      <c r="F218" s="431" t="s">
        <v>672</v>
      </c>
      <c r="G218" s="431" t="s">
        <v>175</v>
      </c>
      <c r="H218" s="431"/>
      <c r="I218" s="431"/>
      <c r="J218" s="431"/>
      <c r="K218" s="431"/>
      <c r="L218" s="431" t="s">
        <v>650</v>
      </c>
      <c r="M218" s="432" t="s">
        <v>651</v>
      </c>
    </row>
    <row r="219" spans="1:13" ht="409.5" x14ac:dyDescent="0.2">
      <c r="A219" s="431" t="s">
        <v>649</v>
      </c>
      <c r="B219" s="431">
        <v>1690170</v>
      </c>
      <c r="C219" s="431" t="s">
        <v>159</v>
      </c>
      <c r="D219" s="431" t="s">
        <v>160</v>
      </c>
      <c r="E219" s="431" t="s">
        <v>161</v>
      </c>
      <c r="F219" s="431" t="s">
        <v>672</v>
      </c>
      <c r="G219" s="431" t="s">
        <v>175</v>
      </c>
      <c r="H219" s="431"/>
      <c r="I219" s="431"/>
      <c r="J219" s="431"/>
      <c r="K219" s="431"/>
      <c r="L219" s="431" t="s">
        <v>650</v>
      </c>
      <c r="M219" s="432" t="s">
        <v>651</v>
      </c>
    </row>
    <row r="220" spans="1:13" ht="409.5" x14ac:dyDescent="0.2">
      <c r="A220" s="431" t="s">
        <v>649</v>
      </c>
      <c r="B220" s="431">
        <v>1690170</v>
      </c>
      <c r="C220" s="431" t="s">
        <v>159</v>
      </c>
      <c r="D220" s="431" t="s">
        <v>160</v>
      </c>
      <c r="E220" s="431" t="s">
        <v>161</v>
      </c>
      <c r="F220" s="431" t="s">
        <v>672</v>
      </c>
      <c r="G220" s="431" t="s">
        <v>175</v>
      </c>
      <c r="H220" s="431"/>
      <c r="I220" s="431"/>
      <c r="J220" s="431"/>
      <c r="K220" s="431"/>
      <c r="L220" s="431" t="s">
        <v>650</v>
      </c>
      <c r="M220" s="432" t="s">
        <v>651</v>
      </c>
    </row>
    <row r="221" spans="1:13" ht="409.5" x14ac:dyDescent="0.2">
      <c r="A221" s="431" t="s">
        <v>649</v>
      </c>
      <c r="B221" s="431">
        <v>1690170</v>
      </c>
      <c r="C221" s="431" t="s">
        <v>159</v>
      </c>
      <c r="D221" s="431" t="s">
        <v>160</v>
      </c>
      <c r="E221" s="431" t="s">
        <v>161</v>
      </c>
      <c r="F221" s="431" t="s">
        <v>672</v>
      </c>
      <c r="G221" s="431" t="s">
        <v>175</v>
      </c>
      <c r="H221" s="431"/>
      <c r="I221" s="431"/>
      <c r="J221" s="431"/>
      <c r="K221" s="431"/>
      <c r="L221" s="431" t="s">
        <v>650</v>
      </c>
      <c r="M221" s="432" t="s">
        <v>651</v>
      </c>
    </row>
    <row r="222" spans="1:13" ht="409.5" x14ac:dyDescent="0.2">
      <c r="A222" s="431" t="s">
        <v>649</v>
      </c>
      <c r="B222" s="431">
        <v>1690170</v>
      </c>
      <c r="C222" s="431" t="s">
        <v>159</v>
      </c>
      <c r="D222" s="431" t="s">
        <v>160</v>
      </c>
      <c r="E222" s="431" t="s">
        <v>161</v>
      </c>
      <c r="F222" s="431" t="s">
        <v>672</v>
      </c>
      <c r="G222" s="431" t="s">
        <v>175</v>
      </c>
      <c r="H222" s="431"/>
      <c r="I222" s="431"/>
      <c r="J222" s="431"/>
      <c r="K222" s="431"/>
      <c r="L222" s="431" t="s">
        <v>650</v>
      </c>
      <c r="M222" s="432" t="s">
        <v>651</v>
      </c>
    </row>
    <row r="223" spans="1:13" ht="409.5" x14ac:dyDescent="0.2">
      <c r="A223" s="431" t="s">
        <v>649</v>
      </c>
      <c r="B223" s="431">
        <v>1690170</v>
      </c>
      <c r="C223" s="431" t="s">
        <v>159</v>
      </c>
      <c r="D223" s="431" t="s">
        <v>160</v>
      </c>
      <c r="E223" s="431" t="s">
        <v>161</v>
      </c>
      <c r="F223" s="431" t="s">
        <v>672</v>
      </c>
      <c r="G223" s="431" t="s">
        <v>175</v>
      </c>
      <c r="H223" s="431"/>
      <c r="I223" s="431"/>
      <c r="J223" s="431"/>
      <c r="K223" s="431"/>
      <c r="L223" s="431" t="s">
        <v>650</v>
      </c>
      <c r="M223" s="432" t="s">
        <v>651</v>
      </c>
    </row>
    <row r="224" spans="1:13" ht="409.5" x14ac:dyDescent="0.2">
      <c r="A224" s="431" t="s">
        <v>649</v>
      </c>
      <c r="B224" s="431">
        <v>1690170</v>
      </c>
      <c r="C224" s="431" t="s">
        <v>159</v>
      </c>
      <c r="D224" s="431" t="s">
        <v>160</v>
      </c>
      <c r="E224" s="431" t="s">
        <v>161</v>
      </c>
      <c r="F224" s="431" t="s">
        <v>672</v>
      </c>
      <c r="G224" s="431" t="s">
        <v>175</v>
      </c>
      <c r="H224" s="431"/>
      <c r="I224" s="431"/>
      <c r="J224" s="431"/>
      <c r="K224" s="431"/>
      <c r="L224" s="431" t="s">
        <v>650</v>
      </c>
      <c r="M224" s="432" t="s">
        <v>651</v>
      </c>
    </row>
    <row r="225" spans="1:13" ht="409.5" x14ac:dyDescent="0.2">
      <c r="A225" s="431" t="s">
        <v>649</v>
      </c>
      <c r="B225" s="431">
        <v>1690170</v>
      </c>
      <c r="C225" s="431" t="s">
        <v>159</v>
      </c>
      <c r="D225" s="431" t="s">
        <v>160</v>
      </c>
      <c r="E225" s="431" t="s">
        <v>161</v>
      </c>
      <c r="F225" s="431" t="s">
        <v>672</v>
      </c>
      <c r="G225" s="431" t="s">
        <v>175</v>
      </c>
      <c r="H225" s="431"/>
      <c r="I225" s="431"/>
      <c r="J225" s="431"/>
      <c r="K225" s="431"/>
      <c r="L225" s="431" t="s">
        <v>650</v>
      </c>
      <c r="M225" s="432" t="s">
        <v>651</v>
      </c>
    </row>
    <row r="226" spans="1:13" ht="409.5" x14ac:dyDescent="0.2">
      <c r="A226" s="431" t="s">
        <v>649</v>
      </c>
      <c r="B226" s="431">
        <v>1690170</v>
      </c>
      <c r="C226" s="431" t="s">
        <v>159</v>
      </c>
      <c r="D226" s="431" t="s">
        <v>160</v>
      </c>
      <c r="E226" s="431" t="s">
        <v>161</v>
      </c>
      <c r="F226" s="431" t="s">
        <v>672</v>
      </c>
      <c r="G226" s="431" t="s">
        <v>175</v>
      </c>
      <c r="H226" s="431"/>
      <c r="I226" s="431"/>
      <c r="J226" s="431"/>
      <c r="K226" s="431"/>
      <c r="L226" s="431" t="s">
        <v>650</v>
      </c>
      <c r="M226" s="432" t="s">
        <v>651</v>
      </c>
    </row>
    <row r="227" spans="1:13" ht="409.5" x14ac:dyDescent="0.2">
      <c r="A227" s="431" t="s">
        <v>649</v>
      </c>
      <c r="B227" s="431">
        <v>1690170</v>
      </c>
      <c r="C227" s="431" t="s">
        <v>159</v>
      </c>
      <c r="D227" s="431" t="s">
        <v>160</v>
      </c>
      <c r="E227" s="431" t="s">
        <v>161</v>
      </c>
      <c r="F227" s="431" t="s">
        <v>672</v>
      </c>
      <c r="G227" s="431" t="s">
        <v>175</v>
      </c>
      <c r="H227" s="431"/>
      <c r="I227" s="431"/>
      <c r="J227" s="431"/>
      <c r="K227" s="431"/>
      <c r="L227" s="431" t="s">
        <v>650</v>
      </c>
      <c r="M227" s="432" t="s">
        <v>651</v>
      </c>
    </row>
    <row r="228" spans="1:13" ht="409.5" x14ac:dyDescent="0.2">
      <c r="A228" s="431" t="s">
        <v>649</v>
      </c>
      <c r="B228" s="431">
        <v>1690170</v>
      </c>
      <c r="C228" s="431" t="s">
        <v>159</v>
      </c>
      <c r="D228" s="431" t="s">
        <v>160</v>
      </c>
      <c r="E228" s="431" t="s">
        <v>161</v>
      </c>
      <c r="F228" s="431" t="s">
        <v>672</v>
      </c>
      <c r="G228" s="431" t="s">
        <v>175</v>
      </c>
      <c r="H228" s="431"/>
      <c r="I228" s="431"/>
      <c r="J228" s="431"/>
      <c r="K228" s="431"/>
      <c r="L228" s="431" t="s">
        <v>650</v>
      </c>
      <c r="M228" s="432" t="s">
        <v>651</v>
      </c>
    </row>
    <row r="229" spans="1:13" ht="409.5" x14ac:dyDescent="0.2">
      <c r="A229" s="431" t="s">
        <v>649</v>
      </c>
      <c r="B229" s="431">
        <v>1690170</v>
      </c>
      <c r="C229" s="431" t="s">
        <v>159</v>
      </c>
      <c r="D229" s="431" t="s">
        <v>160</v>
      </c>
      <c r="E229" s="431" t="s">
        <v>161</v>
      </c>
      <c r="F229" s="431" t="s">
        <v>672</v>
      </c>
      <c r="G229" s="431" t="s">
        <v>175</v>
      </c>
      <c r="H229" s="431"/>
      <c r="I229" s="431"/>
      <c r="J229" s="431"/>
      <c r="K229" s="431"/>
      <c r="L229" s="431" t="s">
        <v>650</v>
      </c>
      <c r="M229" s="432" t="s">
        <v>651</v>
      </c>
    </row>
    <row r="230" spans="1:13" ht="409.5" x14ac:dyDescent="0.2">
      <c r="A230" s="431" t="s">
        <v>649</v>
      </c>
      <c r="B230" s="431">
        <v>1690170</v>
      </c>
      <c r="C230" s="431" t="s">
        <v>159</v>
      </c>
      <c r="D230" s="431" t="s">
        <v>160</v>
      </c>
      <c r="E230" s="431" t="s">
        <v>161</v>
      </c>
      <c r="F230" s="431" t="s">
        <v>672</v>
      </c>
      <c r="G230" s="431" t="s">
        <v>175</v>
      </c>
      <c r="H230" s="431"/>
      <c r="I230" s="431"/>
      <c r="J230" s="431"/>
      <c r="K230" s="431"/>
      <c r="L230" s="431" t="s">
        <v>650</v>
      </c>
      <c r="M230" s="432" t="s">
        <v>651</v>
      </c>
    </row>
    <row r="231" spans="1:13" ht="409.5" x14ac:dyDescent="0.2">
      <c r="A231" s="431" t="s">
        <v>649</v>
      </c>
      <c r="B231" s="431">
        <v>1690170</v>
      </c>
      <c r="C231" s="431" t="s">
        <v>159</v>
      </c>
      <c r="D231" s="431" t="s">
        <v>160</v>
      </c>
      <c r="E231" s="431" t="s">
        <v>161</v>
      </c>
      <c r="F231" s="431" t="s">
        <v>672</v>
      </c>
      <c r="G231" s="431" t="s">
        <v>175</v>
      </c>
      <c r="H231" s="431"/>
      <c r="I231" s="431"/>
      <c r="J231" s="431"/>
      <c r="K231" s="431"/>
      <c r="L231" s="431" t="s">
        <v>650</v>
      </c>
      <c r="M231" s="432" t="s">
        <v>651</v>
      </c>
    </row>
    <row r="232" spans="1:13" ht="409.5" x14ac:dyDescent="0.2">
      <c r="A232" s="431" t="s">
        <v>649</v>
      </c>
      <c r="B232" s="431">
        <v>1690170</v>
      </c>
      <c r="C232" s="431" t="s">
        <v>159</v>
      </c>
      <c r="D232" s="431" t="s">
        <v>160</v>
      </c>
      <c r="E232" s="431" t="s">
        <v>161</v>
      </c>
      <c r="F232" s="431" t="s">
        <v>672</v>
      </c>
      <c r="G232" s="431" t="s">
        <v>175</v>
      </c>
      <c r="H232" s="431"/>
      <c r="I232" s="431"/>
      <c r="J232" s="431"/>
      <c r="K232" s="431"/>
      <c r="L232" s="431" t="s">
        <v>650</v>
      </c>
      <c r="M232" s="432" t="s">
        <v>651</v>
      </c>
    </row>
    <row r="233" spans="1:13" ht="409.5" x14ac:dyDescent="0.2">
      <c r="A233" s="431" t="s">
        <v>649</v>
      </c>
      <c r="B233" s="431">
        <v>1690170</v>
      </c>
      <c r="C233" s="431" t="s">
        <v>159</v>
      </c>
      <c r="D233" s="431" t="s">
        <v>160</v>
      </c>
      <c r="E233" s="431" t="s">
        <v>161</v>
      </c>
      <c r="F233" s="431" t="s">
        <v>672</v>
      </c>
      <c r="G233" s="431" t="s">
        <v>175</v>
      </c>
      <c r="H233" s="431"/>
      <c r="I233" s="431"/>
      <c r="J233" s="431"/>
      <c r="K233" s="431"/>
      <c r="L233" s="431" t="s">
        <v>650</v>
      </c>
      <c r="M233" s="432" t="s">
        <v>651</v>
      </c>
    </row>
    <row r="234" spans="1:13" ht="409.5" x14ac:dyDescent="0.2">
      <c r="A234" s="431" t="s">
        <v>649</v>
      </c>
      <c r="B234" s="431">
        <v>1690170</v>
      </c>
      <c r="C234" s="431" t="s">
        <v>159</v>
      </c>
      <c r="D234" s="431" t="s">
        <v>160</v>
      </c>
      <c r="E234" s="431" t="s">
        <v>161</v>
      </c>
      <c r="F234" s="431" t="s">
        <v>672</v>
      </c>
      <c r="G234" s="431" t="s">
        <v>175</v>
      </c>
      <c r="H234" s="431"/>
      <c r="I234" s="431"/>
      <c r="J234" s="431"/>
      <c r="K234" s="431"/>
      <c r="L234" s="431" t="s">
        <v>650</v>
      </c>
      <c r="M234" s="432" t="s">
        <v>651</v>
      </c>
    </row>
    <row r="235" spans="1:13" ht="409.5" x14ac:dyDescent="0.2">
      <c r="A235" s="431" t="s">
        <v>649</v>
      </c>
      <c r="B235" s="431">
        <v>1690170</v>
      </c>
      <c r="C235" s="431" t="s">
        <v>159</v>
      </c>
      <c r="D235" s="431" t="s">
        <v>160</v>
      </c>
      <c r="E235" s="431" t="s">
        <v>161</v>
      </c>
      <c r="F235" s="431" t="s">
        <v>672</v>
      </c>
      <c r="G235" s="431" t="s">
        <v>175</v>
      </c>
      <c r="H235" s="431"/>
      <c r="I235" s="431"/>
      <c r="J235" s="431"/>
      <c r="K235" s="431"/>
      <c r="L235" s="431" t="s">
        <v>650</v>
      </c>
      <c r="M235" s="432" t="s">
        <v>651</v>
      </c>
    </row>
    <row r="236" spans="1:13" ht="409.5" x14ac:dyDescent="0.2">
      <c r="A236" s="431" t="s">
        <v>649</v>
      </c>
      <c r="B236" s="431">
        <v>1690170</v>
      </c>
      <c r="C236" s="431" t="s">
        <v>159</v>
      </c>
      <c r="D236" s="431" t="s">
        <v>160</v>
      </c>
      <c r="E236" s="431" t="s">
        <v>161</v>
      </c>
      <c r="F236" s="431" t="s">
        <v>672</v>
      </c>
      <c r="G236" s="431" t="s">
        <v>175</v>
      </c>
      <c r="H236" s="431"/>
      <c r="I236" s="431"/>
      <c r="J236" s="431"/>
      <c r="K236" s="431"/>
      <c r="L236" s="431" t="s">
        <v>650</v>
      </c>
      <c r="M236" s="432" t="s">
        <v>651</v>
      </c>
    </row>
    <row r="237" spans="1:13" ht="409.5" x14ac:dyDescent="0.2">
      <c r="A237" s="431" t="s">
        <v>649</v>
      </c>
      <c r="B237" s="431">
        <v>1690170</v>
      </c>
      <c r="C237" s="431" t="s">
        <v>159</v>
      </c>
      <c r="D237" s="431" t="s">
        <v>160</v>
      </c>
      <c r="E237" s="431" t="s">
        <v>161</v>
      </c>
      <c r="F237" s="431" t="s">
        <v>672</v>
      </c>
      <c r="G237" s="431" t="s">
        <v>175</v>
      </c>
      <c r="H237" s="431"/>
      <c r="I237" s="431"/>
      <c r="J237" s="431"/>
      <c r="K237" s="431"/>
      <c r="L237" s="431" t="s">
        <v>650</v>
      </c>
      <c r="M237" s="432" t="s">
        <v>651</v>
      </c>
    </row>
    <row r="238" spans="1:13" ht="409.5" x14ac:dyDescent="0.2">
      <c r="A238" s="431" t="s">
        <v>649</v>
      </c>
      <c r="B238" s="431">
        <v>1690170</v>
      </c>
      <c r="C238" s="431" t="s">
        <v>159</v>
      </c>
      <c r="D238" s="431" t="s">
        <v>160</v>
      </c>
      <c r="E238" s="431" t="s">
        <v>161</v>
      </c>
      <c r="F238" s="431" t="s">
        <v>672</v>
      </c>
      <c r="G238" s="431" t="s">
        <v>175</v>
      </c>
      <c r="H238" s="431"/>
      <c r="I238" s="431"/>
      <c r="J238" s="431"/>
      <c r="K238" s="431"/>
      <c r="L238" s="431" t="s">
        <v>650</v>
      </c>
      <c r="M238" s="432" t="s">
        <v>651</v>
      </c>
    </row>
    <row r="239" spans="1:13" ht="409.5" x14ac:dyDescent="0.2">
      <c r="A239" s="431" t="s">
        <v>649</v>
      </c>
      <c r="B239" s="431">
        <v>1690170</v>
      </c>
      <c r="C239" s="431" t="s">
        <v>159</v>
      </c>
      <c r="D239" s="431" t="s">
        <v>160</v>
      </c>
      <c r="E239" s="431" t="s">
        <v>161</v>
      </c>
      <c r="F239" s="431" t="s">
        <v>672</v>
      </c>
      <c r="G239" s="431" t="s">
        <v>175</v>
      </c>
      <c r="H239" s="431"/>
      <c r="I239" s="431"/>
      <c r="J239" s="431"/>
      <c r="K239" s="431"/>
      <c r="L239" s="431" t="s">
        <v>650</v>
      </c>
      <c r="M239" s="432" t="s">
        <v>651</v>
      </c>
    </row>
    <row r="240" spans="1:13" ht="409.5" x14ac:dyDescent="0.2">
      <c r="A240" s="431" t="s">
        <v>649</v>
      </c>
      <c r="B240" s="431">
        <v>1690170</v>
      </c>
      <c r="C240" s="431" t="s">
        <v>159</v>
      </c>
      <c r="D240" s="431" t="s">
        <v>160</v>
      </c>
      <c r="E240" s="431" t="s">
        <v>161</v>
      </c>
      <c r="F240" s="431" t="s">
        <v>672</v>
      </c>
      <c r="G240" s="431" t="s">
        <v>175</v>
      </c>
      <c r="H240" s="431"/>
      <c r="I240" s="431"/>
      <c r="J240" s="431"/>
      <c r="K240" s="431"/>
      <c r="L240" s="431" t="s">
        <v>650</v>
      </c>
      <c r="M240" s="432" t="s">
        <v>651</v>
      </c>
    </row>
    <row r="241" spans="1:13" ht="409.5" x14ac:dyDescent="0.2">
      <c r="A241" s="431" t="s">
        <v>649</v>
      </c>
      <c r="B241" s="431">
        <v>1690170</v>
      </c>
      <c r="C241" s="431" t="s">
        <v>159</v>
      </c>
      <c r="D241" s="431" t="s">
        <v>160</v>
      </c>
      <c r="E241" s="431" t="s">
        <v>161</v>
      </c>
      <c r="F241" s="431" t="s">
        <v>672</v>
      </c>
      <c r="G241" s="431" t="s">
        <v>175</v>
      </c>
      <c r="H241" s="431"/>
      <c r="I241" s="431"/>
      <c r="J241" s="431"/>
      <c r="K241" s="431"/>
      <c r="L241" s="431" t="s">
        <v>650</v>
      </c>
      <c r="M241" s="432" t="s">
        <v>651</v>
      </c>
    </row>
    <row r="242" spans="1:13" ht="409.5" x14ac:dyDescent="0.2">
      <c r="A242" s="431" t="s">
        <v>649</v>
      </c>
      <c r="B242" s="431">
        <v>1690170</v>
      </c>
      <c r="C242" s="431" t="s">
        <v>159</v>
      </c>
      <c r="D242" s="431" t="s">
        <v>160</v>
      </c>
      <c r="E242" s="431" t="s">
        <v>161</v>
      </c>
      <c r="F242" s="431" t="s">
        <v>672</v>
      </c>
      <c r="G242" s="431" t="s">
        <v>175</v>
      </c>
      <c r="H242" s="431"/>
      <c r="I242" s="431"/>
      <c r="J242" s="431"/>
      <c r="K242" s="431"/>
      <c r="L242" s="431" t="s">
        <v>650</v>
      </c>
      <c r="M242" s="432" t="s">
        <v>651</v>
      </c>
    </row>
    <row r="243" spans="1:13" ht="409.5" x14ac:dyDescent="0.2">
      <c r="A243" s="431" t="s">
        <v>649</v>
      </c>
      <c r="B243" s="431">
        <v>1690170</v>
      </c>
      <c r="C243" s="431" t="s">
        <v>159</v>
      </c>
      <c r="D243" s="431" t="s">
        <v>160</v>
      </c>
      <c r="E243" s="431" t="s">
        <v>161</v>
      </c>
      <c r="F243" s="431" t="s">
        <v>672</v>
      </c>
      <c r="G243" s="431" t="s">
        <v>175</v>
      </c>
      <c r="H243" s="431"/>
      <c r="I243" s="431"/>
      <c r="J243" s="431"/>
      <c r="K243" s="431"/>
      <c r="L243" s="431" t="s">
        <v>650</v>
      </c>
      <c r="M243" s="432" t="s">
        <v>651</v>
      </c>
    </row>
    <row r="244" spans="1:13" ht="409.5" x14ac:dyDescent="0.2">
      <c r="A244" s="431" t="s">
        <v>649</v>
      </c>
      <c r="B244" s="431">
        <v>1690170</v>
      </c>
      <c r="C244" s="431" t="s">
        <v>159</v>
      </c>
      <c r="D244" s="431" t="s">
        <v>160</v>
      </c>
      <c r="E244" s="431" t="s">
        <v>161</v>
      </c>
      <c r="F244" s="431" t="s">
        <v>672</v>
      </c>
      <c r="G244" s="431" t="s">
        <v>175</v>
      </c>
      <c r="H244" s="431"/>
      <c r="I244" s="431"/>
      <c r="J244" s="431"/>
      <c r="K244" s="431"/>
      <c r="L244" s="431" t="s">
        <v>650</v>
      </c>
      <c r="M244" s="432" t="s">
        <v>651</v>
      </c>
    </row>
    <row r="245" spans="1:13" ht="409.5" x14ac:dyDescent="0.2">
      <c r="A245" s="431" t="s">
        <v>649</v>
      </c>
      <c r="B245" s="431">
        <v>1690170</v>
      </c>
      <c r="C245" s="431" t="s">
        <v>159</v>
      </c>
      <c r="D245" s="431" t="s">
        <v>160</v>
      </c>
      <c r="E245" s="431" t="s">
        <v>161</v>
      </c>
      <c r="F245" s="431" t="s">
        <v>673</v>
      </c>
      <c r="G245" s="431" t="s">
        <v>175</v>
      </c>
      <c r="H245" s="431"/>
      <c r="I245" s="431"/>
      <c r="J245" s="431"/>
      <c r="K245" s="431"/>
      <c r="L245" s="431" t="s">
        <v>650</v>
      </c>
      <c r="M245" s="432" t="s">
        <v>651</v>
      </c>
    </row>
    <row r="246" spans="1:13" ht="409.5" x14ac:dyDescent="0.2">
      <c r="A246" s="431" t="s">
        <v>649</v>
      </c>
      <c r="B246" s="431">
        <v>1690170</v>
      </c>
      <c r="C246" s="431" t="s">
        <v>159</v>
      </c>
      <c r="D246" s="431" t="s">
        <v>160</v>
      </c>
      <c r="E246" s="431" t="s">
        <v>161</v>
      </c>
      <c r="F246" s="431" t="s">
        <v>673</v>
      </c>
      <c r="G246" s="431" t="s">
        <v>175</v>
      </c>
      <c r="H246" s="431"/>
      <c r="I246" s="431"/>
      <c r="J246" s="431"/>
      <c r="K246" s="431"/>
      <c r="L246" s="431" t="s">
        <v>650</v>
      </c>
      <c r="M246" s="432" t="s">
        <v>651</v>
      </c>
    </row>
    <row r="247" spans="1:13" ht="409.5" x14ac:dyDescent="0.2">
      <c r="A247" s="431" t="s">
        <v>649</v>
      </c>
      <c r="B247" s="431">
        <v>1690170</v>
      </c>
      <c r="C247" s="431" t="s">
        <v>159</v>
      </c>
      <c r="D247" s="431" t="s">
        <v>160</v>
      </c>
      <c r="E247" s="431" t="s">
        <v>161</v>
      </c>
      <c r="F247" s="431" t="s">
        <v>673</v>
      </c>
      <c r="G247" s="431" t="s">
        <v>175</v>
      </c>
      <c r="H247" s="431"/>
      <c r="I247" s="431"/>
      <c r="J247" s="431"/>
      <c r="K247" s="431"/>
      <c r="L247" s="431" t="s">
        <v>650</v>
      </c>
      <c r="M247" s="432" t="s">
        <v>651</v>
      </c>
    </row>
    <row r="248" spans="1:13" ht="409.5" x14ac:dyDescent="0.2">
      <c r="A248" s="431" t="s">
        <v>649</v>
      </c>
      <c r="B248" s="431">
        <v>1690170</v>
      </c>
      <c r="C248" s="431" t="s">
        <v>159</v>
      </c>
      <c r="D248" s="431" t="s">
        <v>160</v>
      </c>
      <c r="E248" s="431" t="s">
        <v>161</v>
      </c>
      <c r="F248" s="431" t="s">
        <v>673</v>
      </c>
      <c r="G248" s="431" t="s">
        <v>175</v>
      </c>
      <c r="H248" s="431"/>
      <c r="I248" s="431"/>
      <c r="J248" s="431"/>
      <c r="K248" s="431"/>
      <c r="L248" s="431" t="s">
        <v>650</v>
      </c>
      <c r="M248" s="432" t="s">
        <v>651</v>
      </c>
    </row>
    <row r="249" spans="1:13" ht="409.5" x14ac:dyDescent="0.2">
      <c r="A249" s="431" t="s">
        <v>649</v>
      </c>
      <c r="B249" s="431">
        <v>1690170</v>
      </c>
      <c r="C249" s="431" t="s">
        <v>159</v>
      </c>
      <c r="D249" s="431" t="s">
        <v>160</v>
      </c>
      <c r="E249" s="431" t="s">
        <v>161</v>
      </c>
      <c r="F249" s="431" t="s">
        <v>673</v>
      </c>
      <c r="G249" s="431" t="s">
        <v>175</v>
      </c>
      <c r="H249" s="431"/>
      <c r="I249" s="431"/>
      <c r="J249" s="431"/>
      <c r="K249" s="431"/>
      <c r="L249" s="431" t="s">
        <v>650</v>
      </c>
      <c r="M249" s="432" t="s">
        <v>651</v>
      </c>
    </row>
    <row r="250" spans="1:13" ht="409.5" x14ac:dyDescent="0.2">
      <c r="A250" s="431" t="s">
        <v>649</v>
      </c>
      <c r="B250" s="431">
        <v>1690170</v>
      </c>
      <c r="C250" s="431" t="s">
        <v>159</v>
      </c>
      <c r="D250" s="431" t="s">
        <v>160</v>
      </c>
      <c r="E250" s="431" t="s">
        <v>161</v>
      </c>
      <c r="F250" s="431" t="s">
        <v>673</v>
      </c>
      <c r="G250" s="431" t="s">
        <v>175</v>
      </c>
      <c r="H250" s="431"/>
      <c r="I250" s="431"/>
      <c r="J250" s="431"/>
      <c r="K250" s="431"/>
      <c r="L250" s="431" t="s">
        <v>650</v>
      </c>
      <c r="M250" s="432" t="s">
        <v>651</v>
      </c>
    </row>
    <row r="251" spans="1:13" ht="409.5" x14ac:dyDescent="0.2">
      <c r="A251" s="431" t="s">
        <v>649</v>
      </c>
      <c r="B251" s="431">
        <v>1690170</v>
      </c>
      <c r="C251" s="431" t="s">
        <v>159</v>
      </c>
      <c r="D251" s="431" t="s">
        <v>160</v>
      </c>
      <c r="E251" s="431" t="s">
        <v>161</v>
      </c>
      <c r="F251" s="431" t="s">
        <v>673</v>
      </c>
      <c r="G251" s="431" t="s">
        <v>175</v>
      </c>
      <c r="H251" s="431"/>
      <c r="I251" s="431"/>
      <c r="J251" s="431"/>
      <c r="K251" s="431"/>
      <c r="L251" s="431" t="s">
        <v>650</v>
      </c>
      <c r="M251" s="432" t="s">
        <v>651</v>
      </c>
    </row>
    <row r="252" spans="1:13" ht="409.5" x14ac:dyDescent="0.2">
      <c r="A252" s="431" t="s">
        <v>649</v>
      </c>
      <c r="B252" s="431">
        <v>1690170</v>
      </c>
      <c r="C252" s="431" t="s">
        <v>159</v>
      </c>
      <c r="D252" s="431" t="s">
        <v>160</v>
      </c>
      <c r="E252" s="431" t="s">
        <v>161</v>
      </c>
      <c r="F252" s="431" t="s">
        <v>673</v>
      </c>
      <c r="G252" s="431" t="s">
        <v>175</v>
      </c>
      <c r="H252" s="431"/>
      <c r="I252" s="431"/>
      <c r="J252" s="431"/>
      <c r="K252" s="431"/>
      <c r="L252" s="431" t="s">
        <v>650</v>
      </c>
      <c r="M252" s="432" t="s">
        <v>651</v>
      </c>
    </row>
    <row r="253" spans="1:13" ht="409.5" x14ac:dyDescent="0.2">
      <c r="A253" s="431" t="s">
        <v>649</v>
      </c>
      <c r="B253" s="431">
        <v>1690170</v>
      </c>
      <c r="C253" s="431" t="s">
        <v>159</v>
      </c>
      <c r="D253" s="431" t="s">
        <v>160</v>
      </c>
      <c r="E253" s="431" t="s">
        <v>161</v>
      </c>
      <c r="F253" s="431" t="s">
        <v>673</v>
      </c>
      <c r="G253" s="431" t="s">
        <v>175</v>
      </c>
      <c r="H253" s="431"/>
      <c r="I253" s="431"/>
      <c r="J253" s="431"/>
      <c r="K253" s="431"/>
      <c r="L253" s="431" t="s">
        <v>650</v>
      </c>
      <c r="M253" s="432" t="s">
        <v>651</v>
      </c>
    </row>
    <row r="254" spans="1:13" ht="409.5" x14ac:dyDescent="0.2">
      <c r="A254" s="431" t="s">
        <v>649</v>
      </c>
      <c r="B254" s="431">
        <v>1690170</v>
      </c>
      <c r="C254" s="431" t="s">
        <v>159</v>
      </c>
      <c r="D254" s="431" t="s">
        <v>160</v>
      </c>
      <c r="E254" s="431" t="s">
        <v>161</v>
      </c>
      <c r="F254" s="431" t="s">
        <v>673</v>
      </c>
      <c r="G254" s="431" t="s">
        <v>175</v>
      </c>
      <c r="H254" s="431"/>
      <c r="I254" s="431"/>
      <c r="J254" s="431"/>
      <c r="K254" s="431"/>
      <c r="L254" s="431" t="s">
        <v>650</v>
      </c>
      <c r="M254" s="432" t="s">
        <v>651</v>
      </c>
    </row>
    <row r="255" spans="1:13" ht="409.5" x14ac:dyDescent="0.2">
      <c r="A255" s="431" t="s">
        <v>649</v>
      </c>
      <c r="B255" s="431">
        <v>1690170</v>
      </c>
      <c r="C255" s="431" t="s">
        <v>159</v>
      </c>
      <c r="D255" s="431" t="s">
        <v>160</v>
      </c>
      <c r="E255" s="431" t="s">
        <v>161</v>
      </c>
      <c r="F255" s="431" t="s">
        <v>673</v>
      </c>
      <c r="G255" s="431" t="s">
        <v>175</v>
      </c>
      <c r="H255" s="431"/>
      <c r="I255" s="431"/>
      <c r="J255" s="431"/>
      <c r="K255" s="431"/>
      <c r="L255" s="431" t="s">
        <v>650</v>
      </c>
      <c r="M255" s="432" t="s">
        <v>651</v>
      </c>
    </row>
    <row r="256" spans="1:13" ht="409.5" x14ac:dyDescent="0.2">
      <c r="A256" s="431" t="s">
        <v>649</v>
      </c>
      <c r="B256" s="431">
        <v>1690170</v>
      </c>
      <c r="C256" s="431" t="s">
        <v>159</v>
      </c>
      <c r="D256" s="431" t="s">
        <v>160</v>
      </c>
      <c r="E256" s="431" t="s">
        <v>161</v>
      </c>
      <c r="F256" s="431" t="s">
        <v>673</v>
      </c>
      <c r="G256" s="431" t="s">
        <v>175</v>
      </c>
      <c r="H256" s="431"/>
      <c r="I256" s="431"/>
      <c r="J256" s="431"/>
      <c r="K256" s="431"/>
      <c r="L256" s="431" t="s">
        <v>650</v>
      </c>
      <c r="M256" s="432" t="s">
        <v>651</v>
      </c>
    </row>
    <row r="257" spans="1:13" ht="409.5" x14ac:dyDescent="0.2">
      <c r="A257" s="431" t="s">
        <v>649</v>
      </c>
      <c r="B257" s="431">
        <v>1690170</v>
      </c>
      <c r="C257" s="431" t="s">
        <v>159</v>
      </c>
      <c r="D257" s="431" t="s">
        <v>160</v>
      </c>
      <c r="E257" s="431" t="s">
        <v>161</v>
      </c>
      <c r="F257" s="431" t="s">
        <v>674</v>
      </c>
      <c r="G257" s="431" t="s">
        <v>175</v>
      </c>
      <c r="H257" s="431"/>
      <c r="I257" s="431"/>
      <c r="J257" s="431"/>
      <c r="K257" s="431"/>
      <c r="L257" s="431" t="s">
        <v>650</v>
      </c>
      <c r="M257" s="432" t="s">
        <v>651</v>
      </c>
    </row>
    <row r="258" spans="1:13" ht="409.5" x14ac:dyDescent="0.2">
      <c r="A258" s="431" t="s">
        <v>649</v>
      </c>
      <c r="B258" s="431">
        <v>1690170</v>
      </c>
      <c r="C258" s="431" t="s">
        <v>159</v>
      </c>
      <c r="D258" s="431" t="s">
        <v>160</v>
      </c>
      <c r="E258" s="431" t="s">
        <v>161</v>
      </c>
      <c r="F258" s="431" t="s">
        <v>674</v>
      </c>
      <c r="G258" s="431" t="s">
        <v>175</v>
      </c>
      <c r="H258" s="431"/>
      <c r="I258" s="431"/>
      <c r="J258" s="431"/>
      <c r="K258" s="431"/>
      <c r="L258" s="431" t="s">
        <v>650</v>
      </c>
      <c r="M258" s="432" t="s">
        <v>651</v>
      </c>
    </row>
    <row r="259" spans="1:13" ht="409.5" x14ac:dyDescent="0.2">
      <c r="A259" s="431" t="s">
        <v>649</v>
      </c>
      <c r="B259" s="431">
        <v>1690170</v>
      </c>
      <c r="C259" s="431" t="s">
        <v>159</v>
      </c>
      <c r="D259" s="431" t="s">
        <v>160</v>
      </c>
      <c r="E259" s="431" t="s">
        <v>161</v>
      </c>
      <c r="F259" s="431" t="s">
        <v>674</v>
      </c>
      <c r="G259" s="431" t="s">
        <v>175</v>
      </c>
      <c r="H259" s="431"/>
      <c r="I259" s="431"/>
      <c r="J259" s="431"/>
      <c r="K259" s="431"/>
      <c r="L259" s="431" t="s">
        <v>650</v>
      </c>
      <c r="M259" s="432" t="s">
        <v>651</v>
      </c>
    </row>
    <row r="260" spans="1:13" ht="409.5" x14ac:dyDescent="0.2">
      <c r="A260" s="431" t="s">
        <v>649</v>
      </c>
      <c r="B260" s="431">
        <v>1690170</v>
      </c>
      <c r="C260" s="431" t="s">
        <v>159</v>
      </c>
      <c r="D260" s="431" t="s">
        <v>160</v>
      </c>
      <c r="E260" s="431" t="s">
        <v>161</v>
      </c>
      <c r="F260" s="431" t="s">
        <v>674</v>
      </c>
      <c r="G260" s="431" t="s">
        <v>175</v>
      </c>
      <c r="H260" s="431"/>
      <c r="I260" s="431"/>
      <c r="J260" s="431"/>
      <c r="K260" s="431"/>
      <c r="L260" s="431" t="s">
        <v>650</v>
      </c>
      <c r="M260" s="432" t="s">
        <v>651</v>
      </c>
    </row>
    <row r="261" spans="1:13" ht="409.5" x14ac:dyDescent="0.2">
      <c r="A261" s="431" t="s">
        <v>649</v>
      </c>
      <c r="B261" s="431">
        <v>1690170</v>
      </c>
      <c r="C261" s="431" t="s">
        <v>159</v>
      </c>
      <c r="D261" s="431" t="s">
        <v>160</v>
      </c>
      <c r="E261" s="431" t="s">
        <v>161</v>
      </c>
      <c r="F261" s="431" t="s">
        <v>674</v>
      </c>
      <c r="G261" s="431" t="s">
        <v>175</v>
      </c>
      <c r="H261" s="431"/>
      <c r="I261" s="431"/>
      <c r="J261" s="431"/>
      <c r="K261" s="431"/>
      <c r="L261" s="431" t="s">
        <v>650</v>
      </c>
      <c r="M261" s="432" t="s">
        <v>651</v>
      </c>
    </row>
    <row r="262" spans="1:13" ht="409.5" x14ac:dyDescent="0.2">
      <c r="A262" s="431" t="s">
        <v>649</v>
      </c>
      <c r="B262" s="431">
        <v>1690170</v>
      </c>
      <c r="C262" s="431" t="s">
        <v>159</v>
      </c>
      <c r="D262" s="431" t="s">
        <v>160</v>
      </c>
      <c r="E262" s="431" t="s">
        <v>161</v>
      </c>
      <c r="F262" s="431" t="s">
        <v>674</v>
      </c>
      <c r="G262" s="431" t="s">
        <v>175</v>
      </c>
      <c r="H262" s="431"/>
      <c r="I262" s="431"/>
      <c r="J262" s="431"/>
      <c r="K262" s="431"/>
      <c r="L262" s="431" t="s">
        <v>650</v>
      </c>
      <c r="M262" s="432" t="s">
        <v>651</v>
      </c>
    </row>
    <row r="263" spans="1:13" ht="409.5" x14ac:dyDescent="0.2">
      <c r="A263" s="431" t="s">
        <v>649</v>
      </c>
      <c r="B263" s="431">
        <v>1690170</v>
      </c>
      <c r="C263" s="431" t="s">
        <v>159</v>
      </c>
      <c r="D263" s="431" t="s">
        <v>160</v>
      </c>
      <c r="E263" s="431" t="s">
        <v>161</v>
      </c>
      <c r="F263" s="431" t="s">
        <v>675</v>
      </c>
      <c r="G263" s="431" t="s">
        <v>175</v>
      </c>
      <c r="H263" s="431"/>
      <c r="I263" s="431"/>
      <c r="J263" s="431"/>
      <c r="K263" s="431"/>
      <c r="L263" s="431" t="s">
        <v>650</v>
      </c>
      <c r="M263" s="432" t="s">
        <v>651</v>
      </c>
    </row>
    <row r="264" spans="1:13" ht="409.5" x14ac:dyDescent="0.2">
      <c r="A264" s="431" t="s">
        <v>649</v>
      </c>
      <c r="B264" s="431">
        <v>1690170</v>
      </c>
      <c r="C264" s="431" t="s">
        <v>159</v>
      </c>
      <c r="D264" s="431" t="s">
        <v>160</v>
      </c>
      <c r="E264" s="431" t="s">
        <v>161</v>
      </c>
      <c r="F264" s="431" t="s">
        <v>675</v>
      </c>
      <c r="G264" s="431" t="s">
        <v>175</v>
      </c>
      <c r="H264" s="431"/>
      <c r="I264" s="431"/>
      <c r="J264" s="431"/>
      <c r="K264" s="431"/>
      <c r="L264" s="431" t="s">
        <v>650</v>
      </c>
      <c r="M264" s="432" t="s">
        <v>651</v>
      </c>
    </row>
    <row r="265" spans="1:13" ht="409.5" x14ac:dyDescent="0.2">
      <c r="A265" s="431" t="s">
        <v>649</v>
      </c>
      <c r="B265" s="431">
        <v>1690170</v>
      </c>
      <c r="C265" s="431" t="s">
        <v>159</v>
      </c>
      <c r="D265" s="431" t="s">
        <v>160</v>
      </c>
      <c r="E265" s="431" t="s">
        <v>161</v>
      </c>
      <c r="F265" s="431" t="s">
        <v>675</v>
      </c>
      <c r="G265" s="431" t="s">
        <v>175</v>
      </c>
      <c r="H265" s="431"/>
      <c r="I265" s="431"/>
      <c r="J265" s="431"/>
      <c r="K265" s="431"/>
      <c r="L265" s="431" t="s">
        <v>650</v>
      </c>
      <c r="M265" s="432" t="s">
        <v>651</v>
      </c>
    </row>
    <row r="266" spans="1:13" ht="409.5" x14ac:dyDescent="0.2">
      <c r="A266" s="431" t="s">
        <v>649</v>
      </c>
      <c r="B266" s="431">
        <v>1690170</v>
      </c>
      <c r="C266" s="431" t="s">
        <v>159</v>
      </c>
      <c r="D266" s="431" t="s">
        <v>160</v>
      </c>
      <c r="E266" s="431" t="s">
        <v>161</v>
      </c>
      <c r="F266" s="431" t="s">
        <v>675</v>
      </c>
      <c r="G266" s="431" t="s">
        <v>175</v>
      </c>
      <c r="H266" s="431"/>
      <c r="I266" s="431"/>
      <c r="J266" s="431"/>
      <c r="K266" s="431"/>
      <c r="L266" s="431" t="s">
        <v>650</v>
      </c>
      <c r="M266" s="432" t="s">
        <v>651</v>
      </c>
    </row>
    <row r="267" spans="1:13" ht="409.5" x14ac:dyDescent="0.2">
      <c r="A267" s="431" t="s">
        <v>649</v>
      </c>
      <c r="B267" s="431">
        <v>1690170</v>
      </c>
      <c r="C267" s="431" t="s">
        <v>159</v>
      </c>
      <c r="D267" s="431" t="s">
        <v>160</v>
      </c>
      <c r="E267" s="431" t="s">
        <v>161</v>
      </c>
      <c r="F267" s="431" t="s">
        <v>675</v>
      </c>
      <c r="G267" s="431" t="s">
        <v>175</v>
      </c>
      <c r="H267" s="431"/>
      <c r="I267" s="431"/>
      <c r="J267" s="431"/>
      <c r="K267" s="431"/>
      <c r="L267" s="431" t="s">
        <v>650</v>
      </c>
      <c r="M267" s="432" t="s">
        <v>651</v>
      </c>
    </row>
    <row r="268" spans="1:13" ht="409.5" x14ac:dyDescent="0.2">
      <c r="A268" s="431" t="s">
        <v>649</v>
      </c>
      <c r="B268" s="431">
        <v>1690170</v>
      </c>
      <c r="C268" s="431" t="s">
        <v>159</v>
      </c>
      <c r="D268" s="431" t="s">
        <v>160</v>
      </c>
      <c r="E268" s="431" t="s">
        <v>161</v>
      </c>
      <c r="F268" s="431" t="s">
        <v>675</v>
      </c>
      <c r="G268" s="431" t="s">
        <v>175</v>
      </c>
      <c r="H268" s="431"/>
      <c r="I268" s="431"/>
      <c r="J268" s="431"/>
      <c r="K268" s="431"/>
      <c r="L268" s="431" t="s">
        <v>650</v>
      </c>
      <c r="M268" s="432" t="s">
        <v>651</v>
      </c>
    </row>
    <row r="269" spans="1:13" ht="409.5" x14ac:dyDescent="0.2">
      <c r="A269" s="431" t="s">
        <v>649</v>
      </c>
      <c r="B269" s="431">
        <v>1690170</v>
      </c>
      <c r="C269" s="431" t="s">
        <v>159</v>
      </c>
      <c r="D269" s="431" t="s">
        <v>160</v>
      </c>
      <c r="E269" s="431" t="s">
        <v>161</v>
      </c>
      <c r="F269" s="431" t="s">
        <v>676</v>
      </c>
      <c r="G269" s="431" t="s">
        <v>175</v>
      </c>
      <c r="H269" s="431"/>
      <c r="I269" s="431"/>
      <c r="J269" s="431"/>
      <c r="K269" s="431"/>
      <c r="L269" s="431" t="s">
        <v>650</v>
      </c>
      <c r="M269" s="432" t="s">
        <v>651</v>
      </c>
    </row>
    <row r="270" spans="1:13" ht="409.5" x14ac:dyDescent="0.2">
      <c r="A270" s="431" t="s">
        <v>649</v>
      </c>
      <c r="B270" s="431">
        <v>1690170</v>
      </c>
      <c r="C270" s="431" t="s">
        <v>159</v>
      </c>
      <c r="D270" s="431" t="s">
        <v>160</v>
      </c>
      <c r="E270" s="431" t="s">
        <v>161</v>
      </c>
      <c r="F270" s="431" t="s">
        <v>676</v>
      </c>
      <c r="G270" s="431" t="s">
        <v>175</v>
      </c>
      <c r="H270" s="431"/>
      <c r="I270" s="431"/>
      <c r="J270" s="431"/>
      <c r="K270" s="431"/>
      <c r="L270" s="431" t="s">
        <v>650</v>
      </c>
      <c r="M270" s="432" t="s">
        <v>651</v>
      </c>
    </row>
    <row r="271" spans="1:13" ht="409.5" x14ac:dyDescent="0.2">
      <c r="A271" s="431" t="s">
        <v>649</v>
      </c>
      <c r="B271" s="431">
        <v>1690170</v>
      </c>
      <c r="C271" s="431" t="s">
        <v>159</v>
      </c>
      <c r="D271" s="431" t="s">
        <v>160</v>
      </c>
      <c r="E271" s="431" t="s">
        <v>161</v>
      </c>
      <c r="F271" s="431" t="s">
        <v>676</v>
      </c>
      <c r="G271" s="431" t="s">
        <v>175</v>
      </c>
      <c r="H271" s="431"/>
      <c r="I271" s="431"/>
      <c r="J271" s="431"/>
      <c r="K271" s="431"/>
      <c r="L271" s="431" t="s">
        <v>650</v>
      </c>
      <c r="M271" s="432" t="s">
        <v>651</v>
      </c>
    </row>
    <row r="272" spans="1:13" ht="409.5" x14ac:dyDescent="0.2">
      <c r="A272" s="431" t="s">
        <v>649</v>
      </c>
      <c r="B272" s="431">
        <v>1690170</v>
      </c>
      <c r="C272" s="431" t="s">
        <v>159</v>
      </c>
      <c r="D272" s="431" t="s">
        <v>160</v>
      </c>
      <c r="E272" s="431" t="s">
        <v>161</v>
      </c>
      <c r="F272" s="431" t="s">
        <v>676</v>
      </c>
      <c r="G272" s="431" t="s">
        <v>175</v>
      </c>
      <c r="H272" s="431"/>
      <c r="I272" s="431"/>
      <c r="J272" s="431"/>
      <c r="K272" s="431"/>
      <c r="L272" s="431" t="s">
        <v>650</v>
      </c>
      <c r="M272" s="432" t="s">
        <v>651</v>
      </c>
    </row>
    <row r="273" spans="1:13" ht="409.5" x14ac:dyDescent="0.2">
      <c r="A273" s="431" t="s">
        <v>649</v>
      </c>
      <c r="B273" s="431">
        <v>1690170</v>
      </c>
      <c r="C273" s="431" t="s">
        <v>159</v>
      </c>
      <c r="D273" s="431" t="s">
        <v>160</v>
      </c>
      <c r="E273" s="431" t="s">
        <v>161</v>
      </c>
      <c r="F273" s="431" t="s">
        <v>676</v>
      </c>
      <c r="G273" s="431" t="s">
        <v>175</v>
      </c>
      <c r="H273" s="431"/>
      <c r="I273" s="431"/>
      <c r="J273" s="431"/>
      <c r="K273" s="431"/>
      <c r="L273" s="431" t="s">
        <v>650</v>
      </c>
      <c r="M273" s="432" t="s">
        <v>651</v>
      </c>
    </row>
    <row r="274" spans="1:13" ht="409.5" x14ac:dyDescent="0.2">
      <c r="A274" s="431" t="s">
        <v>649</v>
      </c>
      <c r="B274" s="431">
        <v>1690170</v>
      </c>
      <c r="C274" s="431" t="s">
        <v>159</v>
      </c>
      <c r="D274" s="431" t="s">
        <v>160</v>
      </c>
      <c r="E274" s="431" t="s">
        <v>161</v>
      </c>
      <c r="F274" s="431" t="s">
        <v>676</v>
      </c>
      <c r="G274" s="431" t="s">
        <v>175</v>
      </c>
      <c r="H274" s="431"/>
      <c r="I274" s="431"/>
      <c r="J274" s="431"/>
      <c r="K274" s="431"/>
      <c r="L274" s="431" t="s">
        <v>650</v>
      </c>
      <c r="M274" s="432" t="s">
        <v>651</v>
      </c>
    </row>
    <row r="275" spans="1:13" ht="409.5" x14ac:dyDescent="0.2">
      <c r="A275" s="431" t="s">
        <v>649</v>
      </c>
      <c r="B275" s="431">
        <v>1690170</v>
      </c>
      <c r="C275" s="431" t="s">
        <v>159</v>
      </c>
      <c r="D275" s="431" t="s">
        <v>160</v>
      </c>
      <c r="E275" s="431" t="s">
        <v>161</v>
      </c>
      <c r="F275" s="431" t="s">
        <v>676</v>
      </c>
      <c r="G275" s="431" t="s">
        <v>175</v>
      </c>
      <c r="H275" s="431"/>
      <c r="I275" s="431"/>
      <c r="J275" s="431"/>
      <c r="K275" s="431"/>
      <c r="L275" s="431" t="s">
        <v>650</v>
      </c>
      <c r="M275" s="432" t="s">
        <v>651</v>
      </c>
    </row>
    <row r="276" spans="1:13" ht="409.5" x14ac:dyDescent="0.2">
      <c r="A276" s="431" t="s">
        <v>649</v>
      </c>
      <c r="B276" s="431">
        <v>1690170</v>
      </c>
      <c r="C276" s="431" t="s">
        <v>159</v>
      </c>
      <c r="D276" s="431" t="s">
        <v>160</v>
      </c>
      <c r="E276" s="431" t="s">
        <v>161</v>
      </c>
      <c r="F276" s="431" t="s">
        <v>676</v>
      </c>
      <c r="G276" s="431" t="s">
        <v>175</v>
      </c>
      <c r="H276" s="431"/>
      <c r="I276" s="431"/>
      <c r="J276" s="431"/>
      <c r="K276" s="431"/>
      <c r="L276" s="431" t="s">
        <v>650</v>
      </c>
      <c r="M276" s="432" t="s">
        <v>651</v>
      </c>
    </row>
    <row r="277" spans="1:13" ht="409.5" x14ac:dyDescent="0.2">
      <c r="A277" s="431" t="s">
        <v>649</v>
      </c>
      <c r="B277" s="431">
        <v>1690170</v>
      </c>
      <c r="C277" s="431" t="s">
        <v>159</v>
      </c>
      <c r="D277" s="431" t="s">
        <v>160</v>
      </c>
      <c r="E277" s="431" t="s">
        <v>161</v>
      </c>
      <c r="F277" s="431" t="s">
        <v>676</v>
      </c>
      <c r="G277" s="431" t="s">
        <v>175</v>
      </c>
      <c r="H277" s="431"/>
      <c r="I277" s="431"/>
      <c r="J277" s="431"/>
      <c r="K277" s="431"/>
      <c r="L277" s="431" t="s">
        <v>650</v>
      </c>
      <c r="M277" s="432" t="s">
        <v>651</v>
      </c>
    </row>
    <row r="278" spans="1:13" ht="409.5" x14ac:dyDescent="0.2">
      <c r="A278" s="431" t="s">
        <v>649</v>
      </c>
      <c r="B278" s="431">
        <v>1690170</v>
      </c>
      <c r="C278" s="431" t="s">
        <v>159</v>
      </c>
      <c r="D278" s="431" t="s">
        <v>160</v>
      </c>
      <c r="E278" s="431" t="s">
        <v>161</v>
      </c>
      <c r="F278" s="431" t="s">
        <v>676</v>
      </c>
      <c r="G278" s="431" t="s">
        <v>175</v>
      </c>
      <c r="H278" s="431"/>
      <c r="I278" s="431"/>
      <c r="J278" s="431"/>
      <c r="K278" s="431"/>
      <c r="L278" s="431" t="s">
        <v>650</v>
      </c>
      <c r="M278" s="432" t="s">
        <v>651</v>
      </c>
    </row>
    <row r="279" spans="1:13" ht="409.5" x14ac:dyDescent="0.2">
      <c r="A279" s="431" t="s">
        <v>649</v>
      </c>
      <c r="B279" s="431">
        <v>1690170</v>
      </c>
      <c r="C279" s="431" t="s">
        <v>159</v>
      </c>
      <c r="D279" s="431" t="s">
        <v>160</v>
      </c>
      <c r="E279" s="431" t="s">
        <v>161</v>
      </c>
      <c r="F279" s="431" t="s">
        <v>676</v>
      </c>
      <c r="G279" s="431" t="s">
        <v>175</v>
      </c>
      <c r="H279" s="431"/>
      <c r="I279" s="431"/>
      <c r="J279" s="431"/>
      <c r="K279" s="431"/>
      <c r="L279" s="431" t="s">
        <v>650</v>
      </c>
      <c r="M279" s="432" t="s">
        <v>651</v>
      </c>
    </row>
    <row r="280" spans="1:13" ht="409.5" x14ac:dyDescent="0.2">
      <c r="A280" s="431" t="s">
        <v>649</v>
      </c>
      <c r="B280" s="431">
        <v>1690170</v>
      </c>
      <c r="C280" s="431" t="s">
        <v>159</v>
      </c>
      <c r="D280" s="431" t="s">
        <v>160</v>
      </c>
      <c r="E280" s="431" t="s">
        <v>161</v>
      </c>
      <c r="F280" s="431" t="s">
        <v>676</v>
      </c>
      <c r="G280" s="431" t="s">
        <v>175</v>
      </c>
      <c r="H280" s="431"/>
      <c r="I280" s="431"/>
      <c r="J280" s="431"/>
      <c r="K280" s="431"/>
      <c r="L280" s="431" t="s">
        <v>650</v>
      </c>
      <c r="M280" s="432" t="s">
        <v>651</v>
      </c>
    </row>
    <row r="281" spans="1:13" ht="409.5" x14ac:dyDescent="0.2">
      <c r="A281" s="431" t="s">
        <v>649</v>
      </c>
      <c r="B281" s="431">
        <v>1690170</v>
      </c>
      <c r="C281" s="431" t="s">
        <v>159</v>
      </c>
      <c r="D281" s="431" t="s">
        <v>160</v>
      </c>
      <c r="E281" s="431" t="s">
        <v>161</v>
      </c>
      <c r="F281" s="431" t="s">
        <v>676</v>
      </c>
      <c r="G281" s="431" t="s">
        <v>175</v>
      </c>
      <c r="H281" s="431"/>
      <c r="I281" s="431"/>
      <c r="J281" s="431"/>
      <c r="K281" s="431"/>
      <c r="L281" s="431" t="s">
        <v>650</v>
      </c>
      <c r="M281" s="432" t="s">
        <v>651</v>
      </c>
    </row>
    <row r="282" spans="1:13" ht="409.5" x14ac:dyDescent="0.2">
      <c r="A282" s="431" t="s">
        <v>649</v>
      </c>
      <c r="B282" s="431">
        <v>1690170</v>
      </c>
      <c r="C282" s="431" t="s">
        <v>159</v>
      </c>
      <c r="D282" s="431" t="s">
        <v>160</v>
      </c>
      <c r="E282" s="431" t="s">
        <v>161</v>
      </c>
      <c r="F282" s="431" t="s">
        <v>676</v>
      </c>
      <c r="G282" s="431" t="s">
        <v>175</v>
      </c>
      <c r="H282" s="431"/>
      <c r="I282" s="431"/>
      <c r="J282" s="431"/>
      <c r="K282" s="431"/>
      <c r="L282" s="431" t="s">
        <v>650</v>
      </c>
      <c r="M282" s="432" t="s">
        <v>651</v>
      </c>
    </row>
    <row r="283" spans="1:13" ht="409.5" x14ac:dyDescent="0.2">
      <c r="A283" s="431" t="s">
        <v>649</v>
      </c>
      <c r="B283" s="431">
        <v>1690170</v>
      </c>
      <c r="C283" s="431" t="s">
        <v>159</v>
      </c>
      <c r="D283" s="431" t="s">
        <v>160</v>
      </c>
      <c r="E283" s="431" t="s">
        <v>161</v>
      </c>
      <c r="F283" s="431" t="s">
        <v>676</v>
      </c>
      <c r="G283" s="431" t="s">
        <v>175</v>
      </c>
      <c r="H283" s="431"/>
      <c r="I283" s="431"/>
      <c r="J283" s="431"/>
      <c r="K283" s="431"/>
      <c r="L283" s="431" t="s">
        <v>650</v>
      </c>
      <c r="M283" s="432" t="s">
        <v>651</v>
      </c>
    </row>
    <row r="284" spans="1:13" ht="409.5" x14ac:dyDescent="0.2">
      <c r="A284" s="431" t="s">
        <v>649</v>
      </c>
      <c r="B284" s="431">
        <v>1690170</v>
      </c>
      <c r="C284" s="431" t="s">
        <v>159</v>
      </c>
      <c r="D284" s="431" t="s">
        <v>160</v>
      </c>
      <c r="E284" s="431" t="s">
        <v>161</v>
      </c>
      <c r="F284" s="431" t="s">
        <v>676</v>
      </c>
      <c r="G284" s="431" t="s">
        <v>175</v>
      </c>
      <c r="H284" s="431"/>
      <c r="I284" s="431"/>
      <c r="J284" s="431"/>
      <c r="K284" s="431"/>
      <c r="L284" s="431" t="s">
        <v>650</v>
      </c>
      <c r="M284" s="432" t="s">
        <v>651</v>
      </c>
    </row>
    <row r="285" spans="1:13" ht="409.5" x14ac:dyDescent="0.2">
      <c r="A285" s="431" t="s">
        <v>649</v>
      </c>
      <c r="B285" s="431">
        <v>1690170</v>
      </c>
      <c r="C285" s="431" t="s">
        <v>159</v>
      </c>
      <c r="D285" s="431" t="s">
        <v>160</v>
      </c>
      <c r="E285" s="431" t="s">
        <v>161</v>
      </c>
      <c r="F285" s="431" t="s">
        <v>676</v>
      </c>
      <c r="G285" s="431" t="s">
        <v>175</v>
      </c>
      <c r="H285" s="431"/>
      <c r="I285" s="431"/>
      <c r="J285" s="431"/>
      <c r="K285" s="431"/>
      <c r="L285" s="431" t="s">
        <v>650</v>
      </c>
      <c r="M285" s="432" t="s">
        <v>651</v>
      </c>
    </row>
    <row r="286" spans="1:13" ht="409.5" x14ac:dyDescent="0.2">
      <c r="A286" s="431" t="s">
        <v>649</v>
      </c>
      <c r="B286" s="431">
        <v>1690170</v>
      </c>
      <c r="C286" s="431" t="s">
        <v>159</v>
      </c>
      <c r="D286" s="431" t="s">
        <v>160</v>
      </c>
      <c r="E286" s="431" t="s">
        <v>161</v>
      </c>
      <c r="F286" s="431" t="s">
        <v>676</v>
      </c>
      <c r="G286" s="431" t="s">
        <v>175</v>
      </c>
      <c r="H286" s="431"/>
      <c r="I286" s="431"/>
      <c r="J286" s="431"/>
      <c r="K286" s="431"/>
      <c r="L286" s="431" t="s">
        <v>650</v>
      </c>
      <c r="M286" s="432" t="s">
        <v>651</v>
      </c>
    </row>
    <row r="287" spans="1:13" ht="409.5" x14ac:dyDescent="0.2">
      <c r="A287" s="431" t="s">
        <v>649</v>
      </c>
      <c r="B287" s="431">
        <v>1690170</v>
      </c>
      <c r="C287" s="431" t="s">
        <v>159</v>
      </c>
      <c r="D287" s="431" t="s">
        <v>160</v>
      </c>
      <c r="E287" s="431" t="s">
        <v>161</v>
      </c>
      <c r="F287" s="431" t="s">
        <v>676</v>
      </c>
      <c r="G287" s="431" t="s">
        <v>175</v>
      </c>
      <c r="H287" s="431"/>
      <c r="I287" s="431"/>
      <c r="J287" s="431"/>
      <c r="K287" s="431"/>
      <c r="L287" s="431" t="s">
        <v>650</v>
      </c>
      <c r="M287" s="432" t="s">
        <v>651</v>
      </c>
    </row>
    <row r="288" spans="1:13" ht="409.5" x14ac:dyDescent="0.2">
      <c r="A288" s="431" t="s">
        <v>649</v>
      </c>
      <c r="B288" s="431">
        <v>1690170</v>
      </c>
      <c r="C288" s="431" t="s">
        <v>159</v>
      </c>
      <c r="D288" s="431" t="s">
        <v>160</v>
      </c>
      <c r="E288" s="431" t="s">
        <v>161</v>
      </c>
      <c r="F288" s="431" t="s">
        <v>676</v>
      </c>
      <c r="G288" s="431" t="s">
        <v>175</v>
      </c>
      <c r="H288" s="431"/>
      <c r="I288" s="431"/>
      <c r="J288" s="431"/>
      <c r="K288" s="431"/>
      <c r="L288" s="431" t="s">
        <v>650</v>
      </c>
      <c r="M288" s="432" t="s">
        <v>651</v>
      </c>
    </row>
    <row r="289" spans="1:13" ht="409.5" x14ac:dyDescent="0.2">
      <c r="A289" s="431" t="s">
        <v>649</v>
      </c>
      <c r="B289" s="431">
        <v>1690170</v>
      </c>
      <c r="C289" s="431" t="s">
        <v>159</v>
      </c>
      <c r="D289" s="431" t="s">
        <v>160</v>
      </c>
      <c r="E289" s="431" t="s">
        <v>161</v>
      </c>
      <c r="F289" s="431" t="s">
        <v>676</v>
      </c>
      <c r="G289" s="431" t="s">
        <v>175</v>
      </c>
      <c r="H289" s="431"/>
      <c r="I289" s="431"/>
      <c r="J289" s="431"/>
      <c r="K289" s="431"/>
      <c r="L289" s="431" t="s">
        <v>650</v>
      </c>
      <c r="M289" s="432" t="s">
        <v>651</v>
      </c>
    </row>
    <row r="290" spans="1:13" ht="409.5" x14ac:dyDescent="0.2">
      <c r="A290" s="431" t="s">
        <v>649</v>
      </c>
      <c r="B290" s="431">
        <v>1690170</v>
      </c>
      <c r="C290" s="431" t="s">
        <v>159</v>
      </c>
      <c r="D290" s="431" t="s">
        <v>160</v>
      </c>
      <c r="E290" s="431" t="s">
        <v>161</v>
      </c>
      <c r="F290" s="431" t="s">
        <v>676</v>
      </c>
      <c r="G290" s="431" t="s">
        <v>175</v>
      </c>
      <c r="H290" s="431"/>
      <c r="I290" s="431"/>
      <c r="J290" s="431"/>
      <c r="K290" s="431"/>
      <c r="L290" s="431" t="s">
        <v>650</v>
      </c>
      <c r="M290" s="432" t="s">
        <v>651</v>
      </c>
    </row>
    <row r="291" spans="1:13" ht="409.5" x14ac:dyDescent="0.2">
      <c r="A291" s="431" t="s">
        <v>649</v>
      </c>
      <c r="B291" s="431">
        <v>1690170</v>
      </c>
      <c r="C291" s="431" t="s">
        <v>159</v>
      </c>
      <c r="D291" s="431" t="s">
        <v>160</v>
      </c>
      <c r="E291" s="431" t="s">
        <v>161</v>
      </c>
      <c r="F291" s="431" t="s">
        <v>676</v>
      </c>
      <c r="G291" s="431" t="s">
        <v>175</v>
      </c>
      <c r="H291" s="431"/>
      <c r="I291" s="431"/>
      <c r="J291" s="431"/>
      <c r="K291" s="431"/>
      <c r="L291" s="431" t="s">
        <v>650</v>
      </c>
      <c r="M291" s="432" t="s">
        <v>651</v>
      </c>
    </row>
    <row r="292" spans="1:13" ht="409.5" x14ac:dyDescent="0.2">
      <c r="A292" s="431" t="s">
        <v>649</v>
      </c>
      <c r="B292" s="431">
        <v>1690170</v>
      </c>
      <c r="C292" s="431" t="s">
        <v>159</v>
      </c>
      <c r="D292" s="431" t="s">
        <v>160</v>
      </c>
      <c r="E292" s="431" t="s">
        <v>161</v>
      </c>
      <c r="F292" s="431" t="s">
        <v>676</v>
      </c>
      <c r="G292" s="431" t="s">
        <v>175</v>
      </c>
      <c r="H292" s="431"/>
      <c r="I292" s="431"/>
      <c r="J292" s="431"/>
      <c r="K292" s="431"/>
      <c r="L292" s="431" t="s">
        <v>650</v>
      </c>
      <c r="M292" s="432" t="s">
        <v>651</v>
      </c>
    </row>
    <row r="293" spans="1:13" ht="409.5" x14ac:dyDescent="0.2">
      <c r="A293" s="431" t="s">
        <v>649</v>
      </c>
      <c r="B293" s="431">
        <v>1690170</v>
      </c>
      <c r="C293" s="431" t="s">
        <v>159</v>
      </c>
      <c r="D293" s="431" t="s">
        <v>160</v>
      </c>
      <c r="E293" s="431" t="s">
        <v>161</v>
      </c>
      <c r="F293" s="431" t="s">
        <v>677</v>
      </c>
      <c r="G293" s="431" t="s">
        <v>175</v>
      </c>
      <c r="H293" s="431"/>
      <c r="I293" s="431"/>
      <c r="J293" s="431"/>
      <c r="K293" s="431"/>
      <c r="L293" s="431" t="s">
        <v>650</v>
      </c>
      <c r="M293" s="432" t="s">
        <v>651</v>
      </c>
    </row>
    <row r="294" spans="1:13" ht="409.5" x14ac:dyDescent="0.2">
      <c r="A294" s="431" t="s">
        <v>649</v>
      </c>
      <c r="B294" s="431">
        <v>1690170</v>
      </c>
      <c r="C294" s="431" t="s">
        <v>159</v>
      </c>
      <c r="D294" s="431" t="s">
        <v>160</v>
      </c>
      <c r="E294" s="431" t="s">
        <v>161</v>
      </c>
      <c r="F294" s="431" t="s">
        <v>677</v>
      </c>
      <c r="G294" s="431" t="s">
        <v>175</v>
      </c>
      <c r="H294" s="431"/>
      <c r="I294" s="431"/>
      <c r="J294" s="431"/>
      <c r="K294" s="431"/>
      <c r="L294" s="431" t="s">
        <v>650</v>
      </c>
      <c r="M294" s="432" t="s">
        <v>651</v>
      </c>
    </row>
    <row r="295" spans="1:13" ht="409.5" x14ac:dyDescent="0.2">
      <c r="A295" s="431" t="s">
        <v>649</v>
      </c>
      <c r="B295" s="431">
        <v>1690170</v>
      </c>
      <c r="C295" s="431" t="s">
        <v>159</v>
      </c>
      <c r="D295" s="431" t="s">
        <v>160</v>
      </c>
      <c r="E295" s="431" t="s">
        <v>161</v>
      </c>
      <c r="F295" s="431" t="s">
        <v>677</v>
      </c>
      <c r="G295" s="431" t="s">
        <v>175</v>
      </c>
      <c r="H295" s="431"/>
      <c r="I295" s="431"/>
      <c r="J295" s="431"/>
      <c r="K295" s="431"/>
      <c r="L295" s="431" t="s">
        <v>650</v>
      </c>
      <c r="M295" s="432" t="s">
        <v>651</v>
      </c>
    </row>
    <row r="296" spans="1:13" ht="409.5" x14ac:dyDescent="0.2">
      <c r="A296" s="431" t="s">
        <v>649</v>
      </c>
      <c r="B296" s="431">
        <v>1690170</v>
      </c>
      <c r="C296" s="431" t="s">
        <v>159</v>
      </c>
      <c r="D296" s="431" t="s">
        <v>160</v>
      </c>
      <c r="E296" s="431" t="s">
        <v>161</v>
      </c>
      <c r="F296" s="431" t="s">
        <v>677</v>
      </c>
      <c r="G296" s="431" t="s">
        <v>175</v>
      </c>
      <c r="H296" s="431"/>
      <c r="I296" s="431"/>
      <c r="J296" s="431"/>
      <c r="K296" s="431"/>
      <c r="L296" s="431" t="s">
        <v>650</v>
      </c>
      <c r="M296" s="432" t="s">
        <v>651</v>
      </c>
    </row>
    <row r="297" spans="1:13" ht="409.5" x14ac:dyDescent="0.2">
      <c r="A297" s="431" t="s">
        <v>649</v>
      </c>
      <c r="B297" s="431">
        <v>1690170</v>
      </c>
      <c r="C297" s="431" t="s">
        <v>159</v>
      </c>
      <c r="D297" s="431" t="s">
        <v>160</v>
      </c>
      <c r="E297" s="431" t="s">
        <v>161</v>
      </c>
      <c r="F297" s="431" t="s">
        <v>677</v>
      </c>
      <c r="G297" s="431" t="s">
        <v>175</v>
      </c>
      <c r="H297" s="431"/>
      <c r="I297" s="431"/>
      <c r="J297" s="431"/>
      <c r="K297" s="431"/>
      <c r="L297" s="431" t="s">
        <v>650</v>
      </c>
      <c r="M297" s="432" t="s">
        <v>651</v>
      </c>
    </row>
    <row r="298" spans="1:13" ht="409.5" x14ac:dyDescent="0.2">
      <c r="A298" s="431" t="s">
        <v>649</v>
      </c>
      <c r="B298" s="431">
        <v>1690170</v>
      </c>
      <c r="C298" s="431" t="s">
        <v>159</v>
      </c>
      <c r="D298" s="431" t="s">
        <v>160</v>
      </c>
      <c r="E298" s="431" t="s">
        <v>161</v>
      </c>
      <c r="F298" s="431" t="s">
        <v>677</v>
      </c>
      <c r="G298" s="431" t="s">
        <v>175</v>
      </c>
      <c r="H298" s="431"/>
      <c r="I298" s="431"/>
      <c r="J298" s="431"/>
      <c r="K298" s="431"/>
      <c r="L298" s="431" t="s">
        <v>650</v>
      </c>
      <c r="M298" s="432" t="s">
        <v>651</v>
      </c>
    </row>
    <row r="299" spans="1:13" ht="409.5" x14ac:dyDescent="0.2">
      <c r="A299" s="431" t="s">
        <v>649</v>
      </c>
      <c r="B299" s="431">
        <v>1690170</v>
      </c>
      <c r="C299" s="431" t="s">
        <v>159</v>
      </c>
      <c r="D299" s="431" t="s">
        <v>160</v>
      </c>
      <c r="E299" s="431" t="s">
        <v>161</v>
      </c>
      <c r="F299" s="431" t="s">
        <v>677</v>
      </c>
      <c r="G299" s="431" t="s">
        <v>175</v>
      </c>
      <c r="H299" s="431"/>
      <c r="I299" s="431"/>
      <c r="J299" s="431"/>
      <c r="K299" s="431"/>
      <c r="L299" s="431" t="s">
        <v>650</v>
      </c>
      <c r="M299" s="432" t="s">
        <v>651</v>
      </c>
    </row>
    <row r="300" spans="1:13" ht="409.5" x14ac:dyDescent="0.2">
      <c r="A300" s="431" t="s">
        <v>649</v>
      </c>
      <c r="B300" s="431">
        <v>1690170</v>
      </c>
      <c r="C300" s="431" t="s">
        <v>159</v>
      </c>
      <c r="D300" s="431" t="s">
        <v>160</v>
      </c>
      <c r="E300" s="431" t="s">
        <v>161</v>
      </c>
      <c r="F300" s="431" t="s">
        <v>677</v>
      </c>
      <c r="G300" s="431" t="s">
        <v>175</v>
      </c>
      <c r="H300" s="431"/>
      <c r="I300" s="431"/>
      <c r="J300" s="431"/>
      <c r="K300" s="431"/>
      <c r="L300" s="431" t="s">
        <v>650</v>
      </c>
      <c r="M300" s="432" t="s">
        <v>651</v>
      </c>
    </row>
    <row r="301" spans="1:13" ht="409.5" x14ac:dyDescent="0.2">
      <c r="A301" s="431" t="s">
        <v>649</v>
      </c>
      <c r="B301" s="431">
        <v>1690170</v>
      </c>
      <c r="C301" s="431" t="s">
        <v>159</v>
      </c>
      <c r="D301" s="431" t="s">
        <v>160</v>
      </c>
      <c r="E301" s="431" t="s">
        <v>161</v>
      </c>
      <c r="F301" s="431" t="s">
        <v>677</v>
      </c>
      <c r="G301" s="431" t="s">
        <v>175</v>
      </c>
      <c r="H301" s="431"/>
      <c r="I301" s="431"/>
      <c r="J301" s="431"/>
      <c r="K301" s="431"/>
      <c r="L301" s="431" t="s">
        <v>650</v>
      </c>
      <c r="M301" s="432" t="s">
        <v>651</v>
      </c>
    </row>
    <row r="302" spans="1:13" ht="409.5" x14ac:dyDescent="0.2">
      <c r="A302" s="431" t="s">
        <v>649</v>
      </c>
      <c r="B302" s="431">
        <v>1690170</v>
      </c>
      <c r="C302" s="431" t="s">
        <v>159</v>
      </c>
      <c r="D302" s="431" t="s">
        <v>160</v>
      </c>
      <c r="E302" s="431" t="s">
        <v>161</v>
      </c>
      <c r="F302" s="431" t="s">
        <v>677</v>
      </c>
      <c r="G302" s="431" t="s">
        <v>175</v>
      </c>
      <c r="H302" s="431"/>
      <c r="I302" s="431"/>
      <c r="J302" s="431"/>
      <c r="K302" s="431"/>
      <c r="L302" s="431" t="s">
        <v>650</v>
      </c>
      <c r="M302" s="432" t="s">
        <v>651</v>
      </c>
    </row>
    <row r="303" spans="1:13" ht="409.5" x14ac:dyDescent="0.2">
      <c r="A303" s="431" t="s">
        <v>649</v>
      </c>
      <c r="B303" s="431">
        <v>1690170</v>
      </c>
      <c r="C303" s="431" t="s">
        <v>159</v>
      </c>
      <c r="D303" s="431" t="s">
        <v>160</v>
      </c>
      <c r="E303" s="431" t="s">
        <v>161</v>
      </c>
      <c r="F303" s="431" t="s">
        <v>677</v>
      </c>
      <c r="G303" s="431" t="s">
        <v>175</v>
      </c>
      <c r="H303" s="431"/>
      <c r="I303" s="431"/>
      <c r="J303" s="431"/>
      <c r="K303" s="431"/>
      <c r="L303" s="431" t="s">
        <v>650</v>
      </c>
      <c r="M303" s="432" t="s">
        <v>651</v>
      </c>
    </row>
    <row r="304" spans="1:13" ht="409.5" x14ac:dyDescent="0.2">
      <c r="A304" s="431" t="s">
        <v>649</v>
      </c>
      <c r="B304" s="431">
        <v>1690170</v>
      </c>
      <c r="C304" s="431" t="s">
        <v>159</v>
      </c>
      <c r="D304" s="431" t="s">
        <v>160</v>
      </c>
      <c r="E304" s="431" t="s">
        <v>161</v>
      </c>
      <c r="F304" s="431" t="s">
        <v>677</v>
      </c>
      <c r="G304" s="431" t="s">
        <v>175</v>
      </c>
      <c r="H304" s="431"/>
      <c r="I304" s="431"/>
      <c r="J304" s="431"/>
      <c r="K304" s="431"/>
      <c r="L304" s="431" t="s">
        <v>650</v>
      </c>
      <c r="M304" s="432" t="s">
        <v>651</v>
      </c>
    </row>
    <row r="305" spans="1:13" ht="409.5" x14ac:dyDescent="0.2">
      <c r="A305" s="431" t="s">
        <v>649</v>
      </c>
      <c r="B305" s="431">
        <v>1690170</v>
      </c>
      <c r="C305" s="431" t="s">
        <v>159</v>
      </c>
      <c r="D305" s="431" t="s">
        <v>160</v>
      </c>
      <c r="E305" s="431" t="s">
        <v>161</v>
      </c>
      <c r="F305" s="431" t="s">
        <v>677</v>
      </c>
      <c r="G305" s="431" t="s">
        <v>175</v>
      </c>
      <c r="H305" s="431"/>
      <c r="I305" s="431"/>
      <c r="J305" s="431"/>
      <c r="K305" s="431"/>
      <c r="L305" s="431" t="s">
        <v>650</v>
      </c>
      <c r="M305" s="432" t="s">
        <v>651</v>
      </c>
    </row>
    <row r="306" spans="1:13" ht="409.5" x14ac:dyDescent="0.2">
      <c r="A306" s="431" t="s">
        <v>649</v>
      </c>
      <c r="B306" s="431">
        <v>1690170</v>
      </c>
      <c r="C306" s="431" t="s">
        <v>159</v>
      </c>
      <c r="D306" s="431" t="s">
        <v>160</v>
      </c>
      <c r="E306" s="431" t="s">
        <v>161</v>
      </c>
      <c r="F306" s="431" t="s">
        <v>677</v>
      </c>
      <c r="G306" s="431" t="s">
        <v>175</v>
      </c>
      <c r="H306" s="431"/>
      <c r="I306" s="431"/>
      <c r="J306" s="431"/>
      <c r="K306" s="431"/>
      <c r="L306" s="431" t="s">
        <v>650</v>
      </c>
      <c r="M306" s="432" t="s">
        <v>651</v>
      </c>
    </row>
    <row r="307" spans="1:13" ht="409.5" x14ac:dyDescent="0.2">
      <c r="A307" s="431" t="s">
        <v>649</v>
      </c>
      <c r="B307" s="431">
        <v>1690170</v>
      </c>
      <c r="C307" s="431" t="s">
        <v>159</v>
      </c>
      <c r="D307" s="431" t="s">
        <v>160</v>
      </c>
      <c r="E307" s="431" t="s">
        <v>161</v>
      </c>
      <c r="F307" s="431" t="s">
        <v>677</v>
      </c>
      <c r="G307" s="431" t="s">
        <v>175</v>
      </c>
      <c r="H307" s="431"/>
      <c r="I307" s="431"/>
      <c r="J307" s="431"/>
      <c r="K307" s="431"/>
      <c r="L307" s="431" t="s">
        <v>650</v>
      </c>
      <c r="M307" s="432" t="s">
        <v>651</v>
      </c>
    </row>
    <row r="308" spans="1:13" ht="409.5" x14ac:dyDescent="0.2">
      <c r="A308" s="431" t="s">
        <v>649</v>
      </c>
      <c r="B308" s="431">
        <v>1690170</v>
      </c>
      <c r="C308" s="431" t="s">
        <v>159</v>
      </c>
      <c r="D308" s="431" t="s">
        <v>160</v>
      </c>
      <c r="E308" s="431" t="s">
        <v>161</v>
      </c>
      <c r="F308" s="431" t="s">
        <v>677</v>
      </c>
      <c r="G308" s="431" t="s">
        <v>175</v>
      </c>
      <c r="H308" s="431"/>
      <c r="I308" s="431"/>
      <c r="J308" s="431"/>
      <c r="K308" s="431"/>
      <c r="L308" s="431" t="s">
        <v>650</v>
      </c>
      <c r="M308" s="432" t="s">
        <v>651</v>
      </c>
    </row>
    <row r="309" spans="1:13" ht="409.5" x14ac:dyDescent="0.2">
      <c r="A309" s="431" t="s">
        <v>649</v>
      </c>
      <c r="B309" s="431">
        <v>1690170</v>
      </c>
      <c r="C309" s="431" t="s">
        <v>159</v>
      </c>
      <c r="D309" s="431" t="s">
        <v>160</v>
      </c>
      <c r="E309" s="431" t="s">
        <v>161</v>
      </c>
      <c r="F309" s="431" t="s">
        <v>677</v>
      </c>
      <c r="G309" s="431" t="s">
        <v>175</v>
      </c>
      <c r="H309" s="431"/>
      <c r="I309" s="431"/>
      <c r="J309" s="431"/>
      <c r="K309" s="431"/>
      <c r="L309" s="431" t="s">
        <v>650</v>
      </c>
      <c r="M309" s="432" t="s">
        <v>651</v>
      </c>
    </row>
    <row r="310" spans="1:13" ht="409.5" x14ac:dyDescent="0.2">
      <c r="A310" s="431" t="s">
        <v>649</v>
      </c>
      <c r="B310" s="431">
        <v>1690170</v>
      </c>
      <c r="C310" s="431" t="s">
        <v>159</v>
      </c>
      <c r="D310" s="431" t="s">
        <v>160</v>
      </c>
      <c r="E310" s="431" t="s">
        <v>161</v>
      </c>
      <c r="F310" s="431" t="s">
        <v>677</v>
      </c>
      <c r="G310" s="431" t="s">
        <v>175</v>
      </c>
      <c r="H310" s="431"/>
      <c r="I310" s="431"/>
      <c r="J310" s="431"/>
      <c r="K310" s="431"/>
      <c r="L310" s="431" t="s">
        <v>650</v>
      </c>
      <c r="M310" s="432" t="s">
        <v>651</v>
      </c>
    </row>
    <row r="311" spans="1:13" ht="409.5" x14ac:dyDescent="0.2">
      <c r="A311" s="431" t="s">
        <v>649</v>
      </c>
      <c r="B311" s="431">
        <v>1690170</v>
      </c>
      <c r="C311" s="431" t="s">
        <v>159</v>
      </c>
      <c r="D311" s="431" t="s">
        <v>160</v>
      </c>
      <c r="E311" s="431" t="s">
        <v>161</v>
      </c>
      <c r="F311" s="431" t="s">
        <v>677</v>
      </c>
      <c r="G311" s="431" t="s">
        <v>175</v>
      </c>
      <c r="H311" s="431"/>
      <c r="I311" s="431"/>
      <c r="J311" s="431"/>
      <c r="K311" s="431"/>
      <c r="L311" s="431" t="s">
        <v>650</v>
      </c>
      <c r="M311" s="432" t="s">
        <v>651</v>
      </c>
    </row>
    <row r="312" spans="1:13" ht="409.5" x14ac:dyDescent="0.2">
      <c r="A312" s="431" t="s">
        <v>649</v>
      </c>
      <c r="B312" s="431">
        <v>1690170</v>
      </c>
      <c r="C312" s="431" t="s">
        <v>159</v>
      </c>
      <c r="D312" s="431" t="s">
        <v>160</v>
      </c>
      <c r="E312" s="431" t="s">
        <v>161</v>
      </c>
      <c r="F312" s="431" t="s">
        <v>677</v>
      </c>
      <c r="G312" s="431" t="s">
        <v>175</v>
      </c>
      <c r="H312" s="431"/>
      <c r="I312" s="431"/>
      <c r="J312" s="431"/>
      <c r="K312" s="431"/>
      <c r="L312" s="431" t="s">
        <v>650</v>
      </c>
      <c r="M312" s="432" t="s">
        <v>651</v>
      </c>
    </row>
    <row r="313" spans="1:13" ht="409.5" x14ac:dyDescent="0.2">
      <c r="A313" s="431" t="s">
        <v>649</v>
      </c>
      <c r="B313" s="431">
        <v>1690170</v>
      </c>
      <c r="C313" s="431" t="s">
        <v>159</v>
      </c>
      <c r="D313" s="431" t="s">
        <v>160</v>
      </c>
      <c r="E313" s="431" t="s">
        <v>161</v>
      </c>
      <c r="F313" s="431" t="s">
        <v>677</v>
      </c>
      <c r="G313" s="431" t="s">
        <v>175</v>
      </c>
      <c r="H313" s="431"/>
      <c r="I313" s="431"/>
      <c r="J313" s="431"/>
      <c r="K313" s="431"/>
      <c r="L313" s="431" t="s">
        <v>650</v>
      </c>
      <c r="M313" s="432" t="s">
        <v>651</v>
      </c>
    </row>
    <row r="314" spans="1:13" ht="409.5" x14ac:dyDescent="0.2">
      <c r="A314" s="431" t="s">
        <v>649</v>
      </c>
      <c r="B314" s="431">
        <v>1690170</v>
      </c>
      <c r="C314" s="431" t="s">
        <v>159</v>
      </c>
      <c r="D314" s="431" t="s">
        <v>160</v>
      </c>
      <c r="E314" s="431" t="s">
        <v>161</v>
      </c>
      <c r="F314" s="431" t="s">
        <v>677</v>
      </c>
      <c r="G314" s="431" t="s">
        <v>175</v>
      </c>
      <c r="H314" s="431"/>
      <c r="I314" s="431"/>
      <c r="J314" s="431"/>
      <c r="K314" s="431"/>
      <c r="L314" s="431" t="s">
        <v>650</v>
      </c>
      <c r="M314" s="432" t="s">
        <v>651</v>
      </c>
    </row>
    <row r="315" spans="1:13" ht="409.5" x14ac:dyDescent="0.2">
      <c r="A315" s="431" t="s">
        <v>649</v>
      </c>
      <c r="B315" s="431">
        <v>1690170</v>
      </c>
      <c r="C315" s="431" t="s">
        <v>159</v>
      </c>
      <c r="D315" s="431" t="s">
        <v>160</v>
      </c>
      <c r="E315" s="431" t="s">
        <v>161</v>
      </c>
      <c r="F315" s="431" t="s">
        <v>677</v>
      </c>
      <c r="G315" s="431" t="s">
        <v>175</v>
      </c>
      <c r="H315" s="431"/>
      <c r="I315" s="431"/>
      <c r="J315" s="431"/>
      <c r="K315" s="431"/>
      <c r="L315" s="431" t="s">
        <v>650</v>
      </c>
      <c r="M315" s="432" t="s">
        <v>651</v>
      </c>
    </row>
    <row r="316" spans="1:13" ht="409.5" x14ac:dyDescent="0.2">
      <c r="A316" s="431" t="s">
        <v>649</v>
      </c>
      <c r="B316" s="431">
        <v>1690170</v>
      </c>
      <c r="C316" s="431" t="s">
        <v>159</v>
      </c>
      <c r="D316" s="431" t="s">
        <v>160</v>
      </c>
      <c r="E316" s="431" t="s">
        <v>161</v>
      </c>
      <c r="F316" s="431" t="s">
        <v>677</v>
      </c>
      <c r="G316" s="431" t="s">
        <v>175</v>
      </c>
      <c r="H316" s="431"/>
      <c r="I316" s="431"/>
      <c r="J316" s="431"/>
      <c r="K316" s="431"/>
      <c r="L316" s="431" t="s">
        <v>650</v>
      </c>
      <c r="M316" s="432" t="s">
        <v>651</v>
      </c>
    </row>
    <row r="317" spans="1:13" x14ac:dyDescent="0.2">
      <c r="A317" s="431" t="s">
        <v>678</v>
      </c>
      <c r="B317" s="431">
        <v>1690217</v>
      </c>
      <c r="C317" s="431" t="s">
        <v>159</v>
      </c>
      <c r="D317" s="431" t="s">
        <v>160</v>
      </c>
      <c r="E317" s="431" t="s">
        <v>161</v>
      </c>
      <c r="F317" s="431" t="s">
        <v>679</v>
      </c>
      <c r="G317" s="431" t="s">
        <v>175</v>
      </c>
      <c r="H317" s="431"/>
      <c r="I317" s="431"/>
      <c r="J317" s="431"/>
      <c r="K317" s="431"/>
      <c r="L317" s="431" t="s">
        <v>680</v>
      </c>
      <c r="M317" s="431" t="s">
        <v>646</v>
      </c>
    </row>
    <row r="318" spans="1:13" x14ac:dyDescent="0.2">
      <c r="A318" s="431" t="s">
        <v>678</v>
      </c>
      <c r="B318" s="431">
        <v>1690217</v>
      </c>
      <c r="C318" s="431" t="s">
        <v>159</v>
      </c>
      <c r="D318" s="431" t="s">
        <v>160</v>
      </c>
      <c r="E318" s="431" t="s">
        <v>161</v>
      </c>
      <c r="F318" s="431" t="s">
        <v>679</v>
      </c>
      <c r="G318" s="431" t="s">
        <v>175</v>
      </c>
      <c r="H318" s="431"/>
      <c r="I318" s="431"/>
      <c r="J318" s="431"/>
      <c r="K318" s="431"/>
      <c r="L318" s="431" t="s">
        <v>680</v>
      </c>
      <c r="M318" s="431" t="s">
        <v>646</v>
      </c>
    </row>
    <row r="319" spans="1:13" x14ac:dyDescent="0.2">
      <c r="A319" s="431" t="s">
        <v>678</v>
      </c>
      <c r="B319" s="431">
        <v>1690217</v>
      </c>
      <c r="C319" s="431" t="s">
        <v>159</v>
      </c>
      <c r="D319" s="431" t="s">
        <v>160</v>
      </c>
      <c r="E319" s="431" t="s">
        <v>161</v>
      </c>
      <c r="F319" s="431" t="s">
        <v>681</v>
      </c>
      <c r="G319" s="431" t="s">
        <v>175</v>
      </c>
      <c r="H319" s="431"/>
      <c r="I319" s="431"/>
      <c r="J319" s="431"/>
      <c r="K319" s="431"/>
      <c r="L319" s="431" t="s">
        <v>680</v>
      </c>
      <c r="M319" s="431" t="s">
        <v>646</v>
      </c>
    </row>
    <row r="320" spans="1:13" x14ac:dyDescent="0.2">
      <c r="A320" s="431" t="s">
        <v>678</v>
      </c>
      <c r="B320" s="431">
        <v>1690217</v>
      </c>
      <c r="C320" s="431" t="s">
        <v>159</v>
      </c>
      <c r="D320" s="431" t="s">
        <v>160</v>
      </c>
      <c r="E320" s="431" t="s">
        <v>161</v>
      </c>
      <c r="F320" s="431" t="s">
        <v>681</v>
      </c>
      <c r="G320" s="431" t="s">
        <v>175</v>
      </c>
      <c r="H320" s="431"/>
      <c r="I320" s="431"/>
      <c r="J320" s="431"/>
      <c r="K320" s="431"/>
      <c r="L320" s="431" t="s">
        <v>680</v>
      </c>
      <c r="M320" s="431" t="s">
        <v>646</v>
      </c>
    </row>
    <row r="321" spans="1:13" x14ac:dyDescent="0.2">
      <c r="A321" s="431" t="s">
        <v>682</v>
      </c>
      <c r="B321" s="431">
        <v>1690196</v>
      </c>
      <c r="C321" s="431" t="s">
        <v>159</v>
      </c>
      <c r="D321" s="431" t="s">
        <v>160</v>
      </c>
      <c r="E321" s="431" t="s">
        <v>161</v>
      </c>
      <c r="F321" s="431" t="s">
        <v>657</v>
      </c>
      <c r="G321" s="431" t="s">
        <v>175</v>
      </c>
      <c r="H321" s="431"/>
      <c r="I321" s="431"/>
      <c r="J321" s="431"/>
      <c r="K321" s="431"/>
      <c r="L321" s="431" t="s">
        <v>683</v>
      </c>
      <c r="M321" s="431" t="s">
        <v>684</v>
      </c>
    </row>
    <row r="322" spans="1:13" x14ac:dyDescent="0.2">
      <c r="A322" s="431" t="s">
        <v>682</v>
      </c>
      <c r="B322" s="431">
        <v>1690196</v>
      </c>
      <c r="C322" s="431" t="s">
        <v>159</v>
      </c>
      <c r="D322" s="431" t="s">
        <v>160</v>
      </c>
      <c r="E322" s="431" t="s">
        <v>161</v>
      </c>
      <c r="F322" s="431" t="s">
        <v>657</v>
      </c>
      <c r="G322" s="431" t="s">
        <v>175</v>
      </c>
      <c r="H322" s="431"/>
      <c r="I322" s="431"/>
      <c r="J322" s="431"/>
      <c r="K322" s="431"/>
      <c r="L322" s="431" t="s">
        <v>683</v>
      </c>
      <c r="M322" s="431" t="s">
        <v>684</v>
      </c>
    </row>
    <row r="323" spans="1:13" x14ac:dyDescent="0.2">
      <c r="A323" s="431" t="s">
        <v>682</v>
      </c>
      <c r="B323" s="431">
        <v>1690196</v>
      </c>
      <c r="C323" s="431" t="s">
        <v>159</v>
      </c>
      <c r="D323" s="431" t="s">
        <v>160</v>
      </c>
      <c r="E323" s="431" t="s">
        <v>161</v>
      </c>
      <c r="F323" s="431" t="s">
        <v>657</v>
      </c>
      <c r="G323" s="431" t="s">
        <v>175</v>
      </c>
      <c r="H323" s="431"/>
      <c r="I323" s="431"/>
      <c r="J323" s="431"/>
      <c r="K323" s="431"/>
      <c r="L323" s="431" t="s">
        <v>683</v>
      </c>
      <c r="M323" s="431" t="s">
        <v>684</v>
      </c>
    </row>
    <row r="324" spans="1:13" x14ac:dyDescent="0.2">
      <c r="A324" s="431" t="s">
        <v>682</v>
      </c>
      <c r="B324" s="431">
        <v>1690196</v>
      </c>
      <c r="C324" s="431" t="s">
        <v>159</v>
      </c>
      <c r="D324" s="431" t="s">
        <v>160</v>
      </c>
      <c r="E324" s="431" t="s">
        <v>161</v>
      </c>
      <c r="F324" s="431" t="s">
        <v>657</v>
      </c>
      <c r="G324" s="431" t="s">
        <v>175</v>
      </c>
      <c r="H324" s="431"/>
      <c r="I324" s="431"/>
      <c r="J324" s="431"/>
      <c r="K324" s="431"/>
      <c r="L324" s="431" t="s">
        <v>683</v>
      </c>
      <c r="M324" s="431" t="s">
        <v>684</v>
      </c>
    </row>
    <row r="325" spans="1:13" x14ac:dyDescent="0.2">
      <c r="A325" s="431" t="s">
        <v>682</v>
      </c>
      <c r="B325" s="431">
        <v>1690196</v>
      </c>
      <c r="C325" s="431" t="s">
        <v>159</v>
      </c>
      <c r="D325" s="431" t="s">
        <v>160</v>
      </c>
      <c r="E325" s="431" t="s">
        <v>161</v>
      </c>
      <c r="F325" s="431" t="s">
        <v>658</v>
      </c>
      <c r="G325" s="431" t="s">
        <v>175</v>
      </c>
      <c r="H325" s="431"/>
      <c r="I325" s="431"/>
      <c r="J325" s="431"/>
      <c r="K325" s="431"/>
      <c r="L325" s="431" t="s">
        <v>683</v>
      </c>
      <c r="M325" s="431" t="s">
        <v>684</v>
      </c>
    </row>
    <row r="326" spans="1:13" x14ac:dyDescent="0.2">
      <c r="A326" s="431" t="s">
        <v>682</v>
      </c>
      <c r="B326" s="431">
        <v>1690196</v>
      </c>
      <c r="C326" s="431" t="s">
        <v>159</v>
      </c>
      <c r="D326" s="431" t="s">
        <v>160</v>
      </c>
      <c r="E326" s="431" t="s">
        <v>161</v>
      </c>
      <c r="F326" s="431" t="s">
        <v>666</v>
      </c>
      <c r="G326" s="431" t="s">
        <v>175</v>
      </c>
      <c r="H326" s="431"/>
      <c r="I326" s="431"/>
      <c r="J326" s="431"/>
      <c r="K326" s="431"/>
      <c r="L326" s="431" t="s">
        <v>683</v>
      </c>
      <c r="M326" s="431" t="s">
        <v>684</v>
      </c>
    </row>
    <row r="327" spans="1:13" x14ac:dyDescent="0.2">
      <c r="A327" s="431" t="s">
        <v>682</v>
      </c>
      <c r="B327" s="431">
        <v>1690196</v>
      </c>
      <c r="C327" s="431" t="s">
        <v>159</v>
      </c>
      <c r="D327" s="431" t="s">
        <v>160</v>
      </c>
      <c r="E327" s="431" t="s">
        <v>161</v>
      </c>
      <c r="F327" s="431" t="s">
        <v>666</v>
      </c>
      <c r="G327" s="431" t="s">
        <v>175</v>
      </c>
      <c r="H327" s="431"/>
      <c r="I327" s="431"/>
      <c r="J327" s="431"/>
      <c r="K327" s="431"/>
      <c r="L327" s="431" t="s">
        <v>683</v>
      </c>
      <c r="M327" s="431" t="s">
        <v>684</v>
      </c>
    </row>
    <row r="328" spans="1:13" x14ac:dyDescent="0.2">
      <c r="A328" s="431" t="s">
        <v>682</v>
      </c>
      <c r="B328" s="431">
        <v>1690196</v>
      </c>
      <c r="C328" s="431" t="s">
        <v>159</v>
      </c>
      <c r="D328" s="431" t="s">
        <v>160</v>
      </c>
      <c r="E328" s="431" t="s">
        <v>161</v>
      </c>
      <c r="F328" s="431" t="s">
        <v>666</v>
      </c>
      <c r="G328" s="431" t="s">
        <v>175</v>
      </c>
      <c r="H328" s="431"/>
      <c r="I328" s="431"/>
      <c r="J328" s="431"/>
      <c r="K328" s="431"/>
      <c r="L328" s="431" t="s">
        <v>683</v>
      </c>
      <c r="M328" s="431" t="s">
        <v>684</v>
      </c>
    </row>
    <row r="329" spans="1:13" x14ac:dyDescent="0.2">
      <c r="A329" s="431" t="s">
        <v>682</v>
      </c>
      <c r="B329" s="431">
        <v>1690196</v>
      </c>
      <c r="C329" s="431" t="s">
        <v>159</v>
      </c>
      <c r="D329" s="431" t="s">
        <v>160</v>
      </c>
      <c r="E329" s="431" t="s">
        <v>161</v>
      </c>
      <c r="F329" s="431" t="s">
        <v>666</v>
      </c>
      <c r="G329" s="431" t="s">
        <v>175</v>
      </c>
      <c r="H329" s="431"/>
      <c r="I329" s="431"/>
      <c r="J329" s="431"/>
      <c r="K329" s="431"/>
      <c r="L329" s="431" t="s">
        <v>683</v>
      </c>
      <c r="M329" s="431" t="s">
        <v>684</v>
      </c>
    </row>
    <row r="330" spans="1:13" x14ac:dyDescent="0.2">
      <c r="A330" s="431" t="s">
        <v>682</v>
      </c>
      <c r="B330" s="431">
        <v>1690196</v>
      </c>
      <c r="C330" s="431" t="s">
        <v>159</v>
      </c>
      <c r="D330" s="431" t="s">
        <v>160</v>
      </c>
      <c r="E330" s="431" t="s">
        <v>161</v>
      </c>
      <c r="F330" s="431" t="s">
        <v>666</v>
      </c>
      <c r="G330" s="431" t="s">
        <v>175</v>
      </c>
      <c r="H330" s="431"/>
      <c r="I330" s="431"/>
      <c r="J330" s="431"/>
      <c r="K330" s="431"/>
      <c r="L330" s="431" t="s">
        <v>683</v>
      </c>
      <c r="M330" s="431" t="s">
        <v>684</v>
      </c>
    </row>
    <row r="331" spans="1:13" x14ac:dyDescent="0.2">
      <c r="A331" s="431" t="s">
        <v>682</v>
      </c>
      <c r="B331" s="431">
        <v>1690196</v>
      </c>
      <c r="C331" s="431" t="s">
        <v>159</v>
      </c>
      <c r="D331" s="431" t="s">
        <v>160</v>
      </c>
      <c r="E331" s="431" t="s">
        <v>161</v>
      </c>
      <c r="F331" s="431" t="s">
        <v>685</v>
      </c>
      <c r="G331" s="431" t="s">
        <v>175</v>
      </c>
      <c r="H331" s="431"/>
      <c r="I331" s="431"/>
      <c r="J331" s="431"/>
      <c r="K331" s="431"/>
      <c r="L331" s="431" t="s">
        <v>683</v>
      </c>
      <c r="M331" s="431" t="s">
        <v>684</v>
      </c>
    </row>
    <row r="332" spans="1:13" x14ac:dyDescent="0.2">
      <c r="A332" s="431" t="s">
        <v>682</v>
      </c>
      <c r="B332" s="431">
        <v>1690196</v>
      </c>
      <c r="C332" s="431" t="s">
        <v>159</v>
      </c>
      <c r="D332" s="431" t="s">
        <v>160</v>
      </c>
      <c r="E332" s="431" t="s">
        <v>161</v>
      </c>
      <c r="F332" s="431" t="s">
        <v>685</v>
      </c>
      <c r="G332" s="431" t="s">
        <v>175</v>
      </c>
      <c r="H332" s="431"/>
      <c r="I332" s="431"/>
      <c r="J332" s="431"/>
      <c r="K332" s="431"/>
      <c r="L332" s="431" t="s">
        <v>683</v>
      </c>
      <c r="M332" s="431" t="s">
        <v>684</v>
      </c>
    </row>
    <row r="333" spans="1:13" x14ac:dyDescent="0.2">
      <c r="A333" s="431" t="s">
        <v>682</v>
      </c>
      <c r="B333" s="431">
        <v>1690196</v>
      </c>
      <c r="C333" s="431" t="s">
        <v>159</v>
      </c>
      <c r="D333" s="431" t="s">
        <v>160</v>
      </c>
      <c r="E333" s="431" t="s">
        <v>161</v>
      </c>
      <c r="F333" s="431" t="s">
        <v>685</v>
      </c>
      <c r="G333" s="431" t="s">
        <v>175</v>
      </c>
      <c r="H333" s="431"/>
      <c r="I333" s="431"/>
      <c r="J333" s="431"/>
      <c r="K333" s="431"/>
      <c r="L333" s="431" t="s">
        <v>683</v>
      </c>
      <c r="M333" s="431" t="s">
        <v>684</v>
      </c>
    </row>
    <row r="334" spans="1:13" x14ac:dyDescent="0.2">
      <c r="A334" s="431" t="s">
        <v>682</v>
      </c>
      <c r="B334" s="431">
        <v>1690196</v>
      </c>
      <c r="C334" s="431" t="s">
        <v>159</v>
      </c>
      <c r="D334" s="431" t="s">
        <v>160</v>
      </c>
      <c r="E334" s="431" t="s">
        <v>161</v>
      </c>
      <c r="F334" s="431" t="s">
        <v>685</v>
      </c>
      <c r="G334" s="431" t="s">
        <v>175</v>
      </c>
      <c r="H334" s="431"/>
      <c r="I334" s="431"/>
      <c r="J334" s="431"/>
      <c r="K334" s="431"/>
      <c r="L334" s="431" t="s">
        <v>683</v>
      </c>
      <c r="M334" s="431" t="s">
        <v>684</v>
      </c>
    </row>
    <row r="335" spans="1:13" x14ac:dyDescent="0.2">
      <c r="A335" s="431" t="s">
        <v>682</v>
      </c>
      <c r="B335" s="431">
        <v>1690196</v>
      </c>
      <c r="C335" s="431" t="s">
        <v>159</v>
      </c>
      <c r="D335" s="431" t="s">
        <v>160</v>
      </c>
      <c r="E335" s="431" t="s">
        <v>161</v>
      </c>
      <c r="F335" s="431" t="s">
        <v>686</v>
      </c>
      <c r="G335" s="431" t="s">
        <v>175</v>
      </c>
      <c r="H335" s="431"/>
      <c r="I335" s="431"/>
      <c r="J335" s="431"/>
      <c r="K335" s="431"/>
      <c r="L335" s="431" t="s">
        <v>683</v>
      </c>
      <c r="M335" s="431" t="s">
        <v>684</v>
      </c>
    </row>
    <row r="336" spans="1:13" x14ac:dyDescent="0.2">
      <c r="A336" s="431" t="s">
        <v>682</v>
      </c>
      <c r="B336" s="431">
        <v>1690196</v>
      </c>
      <c r="C336" s="431" t="s">
        <v>159</v>
      </c>
      <c r="D336" s="431" t="s">
        <v>160</v>
      </c>
      <c r="E336" s="431" t="s">
        <v>161</v>
      </c>
      <c r="F336" s="431" t="s">
        <v>671</v>
      </c>
      <c r="G336" s="431" t="s">
        <v>175</v>
      </c>
      <c r="H336" s="431"/>
      <c r="I336" s="431"/>
      <c r="J336" s="431"/>
      <c r="K336" s="431"/>
      <c r="L336" s="431" t="s">
        <v>683</v>
      </c>
      <c r="M336" s="431" t="s">
        <v>684</v>
      </c>
    </row>
    <row r="337" spans="1:13" x14ac:dyDescent="0.2">
      <c r="A337" s="431" t="s">
        <v>682</v>
      </c>
      <c r="B337" s="431">
        <v>1690196</v>
      </c>
      <c r="C337" s="431" t="s">
        <v>159</v>
      </c>
      <c r="D337" s="431" t="s">
        <v>160</v>
      </c>
      <c r="E337" s="431" t="s">
        <v>161</v>
      </c>
      <c r="F337" s="431" t="s">
        <v>671</v>
      </c>
      <c r="G337" s="431" t="s">
        <v>175</v>
      </c>
      <c r="H337" s="431"/>
      <c r="I337" s="431"/>
      <c r="J337" s="431"/>
      <c r="K337" s="431"/>
      <c r="L337" s="431" t="s">
        <v>683</v>
      </c>
      <c r="M337" s="431" t="s">
        <v>684</v>
      </c>
    </row>
    <row r="338" spans="1:13" x14ac:dyDescent="0.2">
      <c r="A338" s="431" t="s">
        <v>682</v>
      </c>
      <c r="B338" s="431">
        <v>1690196</v>
      </c>
      <c r="C338" s="431" t="s">
        <v>159</v>
      </c>
      <c r="D338" s="431" t="s">
        <v>160</v>
      </c>
      <c r="E338" s="431" t="s">
        <v>161</v>
      </c>
      <c r="F338" s="431" t="s">
        <v>671</v>
      </c>
      <c r="G338" s="431" t="s">
        <v>175</v>
      </c>
      <c r="H338" s="431"/>
      <c r="I338" s="431"/>
      <c r="J338" s="431"/>
      <c r="K338" s="431"/>
      <c r="L338" s="431" t="s">
        <v>683</v>
      </c>
      <c r="M338" s="431" t="s">
        <v>684</v>
      </c>
    </row>
    <row r="339" spans="1:13" x14ac:dyDescent="0.2">
      <c r="A339" s="431" t="s">
        <v>682</v>
      </c>
      <c r="B339" s="431">
        <v>1690196</v>
      </c>
      <c r="C339" s="431" t="s">
        <v>159</v>
      </c>
      <c r="D339" s="431" t="s">
        <v>160</v>
      </c>
      <c r="E339" s="431" t="s">
        <v>161</v>
      </c>
      <c r="F339" s="431" t="s">
        <v>671</v>
      </c>
      <c r="G339" s="431" t="s">
        <v>175</v>
      </c>
      <c r="H339" s="431"/>
      <c r="I339" s="431"/>
      <c r="J339" s="431"/>
      <c r="K339" s="431"/>
      <c r="L339" s="431" t="s">
        <v>683</v>
      </c>
      <c r="M339" s="431" t="s">
        <v>684</v>
      </c>
    </row>
    <row r="340" spans="1:13" x14ac:dyDescent="0.2">
      <c r="A340" s="431" t="s">
        <v>682</v>
      </c>
      <c r="B340" s="431">
        <v>1690196</v>
      </c>
      <c r="C340" s="431" t="s">
        <v>159</v>
      </c>
      <c r="D340" s="431" t="s">
        <v>160</v>
      </c>
      <c r="E340" s="431" t="s">
        <v>161</v>
      </c>
      <c r="F340" s="431" t="s">
        <v>671</v>
      </c>
      <c r="G340" s="431" t="s">
        <v>175</v>
      </c>
      <c r="H340" s="431"/>
      <c r="I340" s="431"/>
      <c r="J340" s="431"/>
      <c r="K340" s="431"/>
      <c r="L340" s="431" t="s">
        <v>683</v>
      </c>
      <c r="M340" s="431" t="s">
        <v>684</v>
      </c>
    </row>
    <row r="341" spans="1:13" x14ac:dyDescent="0.2">
      <c r="A341" s="431" t="s">
        <v>682</v>
      </c>
      <c r="B341" s="431">
        <v>1690196</v>
      </c>
      <c r="C341" s="431" t="s">
        <v>159</v>
      </c>
      <c r="D341" s="431" t="s">
        <v>160</v>
      </c>
      <c r="E341" s="431" t="s">
        <v>161</v>
      </c>
      <c r="F341" s="431" t="s">
        <v>671</v>
      </c>
      <c r="G341" s="431" t="s">
        <v>175</v>
      </c>
      <c r="H341" s="431"/>
      <c r="I341" s="431"/>
      <c r="J341" s="431"/>
      <c r="K341" s="431"/>
      <c r="L341" s="431" t="s">
        <v>683</v>
      </c>
      <c r="M341" s="431" t="s">
        <v>684</v>
      </c>
    </row>
    <row r="342" spans="1:13" x14ac:dyDescent="0.2">
      <c r="A342" s="431" t="s">
        <v>682</v>
      </c>
      <c r="B342" s="431">
        <v>1690196</v>
      </c>
      <c r="C342" s="431" t="s">
        <v>159</v>
      </c>
      <c r="D342" s="431" t="s">
        <v>160</v>
      </c>
      <c r="E342" s="431" t="s">
        <v>161</v>
      </c>
      <c r="F342" s="431" t="s">
        <v>671</v>
      </c>
      <c r="G342" s="431" t="s">
        <v>175</v>
      </c>
      <c r="H342" s="431"/>
      <c r="I342" s="431"/>
      <c r="J342" s="431"/>
      <c r="K342" s="431"/>
      <c r="L342" s="431" t="s">
        <v>683</v>
      </c>
      <c r="M342" s="431" t="s">
        <v>684</v>
      </c>
    </row>
    <row r="343" spans="1:13" x14ac:dyDescent="0.2">
      <c r="A343" s="431" t="s">
        <v>682</v>
      </c>
      <c r="B343" s="431">
        <v>1690196</v>
      </c>
      <c r="C343" s="431" t="s">
        <v>159</v>
      </c>
      <c r="D343" s="431" t="s">
        <v>160</v>
      </c>
      <c r="E343" s="431" t="s">
        <v>161</v>
      </c>
      <c r="F343" s="431" t="s">
        <v>671</v>
      </c>
      <c r="G343" s="431" t="s">
        <v>175</v>
      </c>
      <c r="H343" s="431"/>
      <c r="I343" s="431"/>
      <c r="J343" s="431"/>
      <c r="K343" s="431"/>
      <c r="L343" s="431" t="s">
        <v>683</v>
      </c>
      <c r="M343" s="431" t="s">
        <v>684</v>
      </c>
    </row>
    <row r="344" spans="1:13" x14ac:dyDescent="0.2">
      <c r="A344" s="431" t="s">
        <v>682</v>
      </c>
      <c r="B344" s="431">
        <v>1690196</v>
      </c>
      <c r="C344" s="431" t="s">
        <v>159</v>
      </c>
      <c r="D344" s="431" t="s">
        <v>160</v>
      </c>
      <c r="E344" s="431" t="s">
        <v>161</v>
      </c>
      <c r="F344" s="431" t="s">
        <v>671</v>
      </c>
      <c r="G344" s="431" t="s">
        <v>175</v>
      </c>
      <c r="H344" s="431"/>
      <c r="I344" s="431"/>
      <c r="J344" s="431"/>
      <c r="K344" s="431"/>
      <c r="L344" s="431" t="s">
        <v>683</v>
      </c>
      <c r="M344" s="431" t="s">
        <v>684</v>
      </c>
    </row>
    <row r="345" spans="1:13" x14ac:dyDescent="0.2">
      <c r="A345" s="431" t="s">
        <v>682</v>
      </c>
      <c r="B345" s="431">
        <v>1690196</v>
      </c>
      <c r="C345" s="431" t="s">
        <v>159</v>
      </c>
      <c r="D345" s="431" t="s">
        <v>160</v>
      </c>
      <c r="E345" s="431" t="s">
        <v>161</v>
      </c>
      <c r="F345" s="431" t="s">
        <v>671</v>
      </c>
      <c r="G345" s="431" t="s">
        <v>175</v>
      </c>
      <c r="H345" s="431"/>
      <c r="I345" s="431"/>
      <c r="J345" s="431"/>
      <c r="K345" s="431"/>
      <c r="L345" s="431" t="s">
        <v>683</v>
      </c>
      <c r="M345" s="431" t="s">
        <v>684</v>
      </c>
    </row>
    <row r="346" spans="1:13" x14ac:dyDescent="0.2">
      <c r="A346" s="431" t="s">
        <v>682</v>
      </c>
      <c r="B346" s="431">
        <v>1690196</v>
      </c>
      <c r="C346" s="431" t="s">
        <v>159</v>
      </c>
      <c r="D346" s="431" t="s">
        <v>160</v>
      </c>
      <c r="E346" s="431" t="s">
        <v>161</v>
      </c>
      <c r="F346" s="431" t="s">
        <v>671</v>
      </c>
      <c r="G346" s="431" t="s">
        <v>175</v>
      </c>
      <c r="H346" s="431"/>
      <c r="I346" s="431"/>
      <c r="J346" s="431"/>
      <c r="K346" s="431"/>
      <c r="L346" s="431" t="s">
        <v>683</v>
      </c>
      <c r="M346" s="431" t="s">
        <v>684</v>
      </c>
    </row>
    <row r="347" spans="1:13" x14ac:dyDescent="0.2">
      <c r="A347" s="431" t="s">
        <v>682</v>
      </c>
      <c r="B347" s="431">
        <v>1690196</v>
      </c>
      <c r="C347" s="431" t="s">
        <v>159</v>
      </c>
      <c r="D347" s="431" t="s">
        <v>160</v>
      </c>
      <c r="E347" s="431" t="s">
        <v>161</v>
      </c>
      <c r="F347" s="431" t="s">
        <v>671</v>
      </c>
      <c r="G347" s="431" t="s">
        <v>175</v>
      </c>
      <c r="H347" s="431"/>
      <c r="I347" s="431"/>
      <c r="J347" s="431"/>
      <c r="K347" s="431"/>
      <c r="L347" s="431" t="s">
        <v>683</v>
      </c>
      <c r="M347" s="431" t="s">
        <v>684</v>
      </c>
    </row>
    <row r="348" spans="1:13" x14ac:dyDescent="0.2">
      <c r="A348" s="431" t="s">
        <v>682</v>
      </c>
      <c r="B348" s="431">
        <v>1690196</v>
      </c>
      <c r="C348" s="431" t="s">
        <v>159</v>
      </c>
      <c r="D348" s="431" t="s">
        <v>160</v>
      </c>
      <c r="E348" s="431" t="s">
        <v>161</v>
      </c>
      <c r="F348" s="431" t="s">
        <v>671</v>
      </c>
      <c r="G348" s="431" t="s">
        <v>175</v>
      </c>
      <c r="H348" s="431"/>
      <c r="I348" s="431"/>
      <c r="J348" s="431"/>
      <c r="K348" s="431"/>
      <c r="L348" s="431" t="s">
        <v>683</v>
      </c>
      <c r="M348" s="431" t="s">
        <v>684</v>
      </c>
    </row>
    <row r="349" spans="1:13" x14ac:dyDescent="0.2">
      <c r="A349" s="431" t="s">
        <v>682</v>
      </c>
      <c r="B349" s="431">
        <v>1690196</v>
      </c>
      <c r="C349" s="431" t="s">
        <v>159</v>
      </c>
      <c r="D349" s="431" t="s">
        <v>160</v>
      </c>
      <c r="E349" s="431" t="s">
        <v>161</v>
      </c>
      <c r="F349" s="431" t="s">
        <v>671</v>
      </c>
      <c r="G349" s="431" t="s">
        <v>175</v>
      </c>
      <c r="H349" s="431"/>
      <c r="I349" s="431"/>
      <c r="J349" s="431"/>
      <c r="K349" s="431"/>
      <c r="L349" s="431" t="s">
        <v>683</v>
      </c>
      <c r="M349" s="431" t="s">
        <v>684</v>
      </c>
    </row>
    <row r="350" spans="1:13" x14ac:dyDescent="0.2">
      <c r="A350" s="431" t="s">
        <v>682</v>
      </c>
      <c r="B350" s="431">
        <v>1690196</v>
      </c>
      <c r="C350" s="431" t="s">
        <v>159</v>
      </c>
      <c r="D350" s="431" t="s">
        <v>160</v>
      </c>
      <c r="E350" s="431" t="s">
        <v>161</v>
      </c>
      <c r="F350" s="431" t="s">
        <v>671</v>
      </c>
      <c r="G350" s="431" t="s">
        <v>175</v>
      </c>
      <c r="H350" s="431"/>
      <c r="I350" s="431"/>
      <c r="J350" s="431"/>
      <c r="K350" s="431"/>
      <c r="L350" s="431" t="s">
        <v>683</v>
      </c>
      <c r="M350" s="431" t="s">
        <v>684</v>
      </c>
    </row>
    <row r="351" spans="1:13" x14ac:dyDescent="0.2">
      <c r="A351" s="431" t="s">
        <v>682</v>
      </c>
      <c r="B351" s="431">
        <v>1690196</v>
      </c>
      <c r="C351" s="431" t="s">
        <v>159</v>
      </c>
      <c r="D351" s="431" t="s">
        <v>160</v>
      </c>
      <c r="E351" s="431" t="s">
        <v>161</v>
      </c>
      <c r="F351" s="431" t="s">
        <v>671</v>
      </c>
      <c r="G351" s="431" t="s">
        <v>175</v>
      </c>
      <c r="H351" s="431"/>
      <c r="I351" s="431"/>
      <c r="J351" s="431"/>
      <c r="K351" s="431"/>
      <c r="L351" s="431" t="s">
        <v>683</v>
      </c>
      <c r="M351" s="431" t="s">
        <v>684</v>
      </c>
    </row>
    <row r="352" spans="1:13" x14ac:dyDescent="0.2">
      <c r="A352" s="431" t="s">
        <v>682</v>
      </c>
      <c r="B352" s="431">
        <v>1690196</v>
      </c>
      <c r="C352" s="431" t="s">
        <v>159</v>
      </c>
      <c r="D352" s="431" t="s">
        <v>160</v>
      </c>
      <c r="E352" s="431" t="s">
        <v>161</v>
      </c>
      <c r="F352" s="431" t="s">
        <v>671</v>
      </c>
      <c r="G352" s="431" t="s">
        <v>175</v>
      </c>
      <c r="H352" s="431"/>
      <c r="I352" s="431"/>
      <c r="J352" s="431"/>
      <c r="K352" s="431"/>
      <c r="L352" s="431" t="s">
        <v>683</v>
      </c>
      <c r="M352" s="431" t="s">
        <v>684</v>
      </c>
    </row>
    <row r="353" spans="1:13" x14ac:dyDescent="0.2">
      <c r="A353" s="431" t="s">
        <v>682</v>
      </c>
      <c r="B353" s="431">
        <v>1690196</v>
      </c>
      <c r="C353" s="431" t="s">
        <v>159</v>
      </c>
      <c r="D353" s="431" t="s">
        <v>160</v>
      </c>
      <c r="E353" s="431" t="s">
        <v>161</v>
      </c>
      <c r="F353" s="431" t="s">
        <v>671</v>
      </c>
      <c r="G353" s="431" t="s">
        <v>175</v>
      </c>
      <c r="H353" s="431"/>
      <c r="I353" s="431"/>
      <c r="J353" s="431"/>
      <c r="K353" s="431"/>
      <c r="L353" s="431" t="s">
        <v>683</v>
      </c>
      <c r="M353" s="431" t="s">
        <v>684</v>
      </c>
    </row>
    <row r="354" spans="1:13" x14ac:dyDescent="0.2">
      <c r="A354" s="431" t="s">
        <v>682</v>
      </c>
      <c r="B354" s="431">
        <v>1690196</v>
      </c>
      <c r="C354" s="431" t="s">
        <v>159</v>
      </c>
      <c r="D354" s="431" t="s">
        <v>160</v>
      </c>
      <c r="E354" s="431" t="s">
        <v>161</v>
      </c>
      <c r="F354" s="431" t="s">
        <v>671</v>
      </c>
      <c r="G354" s="431" t="s">
        <v>175</v>
      </c>
      <c r="H354" s="431"/>
      <c r="I354" s="431"/>
      <c r="J354" s="431"/>
      <c r="K354" s="431"/>
      <c r="L354" s="431" t="s">
        <v>683</v>
      </c>
      <c r="M354" s="431" t="s">
        <v>684</v>
      </c>
    </row>
    <row r="355" spans="1:13" x14ac:dyDescent="0.2">
      <c r="A355" s="431" t="s">
        <v>682</v>
      </c>
      <c r="B355" s="431">
        <v>1690196</v>
      </c>
      <c r="C355" s="431" t="s">
        <v>159</v>
      </c>
      <c r="D355" s="431" t="s">
        <v>160</v>
      </c>
      <c r="E355" s="431" t="s">
        <v>161</v>
      </c>
      <c r="F355" s="431" t="s">
        <v>671</v>
      </c>
      <c r="G355" s="431" t="s">
        <v>175</v>
      </c>
      <c r="H355" s="431"/>
      <c r="I355" s="431"/>
      <c r="J355" s="431"/>
      <c r="K355" s="431"/>
      <c r="L355" s="431" t="s">
        <v>683</v>
      </c>
      <c r="M355" s="431" t="s">
        <v>684</v>
      </c>
    </row>
    <row r="356" spans="1:13" x14ac:dyDescent="0.2">
      <c r="A356" s="431" t="s">
        <v>682</v>
      </c>
      <c r="B356" s="431">
        <v>1690196</v>
      </c>
      <c r="C356" s="431" t="s">
        <v>159</v>
      </c>
      <c r="D356" s="431" t="s">
        <v>160</v>
      </c>
      <c r="E356" s="431" t="s">
        <v>161</v>
      </c>
      <c r="F356" s="431" t="s">
        <v>671</v>
      </c>
      <c r="G356" s="431" t="s">
        <v>175</v>
      </c>
      <c r="H356" s="431"/>
      <c r="I356" s="431"/>
      <c r="J356" s="431"/>
      <c r="K356" s="431"/>
      <c r="L356" s="431" t="s">
        <v>683</v>
      </c>
      <c r="M356" s="431" t="s">
        <v>684</v>
      </c>
    </row>
    <row r="357" spans="1:13" x14ac:dyDescent="0.2">
      <c r="A357" s="431" t="s">
        <v>682</v>
      </c>
      <c r="B357" s="431">
        <v>1690196</v>
      </c>
      <c r="C357" s="431" t="s">
        <v>159</v>
      </c>
      <c r="D357" s="431" t="s">
        <v>160</v>
      </c>
      <c r="E357" s="431" t="s">
        <v>161</v>
      </c>
      <c r="F357" s="431" t="s">
        <v>671</v>
      </c>
      <c r="G357" s="431" t="s">
        <v>175</v>
      </c>
      <c r="H357" s="431"/>
      <c r="I357" s="431"/>
      <c r="J357" s="431"/>
      <c r="K357" s="431"/>
      <c r="L357" s="431" t="s">
        <v>683</v>
      </c>
      <c r="M357" s="431" t="s">
        <v>684</v>
      </c>
    </row>
    <row r="358" spans="1:13" x14ac:dyDescent="0.2">
      <c r="A358" s="431" t="s">
        <v>682</v>
      </c>
      <c r="B358" s="431">
        <v>1690196</v>
      </c>
      <c r="C358" s="431" t="s">
        <v>159</v>
      </c>
      <c r="D358" s="431" t="s">
        <v>160</v>
      </c>
      <c r="E358" s="431" t="s">
        <v>161</v>
      </c>
      <c r="F358" s="431" t="s">
        <v>671</v>
      </c>
      <c r="G358" s="431" t="s">
        <v>175</v>
      </c>
      <c r="H358" s="431"/>
      <c r="I358" s="431"/>
      <c r="J358" s="431"/>
      <c r="K358" s="431"/>
      <c r="L358" s="431" t="s">
        <v>683</v>
      </c>
      <c r="M358" s="431" t="s">
        <v>684</v>
      </c>
    </row>
    <row r="359" spans="1:13" x14ac:dyDescent="0.2">
      <c r="A359" s="431" t="s">
        <v>682</v>
      </c>
      <c r="B359" s="431">
        <v>1690196</v>
      </c>
      <c r="C359" s="431" t="s">
        <v>159</v>
      </c>
      <c r="D359" s="431" t="s">
        <v>160</v>
      </c>
      <c r="E359" s="431" t="s">
        <v>161</v>
      </c>
      <c r="F359" s="431" t="s">
        <v>671</v>
      </c>
      <c r="G359" s="431" t="s">
        <v>175</v>
      </c>
      <c r="H359" s="431"/>
      <c r="I359" s="431"/>
      <c r="J359" s="431"/>
      <c r="K359" s="431"/>
      <c r="L359" s="431" t="s">
        <v>683</v>
      </c>
      <c r="M359" s="431" t="s">
        <v>684</v>
      </c>
    </row>
    <row r="360" spans="1:13" x14ac:dyDescent="0.2">
      <c r="A360" s="431" t="s">
        <v>682</v>
      </c>
      <c r="B360" s="431">
        <v>1690196</v>
      </c>
      <c r="C360" s="431" t="s">
        <v>159</v>
      </c>
      <c r="D360" s="431" t="s">
        <v>160</v>
      </c>
      <c r="E360" s="431" t="s">
        <v>161</v>
      </c>
      <c r="F360" s="431" t="s">
        <v>671</v>
      </c>
      <c r="G360" s="431" t="s">
        <v>175</v>
      </c>
      <c r="H360" s="431"/>
      <c r="I360" s="431"/>
      <c r="J360" s="431"/>
      <c r="K360" s="431"/>
      <c r="L360" s="431" t="s">
        <v>683</v>
      </c>
      <c r="M360" s="431" t="s">
        <v>684</v>
      </c>
    </row>
    <row r="361" spans="1:13" x14ac:dyDescent="0.2">
      <c r="A361" s="431" t="s">
        <v>682</v>
      </c>
      <c r="B361" s="431">
        <v>1690196</v>
      </c>
      <c r="C361" s="431" t="s">
        <v>159</v>
      </c>
      <c r="D361" s="431" t="s">
        <v>160</v>
      </c>
      <c r="E361" s="431" t="s">
        <v>161</v>
      </c>
      <c r="F361" s="431" t="s">
        <v>671</v>
      </c>
      <c r="G361" s="431" t="s">
        <v>175</v>
      </c>
      <c r="H361" s="431"/>
      <c r="I361" s="431"/>
      <c r="J361" s="431"/>
      <c r="K361" s="431"/>
      <c r="L361" s="431" t="s">
        <v>683</v>
      </c>
      <c r="M361" s="431" t="s">
        <v>684</v>
      </c>
    </row>
    <row r="362" spans="1:13" x14ac:dyDescent="0.2">
      <c r="A362" s="431" t="s">
        <v>682</v>
      </c>
      <c r="B362" s="431">
        <v>1690196</v>
      </c>
      <c r="C362" s="431" t="s">
        <v>159</v>
      </c>
      <c r="D362" s="431" t="s">
        <v>160</v>
      </c>
      <c r="E362" s="431" t="s">
        <v>161</v>
      </c>
      <c r="F362" s="431" t="s">
        <v>671</v>
      </c>
      <c r="G362" s="431" t="s">
        <v>175</v>
      </c>
      <c r="H362" s="431"/>
      <c r="I362" s="431"/>
      <c r="J362" s="431"/>
      <c r="K362" s="431"/>
      <c r="L362" s="431" t="s">
        <v>683</v>
      </c>
      <c r="M362" s="431" t="s">
        <v>684</v>
      </c>
    </row>
    <row r="363" spans="1:13" x14ac:dyDescent="0.2">
      <c r="A363" s="431" t="s">
        <v>682</v>
      </c>
      <c r="B363" s="431">
        <v>1690196</v>
      </c>
      <c r="C363" s="431" t="s">
        <v>159</v>
      </c>
      <c r="D363" s="431" t="s">
        <v>160</v>
      </c>
      <c r="E363" s="431" t="s">
        <v>161</v>
      </c>
      <c r="F363" s="431" t="s">
        <v>671</v>
      </c>
      <c r="G363" s="431" t="s">
        <v>175</v>
      </c>
      <c r="H363" s="431"/>
      <c r="I363" s="431"/>
      <c r="J363" s="431"/>
      <c r="K363" s="431"/>
      <c r="L363" s="431" t="s">
        <v>683</v>
      </c>
      <c r="M363" s="431" t="s">
        <v>684</v>
      </c>
    </row>
    <row r="364" spans="1:13" x14ac:dyDescent="0.2">
      <c r="A364" s="431" t="s">
        <v>682</v>
      </c>
      <c r="B364" s="431">
        <v>1690196</v>
      </c>
      <c r="C364" s="431" t="s">
        <v>159</v>
      </c>
      <c r="D364" s="431" t="s">
        <v>160</v>
      </c>
      <c r="E364" s="431" t="s">
        <v>161</v>
      </c>
      <c r="F364" s="431" t="s">
        <v>671</v>
      </c>
      <c r="G364" s="431" t="s">
        <v>175</v>
      </c>
      <c r="H364" s="431"/>
      <c r="I364" s="431"/>
      <c r="J364" s="431"/>
      <c r="K364" s="431"/>
      <c r="L364" s="431" t="s">
        <v>683</v>
      </c>
      <c r="M364" s="431" t="s">
        <v>684</v>
      </c>
    </row>
    <row r="365" spans="1:13" x14ac:dyDescent="0.2">
      <c r="A365" s="431" t="s">
        <v>682</v>
      </c>
      <c r="B365" s="431">
        <v>1690196</v>
      </c>
      <c r="C365" s="431" t="s">
        <v>159</v>
      </c>
      <c r="D365" s="431" t="s">
        <v>160</v>
      </c>
      <c r="E365" s="431" t="s">
        <v>161</v>
      </c>
      <c r="F365" s="431" t="s">
        <v>671</v>
      </c>
      <c r="G365" s="431" t="s">
        <v>175</v>
      </c>
      <c r="H365" s="431"/>
      <c r="I365" s="431"/>
      <c r="J365" s="431"/>
      <c r="K365" s="431"/>
      <c r="L365" s="431" t="s">
        <v>683</v>
      </c>
      <c r="M365" s="431" t="s">
        <v>684</v>
      </c>
    </row>
    <row r="366" spans="1:13" x14ac:dyDescent="0.2">
      <c r="A366" s="431" t="s">
        <v>682</v>
      </c>
      <c r="B366" s="431">
        <v>1690196</v>
      </c>
      <c r="C366" s="431" t="s">
        <v>159</v>
      </c>
      <c r="D366" s="431" t="s">
        <v>160</v>
      </c>
      <c r="E366" s="431" t="s">
        <v>161</v>
      </c>
      <c r="F366" s="431" t="s">
        <v>672</v>
      </c>
      <c r="G366" s="431" t="s">
        <v>175</v>
      </c>
      <c r="H366" s="431"/>
      <c r="I366" s="431"/>
      <c r="J366" s="431"/>
      <c r="K366" s="431"/>
      <c r="L366" s="431" t="s">
        <v>683</v>
      </c>
      <c r="M366" s="431" t="s">
        <v>684</v>
      </c>
    </row>
    <row r="367" spans="1:13" x14ac:dyDescent="0.2">
      <c r="A367" s="431" t="s">
        <v>682</v>
      </c>
      <c r="B367" s="431">
        <v>1690196</v>
      </c>
      <c r="C367" s="431" t="s">
        <v>159</v>
      </c>
      <c r="D367" s="431" t="s">
        <v>160</v>
      </c>
      <c r="E367" s="431" t="s">
        <v>161</v>
      </c>
      <c r="F367" s="431" t="s">
        <v>672</v>
      </c>
      <c r="G367" s="431" t="s">
        <v>175</v>
      </c>
      <c r="H367" s="431"/>
      <c r="I367" s="431"/>
      <c r="J367" s="431"/>
      <c r="K367" s="431"/>
      <c r="L367" s="431" t="s">
        <v>683</v>
      </c>
      <c r="M367" s="431" t="s">
        <v>684</v>
      </c>
    </row>
    <row r="368" spans="1:13" x14ac:dyDescent="0.2">
      <c r="A368" s="431" t="s">
        <v>682</v>
      </c>
      <c r="B368" s="431">
        <v>1690196</v>
      </c>
      <c r="C368" s="431" t="s">
        <v>159</v>
      </c>
      <c r="D368" s="431" t="s">
        <v>160</v>
      </c>
      <c r="E368" s="431" t="s">
        <v>161</v>
      </c>
      <c r="F368" s="431" t="s">
        <v>672</v>
      </c>
      <c r="G368" s="431" t="s">
        <v>175</v>
      </c>
      <c r="H368" s="431"/>
      <c r="I368" s="431"/>
      <c r="J368" s="431"/>
      <c r="K368" s="431"/>
      <c r="L368" s="431" t="s">
        <v>683</v>
      </c>
      <c r="M368" s="431" t="s">
        <v>684</v>
      </c>
    </row>
    <row r="369" spans="1:13" x14ac:dyDescent="0.2">
      <c r="A369" s="431" t="s">
        <v>682</v>
      </c>
      <c r="B369" s="431">
        <v>1690196</v>
      </c>
      <c r="C369" s="431" t="s">
        <v>159</v>
      </c>
      <c r="D369" s="431" t="s">
        <v>160</v>
      </c>
      <c r="E369" s="431" t="s">
        <v>161</v>
      </c>
      <c r="F369" s="431" t="s">
        <v>672</v>
      </c>
      <c r="G369" s="431" t="s">
        <v>175</v>
      </c>
      <c r="H369" s="431"/>
      <c r="I369" s="431"/>
      <c r="J369" s="431"/>
      <c r="K369" s="431"/>
      <c r="L369" s="431" t="s">
        <v>683</v>
      </c>
      <c r="M369" s="431" t="s">
        <v>684</v>
      </c>
    </row>
    <row r="370" spans="1:13" x14ac:dyDescent="0.2">
      <c r="A370" s="431" t="s">
        <v>682</v>
      </c>
      <c r="B370" s="431">
        <v>1690196</v>
      </c>
      <c r="C370" s="431" t="s">
        <v>159</v>
      </c>
      <c r="D370" s="431" t="s">
        <v>160</v>
      </c>
      <c r="E370" s="431" t="s">
        <v>161</v>
      </c>
      <c r="F370" s="431" t="s">
        <v>672</v>
      </c>
      <c r="G370" s="431" t="s">
        <v>175</v>
      </c>
      <c r="H370" s="431"/>
      <c r="I370" s="431"/>
      <c r="J370" s="431"/>
      <c r="K370" s="431"/>
      <c r="L370" s="431" t="s">
        <v>683</v>
      </c>
      <c r="M370" s="431" t="s">
        <v>684</v>
      </c>
    </row>
    <row r="371" spans="1:13" x14ac:dyDescent="0.2">
      <c r="A371" s="431" t="s">
        <v>682</v>
      </c>
      <c r="B371" s="431">
        <v>1690196</v>
      </c>
      <c r="C371" s="431" t="s">
        <v>159</v>
      </c>
      <c r="D371" s="431" t="s">
        <v>160</v>
      </c>
      <c r="E371" s="431" t="s">
        <v>161</v>
      </c>
      <c r="F371" s="431" t="s">
        <v>672</v>
      </c>
      <c r="G371" s="431" t="s">
        <v>175</v>
      </c>
      <c r="H371" s="431"/>
      <c r="I371" s="431"/>
      <c r="J371" s="431"/>
      <c r="K371" s="431"/>
      <c r="L371" s="431" t="s">
        <v>683</v>
      </c>
      <c r="M371" s="431" t="s">
        <v>684</v>
      </c>
    </row>
    <row r="372" spans="1:13" x14ac:dyDescent="0.2">
      <c r="A372" s="431" t="s">
        <v>682</v>
      </c>
      <c r="B372" s="431">
        <v>1690196</v>
      </c>
      <c r="C372" s="431" t="s">
        <v>159</v>
      </c>
      <c r="D372" s="431" t="s">
        <v>160</v>
      </c>
      <c r="E372" s="431" t="s">
        <v>161</v>
      </c>
      <c r="F372" s="431" t="s">
        <v>672</v>
      </c>
      <c r="G372" s="431" t="s">
        <v>175</v>
      </c>
      <c r="H372" s="431"/>
      <c r="I372" s="431"/>
      <c r="J372" s="431"/>
      <c r="K372" s="431"/>
      <c r="L372" s="431" t="s">
        <v>683</v>
      </c>
      <c r="M372" s="431" t="s">
        <v>684</v>
      </c>
    </row>
    <row r="373" spans="1:13" x14ac:dyDescent="0.2">
      <c r="A373" s="431" t="s">
        <v>682</v>
      </c>
      <c r="B373" s="431">
        <v>1690196</v>
      </c>
      <c r="C373" s="431" t="s">
        <v>159</v>
      </c>
      <c r="D373" s="431" t="s">
        <v>160</v>
      </c>
      <c r="E373" s="431" t="s">
        <v>161</v>
      </c>
      <c r="F373" s="431" t="s">
        <v>672</v>
      </c>
      <c r="G373" s="431" t="s">
        <v>175</v>
      </c>
      <c r="H373" s="431"/>
      <c r="I373" s="431"/>
      <c r="J373" s="431"/>
      <c r="K373" s="431"/>
      <c r="L373" s="431" t="s">
        <v>683</v>
      </c>
      <c r="M373" s="431" t="s">
        <v>684</v>
      </c>
    </row>
    <row r="374" spans="1:13" x14ac:dyDescent="0.2">
      <c r="A374" s="431" t="s">
        <v>682</v>
      </c>
      <c r="B374" s="431">
        <v>1690196</v>
      </c>
      <c r="C374" s="431" t="s">
        <v>159</v>
      </c>
      <c r="D374" s="431" t="s">
        <v>160</v>
      </c>
      <c r="E374" s="431" t="s">
        <v>161</v>
      </c>
      <c r="F374" s="431" t="s">
        <v>672</v>
      </c>
      <c r="G374" s="431" t="s">
        <v>175</v>
      </c>
      <c r="H374" s="431"/>
      <c r="I374" s="431"/>
      <c r="J374" s="431"/>
      <c r="K374" s="431"/>
      <c r="L374" s="431" t="s">
        <v>683</v>
      </c>
      <c r="M374" s="431" t="s">
        <v>684</v>
      </c>
    </row>
    <row r="375" spans="1:13" x14ac:dyDescent="0.2">
      <c r="A375" s="431" t="s">
        <v>682</v>
      </c>
      <c r="B375" s="431">
        <v>1690196</v>
      </c>
      <c r="C375" s="431" t="s">
        <v>159</v>
      </c>
      <c r="D375" s="431" t="s">
        <v>160</v>
      </c>
      <c r="E375" s="431" t="s">
        <v>161</v>
      </c>
      <c r="F375" s="431" t="s">
        <v>672</v>
      </c>
      <c r="G375" s="431" t="s">
        <v>175</v>
      </c>
      <c r="H375" s="431"/>
      <c r="I375" s="431"/>
      <c r="J375" s="431"/>
      <c r="K375" s="431"/>
      <c r="L375" s="431" t="s">
        <v>683</v>
      </c>
      <c r="M375" s="431" t="s">
        <v>684</v>
      </c>
    </row>
    <row r="376" spans="1:13" x14ac:dyDescent="0.2">
      <c r="A376" s="431" t="s">
        <v>682</v>
      </c>
      <c r="B376" s="431">
        <v>1690196</v>
      </c>
      <c r="C376" s="431" t="s">
        <v>159</v>
      </c>
      <c r="D376" s="431" t="s">
        <v>160</v>
      </c>
      <c r="E376" s="431" t="s">
        <v>161</v>
      </c>
      <c r="F376" s="431" t="s">
        <v>672</v>
      </c>
      <c r="G376" s="431" t="s">
        <v>175</v>
      </c>
      <c r="H376" s="431"/>
      <c r="I376" s="431"/>
      <c r="J376" s="431"/>
      <c r="K376" s="431"/>
      <c r="L376" s="431" t="s">
        <v>683</v>
      </c>
      <c r="M376" s="431" t="s">
        <v>684</v>
      </c>
    </row>
    <row r="377" spans="1:13" x14ac:dyDescent="0.2">
      <c r="A377" s="431" t="s">
        <v>682</v>
      </c>
      <c r="B377" s="431">
        <v>1690196</v>
      </c>
      <c r="C377" s="431" t="s">
        <v>159</v>
      </c>
      <c r="D377" s="431" t="s">
        <v>160</v>
      </c>
      <c r="E377" s="431" t="s">
        <v>161</v>
      </c>
      <c r="F377" s="431" t="s">
        <v>672</v>
      </c>
      <c r="G377" s="431" t="s">
        <v>175</v>
      </c>
      <c r="H377" s="431"/>
      <c r="I377" s="431"/>
      <c r="J377" s="431"/>
      <c r="K377" s="431"/>
      <c r="L377" s="431" t="s">
        <v>683</v>
      </c>
      <c r="M377" s="431" t="s">
        <v>684</v>
      </c>
    </row>
    <row r="378" spans="1:13" x14ac:dyDescent="0.2">
      <c r="A378" s="431" t="s">
        <v>682</v>
      </c>
      <c r="B378" s="431">
        <v>1690196</v>
      </c>
      <c r="C378" s="431" t="s">
        <v>159</v>
      </c>
      <c r="D378" s="431" t="s">
        <v>160</v>
      </c>
      <c r="E378" s="431" t="s">
        <v>161</v>
      </c>
      <c r="F378" s="431" t="s">
        <v>672</v>
      </c>
      <c r="G378" s="431" t="s">
        <v>175</v>
      </c>
      <c r="H378" s="431"/>
      <c r="I378" s="431"/>
      <c r="J378" s="431"/>
      <c r="K378" s="431"/>
      <c r="L378" s="431" t="s">
        <v>683</v>
      </c>
      <c r="M378" s="431" t="s">
        <v>684</v>
      </c>
    </row>
    <row r="379" spans="1:13" x14ac:dyDescent="0.2">
      <c r="A379" s="431" t="s">
        <v>682</v>
      </c>
      <c r="B379" s="431">
        <v>1690196</v>
      </c>
      <c r="C379" s="431" t="s">
        <v>159</v>
      </c>
      <c r="D379" s="431" t="s">
        <v>160</v>
      </c>
      <c r="E379" s="431" t="s">
        <v>161</v>
      </c>
      <c r="F379" s="431" t="s">
        <v>672</v>
      </c>
      <c r="G379" s="431" t="s">
        <v>175</v>
      </c>
      <c r="H379" s="431"/>
      <c r="I379" s="431"/>
      <c r="J379" s="431"/>
      <c r="K379" s="431"/>
      <c r="L379" s="431" t="s">
        <v>683</v>
      </c>
      <c r="M379" s="431" t="s">
        <v>684</v>
      </c>
    </row>
    <row r="380" spans="1:13" x14ac:dyDescent="0.2">
      <c r="A380" s="431" t="s">
        <v>682</v>
      </c>
      <c r="B380" s="431">
        <v>1690196</v>
      </c>
      <c r="C380" s="431" t="s">
        <v>159</v>
      </c>
      <c r="D380" s="431" t="s">
        <v>160</v>
      </c>
      <c r="E380" s="431" t="s">
        <v>161</v>
      </c>
      <c r="F380" s="431" t="s">
        <v>672</v>
      </c>
      <c r="G380" s="431" t="s">
        <v>175</v>
      </c>
      <c r="H380" s="431"/>
      <c r="I380" s="431"/>
      <c r="J380" s="431"/>
      <c r="K380" s="431"/>
      <c r="L380" s="431" t="s">
        <v>683</v>
      </c>
      <c r="M380" s="431" t="s">
        <v>684</v>
      </c>
    </row>
    <row r="381" spans="1:13" x14ac:dyDescent="0.2">
      <c r="A381" s="431" t="s">
        <v>682</v>
      </c>
      <c r="B381" s="431">
        <v>1690196</v>
      </c>
      <c r="C381" s="431" t="s">
        <v>159</v>
      </c>
      <c r="D381" s="431" t="s">
        <v>160</v>
      </c>
      <c r="E381" s="431" t="s">
        <v>161</v>
      </c>
      <c r="F381" s="431" t="s">
        <v>672</v>
      </c>
      <c r="G381" s="431" t="s">
        <v>175</v>
      </c>
      <c r="H381" s="431"/>
      <c r="I381" s="431"/>
      <c r="J381" s="431"/>
      <c r="K381" s="431"/>
      <c r="L381" s="431" t="s">
        <v>683</v>
      </c>
      <c r="M381" s="431" t="s">
        <v>684</v>
      </c>
    </row>
    <row r="382" spans="1:13" x14ac:dyDescent="0.2">
      <c r="A382" s="431" t="s">
        <v>682</v>
      </c>
      <c r="B382" s="431">
        <v>1690196</v>
      </c>
      <c r="C382" s="431" t="s">
        <v>159</v>
      </c>
      <c r="D382" s="431" t="s">
        <v>160</v>
      </c>
      <c r="E382" s="431" t="s">
        <v>161</v>
      </c>
      <c r="F382" s="431" t="s">
        <v>672</v>
      </c>
      <c r="G382" s="431" t="s">
        <v>175</v>
      </c>
      <c r="H382" s="431"/>
      <c r="I382" s="431"/>
      <c r="J382" s="431"/>
      <c r="K382" s="431"/>
      <c r="L382" s="431" t="s">
        <v>683</v>
      </c>
      <c r="M382" s="431" t="s">
        <v>684</v>
      </c>
    </row>
    <row r="383" spans="1:13" x14ac:dyDescent="0.2">
      <c r="A383" s="431" t="s">
        <v>682</v>
      </c>
      <c r="B383" s="431">
        <v>1690196</v>
      </c>
      <c r="C383" s="431" t="s">
        <v>159</v>
      </c>
      <c r="D383" s="431" t="s">
        <v>160</v>
      </c>
      <c r="E383" s="431" t="s">
        <v>161</v>
      </c>
      <c r="F383" s="431" t="s">
        <v>672</v>
      </c>
      <c r="G383" s="431" t="s">
        <v>175</v>
      </c>
      <c r="H383" s="431"/>
      <c r="I383" s="431"/>
      <c r="J383" s="431"/>
      <c r="K383" s="431"/>
      <c r="L383" s="431" t="s">
        <v>683</v>
      </c>
      <c r="M383" s="431" t="s">
        <v>684</v>
      </c>
    </row>
    <row r="384" spans="1:13" x14ac:dyDescent="0.2">
      <c r="A384" s="431" t="s">
        <v>682</v>
      </c>
      <c r="B384" s="431">
        <v>1690196</v>
      </c>
      <c r="C384" s="431" t="s">
        <v>159</v>
      </c>
      <c r="D384" s="431" t="s">
        <v>160</v>
      </c>
      <c r="E384" s="431" t="s">
        <v>161</v>
      </c>
      <c r="F384" s="431" t="s">
        <v>672</v>
      </c>
      <c r="G384" s="431" t="s">
        <v>175</v>
      </c>
      <c r="H384" s="431"/>
      <c r="I384" s="431"/>
      <c r="J384" s="431"/>
      <c r="K384" s="431"/>
      <c r="L384" s="431" t="s">
        <v>683</v>
      </c>
      <c r="M384" s="431" t="s">
        <v>684</v>
      </c>
    </row>
    <row r="385" spans="1:13" x14ac:dyDescent="0.2">
      <c r="A385" s="431" t="s">
        <v>682</v>
      </c>
      <c r="B385" s="431">
        <v>1690196</v>
      </c>
      <c r="C385" s="431" t="s">
        <v>159</v>
      </c>
      <c r="D385" s="431" t="s">
        <v>160</v>
      </c>
      <c r="E385" s="431" t="s">
        <v>161</v>
      </c>
      <c r="F385" s="431" t="s">
        <v>672</v>
      </c>
      <c r="G385" s="431" t="s">
        <v>175</v>
      </c>
      <c r="H385" s="431"/>
      <c r="I385" s="431"/>
      <c r="J385" s="431"/>
      <c r="K385" s="431"/>
      <c r="L385" s="431" t="s">
        <v>683</v>
      </c>
      <c r="M385" s="431" t="s">
        <v>684</v>
      </c>
    </row>
    <row r="386" spans="1:13" x14ac:dyDescent="0.2">
      <c r="A386" s="431" t="s">
        <v>682</v>
      </c>
      <c r="B386" s="431">
        <v>1690196</v>
      </c>
      <c r="C386" s="431" t="s">
        <v>159</v>
      </c>
      <c r="D386" s="431" t="s">
        <v>160</v>
      </c>
      <c r="E386" s="431" t="s">
        <v>161</v>
      </c>
      <c r="F386" s="431" t="s">
        <v>672</v>
      </c>
      <c r="G386" s="431" t="s">
        <v>175</v>
      </c>
      <c r="H386" s="431"/>
      <c r="I386" s="431"/>
      <c r="J386" s="431"/>
      <c r="K386" s="431"/>
      <c r="L386" s="431" t="s">
        <v>683</v>
      </c>
      <c r="M386" s="431" t="s">
        <v>684</v>
      </c>
    </row>
    <row r="387" spans="1:13" x14ac:dyDescent="0.2">
      <c r="A387" s="431" t="s">
        <v>682</v>
      </c>
      <c r="B387" s="431">
        <v>1690196</v>
      </c>
      <c r="C387" s="431" t="s">
        <v>159</v>
      </c>
      <c r="D387" s="431" t="s">
        <v>160</v>
      </c>
      <c r="E387" s="431" t="s">
        <v>161</v>
      </c>
      <c r="F387" s="431" t="s">
        <v>672</v>
      </c>
      <c r="G387" s="431" t="s">
        <v>175</v>
      </c>
      <c r="H387" s="431"/>
      <c r="I387" s="431"/>
      <c r="J387" s="431"/>
      <c r="K387" s="431"/>
      <c r="L387" s="431" t="s">
        <v>683</v>
      </c>
      <c r="M387" s="431" t="s">
        <v>684</v>
      </c>
    </row>
    <row r="388" spans="1:13" x14ac:dyDescent="0.2">
      <c r="A388" s="431" t="s">
        <v>682</v>
      </c>
      <c r="B388" s="431">
        <v>1690196</v>
      </c>
      <c r="C388" s="431" t="s">
        <v>159</v>
      </c>
      <c r="D388" s="431" t="s">
        <v>160</v>
      </c>
      <c r="E388" s="431" t="s">
        <v>161</v>
      </c>
      <c r="F388" s="431" t="s">
        <v>672</v>
      </c>
      <c r="G388" s="431" t="s">
        <v>175</v>
      </c>
      <c r="H388" s="431"/>
      <c r="I388" s="431"/>
      <c r="J388" s="431"/>
      <c r="K388" s="431"/>
      <c r="L388" s="431" t="s">
        <v>683</v>
      </c>
      <c r="M388" s="431" t="s">
        <v>684</v>
      </c>
    </row>
    <row r="389" spans="1:13" x14ac:dyDescent="0.2">
      <c r="A389" s="431" t="s">
        <v>682</v>
      </c>
      <c r="B389" s="431">
        <v>1690196</v>
      </c>
      <c r="C389" s="431" t="s">
        <v>159</v>
      </c>
      <c r="D389" s="431" t="s">
        <v>160</v>
      </c>
      <c r="E389" s="431" t="s">
        <v>161</v>
      </c>
      <c r="F389" s="431" t="s">
        <v>672</v>
      </c>
      <c r="G389" s="431" t="s">
        <v>175</v>
      </c>
      <c r="H389" s="431"/>
      <c r="I389" s="431"/>
      <c r="J389" s="431"/>
      <c r="K389" s="431"/>
      <c r="L389" s="431" t="s">
        <v>683</v>
      </c>
      <c r="M389" s="431" t="s">
        <v>684</v>
      </c>
    </row>
    <row r="390" spans="1:13" x14ac:dyDescent="0.2">
      <c r="A390" s="431" t="s">
        <v>682</v>
      </c>
      <c r="B390" s="431">
        <v>1690196</v>
      </c>
      <c r="C390" s="431" t="s">
        <v>159</v>
      </c>
      <c r="D390" s="431" t="s">
        <v>160</v>
      </c>
      <c r="E390" s="431" t="s">
        <v>161</v>
      </c>
      <c r="F390" s="431" t="s">
        <v>672</v>
      </c>
      <c r="G390" s="431" t="s">
        <v>175</v>
      </c>
      <c r="H390" s="431"/>
      <c r="I390" s="431"/>
      <c r="J390" s="431"/>
      <c r="K390" s="431"/>
      <c r="L390" s="431" t="s">
        <v>683</v>
      </c>
      <c r="M390" s="431" t="s">
        <v>684</v>
      </c>
    </row>
    <row r="391" spans="1:13" x14ac:dyDescent="0.2">
      <c r="A391" s="431" t="s">
        <v>682</v>
      </c>
      <c r="B391" s="431">
        <v>1690196</v>
      </c>
      <c r="C391" s="431" t="s">
        <v>159</v>
      </c>
      <c r="D391" s="431" t="s">
        <v>160</v>
      </c>
      <c r="E391" s="431" t="s">
        <v>161</v>
      </c>
      <c r="F391" s="431" t="s">
        <v>672</v>
      </c>
      <c r="G391" s="431" t="s">
        <v>175</v>
      </c>
      <c r="H391" s="431"/>
      <c r="I391" s="431"/>
      <c r="J391" s="431"/>
      <c r="K391" s="431"/>
      <c r="L391" s="431" t="s">
        <v>683</v>
      </c>
      <c r="M391" s="431" t="s">
        <v>684</v>
      </c>
    </row>
    <row r="392" spans="1:13" x14ac:dyDescent="0.2">
      <c r="A392" s="431" t="s">
        <v>682</v>
      </c>
      <c r="B392" s="431">
        <v>1690196</v>
      </c>
      <c r="C392" s="431" t="s">
        <v>159</v>
      </c>
      <c r="D392" s="431" t="s">
        <v>160</v>
      </c>
      <c r="E392" s="431" t="s">
        <v>161</v>
      </c>
      <c r="F392" s="431" t="s">
        <v>672</v>
      </c>
      <c r="G392" s="431" t="s">
        <v>175</v>
      </c>
      <c r="H392" s="431"/>
      <c r="I392" s="431"/>
      <c r="J392" s="431"/>
      <c r="K392" s="431"/>
      <c r="L392" s="431" t="s">
        <v>683</v>
      </c>
      <c r="M392" s="431" t="s">
        <v>684</v>
      </c>
    </row>
    <row r="393" spans="1:13" x14ac:dyDescent="0.2">
      <c r="A393" s="431" t="s">
        <v>682</v>
      </c>
      <c r="B393" s="431">
        <v>1690196</v>
      </c>
      <c r="C393" s="431" t="s">
        <v>159</v>
      </c>
      <c r="D393" s="431" t="s">
        <v>160</v>
      </c>
      <c r="E393" s="431" t="s">
        <v>161</v>
      </c>
      <c r="F393" s="431" t="s">
        <v>672</v>
      </c>
      <c r="G393" s="431" t="s">
        <v>175</v>
      </c>
      <c r="H393" s="431"/>
      <c r="I393" s="431"/>
      <c r="J393" s="431"/>
      <c r="K393" s="431"/>
      <c r="L393" s="431" t="s">
        <v>683</v>
      </c>
      <c r="M393" s="431" t="s">
        <v>684</v>
      </c>
    </row>
    <row r="394" spans="1:13" x14ac:dyDescent="0.2">
      <c r="A394" s="431" t="s">
        <v>682</v>
      </c>
      <c r="B394" s="431">
        <v>1690196</v>
      </c>
      <c r="C394" s="431" t="s">
        <v>159</v>
      </c>
      <c r="D394" s="431" t="s">
        <v>160</v>
      </c>
      <c r="E394" s="431" t="s">
        <v>161</v>
      </c>
      <c r="F394" s="431" t="s">
        <v>672</v>
      </c>
      <c r="G394" s="431" t="s">
        <v>175</v>
      </c>
      <c r="H394" s="431"/>
      <c r="I394" s="431"/>
      <c r="J394" s="431"/>
      <c r="K394" s="431"/>
      <c r="L394" s="431" t="s">
        <v>683</v>
      </c>
      <c r="M394" s="431" t="s">
        <v>684</v>
      </c>
    </row>
    <row r="395" spans="1:13" x14ac:dyDescent="0.2">
      <c r="A395" s="431" t="s">
        <v>682</v>
      </c>
      <c r="B395" s="431">
        <v>1690196</v>
      </c>
      <c r="C395" s="431" t="s">
        <v>159</v>
      </c>
      <c r="D395" s="431" t="s">
        <v>160</v>
      </c>
      <c r="E395" s="431" t="s">
        <v>161</v>
      </c>
      <c r="F395" s="431" t="s">
        <v>672</v>
      </c>
      <c r="G395" s="431" t="s">
        <v>175</v>
      </c>
      <c r="H395" s="431"/>
      <c r="I395" s="431"/>
      <c r="J395" s="431"/>
      <c r="K395" s="431"/>
      <c r="L395" s="431" t="s">
        <v>683</v>
      </c>
      <c r="M395" s="431" t="s">
        <v>684</v>
      </c>
    </row>
    <row r="396" spans="1:13" x14ac:dyDescent="0.2">
      <c r="A396" s="431" t="s">
        <v>687</v>
      </c>
      <c r="B396" s="431">
        <v>1690010</v>
      </c>
      <c r="C396" s="431" t="s">
        <v>159</v>
      </c>
      <c r="D396" s="431" t="s">
        <v>160</v>
      </c>
      <c r="E396" s="431" t="s">
        <v>161</v>
      </c>
      <c r="F396" s="431" t="s">
        <v>203</v>
      </c>
      <c r="G396" s="431" t="s">
        <v>175</v>
      </c>
      <c r="H396" s="431"/>
      <c r="I396" s="431"/>
      <c r="J396" s="431"/>
      <c r="K396" s="431"/>
      <c r="L396" s="431" t="s">
        <v>650</v>
      </c>
      <c r="M396" s="431" t="s">
        <v>688</v>
      </c>
    </row>
    <row r="397" spans="1:13" x14ac:dyDescent="0.2">
      <c r="A397" s="431" t="s">
        <v>687</v>
      </c>
      <c r="B397" s="431">
        <v>1690010</v>
      </c>
      <c r="C397" s="431" t="s">
        <v>159</v>
      </c>
      <c r="D397" s="431" t="s">
        <v>160</v>
      </c>
      <c r="E397" s="431" t="s">
        <v>161</v>
      </c>
      <c r="F397" s="431" t="s">
        <v>203</v>
      </c>
      <c r="G397" s="431" t="s">
        <v>175</v>
      </c>
      <c r="H397" s="431"/>
      <c r="I397" s="431"/>
      <c r="J397" s="431"/>
      <c r="K397" s="431"/>
      <c r="L397" s="431" t="s">
        <v>650</v>
      </c>
      <c r="M397" s="431" t="s">
        <v>688</v>
      </c>
    </row>
    <row r="398" spans="1:13" x14ac:dyDescent="0.2">
      <c r="A398" s="431" t="s">
        <v>687</v>
      </c>
      <c r="B398" s="431">
        <v>1690010</v>
      </c>
      <c r="C398" s="431" t="s">
        <v>159</v>
      </c>
      <c r="D398" s="431" t="s">
        <v>160</v>
      </c>
      <c r="E398" s="431" t="s">
        <v>161</v>
      </c>
      <c r="F398" s="431" t="s">
        <v>203</v>
      </c>
      <c r="G398" s="431" t="s">
        <v>175</v>
      </c>
      <c r="H398" s="431"/>
      <c r="I398" s="431"/>
      <c r="J398" s="431"/>
      <c r="K398" s="431"/>
      <c r="L398" s="431" t="s">
        <v>650</v>
      </c>
      <c r="M398" s="431" t="s">
        <v>688</v>
      </c>
    </row>
    <row r="399" spans="1:13" x14ac:dyDescent="0.2">
      <c r="A399" s="431" t="s">
        <v>687</v>
      </c>
      <c r="B399" s="431">
        <v>1690010</v>
      </c>
      <c r="C399" s="431" t="s">
        <v>159</v>
      </c>
      <c r="D399" s="431" t="s">
        <v>160</v>
      </c>
      <c r="E399" s="431" t="s">
        <v>161</v>
      </c>
      <c r="F399" s="431" t="s">
        <v>203</v>
      </c>
      <c r="G399" s="431" t="s">
        <v>175</v>
      </c>
      <c r="H399" s="431"/>
      <c r="I399" s="431"/>
      <c r="J399" s="431"/>
      <c r="K399" s="431"/>
      <c r="L399" s="431" t="s">
        <v>650</v>
      </c>
      <c r="M399" s="431" t="s">
        <v>688</v>
      </c>
    </row>
    <row r="400" spans="1:13" x14ac:dyDescent="0.2">
      <c r="A400" s="431" t="s">
        <v>687</v>
      </c>
      <c r="B400" s="431">
        <v>1690010</v>
      </c>
      <c r="C400" s="431" t="s">
        <v>159</v>
      </c>
      <c r="D400" s="431" t="s">
        <v>160</v>
      </c>
      <c r="E400" s="431" t="s">
        <v>161</v>
      </c>
      <c r="F400" s="431" t="s">
        <v>203</v>
      </c>
      <c r="G400" s="431" t="s">
        <v>175</v>
      </c>
      <c r="H400" s="431"/>
      <c r="I400" s="431"/>
      <c r="J400" s="431"/>
      <c r="K400" s="431"/>
      <c r="L400" s="431" t="s">
        <v>650</v>
      </c>
      <c r="M400" s="431" t="s">
        <v>688</v>
      </c>
    </row>
    <row r="401" spans="1:13" x14ac:dyDescent="0.2">
      <c r="A401" s="431" t="s">
        <v>687</v>
      </c>
      <c r="B401" s="431">
        <v>1690010</v>
      </c>
      <c r="C401" s="431" t="s">
        <v>159</v>
      </c>
      <c r="D401" s="431" t="s">
        <v>160</v>
      </c>
      <c r="E401" s="431" t="s">
        <v>161</v>
      </c>
      <c r="F401" s="431" t="s">
        <v>203</v>
      </c>
      <c r="G401" s="431" t="s">
        <v>175</v>
      </c>
      <c r="H401" s="431"/>
      <c r="I401" s="431"/>
      <c r="J401" s="431"/>
      <c r="K401" s="431"/>
      <c r="L401" s="431" t="s">
        <v>650</v>
      </c>
      <c r="M401" s="431" t="s">
        <v>688</v>
      </c>
    </row>
    <row r="402" spans="1:13" x14ac:dyDescent="0.2">
      <c r="A402" s="431" t="s">
        <v>687</v>
      </c>
      <c r="B402" s="431">
        <v>1690010</v>
      </c>
      <c r="C402" s="431" t="s">
        <v>159</v>
      </c>
      <c r="D402" s="431" t="s">
        <v>160</v>
      </c>
      <c r="E402" s="431" t="s">
        <v>161</v>
      </c>
      <c r="F402" s="431" t="s">
        <v>203</v>
      </c>
      <c r="G402" s="431" t="s">
        <v>175</v>
      </c>
      <c r="H402" s="431"/>
      <c r="I402" s="431"/>
      <c r="J402" s="431"/>
      <c r="K402" s="431"/>
      <c r="L402" s="431" t="s">
        <v>650</v>
      </c>
      <c r="M402" s="431" t="s">
        <v>688</v>
      </c>
    </row>
    <row r="403" spans="1:13" x14ac:dyDescent="0.2">
      <c r="A403" s="431" t="s">
        <v>687</v>
      </c>
      <c r="B403" s="431">
        <v>1690010</v>
      </c>
      <c r="C403" s="431" t="s">
        <v>159</v>
      </c>
      <c r="D403" s="431" t="s">
        <v>160</v>
      </c>
      <c r="E403" s="431" t="s">
        <v>161</v>
      </c>
      <c r="F403" s="431" t="s">
        <v>203</v>
      </c>
      <c r="G403" s="431" t="s">
        <v>175</v>
      </c>
      <c r="H403" s="431"/>
      <c r="I403" s="431"/>
      <c r="J403" s="431"/>
      <c r="K403" s="431"/>
      <c r="L403" s="431" t="s">
        <v>650</v>
      </c>
      <c r="M403" s="431" t="s">
        <v>688</v>
      </c>
    </row>
    <row r="404" spans="1:13" x14ac:dyDescent="0.2">
      <c r="A404" s="431" t="s">
        <v>687</v>
      </c>
      <c r="B404" s="431">
        <v>1690010</v>
      </c>
      <c r="C404" s="431" t="s">
        <v>159</v>
      </c>
      <c r="D404" s="431" t="s">
        <v>160</v>
      </c>
      <c r="E404" s="431" t="s">
        <v>161</v>
      </c>
      <c r="F404" s="431" t="s">
        <v>273</v>
      </c>
      <c r="G404" s="431" t="s">
        <v>175</v>
      </c>
      <c r="H404" s="431"/>
      <c r="I404" s="431"/>
      <c r="J404" s="431"/>
      <c r="K404" s="431"/>
      <c r="L404" s="431" t="s">
        <v>650</v>
      </c>
      <c r="M404" s="431" t="s">
        <v>688</v>
      </c>
    </row>
    <row r="405" spans="1:13" x14ac:dyDescent="0.2">
      <c r="A405" s="431" t="s">
        <v>687</v>
      </c>
      <c r="B405" s="431">
        <v>1690010</v>
      </c>
      <c r="C405" s="431" t="s">
        <v>159</v>
      </c>
      <c r="D405" s="431" t="s">
        <v>160</v>
      </c>
      <c r="E405" s="431" t="s">
        <v>161</v>
      </c>
      <c r="F405" s="431" t="s">
        <v>273</v>
      </c>
      <c r="G405" s="431" t="s">
        <v>175</v>
      </c>
      <c r="H405" s="431"/>
      <c r="I405" s="431"/>
      <c r="J405" s="431"/>
      <c r="K405" s="431"/>
      <c r="L405" s="431" t="s">
        <v>650</v>
      </c>
      <c r="M405" s="431" t="s">
        <v>688</v>
      </c>
    </row>
    <row r="406" spans="1:13" x14ac:dyDescent="0.2">
      <c r="A406" s="431" t="s">
        <v>687</v>
      </c>
      <c r="B406" s="431">
        <v>1690010</v>
      </c>
      <c r="C406" s="431" t="s">
        <v>159</v>
      </c>
      <c r="D406" s="431" t="s">
        <v>160</v>
      </c>
      <c r="E406" s="431" t="s">
        <v>161</v>
      </c>
      <c r="F406" s="431" t="s">
        <v>276</v>
      </c>
      <c r="G406" s="431" t="s">
        <v>175</v>
      </c>
      <c r="H406" s="431"/>
      <c r="I406" s="431"/>
      <c r="J406" s="431"/>
      <c r="K406" s="431"/>
      <c r="L406" s="431" t="s">
        <v>650</v>
      </c>
      <c r="M406" s="431" t="s">
        <v>688</v>
      </c>
    </row>
    <row r="407" spans="1:13" x14ac:dyDescent="0.2">
      <c r="A407" s="431" t="s">
        <v>687</v>
      </c>
      <c r="B407" s="431">
        <v>1690010</v>
      </c>
      <c r="C407" s="431" t="s">
        <v>159</v>
      </c>
      <c r="D407" s="431" t="s">
        <v>160</v>
      </c>
      <c r="E407" s="431" t="s">
        <v>161</v>
      </c>
      <c r="F407" s="431" t="s">
        <v>276</v>
      </c>
      <c r="G407" s="431" t="s">
        <v>175</v>
      </c>
      <c r="H407" s="431"/>
      <c r="I407" s="431"/>
      <c r="J407" s="431"/>
      <c r="K407" s="431"/>
      <c r="L407" s="431" t="s">
        <v>650</v>
      </c>
      <c r="M407" s="431" t="s">
        <v>688</v>
      </c>
    </row>
    <row r="408" spans="1:13" x14ac:dyDescent="0.2">
      <c r="A408" s="431" t="s">
        <v>687</v>
      </c>
      <c r="B408" s="431">
        <v>1690010</v>
      </c>
      <c r="C408" s="431" t="s">
        <v>159</v>
      </c>
      <c r="D408" s="431" t="s">
        <v>160</v>
      </c>
      <c r="E408" s="431" t="s">
        <v>161</v>
      </c>
      <c r="F408" s="431" t="s">
        <v>277</v>
      </c>
      <c r="G408" s="431" t="s">
        <v>175</v>
      </c>
      <c r="H408" s="431"/>
      <c r="I408" s="431"/>
      <c r="J408" s="431"/>
      <c r="K408" s="431"/>
      <c r="L408" s="431" t="s">
        <v>650</v>
      </c>
      <c r="M408" s="431" t="s">
        <v>688</v>
      </c>
    </row>
    <row r="409" spans="1:13" x14ac:dyDescent="0.2">
      <c r="A409" s="431" t="s">
        <v>687</v>
      </c>
      <c r="B409" s="431">
        <v>1690010</v>
      </c>
      <c r="C409" s="431" t="s">
        <v>159</v>
      </c>
      <c r="D409" s="431" t="s">
        <v>160</v>
      </c>
      <c r="E409" s="431" t="s">
        <v>161</v>
      </c>
      <c r="F409" s="431" t="s">
        <v>277</v>
      </c>
      <c r="G409" s="431" t="s">
        <v>175</v>
      </c>
      <c r="H409" s="431"/>
      <c r="I409" s="431"/>
      <c r="J409" s="431"/>
      <c r="K409" s="431"/>
      <c r="L409" s="431" t="s">
        <v>650</v>
      </c>
      <c r="M409" s="431" t="s">
        <v>688</v>
      </c>
    </row>
    <row r="410" spans="1:13" x14ac:dyDescent="0.2">
      <c r="A410" s="431" t="s">
        <v>687</v>
      </c>
      <c r="B410" s="431">
        <v>1690010</v>
      </c>
      <c r="C410" s="431" t="s">
        <v>159</v>
      </c>
      <c r="D410" s="431" t="s">
        <v>160</v>
      </c>
      <c r="E410" s="431" t="s">
        <v>161</v>
      </c>
      <c r="F410" s="431" t="s">
        <v>278</v>
      </c>
      <c r="G410" s="431" t="s">
        <v>175</v>
      </c>
      <c r="H410" s="431"/>
      <c r="I410" s="431"/>
      <c r="J410" s="431"/>
      <c r="K410" s="431"/>
      <c r="L410" s="431" t="s">
        <v>650</v>
      </c>
      <c r="M410" s="431" t="s">
        <v>688</v>
      </c>
    </row>
    <row r="411" spans="1:13" x14ac:dyDescent="0.2">
      <c r="A411" s="431" t="s">
        <v>687</v>
      </c>
      <c r="B411" s="431">
        <v>1690010</v>
      </c>
      <c r="C411" s="431" t="s">
        <v>159</v>
      </c>
      <c r="D411" s="431" t="s">
        <v>160</v>
      </c>
      <c r="E411" s="431" t="s">
        <v>161</v>
      </c>
      <c r="F411" s="431" t="s">
        <v>279</v>
      </c>
      <c r="G411" s="431" t="s">
        <v>175</v>
      </c>
      <c r="H411" s="431"/>
      <c r="I411" s="431"/>
      <c r="J411" s="431"/>
      <c r="K411" s="431"/>
      <c r="L411" s="431" t="s">
        <v>650</v>
      </c>
      <c r="M411" s="431" t="s">
        <v>688</v>
      </c>
    </row>
    <row r="412" spans="1:13" x14ac:dyDescent="0.2">
      <c r="A412" s="431" t="s">
        <v>687</v>
      </c>
      <c r="B412" s="431">
        <v>1690010</v>
      </c>
      <c r="C412" s="431" t="s">
        <v>159</v>
      </c>
      <c r="D412" s="431" t="s">
        <v>160</v>
      </c>
      <c r="E412" s="431" t="s">
        <v>161</v>
      </c>
      <c r="F412" s="431" t="s">
        <v>280</v>
      </c>
      <c r="G412" s="431" t="s">
        <v>175</v>
      </c>
      <c r="H412" s="431"/>
      <c r="I412" s="431"/>
      <c r="J412" s="431"/>
      <c r="K412" s="431"/>
      <c r="L412" s="431" t="s">
        <v>650</v>
      </c>
      <c r="M412" s="431" t="s">
        <v>688</v>
      </c>
    </row>
    <row r="413" spans="1:13" x14ac:dyDescent="0.2">
      <c r="A413" s="431" t="s">
        <v>687</v>
      </c>
      <c r="B413" s="431">
        <v>1690010</v>
      </c>
      <c r="C413" s="431" t="s">
        <v>159</v>
      </c>
      <c r="D413" s="431" t="s">
        <v>160</v>
      </c>
      <c r="E413" s="431" t="s">
        <v>161</v>
      </c>
      <c r="F413" s="431" t="s">
        <v>673</v>
      </c>
      <c r="G413" s="431" t="s">
        <v>175</v>
      </c>
      <c r="H413" s="431"/>
      <c r="I413" s="431"/>
      <c r="J413" s="431"/>
      <c r="K413" s="431"/>
      <c r="L413" s="431" t="s">
        <v>650</v>
      </c>
      <c r="M413" s="431" t="s">
        <v>688</v>
      </c>
    </row>
    <row r="414" spans="1:13" x14ac:dyDescent="0.2">
      <c r="A414" s="431" t="s">
        <v>687</v>
      </c>
      <c r="B414" s="431">
        <v>1690010</v>
      </c>
      <c r="C414" s="431" t="s">
        <v>159</v>
      </c>
      <c r="D414" s="431" t="s">
        <v>160</v>
      </c>
      <c r="E414" s="431" t="s">
        <v>161</v>
      </c>
      <c r="F414" s="431" t="s">
        <v>673</v>
      </c>
      <c r="G414" s="431" t="s">
        <v>175</v>
      </c>
      <c r="H414" s="431"/>
      <c r="I414" s="431"/>
      <c r="J414" s="431"/>
      <c r="K414" s="431"/>
      <c r="L414" s="431" t="s">
        <v>650</v>
      </c>
      <c r="M414" s="431" t="s">
        <v>688</v>
      </c>
    </row>
    <row r="415" spans="1:13" x14ac:dyDescent="0.2">
      <c r="A415" s="431" t="s">
        <v>687</v>
      </c>
      <c r="B415" s="431">
        <v>1690010</v>
      </c>
      <c r="C415" s="431" t="s">
        <v>159</v>
      </c>
      <c r="D415" s="431" t="s">
        <v>160</v>
      </c>
      <c r="E415" s="431" t="s">
        <v>161</v>
      </c>
      <c r="F415" s="431" t="s">
        <v>673</v>
      </c>
      <c r="G415" s="431" t="s">
        <v>175</v>
      </c>
      <c r="H415" s="431"/>
      <c r="I415" s="431"/>
      <c r="J415" s="431"/>
      <c r="K415" s="431"/>
      <c r="L415" s="431" t="s">
        <v>650</v>
      </c>
      <c r="M415" s="431" t="s">
        <v>688</v>
      </c>
    </row>
    <row r="416" spans="1:13" x14ac:dyDescent="0.2">
      <c r="A416" s="431" t="s">
        <v>687</v>
      </c>
      <c r="B416" s="431">
        <v>1690010</v>
      </c>
      <c r="C416" s="431" t="s">
        <v>159</v>
      </c>
      <c r="D416" s="431" t="s">
        <v>160</v>
      </c>
      <c r="E416" s="431" t="s">
        <v>161</v>
      </c>
      <c r="F416" s="431" t="s">
        <v>673</v>
      </c>
      <c r="G416" s="431" t="s">
        <v>175</v>
      </c>
      <c r="H416" s="431"/>
      <c r="I416" s="431"/>
      <c r="J416" s="431"/>
      <c r="K416" s="431"/>
      <c r="L416" s="431" t="s">
        <v>650</v>
      </c>
      <c r="M416" s="431" t="s">
        <v>688</v>
      </c>
    </row>
    <row r="417" spans="1:13" x14ac:dyDescent="0.2">
      <c r="A417" s="431" t="s">
        <v>687</v>
      </c>
      <c r="B417" s="431">
        <v>1690010</v>
      </c>
      <c r="C417" s="431" t="s">
        <v>159</v>
      </c>
      <c r="D417" s="431" t="s">
        <v>160</v>
      </c>
      <c r="E417" s="431" t="s">
        <v>161</v>
      </c>
      <c r="F417" s="431" t="s">
        <v>673</v>
      </c>
      <c r="G417" s="431" t="s">
        <v>175</v>
      </c>
      <c r="H417" s="431"/>
      <c r="I417" s="431"/>
      <c r="J417" s="431"/>
      <c r="K417" s="431"/>
      <c r="L417" s="431" t="s">
        <v>650</v>
      </c>
      <c r="M417" s="431" t="s">
        <v>688</v>
      </c>
    </row>
    <row r="418" spans="1:13" x14ac:dyDescent="0.2">
      <c r="A418" s="431" t="s">
        <v>687</v>
      </c>
      <c r="B418" s="431">
        <v>1690010</v>
      </c>
      <c r="C418" s="431" t="s">
        <v>159</v>
      </c>
      <c r="D418" s="431" t="s">
        <v>160</v>
      </c>
      <c r="E418" s="431" t="s">
        <v>161</v>
      </c>
      <c r="F418" s="431" t="s">
        <v>673</v>
      </c>
      <c r="G418" s="431" t="s">
        <v>175</v>
      </c>
      <c r="H418" s="431"/>
      <c r="I418" s="431"/>
      <c r="J418" s="431"/>
      <c r="K418" s="431"/>
      <c r="L418" s="431" t="s">
        <v>650</v>
      </c>
      <c r="M418" s="431" t="s">
        <v>688</v>
      </c>
    </row>
    <row r="419" spans="1:13" x14ac:dyDescent="0.2">
      <c r="A419" s="431" t="s">
        <v>687</v>
      </c>
      <c r="B419" s="431">
        <v>1690010</v>
      </c>
      <c r="C419" s="431" t="s">
        <v>159</v>
      </c>
      <c r="D419" s="431" t="s">
        <v>160</v>
      </c>
      <c r="E419" s="431" t="s">
        <v>161</v>
      </c>
      <c r="F419" s="431" t="s">
        <v>673</v>
      </c>
      <c r="G419" s="431" t="s">
        <v>175</v>
      </c>
      <c r="H419" s="431"/>
      <c r="I419" s="431"/>
      <c r="J419" s="431"/>
      <c r="K419" s="431"/>
      <c r="L419" s="431" t="s">
        <v>650</v>
      </c>
      <c r="M419" s="431" t="s">
        <v>688</v>
      </c>
    </row>
    <row r="420" spans="1:13" x14ac:dyDescent="0.2">
      <c r="A420" s="431" t="s">
        <v>687</v>
      </c>
      <c r="B420" s="431">
        <v>1690010</v>
      </c>
      <c r="C420" s="431" t="s">
        <v>159</v>
      </c>
      <c r="D420" s="431" t="s">
        <v>160</v>
      </c>
      <c r="E420" s="431" t="s">
        <v>161</v>
      </c>
      <c r="F420" s="431" t="s">
        <v>673</v>
      </c>
      <c r="G420" s="431" t="s">
        <v>175</v>
      </c>
      <c r="H420" s="431"/>
      <c r="I420" s="431"/>
      <c r="J420" s="431"/>
      <c r="K420" s="431"/>
      <c r="L420" s="431" t="s">
        <v>650</v>
      </c>
      <c r="M420" s="431" t="s">
        <v>688</v>
      </c>
    </row>
    <row r="421" spans="1:13" x14ac:dyDescent="0.2">
      <c r="A421" s="431" t="s">
        <v>687</v>
      </c>
      <c r="B421" s="431">
        <v>1690010</v>
      </c>
      <c r="C421" s="431" t="s">
        <v>159</v>
      </c>
      <c r="D421" s="431" t="s">
        <v>160</v>
      </c>
      <c r="E421" s="431" t="s">
        <v>161</v>
      </c>
      <c r="F421" s="431" t="s">
        <v>673</v>
      </c>
      <c r="G421" s="431" t="s">
        <v>175</v>
      </c>
      <c r="H421" s="431"/>
      <c r="I421" s="431"/>
      <c r="J421" s="431"/>
      <c r="K421" s="431"/>
      <c r="L421" s="431" t="s">
        <v>650</v>
      </c>
      <c r="M421" s="431" t="s">
        <v>688</v>
      </c>
    </row>
    <row r="422" spans="1:13" x14ac:dyDescent="0.2">
      <c r="A422" s="431" t="s">
        <v>687</v>
      </c>
      <c r="B422" s="431">
        <v>1690010</v>
      </c>
      <c r="C422" s="431" t="s">
        <v>159</v>
      </c>
      <c r="D422" s="431" t="s">
        <v>160</v>
      </c>
      <c r="E422" s="431" t="s">
        <v>161</v>
      </c>
      <c r="F422" s="431" t="s">
        <v>673</v>
      </c>
      <c r="G422" s="431" t="s">
        <v>175</v>
      </c>
      <c r="H422" s="431"/>
      <c r="I422" s="431"/>
      <c r="J422" s="431"/>
      <c r="K422" s="431"/>
      <c r="L422" s="431" t="s">
        <v>650</v>
      </c>
      <c r="M422" s="431" t="s">
        <v>688</v>
      </c>
    </row>
    <row r="423" spans="1:13" x14ac:dyDescent="0.2">
      <c r="A423" s="431" t="s">
        <v>687</v>
      </c>
      <c r="B423" s="431">
        <v>1690010</v>
      </c>
      <c r="C423" s="431" t="s">
        <v>159</v>
      </c>
      <c r="D423" s="431" t="s">
        <v>160</v>
      </c>
      <c r="E423" s="431" t="s">
        <v>161</v>
      </c>
      <c r="F423" s="431" t="s">
        <v>673</v>
      </c>
      <c r="G423" s="431" t="s">
        <v>175</v>
      </c>
      <c r="H423" s="431"/>
      <c r="I423" s="431"/>
      <c r="J423" s="431"/>
      <c r="K423" s="431"/>
      <c r="L423" s="431" t="s">
        <v>650</v>
      </c>
      <c r="M423" s="431" t="s">
        <v>688</v>
      </c>
    </row>
    <row r="424" spans="1:13" x14ac:dyDescent="0.2">
      <c r="A424" s="431" t="s">
        <v>687</v>
      </c>
      <c r="B424" s="431">
        <v>1690010</v>
      </c>
      <c r="C424" s="431" t="s">
        <v>159</v>
      </c>
      <c r="D424" s="431" t="s">
        <v>160</v>
      </c>
      <c r="E424" s="431" t="s">
        <v>161</v>
      </c>
      <c r="F424" s="431" t="s">
        <v>673</v>
      </c>
      <c r="G424" s="431" t="s">
        <v>175</v>
      </c>
      <c r="H424" s="431"/>
      <c r="I424" s="431"/>
      <c r="J424" s="431"/>
      <c r="K424" s="431"/>
      <c r="L424" s="431" t="s">
        <v>650</v>
      </c>
      <c r="M424" s="431" t="s">
        <v>688</v>
      </c>
    </row>
    <row r="425" spans="1:13" x14ac:dyDescent="0.2">
      <c r="A425" s="431" t="s">
        <v>687</v>
      </c>
      <c r="B425" s="431">
        <v>1690010</v>
      </c>
      <c r="C425" s="431" t="s">
        <v>159</v>
      </c>
      <c r="D425" s="431" t="s">
        <v>160</v>
      </c>
      <c r="E425" s="431" t="s">
        <v>161</v>
      </c>
      <c r="F425" s="431" t="s">
        <v>689</v>
      </c>
      <c r="G425" s="431" t="s">
        <v>175</v>
      </c>
      <c r="H425" s="431"/>
      <c r="I425" s="431"/>
      <c r="J425" s="431"/>
      <c r="K425" s="431"/>
      <c r="L425" s="431" t="s">
        <v>650</v>
      </c>
      <c r="M425" s="431" t="s">
        <v>688</v>
      </c>
    </row>
    <row r="426" spans="1:13" x14ac:dyDescent="0.2">
      <c r="A426" s="431" t="s">
        <v>687</v>
      </c>
      <c r="B426" s="431">
        <v>1690010</v>
      </c>
      <c r="C426" s="431" t="s">
        <v>159</v>
      </c>
      <c r="D426" s="431" t="s">
        <v>160</v>
      </c>
      <c r="E426" s="431" t="s">
        <v>161</v>
      </c>
      <c r="F426" s="431" t="s">
        <v>689</v>
      </c>
      <c r="G426" s="431" t="s">
        <v>175</v>
      </c>
      <c r="H426" s="431"/>
      <c r="I426" s="431"/>
      <c r="J426" s="431"/>
      <c r="K426" s="431"/>
      <c r="L426" s="431" t="s">
        <v>650</v>
      </c>
      <c r="M426" s="431" t="s">
        <v>688</v>
      </c>
    </row>
    <row r="427" spans="1:13" x14ac:dyDescent="0.2">
      <c r="A427" s="431" t="s">
        <v>687</v>
      </c>
      <c r="B427" s="431">
        <v>1690010</v>
      </c>
      <c r="C427" s="431" t="s">
        <v>159</v>
      </c>
      <c r="D427" s="431" t="s">
        <v>160</v>
      </c>
      <c r="E427" s="431" t="s">
        <v>161</v>
      </c>
      <c r="F427" s="431" t="s">
        <v>690</v>
      </c>
      <c r="G427" s="431" t="s">
        <v>175</v>
      </c>
      <c r="H427" s="431"/>
      <c r="I427" s="431"/>
      <c r="J427" s="431"/>
      <c r="K427" s="431"/>
      <c r="L427" s="431" t="s">
        <v>650</v>
      </c>
      <c r="M427" s="431" t="s">
        <v>688</v>
      </c>
    </row>
    <row r="428" spans="1:13" x14ac:dyDescent="0.2">
      <c r="A428" s="431" t="s">
        <v>687</v>
      </c>
      <c r="B428" s="431">
        <v>1690010</v>
      </c>
      <c r="C428" s="431" t="s">
        <v>159</v>
      </c>
      <c r="D428" s="431" t="s">
        <v>160</v>
      </c>
      <c r="E428" s="431" t="s">
        <v>161</v>
      </c>
      <c r="F428" s="431" t="s">
        <v>690</v>
      </c>
      <c r="G428" s="431" t="s">
        <v>175</v>
      </c>
      <c r="H428" s="431"/>
      <c r="I428" s="431"/>
      <c r="J428" s="431"/>
      <c r="K428" s="431"/>
      <c r="L428" s="431" t="s">
        <v>650</v>
      </c>
      <c r="M428" s="431" t="s">
        <v>688</v>
      </c>
    </row>
    <row r="429" spans="1:13" x14ac:dyDescent="0.2">
      <c r="A429" s="431" t="s">
        <v>687</v>
      </c>
      <c r="B429" s="431">
        <v>1690010</v>
      </c>
      <c r="C429" s="431" t="s">
        <v>159</v>
      </c>
      <c r="D429" s="431" t="s">
        <v>160</v>
      </c>
      <c r="E429" s="431" t="s">
        <v>161</v>
      </c>
      <c r="F429" s="431" t="s">
        <v>674</v>
      </c>
      <c r="G429" s="431" t="s">
        <v>175</v>
      </c>
      <c r="H429" s="431"/>
      <c r="I429" s="431"/>
      <c r="J429" s="431"/>
      <c r="K429" s="431"/>
      <c r="L429" s="431" t="s">
        <v>650</v>
      </c>
      <c r="M429" s="431" t="s">
        <v>688</v>
      </c>
    </row>
    <row r="430" spans="1:13" x14ac:dyDescent="0.2">
      <c r="A430" s="431" t="s">
        <v>687</v>
      </c>
      <c r="B430" s="431">
        <v>1690010</v>
      </c>
      <c r="C430" s="431" t="s">
        <v>159</v>
      </c>
      <c r="D430" s="431" t="s">
        <v>160</v>
      </c>
      <c r="E430" s="431" t="s">
        <v>161</v>
      </c>
      <c r="F430" s="431" t="s">
        <v>674</v>
      </c>
      <c r="G430" s="431" t="s">
        <v>175</v>
      </c>
      <c r="H430" s="431"/>
      <c r="I430" s="431"/>
      <c r="J430" s="431"/>
      <c r="K430" s="431"/>
      <c r="L430" s="431" t="s">
        <v>650</v>
      </c>
      <c r="M430" s="431" t="s">
        <v>688</v>
      </c>
    </row>
    <row r="431" spans="1:13" x14ac:dyDescent="0.2">
      <c r="A431" s="431" t="s">
        <v>687</v>
      </c>
      <c r="B431" s="431">
        <v>1690010</v>
      </c>
      <c r="C431" s="431" t="s">
        <v>159</v>
      </c>
      <c r="D431" s="431" t="s">
        <v>160</v>
      </c>
      <c r="E431" s="431" t="s">
        <v>161</v>
      </c>
      <c r="F431" s="431" t="s">
        <v>674</v>
      </c>
      <c r="G431" s="431" t="s">
        <v>175</v>
      </c>
      <c r="H431" s="431"/>
      <c r="I431" s="431"/>
      <c r="J431" s="431"/>
      <c r="K431" s="431"/>
      <c r="L431" s="431" t="s">
        <v>650</v>
      </c>
      <c r="M431" s="431" t="s">
        <v>688</v>
      </c>
    </row>
    <row r="432" spans="1:13" x14ac:dyDescent="0.2">
      <c r="A432" s="431" t="s">
        <v>687</v>
      </c>
      <c r="B432" s="431">
        <v>1690010</v>
      </c>
      <c r="C432" s="431" t="s">
        <v>159</v>
      </c>
      <c r="D432" s="431" t="s">
        <v>160</v>
      </c>
      <c r="E432" s="431" t="s">
        <v>161</v>
      </c>
      <c r="F432" s="431" t="s">
        <v>674</v>
      </c>
      <c r="G432" s="431" t="s">
        <v>175</v>
      </c>
      <c r="H432" s="431"/>
      <c r="I432" s="431"/>
      <c r="J432" s="431"/>
      <c r="K432" s="431"/>
      <c r="L432" s="431" t="s">
        <v>650</v>
      </c>
      <c r="M432" s="431" t="s">
        <v>688</v>
      </c>
    </row>
    <row r="433" spans="1:13" x14ac:dyDescent="0.2">
      <c r="A433" s="431" t="s">
        <v>687</v>
      </c>
      <c r="B433" s="431">
        <v>1690010</v>
      </c>
      <c r="C433" s="431" t="s">
        <v>159</v>
      </c>
      <c r="D433" s="431" t="s">
        <v>160</v>
      </c>
      <c r="E433" s="431" t="s">
        <v>161</v>
      </c>
      <c r="F433" s="431" t="s">
        <v>674</v>
      </c>
      <c r="G433" s="431" t="s">
        <v>175</v>
      </c>
      <c r="H433" s="431"/>
      <c r="I433" s="431"/>
      <c r="J433" s="431"/>
      <c r="K433" s="431"/>
      <c r="L433" s="431" t="s">
        <v>650</v>
      </c>
      <c r="M433" s="431" t="s">
        <v>688</v>
      </c>
    </row>
    <row r="434" spans="1:13" x14ac:dyDescent="0.2">
      <c r="A434" s="431" t="s">
        <v>687</v>
      </c>
      <c r="B434" s="431">
        <v>1690010</v>
      </c>
      <c r="C434" s="431" t="s">
        <v>159</v>
      </c>
      <c r="D434" s="431" t="s">
        <v>160</v>
      </c>
      <c r="E434" s="431" t="s">
        <v>161</v>
      </c>
      <c r="F434" s="431" t="s">
        <v>674</v>
      </c>
      <c r="G434" s="431" t="s">
        <v>175</v>
      </c>
      <c r="H434" s="431"/>
      <c r="I434" s="431"/>
      <c r="J434" s="431"/>
      <c r="K434" s="431"/>
      <c r="L434" s="431" t="s">
        <v>650</v>
      </c>
      <c r="M434" s="431" t="s">
        <v>688</v>
      </c>
    </row>
    <row r="435" spans="1:13" x14ac:dyDescent="0.2">
      <c r="A435" s="431" t="s">
        <v>687</v>
      </c>
      <c r="B435" s="431">
        <v>1690010</v>
      </c>
      <c r="C435" s="431" t="s">
        <v>159</v>
      </c>
      <c r="D435" s="431" t="s">
        <v>160</v>
      </c>
      <c r="E435" s="431" t="s">
        <v>161</v>
      </c>
      <c r="F435" s="431" t="s">
        <v>675</v>
      </c>
      <c r="G435" s="431" t="s">
        <v>175</v>
      </c>
      <c r="H435" s="431"/>
      <c r="I435" s="431"/>
      <c r="J435" s="431"/>
      <c r="K435" s="431"/>
      <c r="L435" s="431" t="s">
        <v>650</v>
      </c>
      <c r="M435" s="431" t="s">
        <v>688</v>
      </c>
    </row>
    <row r="436" spans="1:13" x14ac:dyDescent="0.2">
      <c r="A436" s="431" t="s">
        <v>687</v>
      </c>
      <c r="B436" s="431">
        <v>1690010</v>
      </c>
      <c r="C436" s="431" t="s">
        <v>159</v>
      </c>
      <c r="D436" s="431" t="s">
        <v>160</v>
      </c>
      <c r="E436" s="431" t="s">
        <v>161</v>
      </c>
      <c r="F436" s="431" t="s">
        <v>675</v>
      </c>
      <c r="G436" s="431" t="s">
        <v>175</v>
      </c>
      <c r="H436" s="431"/>
      <c r="I436" s="431"/>
      <c r="J436" s="431"/>
      <c r="K436" s="431"/>
      <c r="L436" s="431" t="s">
        <v>650</v>
      </c>
      <c r="M436" s="431" t="s">
        <v>688</v>
      </c>
    </row>
    <row r="437" spans="1:13" x14ac:dyDescent="0.2">
      <c r="A437" s="431" t="s">
        <v>687</v>
      </c>
      <c r="B437" s="431">
        <v>1690010</v>
      </c>
      <c r="C437" s="431" t="s">
        <v>159</v>
      </c>
      <c r="D437" s="431" t="s">
        <v>160</v>
      </c>
      <c r="E437" s="431" t="s">
        <v>161</v>
      </c>
      <c r="F437" s="431" t="s">
        <v>675</v>
      </c>
      <c r="G437" s="431" t="s">
        <v>175</v>
      </c>
      <c r="H437" s="431"/>
      <c r="I437" s="431"/>
      <c r="J437" s="431"/>
      <c r="K437" s="431"/>
      <c r="L437" s="431" t="s">
        <v>650</v>
      </c>
      <c r="M437" s="431" t="s">
        <v>688</v>
      </c>
    </row>
    <row r="438" spans="1:13" x14ac:dyDescent="0.2">
      <c r="A438" s="431" t="s">
        <v>687</v>
      </c>
      <c r="B438" s="431">
        <v>1690010</v>
      </c>
      <c r="C438" s="431" t="s">
        <v>159</v>
      </c>
      <c r="D438" s="431" t="s">
        <v>160</v>
      </c>
      <c r="E438" s="431" t="s">
        <v>161</v>
      </c>
      <c r="F438" s="431" t="s">
        <v>675</v>
      </c>
      <c r="G438" s="431" t="s">
        <v>175</v>
      </c>
      <c r="H438" s="431"/>
      <c r="I438" s="431"/>
      <c r="J438" s="431"/>
      <c r="K438" s="431"/>
      <c r="L438" s="431" t="s">
        <v>650</v>
      </c>
      <c r="M438" s="431" t="s">
        <v>688</v>
      </c>
    </row>
    <row r="439" spans="1:13" x14ac:dyDescent="0.2">
      <c r="A439" s="431" t="s">
        <v>687</v>
      </c>
      <c r="B439" s="431">
        <v>1690010</v>
      </c>
      <c r="C439" s="431" t="s">
        <v>159</v>
      </c>
      <c r="D439" s="431" t="s">
        <v>160</v>
      </c>
      <c r="E439" s="431" t="s">
        <v>161</v>
      </c>
      <c r="F439" s="431" t="s">
        <v>675</v>
      </c>
      <c r="G439" s="431" t="s">
        <v>175</v>
      </c>
      <c r="H439" s="431"/>
      <c r="I439" s="431"/>
      <c r="J439" s="431"/>
      <c r="K439" s="431"/>
      <c r="L439" s="431" t="s">
        <v>650</v>
      </c>
      <c r="M439" s="431" t="s">
        <v>688</v>
      </c>
    </row>
    <row r="440" spans="1:13" x14ac:dyDescent="0.2">
      <c r="A440" s="431" t="s">
        <v>687</v>
      </c>
      <c r="B440" s="431">
        <v>1690010</v>
      </c>
      <c r="C440" s="431" t="s">
        <v>159</v>
      </c>
      <c r="D440" s="431" t="s">
        <v>160</v>
      </c>
      <c r="E440" s="431" t="s">
        <v>161</v>
      </c>
      <c r="F440" s="431" t="s">
        <v>675</v>
      </c>
      <c r="G440" s="431" t="s">
        <v>175</v>
      </c>
      <c r="H440" s="431"/>
      <c r="I440" s="431"/>
      <c r="J440" s="431"/>
      <c r="K440" s="431"/>
      <c r="L440" s="431" t="s">
        <v>650</v>
      </c>
      <c r="M440" s="431" t="s">
        <v>688</v>
      </c>
    </row>
    <row r="441" spans="1:13" x14ac:dyDescent="0.2">
      <c r="A441" s="431" t="s">
        <v>691</v>
      </c>
      <c r="B441" s="431">
        <v>1690206</v>
      </c>
      <c r="C441" s="431" t="s">
        <v>159</v>
      </c>
      <c r="D441" s="431" t="s">
        <v>160</v>
      </c>
      <c r="E441" s="431" t="s">
        <v>161</v>
      </c>
      <c r="F441" s="431" t="s">
        <v>655</v>
      </c>
      <c r="G441" s="431" t="s">
        <v>175</v>
      </c>
      <c r="H441" s="431"/>
      <c r="I441" s="431"/>
      <c r="J441" s="431"/>
      <c r="K441" s="431"/>
      <c r="L441" s="431" t="s">
        <v>683</v>
      </c>
      <c r="M441" s="431" t="s">
        <v>692</v>
      </c>
    </row>
    <row r="442" spans="1:13" x14ac:dyDescent="0.2">
      <c r="A442" s="431" t="s">
        <v>691</v>
      </c>
      <c r="B442" s="431">
        <v>1690206</v>
      </c>
      <c r="C442" s="431" t="s">
        <v>159</v>
      </c>
      <c r="D442" s="431" t="s">
        <v>160</v>
      </c>
      <c r="E442" s="431" t="s">
        <v>161</v>
      </c>
      <c r="F442" s="431" t="s">
        <v>655</v>
      </c>
      <c r="G442" s="431" t="s">
        <v>175</v>
      </c>
      <c r="H442" s="431"/>
      <c r="I442" s="431"/>
      <c r="J442" s="431"/>
      <c r="K442" s="431"/>
      <c r="L442" s="431" t="s">
        <v>683</v>
      </c>
      <c r="M442" s="431" t="s">
        <v>692</v>
      </c>
    </row>
    <row r="443" spans="1:13" x14ac:dyDescent="0.2">
      <c r="A443" s="431" t="s">
        <v>691</v>
      </c>
      <c r="B443" s="431">
        <v>1690206</v>
      </c>
      <c r="C443" s="431" t="s">
        <v>159</v>
      </c>
      <c r="D443" s="431" t="s">
        <v>160</v>
      </c>
      <c r="E443" s="431" t="s">
        <v>161</v>
      </c>
      <c r="F443" s="431" t="s">
        <v>655</v>
      </c>
      <c r="G443" s="431" t="s">
        <v>175</v>
      </c>
      <c r="H443" s="431"/>
      <c r="I443" s="431"/>
      <c r="J443" s="431"/>
      <c r="K443" s="431"/>
      <c r="L443" s="431" t="s">
        <v>683</v>
      </c>
      <c r="M443" s="431" t="s">
        <v>692</v>
      </c>
    </row>
    <row r="444" spans="1:13" x14ac:dyDescent="0.2">
      <c r="A444" s="431" t="s">
        <v>691</v>
      </c>
      <c r="B444" s="431">
        <v>1690206</v>
      </c>
      <c r="C444" s="431" t="s">
        <v>159</v>
      </c>
      <c r="D444" s="431" t="s">
        <v>160</v>
      </c>
      <c r="E444" s="431" t="s">
        <v>161</v>
      </c>
      <c r="F444" s="431" t="s">
        <v>656</v>
      </c>
      <c r="G444" s="431" t="s">
        <v>175</v>
      </c>
      <c r="H444" s="431"/>
      <c r="I444" s="431"/>
      <c r="J444" s="431"/>
      <c r="K444" s="431"/>
      <c r="L444" s="431" t="s">
        <v>683</v>
      </c>
      <c r="M444" s="431" t="s">
        <v>692</v>
      </c>
    </row>
    <row r="445" spans="1:13" x14ac:dyDescent="0.2">
      <c r="A445" s="431" t="s">
        <v>691</v>
      </c>
      <c r="B445" s="431">
        <v>1690206</v>
      </c>
      <c r="C445" s="431" t="s">
        <v>159</v>
      </c>
      <c r="D445" s="431" t="s">
        <v>160</v>
      </c>
      <c r="E445" s="431" t="s">
        <v>161</v>
      </c>
      <c r="F445" s="431" t="s">
        <v>693</v>
      </c>
      <c r="G445" s="431" t="s">
        <v>175</v>
      </c>
      <c r="H445" s="431"/>
      <c r="I445" s="431"/>
      <c r="J445" s="431"/>
      <c r="K445" s="431"/>
      <c r="L445" s="431" t="s">
        <v>683</v>
      </c>
      <c r="M445" s="431" t="s">
        <v>692</v>
      </c>
    </row>
    <row r="446" spans="1:13" x14ac:dyDescent="0.2">
      <c r="A446" s="431" t="s">
        <v>691</v>
      </c>
      <c r="B446" s="431">
        <v>1690206</v>
      </c>
      <c r="C446" s="431" t="s">
        <v>159</v>
      </c>
      <c r="D446" s="431" t="s">
        <v>160</v>
      </c>
      <c r="E446" s="431" t="s">
        <v>161</v>
      </c>
      <c r="F446" s="431" t="s">
        <v>693</v>
      </c>
      <c r="G446" s="431" t="s">
        <v>175</v>
      </c>
      <c r="H446" s="431"/>
      <c r="I446" s="431"/>
      <c r="J446" s="431"/>
      <c r="K446" s="431"/>
      <c r="L446" s="431" t="s">
        <v>683</v>
      </c>
      <c r="M446" s="431" t="s">
        <v>692</v>
      </c>
    </row>
    <row r="447" spans="1:13" x14ac:dyDescent="0.2">
      <c r="A447" s="431" t="s">
        <v>691</v>
      </c>
      <c r="B447" s="431">
        <v>1690206</v>
      </c>
      <c r="C447" s="431" t="s">
        <v>159</v>
      </c>
      <c r="D447" s="431" t="s">
        <v>160</v>
      </c>
      <c r="E447" s="431" t="s">
        <v>161</v>
      </c>
      <c r="F447" s="431" t="s">
        <v>693</v>
      </c>
      <c r="G447" s="431" t="s">
        <v>175</v>
      </c>
      <c r="H447" s="431"/>
      <c r="I447" s="431"/>
      <c r="J447" s="431"/>
      <c r="K447" s="431"/>
      <c r="L447" s="431" t="s">
        <v>683</v>
      </c>
      <c r="M447" s="431" t="s">
        <v>692</v>
      </c>
    </row>
    <row r="448" spans="1:13" x14ac:dyDescent="0.2">
      <c r="A448" s="431" t="s">
        <v>691</v>
      </c>
      <c r="B448" s="431">
        <v>1690206</v>
      </c>
      <c r="C448" s="431" t="s">
        <v>159</v>
      </c>
      <c r="D448" s="431" t="s">
        <v>160</v>
      </c>
      <c r="E448" s="431" t="s">
        <v>161</v>
      </c>
      <c r="F448" s="431" t="s">
        <v>694</v>
      </c>
      <c r="G448" s="431" t="s">
        <v>175</v>
      </c>
      <c r="H448" s="431"/>
      <c r="I448" s="431"/>
      <c r="J448" s="431"/>
      <c r="K448" s="431"/>
      <c r="L448" s="431" t="s">
        <v>683</v>
      </c>
      <c r="M448" s="431" t="s">
        <v>692</v>
      </c>
    </row>
    <row r="449" spans="1:13" x14ac:dyDescent="0.2">
      <c r="A449" s="431" t="s">
        <v>691</v>
      </c>
      <c r="B449" s="431">
        <v>1690206</v>
      </c>
      <c r="C449" s="431" t="s">
        <v>159</v>
      </c>
      <c r="D449" s="431" t="s">
        <v>160</v>
      </c>
      <c r="E449" s="431" t="s">
        <v>161</v>
      </c>
      <c r="F449" s="431" t="s">
        <v>668</v>
      </c>
      <c r="G449" s="431" t="s">
        <v>175</v>
      </c>
      <c r="H449" s="431"/>
      <c r="I449" s="431"/>
      <c r="J449" s="431"/>
      <c r="K449" s="431"/>
      <c r="L449" s="431" t="s">
        <v>683</v>
      </c>
      <c r="M449" s="431" t="s">
        <v>692</v>
      </c>
    </row>
    <row r="450" spans="1:13" x14ac:dyDescent="0.2">
      <c r="A450" s="431" t="s">
        <v>691</v>
      </c>
      <c r="B450" s="431">
        <v>1690206</v>
      </c>
      <c r="C450" s="431" t="s">
        <v>159</v>
      </c>
      <c r="D450" s="431" t="s">
        <v>160</v>
      </c>
      <c r="E450" s="431" t="s">
        <v>161</v>
      </c>
      <c r="F450" s="431" t="s">
        <v>668</v>
      </c>
      <c r="G450" s="431" t="s">
        <v>175</v>
      </c>
      <c r="H450" s="431"/>
      <c r="I450" s="431"/>
      <c r="J450" s="431"/>
      <c r="K450" s="431"/>
      <c r="L450" s="431" t="s">
        <v>683</v>
      </c>
      <c r="M450" s="431" t="s">
        <v>692</v>
      </c>
    </row>
    <row r="451" spans="1:13" x14ac:dyDescent="0.2">
      <c r="A451" s="431" t="s">
        <v>691</v>
      </c>
      <c r="B451" s="431">
        <v>1690206</v>
      </c>
      <c r="C451" s="431" t="s">
        <v>159</v>
      </c>
      <c r="D451" s="431" t="s">
        <v>160</v>
      </c>
      <c r="E451" s="431" t="s">
        <v>161</v>
      </c>
      <c r="F451" s="431" t="s">
        <v>668</v>
      </c>
      <c r="G451" s="431" t="s">
        <v>175</v>
      </c>
      <c r="H451" s="431"/>
      <c r="I451" s="431"/>
      <c r="J451" s="431"/>
      <c r="K451" s="431"/>
      <c r="L451" s="431" t="s">
        <v>683</v>
      </c>
      <c r="M451" s="431" t="s">
        <v>692</v>
      </c>
    </row>
    <row r="452" spans="1:13" x14ac:dyDescent="0.2">
      <c r="A452" s="431" t="s">
        <v>691</v>
      </c>
      <c r="B452" s="431">
        <v>1690206</v>
      </c>
      <c r="C452" s="431" t="s">
        <v>159</v>
      </c>
      <c r="D452" s="431" t="s">
        <v>160</v>
      </c>
      <c r="E452" s="431" t="s">
        <v>161</v>
      </c>
      <c r="F452" s="431" t="s">
        <v>668</v>
      </c>
      <c r="G452" s="431" t="s">
        <v>175</v>
      </c>
      <c r="H452" s="431"/>
      <c r="I452" s="431"/>
      <c r="J452" s="431"/>
      <c r="K452" s="431"/>
      <c r="L452" s="431" t="s">
        <v>683</v>
      </c>
      <c r="M452" s="431" t="s">
        <v>692</v>
      </c>
    </row>
    <row r="453" spans="1:13" x14ac:dyDescent="0.2">
      <c r="A453" s="431" t="s">
        <v>691</v>
      </c>
      <c r="B453" s="431">
        <v>1690206</v>
      </c>
      <c r="C453" s="431" t="s">
        <v>159</v>
      </c>
      <c r="D453" s="431" t="s">
        <v>160</v>
      </c>
      <c r="E453" s="431" t="s">
        <v>161</v>
      </c>
      <c r="F453" s="431" t="s">
        <v>668</v>
      </c>
      <c r="G453" s="431" t="s">
        <v>175</v>
      </c>
      <c r="H453" s="431"/>
      <c r="I453" s="431"/>
      <c r="J453" s="431"/>
      <c r="K453" s="431"/>
      <c r="L453" s="431" t="s">
        <v>683</v>
      </c>
      <c r="M453" s="431" t="s">
        <v>692</v>
      </c>
    </row>
    <row r="454" spans="1:13" x14ac:dyDescent="0.2">
      <c r="A454" s="431" t="s">
        <v>691</v>
      </c>
      <c r="B454" s="431">
        <v>1690206</v>
      </c>
      <c r="C454" s="431" t="s">
        <v>159</v>
      </c>
      <c r="D454" s="431" t="s">
        <v>160</v>
      </c>
      <c r="E454" s="431" t="s">
        <v>161</v>
      </c>
      <c r="F454" s="431" t="s">
        <v>668</v>
      </c>
      <c r="G454" s="431" t="s">
        <v>175</v>
      </c>
      <c r="H454" s="431"/>
      <c r="I454" s="431"/>
      <c r="J454" s="431"/>
      <c r="K454" s="431"/>
      <c r="L454" s="431" t="s">
        <v>683</v>
      </c>
      <c r="M454" s="431" t="s">
        <v>692</v>
      </c>
    </row>
    <row r="455" spans="1:13" x14ac:dyDescent="0.2">
      <c r="A455" s="431" t="s">
        <v>691</v>
      </c>
      <c r="B455" s="431">
        <v>1690206</v>
      </c>
      <c r="C455" s="431" t="s">
        <v>159</v>
      </c>
      <c r="D455" s="431" t="s">
        <v>160</v>
      </c>
      <c r="E455" s="431" t="s">
        <v>161</v>
      </c>
      <c r="F455" s="431" t="s">
        <v>668</v>
      </c>
      <c r="G455" s="431" t="s">
        <v>175</v>
      </c>
      <c r="H455" s="431"/>
      <c r="I455" s="431"/>
      <c r="J455" s="431"/>
      <c r="K455" s="431"/>
      <c r="L455" s="431" t="s">
        <v>683</v>
      </c>
      <c r="M455" s="431" t="s">
        <v>692</v>
      </c>
    </row>
    <row r="456" spans="1:13" x14ac:dyDescent="0.2">
      <c r="A456" s="431" t="s">
        <v>691</v>
      </c>
      <c r="B456" s="431">
        <v>1690206</v>
      </c>
      <c r="C456" s="431" t="s">
        <v>159</v>
      </c>
      <c r="D456" s="431" t="s">
        <v>160</v>
      </c>
      <c r="E456" s="431" t="s">
        <v>161</v>
      </c>
      <c r="F456" s="431" t="s">
        <v>668</v>
      </c>
      <c r="G456" s="431" t="s">
        <v>175</v>
      </c>
      <c r="H456" s="431"/>
      <c r="I456" s="431"/>
      <c r="J456" s="431"/>
      <c r="K456" s="431"/>
      <c r="L456" s="431" t="s">
        <v>683</v>
      </c>
      <c r="M456" s="431" t="s">
        <v>692</v>
      </c>
    </row>
    <row r="457" spans="1:13" x14ac:dyDescent="0.2">
      <c r="A457" s="431" t="s">
        <v>691</v>
      </c>
      <c r="B457" s="431">
        <v>1690206</v>
      </c>
      <c r="C457" s="431" t="s">
        <v>159</v>
      </c>
      <c r="D457" s="431" t="s">
        <v>160</v>
      </c>
      <c r="E457" s="431" t="s">
        <v>161</v>
      </c>
      <c r="F457" s="431" t="s">
        <v>668</v>
      </c>
      <c r="G457" s="431" t="s">
        <v>175</v>
      </c>
      <c r="H457" s="431"/>
      <c r="I457" s="431"/>
      <c r="J457" s="431"/>
      <c r="K457" s="431"/>
      <c r="L457" s="431" t="s">
        <v>683</v>
      </c>
      <c r="M457" s="431" t="s">
        <v>692</v>
      </c>
    </row>
    <row r="458" spans="1:13" x14ac:dyDescent="0.2">
      <c r="A458" s="431" t="s">
        <v>691</v>
      </c>
      <c r="B458" s="431">
        <v>1690206</v>
      </c>
      <c r="C458" s="431" t="s">
        <v>159</v>
      </c>
      <c r="D458" s="431" t="s">
        <v>160</v>
      </c>
      <c r="E458" s="431" t="s">
        <v>161</v>
      </c>
      <c r="F458" s="431" t="s">
        <v>668</v>
      </c>
      <c r="G458" s="431" t="s">
        <v>175</v>
      </c>
      <c r="H458" s="431"/>
      <c r="I458" s="431"/>
      <c r="J458" s="431"/>
      <c r="K458" s="431"/>
      <c r="L458" s="431" t="s">
        <v>683</v>
      </c>
      <c r="M458" s="431" t="s">
        <v>692</v>
      </c>
    </row>
    <row r="459" spans="1:13" x14ac:dyDescent="0.2">
      <c r="A459" s="431" t="s">
        <v>691</v>
      </c>
      <c r="B459" s="431">
        <v>1690206</v>
      </c>
      <c r="C459" s="431" t="s">
        <v>159</v>
      </c>
      <c r="D459" s="431" t="s">
        <v>160</v>
      </c>
      <c r="E459" s="431" t="s">
        <v>161</v>
      </c>
      <c r="F459" s="431" t="s">
        <v>668</v>
      </c>
      <c r="G459" s="431" t="s">
        <v>175</v>
      </c>
      <c r="H459" s="431"/>
      <c r="I459" s="431"/>
      <c r="J459" s="431"/>
      <c r="K459" s="431"/>
      <c r="L459" s="431" t="s">
        <v>683</v>
      </c>
      <c r="M459" s="431" t="s">
        <v>692</v>
      </c>
    </row>
    <row r="460" spans="1:13" x14ac:dyDescent="0.2">
      <c r="A460" s="431" t="s">
        <v>691</v>
      </c>
      <c r="B460" s="431">
        <v>1690206</v>
      </c>
      <c r="C460" s="431" t="s">
        <v>159</v>
      </c>
      <c r="D460" s="431" t="s">
        <v>160</v>
      </c>
      <c r="E460" s="431" t="s">
        <v>161</v>
      </c>
      <c r="F460" s="431" t="s">
        <v>668</v>
      </c>
      <c r="G460" s="431" t="s">
        <v>175</v>
      </c>
      <c r="H460" s="431"/>
      <c r="I460" s="431"/>
      <c r="J460" s="431"/>
      <c r="K460" s="431"/>
      <c r="L460" s="431" t="s">
        <v>683</v>
      </c>
      <c r="M460" s="431" t="s">
        <v>692</v>
      </c>
    </row>
    <row r="461" spans="1:13" x14ac:dyDescent="0.2">
      <c r="A461" s="431" t="s">
        <v>691</v>
      </c>
      <c r="B461" s="431">
        <v>1690206</v>
      </c>
      <c r="C461" s="431" t="s">
        <v>159</v>
      </c>
      <c r="D461" s="431" t="s">
        <v>160</v>
      </c>
      <c r="E461" s="431" t="s">
        <v>161</v>
      </c>
      <c r="F461" s="431" t="s">
        <v>668</v>
      </c>
      <c r="G461" s="431" t="s">
        <v>175</v>
      </c>
      <c r="H461" s="431"/>
      <c r="I461" s="431"/>
      <c r="J461" s="431"/>
      <c r="K461" s="431"/>
      <c r="L461" s="431" t="s">
        <v>683</v>
      </c>
      <c r="M461" s="431" t="s">
        <v>692</v>
      </c>
    </row>
    <row r="462" spans="1:13" x14ac:dyDescent="0.2">
      <c r="A462" s="431" t="s">
        <v>691</v>
      </c>
      <c r="B462" s="431">
        <v>1690206</v>
      </c>
      <c r="C462" s="431" t="s">
        <v>159</v>
      </c>
      <c r="D462" s="431" t="s">
        <v>160</v>
      </c>
      <c r="E462" s="431" t="s">
        <v>161</v>
      </c>
      <c r="F462" s="431" t="s">
        <v>668</v>
      </c>
      <c r="G462" s="431" t="s">
        <v>175</v>
      </c>
      <c r="H462" s="431"/>
      <c r="I462" s="431"/>
      <c r="J462" s="431"/>
      <c r="K462" s="431"/>
      <c r="L462" s="431" t="s">
        <v>683</v>
      </c>
      <c r="M462" s="431" t="s">
        <v>692</v>
      </c>
    </row>
    <row r="463" spans="1:13" x14ac:dyDescent="0.2">
      <c r="A463" s="431" t="s">
        <v>691</v>
      </c>
      <c r="B463" s="431">
        <v>1690206</v>
      </c>
      <c r="C463" s="431" t="s">
        <v>159</v>
      </c>
      <c r="D463" s="431" t="s">
        <v>160</v>
      </c>
      <c r="E463" s="431" t="s">
        <v>161</v>
      </c>
      <c r="F463" s="431" t="s">
        <v>668</v>
      </c>
      <c r="G463" s="431" t="s">
        <v>175</v>
      </c>
      <c r="H463" s="431"/>
      <c r="I463" s="431"/>
      <c r="J463" s="431"/>
      <c r="K463" s="431"/>
      <c r="L463" s="431" t="s">
        <v>683</v>
      </c>
      <c r="M463" s="431" t="s">
        <v>692</v>
      </c>
    </row>
    <row r="464" spans="1:13" x14ac:dyDescent="0.2">
      <c r="A464" s="431" t="s">
        <v>691</v>
      </c>
      <c r="B464" s="431">
        <v>1690206</v>
      </c>
      <c r="C464" s="431" t="s">
        <v>159</v>
      </c>
      <c r="D464" s="431" t="s">
        <v>160</v>
      </c>
      <c r="E464" s="431" t="s">
        <v>161</v>
      </c>
      <c r="F464" s="431" t="s">
        <v>668</v>
      </c>
      <c r="G464" s="431" t="s">
        <v>175</v>
      </c>
      <c r="H464" s="431"/>
      <c r="I464" s="431"/>
      <c r="J464" s="431"/>
      <c r="K464" s="431"/>
      <c r="L464" s="431" t="s">
        <v>683</v>
      </c>
      <c r="M464" s="431" t="s">
        <v>692</v>
      </c>
    </row>
    <row r="465" spans="1:13" x14ac:dyDescent="0.2">
      <c r="A465" s="431" t="s">
        <v>691</v>
      </c>
      <c r="B465" s="431">
        <v>1690206</v>
      </c>
      <c r="C465" s="431" t="s">
        <v>159</v>
      </c>
      <c r="D465" s="431" t="s">
        <v>160</v>
      </c>
      <c r="E465" s="431" t="s">
        <v>161</v>
      </c>
      <c r="F465" s="431" t="s">
        <v>668</v>
      </c>
      <c r="G465" s="431" t="s">
        <v>175</v>
      </c>
      <c r="H465" s="431"/>
      <c r="I465" s="431"/>
      <c r="J465" s="431"/>
      <c r="K465" s="431"/>
      <c r="L465" s="431" t="s">
        <v>683</v>
      </c>
      <c r="M465" s="431" t="s">
        <v>692</v>
      </c>
    </row>
    <row r="466" spans="1:13" x14ac:dyDescent="0.2">
      <c r="A466" s="431" t="s">
        <v>691</v>
      </c>
      <c r="B466" s="431">
        <v>1690206</v>
      </c>
      <c r="C466" s="431" t="s">
        <v>159</v>
      </c>
      <c r="D466" s="431" t="s">
        <v>160</v>
      </c>
      <c r="E466" s="431" t="s">
        <v>161</v>
      </c>
      <c r="F466" s="431" t="s">
        <v>668</v>
      </c>
      <c r="G466" s="431" t="s">
        <v>175</v>
      </c>
      <c r="H466" s="431"/>
      <c r="I466" s="431"/>
      <c r="J466" s="431"/>
      <c r="K466" s="431"/>
      <c r="L466" s="431" t="s">
        <v>683</v>
      </c>
      <c r="M466" s="431" t="s">
        <v>692</v>
      </c>
    </row>
    <row r="467" spans="1:13" x14ac:dyDescent="0.2">
      <c r="A467" s="431" t="s">
        <v>691</v>
      </c>
      <c r="B467" s="431">
        <v>1690206</v>
      </c>
      <c r="C467" s="431" t="s">
        <v>159</v>
      </c>
      <c r="D467" s="431" t="s">
        <v>160</v>
      </c>
      <c r="E467" s="431" t="s">
        <v>161</v>
      </c>
      <c r="F467" s="431" t="s">
        <v>668</v>
      </c>
      <c r="G467" s="431" t="s">
        <v>175</v>
      </c>
      <c r="H467" s="431"/>
      <c r="I467" s="431"/>
      <c r="J467" s="431"/>
      <c r="K467" s="431"/>
      <c r="L467" s="431" t="s">
        <v>683</v>
      </c>
      <c r="M467" s="431" t="s">
        <v>692</v>
      </c>
    </row>
    <row r="468" spans="1:13" x14ac:dyDescent="0.2">
      <c r="A468" s="431" t="s">
        <v>691</v>
      </c>
      <c r="B468" s="431">
        <v>1690206</v>
      </c>
      <c r="C468" s="431" t="s">
        <v>159</v>
      </c>
      <c r="D468" s="431" t="s">
        <v>160</v>
      </c>
      <c r="E468" s="431" t="s">
        <v>161</v>
      </c>
      <c r="F468" s="431" t="s">
        <v>668</v>
      </c>
      <c r="G468" s="431" t="s">
        <v>175</v>
      </c>
      <c r="H468" s="431"/>
      <c r="I468" s="431"/>
      <c r="J468" s="431"/>
      <c r="K468" s="431"/>
      <c r="L468" s="431" t="s">
        <v>683</v>
      </c>
      <c r="M468" s="431" t="s">
        <v>692</v>
      </c>
    </row>
    <row r="469" spans="1:13" x14ac:dyDescent="0.2">
      <c r="A469" s="431" t="s">
        <v>691</v>
      </c>
      <c r="B469" s="431">
        <v>1690206</v>
      </c>
      <c r="C469" s="431" t="s">
        <v>159</v>
      </c>
      <c r="D469" s="431" t="s">
        <v>160</v>
      </c>
      <c r="E469" s="431" t="s">
        <v>161</v>
      </c>
      <c r="F469" s="431" t="s">
        <v>668</v>
      </c>
      <c r="G469" s="431" t="s">
        <v>175</v>
      </c>
      <c r="H469" s="431"/>
      <c r="I469" s="431"/>
      <c r="J469" s="431"/>
      <c r="K469" s="431"/>
      <c r="L469" s="431" t="s">
        <v>683</v>
      </c>
      <c r="M469" s="431" t="s">
        <v>692</v>
      </c>
    </row>
    <row r="470" spans="1:13" x14ac:dyDescent="0.2">
      <c r="A470" s="431" t="s">
        <v>691</v>
      </c>
      <c r="B470" s="431">
        <v>1690206</v>
      </c>
      <c r="C470" s="431" t="s">
        <v>159</v>
      </c>
      <c r="D470" s="431" t="s">
        <v>160</v>
      </c>
      <c r="E470" s="431" t="s">
        <v>161</v>
      </c>
      <c r="F470" s="431" t="s">
        <v>668</v>
      </c>
      <c r="G470" s="431" t="s">
        <v>175</v>
      </c>
      <c r="H470" s="431"/>
      <c r="I470" s="431"/>
      <c r="J470" s="431"/>
      <c r="K470" s="431"/>
      <c r="L470" s="431" t="s">
        <v>683</v>
      </c>
      <c r="M470" s="431" t="s">
        <v>692</v>
      </c>
    </row>
    <row r="471" spans="1:13" x14ac:dyDescent="0.2">
      <c r="A471" s="431" t="s">
        <v>691</v>
      </c>
      <c r="B471" s="431">
        <v>1690206</v>
      </c>
      <c r="C471" s="431" t="s">
        <v>159</v>
      </c>
      <c r="D471" s="431" t="s">
        <v>160</v>
      </c>
      <c r="E471" s="431" t="s">
        <v>161</v>
      </c>
      <c r="F471" s="431" t="s">
        <v>668</v>
      </c>
      <c r="G471" s="431" t="s">
        <v>175</v>
      </c>
      <c r="H471" s="431"/>
      <c r="I471" s="431"/>
      <c r="J471" s="431"/>
      <c r="K471" s="431"/>
      <c r="L471" s="431" t="s">
        <v>683</v>
      </c>
      <c r="M471" s="431" t="s">
        <v>692</v>
      </c>
    </row>
    <row r="472" spans="1:13" x14ac:dyDescent="0.2">
      <c r="A472" s="431" t="s">
        <v>691</v>
      </c>
      <c r="B472" s="431">
        <v>1690206</v>
      </c>
      <c r="C472" s="431" t="s">
        <v>159</v>
      </c>
      <c r="D472" s="431" t="s">
        <v>160</v>
      </c>
      <c r="E472" s="431" t="s">
        <v>161</v>
      </c>
      <c r="F472" s="431" t="s">
        <v>668</v>
      </c>
      <c r="G472" s="431" t="s">
        <v>175</v>
      </c>
      <c r="H472" s="431"/>
      <c r="I472" s="431"/>
      <c r="J472" s="431"/>
      <c r="K472" s="431"/>
      <c r="L472" s="431" t="s">
        <v>683</v>
      </c>
      <c r="M472" s="431" t="s">
        <v>692</v>
      </c>
    </row>
    <row r="473" spans="1:13" x14ac:dyDescent="0.2">
      <c r="A473" s="431" t="s">
        <v>691</v>
      </c>
      <c r="B473" s="431">
        <v>1690206</v>
      </c>
      <c r="C473" s="431" t="s">
        <v>159</v>
      </c>
      <c r="D473" s="431" t="s">
        <v>160</v>
      </c>
      <c r="E473" s="431" t="s">
        <v>161</v>
      </c>
      <c r="F473" s="431" t="s">
        <v>668</v>
      </c>
      <c r="G473" s="431" t="s">
        <v>175</v>
      </c>
      <c r="H473" s="431"/>
      <c r="I473" s="431"/>
      <c r="J473" s="431"/>
      <c r="K473" s="431"/>
      <c r="L473" s="431" t="s">
        <v>683</v>
      </c>
      <c r="M473" s="431" t="s">
        <v>692</v>
      </c>
    </row>
    <row r="474" spans="1:13" x14ac:dyDescent="0.2">
      <c r="A474" s="431" t="s">
        <v>691</v>
      </c>
      <c r="B474" s="431">
        <v>1690206</v>
      </c>
      <c r="C474" s="431" t="s">
        <v>159</v>
      </c>
      <c r="D474" s="431" t="s">
        <v>160</v>
      </c>
      <c r="E474" s="431" t="s">
        <v>161</v>
      </c>
      <c r="F474" s="431" t="s">
        <v>668</v>
      </c>
      <c r="G474" s="431" t="s">
        <v>175</v>
      </c>
      <c r="H474" s="431"/>
      <c r="I474" s="431"/>
      <c r="J474" s="431"/>
      <c r="K474" s="431"/>
      <c r="L474" s="431" t="s">
        <v>683</v>
      </c>
      <c r="M474" s="431" t="s">
        <v>692</v>
      </c>
    </row>
    <row r="475" spans="1:13" x14ac:dyDescent="0.2">
      <c r="A475" s="431" t="s">
        <v>691</v>
      </c>
      <c r="B475" s="431">
        <v>1690206</v>
      </c>
      <c r="C475" s="431" t="s">
        <v>159</v>
      </c>
      <c r="D475" s="431" t="s">
        <v>160</v>
      </c>
      <c r="E475" s="431" t="s">
        <v>161</v>
      </c>
      <c r="F475" s="431" t="s">
        <v>668</v>
      </c>
      <c r="G475" s="431" t="s">
        <v>175</v>
      </c>
      <c r="H475" s="431"/>
      <c r="I475" s="431"/>
      <c r="J475" s="431"/>
      <c r="K475" s="431"/>
      <c r="L475" s="431" t="s">
        <v>683</v>
      </c>
      <c r="M475" s="431" t="s">
        <v>692</v>
      </c>
    </row>
    <row r="476" spans="1:13" x14ac:dyDescent="0.2">
      <c r="A476" s="431" t="s">
        <v>691</v>
      </c>
      <c r="B476" s="431">
        <v>1690206</v>
      </c>
      <c r="C476" s="431" t="s">
        <v>159</v>
      </c>
      <c r="D476" s="431" t="s">
        <v>160</v>
      </c>
      <c r="E476" s="431" t="s">
        <v>161</v>
      </c>
      <c r="F476" s="431" t="s">
        <v>668</v>
      </c>
      <c r="G476" s="431" t="s">
        <v>175</v>
      </c>
      <c r="H476" s="431"/>
      <c r="I476" s="431"/>
      <c r="J476" s="431"/>
      <c r="K476" s="431"/>
      <c r="L476" s="431" t="s">
        <v>683</v>
      </c>
      <c r="M476" s="431" t="s">
        <v>692</v>
      </c>
    </row>
    <row r="477" spans="1:13" x14ac:dyDescent="0.2">
      <c r="A477" s="431" t="s">
        <v>691</v>
      </c>
      <c r="B477" s="431">
        <v>1690206</v>
      </c>
      <c r="C477" s="431" t="s">
        <v>159</v>
      </c>
      <c r="D477" s="431" t="s">
        <v>160</v>
      </c>
      <c r="E477" s="431" t="s">
        <v>161</v>
      </c>
      <c r="F477" s="431" t="s">
        <v>668</v>
      </c>
      <c r="G477" s="431" t="s">
        <v>175</v>
      </c>
      <c r="H477" s="431"/>
      <c r="I477" s="431"/>
      <c r="J477" s="431"/>
      <c r="K477" s="431"/>
      <c r="L477" s="431" t="s">
        <v>683</v>
      </c>
      <c r="M477" s="431" t="s">
        <v>692</v>
      </c>
    </row>
    <row r="478" spans="1:13" x14ac:dyDescent="0.2">
      <c r="A478" s="431" t="s">
        <v>691</v>
      </c>
      <c r="B478" s="431">
        <v>1690206</v>
      </c>
      <c r="C478" s="431" t="s">
        <v>159</v>
      </c>
      <c r="D478" s="431" t="s">
        <v>160</v>
      </c>
      <c r="E478" s="431" t="s">
        <v>161</v>
      </c>
      <c r="F478" s="431" t="s">
        <v>668</v>
      </c>
      <c r="G478" s="431" t="s">
        <v>175</v>
      </c>
      <c r="H478" s="431"/>
      <c r="I478" s="431"/>
      <c r="J478" s="431"/>
      <c r="K478" s="431"/>
      <c r="L478" s="431" t="s">
        <v>683</v>
      </c>
      <c r="M478" s="431" t="s">
        <v>692</v>
      </c>
    </row>
    <row r="479" spans="1:13" x14ac:dyDescent="0.2">
      <c r="A479" s="431" t="s">
        <v>691</v>
      </c>
      <c r="B479" s="431">
        <v>1690206</v>
      </c>
      <c r="C479" s="431" t="s">
        <v>159</v>
      </c>
      <c r="D479" s="431" t="s">
        <v>160</v>
      </c>
      <c r="E479" s="431" t="s">
        <v>161</v>
      </c>
      <c r="F479" s="431" t="s">
        <v>668</v>
      </c>
      <c r="G479" s="431" t="s">
        <v>175</v>
      </c>
      <c r="H479" s="431"/>
      <c r="I479" s="431"/>
      <c r="J479" s="431"/>
      <c r="K479" s="431"/>
      <c r="L479" s="431" t="s">
        <v>683</v>
      </c>
      <c r="M479" s="431" t="s">
        <v>692</v>
      </c>
    </row>
    <row r="480" spans="1:13" x14ac:dyDescent="0.2">
      <c r="A480" s="431" t="s">
        <v>691</v>
      </c>
      <c r="B480" s="431">
        <v>1690206</v>
      </c>
      <c r="C480" s="431" t="s">
        <v>159</v>
      </c>
      <c r="D480" s="431" t="s">
        <v>160</v>
      </c>
      <c r="E480" s="431" t="s">
        <v>161</v>
      </c>
      <c r="F480" s="431" t="s">
        <v>668</v>
      </c>
      <c r="G480" s="431" t="s">
        <v>175</v>
      </c>
      <c r="H480" s="431"/>
      <c r="I480" s="431"/>
      <c r="J480" s="431"/>
      <c r="K480" s="431"/>
      <c r="L480" s="431" t="s">
        <v>683</v>
      </c>
      <c r="M480" s="431" t="s">
        <v>692</v>
      </c>
    </row>
    <row r="481" spans="1:13" x14ac:dyDescent="0.2">
      <c r="A481" s="431" t="s">
        <v>691</v>
      </c>
      <c r="B481" s="431">
        <v>1690206</v>
      </c>
      <c r="C481" s="431" t="s">
        <v>159</v>
      </c>
      <c r="D481" s="431" t="s">
        <v>160</v>
      </c>
      <c r="E481" s="431" t="s">
        <v>161</v>
      </c>
      <c r="F481" s="431" t="s">
        <v>668</v>
      </c>
      <c r="G481" s="431" t="s">
        <v>175</v>
      </c>
      <c r="H481" s="431"/>
      <c r="I481" s="431"/>
      <c r="J481" s="431"/>
      <c r="K481" s="431"/>
      <c r="L481" s="431" t="s">
        <v>683</v>
      </c>
      <c r="M481" s="431" t="s">
        <v>692</v>
      </c>
    </row>
    <row r="482" spans="1:13" x14ac:dyDescent="0.2">
      <c r="A482" s="431" t="s">
        <v>691</v>
      </c>
      <c r="B482" s="431">
        <v>1690206</v>
      </c>
      <c r="C482" s="431" t="s">
        <v>159</v>
      </c>
      <c r="D482" s="431" t="s">
        <v>160</v>
      </c>
      <c r="E482" s="431" t="s">
        <v>161</v>
      </c>
      <c r="F482" s="431" t="s">
        <v>668</v>
      </c>
      <c r="G482" s="431" t="s">
        <v>175</v>
      </c>
      <c r="H482" s="431"/>
      <c r="I482" s="431"/>
      <c r="J482" s="431"/>
      <c r="K482" s="431"/>
      <c r="L482" s="431" t="s">
        <v>683</v>
      </c>
      <c r="M482" s="431" t="s">
        <v>692</v>
      </c>
    </row>
    <row r="483" spans="1:13" x14ac:dyDescent="0.2">
      <c r="A483" s="431" t="s">
        <v>691</v>
      </c>
      <c r="B483" s="431">
        <v>1690206</v>
      </c>
      <c r="C483" s="431" t="s">
        <v>159</v>
      </c>
      <c r="D483" s="431" t="s">
        <v>160</v>
      </c>
      <c r="E483" s="431" t="s">
        <v>161</v>
      </c>
      <c r="F483" s="431" t="s">
        <v>668</v>
      </c>
      <c r="G483" s="431" t="s">
        <v>175</v>
      </c>
      <c r="H483" s="431"/>
      <c r="I483" s="431"/>
      <c r="J483" s="431"/>
      <c r="K483" s="431"/>
      <c r="L483" s="431" t="s">
        <v>683</v>
      </c>
      <c r="M483" s="431" t="s">
        <v>692</v>
      </c>
    </row>
    <row r="484" spans="1:13" x14ac:dyDescent="0.2">
      <c r="A484" s="431" t="s">
        <v>691</v>
      </c>
      <c r="B484" s="431">
        <v>1690206</v>
      </c>
      <c r="C484" s="431" t="s">
        <v>159</v>
      </c>
      <c r="D484" s="431" t="s">
        <v>160</v>
      </c>
      <c r="E484" s="431" t="s">
        <v>161</v>
      </c>
      <c r="F484" s="431" t="s">
        <v>668</v>
      </c>
      <c r="G484" s="431" t="s">
        <v>175</v>
      </c>
      <c r="H484" s="431"/>
      <c r="I484" s="431"/>
      <c r="J484" s="431"/>
      <c r="K484" s="431"/>
      <c r="L484" s="431" t="s">
        <v>683</v>
      </c>
      <c r="M484" s="431" t="s">
        <v>692</v>
      </c>
    </row>
    <row r="485" spans="1:13" x14ac:dyDescent="0.2">
      <c r="A485" s="431" t="s">
        <v>691</v>
      </c>
      <c r="B485" s="431">
        <v>1690206</v>
      </c>
      <c r="C485" s="431" t="s">
        <v>159</v>
      </c>
      <c r="D485" s="431" t="s">
        <v>160</v>
      </c>
      <c r="E485" s="431" t="s">
        <v>161</v>
      </c>
      <c r="F485" s="431" t="s">
        <v>668</v>
      </c>
      <c r="G485" s="431" t="s">
        <v>175</v>
      </c>
      <c r="H485" s="431"/>
      <c r="I485" s="431"/>
      <c r="J485" s="431"/>
      <c r="K485" s="431"/>
      <c r="L485" s="431" t="s">
        <v>683</v>
      </c>
      <c r="M485" s="431" t="s">
        <v>692</v>
      </c>
    </row>
    <row r="486" spans="1:13" x14ac:dyDescent="0.2">
      <c r="A486" s="431" t="s">
        <v>691</v>
      </c>
      <c r="B486" s="431">
        <v>1690206</v>
      </c>
      <c r="C486" s="431" t="s">
        <v>159</v>
      </c>
      <c r="D486" s="431" t="s">
        <v>160</v>
      </c>
      <c r="E486" s="431" t="s">
        <v>161</v>
      </c>
      <c r="F486" s="431" t="s">
        <v>668</v>
      </c>
      <c r="G486" s="431" t="s">
        <v>175</v>
      </c>
      <c r="H486" s="431"/>
      <c r="I486" s="431"/>
      <c r="J486" s="431"/>
      <c r="K486" s="431"/>
      <c r="L486" s="431" t="s">
        <v>683</v>
      </c>
      <c r="M486" s="431" t="s">
        <v>692</v>
      </c>
    </row>
    <row r="487" spans="1:13" x14ac:dyDescent="0.2">
      <c r="A487" s="431" t="s">
        <v>691</v>
      </c>
      <c r="B487" s="431">
        <v>1690206</v>
      </c>
      <c r="C487" s="431" t="s">
        <v>159</v>
      </c>
      <c r="D487" s="431" t="s">
        <v>160</v>
      </c>
      <c r="E487" s="431" t="s">
        <v>161</v>
      </c>
      <c r="F487" s="431" t="s">
        <v>668</v>
      </c>
      <c r="G487" s="431" t="s">
        <v>175</v>
      </c>
      <c r="H487" s="431"/>
      <c r="I487" s="431"/>
      <c r="J487" s="431"/>
      <c r="K487" s="431"/>
      <c r="L487" s="431" t="s">
        <v>683</v>
      </c>
      <c r="M487" s="431" t="s">
        <v>692</v>
      </c>
    </row>
    <row r="488" spans="1:13" x14ac:dyDescent="0.2">
      <c r="A488" s="431" t="s">
        <v>691</v>
      </c>
      <c r="B488" s="431">
        <v>1690206</v>
      </c>
      <c r="C488" s="431" t="s">
        <v>159</v>
      </c>
      <c r="D488" s="431" t="s">
        <v>160</v>
      </c>
      <c r="E488" s="431" t="s">
        <v>161</v>
      </c>
      <c r="F488" s="431" t="s">
        <v>668</v>
      </c>
      <c r="G488" s="431" t="s">
        <v>175</v>
      </c>
      <c r="H488" s="431"/>
      <c r="I488" s="431"/>
      <c r="J488" s="431"/>
      <c r="K488" s="431"/>
      <c r="L488" s="431" t="s">
        <v>683</v>
      </c>
      <c r="M488" s="431" t="s">
        <v>692</v>
      </c>
    </row>
    <row r="489" spans="1:13" x14ac:dyDescent="0.2">
      <c r="A489" s="431" t="s">
        <v>691</v>
      </c>
      <c r="B489" s="431">
        <v>1690206</v>
      </c>
      <c r="C489" s="431" t="s">
        <v>159</v>
      </c>
      <c r="D489" s="431" t="s">
        <v>160</v>
      </c>
      <c r="E489" s="431" t="s">
        <v>161</v>
      </c>
      <c r="F489" s="431" t="s">
        <v>668</v>
      </c>
      <c r="G489" s="431" t="s">
        <v>175</v>
      </c>
      <c r="H489" s="431"/>
      <c r="I489" s="431"/>
      <c r="J489" s="431"/>
      <c r="K489" s="431"/>
      <c r="L489" s="431" t="s">
        <v>683</v>
      </c>
      <c r="M489" s="431" t="s">
        <v>692</v>
      </c>
    </row>
    <row r="490" spans="1:13" x14ac:dyDescent="0.2">
      <c r="A490" s="431" t="s">
        <v>691</v>
      </c>
      <c r="B490" s="431">
        <v>1690206</v>
      </c>
      <c r="C490" s="431" t="s">
        <v>159</v>
      </c>
      <c r="D490" s="431" t="s">
        <v>160</v>
      </c>
      <c r="E490" s="431" t="s">
        <v>161</v>
      </c>
      <c r="F490" s="431" t="s">
        <v>668</v>
      </c>
      <c r="G490" s="431" t="s">
        <v>175</v>
      </c>
      <c r="H490" s="431"/>
      <c r="I490" s="431"/>
      <c r="J490" s="431"/>
      <c r="K490" s="431"/>
      <c r="L490" s="431" t="s">
        <v>683</v>
      </c>
      <c r="M490" s="431" t="s">
        <v>692</v>
      </c>
    </row>
    <row r="491" spans="1:13" x14ac:dyDescent="0.2">
      <c r="A491" s="431" t="s">
        <v>691</v>
      </c>
      <c r="B491" s="431">
        <v>1690206</v>
      </c>
      <c r="C491" s="431" t="s">
        <v>159</v>
      </c>
      <c r="D491" s="431" t="s">
        <v>160</v>
      </c>
      <c r="E491" s="431" t="s">
        <v>161</v>
      </c>
      <c r="F491" s="431" t="s">
        <v>668</v>
      </c>
      <c r="G491" s="431" t="s">
        <v>175</v>
      </c>
      <c r="H491" s="431"/>
      <c r="I491" s="431"/>
      <c r="J491" s="431"/>
      <c r="K491" s="431"/>
      <c r="L491" s="431" t="s">
        <v>683</v>
      </c>
      <c r="M491" s="431" t="s">
        <v>692</v>
      </c>
    </row>
    <row r="492" spans="1:13" x14ac:dyDescent="0.2">
      <c r="A492" s="431" t="s">
        <v>691</v>
      </c>
      <c r="B492" s="431">
        <v>1690206</v>
      </c>
      <c r="C492" s="431" t="s">
        <v>159</v>
      </c>
      <c r="D492" s="431" t="s">
        <v>160</v>
      </c>
      <c r="E492" s="431" t="s">
        <v>161</v>
      </c>
      <c r="F492" s="431" t="s">
        <v>668</v>
      </c>
      <c r="G492" s="431" t="s">
        <v>175</v>
      </c>
      <c r="H492" s="431"/>
      <c r="I492" s="431"/>
      <c r="J492" s="431"/>
      <c r="K492" s="431"/>
      <c r="L492" s="431" t="s">
        <v>683</v>
      </c>
      <c r="M492" s="431" t="s">
        <v>692</v>
      </c>
    </row>
    <row r="493" spans="1:13" x14ac:dyDescent="0.2">
      <c r="A493" s="431" t="s">
        <v>691</v>
      </c>
      <c r="B493" s="431">
        <v>1690206</v>
      </c>
      <c r="C493" s="431" t="s">
        <v>159</v>
      </c>
      <c r="D493" s="431" t="s">
        <v>160</v>
      </c>
      <c r="E493" s="431" t="s">
        <v>161</v>
      </c>
      <c r="F493" s="431" t="s">
        <v>668</v>
      </c>
      <c r="G493" s="431" t="s">
        <v>175</v>
      </c>
      <c r="H493" s="431"/>
      <c r="I493" s="431"/>
      <c r="J493" s="431"/>
      <c r="K493" s="431"/>
      <c r="L493" s="431" t="s">
        <v>683</v>
      </c>
      <c r="M493" s="431" t="s">
        <v>692</v>
      </c>
    </row>
    <row r="494" spans="1:13" x14ac:dyDescent="0.2">
      <c r="A494" s="431" t="s">
        <v>691</v>
      </c>
      <c r="B494" s="431">
        <v>1690206</v>
      </c>
      <c r="C494" s="431" t="s">
        <v>159</v>
      </c>
      <c r="D494" s="431" t="s">
        <v>160</v>
      </c>
      <c r="E494" s="431" t="s">
        <v>161</v>
      </c>
      <c r="F494" s="431" t="s">
        <v>668</v>
      </c>
      <c r="G494" s="431" t="s">
        <v>175</v>
      </c>
      <c r="H494" s="431"/>
      <c r="I494" s="431"/>
      <c r="J494" s="431"/>
      <c r="K494" s="431"/>
      <c r="L494" s="431" t="s">
        <v>683</v>
      </c>
      <c r="M494" s="431" t="s">
        <v>692</v>
      </c>
    </row>
    <row r="495" spans="1:13" x14ac:dyDescent="0.2">
      <c r="A495" s="431" t="s">
        <v>691</v>
      </c>
      <c r="B495" s="431">
        <v>1690206</v>
      </c>
      <c r="C495" s="431" t="s">
        <v>159</v>
      </c>
      <c r="D495" s="431" t="s">
        <v>160</v>
      </c>
      <c r="E495" s="431" t="s">
        <v>161</v>
      </c>
      <c r="F495" s="431" t="s">
        <v>668</v>
      </c>
      <c r="G495" s="431" t="s">
        <v>175</v>
      </c>
      <c r="H495" s="431"/>
      <c r="I495" s="431"/>
      <c r="J495" s="431"/>
      <c r="K495" s="431"/>
      <c r="L495" s="431" t="s">
        <v>683</v>
      </c>
      <c r="M495" s="431" t="s">
        <v>692</v>
      </c>
    </row>
    <row r="496" spans="1:13" x14ac:dyDescent="0.2">
      <c r="A496" s="431" t="s">
        <v>691</v>
      </c>
      <c r="B496" s="431">
        <v>1690206</v>
      </c>
      <c r="C496" s="431" t="s">
        <v>159</v>
      </c>
      <c r="D496" s="431" t="s">
        <v>160</v>
      </c>
      <c r="E496" s="431" t="s">
        <v>161</v>
      </c>
      <c r="F496" s="431" t="s">
        <v>668</v>
      </c>
      <c r="G496" s="431" t="s">
        <v>175</v>
      </c>
      <c r="H496" s="431"/>
      <c r="I496" s="431"/>
      <c r="J496" s="431"/>
      <c r="K496" s="431"/>
      <c r="L496" s="431" t="s">
        <v>683</v>
      </c>
      <c r="M496" s="431" t="s">
        <v>692</v>
      </c>
    </row>
    <row r="497" spans="1:13" x14ac:dyDescent="0.2">
      <c r="A497" s="431" t="s">
        <v>691</v>
      </c>
      <c r="B497" s="431">
        <v>1690206</v>
      </c>
      <c r="C497" s="431" t="s">
        <v>159</v>
      </c>
      <c r="D497" s="431" t="s">
        <v>160</v>
      </c>
      <c r="E497" s="431" t="s">
        <v>161</v>
      </c>
      <c r="F497" s="431" t="s">
        <v>668</v>
      </c>
      <c r="G497" s="431" t="s">
        <v>175</v>
      </c>
      <c r="H497" s="431"/>
      <c r="I497" s="431"/>
      <c r="J497" s="431"/>
      <c r="K497" s="431"/>
      <c r="L497" s="431" t="s">
        <v>683</v>
      </c>
      <c r="M497" s="431" t="s">
        <v>692</v>
      </c>
    </row>
    <row r="498" spans="1:13" x14ac:dyDescent="0.2">
      <c r="A498" s="431" t="s">
        <v>691</v>
      </c>
      <c r="B498" s="431">
        <v>1690206</v>
      </c>
      <c r="C498" s="431" t="s">
        <v>159</v>
      </c>
      <c r="D498" s="431" t="s">
        <v>160</v>
      </c>
      <c r="E498" s="431" t="s">
        <v>161</v>
      </c>
      <c r="F498" s="431" t="s">
        <v>668</v>
      </c>
      <c r="G498" s="431" t="s">
        <v>175</v>
      </c>
      <c r="H498" s="431"/>
      <c r="I498" s="431"/>
      <c r="J498" s="431"/>
      <c r="K498" s="431"/>
      <c r="L498" s="431" t="s">
        <v>683</v>
      </c>
      <c r="M498" s="431" t="s">
        <v>692</v>
      </c>
    </row>
    <row r="499" spans="1:13" x14ac:dyDescent="0.2">
      <c r="A499" s="431" t="s">
        <v>691</v>
      </c>
      <c r="B499" s="431">
        <v>1690206</v>
      </c>
      <c r="C499" s="431" t="s">
        <v>159</v>
      </c>
      <c r="D499" s="431" t="s">
        <v>160</v>
      </c>
      <c r="E499" s="431" t="s">
        <v>161</v>
      </c>
      <c r="F499" s="431" t="s">
        <v>668</v>
      </c>
      <c r="G499" s="431" t="s">
        <v>175</v>
      </c>
      <c r="H499" s="431"/>
      <c r="I499" s="431"/>
      <c r="J499" s="431"/>
      <c r="K499" s="431"/>
      <c r="L499" s="431" t="s">
        <v>683</v>
      </c>
      <c r="M499" s="431" t="s">
        <v>692</v>
      </c>
    </row>
    <row r="500" spans="1:13" x14ac:dyDescent="0.2">
      <c r="A500" s="431" t="s">
        <v>691</v>
      </c>
      <c r="B500" s="431">
        <v>1690206</v>
      </c>
      <c r="C500" s="431" t="s">
        <v>159</v>
      </c>
      <c r="D500" s="431" t="s">
        <v>160</v>
      </c>
      <c r="E500" s="431" t="s">
        <v>161</v>
      </c>
      <c r="F500" s="431" t="s">
        <v>668</v>
      </c>
      <c r="G500" s="431" t="s">
        <v>175</v>
      </c>
      <c r="H500" s="431"/>
      <c r="I500" s="431"/>
      <c r="J500" s="431"/>
      <c r="K500" s="431"/>
      <c r="L500" s="431" t="s">
        <v>683</v>
      </c>
      <c r="M500" s="431" t="s">
        <v>692</v>
      </c>
    </row>
    <row r="501" spans="1:13" x14ac:dyDescent="0.2">
      <c r="A501" s="431" t="s">
        <v>691</v>
      </c>
      <c r="B501" s="431">
        <v>1690206</v>
      </c>
      <c r="C501" s="431" t="s">
        <v>159</v>
      </c>
      <c r="D501" s="431" t="s">
        <v>160</v>
      </c>
      <c r="E501" s="431" t="s">
        <v>161</v>
      </c>
      <c r="F501" s="431" t="s">
        <v>668</v>
      </c>
      <c r="G501" s="431" t="s">
        <v>175</v>
      </c>
      <c r="H501" s="431"/>
      <c r="I501" s="431"/>
      <c r="J501" s="431"/>
      <c r="K501" s="431"/>
      <c r="L501" s="431" t="s">
        <v>683</v>
      </c>
      <c r="M501" s="431" t="s">
        <v>692</v>
      </c>
    </row>
    <row r="502" spans="1:13" x14ac:dyDescent="0.2">
      <c r="A502" s="431" t="s">
        <v>691</v>
      </c>
      <c r="B502" s="431">
        <v>1690206</v>
      </c>
      <c r="C502" s="431" t="s">
        <v>159</v>
      </c>
      <c r="D502" s="431" t="s">
        <v>160</v>
      </c>
      <c r="E502" s="431" t="s">
        <v>161</v>
      </c>
      <c r="F502" s="431" t="s">
        <v>668</v>
      </c>
      <c r="G502" s="431" t="s">
        <v>175</v>
      </c>
      <c r="H502" s="431"/>
      <c r="I502" s="431"/>
      <c r="J502" s="431"/>
      <c r="K502" s="431"/>
      <c r="L502" s="431" t="s">
        <v>683</v>
      </c>
      <c r="M502" s="431" t="s">
        <v>692</v>
      </c>
    </row>
    <row r="503" spans="1:13" x14ac:dyDescent="0.2">
      <c r="A503" s="431" t="s">
        <v>691</v>
      </c>
      <c r="B503" s="431">
        <v>1690206</v>
      </c>
      <c r="C503" s="431" t="s">
        <v>159</v>
      </c>
      <c r="D503" s="431" t="s">
        <v>160</v>
      </c>
      <c r="E503" s="431" t="s">
        <v>161</v>
      </c>
      <c r="F503" s="431" t="s">
        <v>668</v>
      </c>
      <c r="G503" s="431" t="s">
        <v>175</v>
      </c>
      <c r="H503" s="431"/>
      <c r="I503" s="431"/>
      <c r="J503" s="431"/>
      <c r="K503" s="431"/>
      <c r="L503" s="431" t="s">
        <v>683</v>
      </c>
      <c r="M503" s="431" t="s">
        <v>692</v>
      </c>
    </row>
    <row r="504" spans="1:13" x14ac:dyDescent="0.2">
      <c r="A504" s="431" t="s">
        <v>691</v>
      </c>
      <c r="B504" s="431">
        <v>1690206</v>
      </c>
      <c r="C504" s="431" t="s">
        <v>159</v>
      </c>
      <c r="D504" s="431" t="s">
        <v>160</v>
      </c>
      <c r="E504" s="431" t="s">
        <v>161</v>
      </c>
      <c r="F504" s="431" t="s">
        <v>668</v>
      </c>
      <c r="G504" s="431" t="s">
        <v>175</v>
      </c>
      <c r="H504" s="431"/>
      <c r="I504" s="431"/>
      <c r="J504" s="431"/>
      <c r="K504" s="431"/>
      <c r="L504" s="431" t="s">
        <v>683</v>
      </c>
      <c r="M504" s="431" t="s">
        <v>692</v>
      </c>
    </row>
    <row r="505" spans="1:13" x14ac:dyDescent="0.2">
      <c r="A505" s="431" t="s">
        <v>691</v>
      </c>
      <c r="B505" s="431">
        <v>1690206</v>
      </c>
      <c r="C505" s="431" t="s">
        <v>159</v>
      </c>
      <c r="D505" s="431" t="s">
        <v>160</v>
      </c>
      <c r="E505" s="431" t="s">
        <v>161</v>
      </c>
      <c r="F505" s="431" t="s">
        <v>668</v>
      </c>
      <c r="G505" s="431" t="s">
        <v>175</v>
      </c>
      <c r="H505" s="431"/>
      <c r="I505" s="431"/>
      <c r="J505" s="431"/>
      <c r="K505" s="431"/>
      <c r="L505" s="431" t="s">
        <v>683</v>
      </c>
      <c r="M505" s="431" t="s">
        <v>692</v>
      </c>
    </row>
    <row r="506" spans="1:13" x14ac:dyDescent="0.2">
      <c r="A506" s="431" t="s">
        <v>691</v>
      </c>
      <c r="B506" s="431">
        <v>1690206</v>
      </c>
      <c r="C506" s="431" t="s">
        <v>159</v>
      </c>
      <c r="D506" s="431" t="s">
        <v>160</v>
      </c>
      <c r="E506" s="431" t="s">
        <v>161</v>
      </c>
      <c r="F506" s="431" t="s">
        <v>668</v>
      </c>
      <c r="G506" s="431" t="s">
        <v>175</v>
      </c>
      <c r="H506" s="431"/>
      <c r="I506" s="431"/>
      <c r="J506" s="431"/>
      <c r="K506" s="431"/>
      <c r="L506" s="431" t="s">
        <v>683</v>
      </c>
      <c r="M506" s="431" t="s">
        <v>692</v>
      </c>
    </row>
    <row r="507" spans="1:13" x14ac:dyDescent="0.2">
      <c r="A507" s="431" t="s">
        <v>691</v>
      </c>
      <c r="B507" s="431">
        <v>1690206</v>
      </c>
      <c r="C507" s="431" t="s">
        <v>159</v>
      </c>
      <c r="D507" s="431" t="s">
        <v>160</v>
      </c>
      <c r="E507" s="431" t="s">
        <v>161</v>
      </c>
      <c r="F507" s="431" t="s">
        <v>668</v>
      </c>
      <c r="G507" s="431" t="s">
        <v>175</v>
      </c>
      <c r="H507" s="431"/>
      <c r="I507" s="431"/>
      <c r="J507" s="431"/>
      <c r="K507" s="431"/>
      <c r="L507" s="431" t="s">
        <v>683</v>
      </c>
      <c r="M507" s="431" t="s">
        <v>692</v>
      </c>
    </row>
    <row r="508" spans="1:13" x14ac:dyDescent="0.2">
      <c r="A508" s="431" t="s">
        <v>691</v>
      </c>
      <c r="B508" s="431">
        <v>1690206</v>
      </c>
      <c r="C508" s="431" t="s">
        <v>159</v>
      </c>
      <c r="D508" s="431" t="s">
        <v>160</v>
      </c>
      <c r="E508" s="431" t="s">
        <v>161</v>
      </c>
      <c r="F508" s="431" t="s">
        <v>668</v>
      </c>
      <c r="G508" s="431" t="s">
        <v>175</v>
      </c>
      <c r="H508" s="431"/>
      <c r="I508" s="431"/>
      <c r="J508" s="431"/>
      <c r="K508" s="431"/>
      <c r="L508" s="431" t="s">
        <v>683</v>
      </c>
      <c r="M508" s="431" t="s">
        <v>692</v>
      </c>
    </row>
    <row r="509" spans="1:13" x14ac:dyDescent="0.2">
      <c r="A509" s="431" t="s">
        <v>691</v>
      </c>
      <c r="B509" s="431">
        <v>1690206</v>
      </c>
      <c r="C509" s="431" t="s">
        <v>159</v>
      </c>
      <c r="D509" s="431" t="s">
        <v>160</v>
      </c>
      <c r="E509" s="431" t="s">
        <v>161</v>
      </c>
      <c r="F509" s="431" t="s">
        <v>668</v>
      </c>
      <c r="G509" s="431" t="s">
        <v>175</v>
      </c>
      <c r="H509" s="431"/>
      <c r="I509" s="431"/>
      <c r="J509" s="431"/>
      <c r="K509" s="431"/>
      <c r="L509" s="431" t="s">
        <v>683</v>
      </c>
      <c r="M509" s="431" t="s">
        <v>692</v>
      </c>
    </row>
    <row r="510" spans="1:13" x14ac:dyDescent="0.2">
      <c r="A510" s="431" t="s">
        <v>691</v>
      </c>
      <c r="B510" s="431">
        <v>1690206</v>
      </c>
      <c r="C510" s="431" t="s">
        <v>159</v>
      </c>
      <c r="D510" s="431" t="s">
        <v>160</v>
      </c>
      <c r="E510" s="431" t="s">
        <v>161</v>
      </c>
      <c r="F510" s="431" t="s">
        <v>668</v>
      </c>
      <c r="G510" s="431" t="s">
        <v>175</v>
      </c>
      <c r="H510" s="431"/>
      <c r="I510" s="431"/>
      <c r="J510" s="431"/>
      <c r="K510" s="431"/>
      <c r="L510" s="431" t="s">
        <v>683</v>
      </c>
      <c r="M510" s="431" t="s">
        <v>692</v>
      </c>
    </row>
    <row r="511" spans="1:13" x14ac:dyDescent="0.2">
      <c r="A511" s="431" t="s">
        <v>691</v>
      </c>
      <c r="B511" s="431">
        <v>1690206</v>
      </c>
      <c r="C511" s="431" t="s">
        <v>159</v>
      </c>
      <c r="D511" s="431" t="s">
        <v>160</v>
      </c>
      <c r="E511" s="431" t="s">
        <v>161</v>
      </c>
      <c r="F511" s="431" t="s">
        <v>668</v>
      </c>
      <c r="G511" s="431" t="s">
        <v>175</v>
      </c>
      <c r="H511" s="431"/>
      <c r="I511" s="431"/>
      <c r="J511" s="431"/>
      <c r="K511" s="431"/>
      <c r="L511" s="431" t="s">
        <v>683</v>
      </c>
      <c r="M511" s="431" t="s">
        <v>692</v>
      </c>
    </row>
    <row r="512" spans="1:13" x14ac:dyDescent="0.2">
      <c r="A512" s="431" t="s">
        <v>691</v>
      </c>
      <c r="B512" s="431">
        <v>1690206</v>
      </c>
      <c r="C512" s="431" t="s">
        <v>159</v>
      </c>
      <c r="D512" s="431" t="s">
        <v>160</v>
      </c>
      <c r="E512" s="431" t="s">
        <v>161</v>
      </c>
      <c r="F512" s="431" t="s">
        <v>668</v>
      </c>
      <c r="G512" s="431" t="s">
        <v>175</v>
      </c>
      <c r="H512" s="431"/>
      <c r="I512" s="431"/>
      <c r="J512" s="431"/>
      <c r="K512" s="431"/>
      <c r="L512" s="431" t="s">
        <v>683</v>
      </c>
      <c r="M512" s="431" t="s">
        <v>692</v>
      </c>
    </row>
    <row r="513" spans="1:13" x14ac:dyDescent="0.2">
      <c r="A513" s="431" t="s">
        <v>691</v>
      </c>
      <c r="B513" s="431">
        <v>1690206</v>
      </c>
      <c r="C513" s="431" t="s">
        <v>159</v>
      </c>
      <c r="D513" s="431" t="s">
        <v>160</v>
      </c>
      <c r="E513" s="431" t="s">
        <v>161</v>
      </c>
      <c r="F513" s="431" t="s">
        <v>670</v>
      </c>
      <c r="G513" s="431" t="s">
        <v>175</v>
      </c>
      <c r="H513" s="431"/>
      <c r="I513" s="431"/>
      <c r="J513" s="431"/>
      <c r="K513" s="431"/>
      <c r="L513" s="431" t="s">
        <v>683</v>
      </c>
      <c r="M513" s="431" t="s">
        <v>692</v>
      </c>
    </row>
    <row r="514" spans="1:13" x14ac:dyDescent="0.2">
      <c r="A514" s="431" t="s">
        <v>691</v>
      </c>
      <c r="B514" s="431">
        <v>1690206</v>
      </c>
      <c r="C514" s="431" t="s">
        <v>159</v>
      </c>
      <c r="D514" s="431" t="s">
        <v>160</v>
      </c>
      <c r="E514" s="431" t="s">
        <v>161</v>
      </c>
      <c r="F514" s="431" t="s">
        <v>670</v>
      </c>
      <c r="G514" s="431" t="s">
        <v>175</v>
      </c>
      <c r="H514" s="431"/>
      <c r="I514" s="431"/>
      <c r="J514" s="431"/>
      <c r="K514" s="431"/>
      <c r="L514" s="431" t="s">
        <v>683</v>
      </c>
      <c r="M514" s="431" t="s">
        <v>692</v>
      </c>
    </row>
    <row r="515" spans="1:13" x14ac:dyDescent="0.2">
      <c r="A515" s="431" t="s">
        <v>691</v>
      </c>
      <c r="B515" s="431">
        <v>1690206</v>
      </c>
      <c r="C515" s="431" t="s">
        <v>159</v>
      </c>
      <c r="D515" s="431" t="s">
        <v>160</v>
      </c>
      <c r="E515" s="431" t="s">
        <v>161</v>
      </c>
      <c r="F515" s="431" t="s">
        <v>670</v>
      </c>
      <c r="G515" s="431" t="s">
        <v>175</v>
      </c>
      <c r="H515" s="431"/>
      <c r="I515" s="431"/>
      <c r="J515" s="431"/>
      <c r="K515" s="431"/>
      <c r="L515" s="431" t="s">
        <v>683</v>
      </c>
      <c r="M515" s="431" t="s">
        <v>692</v>
      </c>
    </row>
    <row r="516" spans="1:13" x14ac:dyDescent="0.2">
      <c r="A516" s="431" t="s">
        <v>691</v>
      </c>
      <c r="B516" s="431">
        <v>1690206</v>
      </c>
      <c r="C516" s="431" t="s">
        <v>159</v>
      </c>
      <c r="D516" s="431" t="s">
        <v>160</v>
      </c>
      <c r="E516" s="431" t="s">
        <v>161</v>
      </c>
      <c r="F516" s="431" t="s">
        <v>670</v>
      </c>
      <c r="G516" s="431" t="s">
        <v>175</v>
      </c>
      <c r="H516" s="431"/>
      <c r="I516" s="431"/>
      <c r="J516" s="431"/>
      <c r="K516" s="431"/>
      <c r="L516" s="431" t="s">
        <v>683</v>
      </c>
      <c r="M516" s="431" t="s">
        <v>692</v>
      </c>
    </row>
    <row r="517" spans="1:13" x14ac:dyDescent="0.2">
      <c r="A517" s="431" t="s">
        <v>691</v>
      </c>
      <c r="B517" s="431">
        <v>1690206</v>
      </c>
      <c r="C517" s="431" t="s">
        <v>159</v>
      </c>
      <c r="D517" s="431" t="s">
        <v>160</v>
      </c>
      <c r="E517" s="431" t="s">
        <v>161</v>
      </c>
      <c r="F517" s="431" t="s">
        <v>670</v>
      </c>
      <c r="G517" s="431" t="s">
        <v>175</v>
      </c>
      <c r="H517" s="431"/>
      <c r="I517" s="431"/>
      <c r="J517" s="431"/>
      <c r="K517" s="431"/>
      <c r="L517" s="431" t="s">
        <v>683</v>
      </c>
      <c r="M517" s="431" t="s">
        <v>692</v>
      </c>
    </row>
    <row r="518" spans="1:13" x14ac:dyDescent="0.2">
      <c r="A518" s="431" t="s">
        <v>691</v>
      </c>
      <c r="B518" s="431">
        <v>1690206</v>
      </c>
      <c r="C518" s="431" t="s">
        <v>159</v>
      </c>
      <c r="D518" s="431" t="s">
        <v>160</v>
      </c>
      <c r="E518" s="431" t="s">
        <v>161</v>
      </c>
      <c r="F518" s="431" t="s">
        <v>670</v>
      </c>
      <c r="G518" s="431" t="s">
        <v>175</v>
      </c>
      <c r="H518" s="431"/>
      <c r="I518" s="431"/>
      <c r="J518" s="431"/>
      <c r="K518" s="431"/>
      <c r="L518" s="431" t="s">
        <v>683</v>
      </c>
      <c r="M518" s="431" t="s">
        <v>692</v>
      </c>
    </row>
    <row r="519" spans="1:13" x14ac:dyDescent="0.2">
      <c r="A519" s="431" t="s">
        <v>691</v>
      </c>
      <c r="B519" s="431">
        <v>1690206</v>
      </c>
      <c r="C519" s="431" t="s">
        <v>159</v>
      </c>
      <c r="D519" s="431" t="s">
        <v>160</v>
      </c>
      <c r="E519" s="431" t="s">
        <v>161</v>
      </c>
      <c r="F519" s="431" t="s">
        <v>670</v>
      </c>
      <c r="G519" s="431" t="s">
        <v>175</v>
      </c>
      <c r="H519" s="431"/>
      <c r="I519" s="431"/>
      <c r="J519" s="431"/>
      <c r="K519" s="431"/>
      <c r="L519" s="431" t="s">
        <v>683</v>
      </c>
      <c r="M519" s="431" t="s">
        <v>692</v>
      </c>
    </row>
    <row r="520" spans="1:13" x14ac:dyDescent="0.2">
      <c r="A520" s="431" t="s">
        <v>691</v>
      </c>
      <c r="B520" s="431">
        <v>1690206</v>
      </c>
      <c r="C520" s="431" t="s">
        <v>159</v>
      </c>
      <c r="D520" s="431" t="s">
        <v>160</v>
      </c>
      <c r="E520" s="431" t="s">
        <v>161</v>
      </c>
      <c r="F520" s="431" t="s">
        <v>670</v>
      </c>
      <c r="G520" s="431" t="s">
        <v>175</v>
      </c>
      <c r="H520" s="431"/>
      <c r="I520" s="431"/>
      <c r="J520" s="431"/>
      <c r="K520" s="431"/>
      <c r="L520" s="431" t="s">
        <v>683</v>
      </c>
      <c r="M520" s="431" t="s">
        <v>692</v>
      </c>
    </row>
    <row r="521" spans="1:13" x14ac:dyDescent="0.2">
      <c r="A521" s="431" t="s">
        <v>691</v>
      </c>
      <c r="B521" s="431">
        <v>1690206</v>
      </c>
      <c r="C521" s="431" t="s">
        <v>159</v>
      </c>
      <c r="D521" s="431" t="s">
        <v>160</v>
      </c>
      <c r="E521" s="431" t="s">
        <v>161</v>
      </c>
      <c r="F521" s="431" t="s">
        <v>670</v>
      </c>
      <c r="G521" s="431" t="s">
        <v>175</v>
      </c>
      <c r="H521" s="431"/>
      <c r="I521" s="431"/>
      <c r="J521" s="431"/>
      <c r="K521" s="431"/>
      <c r="L521" s="431" t="s">
        <v>683</v>
      </c>
      <c r="M521" s="431" t="s">
        <v>692</v>
      </c>
    </row>
    <row r="522" spans="1:13" x14ac:dyDescent="0.2">
      <c r="A522" s="431" t="s">
        <v>691</v>
      </c>
      <c r="B522" s="431">
        <v>1690206</v>
      </c>
      <c r="C522" s="431" t="s">
        <v>159</v>
      </c>
      <c r="D522" s="431" t="s">
        <v>160</v>
      </c>
      <c r="E522" s="431" t="s">
        <v>161</v>
      </c>
      <c r="F522" s="431" t="s">
        <v>670</v>
      </c>
      <c r="G522" s="431" t="s">
        <v>175</v>
      </c>
      <c r="H522" s="431"/>
      <c r="I522" s="431"/>
      <c r="J522" s="431"/>
      <c r="K522" s="431"/>
      <c r="L522" s="431" t="s">
        <v>683</v>
      </c>
      <c r="M522" s="431" t="s">
        <v>692</v>
      </c>
    </row>
    <row r="523" spans="1:13" x14ac:dyDescent="0.2">
      <c r="A523" s="431" t="s">
        <v>691</v>
      </c>
      <c r="B523" s="431">
        <v>1690206</v>
      </c>
      <c r="C523" s="431" t="s">
        <v>159</v>
      </c>
      <c r="D523" s="431" t="s">
        <v>160</v>
      </c>
      <c r="E523" s="431" t="s">
        <v>161</v>
      </c>
      <c r="F523" s="431" t="s">
        <v>670</v>
      </c>
      <c r="G523" s="431" t="s">
        <v>175</v>
      </c>
      <c r="H523" s="431"/>
      <c r="I523" s="431"/>
      <c r="J523" s="431"/>
      <c r="K523" s="431"/>
      <c r="L523" s="431" t="s">
        <v>683</v>
      </c>
      <c r="M523" s="431" t="s">
        <v>692</v>
      </c>
    </row>
    <row r="524" spans="1:13" x14ac:dyDescent="0.2">
      <c r="A524" s="431" t="s">
        <v>691</v>
      </c>
      <c r="B524" s="431">
        <v>1690206</v>
      </c>
      <c r="C524" s="431" t="s">
        <v>159</v>
      </c>
      <c r="D524" s="431" t="s">
        <v>160</v>
      </c>
      <c r="E524" s="431" t="s">
        <v>161</v>
      </c>
      <c r="F524" s="431" t="s">
        <v>670</v>
      </c>
      <c r="G524" s="431" t="s">
        <v>175</v>
      </c>
      <c r="H524" s="431"/>
      <c r="I524" s="431"/>
      <c r="J524" s="431"/>
      <c r="K524" s="431"/>
      <c r="L524" s="431" t="s">
        <v>683</v>
      </c>
      <c r="M524" s="431" t="s">
        <v>692</v>
      </c>
    </row>
    <row r="525" spans="1:13" x14ac:dyDescent="0.2">
      <c r="A525" s="431" t="s">
        <v>691</v>
      </c>
      <c r="B525" s="431">
        <v>1690206</v>
      </c>
      <c r="C525" s="431" t="s">
        <v>159</v>
      </c>
      <c r="D525" s="431" t="s">
        <v>160</v>
      </c>
      <c r="E525" s="431" t="s">
        <v>161</v>
      </c>
      <c r="F525" s="431" t="s">
        <v>670</v>
      </c>
      <c r="G525" s="431" t="s">
        <v>175</v>
      </c>
      <c r="H525" s="431"/>
      <c r="I525" s="431"/>
      <c r="J525" s="431"/>
      <c r="K525" s="431"/>
      <c r="L525" s="431" t="s">
        <v>683</v>
      </c>
      <c r="M525" s="431" t="s">
        <v>692</v>
      </c>
    </row>
    <row r="526" spans="1:13" x14ac:dyDescent="0.2">
      <c r="A526" s="431" t="s">
        <v>691</v>
      </c>
      <c r="B526" s="431">
        <v>1690206</v>
      </c>
      <c r="C526" s="431" t="s">
        <v>159</v>
      </c>
      <c r="D526" s="431" t="s">
        <v>160</v>
      </c>
      <c r="E526" s="431" t="s">
        <v>161</v>
      </c>
      <c r="F526" s="431" t="s">
        <v>670</v>
      </c>
      <c r="G526" s="431" t="s">
        <v>175</v>
      </c>
      <c r="H526" s="431"/>
      <c r="I526" s="431"/>
      <c r="J526" s="431"/>
      <c r="K526" s="431"/>
      <c r="L526" s="431" t="s">
        <v>683</v>
      </c>
      <c r="M526" s="431" t="s">
        <v>692</v>
      </c>
    </row>
    <row r="527" spans="1:13" x14ac:dyDescent="0.2">
      <c r="A527" s="431" t="s">
        <v>691</v>
      </c>
      <c r="B527" s="431">
        <v>1690206</v>
      </c>
      <c r="C527" s="431" t="s">
        <v>159</v>
      </c>
      <c r="D527" s="431" t="s">
        <v>160</v>
      </c>
      <c r="E527" s="431" t="s">
        <v>161</v>
      </c>
      <c r="F527" s="431" t="s">
        <v>670</v>
      </c>
      <c r="G527" s="431" t="s">
        <v>175</v>
      </c>
      <c r="H527" s="431"/>
      <c r="I527" s="431"/>
      <c r="J527" s="431"/>
      <c r="K527" s="431"/>
      <c r="L527" s="431" t="s">
        <v>683</v>
      </c>
      <c r="M527" s="431" t="s">
        <v>692</v>
      </c>
    </row>
    <row r="528" spans="1:13" x14ac:dyDescent="0.2">
      <c r="A528" s="431" t="s">
        <v>691</v>
      </c>
      <c r="B528" s="431">
        <v>1690206</v>
      </c>
      <c r="C528" s="431" t="s">
        <v>159</v>
      </c>
      <c r="D528" s="431" t="s">
        <v>160</v>
      </c>
      <c r="E528" s="431" t="s">
        <v>161</v>
      </c>
      <c r="F528" s="431" t="s">
        <v>670</v>
      </c>
      <c r="G528" s="431" t="s">
        <v>175</v>
      </c>
      <c r="H528" s="431"/>
      <c r="I528" s="431"/>
      <c r="J528" s="431"/>
      <c r="K528" s="431"/>
      <c r="L528" s="431" t="s">
        <v>683</v>
      </c>
      <c r="M528" s="431" t="s">
        <v>692</v>
      </c>
    </row>
    <row r="529" spans="1:13" x14ac:dyDescent="0.2">
      <c r="A529" s="431" t="s">
        <v>691</v>
      </c>
      <c r="B529" s="431">
        <v>1690206</v>
      </c>
      <c r="C529" s="431" t="s">
        <v>159</v>
      </c>
      <c r="D529" s="431" t="s">
        <v>160</v>
      </c>
      <c r="E529" s="431" t="s">
        <v>161</v>
      </c>
      <c r="F529" s="431" t="s">
        <v>670</v>
      </c>
      <c r="G529" s="431" t="s">
        <v>175</v>
      </c>
      <c r="H529" s="431"/>
      <c r="I529" s="431"/>
      <c r="J529" s="431"/>
      <c r="K529" s="431"/>
      <c r="L529" s="431" t="s">
        <v>683</v>
      </c>
      <c r="M529" s="431" t="s">
        <v>692</v>
      </c>
    </row>
    <row r="530" spans="1:13" x14ac:dyDescent="0.2">
      <c r="A530" s="431" t="s">
        <v>691</v>
      </c>
      <c r="B530" s="431">
        <v>1690206</v>
      </c>
      <c r="C530" s="431" t="s">
        <v>159</v>
      </c>
      <c r="D530" s="431" t="s">
        <v>160</v>
      </c>
      <c r="E530" s="431" t="s">
        <v>161</v>
      </c>
      <c r="F530" s="431" t="s">
        <v>670</v>
      </c>
      <c r="G530" s="431" t="s">
        <v>175</v>
      </c>
      <c r="H530" s="431"/>
      <c r="I530" s="431"/>
      <c r="J530" s="431"/>
      <c r="K530" s="431"/>
      <c r="L530" s="431" t="s">
        <v>683</v>
      </c>
      <c r="M530" s="431" t="s">
        <v>692</v>
      </c>
    </row>
    <row r="531" spans="1:13" x14ac:dyDescent="0.2">
      <c r="A531" s="431" t="s">
        <v>691</v>
      </c>
      <c r="B531" s="431">
        <v>1690206</v>
      </c>
      <c r="C531" s="431" t="s">
        <v>159</v>
      </c>
      <c r="D531" s="431" t="s">
        <v>160</v>
      </c>
      <c r="E531" s="431" t="s">
        <v>161</v>
      </c>
      <c r="F531" s="431" t="s">
        <v>670</v>
      </c>
      <c r="G531" s="431" t="s">
        <v>175</v>
      </c>
      <c r="H531" s="431"/>
      <c r="I531" s="431"/>
      <c r="J531" s="431"/>
      <c r="K531" s="431"/>
      <c r="L531" s="431" t="s">
        <v>683</v>
      </c>
      <c r="M531" s="431" t="s">
        <v>692</v>
      </c>
    </row>
    <row r="532" spans="1:13" x14ac:dyDescent="0.2">
      <c r="A532" s="431" t="s">
        <v>691</v>
      </c>
      <c r="B532" s="431">
        <v>1690206</v>
      </c>
      <c r="C532" s="431" t="s">
        <v>159</v>
      </c>
      <c r="D532" s="431" t="s">
        <v>160</v>
      </c>
      <c r="E532" s="431" t="s">
        <v>161</v>
      </c>
      <c r="F532" s="431" t="s">
        <v>670</v>
      </c>
      <c r="G532" s="431" t="s">
        <v>175</v>
      </c>
      <c r="H532" s="431"/>
      <c r="I532" s="431"/>
      <c r="J532" s="431"/>
      <c r="K532" s="431"/>
      <c r="L532" s="431" t="s">
        <v>683</v>
      </c>
      <c r="M532" s="431" t="s">
        <v>692</v>
      </c>
    </row>
    <row r="533" spans="1:13" x14ac:dyDescent="0.2">
      <c r="A533" s="431" t="s">
        <v>691</v>
      </c>
      <c r="B533" s="431">
        <v>1690206</v>
      </c>
      <c r="C533" s="431" t="s">
        <v>159</v>
      </c>
      <c r="D533" s="431" t="s">
        <v>160</v>
      </c>
      <c r="E533" s="431" t="s">
        <v>161</v>
      </c>
      <c r="F533" s="431" t="s">
        <v>670</v>
      </c>
      <c r="G533" s="431" t="s">
        <v>175</v>
      </c>
      <c r="H533" s="431"/>
      <c r="I533" s="431"/>
      <c r="J533" s="431"/>
      <c r="K533" s="431"/>
      <c r="L533" s="431" t="s">
        <v>683</v>
      </c>
      <c r="M533" s="431" t="s">
        <v>692</v>
      </c>
    </row>
    <row r="534" spans="1:13" x14ac:dyDescent="0.2">
      <c r="A534" s="431" t="s">
        <v>691</v>
      </c>
      <c r="B534" s="431">
        <v>1690206</v>
      </c>
      <c r="C534" s="431" t="s">
        <v>159</v>
      </c>
      <c r="D534" s="431" t="s">
        <v>160</v>
      </c>
      <c r="E534" s="431" t="s">
        <v>161</v>
      </c>
      <c r="F534" s="431" t="s">
        <v>670</v>
      </c>
      <c r="G534" s="431" t="s">
        <v>175</v>
      </c>
      <c r="H534" s="431"/>
      <c r="I534" s="431"/>
      <c r="J534" s="431"/>
      <c r="K534" s="431"/>
      <c r="L534" s="431" t="s">
        <v>683</v>
      </c>
      <c r="M534" s="431" t="s">
        <v>692</v>
      </c>
    </row>
    <row r="535" spans="1:13" x14ac:dyDescent="0.2">
      <c r="A535" s="431" t="s">
        <v>691</v>
      </c>
      <c r="B535" s="431">
        <v>1690206</v>
      </c>
      <c r="C535" s="431" t="s">
        <v>159</v>
      </c>
      <c r="D535" s="431" t="s">
        <v>160</v>
      </c>
      <c r="E535" s="431" t="s">
        <v>161</v>
      </c>
      <c r="F535" s="431" t="s">
        <v>670</v>
      </c>
      <c r="G535" s="431" t="s">
        <v>175</v>
      </c>
      <c r="H535" s="431"/>
      <c r="I535" s="431"/>
      <c r="J535" s="431"/>
      <c r="K535" s="431"/>
      <c r="L535" s="431" t="s">
        <v>683</v>
      </c>
      <c r="M535" s="431" t="s">
        <v>692</v>
      </c>
    </row>
    <row r="536" spans="1:13" x14ac:dyDescent="0.2">
      <c r="A536" s="431" t="s">
        <v>691</v>
      </c>
      <c r="B536" s="431">
        <v>1690206</v>
      </c>
      <c r="C536" s="431" t="s">
        <v>159</v>
      </c>
      <c r="D536" s="431" t="s">
        <v>160</v>
      </c>
      <c r="E536" s="431" t="s">
        <v>161</v>
      </c>
      <c r="F536" s="431" t="s">
        <v>670</v>
      </c>
      <c r="G536" s="431" t="s">
        <v>175</v>
      </c>
      <c r="H536" s="431"/>
      <c r="I536" s="431"/>
      <c r="J536" s="431"/>
      <c r="K536" s="431"/>
      <c r="L536" s="431" t="s">
        <v>683</v>
      </c>
      <c r="M536" s="431" t="s">
        <v>692</v>
      </c>
    </row>
    <row r="537" spans="1:13" x14ac:dyDescent="0.2">
      <c r="A537" s="431" t="s">
        <v>691</v>
      </c>
      <c r="B537" s="431">
        <v>1690206</v>
      </c>
      <c r="C537" s="431" t="s">
        <v>159</v>
      </c>
      <c r="D537" s="431" t="s">
        <v>160</v>
      </c>
      <c r="E537" s="431" t="s">
        <v>161</v>
      </c>
      <c r="F537" s="431" t="s">
        <v>670</v>
      </c>
      <c r="G537" s="431" t="s">
        <v>175</v>
      </c>
      <c r="H537" s="431"/>
      <c r="I537" s="431"/>
      <c r="J537" s="431"/>
      <c r="K537" s="431"/>
      <c r="L537" s="431" t="s">
        <v>683</v>
      </c>
      <c r="M537" s="431" t="s">
        <v>692</v>
      </c>
    </row>
    <row r="538" spans="1:13" x14ac:dyDescent="0.2">
      <c r="A538" s="431" t="s">
        <v>691</v>
      </c>
      <c r="B538" s="431">
        <v>1690206</v>
      </c>
      <c r="C538" s="431" t="s">
        <v>159</v>
      </c>
      <c r="D538" s="431" t="s">
        <v>160</v>
      </c>
      <c r="E538" s="431" t="s">
        <v>161</v>
      </c>
      <c r="F538" s="431" t="s">
        <v>670</v>
      </c>
      <c r="G538" s="431" t="s">
        <v>175</v>
      </c>
      <c r="H538" s="431"/>
      <c r="I538" s="431"/>
      <c r="J538" s="431"/>
      <c r="K538" s="431"/>
      <c r="L538" s="431" t="s">
        <v>683</v>
      </c>
      <c r="M538" s="431" t="s">
        <v>692</v>
      </c>
    </row>
    <row r="539" spans="1:13" x14ac:dyDescent="0.2">
      <c r="A539" s="431" t="s">
        <v>691</v>
      </c>
      <c r="B539" s="431">
        <v>1690206</v>
      </c>
      <c r="C539" s="431" t="s">
        <v>159</v>
      </c>
      <c r="D539" s="431" t="s">
        <v>160</v>
      </c>
      <c r="E539" s="431" t="s">
        <v>161</v>
      </c>
      <c r="F539" s="431" t="s">
        <v>670</v>
      </c>
      <c r="G539" s="431" t="s">
        <v>175</v>
      </c>
      <c r="H539" s="431"/>
      <c r="I539" s="431"/>
      <c r="J539" s="431"/>
      <c r="K539" s="431"/>
      <c r="L539" s="431" t="s">
        <v>683</v>
      </c>
      <c r="M539" s="431" t="s">
        <v>692</v>
      </c>
    </row>
    <row r="540" spans="1:13" x14ac:dyDescent="0.2">
      <c r="A540" s="431" t="s">
        <v>691</v>
      </c>
      <c r="B540" s="431">
        <v>1690206</v>
      </c>
      <c r="C540" s="431" t="s">
        <v>159</v>
      </c>
      <c r="D540" s="431" t="s">
        <v>160</v>
      </c>
      <c r="E540" s="431" t="s">
        <v>161</v>
      </c>
      <c r="F540" s="431" t="s">
        <v>670</v>
      </c>
      <c r="G540" s="431" t="s">
        <v>175</v>
      </c>
      <c r="H540" s="431"/>
      <c r="I540" s="431"/>
      <c r="J540" s="431"/>
      <c r="K540" s="431"/>
      <c r="L540" s="431" t="s">
        <v>683</v>
      </c>
      <c r="M540" s="431" t="s">
        <v>692</v>
      </c>
    </row>
    <row r="541" spans="1:13" x14ac:dyDescent="0.2">
      <c r="A541" s="431" t="s">
        <v>691</v>
      </c>
      <c r="B541" s="431">
        <v>1690206</v>
      </c>
      <c r="C541" s="431" t="s">
        <v>159</v>
      </c>
      <c r="D541" s="431" t="s">
        <v>160</v>
      </c>
      <c r="E541" s="431" t="s">
        <v>161</v>
      </c>
      <c r="F541" s="431" t="s">
        <v>670</v>
      </c>
      <c r="G541" s="431" t="s">
        <v>175</v>
      </c>
      <c r="H541" s="431"/>
      <c r="I541" s="431"/>
      <c r="J541" s="431"/>
      <c r="K541" s="431"/>
      <c r="L541" s="431" t="s">
        <v>683</v>
      </c>
      <c r="M541" s="431" t="s">
        <v>692</v>
      </c>
    </row>
    <row r="542" spans="1:13" x14ac:dyDescent="0.2">
      <c r="A542" s="431" t="s">
        <v>691</v>
      </c>
      <c r="B542" s="431">
        <v>1690206</v>
      </c>
      <c r="C542" s="431" t="s">
        <v>159</v>
      </c>
      <c r="D542" s="431" t="s">
        <v>160</v>
      </c>
      <c r="E542" s="431" t="s">
        <v>161</v>
      </c>
      <c r="F542" s="431" t="s">
        <v>670</v>
      </c>
      <c r="G542" s="431" t="s">
        <v>175</v>
      </c>
      <c r="H542" s="431"/>
      <c r="I542" s="431"/>
      <c r="J542" s="431"/>
      <c r="K542" s="431"/>
      <c r="L542" s="431" t="s">
        <v>683</v>
      </c>
      <c r="M542" s="431" t="s">
        <v>692</v>
      </c>
    </row>
    <row r="543" spans="1:13" x14ac:dyDescent="0.2">
      <c r="A543" s="431" t="s">
        <v>691</v>
      </c>
      <c r="B543" s="431">
        <v>1690206</v>
      </c>
      <c r="C543" s="431" t="s">
        <v>159</v>
      </c>
      <c r="D543" s="431" t="s">
        <v>160</v>
      </c>
      <c r="E543" s="431" t="s">
        <v>161</v>
      </c>
      <c r="F543" s="431" t="s">
        <v>670</v>
      </c>
      <c r="G543" s="431" t="s">
        <v>175</v>
      </c>
      <c r="H543" s="431"/>
      <c r="I543" s="431"/>
      <c r="J543" s="431"/>
      <c r="K543" s="431"/>
      <c r="L543" s="431" t="s">
        <v>683</v>
      </c>
      <c r="M543" s="431" t="s">
        <v>692</v>
      </c>
    </row>
    <row r="544" spans="1:13" x14ac:dyDescent="0.2">
      <c r="A544" s="431" t="s">
        <v>691</v>
      </c>
      <c r="B544" s="431">
        <v>1690206</v>
      </c>
      <c r="C544" s="431" t="s">
        <v>159</v>
      </c>
      <c r="D544" s="431" t="s">
        <v>160</v>
      </c>
      <c r="E544" s="431" t="s">
        <v>161</v>
      </c>
      <c r="F544" s="431" t="s">
        <v>670</v>
      </c>
      <c r="G544" s="431" t="s">
        <v>175</v>
      </c>
      <c r="H544" s="431"/>
      <c r="I544" s="431"/>
      <c r="J544" s="431"/>
      <c r="K544" s="431"/>
      <c r="L544" s="431" t="s">
        <v>683</v>
      </c>
      <c r="M544" s="431" t="s">
        <v>692</v>
      </c>
    </row>
    <row r="545" spans="1:13" x14ac:dyDescent="0.2">
      <c r="A545" s="431" t="s">
        <v>695</v>
      </c>
      <c r="B545" s="431">
        <v>1690127</v>
      </c>
      <c r="C545" s="431" t="s">
        <v>159</v>
      </c>
      <c r="D545" s="431" t="s">
        <v>160</v>
      </c>
      <c r="E545" s="431" t="s">
        <v>161</v>
      </c>
      <c r="F545" s="431" t="s">
        <v>662</v>
      </c>
      <c r="G545" s="431" t="s">
        <v>175</v>
      </c>
      <c r="H545" s="431"/>
      <c r="I545" s="431"/>
      <c r="J545" s="431"/>
      <c r="K545" s="431"/>
      <c r="L545" s="431" t="s">
        <v>650</v>
      </c>
      <c r="M545" s="431" t="s">
        <v>696</v>
      </c>
    </row>
    <row r="546" spans="1:13" x14ac:dyDescent="0.2">
      <c r="A546" s="431" t="s">
        <v>695</v>
      </c>
      <c r="B546" s="431">
        <v>1690127</v>
      </c>
      <c r="C546" s="431" t="s">
        <v>159</v>
      </c>
      <c r="D546" s="431" t="s">
        <v>160</v>
      </c>
      <c r="E546" s="431" t="s">
        <v>161</v>
      </c>
      <c r="F546" s="431" t="s">
        <v>662</v>
      </c>
      <c r="G546" s="431" t="s">
        <v>175</v>
      </c>
      <c r="H546" s="431"/>
      <c r="I546" s="431"/>
      <c r="J546" s="431"/>
      <c r="K546" s="431"/>
      <c r="L546" s="431" t="s">
        <v>650</v>
      </c>
      <c r="M546" s="431" t="s">
        <v>696</v>
      </c>
    </row>
    <row r="547" spans="1:13" x14ac:dyDescent="0.2">
      <c r="A547" s="431" t="s">
        <v>695</v>
      </c>
      <c r="B547" s="431">
        <v>1690127</v>
      </c>
      <c r="C547" s="431" t="s">
        <v>159</v>
      </c>
      <c r="D547" s="431" t="s">
        <v>160</v>
      </c>
      <c r="E547" s="431" t="s">
        <v>161</v>
      </c>
      <c r="F547" s="431" t="s">
        <v>665</v>
      </c>
      <c r="G547" s="431" t="s">
        <v>175</v>
      </c>
      <c r="H547" s="431"/>
      <c r="I547" s="431"/>
      <c r="J547" s="431"/>
      <c r="K547" s="431"/>
      <c r="L547" s="431" t="s">
        <v>650</v>
      </c>
      <c r="M547" s="431" t="s">
        <v>696</v>
      </c>
    </row>
    <row r="548" spans="1:13" x14ac:dyDescent="0.2">
      <c r="A548" s="431" t="s">
        <v>695</v>
      </c>
      <c r="B548" s="431">
        <v>1690127</v>
      </c>
      <c r="C548" s="431" t="s">
        <v>159</v>
      </c>
      <c r="D548" s="431" t="s">
        <v>160</v>
      </c>
      <c r="E548" s="431" t="s">
        <v>161</v>
      </c>
      <c r="F548" s="431" t="s">
        <v>665</v>
      </c>
      <c r="G548" s="431" t="s">
        <v>175</v>
      </c>
      <c r="H548" s="431"/>
      <c r="I548" s="431"/>
      <c r="J548" s="431"/>
      <c r="K548" s="431"/>
      <c r="L548" s="431" t="s">
        <v>650</v>
      </c>
      <c r="M548" s="431" t="s">
        <v>696</v>
      </c>
    </row>
    <row r="549" spans="1:13" x14ac:dyDescent="0.2">
      <c r="A549" s="431" t="s">
        <v>695</v>
      </c>
      <c r="B549" s="431">
        <v>1690127</v>
      </c>
      <c r="C549" s="431" t="s">
        <v>159</v>
      </c>
      <c r="D549" s="431" t="s">
        <v>160</v>
      </c>
      <c r="E549" s="431" t="s">
        <v>161</v>
      </c>
      <c r="F549" s="431" t="s">
        <v>697</v>
      </c>
      <c r="G549" s="431" t="s">
        <v>175</v>
      </c>
      <c r="H549" s="431"/>
      <c r="I549" s="431"/>
      <c r="J549" s="431"/>
      <c r="K549" s="431"/>
      <c r="L549" s="431" t="s">
        <v>650</v>
      </c>
      <c r="M549" s="431" t="s">
        <v>696</v>
      </c>
    </row>
    <row r="550" spans="1:13" x14ac:dyDescent="0.2">
      <c r="A550" s="431" t="s">
        <v>695</v>
      </c>
      <c r="B550" s="431">
        <v>1690127</v>
      </c>
      <c r="C550" s="431" t="s">
        <v>159</v>
      </c>
      <c r="D550" s="431" t="s">
        <v>160</v>
      </c>
      <c r="E550" s="431" t="s">
        <v>161</v>
      </c>
      <c r="F550" s="431" t="s">
        <v>698</v>
      </c>
      <c r="G550" s="431" t="s">
        <v>175</v>
      </c>
      <c r="H550" s="431"/>
      <c r="I550" s="431"/>
      <c r="J550" s="431"/>
      <c r="K550" s="431"/>
      <c r="L550" s="431" t="s">
        <v>650</v>
      </c>
      <c r="M550" s="431" t="s">
        <v>696</v>
      </c>
    </row>
    <row r="551" spans="1:13" x14ac:dyDescent="0.2">
      <c r="A551" s="431" t="s">
        <v>695</v>
      </c>
      <c r="B551" s="431">
        <v>1690127</v>
      </c>
      <c r="C551" s="431" t="s">
        <v>159</v>
      </c>
      <c r="D551" s="431" t="s">
        <v>160</v>
      </c>
      <c r="E551" s="431" t="s">
        <v>161</v>
      </c>
      <c r="F551" s="431" t="s">
        <v>699</v>
      </c>
      <c r="G551" s="431" t="s">
        <v>175</v>
      </c>
      <c r="H551" s="431"/>
      <c r="I551" s="431"/>
      <c r="J551" s="431"/>
      <c r="K551" s="431"/>
      <c r="L551" s="431" t="s">
        <v>650</v>
      </c>
      <c r="M551" s="431" t="s">
        <v>696</v>
      </c>
    </row>
    <row r="552" spans="1:13" x14ac:dyDescent="0.2">
      <c r="A552" s="431" t="s">
        <v>695</v>
      </c>
      <c r="B552" s="431">
        <v>1690127</v>
      </c>
      <c r="C552" s="431" t="s">
        <v>159</v>
      </c>
      <c r="D552" s="431" t="s">
        <v>160</v>
      </c>
      <c r="E552" s="431" t="s">
        <v>161</v>
      </c>
      <c r="F552" s="431" t="s">
        <v>700</v>
      </c>
      <c r="G552" s="431" t="s">
        <v>175</v>
      </c>
      <c r="H552" s="431"/>
      <c r="I552" s="431"/>
      <c r="J552" s="431"/>
      <c r="K552" s="431"/>
      <c r="L552" s="431" t="s">
        <v>650</v>
      </c>
      <c r="M552" s="431" t="s">
        <v>696</v>
      </c>
    </row>
    <row r="553" spans="1:13" x14ac:dyDescent="0.2">
      <c r="A553" s="431" t="s">
        <v>695</v>
      </c>
      <c r="B553" s="431">
        <v>1690127</v>
      </c>
      <c r="C553" s="431" t="s">
        <v>159</v>
      </c>
      <c r="D553" s="431" t="s">
        <v>160</v>
      </c>
      <c r="E553" s="431" t="s">
        <v>161</v>
      </c>
      <c r="F553" s="431" t="s">
        <v>701</v>
      </c>
      <c r="G553" s="431" t="s">
        <v>175</v>
      </c>
      <c r="H553" s="431"/>
      <c r="I553" s="431"/>
      <c r="J553" s="431"/>
      <c r="K553" s="431"/>
      <c r="L553" s="431" t="s">
        <v>650</v>
      </c>
      <c r="M553" s="431" t="s">
        <v>696</v>
      </c>
    </row>
    <row r="554" spans="1:13" x14ac:dyDescent="0.2">
      <c r="A554" s="431" t="s">
        <v>695</v>
      </c>
      <c r="B554" s="431">
        <v>1690127</v>
      </c>
      <c r="C554" s="431" t="s">
        <v>159</v>
      </c>
      <c r="D554" s="431" t="s">
        <v>160</v>
      </c>
      <c r="E554" s="431" t="s">
        <v>161</v>
      </c>
      <c r="F554" s="431" t="s">
        <v>669</v>
      </c>
      <c r="G554" s="431" t="s">
        <v>175</v>
      </c>
      <c r="H554" s="431"/>
      <c r="I554" s="431"/>
      <c r="J554" s="431"/>
      <c r="K554" s="431"/>
      <c r="L554" s="431" t="s">
        <v>650</v>
      </c>
      <c r="M554" s="431" t="s">
        <v>696</v>
      </c>
    </row>
    <row r="555" spans="1:13" x14ac:dyDescent="0.2">
      <c r="A555" s="431" t="s">
        <v>695</v>
      </c>
      <c r="B555" s="431">
        <v>1690127</v>
      </c>
      <c r="C555" s="431" t="s">
        <v>159</v>
      </c>
      <c r="D555" s="431" t="s">
        <v>160</v>
      </c>
      <c r="E555" s="431" t="s">
        <v>161</v>
      </c>
      <c r="F555" s="431" t="s">
        <v>669</v>
      </c>
      <c r="G555" s="431" t="s">
        <v>175</v>
      </c>
      <c r="H555" s="431"/>
      <c r="I555" s="431"/>
      <c r="J555" s="431"/>
      <c r="K555" s="431"/>
      <c r="L555" s="431" t="s">
        <v>650</v>
      </c>
      <c r="M555" s="431" t="s">
        <v>696</v>
      </c>
    </row>
    <row r="556" spans="1:13" x14ac:dyDescent="0.2">
      <c r="A556" s="431" t="s">
        <v>695</v>
      </c>
      <c r="B556" s="431">
        <v>1690127</v>
      </c>
      <c r="C556" s="431" t="s">
        <v>159</v>
      </c>
      <c r="D556" s="431" t="s">
        <v>160</v>
      </c>
      <c r="E556" s="431" t="s">
        <v>161</v>
      </c>
      <c r="F556" s="431" t="s">
        <v>669</v>
      </c>
      <c r="G556" s="431" t="s">
        <v>175</v>
      </c>
      <c r="H556" s="431"/>
      <c r="I556" s="431"/>
      <c r="J556" s="431"/>
      <c r="K556" s="431"/>
      <c r="L556" s="431" t="s">
        <v>650</v>
      </c>
      <c r="M556" s="431" t="s">
        <v>696</v>
      </c>
    </row>
    <row r="557" spans="1:13" x14ac:dyDescent="0.2">
      <c r="A557" s="431" t="s">
        <v>695</v>
      </c>
      <c r="B557" s="431">
        <v>1690127</v>
      </c>
      <c r="C557" s="431" t="s">
        <v>159</v>
      </c>
      <c r="D557" s="431" t="s">
        <v>160</v>
      </c>
      <c r="E557" s="431" t="s">
        <v>161</v>
      </c>
      <c r="F557" s="431" t="s">
        <v>669</v>
      </c>
      <c r="G557" s="431" t="s">
        <v>175</v>
      </c>
      <c r="H557" s="431"/>
      <c r="I557" s="431"/>
      <c r="J557" s="431"/>
      <c r="K557" s="431"/>
      <c r="L557" s="431" t="s">
        <v>650</v>
      </c>
      <c r="M557" s="431" t="s">
        <v>696</v>
      </c>
    </row>
    <row r="558" spans="1:13" x14ac:dyDescent="0.2">
      <c r="A558" s="431" t="s">
        <v>695</v>
      </c>
      <c r="B558" s="431">
        <v>1690127</v>
      </c>
      <c r="C558" s="431" t="s">
        <v>159</v>
      </c>
      <c r="D558" s="431" t="s">
        <v>160</v>
      </c>
      <c r="E558" s="431" t="s">
        <v>161</v>
      </c>
      <c r="F558" s="431" t="s">
        <v>669</v>
      </c>
      <c r="G558" s="431" t="s">
        <v>175</v>
      </c>
      <c r="H558" s="431"/>
      <c r="I558" s="431"/>
      <c r="J558" s="431"/>
      <c r="K558" s="431"/>
      <c r="L558" s="431" t="s">
        <v>650</v>
      </c>
      <c r="M558" s="431" t="s">
        <v>696</v>
      </c>
    </row>
    <row r="559" spans="1:13" x14ac:dyDescent="0.2">
      <c r="A559" s="431" t="s">
        <v>695</v>
      </c>
      <c r="B559" s="431">
        <v>1690127</v>
      </c>
      <c r="C559" s="431" t="s">
        <v>159</v>
      </c>
      <c r="D559" s="431" t="s">
        <v>160</v>
      </c>
      <c r="E559" s="431" t="s">
        <v>161</v>
      </c>
      <c r="F559" s="431" t="s">
        <v>669</v>
      </c>
      <c r="G559" s="431" t="s">
        <v>175</v>
      </c>
      <c r="H559" s="431"/>
      <c r="I559" s="431"/>
      <c r="J559" s="431"/>
      <c r="K559" s="431"/>
      <c r="L559" s="431" t="s">
        <v>650</v>
      </c>
      <c r="M559" s="431" t="s">
        <v>696</v>
      </c>
    </row>
    <row r="560" spans="1:13" x14ac:dyDescent="0.2">
      <c r="A560" s="431" t="s">
        <v>695</v>
      </c>
      <c r="B560" s="431">
        <v>1690127</v>
      </c>
      <c r="C560" s="431" t="s">
        <v>159</v>
      </c>
      <c r="D560" s="431" t="s">
        <v>160</v>
      </c>
      <c r="E560" s="431" t="s">
        <v>161</v>
      </c>
      <c r="F560" s="431" t="s">
        <v>669</v>
      </c>
      <c r="G560" s="431" t="s">
        <v>175</v>
      </c>
      <c r="H560" s="431"/>
      <c r="I560" s="431"/>
      <c r="J560" s="431"/>
      <c r="K560" s="431"/>
      <c r="L560" s="431" t="s">
        <v>650</v>
      </c>
      <c r="M560" s="431" t="s">
        <v>696</v>
      </c>
    </row>
    <row r="561" spans="1:13" x14ac:dyDescent="0.2">
      <c r="A561" s="431" t="s">
        <v>695</v>
      </c>
      <c r="B561" s="431">
        <v>1690127</v>
      </c>
      <c r="C561" s="431" t="s">
        <v>159</v>
      </c>
      <c r="D561" s="431" t="s">
        <v>160</v>
      </c>
      <c r="E561" s="431" t="s">
        <v>161</v>
      </c>
      <c r="F561" s="431" t="s">
        <v>669</v>
      </c>
      <c r="G561" s="431" t="s">
        <v>175</v>
      </c>
      <c r="H561" s="431"/>
      <c r="I561" s="431"/>
      <c r="J561" s="431"/>
      <c r="K561" s="431"/>
      <c r="L561" s="431" t="s">
        <v>650</v>
      </c>
      <c r="M561" s="431" t="s">
        <v>696</v>
      </c>
    </row>
    <row r="562" spans="1:13" x14ac:dyDescent="0.2">
      <c r="A562" s="431" t="s">
        <v>695</v>
      </c>
      <c r="B562" s="431">
        <v>1690127</v>
      </c>
      <c r="C562" s="431" t="s">
        <v>159</v>
      </c>
      <c r="D562" s="431" t="s">
        <v>160</v>
      </c>
      <c r="E562" s="431" t="s">
        <v>161</v>
      </c>
      <c r="F562" s="431" t="s">
        <v>669</v>
      </c>
      <c r="G562" s="431" t="s">
        <v>175</v>
      </c>
      <c r="H562" s="431"/>
      <c r="I562" s="431"/>
      <c r="J562" s="431"/>
      <c r="K562" s="431"/>
      <c r="L562" s="431" t="s">
        <v>650</v>
      </c>
      <c r="M562" s="431" t="s">
        <v>696</v>
      </c>
    </row>
    <row r="563" spans="1:13" x14ac:dyDescent="0.2">
      <c r="A563" s="431" t="s">
        <v>695</v>
      </c>
      <c r="B563" s="431">
        <v>1690127</v>
      </c>
      <c r="C563" s="431" t="s">
        <v>159</v>
      </c>
      <c r="D563" s="431" t="s">
        <v>160</v>
      </c>
      <c r="E563" s="431" t="s">
        <v>161</v>
      </c>
      <c r="F563" s="431" t="s">
        <v>669</v>
      </c>
      <c r="G563" s="431" t="s">
        <v>175</v>
      </c>
      <c r="H563" s="431"/>
      <c r="I563" s="431"/>
      <c r="J563" s="431"/>
      <c r="K563" s="431"/>
      <c r="L563" s="431" t="s">
        <v>650</v>
      </c>
      <c r="M563" s="431" t="s">
        <v>696</v>
      </c>
    </row>
    <row r="564" spans="1:13" x14ac:dyDescent="0.2">
      <c r="A564" s="431" t="s">
        <v>695</v>
      </c>
      <c r="B564" s="431">
        <v>1690127</v>
      </c>
      <c r="C564" s="431" t="s">
        <v>159</v>
      </c>
      <c r="D564" s="431" t="s">
        <v>160</v>
      </c>
      <c r="E564" s="431" t="s">
        <v>161</v>
      </c>
      <c r="F564" s="431" t="s">
        <v>669</v>
      </c>
      <c r="G564" s="431" t="s">
        <v>175</v>
      </c>
      <c r="H564" s="431"/>
      <c r="I564" s="431"/>
      <c r="J564" s="431"/>
      <c r="K564" s="431"/>
      <c r="L564" s="431" t="s">
        <v>650</v>
      </c>
      <c r="M564" s="431" t="s">
        <v>696</v>
      </c>
    </row>
    <row r="565" spans="1:13" x14ac:dyDescent="0.2">
      <c r="A565" s="431" t="s">
        <v>695</v>
      </c>
      <c r="B565" s="431">
        <v>1690127</v>
      </c>
      <c r="C565" s="431" t="s">
        <v>159</v>
      </c>
      <c r="D565" s="431" t="s">
        <v>160</v>
      </c>
      <c r="E565" s="431" t="s">
        <v>161</v>
      </c>
      <c r="F565" s="431" t="s">
        <v>669</v>
      </c>
      <c r="G565" s="431" t="s">
        <v>175</v>
      </c>
      <c r="H565" s="431"/>
      <c r="I565" s="431"/>
      <c r="J565" s="431"/>
      <c r="K565" s="431"/>
      <c r="L565" s="431" t="s">
        <v>650</v>
      </c>
      <c r="M565" s="431" t="s">
        <v>696</v>
      </c>
    </row>
    <row r="566" spans="1:13" x14ac:dyDescent="0.2">
      <c r="A566" s="431" t="s">
        <v>695</v>
      </c>
      <c r="B566" s="431">
        <v>1690127</v>
      </c>
      <c r="C566" s="431" t="s">
        <v>159</v>
      </c>
      <c r="D566" s="431" t="s">
        <v>160</v>
      </c>
      <c r="E566" s="431" t="s">
        <v>161</v>
      </c>
      <c r="F566" s="431" t="s">
        <v>669</v>
      </c>
      <c r="G566" s="431" t="s">
        <v>175</v>
      </c>
      <c r="H566" s="431"/>
      <c r="I566" s="431"/>
      <c r="J566" s="431"/>
      <c r="K566" s="431"/>
      <c r="L566" s="431" t="s">
        <v>650</v>
      </c>
      <c r="M566" s="431" t="s">
        <v>696</v>
      </c>
    </row>
    <row r="567" spans="1:13" x14ac:dyDescent="0.2">
      <c r="A567" s="431" t="s">
        <v>695</v>
      </c>
      <c r="B567" s="431">
        <v>1690127</v>
      </c>
      <c r="C567" s="431" t="s">
        <v>159</v>
      </c>
      <c r="D567" s="431" t="s">
        <v>160</v>
      </c>
      <c r="E567" s="431" t="s">
        <v>161</v>
      </c>
      <c r="F567" s="431" t="s">
        <v>669</v>
      </c>
      <c r="G567" s="431" t="s">
        <v>175</v>
      </c>
      <c r="H567" s="431"/>
      <c r="I567" s="431"/>
      <c r="J567" s="431"/>
      <c r="K567" s="431"/>
      <c r="L567" s="431" t="s">
        <v>650</v>
      </c>
      <c r="M567" s="431" t="s">
        <v>696</v>
      </c>
    </row>
    <row r="568" spans="1:13" x14ac:dyDescent="0.2">
      <c r="A568" s="431" t="s">
        <v>695</v>
      </c>
      <c r="B568" s="431">
        <v>1690127</v>
      </c>
      <c r="C568" s="431" t="s">
        <v>159</v>
      </c>
      <c r="D568" s="431" t="s">
        <v>160</v>
      </c>
      <c r="E568" s="431" t="s">
        <v>161</v>
      </c>
      <c r="F568" s="431" t="s">
        <v>669</v>
      </c>
      <c r="G568" s="431" t="s">
        <v>175</v>
      </c>
      <c r="H568" s="431"/>
      <c r="I568" s="431"/>
      <c r="J568" s="431"/>
      <c r="K568" s="431"/>
      <c r="L568" s="431" t="s">
        <v>650</v>
      </c>
      <c r="M568" s="431" t="s">
        <v>696</v>
      </c>
    </row>
    <row r="569" spans="1:13" x14ac:dyDescent="0.2">
      <c r="A569" s="431" t="s">
        <v>695</v>
      </c>
      <c r="B569" s="431">
        <v>1690127</v>
      </c>
      <c r="C569" s="431" t="s">
        <v>159</v>
      </c>
      <c r="D569" s="431" t="s">
        <v>160</v>
      </c>
      <c r="E569" s="431" t="s">
        <v>161</v>
      </c>
      <c r="F569" s="431" t="s">
        <v>669</v>
      </c>
      <c r="G569" s="431" t="s">
        <v>175</v>
      </c>
      <c r="H569" s="431"/>
      <c r="I569" s="431"/>
      <c r="J569" s="431"/>
      <c r="K569" s="431"/>
      <c r="L569" s="431" t="s">
        <v>650</v>
      </c>
      <c r="M569" s="431" t="s">
        <v>696</v>
      </c>
    </row>
    <row r="570" spans="1:13" x14ac:dyDescent="0.2">
      <c r="A570" s="431" t="s">
        <v>695</v>
      </c>
      <c r="B570" s="431">
        <v>1690127</v>
      </c>
      <c r="C570" s="431" t="s">
        <v>159</v>
      </c>
      <c r="D570" s="431" t="s">
        <v>160</v>
      </c>
      <c r="E570" s="431" t="s">
        <v>161</v>
      </c>
      <c r="F570" s="431" t="s">
        <v>676</v>
      </c>
      <c r="G570" s="431" t="s">
        <v>175</v>
      </c>
      <c r="H570" s="431"/>
      <c r="I570" s="431"/>
      <c r="J570" s="431"/>
      <c r="K570" s="431"/>
      <c r="L570" s="431" t="s">
        <v>650</v>
      </c>
      <c r="M570" s="431" t="s">
        <v>696</v>
      </c>
    </row>
    <row r="571" spans="1:13" x14ac:dyDescent="0.2">
      <c r="A571" s="431" t="s">
        <v>695</v>
      </c>
      <c r="B571" s="431">
        <v>1690127</v>
      </c>
      <c r="C571" s="431" t="s">
        <v>159</v>
      </c>
      <c r="D571" s="431" t="s">
        <v>160</v>
      </c>
      <c r="E571" s="431" t="s">
        <v>161</v>
      </c>
      <c r="F571" s="431" t="s">
        <v>676</v>
      </c>
      <c r="G571" s="431" t="s">
        <v>175</v>
      </c>
      <c r="H571" s="431"/>
      <c r="I571" s="431"/>
      <c r="J571" s="431"/>
      <c r="K571" s="431"/>
      <c r="L571" s="431" t="s">
        <v>650</v>
      </c>
      <c r="M571" s="431" t="s">
        <v>696</v>
      </c>
    </row>
    <row r="572" spans="1:13" x14ac:dyDescent="0.2">
      <c r="A572" s="431" t="s">
        <v>695</v>
      </c>
      <c r="B572" s="431">
        <v>1690127</v>
      </c>
      <c r="C572" s="431" t="s">
        <v>159</v>
      </c>
      <c r="D572" s="431" t="s">
        <v>160</v>
      </c>
      <c r="E572" s="431" t="s">
        <v>161</v>
      </c>
      <c r="F572" s="431" t="s">
        <v>676</v>
      </c>
      <c r="G572" s="431" t="s">
        <v>175</v>
      </c>
      <c r="H572" s="431"/>
      <c r="I572" s="431"/>
      <c r="J572" s="431"/>
      <c r="K572" s="431"/>
      <c r="L572" s="431" t="s">
        <v>650</v>
      </c>
      <c r="M572" s="431" t="s">
        <v>696</v>
      </c>
    </row>
    <row r="573" spans="1:13" x14ac:dyDescent="0.2">
      <c r="A573" s="431" t="s">
        <v>695</v>
      </c>
      <c r="B573" s="431">
        <v>1690127</v>
      </c>
      <c r="C573" s="431" t="s">
        <v>159</v>
      </c>
      <c r="D573" s="431" t="s">
        <v>160</v>
      </c>
      <c r="E573" s="431" t="s">
        <v>161</v>
      </c>
      <c r="F573" s="431" t="s">
        <v>676</v>
      </c>
      <c r="G573" s="431" t="s">
        <v>175</v>
      </c>
      <c r="H573" s="431"/>
      <c r="I573" s="431"/>
      <c r="J573" s="431"/>
      <c r="K573" s="431"/>
      <c r="L573" s="431" t="s">
        <v>650</v>
      </c>
      <c r="M573" s="431" t="s">
        <v>696</v>
      </c>
    </row>
    <row r="574" spans="1:13" x14ac:dyDescent="0.2">
      <c r="A574" s="431" t="s">
        <v>695</v>
      </c>
      <c r="B574" s="431">
        <v>1690127</v>
      </c>
      <c r="C574" s="431" t="s">
        <v>159</v>
      </c>
      <c r="D574" s="431" t="s">
        <v>160</v>
      </c>
      <c r="E574" s="431" t="s">
        <v>161</v>
      </c>
      <c r="F574" s="431" t="s">
        <v>676</v>
      </c>
      <c r="G574" s="431" t="s">
        <v>175</v>
      </c>
      <c r="H574" s="431"/>
      <c r="I574" s="431"/>
      <c r="J574" s="431"/>
      <c r="K574" s="431"/>
      <c r="L574" s="431" t="s">
        <v>650</v>
      </c>
      <c r="M574" s="431" t="s">
        <v>696</v>
      </c>
    </row>
    <row r="575" spans="1:13" x14ac:dyDescent="0.2">
      <c r="A575" s="431" t="s">
        <v>695</v>
      </c>
      <c r="B575" s="431">
        <v>1690127</v>
      </c>
      <c r="C575" s="431" t="s">
        <v>159</v>
      </c>
      <c r="D575" s="431" t="s">
        <v>160</v>
      </c>
      <c r="E575" s="431" t="s">
        <v>161</v>
      </c>
      <c r="F575" s="431" t="s">
        <v>676</v>
      </c>
      <c r="G575" s="431" t="s">
        <v>175</v>
      </c>
      <c r="H575" s="431"/>
      <c r="I575" s="431"/>
      <c r="J575" s="431"/>
      <c r="K575" s="431"/>
      <c r="L575" s="431" t="s">
        <v>650</v>
      </c>
      <c r="M575" s="431" t="s">
        <v>696</v>
      </c>
    </row>
    <row r="576" spans="1:13" x14ac:dyDescent="0.2">
      <c r="A576" s="431" t="s">
        <v>695</v>
      </c>
      <c r="B576" s="431">
        <v>1690127</v>
      </c>
      <c r="C576" s="431" t="s">
        <v>159</v>
      </c>
      <c r="D576" s="431" t="s">
        <v>160</v>
      </c>
      <c r="E576" s="431" t="s">
        <v>161</v>
      </c>
      <c r="F576" s="431" t="s">
        <v>676</v>
      </c>
      <c r="G576" s="431" t="s">
        <v>175</v>
      </c>
      <c r="H576" s="431"/>
      <c r="I576" s="431"/>
      <c r="J576" s="431"/>
      <c r="K576" s="431"/>
      <c r="L576" s="431" t="s">
        <v>650</v>
      </c>
      <c r="M576" s="431" t="s">
        <v>696</v>
      </c>
    </row>
    <row r="577" spans="1:13" x14ac:dyDescent="0.2">
      <c r="A577" s="431" t="s">
        <v>695</v>
      </c>
      <c r="B577" s="431">
        <v>1690127</v>
      </c>
      <c r="C577" s="431" t="s">
        <v>159</v>
      </c>
      <c r="D577" s="431" t="s">
        <v>160</v>
      </c>
      <c r="E577" s="431" t="s">
        <v>161</v>
      </c>
      <c r="F577" s="431" t="s">
        <v>676</v>
      </c>
      <c r="G577" s="431" t="s">
        <v>175</v>
      </c>
      <c r="H577" s="431"/>
      <c r="I577" s="431"/>
      <c r="J577" s="431"/>
      <c r="K577" s="431"/>
      <c r="L577" s="431" t="s">
        <v>650</v>
      </c>
      <c r="M577" s="431" t="s">
        <v>696</v>
      </c>
    </row>
    <row r="578" spans="1:13" x14ac:dyDescent="0.2">
      <c r="A578" s="431" t="s">
        <v>695</v>
      </c>
      <c r="B578" s="431">
        <v>1690127</v>
      </c>
      <c r="C578" s="431" t="s">
        <v>159</v>
      </c>
      <c r="D578" s="431" t="s">
        <v>160</v>
      </c>
      <c r="E578" s="431" t="s">
        <v>161</v>
      </c>
      <c r="F578" s="431" t="s">
        <v>676</v>
      </c>
      <c r="G578" s="431" t="s">
        <v>175</v>
      </c>
      <c r="H578" s="431"/>
      <c r="I578" s="431"/>
      <c r="J578" s="431"/>
      <c r="K578" s="431"/>
      <c r="L578" s="431" t="s">
        <v>650</v>
      </c>
      <c r="M578" s="431" t="s">
        <v>696</v>
      </c>
    </row>
    <row r="579" spans="1:13" x14ac:dyDescent="0.2">
      <c r="A579" s="431" t="s">
        <v>695</v>
      </c>
      <c r="B579" s="431">
        <v>1690127</v>
      </c>
      <c r="C579" s="431" t="s">
        <v>159</v>
      </c>
      <c r="D579" s="431" t="s">
        <v>160</v>
      </c>
      <c r="E579" s="431" t="s">
        <v>161</v>
      </c>
      <c r="F579" s="431" t="s">
        <v>676</v>
      </c>
      <c r="G579" s="431" t="s">
        <v>175</v>
      </c>
      <c r="H579" s="431"/>
      <c r="I579" s="431"/>
      <c r="J579" s="431"/>
      <c r="K579" s="431"/>
      <c r="L579" s="431" t="s">
        <v>650</v>
      </c>
      <c r="M579" s="431" t="s">
        <v>696</v>
      </c>
    </row>
    <row r="580" spans="1:13" x14ac:dyDescent="0.2">
      <c r="A580" s="431" t="s">
        <v>695</v>
      </c>
      <c r="B580" s="431">
        <v>1690127</v>
      </c>
      <c r="C580" s="431" t="s">
        <v>159</v>
      </c>
      <c r="D580" s="431" t="s">
        <v>160</v>
      </c>
      <c r="E580" s="431" t="s">
        <v>161</v>
      </c>
      <c r="F580" s="431" t="s">
        <v>676</v>
      </c>
      <c r="G580" s="431" t="s">
        <v>175</v>
      </c>
      <c r="H580" s="431"/>
      <c r="I580" s="431"/>
      <c r="J580" s="431"/>
      <c r="K580" s="431"/>
      <c r="L580" s="431" t="s">
        <v>650</v>
      </c>
      <c r="M580" s="431" t="s">
        <v>696</v>
      </c>
    </row>
    <row r="581" spans="1:13" x14ac:dyDescent="0.2">
      <c r="A581" s="431" t="s">
        <v>695</v>
      </c>
      <c r="B581" s="431">
        <v>1690127</v>
      </c>
      <c r="C581" s="431" t="s">
        <v>159</v>
      </c>
      <c r="D581" s="431" t="s">
        <v>160</v>
      </c>
      <c r="E581" s="431" t="s">
        <v>161</v>
      </c>
      <c r="F581" s="431" t="s">
        <v>676</v>
      </c>
      <c r="G581" s="431" t="s">
        <v>175</v>
      </c>
      <c r="H581" s="431"/>
      <c r="I581" s="431"/>
      <c r="J581" s="431"/>
      <c r="K581" s="431"/>
      <c r="L581" s="431" t="s">
        <v>650</v>
      </c>
      <c r="M581" s="431" t="s">
        <v>696</v>
      </c>
    </row>
    <row r="582" spans="1:13" x14ac:dyDescent="0.2">
      <c r="A582" s="431" t="s">
        <v>695</v>
      </c>
      <c r="B582" s="431">
        <v>1690127</v>
      </c>
      <c r="C582" s="431" t="s">
        <v>159</v>
      </c>
      <c r="D582" s="431" t="s">
        <v>160</v>
      </c>
      <c r="E582" s="431" t="s">
        <v>161</v>
      </c>
      <c r="F582" s="431" t="s">
        <v>676</v>
      </c>
      <c r="G582" s="431" t="s">
        <v>175</v>
      </c>
      <c r="H582" s="431"/>
      <c r="I582" s="431"/>
      <c r="J582" s="431"/>
      <c r="K582" s="431"/>
      <c r="L582" s="431" t="s">
        <v>650</v>
      </c>
      <c r="M582" s="431" t="s">
        <v>696</v>
      </c>
    </row>
    <row r="583" spans="1:13" x14ac:dyDescent="0.2">
      <c r="A583" s="431" t="s">
        <v>695</v>
      </c>
      <c r="B583" s="431">
        <v>1690127</v>
      </c>
      <c r="C583" s="431" t="s">
        <v>159</v>
      </c>
      <c r="D583" s="431" t="s">
        <v>160</v>
      </c>
      <c r="E583" s="431" t="s">
        <v>161</v>
      </c>
      <c r="F583" s="431" t="s">
        <v>676</v>
      </c>
      <c r="G583" s="431" t="s">
        <v>175</v>
      </c>
      <c r="H583" s="431"/>
      <c r="I583" s="431"/>
      <c r="J583" s="431"/>
      <c r="K583" s="431"/>
      <c r="L583" s="431" t="s">
        <v>650</v>
      </c>
      <c r="M583" s="431" t="s">
        <v>696</v>
      </c>
    </row>
    <row r="584" spans="1:13" x14ac:dyDescent="0.2">
      <c r="A584" s="431" t="s">
        <v>695</v>
      </c>
      <c r="B584" s="431">
        <v>1690127</v>
      </c>
      <c r="C584" s="431" t="s">
        <v>159</v>
      </c>
      <c r="D584" s="431" t="s">
        <v>160</v>
      </c>
      <c r="E584" s="431" t="s">
        <v>161</v>
      </c>
      <c r="F584" s="431" t="s">
        <v>676</v>
      </c>
      <c r="G584" s="431" t="s">
        <v>175</v>
      </c>
      <c r="H584" s="431"/>
      <c r="I584" s="431"/>
      <c r="J584" s="431"/>
      <c r="K584" s="431"/>
      <c r="L584" s="431" t="s">
        <v>650</v>
      </c>
      <c r="M584" s="431" t="s">
        <v>696</v>
      </c>
    </row>
    <row r="585" spans="1:13" x14ac:dyDescent="0.2">
      <c r="A585" s="431" t="s">
        <v>695</v>
      </c>
      <c r="B585" s="431">
        <v>1690127</v>
      </c>
      <c r="C585" s="431" t="s">
        <v>159</v>
      </c>
      <c r="D585" s="431" t="s">
        <v>160</v>
      </c>
      <c r="E585" s="431" t="s">
        <v>161</v>
      </c>
      <c r="F585" s="431" t="s">
        <v>676</v>
      </c>
      <c r="G585" s="431" t="s">
        <v>175</v>
      </c>
      <c r="H585" s="431"/>
      <c r="I585" s="431"/>
      <c r="J585" s="431"/>
      <c r="K585" s="431"/>
      <c r="L585" s="431" t="s">
        <v>650</v>
      </c>
      <c r="M585" s="431" t="s">
        <v>696</v>
      </c>
    </row>
    <row r="586" spans="1:13" x14ac:dyDescent="0.2">
      <c r="A586" s="431" t="s">
        <v>695</v>
      </c>
      <c r="B586" s="431">
        <v>1690127</v>
      </c>
      <c r="C586" s="431" t="s">
        <v>159</v>
      </c>
      <c r="D586" s="431" t="s">
        <v>160</v>
      </c>
      <c r="E586" s="431" t="s">
        <v>161</v>
      </c>
      <c r="F586" s="431" t="s">
        <v>676</v>
      </c>
      <c r="G586" s="431" t="s">
        <v>175</v>
      </c>
      <c r="H586" s="431"/>
      <c r="I586" s="431"/>
      <c r="J586" s="431"/>
      <c r="K586" s="431"/>
      <c r="L586" s="431" t="s">
        <v>650</v>
      </c>
      <c r="M586" s="431" t="s">
        <v>696</v>
      </c>
    </row>
    <row r="587" spans="1:13" x14ac:dyDescent="0.2">
      <c r="A587" s="431" t="s">
        <v>695</v>
      </c>
      <c r="B587" s="431">
        <v>1690127</v>
      </c>
      <c r="C587" s="431" t="s">
        <v>159</v>
      </c>
      <c r="D587" s="431" t="s">
        <v>160</v>
      </c>
      <c r="E587" s="431" t="s">
        <v>161</v>
      </c>
      <c r="F587" s="431" t="s">
        <v>676</v>
      </c>
      <c r="G587" s="431" t="s">
        <v>175</v>
      </c>
      <c r="H587" s="431"/>
      <c r="I587" s="431"/>
      <c r="J587" s="431"/>
      <c r="K587" s="431"/>
      <c r="L587" s="431" t="s">
        <v>650</v>
      </c>
      <c r="M587" s="431" t="s">
        <v>696</v>
      </c>
    </row>
    <row r="588" spans="1:13" x14ac:dyDescent="0.2">
      <c r="A588" s="431" t="s">
        <v>695</v>
      </c>
      <c r="B588" s="431">
        <v>1690127</v>
      </c>
      <c r="C588" s="431" t="s">
        <v>159</v>
      </c>
      <c r="D588" s="431" t="s">
        <v>160</v>
      </c>
      <c r="E588" s="431" t="s">
        <v>161</v>
      </c>
      <c r="F588" s="431" t="s">
        <v>676</v>
      </c>
      <c r="G588" s="431" t="s">
        <v>175</v>
      </c>
      <c r="H588" s="431"/>
      <c r="I588" s="431"/>
      <c r="J588" s="431"/>
      <c r="K588" s="431"/>
      <c r="L588" s="431" t="s">
        <v>650</v>
      </c>
      <c r="M588" s="431" t="s">
        <v>696</v>
      </c>
    </row>
    <row r="589" spans="1:13" x14ac:dyDescent="0.2">
      <c r="A589" s="431" t="s">
        <v>695</v>
      </c>
      <c r="B589" s="431">
        <v>1690127</v>
      </c>
      <c r="C589" s="431" t="s">
        <v>159</v>
      </c>
      <c r="D589" s="431" t="s">
        <v>160</v>
      </c>
      <c r="E589" s="431" t="s">
        <v>161</v>
      </c>
      <c r="F589" s="431" t="s">
        <v>676</v>
      </c>
      <c r="G589" s="431" t="s">
        <v>175</v>
      </c>
      <c r="H589" s="431"/>
      <c r="I589" s="431"/>
      <c r="J589" s="431"/>
      <c r="K589" s="431"/>
      <c r="L589" s="431" t="s">
        <v>650</v>
      </c>
      <c r="M589" s="431" t="s">
        <v>696</v>
      </c>
    </row>
    <row r="590" spans="1:13" x14ac:dyDescent="0.2">
      <c r="A590" s="431" t="s">
        <v>695</v>
      </c>
      <c r="B590" s="431">
        <v>1690127</v>
      </c>
      <c r="C590" s="431" t="s">
        <v>159</v>
      </c>
      <c r="D590" s="431" t="s">
        <v>160</v>
      </c>
      <c r="E590" s="431" t="s">
        <v>161</v>
      </c>
      <c r="F590" s="431" t="s">
        <v>676</v>
      </c>
      <c r="G590" s="431" t="s">
        <v>175</v>
      </c>
      <c r="H590" s="431"/>
      <c r="I590" s="431"/>
      <c r="J590" s="431"/>
      <c r="K590" s="431"/>
      <c r="L590" s="431" t="s">
        <v>650</v>
      </c>
      <c r="M590" s="431" t="s">
        <v>696</v>
      </c>
    </row>
    <row r="591" spans="1:13" x14ac:dyDescent="0.2">
      <c r="A591" s="431" t="s">
        <v>695</v>
      </c>
      <c r="B591" s="431">
        <v>1690127</v>
      </c>
      <c r="C591" s="431" t="s">
        <v>159</v>
      </c>
      <c r="D591" s="431" t="s">
        <v>160</v>
      </c>
      <c r="E591" s="431" t="s">
        <v>161</v>
      </c>
      <c r="F591" s="431" t="s">
        <v>676</v>
      </c>
      <c r="G591" s="431" t="s">
        <v>175</v>
      </c>
      <c r="H591" s="431"/>
      <c r="I591" s="431"/>
      <c r="J591" s="431"/>
      <c r="K591" s="431"/>
      <c r="L591" s="431" t="s">
        <v>650</v>
      </c>
      <c r="M591" s="431" t="s">
        <v>696</v>
      </c>
    </row>
    <row r="592" spans="1:13" x14ac:dyDescent="0.2">
      <c r="A592" s="431" t="s">
        <v>695</v>
      </c>
      <c r="B592" s="431">
        <v>1690127</v>
      </c>
      <c r="C592" s="431" t="s">
        <v>159</v>
      </c>
      <c r="D592" s="431" t="s">
        <v>160</v>
      </c>
      <c r="E592" s="431" t="s">
        <v>161</v>
      </c>
      <c r="F592" s="431" t="s">
        <v>676</v>
      </c>
      <c r="G592" s="431" t="s">
        <v>175</v>
      </c>
      <c r="H592" s="431"/>
      <c r="I592" s="431"/>
      <c r="J592" s="431"/>
      <c r="K592" s="431"/>
      <c r="L592" s="431" t="s">
        <v>650</v>
      </c>
      <c r="M592" s="431" t="s">
        <v>696</v>
      </c>
    </row>
    <row r="593" spans="1:13" x14ac:dyDescent="0.2">
      <c r="A593" s="431" t="s">
        <v>695</v>
      </c>
      <c r="B593" s="431">
        <v>1690127</v>
      </c>
      <c r="C593" s="431" t="s">
        <v>159</v>
      </c>
      <c r="D593" s="431" t="s">
        <v>160</v>
      </c>
      <c r="E593" s="431" t="s">
        <v>161</v>
      </c>
      <c r="F593" s="431" t="s">
        <v>676</v>
      </c>
      <c r="G593" s="431" t="s">
        <v>175</v>
      </c>
      <c r="H593" s="431"/>
      <c r="I593" s="431"/>
      <c r="J593" s="431"/>
      <c r="K593" s="431"/>
      <c r="L593" s="431" t="s">
        <v>650</v>
      </c>
      <c r="M593" s="431" t="s">
        <v>696</v>
      </c>
    </row>
    <row r="594" spans="1:13" x14ac:dyDescent="0.2">
      <c r="A594" s="431" t="s">
        <v>695</v>
      </c>
      <c r="B594" s="431">
        <v>1690127</v>
      </c>
      <c r="C594" s="431" t="s">
        <v>159</v>
      </c>
      <c r="D594" s="431" t="s">
        <v>160</v>
      </c>
      <c r="E594" s="431" t="s">
        <v>161</v>
      </c>
      <c r="F594" s="431" t="s">
        <v>677</v>
      </c>
      <c r="G594" s="431" t="s">
        <v>175</v>
      </c>
      <c r="H594" s="431"/>
      <c r="I594" s="431"/>
      <c r="J594" s="431"/>
      <c r="K594" s="431"/>
      <c r="L594" s="431" t="s">
        <v>650</v>
      </c>
      <c r="M594" s="431" t="s">
        <v>696</v>
      </c>
    </row>
    <row r="595" spans="1:13" x14ac:dyDescent="0.2">
      <c r="A595" s="431" t="s">
        <v>695</v>
      </c>
      <c r="B595" s="431">
        <v>1690127</v>
      </c>
      <c r="C595" s="431" t="s">
        <v>159</v>
      </c>
      <c r="D595" s="431" t="s">
        <v>160</v>
      </c>
      <c r="E595" s="431" t="s">
        <v>161</v>
      </c>
      <c r="F595" s="431" t="s">
        <v>677</v>
      </c>
      <c r="G595" s="431" t="s">
        <v>175</v>
      </c>
      <c r="H595" s="431"/>
      <c r="I595" s="431"/>
      <c r="J595" s="431"/>
      <c r="K595" s="431"/>
      <c r="L595" s="431" t="s">
        <v>650</v>
      </c>
      <c r="M595" s="431" t="s">
        <v>696</v>
      </c>
    </row>
    <row r="596" spans="1:13" x14ac:dyDescent="0.2">
      <c r="A596" s="431" t="s">
        <v>695</v>
      </c>
      <c r="B596" s="431">
        <v>1690127</v>
      </c>
      <c r="C596" s="431" t="s">
        <v>159</v>
      </c>
      <c r="D596" s="431" t="s">
        <v>160</v>
      </c>
      <c r="E596" s="431" t="s">
        <v>161</v>
      </c>
      <c r="F596" s="431" t="s">
        <v>677</v>
      </c>
      <c r="G596" s="431" t="s">
        <v>175</v>
      </c>
      <c r="H596" s="431"/>
      <c r="I596" s="431"/>
      <c r="J596" s="431"/>
      <c r="K596" s="431"/>
      <c r="L596" s="431" t="s">
        <v>650</v>
      </c>
      <c r="M596" s="431" t="s">
        <v>696</v>
      </c>
    </row>
    <row r="597" spans="1:13" x14ac:dyDescent="0.2">
      <c r="A597" s="431" t="s">
        <v>695</v>
      </c>
      <c r="B597" s="431">
        <v>1690127</v>
      </c>
      <c r="C597" s="431" t="s">
        <v>159</v>
      </c>
      <c r="D597" s="431" t="s">
        <v>160</v>
      </c>
      <c r="E597" s="431" t="s">
        <v>161</v>
      </c>
      <c r="F597" s="431" t="s">
        <v>677</v>
      </c>
      <c r="G597" s="431" t="s">
        <v>175</v>
      </c>
      <c r="H597" s="431"/>
      <c r="I597" s="431"/>
      <c r="J597" s="431"/>
      <c r="K597" s="431"/>
      <c r="L597" s="431" t="s">
        <v>650</v>
      </c>
      <c r="M597" s="431" t="s">
        <v>696</v>
      </c>
    </row>
    <row r="598" spans="1:13" x14ac:dyDescent="0.2">
      <c r="A598" s="431" t="s">
        <v>695</v>
      </c>
      <c r="B598" s="431">
        <v>1690127</v>
      </c>
      <c r="C598" s="431" t="s">
        <v>159</v>
      </c>
      <c r="D598" s="431" t="s">
        <v>160</v>
      </c>
      <c r="E598" s="431" t="s">
        <v>161</v>
      </c>
      <c r="F598" s="431" t="s">
        <v>677</v>
      </c>
      <c r="G598" s="431" t="s">
        <v>175</v>
      </c>
      <c r="H598" s="431"/>
      <c r="I598" s="431"/>
      <c r="J598" s="431"/>
      <c r="K598" s="431"/>
      <c r="L598" s="431" t="s">
        <v>650</v>
      </c>
      <c r="M598" s="431" t="s">
        <v>696</v>
      </c>
    </row>
    <row r="599" spans="1:13" x14ac:dyDescent="0.2">
      <c r="A599" s="431" t="s">
        <v>695</v>
      </c>
      <c r="B599" s="431">
        <v>1690127</v>
      </c>
      <c r="C599" s="431" t="s">
        <v>159</v>
      </c>
      <c r="D599" s="431" t="s">
        <v>160</v>
      </c>
      <c r="E599" s="431" t="s">
        <v>161</v>
      </c>
      <c r="F599" s="431" t="s">
        <v>677</v>
      </c>
      <c r="G599" s="431" t="s">
        <v>175</v>
      </c>
      <c r="H599" s="431"/>
      <c r="I599" s="431"/>
      <c r="J599" s="431"/>
      <c r="K599" s="431"/>
      <c r="L599" s="431" t="s">
        <v>650</v>
      </c>
      <c r="M599" s="431" t="s">
        <v>696</v>
      </c>
    </row>
    <row r="600" spans="1:13" x14ac:dyDescent="0.2">
      <c r="A600" s="431" t="s">
        <v>695</v>
      </c>
      <c r="B600" s="431">
        <v>1690127</v>
      </c>
      <c r="C600" s="431" t="s">
        <v>159</v>
      </c>
      <c r="D600" s="431" t="s">
        <v>160</v>
      </c>
      <c r="E600" s="431" t="s">
        <v>161</v>
      </c>
      <c r="F600" s="431" t="s">
        <v>677</v>
      </c>
      <c r="G600" s="431" t="s">
        <v>175</v>
      </c>
      <c r="H600" s="431"/>
      <c r="I600" s="431"/>
      <c r="J600" s="431"/>
      <c r="K600" s="431"/>
      <c r="L600" s="431" t="s">
        <v>650</v>
      </c>
      <c r="M600" s="431" t="s">
        <v>696</v>
      </c>
    </row>
    <row r="601" spans="1:13" x14ac:dyDescent="0.2">
      <c r="A601" s="431" t="s">
        <v>695</v>
      </c>
      <c r="B601" s="431">
        <v>1690127</v>
      </c>
      <c r="C601" s="431" t="s">
        <v>159</v>
      </c>
      <c r="D601" s="431" t="s">
        <v>160</v>
      </c>
      <c r="E601" s="431" t="s">
        <v>161</v>
      </c>
      <c r="F601" s="431" t="s">
        <v>677</v>
      </c>
      <c r="G601" s="431" t="s">
        <v>175</v>
      </c>
      <c r="H601" s="431"/>
      <c r="I601" s="431"/>
      <c r="J601" s="431"/>
      <c r="K601" s="431"/>
      <c r="L601" s="431" t="s">
        <v>650</v>
      </c>
      <c r="M601" s="431" t="s">
        <v>696</v>
      </c>
    </row>
    <row r="602" spans="1:13" x14ac:dyDescent="0.2">
      <c r="A602" s="431" t="s">
        <v>695</v>
      </c>
      <c r="B602" s="431">
        <v>1690127</v>
      </c>
      <c r="C602" s="431" t="s">
        <v>159</v>
      </c>
      <c r="D602" s="431" t="s">
        <v>160</v>
      </c>
      <c r="E602" s="431" t="s">
        <v>161</v>
      </c>
      <c r="F602" s="431" t="s">
        <v>677</v>
      </c>
      <c r="G602" s="431" t="s">
        <v>175</v>
      </c>
      <c r="H602" s="431"/>
      <c r="I602" s="431"/>
      <c r="J602" s="431"/>
      <c r="K602" s="431"/>
      <c r="L602" s="431" t="s">
        <v>650</v>
      </c>
      <c r="M602" s="431" t="s">
        <v>696</v>
      </c>
    </row>
    <row r="603" spans="1:13" x14ac:dyDescent="0.2">
      <c r="A603" s="431" t="s">
        <v>695</v>
      </c>
      <c r="B603" s="431">
        <v>1690127</v>
      </c>
      <c r="C603" s="431" t="s">
        <v>159</v>
      </c>
      <c r="D603" s="431" t="s">
        <v>160</v>
      </c>
      <c r="E603" s="431" t="s">
        <v>161</v>
      </c>
      <c r="F603" s="431" t="s">
        <v>677</v>
      </c>
      <c r="G603" s="431" t="s">
        <v>175</v>
      </c>
      <c r="H603" s="431"/>
      <c r="I603" s="431"/>
      <c r="J603" s="431"/>
      <c r="K603" s="431"/>
      <c r="L603" s="431" t="s">
        <v>650</v>
      </c>
      <c r="M603" s="431" t="s">
        <v>696</v>
      </c>
    </row>
    <row r="604" spans="1:13" x14ac:dyDescent="0.2">
      <c r="A604" s="431" t="s">
        <v>695</v>
      </c>
      <c r="B604" s="431">
        <v>1690127</v>
      </c>
      <c r="C604" s="431" t="s">
        <v>159</v>
      </c>
      <c r="D604" s="431" t="s">
        <v>160</v>
      </c>
      <c r="E604" s="431" t="s">
        <v>161</v>
      </c>
      <c r="F604" s="431" t="s">
        <v>677</v>
      </c>
      <c r="G604" s="431" t="s">
        <v>175</v>
      </c>
      <c r="H604" s="431"/>
      <c r="I604" s="431"/>
      <c r="J604" s="431"/>
      <c r="K604" s="431"/>
      <c r="L604" s="431" t="s">
        <v>650</v>
      </c>
      <c r="M604" s="431" t="s">
        <v>696</v>
      </c>
    </row>
    <row r="605" spans="1:13" x14ac:dyDescent="0.2">
      <c r="A605" s="431" t="s">
        <v>695</v>
      </c>
      <c r="B605" s="431">
        <v>1690127</v>
      </c>
      <c r="C605" s="431" t="s">
        <v>159</v>
      </c>
      <c r="D605" s="431" t="s">
        <v>160</v>
      </c>
      <c r="E605" s="431" t="s">
        <v>161</v>
      </c>
      <c r="F605" s="431" t="s">
        <v>677</v>
      </c>
      <c r="G605" s="431" t="s">
        <v>175</v>
      </c>
      <c r="H605" s="431"/>
      <c r="I605" s="431"/>
      <c r="J605" s="431"/>
      <c r="K605" s="431"/>
      <c r="L605" s="431" t="s">
        <v>650</v>
      </c>
      <c r="M605" s="431" t="s">
        <v>696</v>
      </c>
    </row>
    <row r="606" spans="1:13" x14ac:dyDescent="0.2">
      <c r="A606" s="431" t="s">
        <v>695</v>
      </c>
      <c r="B606" s="431">
        <v>1690127</v>
      </c>
      <c r="C606" s="431" t="s">
        <v>159</v>
      </c>
      <c r="D606" s="431" t="s">
        <v>160</v>
      </c>
      <c r="E606" s="431" t="s">
        <v>161</v>
      </c>
      <c r="F606" s="431" t="s">
        <v>677</v>
      </c>
      <c r="G606" s="431" t="s">
        <v>175</v>
      </c>
      <c r="H606" s="431"/>
      <c r="I606" s="431"/>
      <c r="J606" s="431"/>
      <c r="K606" s="431"/>
      <c r="L606" s="431" t="s">
        <v>650</v>
      </c>
      <c r="M606" s="431" t="s">
        <v>696</v>
      </c>
    </row>
    <row r="607" spans="1:13" x14ac:dyDescent="0.2">
      <c r="A607" s="431" t="s">
        <v>695</v>
      </c>
      <c r="B607" s="431">
        <v>1690127</v>
      </c>
      <c r="C607" s="431" t="s">
        <v>159</v>
      </c>
      <c r="D607" s="431" t="s">
        <v>160</v>
      </c>
      <c r="E607" s="431" t="s">
        <v>161</v>
      </c>
      <c r="F607" s="431" t="s">
        <v>677</v>
      </c>
      <c r="G607" s="431" t="s">
        <v>175</v>
      </c>
      <c r="H607" s="431"/>
      <c r="I607" s="431"/>
      <c r="J607" s="431"/>
      <c r="K607" s="431"/>
      <c r="L607" s="431" t="s">
        <v>650</v>
      </c>
      <c r="M607" s="431" t="s">
        <v>696</v>
      </c>
    </row>
    <row r="608" spans="1:13" x14ac:dyDescent="0.2">
      <c r="A608" s="431" t="s">
        <v>695</v>
      </c>
      <c r="B608" s="431">
        <v>1690127</v>
      </c>
      <c r="C608" s="431" t="s">
        <v>159</v>
      </c>
      <c r="D608" s="431" t="s">
        <v>160</v>
      </c>
      <c r="E608" s="431" t="s">
        <v>161</v>
      </c>
      <c r="F608" s="431" t="s">
        <v>677</v>
      </c>
      <c r="G608" s="431" t="s">
        <v>175</v>
      </c>
      <c r="H608" s="431"/>
      <c r="I608" s="431"/>
      <c r="J608" s="431"/>
      <c r="K608" s="431"/>
      <c r="L608" s="431" t="s">
        <v>650</v>
      </c>
      <c r="M608" s="431" t="s">
        <v>696</v>
      </c>
    </row>
    <row r="609" spans="1:13" x14ac:dyDescent="0.2">
      <c r="A609" s="431" t="s">
        <v>695</v>
      </c>
      <c r="B609" s="431">
        <v>1690127</v>
      </c>
      <c r="C609" s="431" t="s">
        <v>159</v>
      </c>
      <c r="D609" s="431" t="s">
        <v>160</v>
      </c>
      <c r="E609" s="431" t="s">
        <v>161</v>
      </c>
      <c r="F609" s="431" t="s">
        <v>677</v>
      </c>
      <c r="G609" s="431" t="s">
        <v>175</v>
      </c>
      <c r="H609" s="431"/>
      <c r="I609" s="431"/>
      <c r="J609" s="431"/>
      <c r="K609" s="431"/>
      <c r="L609" s="431" t="s">
        <v>650</v>
      </c>
      <c r="M609" s="431" t="s">
        <v>696</v>
      </c>
    </row>
    <row r="610" spans="1:13" x14ac:dyDescent="0.2">
      <c r="A610" s="431" t="s">
        <v>695</v>
      </c>
      <c r="B610" s="431">
        <v>1690127</v>
      </c>
      <c r="C610" s="431" t="s">
        <v>159</v>
      </c>
      <c r="D610" s="431" t="s">
        <v>160</v>
      </c>
      <c r="E610" s="431" t="s">
        <v>161</v>
      </c>
      <c r="F610" s="431" t="s">
        <v>677</v>
      </c>
      <c r="G610" s="431" t="s">
        <v>175</v>
      </c>
      <c r="H610" s="431"/>
      <c r="I610" s="431"/>
      <c r="J610" s="431"/>
      <c r="K610" s="431"/>
      <c r="L610" s="431" t="s">
        <v>650</v>
      </c>
      <c r="M610" s="431" t="s">
        <v>696</v>
      </c>
    </row>
    <row r="611" spans="1:13" x14ac:dyDescent="0.2">
      <c r="A611" s="431" t="s">
        <v>695</v>
      </c>
      <c r="B611" s="431">
        <v>1690127</v>
      </c>
      <c r="C611" s="431" t="s">
        <v>159</v>
      </c>
      <c r="D611" s="431" t="s">
        <v>160</v>
      </c>
      <c r="E611" s="431" t="s">
        <v>161</v>
      </c>
      <c r="F611" s="431" t="s">
        <v>677</v>
      </c>
      <c r="G611" s="431" t="s">
        <v>175</v>
      </c>
      <c r="H611" s="431"/>
      <c r="I611" s="431"/>
      <c r="J611" s="431"/>
      <c r="K611" s="431"/>
      <c r="L611" s="431" t="s">
        <v>650</v>
      </c>
      <c r="M611" s="431" t="s">
        <v>696</v>
      </c>
    </row>
    <row r="612" spans="1:13" x14ac:dyDescent="0.2">
      <c r="A612" s="431" t="s">
        <v>695</v>
      </c>
      <c r="B612" s="431">
        <v>1690127</v>
      </c>
      <c r="C612" s="431" t="s">
        <v>159</v>
      </c>
      <c r="D612" s="431" t="s">
        <v>160</v>
      </c>
      <c r="E612" s="431" t="s">
        <v>161</v>
      </c>
      <c r="F612" s="431" t="s">
        <v>677</v>
      </c>
      <c r="G612" s="431" t="s">
        <v>175</v>
      </c>
      <c r="H612" s="431"/>
      <c r="I612" s="431"/>
      <c r="J612" s="431"/>
      <c r="K612" s="431"/>
      <c r="L612" s="431" t="s">
        <v>650</v>
      </c>
      <c r="M612" s="431" t="s">
        <v>696</v>
      </c>
    </row>
    <row r="613" spans="1:13" x14ac:dyDescent="0.2">
      <c r="A613" s="431" t="s">
        <v>695</v>
      </c>
      <c r="B613" s="431">
        <v>1690127</v>
      </c>
      <c r="C613" s="431" t="s">
        <v>159</v>
      </c>
      <c r="D613" s="431" t="s">
        <v>160</v>
      </c>
      <c r="E613" s="431" t="s">
        <v>161</v>
      </c>
      <c r="F613" s="431" t="s">
        <v>677</v>
      </c>
      <c r="G613" s="431" t="s">
        <v>175</v>
      </c>
      <c r="H613" s="431"/>
      <c r="I613" s="431"/>
      <c r="J613" s="431"/>
      <c r="K613" s="431"/>
      <c r="L613" s="431" t="s">
        <v>650</v>
      </c>
      <c r="M613" s="431" t="s">
        <v>696</v>
      </c>
    </row>
    <row r="614" spans="1:13" x14ac:dyDescent="0.2">
      <c r="A614" s="431" t="s">
        <v>695</v>
      </c>
      <c r="B614" s="431">
        <v>1690127</v>
      </c>
      <c r="C614" s="431" t="s">
        <v>159</v>
      </c>
      <c r="D614" s="431" t="s">
        <v>160</v>
      </c>
      <c r="E614" s="431" t="s">
        <v>161</v>
      </c>
      <c r="F614" s="431" t="s">
        <v>677</v>
      </c>
      <c r="G614" s="431" t="s">
        <v>175</v>
      </c>
      <c r="H614" s="431"/>
      <c r="I614" s="431"/>
      <c r="J614" s="431"/>
      <c r="K614" s="431"/>
      <c r="L614" s="431" t="s">
        <v>650</v>
      </c>
      <c r="M614" s="431" t="s">
        <v>696</v>
      </c>
    </row>
    <row r="615" spans="1:13" x14ac:dyDescent="0.2">
      <c r="A615" s="431" t="s">
        <v>695</v>
      </c>
      <c r="B615" s="431">
        <v>1690127</v>
      </c>
      <c r="C615" s="431" t="s">
        <v>159</v>
      </c>
      <c r="D615" s="431" t="s">
        <v>160</v>
      </c>
      <c r="E615" s="431" t="s">
        <v>161</v>
      </c>
      <c r="F615" s="431" t="s">
        <v>677</v>
      </c>
      <c r="G615" s="431" t="s">
        <v>175</v>
      </c>
      <c r="H615" s="431"/>
      <c r="I615" s="431"/>
      <c r="J615" s="431"/>
      <c r="K615" s="431"/>
      <c r="L615" s="431" t="s">
        <v>650</v>
      </c>
      <c r="M615" s="431" t="s">
        <v>696</v>
      </c>
    </row>
    <row r="616" spans="1:13" x14ac:dyDescent="0.2">
      <c r="A616" s="431" t="s">
        <v>695</v>
      </c>
      <c r="B616" s="431">
        <v>1690127</v>
      </c>
      <c r="C616" s="431" t="s">
        <v>159</v>
      </c>
      <c r="D616" s="431" t="s">
        <v>160</v>
      </c>
      <c r="E616" s="431" t="s">
        <v>161</v>
      </c>
      <c r="F616" s="431" t="s">
        <v>677</v>
      </c>
      <c r="G616" s="431" t="s">
        <v>175</v>
      </c>
      <c r="H616" s="431"/>
      <c r="I616" s="431"/>
      <c r="J616" s="431"/>
      <c r="K616" s="431"/>
      <c r="L616" s="431" t="s">
        <v>650</v>
      </c>
      <c r="M616" s="431" t="s">
        <v>696</v>
      </c>
    </row>
    <row r="617" spans="1:13" x14ac:dyDescent="0.2">
      <c r="A617" s="431" t="s">
        <v>695</v>
      </c>
      <c r="B617" s="431">
        <v>1690127</v>
      </c>
      <c r="C617" s="431" t="s">
        <v>159</v>
      </c>
      <c r="D617" s="431" t="s">
        <v>160</v>
      </c>
      <c r="E617" s="431" t="s">
        <v>161</v>
      </c>
      <c r="F617" s="431" t="s">
        <v>677</v>
      </c>
      <c r="G617" s="431" t="s">
        <v>175</v>
      </c>
      <c r="H617" s="431"/>
      <c r="I617" s="431"/>
      <c r="J617" s="431"/>
      <c r="K617" s="431"/>
      <c r="L617" s="431" t="s">
        <v>650</v>
      </c>
      <c r="M617" s="431" t="s">
        <v>696</v>
      </c>
    </row>
    <row r="618" spans="1:13" ht="409.5" x14ac:dyDescent="0.2">
      <c r="A618" s="431" t="s">
        <v>702</v>
      </c>
      <c r="B618" s="431">
        <v>1690188</v>
      </c>
      <c r="C618" s="431" t="s">
        <v>159</v>
      </c>
      <c r="D618" s="431" t="s">
        <v>160</v>
      </c>
      <c r="E618" s="431" t="s">
        <v>161</v>
      </c>
      <c r="F618" s="431" t="s">
        <v>703</v>
      </c>
      <c r="G618" s="431" t="s">
        <v>175</v>
      </c>
      <c r="H618" s="431"/>
      <c r="I618" s="431"/>
      <c r="J618" s="431"/>
      <c r="K618" s="431"/>
      <c r="L618" s="431" t="s">
        <v>704</v>
      </c>
      <c r="M618" s="432" t="s">
        <v>705</v>
      </c>
    </row>
    <row r="619" spans="1:13" ht="409.5" x14ac:dyDescent="0.2">
      <c r="A619" s="431" t="s">
        <v>702</v>
      </c>
      <c r="B619" s="431">
        <v>1690188</v>
      </c>
      <c r="C619" s="431" t="s">
        <v>159</v>
      </c>
      <c r="D619" s="431" t="s">
        <v>160</v>
      </c>
      <c r="E619" s="431" t="s">
        <v>161</v>
      </c>
      <c r="F619" s="431" t="s">
        <v>706</v>
      </c>
      <c r="G619" s="431" t="s">
        <v>175</v>
      </c>
      <c r="H619" s="431"/>
      <c r="I619" s="431"/>
      <c r="J619" s="431"/>
      <c r="K619" s="431"/>
      <c r="L619" s="431" t="s">
        <v>704</v>
      </c>
      <c r="M619" s="432" t="s">
        <v>705</v>
      </c>
    </row>
    <row r="620" spans="1:13" ht="409.5" x14ac:dyDescent="0.2">
      <c r="A620" s="431" t="s">
        <v>702</v>
      </c>
      <c r="B620" s="431">
        <v>1690188</v>
      </c>
      <c r="C620" s="431" t="s">
        <v>159</v>
      </c>
      <c r="D620" s="431" t="s">
        <v>160</v>
      </c>
      <c r="E620" s="431" t="s">
        <v>161</v>
      </c>
      <c r="F620" s="431" t="s">
        <v>707</v>
      </c>
      <c r="G620" s="431" t="s">
        <v>175</v>
      </c>
      <c r="H620" s="431"/>
      <c r="I620" s="431"/>
      <c r="J620" s="431"/>
      <c r="K620" s="431"/>
      <c r="L620" s="431" t="s">
        <v>704</v>
      </c>
      <c r="M620" s="432" t="s">
        <v>705</v>
      </c>
    </row>
    <row r="621" spans="1:13" ht="409.5" x14ac:dyDescent="0.2">
      <c r="A621" s="431" t="s">
        <v>702</v>
      </c>
      <c r="B621" s="431">
        <v>1690188</v>
      </c>
      <c r="C621" s="431" t="s">
        <v>159</v>
      </c>
      <c r="D621" s="431" t="s">
        <v>160</v>
      </c>
      <c r="E621" s="431" t="s">
        <v>161</v>
      </c>
      <c r="F621" s="431" t="s">
        <v>708</v>
      </c>
      <c r="G621" s="431" t="s">
        <v>175</v>
      </c>
      <c r="H621" s="431"/>
      <c r="I621" s="431"/>
      <c r="J621" s="431"/>
      <c r="K621" s="431"/>
      <c r="L621" s="431" t="s">
        <v>704</v>
      </c>
      <c r="M621" s="432" t="s">
        <v>705</v>
      </c>
    </row>
    <row r="622" spans="1:13" ht="409.5" x14ac:dyDescent="0.2">
      <c r="A622" s="431" t="s">
        <v>702</v>
      </c>
      <c r="B622" s="431">
        <v>1690188</v>
      </c>
      <c r="C622" s="431" t="s">
        <v>159</v>
      </c>
      <c r="D622" s="431" t="s">
        <v>160</v>
      </c>
      <c r="E622" s="431" t="s">
        <v>161</v>
      </c>
      <c r="F622" s="431" t="s">
        <v>709</v>
      </c>
      <c r="G622" s="431" t="s">
        <v>175</v>
      </c>
      <c r="H622" s="431"/>
      <c r="I622" s="431"/>
      <c r="J622" s="431"/>
      <c r="K622" s="431"/>
      <c r="L622" s="431" t="s">
        <v>704</v>
      </c>
      <c r="M622" s="432" t="s">
        <v>705</v>
      </c>
    </row>
    <row r="623" spans="1:13" ht="409.5" x14ac:dyDescent="0.2">
      <c r="A623" s="431" t="s">
        <v>702</v>
      </c>
      <c r="B623" s="431">
        <v>1690188</v>
      </c>
      <c r="C623" s="431" t="s">
        <v>159</v>
      </c>
      <c r="D623" s="431" t="s">
        <v>160</v>
      </c>
      <c r="E623" s="431" t="s">
        <v>161</v>
      </c>
      <c r="F623" s="431" t="s">
        <v>710</v>
      </c>
      <c r="G623" s="431" t="s">
        <v>175</v>
      </c>
      <c r="H623" s="431"/>
      <c r="I623" s="431"/>
      <c r="J623" s="431"/>
      <c r="K623" s="431"/>
      <c r="L623" s="431" t="s">
        <v>704</v>
      </c>
      <c r="M623" s="432" t="s">
        <v>705</v>
      </c>
    </row>
    <row r="624" spans="1:13" ht="409.5" x14ac:dyDescent="0.2">
      <c r="A624" s="431" t="s">
        <v>702</v>
      </c>
      <c r="B624" s="431">
        <v>1690188</v>
      </c>
      <c r="C624" s="431" t="s">
        <v>159</v>
      </c>
      <c r="D624" s="431" t="s">
        <v>160</v>
      </c>
      <c r="E624" s="431" t="s">
        <v>161</v>
      </c>
      <c r="F624" s="431" t="s">
        <v>711</v>
      </c>
      <c r="G624" s="431" t="s">
        <v>175</v>
      </c>
      <c r="H624" s="431"/>
      <c r="I624" s="431"/>
      <c r="J624" s="431"/>
      <c r="K624" s="431"/>
      <c r="L624" s="431" t="s">
        <v>704</v>
      </c>
      <c r="M624" s="432" t="s">
        <v>705</v>
      </c>
    </row>
    <row r="625" spans="1:13" ht="409.5" x14ac:dyDescent="0.2">
      <c r="A625" s="431" t="s">
        <v>702</v>
      </c>
      <c r="B625" s="431">
        <v>1690188</v>
      </c>
      <c r="C625" s="431" t="s">
        <v>159</v>
      </c>
      <c r="D625" s="431" t="s">
        <v>160</v>
      </c>
      <c r="E625" s="431" t="s">
        <v>161</v>
      </c>
      <c r="F625" s="431" t="s">
        <v>668</v>
      </c>
      <c r="G625" s="431" t="s">
        <v>175</v>
      </c>
      <c r="H625" s="431"/>
      <c r="I625" s="431"/>
      <c r="J625" s="431"/>
      <c r="K625" s="431"/>
      <c r="L625" s="431" t="s">
        <v>704</v>
      </c>
      <c r="M625" s="432" t="s">
        <v>705</v>
      </c>
    </row>
    <row r="626" spans="1:13" ht="409.5" x14ac:dyDescent="0.2">
      <c r="A626" s="431" t="s">
        <v>702</v>
      </c>
      <c r="B626" s="431">
        <v>1690188</v>
      </c>
      <c r="C626" s="431" t="s">
        <v>159</v>
      </c>
      <c r="D626" s="431" t="s">
        <v>160</v>
      </c>
      <c r="E626" s="431" t="s">
        <v>161</v>
      </c>
      <c r="F626" s="431" t="s">
        <v>668</v>
      </c>
      <c r="G626" s="431" t="s">
        <v>175</v>
      </c>
      <c r="H626" s="431"/>
      <c r="I626" s="431"/>
      <c r="J626" s="431"/>
      <c r="K626" s="431"/>
      <c r="L626" s="431" t="s">
        <v>704</v>
      </c>
      <c r="M626" s="432" t="s">
        <v>705</v>
      </c>
    </row>
    <row r="627" spans="1:13" ht="409.5" x14ac:dyDescent="0.2">
      <c r="A627" s="431" t="s">
        <v>702</v>
      </c>
      <c r="B627" s="431">
        <v>1690188</v>
      </c>
      <c r="C627" s="431" t="s">
        <v>159</v>
      </c>
      <c r="D627" s="431" t="s">
        <v>160</v>
      </c>
      <c r="E627" s="431" t="s">
        <v>161</v>
      </c>
      <c r="F627" s="431" t="s">
        <v>668</v>
      </c>
      <c r="G627" s="431" t="s">
        <v>175</v>
      </c>
      <c r="H627" s="431"/>
      <c r="I627" s="431"/>
      <c r="J627" s="431"/>
      <c r="K627" s="431"/>
      <c r="L627" s="431" t="s">
        <v>704</v>
      </c>
      <c r="M627" s="432" t="s">
        <v>705</v>
      </c>
    </row>
    <row r="628" spans="1:13" ht="409.5" x14ac:dyDescent="0.2">
      <c r="A628" s="431" t="s">
        <v>702</v>
      </c>
      <c r="B628" s="431">
        <v>1690188</v>
      </c>
      <c r="C628" s="431" t="s">
        <v>159</v>
      </c>
      <c r="D628" s="431" t="s">
        <v>160</v>
      </c>
      <c r="E628" s="431" t="s">
        <v>161</v>
      </c>
      <c r="F628" s="431" t="s">
        <v>668</v>
      </c>
      <c r="G628" s="431" t="s">
        <v>175</v>
      </c>
      <c r="H628" s="431"/>
      <c r="I628" s="431"/>
      <c r="J628" s="431"/>
      <c r="K628" s="431"/>
      <c r="L628" s="431" t="s">
        <v>704</v>
      </c>
      <c r="M628" s="432" t="s">
        <v>705</v>
      </c>
    </row>
    <row r="629" spans="1:13" ht="409.5" x14ac:dyDescent="0.2">
      <c r="A629" s="431" t="s">
        <v>702</v>
      </c>
      <c r="B629" s="431">
        <v>1690188</v>
      </c>
      <c r="C629" s="431" t="s">
        <v>159</v>
      </c>
      <c r="D629" s="431" t="s">
        <v>160</v>
      </c>
      <c r="E629" s="431" t="s">
        <v>161</v>
      </c>
      <c r="F629" s="431" t="s">
        <v>668</v>
      </c>
      <c r="G629" s="431" t="s">
        <v>175</v>
      </c>
      <c r="H629" s="431"/>
      <c r="I629" s="431"/>
      <c r="J629" s="431"/>
      <c r="K629" s="431"/>
      <c r="L629" s="431" t="s">
        <v>704</v>
      </c>
      <c r="M629" s="432" t="s">
        <v>705</v>
      </c>
    </row>
    <row r="630" spans="1:13" ht="409.5" x14ac:dyDescent="0.2">
      <c r="A630" s="431" t="s">
        <v>702</v>
      </c>
      <c r="B630" s="431">
        <v>1690188</v>
      </c>
      <c r="C630" s="431" t="s">
        <v>159</v>
      </c>
      <c r="D630" s="431" t="s">
        <v>160</v>
      </c>
      <c r="E630" s="431" t="s">
        <v>161</v>
      </c>
      <c r="F630" s="431" t="s">
        <v>668</v>
      </c>
      <c r="G630" s="431" t="s">
        <v>175</v>
      </c>
      <c r="H630" s="431"/>
      <c r="I630" s="431"/>
      <c r="J630" s="431"/>
      <c r="K630" s="431"/>
      <c r="L630" s="431" t="s">
        <v>704</v>
      </c>
      <c r="M630" s="432" t="s">
        <v>705</v>
      </c>
    </row>
    <row r="631" spans="1:13" ht="409.5" x14ac:dyDescent="0.2">
      <c r="A631" s="431" t="s">
        <v>702</v>
      </c>
      <c r="B631" s="431">
        <v>1690188</v>
      </c>
      <c r="C631" s="431" t="s">
        <v>159</v>
      </c>
      <c r="D631" s="431" t="s">
        <v>160</v>
      </c>
      <c r="E631" s="431" t="s">
        <v>161</v>
      </c>
      <c r="F631" s="431" t="s">
        <v>668</v>
      </c>
      <c r="G631" s="431" t="s">
        <v>175</v>
      </c>
      <c r="H631" s="431"/>
      <c r="I631" s="431"/>
      <c r="J631" s="431"/>
      <c r="K631" s="431"/>
      <c r="L631" s="431" t="s">
        <v>704</v>
      </c>
      <c r="M631" s="432" t="s">
        <v>705</v>
      </c>
    </row>
    <row r="632" spans="1:13" ht="409.5" x14ac:dyDescent="0.2">
      <c r="A632" s="431" t="s">
        <v>702</v>
      </c>
      <c r="B632" s="431">
        <v>1690188</v>
      </c>
      <c r="C632" s="431" t="s">
        <v>159</v>
      </c>
      <c r="D632" s="431" t="s">
        <v>160</v>
      </c>
      <c r="E632" s="431" t="s">
        <v>161</v>
      </c>
      <c r="F632" s="431" t="s">
        <v>668</v>
      </c>
      <c r="G632" s="431" t="s">
        <v>175</v>
      </c>
      <c r="H632" s="431"/>
      <c r="I632" s="431"/>
      <c r="J632" s="431"/>
      <c r="K632" s="431"/>
      <c r="L632" s="431" t="s">
        <v>704</v>
      </c>
      <c r="M632" s="432" t="s">
        <v>705</v>
      </c>
    </row>
    <row r="633" spans="1:13" ht="409.5" x14ac:dyDescent="0.2">
      <c r="A633" s="431" t="s">
        <v>702</v>
      </c>
      <c r="B633" s="431">
        <v>1690188</v>
      </c>
      <c r="C633" s="431" t="s">
        <v>159</v>
      </c>
      <c r="D633" s="431" t="s">
        <v>160</v>
      </c>
      <c r="E633" s="431" t="s">
        <v>161</v>
      </c>
      <c r="F633" s="431" t="s">
        <v>668</v>
      </c>
      <c r="G633" s="431" t="s">
        <v>175</v>
      </c>
      <c r="H633" s="431"/>
      <c r="I633" s="431"/>
      <c r="J633" s="431"/>
      <c r="K633" s="431"/>
      <c r="L633" s="431" t="s">
        <v>704</v>
      </c>
      <c r="M633" s="432" t="s">
        <v>705</v>
      </c>
    </row>
    <row r="634" spans="1:13" ht="409.5" x14ac:dyDescent="0.2">
      <c r="A634" s="431" t="s">
        <v>702</v>
      </c>
      <c r="B634" s="431">
        <v>1690188</v>
      </c>
      <c r="C634" s="431" t="s">
        <v>159</v>
      </c>
      <c r="D634" s="431" t="s">
        <v>160</v>
      </c>
      <c r="E634" s="431" t="s">
        <v>161</v>
      </c>
      <c r="F634" s="431" t="s">
        <v>668</v>
      </c>
      <c r="G634" s="431" t="s">
        <v>175</v>
      </c>
      <c r="H634" s="431"/>
      <c r="I634" s="431"/>
      <c r="J634" s="431"/>
      <c r="K634" s="431"/>
      <c r="L634" s="431" t="s">
        <v>704</v>
      </c>
      <c r="M634" s="432" t="s">
        <v>705</v>
      </c>
    </row>
    <row r="635" spans="1:13" ht="409.5" x14ac:dyDescent="0.2">
      <c r="A635" s="431" t="s">
        <v>702</v>
      </c>
      <c r="B635" s="431">
        <v>1690188</v>
      </c>
      <c r="C635" s="431" t="s">
        <v>159</v>
      </c>
      <c r="D635" s="431" t="s">
        <v>160</v>
      </c>
      <c r="E635" s="431" t="s">
        <v>161</v>
      </c>
      <c r="F635" s="431" t="s">
        <v>668</v>
      </c>
      <c r="G635" s="431" t="s">
        <v>175</v>
      </c>
      <c r="H635" s="431"/>
      <c r="I635" s="431"/>
      <c r="J635" s="431"/>
      <c r="K635" s="431"/>
      <c r="L635" s="431" t="s">
        <v>704</v>
      </c>
      <c r="M635" s="432" t="s">
        <v>705</v>
      </c>
    </row>
    <row r="636" spans="1:13" ht="409.5" x14ac:dyDescent="0.2">
      <c r="A636" s="431" t="s">
        <v>702</v>
      </c>
      <c r="B636" s="431">
        <v>1690188</v>
      </c>
      <c r="C636" s="431" t="s">
        <v>159</v>
      </c>
      <c r="D636" s="431" t="s">
        <v>160</v>
      </c>
      <c r="E636" s="431" t="s">
        <v>161</v>
      </c>
      <c r="F636" s="431" t="s">
        <v>668</v>
      </c>
      <c r="G636" s="431" t="s">
        <v>175</v>
      </c>
      <c r="H636" s="431"/>
      <c r="I636" s="431"/>
      <c r="J636" s="431"/>
      <c r="K636" s="431"/>
      <c r="L636" s="431" t="s">
        <v>704</v>
      </c>
      <c r="M636" s="432" t="s">
        <v>705</v>
      </c>
    </row>
    <row r="637" spans="1:13" ht="409.5" x14ac:dyDescent="0.2">
      <c r="A637" s="431" t="s">
        <v>702</v>
      </c>
      <c r="B637" s="431">
        <v>1690188</v>
      </c>
      <c r="C637" s="431" t="s">
        <v>159</v>
      </c>
      <c r="D637" s="431" t="s">
        <v>160</v>
      </c>
      <c r="E637" s="431" t="s">
        <v>161</v>
      </c>
      <c r="F637" s="431" t="s">
        <v>668</v>
      </c>
      <c r="G637" s="431" t="s">
        <v>175</v>
      </c>
      <c r="H637" s="431"/>
      <c r="I637" s="431"/>
      <c r="J637" s="431"/>
      <c r="K637" s="431"/>
      <c r="L637" s="431" t="s">
        <v>704</v>
      </c>
      <c r="M637" s="432" t="s">
        <v>705</v>
      </c>
    </row>
    <row r="638" spans="1:13" ht="409.5" x14ac:dyDescent="0.2">
      <c r="A638" s="431" t="s">
        <v>702</v>
      </c>
      <c r="B638" s="431">
        <v>1690188</v>
      </c>
      <c r="C638" s="431" t="s">
        <v>159</v>
      </c>
      <c r="D638" s="431" t="s">
        <v>160</v>
      </c>
      <c r="E638" s="431" t="s">
        <v>161</v>
      </c>
      <c r="F638" s="431" t="s">
        <v>668</v>
      </c>
      <c r="G638" s="431" t="s">
        <v>175</v>
      </c>
      <c r="H638" s="431"/>
      <c r="I638" s="431"/>
      <c r="J638" s="431"/>
      <c r="K638" s="431"/>
      <c r="L638" s="431" t="s">
        <v>704</v>
      </c>
      <c r="M638" s="432" t="s">
        <v>705</v>
      </c>
    </row>
    <row r="639" spans="1:13" ht="409.5" x14ac:dyDescent="0.2">
      <c r="A639" s="431" t="s">
        <v>702</v>
      </c>
      <c r="B639" s="431">
        <v>1690188</v>
      </c>
      <c r="C639" s="431" t="s">
        <v>159</v>
      </c>
      <c r="D639" s="431" t="s">
        <v>160</v>
      </c>
      <c r="E639" s="431" t="s">
        <v>161</v>
      </c>
      <c r="F639" s="431" t="s">
        <v>668</v>
      </c>
      <c r="G639" s="431" t="s">
        <v>175</v>
      </c>
      <c r="H639" s="431"/>
      <c r="I639" s="431"/>
      <c r="J639" s="431"/>
      <c r="K639" s="431"/>
      <c r="L639" s="431" t="s">
        <v>704</v>
      </c>
      <c r="M639" s="432" t="s">
        <v>705</v>
      </c>
    </row>
    <row r="640" spans="1:13" ht="409.5" x14ac:dyDescent="0.2">
      <c r="A640" s="431" t="s">
        <v>702</v>
      </c>
      <c r="B640" s="431">
        <v>1690188</v>
      </c>
      <c r="C640" s="431" t="s">
        <v>159</v>
      </c>
      <c r="D640" s="431" t="s">
        <v>160</v>
      </c>
      <c r="E640" s="431" t="s">
        <v>161</v>
      </c>
      <c r="F640" s="431" t="s">
        <v>668</v>
      </c>
      <c r="G640" s="431" t="s">
        <v>175</v>
      </c>
      <c r="H640" s="431"/>
      <c r="I640" s="431"/>
      <c r="J640" s="431"/>
      <c r="K640" s="431"/>
      <c r="L640" s="431" t="s">
        <v>704</v>
      </c>
      <c r="M640" s="432" t="s">
        <v>705</v>
      </c>
    </row>
    <row r="641" spans="1:13" ht="409.5" x14ac:dyDescent="0.2">
      <c r="A641" s="431" t="s">
        <v>702</v>
      </c>
      <c r="B641" s="431">
        <v>1690188</v>
      </c>
      <c r="C641" s="431" t="s">
        <v>159</v>
      </c>
      <c r="D641" s="431" t="s">
        <v>160</v>
      </c>
      <c r="E641" s="431" t="s">
        <v>161</v>
      </c>
      <c r="F641" s="431" t="s">
        <v>668</v>
      </c>
      <c r="G641" s="431" t="s">
        <v>175</v>
      </c>
      <c r="H641" s="431"/>
      <c r="I641" s="431"/>
      <c r="J641" s="431"/>
      <c r="K641" s="431"/>
      <c r="L641" s="431" t="s">
        <v>704</v>
      </c>
      <c r="M641" s="432" t="s">
        <v>705</v>
      </c>
    </row>
    <row r="642" spans="1:13" ht="409.5" x14ac:dyDescent="0.2">
      <c r="A642" s="431" t="s">
        <v>702</v>
      </c>
      <c r="B642" s="431">
        <v>1690188</v>
      </c>
      <c r="C642" s="431" t="s">
        <v>159</v>
      </c>
      <c r="D642" s="431" t="s">
        <v>160</v>
      </c>
      <c r="E642" s="431" t="s">
        <v>161</v>
      </c>
      <c r="F642" s="431" t="s">
        <v>668</v>
      </c>
      <c r="G642" s="431" t="s">
        <v>175</v>
      </c>
      <c r="H642" s="431"/>
      <c r="I642" s="431"/>
      <c r="J642" s="431"/>
      <c r="K642" s="431"/>
      <c r="L642" s="431" t="s">
        <v>704</v>
      </c>
      <c r="M642" s="432" t="s">
        <v>705</v>
      </c>
    </row>
    <row r="643" spans="1:13" ht="409.5" x14ac:dyDescent="0.2">
      <c r="A643" s="431" t="s">
        <v>702</v>
      </c>
      <c r="B643" s="431">
        <v>1690188</v>
      </c>
      <c r="C643" s="431" t="s">
        <v>159</v>
      </c>
      <c r="D643" s="431" t="s">
        <v>160</v>
      </c>
      <c r="E643" s="431" t="s">
        <v>161</v>
      </c>
      <c r="F643" s="431" t="s">
        <v>668</v>
      </c>
      <c r="G643" s="431" t="s">
        <v>175</v>
      </c>
      <c r="H643" s="431"/>
      <c r="I643" s="431"/>
      <c r="J643" s="431"/>
      <c r="K643" s="431"/>
      <c r="L643" s="431" t="s">
        <v>704</v>
      </c>
      <c r="M643" s="432" t="s">
        <v>705</v>
      </c>
    </row>
    <row r="644" spans="1:13" ht="409.5" x14ac:dyDescent="0.2">
      <c r="A644" s="431" t="s">
        <v>702</v>
      </c>
      <c r="B644" s="431">
        <v>1690188</v>
      </c>
      <c r="C644" s="431" t="s">
        <v>159</v>
      </c>
      <c r="D644" s="431" t="s">
        <v>160</v>
      </c>
      <c r="E644" s="431" t="s">
        <v>161</v>
      </c>
      <c r="F644" s="431" t="s">
        <v>668</v>
      </c>
      <c r="G644" s="431" t="s">
        <v>175</v>
      </c>
      <c r="H644" s="431"/>
      <c r="I644" s="431"/>
      <c r="J644" s="431"/>
      <c r="K644" s="431"/>
      <c r="L644" s="431" t="s">
        <v>704</v>
      </c>
      <c r="M644" s="432" t="s">
        <v>705</v>
      </c>
    </row>
    <row r="645" spans="1:13" ht="409.5" x14ac:dyDescent="0.2">
      <c r="A645" s="431" t="s">
        <v>702</v>
      </c>
      <c r="B645" s="431">
        <v>1690188</v>
      </c>
      <c r="C645" s="431" t="s">
        <v>159</v>
      </c>
      <c r="D645" s="431" t="s">
        <v>160</v>
      </c>
      <c r="E645" s="431" t="s">
        <v>161</v>
      </c>
      <c r="F645" s="431" t="s">
        <v>668</v>
      </c>
      <c r="G645" s="431" t="s">
        <v>175</v>
      </c>
      <c r="H645" s="431"/>
      <c r="I645" s="431"/>
      <c r="J645" s="431"/>
      <c r="K645" s="431"/>
      <c r="L645" s="431" t="s">
        <v>704</v>
      </c>
      <c r="M645" s="432" t="s">
        <v>705</v>
      </c>
    </row>
    <row r="646" spans="1:13" ht="409.5" x14ac:dyDescent="0.2">
      <c r="A646" s="431" t="s">
        <v>702</v>
      </c>
      <c r="B646" s="431">
        <v>1690188</v>
      </c>
      <c r="C646" s="431" t="s">
        <v>159</v>
      </c>
      <c r="D646" s="431" t="s">
        <v>160</v>
      </c>
      <c r="E646" s="431" t="s">
        <v>161</v>
      </c>
      <c r="F646" s="431" t="s">
        <v>668</v>
      </c>
      <c r="G646" s="431" t="s">
        <v>175</v>
      </c>
      <c r="H646" s="431"/>
      <c r="I646" s="431"/>
      <c r="J646" s="431"/>
      <c r="K646" s="431"/>
      <c r="L646" s="431" t="s">
        <v>704</v>
      </c>
      <c r="M646" s="432" t="s">
        <v>705</v>
      </c>
    </row>
    <row r="647" spans="1:13" ht="409.5" x14ac:dyDescent="0.2">
      <c r="A647" s="431" t="s">
        <v>702</v>
      </c>
      <c r="B647" s="431">
        <v>1690188</v>
      </c>
      <c r="C647" s="431" t="s">
        <v>159</v>
      </c>
      <c r="D647" s="431" t="s">
        <v>160</v>
      </c>
      <c r="E647" s="431" t="s">
        <v>161</v>
      </c>
      <c r="F647" s="431" t="s">
        <v>668</v>
      </c>
      <c r="G647" s="431" t="s">
        <v>175</v>
      </c>
      <c r="H647" s="431"/>
      <c r="I647" s="431"/>
      <c r="J647" s="431"/>
      <c r="K647" s="431"/>
      <c r="L647" s="431" t="s">
        <v>704</v>
      </c>
      <c r="M647" s="432" t="s">
        <v>705</v>
      </c>
    </row>
    <row r="648" spans="1:13" ht="409.5" x14ac:dyDescent="0.2">
      <c r="A648" s="431" t="s">
        <v>702</v>
      </c>
      <c r="B648" s="431">
        <v>1690188</v>
      </c>
      <c r="C648" s="431" t="s">
        <v>159</v>
      </c>
      <c r="D648" s="431" t="s">
        <v>160</v>
      </c>
      <c r="E648" s="431" t="s">
        <v>161</v>
      </c>
      <c r="F648" s="431" t="s">
        <v>668</v>
      </c>
      <c r="G648" s="431" t="s">
        <v>175</v>
      </c>
      <c r="H648" s="431"/>
      <c r="I648" s="431"/>
      <c r="J648" s="431"/>
      <c r="K648" s="431"/>
      <c r="L648" s="431" t="s">
        <v>704</v>
      </c>
      <c r="M648" s="432" t="s">
        <v>705</v>
      </c>
    </row>
    <row r="649" spans="1:13" ht="409.5" x14ac:dyDescent="0.2">
      <c r="A649" s="431" t="s">
        <v>702</v>
      </c>
      <c r="B649" s="431">
        <v>1690188</v>
      </c>
      <c r="C649" s="431" t="s">
        <v>159</v>
      </c>
      <c r="D649" s="431" t="s">
        <v>160</v>
      </c>
      <c r="E649" s="431" t="s">
        <v>161</v>
      </c>
      <c r="F649" s="431" t="s">
        <v>668</v>
      </c>
      <c r="G649" s="431" t="s">
        <v>175</v>
      </c>
      <c r="H649" s="431"/>
      <c r="I649" s="431"/>
      <c r="J649" s="431"/>
      <c r="K649" s="431"/>
      <c r="L649" s="431" t="s">
        <v>704</v>
      </c>
      <c r="M649" s="432" t="s">
        <v>705</v>
      </c>
    </row>
    <row r="650" spans="1:13" ht="409.5" x14ac:dyDescent="0.2">
      <c r="A650" s="431" t="s">
        <v>702</v>
      </c>
      <c r="B650" s="431">
        <v>1690188</v>
      </c>
      <c r="C650" s="431" t="s">
        <v>159</v>
      </c>
      <c r="D650" s="431" t="s">
        <v>160</v>
      </c>
      <c r="E650" s="431" t="s">
        <v>161</v>
      </c>
      <c r="F650" s="431" t="s">
        <v>668</v>
      </c>
      <c r="G650" s="431" t="s">
        <v>175</v>
      </c>
      <c r="H650" s="431"/>
      <c r="I650" s="431"/>
      <c r="J650" s="431"/>
      <c r="K650" s="431"/>
      <c r="L650" s="431" t="s">
        <v>704</v>
      </c>
      <c r="M650" s="432" t="s">
        <v>705</v>
      </c>
    </row>
    <row r="651" spans="1:13" ht="409.5" x14ac:dyDescent="0.2">
      <c r="A651" s="431" t="s">
        <v>702</v>
      </c>
      <c r="B651" s="431">
        <v>1690188</v>
      </c>
      <c r="C651" s="431" t="s">
        <v>159</v>
      </c>
      <c r="D651" s="431" t="s">
        <v>160</v>
      </c>
      <c r="E651" s="431" t="s">
        <v>161</v>
      </c>
      <c r="F651" s="431" t="s">
        <v>668</v>
      </c>
      <c r="G651" s="431" t="s">
        <v>175</v>
      </c>
      <c r="H651" s="431"/>
      <c r="I651" s="431"/>
      <c r="J651" s="431"/>
      <c r="K651" s="431"/>
      <c r="L651" s="431" t="s">
        <v>704</v>
      </c>
      <c r="M651" s="432" t="s">
        <v>705</v>
      </c>
    </row>
    <row r="652" spans="1:13" ht="409.5" x14ac:dyDescent="0.2">
      <c r="A652" s="431" t="s">
        <v>702</v>
      </c>
      <c r="B652" s="431">
        <v>1690188</v>
      </c>
      <c r="C652" s="431" t="s">
        <v>159</v>
      </c>
      <c r="D652" s="431" t="s">
        <v>160</v>
      </c>
      <c r="E652" s="431" t="s">
        <v>161</v>
      </c>
      <c r="F652" s="431" t="s">
        <v>668</v>
      </c>
      <c r="G652" s="431" t="s">
        <v>175</v>
      </c>
      <c r="H652" s="431"/>
      <c r="I652" s="431"/>
      <c r="J652" s="431"/>
      <c r="K652" s="431"/>
      <c r="L652" s="431" t="s">
        <v>704</v>
      </c>
      <c r="M652" s="432" t="s">
        <v>705</v>
      </c>
    </row>
    <row r="653" spans="1:13" ht="409.5" x14ac:dyDescent="0.2">
      <c r="A653" s="431" t="s">
        <v>702</v>
      </c>
      <c r="B653" s="431">
        <v>1690188</v>
      </c>
      <c r="C653" s="431" t="s">
        <v>159</v>
      </c>
      <c r="D653" s="431" t="s">
        <v>160</v>
      </c>
      <c r="E653" s="431" t="s">
        <v>161</v>
      </c>
      <c r="F653" s="431" t="s">
        <v>668</v>
      </c>
      <c r="G653" s="431" t="s">
        <v>175</v>
      </c>
      <c r="H653" s="431"/>
      <c r="I653" s="431"/>
      <c r="J653" s="431"/>
      <c r="K653" s="431"/>
      <c r="L653" s="431" t="s">
        <v>704</v>
      </c>
      <c r="M653" s="432" t="s">
        <v>705</v>
      </c>
    </row>
    <row r="654" spans="1:13" ht="409.5" x14ac:dyDescent="0.2">
      <c r="A654" s="431" t="s">
        <v>702</v>
      </c>
      <c r="B654" s="431">
        <v>1690188</v>
      </c>
      <c r="C654" s="431" t="s">
        <v>159</v>
      </c>
      <c r="D654" s="431" t="s">
        <v>160</v>
      </c>
      <c r="E654" s="431" t="s">
        <v>161</v>
      </c>
      <c r="F654" s="431" t="s">
        <v>668</v>
      </c>
      <c r="G654" s="431" t="s">
        <v>175</v>
      </c>
      <c r="H654" s="431"/>
      <c r="I654" s="431"/>
      <c r="J654" s="431"/>
      <c r="K654" s="431"/>
      <c r="L654" s="431" t="s">
        <v>704</v>
      </c>
      <c r="M654" s="432" t="s">
        <v>705</v>
      </c>
    </row>
    <row r="655" spans="1:13" ht="409.5" x14ac:dyDescent="0.2">
      <c r="A655" s="431" t="s">
        <v>702</v>
      </c>
      <c r="B655" s="431">
        <v>1690188</v>
      </c>
      <c r="C655" s="431" t="s">
        <v>159</v>
      </c>
      <c r="D655" s="431" t="s">
        <v>160</v>
      </c>
      <c r="E655" s="431" t="s">
        <v>161</v>
      </c>
      <c r="F655" s="431" t="s">
        <v>668</v>
      </c>
      <c r="G655" s="431" t="s">
        <v>175</v>
      </c>
      <c r="H655" s="431"/>
      <c r="I655" s="431"/>
      <c r="J655" s="431"/>
      <c r="K655" s="431"/>
      <c r="L655" s="431" t="s">
        <v>704</v>
      </c>
      <c r="M655" s="432" t="s">
        <v>705</v>
      </c>
    </row>
    <row r="656" spans="1:13" ht="409.5" x14ac:dyDescent="0.2">
      <c r="A656" s="431" t="s">
        <v>702</v>
      </c>
      <c r="B656" s="431">
        <v>1690188</v>
      </c>
      <c r="C656" s="431" t="s">
        <v>159</v>
      </c>
      <c r="D656" s="431" t="s">
        <v>160</v>
      </c>
      <c r="E656" s="431" t="s">
        <v>161</v>
      </c>
      <c r="F656" s="431" t="s">
        <v>668</v>
      </c>
      <c r="G656" s="431" t="s">
        <v>175</v>
      </c>
      <c r="H656" s="431"/>
      <c r="I656" s="431"/>
      <c r="J656" s="431"/>
      <c r="K656" s="431"/>
      <c r="L656" s="431" t="s">
        <v>704</v>
      </c>
      <c r="M656" s="432" t="s">
        <v>705</v>
      </c>
    </row>
    <row r="657" spans="1:13" ht="409.5" x14ac:dyDescent="0.2">
      <c r="A657" s="431" t="s">
        <v>702</v>
      </c>
      <c r="B657" s="431">
        <v>1690188</v>
      </c>
      <c r="C657" s="431" t="s">
        <v>159</v>
      </c>
      <c r="D657" s="431" t="s">
        <v>160</v>
      </c>
      <c r="E657" s="431" t="s">
        <v>161</v>
      </c>
      <c r="F657" s="431" t="s">
        <v>668</v>
      </c>
      <c r="G657" s="431" t="s">
        <v>175</v>
      </c>
      <c r="H657" s="431"/>
      <c r="I657" s="431"/>
      <c r="J657" s="431"/>
      <c r="K657" s="431"/>
      <c r="L657" s="431" t="s">
        <v>704</v>
      </c>
      <c r="M657" s="432" t="s">
        <v>705</v>
      </c>
    </row>
    <row r="658" spans="1:13" ht="409.5" x14ac:dyDescent="0.2">
      <c r="A658" s="431" t="s">
        <v>702</v>
      </c>
      <c r="B658" s="431">
        <v>1690188</v>
      </c>
      <c r="C658" s="431" t="s">
        <v>159</v>
      </c>
      <c r="D658" s="431" t="s">
        <v>160</v>
      </c>
      <c r="E658" s="431" t="s">
        <v>161</v>
      </c>
      <c r="F658" s="431" t="s">
        <v>668</v>
      </c>
      <c r="G658" s="431" t="s">
        <v>175</v>
      </c>
      <c r="H658" s="431"/>
      <c r="I658" s="431"/>
      <c r="J658" s="431"/>
      <c r="K658" s="431"/>
      <c r="L658" s="431" t="s">
        <v>704</v>
      </c>
      <c r="M658" s="432" t="s">
        <v>705</v>
      </c>
    </row>
    <row r="659" spans="1:13" ht="409.5" x14ac:dyDescent="0.2">
      <c r="A659" s="431" t="s">
        <v>702</v>
      </c>
      <c r="B659" s="431">
        <v>1690188</v>
      </c>
      <c r="C659" s="431" t="s">
        <v>159</v>
      </c>
      <c r="D659" s="431" t="s">
        <v>160</v>
      </c>
      <c r="E659" s="431" t="s">
        <v>161</v>
      </c>
      <c r="F659" s="431" t="s">
        <v>668</v>
      </c>
      <c r="G659" s="431" t="s">
        <v>175</v>
      </c>
      <c r="H659" s="431"/>
      <c r="I659" s="431"/>
      <c r="J659" s="431"/>
      <c r="K659" s="431"/>
      <c r="L659" s="431" t="s">
        <v>704</v>
      </c>
      <c r="M659" s="432" t="s">
        <v>705</v>
      </c>
    </row>
    <row r="660" spans="1:13" ht="409.5" x14ac:dyDescent="0.2">
      <c r="A660" s="431" t="s">
        <v>702</v>
      </c>
      <c r="B660" s="431">
        <v>1690188</v>
      </c>
      <c r="C660" s="431" t="s">
        <v>159</v>
      </c>
      <c r="D660" s="431" t="s">
        <v>160</v>
      </c>
      <c r="E660" s="431" t="s">
        <v>161</v>
      </c>
      <c r="F660" s="431" t="s">
        <v>668</v>
      </c>
      <c r="G660" s="431" t="s">
        <v>175</v>
      </c>
      <c r="H660" s="431"/>
      <c r="I660" s="431"/>
      <c r="J660" s="431"/>
      <c r="K660" s="431"/>
      <c r="L660" s="431" t="s">
        <v>704</v>
      </c>
      <c r="M660" s="432" t="s">
        <v>705</v>
      </c>
    </row>
    <row r="661" spans="1:13" ht="409.5" x14ac:dyDescent="0.2">
      <c r="A661" s="431" t="s">
        <v>702</v>
      </c>
      <c r="B661" s="431">
        <v>1690188</v>
      </c>
      <c r="C661" s="431" t="s">
        <v>159</v>
      </c>
      <c r="D661" s="431" t="s">
        <v>160</v>
      </c>
      <c r="E661" s="431" t="s">
        <v>161</v>
      </c>
      <c r="F661" s="431" t="s">
        <v>668</v>
      </c>
      <c r="G661" s="431" t="s">
        <v>175</v>
      </c>
      <c r="H661" s="431"/>
      <c r="I661" s="431"/>
      <c r="J661" s="431"/>
      <c r="K661" s="431"/>
      <c r="L661" s="431" t="s">
        <v>704</v>
      </c>
      <c r="M661" s="432" t="s">
        <v>705</v>
      </c>
    </row>
    <row r="662" spans="1:13" ht="409.5" x14ac:dyDescent="0.2">
      <c r="A662" s="431" t="s">
        <v>702</v>
      </c>
      <c r="B662" s="431">
        <v>1690188</v>
      </c>
      <c r="C662" s="431" t="s">
        <v>159</v>
      </c>
      <c r="D662" s="431" t="s">
        <v>160</v>
      </c>
      <c r="E662" s="431" t="s">
        <v>161</v>
      </c>
      <c r="F662" s="431" t="s">
        <v>668</v>
      </c>
      <c r="G662" s="431" t="s">
        <v>175</v>
      </c>
      <c r="H662" s="431"/>
      <c r="I662" s="431"/>
      <c r="J662" s="431"/>
      <c r="K662" s="431"/>
      <c r="L662" s="431" t="s">
        <v>704</v>
      </c>
      <c r="M662" s="432" t="s">
        <v>705</v>
      </c>
    </row>
    <row r="663" spans="1:13" ht="409.5" x14ac:dyDescent="0.2">
      <c r="A663" s="431" t="s">
        <v>702</v>
      </c>
      <c r="B663" s="431">
        <v>1690188</v>
      </c>
      <c r="C663" s="431" t="s">
        <v>159</v>
      </c>
      <c r="D663" s="431" t="s">
        <v>160</v>
      </c>
      <c r="E663" s="431" t="s">
        <v>161</v>
      </c>
      <c r="F663" s="431" t="s">
        <v>668</v>
      </c>
      <c r="G663" s="431" t="s">
        <v>175</v>
      </c>
      <c r="H663" s="431"/>
      <c r="I663" s="431"/>
      <c r="J663" s="431"/>
      <c r="K663" s="431"/>
      <c r="L663" s="431" t="s">
        <v>704</v>
      </c>
      <c r="M663" s="432" t="s">
        <v>705</v>
      </c>
    </row>
    <row r="664" spans="1:13" ht="409.5" x14ac:dyDescent="0.2">
      <c r="A664" s="431" t="s">
        <v>702</v>
      </c>
      <c r="B664" s="431">
        <v>1690188</v>
      </c>
      <c r="C664" s="431" t="s">
        <v>159</v>
      </c>
      <c r="D664" s="431" t="s">
        <v>160</v>
      </c>
      <c r="E664" s="431" t="s">
        <v>161</v>
      </c>
      <c r="F664" s="431" t="s">
        <v>668</v>
      </c>
      <c r="G664" s="431" t="s">
        <v>175</v>
      </c>
      <c r="H664" s="431"/>
      <c r="I664" s="431"/>
      <c r="J664" s="431"/>
      <c r="K664" s="431"/>
      <c r="L664" s="431" t="s">
        <v>704</v>
      </c>
      <c r="M664" s="432" t="s">
        <v>705</v>
      </c>
    </row>
    <row r="665" spans="1:13" ht="409.5" x14ac:dyDescent="0.2">
      <c r="A665" s="431" t="s">
        <v>702</v>
      </c>
      <c r="B665" s="431">
        <v>1690188</v>
      </c>
      <c r="C665" s="431" t="s">
        <v>159</v>
      </c>
      <c r="D665" s="431" t="s">
        <v>160</v>
      </c>
      <c r="E665" s="431" t="s">
        <v>161</v>
      </c>
      <c r="F665" s="431" t="s">
        <v>668</v>
      </c>
      <c r="G665" s="431" t="s">
        <v>175</v>
      </c>
      <c r="H665" s="431"/>
      <c r="I665" s="431"/>
      <c r="J665" s="431"/>
      <c r="K665" s="431"/>
      <c r="L665" s="431" t="s">
        <v>704</v>
      </c>
      <c r="M665" s="432" t="s">
        <v>705</v>
      </c>
    </row>
    <row r="666" spans="1:13" ht="409.5" x14ac:dyDescent="0.2">
      <c r="A666" s="431" t="s">
        <v>702</v>
      </c>
      <c r="B666" s="431">
        <v>1690188</v>
      </c>
      <c r="C666" s="431" t="s">
        <v>159</v>
      </c>
      <c r="D666" s="431" t="s">
        <v>160</v>
      </c>
      <c r="E666" s="431" t="s">
        <v>161</v>
      </c>
      <c r="F666" s="431" t="s">
        <v>668</v>
      </c>
      <c r="G666" s="431" t="s">
        <v>175</v>
      </c>
      <c r="H666" s="431"/>
      <c r="I666" s="431"/>
      <c r="J666" s="431"/>
      <c r="K666" s="431"/>
      <c r="L666" s="431" t="s">
        <v>704</v>
      </c>
      <c r="M666" s="432" t="s">
        <v>705</v>
      </c>
    </row>
    <row r="667" spans="1:13" ht="409.5" x14ac:dyDescent="0.2">
      <c r="A667" s="431" t="s">
        <v>702</v>
      </c>
      <c r="B667" s="431">
        <v>1690188</v>
      </c>
      <c r="C667" s="431" t="s">
        <v>159</v>
      </c>
      <c r="D667" s="431" t="s">
        <v>160</v>
      </c>
      <c r="E667" s="431" t="s">
        <v>161</v>
      </c>
      <c r="F667" s="431" t="s">
        <v>668</v>
      </c>
      <c r="G667" s="431" t="s">
        <v>175</v>
      </c>
      <c r="H667" s="431"/>
      <c r="I667" s="431"/>
      <c r="J667" s="431"/>
      <c r="K667" s="431"/>
      <c r="L667" s="431" t="s">
        <v>704</v>
      </c>
      <c r="M667" s="432" t="s">
        <v>705</v>
      </c>
    </row>
    <row r="668" spans="1:13" ht="409.5" x14ac:dyDescent="0.2">
      <c r="A668" s="431" t="s">
        <v>702</v>
      </c>
      <c r="B668" s="431">
        <v>1690188</v>
      </c>
      <c r="C668" s="431" t="s">
        <v>159</v>
      </c>
      <c r="D668" s="431" t="s">
        <v>160</v>
      </c>
      <c r="E668" s="431" t="s">
        <v>161</v>
      </c>
      <c r="F668" s="431" t="s">
        <v>668</v>
      </c>
      <c r="G668" s="431" t="s">
        <v>175</v>
      </c>
      <c r="H668" s="431"/>
      <c r="I668" s="431"/>
      <c r="J668" s="431"/>
      <c r="K668" s="431"/>
      <c r="L668" s="431" t="s">
        <v>704</v>
      </c>
      <c r="M668" s="432" t="s">
        <v>705</v>
      </c>
    </row>
    <row r="669" spans="1:13" ht="409.5" x14ac:dyDescent="0.2">
      <c r="A669" s="431" t="s">
        <v>702</v>
      </c>
      <c r="B669" s="431">
        <v>1690188</v>
      </c>
      <c r="C669" s="431" t="s">
        <v>159</v>
      </c>
      <c r="D669" s="431" t="s">
        <v>160</v>
      </c>
      <c r="E669" s="431" t="s">
        <v>161</v>
      </c>
      <c r="F669" s="431" t="s">
        <v>668</v>
      </c>
      <c r="G669" s="431" t="s">
        <v>175</v>
      </c>
      <c r="H669" s="431"/>
      <c r="I669" s="431"/>
      <c r="J669" s="431"/>
      <c r="K669" s="431"/>
      <c r="L669" s="431" t="s">
        <v>704</v>
      </c>
      <c r="M669" s="432" t="s">
        <v>705</v>
      </c>
    </row>
    <row r="670" spans="1:13" ht="409.5" x14ac:dyDescent="0.2">
      <c r="A670" s="431" t="s">
        <v>702</v>
      </c>
      <c r="B670" s="431">
        <v>1690188</v>
      </c>
      <c r="C670" s="431" t="s">
        <v>159</v>
      </c>
      <c r="D670" s="431" t="s">
        <v>160</v>
      </c>
      <c r="E670" s="431" t="s">
        <v>161</v>
      </c>
      <c r="F670" s="431" t="s">
        <v>668</v>
      </c>
      <c r="G670" s="431" t="s">
        <v>175</v>
      </c>
      <c r="H670" s="431"/>
      <c r="I670" s="431"/>
      <c r="J670" s="431"/>
      <c r="K670" s="431"/>
      <c r="L670" s="431" t="s">
        <v>704</v>
      </c>
      <c r="M670" s="432" t="s">
        <v>705</v>
      </c>
    </row>
    <row r="671" spans="1:13" ht="409.5" x14ac:dyDescent="0.2">
      <c r="A671" s="431" t="s">
        <v>702</v>
      </c>
      <c r="B671" s="431">
        <v>1690188</v>
      </c>
      <c r="C671" s="431" t="s">
        <v>159</v>
      </c>
      <c r="D671" s="431" t="s">
        <v>160</v>
      </c>
      <c r="E671" s="431" t="s">
        <v>161</v>
      </c>
      <c r="F671" s="431" t="s">
        <v>668</v>
      </c>
      <c r="G671" s="431" t="s">
        <v>175</v>
      </c>
      <c r="H671" s="431"/>
      <c r="I671" s="431"/>
      <c r="J671" s="431"/>
      <c r="K671" s="431"/>
      <c r="L671" s="431" t="s">
        <v>704</v>
      </c>
      <c r="M671" s="432" t="s">
        <v>705</v>
      </c>
    </row>
    <row r="672" spans="1:13" ht="409.5" x14ac:dyDescent="0.2">
      <c r="A672" s="431" t="s">
        <v>702</v>
      </c>
      <c r="B672" s="431">
        <v>1690188</v>
      </c>
      <c r="C672" s="431" t="s">
        <v>159</v>
      </c>
      <c r="D672" s="431" t="s">
        <v>160</v>
      </c>
      <c r="E672" s="431" t="s">
        <v>161</v>
      </c>
      <c r="F672" s="431" t="s">
        <v>668</v>
      </c>
      <c r="G672" s="431" t="s">
        <v>175</v>
      </c>
      <c r="H672" s="431"/>
      <c r="I672" s="431"/>
      <c r="J672" s="431"/>
      <c r="K672" s="431"/>
      <c r="L672" s="431" t="s">
        <v>704</v>
      </c>
      <c r="M672" s="432" t="s">
        <v>705</v>
      </c>
    </row>
    <row r="673" spans="1:13" ht="409.5" x14ac:dyDescent="0.2">
      <c r="A673" s="431" t="s">
        <v>702</v>
      </c>
      <c r="B673" s="431">
        <v>1690188</v>
      </c>
      <c r="C673" s="431" t="s">
        <v>159</v>
      </c>
      <c r="D673" s="431" t="s">
        <v>160</v>
      </c>
      <c r="E673" s="431" t="s">
        <v>161</v>
      </c>
      <c r="F673" s="431" t="s">
        <v>668</v>
      </c>
      <c r="G673" s="431" t="s">
        <v>175</v>
      </c>
      <c r="H673" s="431"/>
      <c r="I673" s="431"/>
      <c r="J673" s="431"/>
      <c r="K673" s="431"/>
      <c r="L673" s="431" t="s">
        <v>704</v>
      </c>
      <c r="M673" s="432" t="s">
        <v>705</v>
      </c>
    </row>
    <row r="674" spans="1:13" ht="409.5" x14ac:dyDescent="0.2">
      <c r="A674" s="431" t="s">
        <v>702</v>
      </c>
      <c r="B674" s="431">
        <v>1690188</v>
      </c>
      <c r="C674" s="431" t="s">
        <v>159</v>
      </c>
      <c r="D674" s="431" t="s">
        <v>160</v>
      </c>
      <c r="E674" s="431" t="s">
        <v>161</v>
      </c>
      <c r="F674" s="431" t="s">
        <v>668</v>
      </c>
      <c r="G674" s="431" t="s">
        <v>175</v>
      </c>
      <c r="H674" s="431"/>
      <c r="I674" s="431"/>
      <c r="J674" s="431"/>
      <c r="K674" s="431"/>
      <c r="L674" s="431" t="s">
        <v>704</v>
      </c>
      <c r="M674" s="432" t="s">
        <v>705</v>
      </c>
    </row>
    <row r="675" spans="1:13" ht="409.5" x14ac:dyDescent="0.2">
      <c r="A675" s="431" t="s">
        <v>702</v>
      </c>
      <c r="B675" s="431">
        <v>1690188</v>
      </c>
      <c r="C675" s="431" t="s">
        <v>159</v>
      </c>
      <c r="D675" s="431" t="s">
        <v>160</v>
      </c>
      <c r="E675" s="431" t="s">
        <v>161</v>
      </c>
      <c r="F675" s="431" t="s">
        <v>668</v>
      </c>
      <c r="G675" s="431" t="s">
        <v>175</v>
      </c>
      <c r="H675" s="431"/>
      <c r="I675" s="431"/>
      <c r="J675" s="431"/>
      <c r="K675" s="431"/>
      <c r="L675" s="431" t="s">
        <v>704</v>
      </c>
      <c r="M675" s="432" t="s">
        <v>705</v>
      </c>
    </row>
    <row r="676" spans="1:13" ht="409.5" x14ac:dyDescent="0.2">
      <c r="A676" s="431" t="s">
        <v>702</v>
      </c>
      <c r="B676" s="431">
        <v>1690188</v>
      </c>
      <c r="C676" s="431" t="s">
        <v>159</v>
      </c>
      <c r="D676" s="431" t="s">
        <v>160</v>
      </c>
      <c r="E676" s="431" t="s">
        <v>161</v>
      </c>
      <c r="F676" s="431" t="s">
        <v>668</v>
      </c>
      <c r="G676" s="431" t="s">
        <v>175</v>
      </c>
      <c r="H676" s="431"/>
      <c r="I676" s="431"/>
      <c r="J676" s="431"/>
      <c r="K676" s="431"/>
      <c r="L676" s="431" t="s">
        <v>704</v>
      </c>
      <c r="M676" s="432" t="s">
        <v>705</v>
      </c>
    </row>
    <row r="677" spans="1:13" ht="409.5" x14ac:dyDescent="0.2">
      <c r="A677" s="431" t="s">
        <v>702</v>
      </c>
      <c r="B677" s="431">
        <v>1690188</v>
      </c>
      <c r="C677" s="431" t="s">
        <v>159</v>
      </c>
      <c r="D677" s="431" t="s">
        <v>160</v>
      </c>
      <c r="E677" s="431" t="s">
        <v>161</v>
      </c>
      <c r="F677" s="431" t="s">
        <v>668</v>
      </c>
      <c r="G677" s="431" t="s">
        <v>175</v>
      </c>
      <c r="H677" s="431"/>
      <c r="I677" s="431"/>
      <c r="J677" s="431"/>
      <c r="K677" s="431"/>
      <c r="L677" s="431" t="s">
        <v>704</v>
      </c>
      <c r="M677" s="432" t="s">
        <v>705</v>
      </c>
    </row>
    <row r="678" spans="1:13" ht="409.5" x14ac:dyDescent="0.2">
      <c r="A678" s="431" t="s">
        <v>702</v>
      </c>
      <c r="B678" s="431">
        <v>1690188</v>
      </c>
      <c r="C678" s="431" t="s">
        <v>159</v>
      </c>
      <c r="D678" s="431" t="s">
        <v>160</v>
      </c>
      <c r="E678" s="431" t="s">
        <v>161</v>
      </c>
      <c r="F678" s="431" t="s">
        <v>668</v>
      </c>
      <c r="G678" s="431" t="s">
        <v>175</v>
      </c>
      <c r="H678" s="431"/>
      <c r="I678" s="431"/>
      <c r="J678" s="431"/>
      <c r="K678" s="431"/>
      <c r="L678" s="431" t="s">
        <v>704</v>
      </c>
      <c r="M678" s="432" t="s">
        <v>705</v>
      </c>
    </row>
    <row r="679" spans="1:13" ht="409.5" x14ac:dyDescent="0.2">
      <c r="A679" s="431" t="s">
        <v>702</v>
      </c>
      <c r="B679" s="431">
        <v>1690188</v>
      </c>
      <c r="C679" s="431" t="s">
        <v>159</v>
      </c>
      <c r="D679" s="431" t="s">
        <v>160</v>
      </c>
      <c r="E679" s="431" t="s">
        <v>161</v>
      </c>
      <c r="F679" s="431" t="s">
        <v>668</v>
      </c>
      <c r="G679" s="431" t="s">
        <v>175</v>
      </c>
      <c r="H679" s="431"/>
      <c r="I679" s="431"/>
      <c r="J679" s="431"/>
      <c r="K679" s="431"/>
      <c r="L679" s="431" t="s">
        <v>704</v>
      </c>
      <c r="M679" s="432" t="s">
        <v>705</v>
      </c>
    </row>
    <row r="680" spans="1:13" ht="409.5" x14ac:dyDescent="0.2">
      <c r="A680" s="431" t="s">
        <v>702</v>
      </c>
      <c r="B680" s="431">
        <v>1690188</v>
      </c>
      <c r="C680" s="431" t="s">
        <v>159</v>
      </c>
      <c r="D680" s="431" t="s">
        <v>160</v>
      </c>
      <c r="E680" s="431" t="s">
        <v>161</v>
      </c>
      <c r="F680" s="431" t="s">
        <v>668</v>
      </c>
      <c r="G680" s="431" t="s">
        <v>175</v>
      </c>
      <c r="H680" s="431"/>
      <c r="I680" s="431"/>
      <c r="J680" s="431"/>
      <c r="K680" s="431"/>
      <c r="L680" s="431" t="s">
        <v>704</v>
      </c>
      <c r="M680" s="432" t="s">
        <v>705</v>
      </c>
    </row>
    <row r="681" spans="1:13" ht="409.5" x14ac:dyDescent="0.2">
      <c r="A681" s="431" t="s">
        <v>702</v>
      </c>
      <c r="B681" s="431">
        <v>1690188</v>
      </c>
      <c r="C681" s="431" t="s">
        <v>159</v>
      </c>
      <c r="D681" s="431" t="s">
        <v>160</v>
      </c>
      <c r="E681" s="431" t="s">
        <v>161</v>
      </c>
      <c r="F681" s="431" t="s">
        <v>668</v>
      </c>
      <c r="G681" s="431" t="s">
        <v>175</v>
      </c>
      <c r="H681" s="431"/>
      <c r="I681" s="431"/>
      <c r="J681" s="431"/>
      <c r="K681" s="431"/>
      <c r="L681" s="431" t="s">
        <v>704</v>
      </c>
      <c r="M681" s="432" t="s">
        <v>705</v>
      </c>
    </row>
    <row r="682" spans="1:13" ht="409.5" x14ac:dyDescent="0.2">
      <c r="A682" s="431" t="s">
        <v>702</v>
      </c>
      <c r="B682" s="431">
        <v>1690188</v>
      </c>
      <c r="C682" s="431" t="s">
        <v>159</v>
      </c>
      <c r="D682" s="431" t="s">
        <v>160</v>
      </c>
      <c r="E682" s="431" t="s">
        <v>161</v>
      </c>
      <c r="F682" s="431" t="s">
        <v>668</v>
      </c>
      <c r="G682" s="431" t="s">
        <v>175</v>
      </c>
      <c r="H682" s="431"/>
      <c r="I682" s="431"/>
      <c r="J682" s="431"/>
      <c r="K682" s="431"/>
      <c r="L682" s="431" t="s">
        <v>704</v>
      </c>
      <c r="M682" s="432" t="s">
        <v>705</v>
      </c>
    </row>
    <row r="683" spans="1:13" ht="409.5" x14ac:dyDescent="0.2">
      <c r="A683" s="431" t="s">
        <v>702</v>
      </c>
      <c r="B683" s="431">
        <v>1690188</v>
      </c>
      <c r="C683" s="431" t="s">
        <v>159</v>
      </c>
      <c r="D683" s="431" t="s">
        <v>160</v>
      </c>
      <c r="E683" s="431" t="s">
        <v>161</v>
      </c>
      <c r="F683" s="431" t="s">
        <v>668</v>
      </c>
      <c r="G683" s="431" t="s">
        <v>175</v>
      </c>
      <c r="H683" s="431"/>
      <c r="I683" s="431"/>
      <c r="J683" s="431"/>
      <c r="K683" s="431"/>
      <c r="L683" s="431" t="s">
        <v>704</v>
      </c>
      <c r="M683" s="432" t="s">
        <v>705</v>
      </c>
    </row>
    <row r="684" spans="1:13" ht="409.5" x14ac:dyDescent="0.2">
      <c r="A684" s="431" t="s">
        <v>702</v>
      </c>
      <c r="B684" s="431">
        <v>1690188</v>
      </c>
      <c r="C684" s="431" t="s">
        <v>159</v>
      </c>
      <c r="D684" s="431" t="s">
        <v>160</v>
      </c>
      <c r="E684" s="431" t="s">
        <v>161</v>
      </c>
      <c r="F684" s="431" t="s">
        <v>668</v>
      </c>
      <c r="G684" s="431" t="s">
        <v>175</v>
      </c>
      <c r="H684" s="431"/>
      <c r="I684" s="431"/>
      <c r="J684" s="431"/>
      <c r="K684" s="431"/>
      <c r="L684" s="431" t="s">
        <v>704</v>
      </c>
      <c r="M684" s="432" t="s">
        <v>705</v>
      </c>
    </row>
    <row r="685" spans="1:13" ht="409.5" x14ac:dyDescent="0.2">
      <c r="A685" s="431" t="s">
        <v>702</v>
      </c>
      <c r="B685" s="431">
        <v>1690188</v>
      </c>
      <c r="C685" s="431" t="s">
        <v>159</v>
      </c>
      <c r="D685" s="431" t="s">
        <v>160</v>
      </c>
      <c r="E685" s="431" t="s">
        <v>161</v>
      </c>
      <c r="F685" s="431" t="s">
        <v>668</v>
      </c>
      <c r="G685" s="431" t="s">
        <v>175</v>
      </c>
      <c r="H685" s="431"/>
      <c r="I685" s="431"/>
      <c r="J685" s="431"/>
      <c r="K685" s="431"/>
      <c r="L685" s="431" t="s">
        <v>704</v>
      </c>
      <c r="M685" s="432" t="s">
        <v>705</v>
      </c>
    </row>
    <row r="686" spans="1:13" ht="409.5" x14ac:dyDescent="0.2">
      <c r="A686" s="431" t="s">
        <v>702</v>
      </c>
      <c r="B686" s="431">
        <v>1690188</v>
      </c>
      <c r="C686" s="431" t="s">
        <v>159</v>
      </c>
      <c r="D686" s="431" t="s">
        <v>160</v>
      </c>
      <c r="E686" s="431" t="s">
        <v>161</v>
      </c>
      <c r="F686" s="431" t="s">
        <v>668</v>
      </c>
      <c r="G686" s="431" t="s">
        <v>175</v>
      </c>
      <c r="H686" s="431"/>
      <c r="I686" s="431"/>
      <c r="J686" s="431"/>
      <c r="K686" s="431"/>
      <c r="L686" s="431" t="s">
        <v>704</v>
      </c>
      <c r="M686" s="432" t="s">
        <v>705</v>
      </c>
    </row>
    <row r="687" spans="1:13" ht="409.5" x14ac:dyDescent="0.2">
      <c r="A687" s="431" t="s">
        <v>702</v>
      </c>
      <c r="B687" s="431">
        <v>1690188</v>
      </c>
      <c r="C687" s="431" t="s">
        <v>159</v>
      </c>
      <c r="D687" s="431" t="s">
        <v>160</v>
      </c>
      <c r="E687" s="431" t="s">
        <v>161</v>
      </c>
      <c r="F687" s="431" t="s">
        <v>668</v>
      </c>
      <c r="G687" s="431" t="s">
        <v>175</v>
      </c>
      <c r="H687" s="431"/>
      <c r="I687" s="431"/>
      <c r="J687" s="431"/>
      <c r="K687" s="431"/>
      <c r="L687" s="431" t="s">
        <v>704</v>
      </c>
      <c r="M687" s="432" t="s">
        <v>705</v>
      </c>
    </row>
    <row r="688" spans="1:13" ht="409.5" x14ac:dyDescent="0.2">
      <c r="A688" s="431" t="s">
        <v>702</v>
      </c>
      <c r="B688" s="431">
        <v>1690188</v>
      </c>
      <c r="C688" s="431" t="s">
        <v>159</v>
      </c>
      <c r="D688" s="431" t="s">
        <v>160</v>
      </c>
      <c r="E688" s="431" t="s">
        <v>161</v>
      </c>
      <c r="F688" s="431" t="s">
        <v>668</v>
      </c>
      <c r="G688" s="431" t="s">
        <v>175</v>
      </c>
      <c r="H688" s="431"/>
      <c r="I688" s="431"/>
      <c r="J688" s="431"/>
      <c r="K688" s="431"/>
      <c r="L688" s="431" t="s">
        <v>704</v>
      </c>
      <c r="M688" s="432" t="s">
        <v>705</v>
      </c>
    </row>
    <row r="689" spans="1:13" ht="409.5" x14ac:dyDescent="0.2">
      <c r="A689" s="431" t="s">
        <v>702</v>
      </c>
      <c r="B689" s="431">
        <v>1690188</v>
      </c>
      <c r="C689" s="431" t="s">
        <v>159</v>
      </c>
      <c r="D689" s="431" t="s">
        <v>160</v>
      </c>
      <c r="E689" s="431" t="s">
        <v>161</v>
      </c>
      <c r="F689" s="431" t="s">
        <v>712</v>
      </c>
      <c r="G689" s="431" t="s">
        <v>175</v>
      </c>
      <c r="H689" s="431"/>
      <c r="I689" s="431"/>
      <c r="J689" s="431"/>
      <c r="K689" s="431"/>
      <c r="L689" s="431" t="s">
        <v>704</v>
      </c>
      <c r="M689" s="432" t="s">
        <v>705</v>
      </c>
    </row>
    <row r="690" spans="1:13" ht="409.5" x14ac:dyDescent="0.2">
      <c r="A690" s="431" t="s">
        <v>702</v>
      </c>
      <c r="B690" s="431">
        <v>1690188</v>
      </c>
      <c r="C690" s="431" t="s">
        <v>159</v>
      </c>
      <c r="D690" s="431" t="s">
        <v>160</v>
      </c>
      <c r="E690" s="431" t="s">
        <v>161</v>
      </c>
      <c r="F690" s="431" t="s">
        <v>712</v>
      </c>
      <c r="G690" s="431" t="s">
        <v>175</v>
      </c>
      <c r="H690" s="431"/>
      <c r="I690" s="431"/>
      <c r="J690" s="431"/>
      <c r="K690" s="431"/>
      <c r="L690" s="431" t="s">
        <v>704</v>
      </c>
      <c r="M690" s="432" t="s">
        <v>705</v>
      </c>
    </row>
    <row r="691" spans="1:13" ht="409.5" x14ac:dyDescent="0.2">
      <c r="A691" s="431" t="s">
        <v>702</v>
      </c>
      <c r="B691" s="431">
        <v>1690188</v>
      </c>
      <c r="C691" s="431" t="s">
        <v>159</v>
      </c>
      <c r="D691" s="431" t="s">
        <v>160</v>
      </c>
      <c r="E691" s="431" t="s">
        <v>161</v>
      </c>
      <c r="F691" s="431" t="s">
        <v>712</v>
      </c>
      <c r="G691" s="431" t="s">
        <v>175</v>
      </c>
      <c r="H691" s="431"/>
      <c r="I691" s="431"/>
      <c r="J691" s="431"/>
      <c r="K691" s="431"/>
      <c r="L691" s="431" t="s">
        <v>704</v>
      </c>
      <c r="M691" s="432" t="s">
        <v>705</v>
      </c>
    </row>
    <row r="692" spans="1:13" ht="409.5" x14ac:dyDescent="0.2">
      <c r="A692" s="431" t="s">
        <v>702</v>
      </c>
      <c r="B692" s="431">
        <v>1690188</v>
      </c>
      <c r="C692" s="431" t="s">
        <v>159</v>
      </c>
      <c r="D692" s="431" t="s">
        <v>160</v>
      </c>
      <c r="E692" s="431" t="s">
        <v>161</v>
      </c>
      <c r="F692" s="431" t="s">
        <v>712</v>
      </c>
      <c r="G692" s="431" t="s">
        <v>175</v>
      </c>
      <c r="H692" s="431"/>
      <c r="I692" s="431"/>
      <c r="J692" s="431"/>
      <c r="K692" s="431"/>
      <c r="L692" s="431" t="s">
        <v>704</v>
      </c>
      <c r="M692" s="432" t="s">
        <v>705</v>
      </c>
    </row>
    <row r="693" spans="1:13" ht="409.5" x14ac:dyDescent="0.2">
      <c r="A693" s="431" t="s">
        <v>702</v>
      </c>
      <c r="B693" s="431">
        <v>1690188</v>
      </c>
      <c r="C693" s="431" t="s">
        <v>159</v>
      </c>
      <c r="D693" s="431" t="s">
        <v>160</v>
      </c>
      <c r="E693" s="431" t="s">
        <v>161</v>
      </c>
      <c r="F693" s="431" t="s">
        <v>712</v>
      </c>
      <c r="G693" s="431" t="s">
        <v>175</v>
      </c>
      <c r="H693" s="431"/>
      <c r="I693" s="431"/>
      <c r="J693" s="431"/>
      <c r="K693" s="431"/>
      <c r="L693" s="431" t="s">
        <v>704</v>
      </c>
      <c r="M693" s="432" t="s">
        <v>705</v>
      </c>
    </row>
    <row r="694" spans="1:13" ht="409.5" x14ac:dyDescent="0.2">
      <c r="A694" s="431" t="s">
        <v>702</v>
      </c>
      <c r="B694" s="431">
        <v>1690188</v>
      </c>
      <c r="C694" s="431" t="s">
        <v>159</v>
      </c>
      <c r="D694" s="431" t="s">
        <v>160</v>
      </c>
      <c r="E694" s="431" t="s">
        <v>161</v>
      </c>
      <c r="F694" s="431" t="s">
        <v>712</v>
      </c>
      <c r="G694" s="431" t="s">
        <v>175</v>
      </c>
      <c r="H694" s="431"/>
      <c r="I694" s="431"/>
      <c r="J694" s="431"/>
      <c r="K694" s="431"/>
      <c r="L694" s="431" t="s">
        <v>704</v>
      </c>
      <c r="M694" s="432" t="s">
        <v>705</v>
      </c>
    </row>
    <row r="695" spans="1:13" ht="409.5" x14ac:dyDescent="0.2">
      <c r="A695" s="431" t="s">
        <v>702</v>
      </c>
      <c r="B695" s="431">
        <v>1690188</v>
      </c>
      <c r="C695" s="431" t="s">
        <v>159</v>
      </c>
      <c r="D695" s="431" t="s">
        <v>160</v>
      </c>
      <c r="E695" s="431" t="s">
        <v>161</v>
      </c>
      <c r="F695" s="431" t="s">
        <v>712</v>
      </c>
      <c r="G695" s="431" t="s">
        <v>175</v>
      </c>
      <c r="H695" s="431"/>
      <c r="I695" s="431"/>
      <c r="J695" s="431"/>
      <c r="K695" s="431"/>
      <c r="L695" s="431" t="s">
        <v>704</v>
      </c>
      <c r="M695" s="432" t="s">
        <v>705</v>
      </c>
    </row>
    <row r="696" spans="1:13" ht="409.5" x14ac:dyDescent="0.2">
      <c r="A696" s="431" t="s">
        <v>702</v>
      </c>
      <c r="B696" s="431">
        <v>1690188</v>
      </c>
      <c r="C696" s="431" t="s">
        <v>159</v>
      </c>
      <c r="D696" s="431" t="s">
        <v>160</v>
      </c>
      <c r="E696" s="431" t="s">
        <v>161</v>
      </c>
      <c r="F696" s="431" t="s">
        <v>712</v>
      </c>
      <c r="G696" s="431" t="s">
        <v>175</v>
      </c>
      <c r="H696" s="431"/>
      <c r="I696" s="431"/>
      <c r="J696" s="431"/>
      <c r="K696" s="431"/>
      <c r="L696" s="431" t="s">
        <v>704</v>
      </c>
      <c r="M696" s="432" t="s">
        <v>705</v>
      </c>
    </row>
    <row r="697" spans="1:13" ht="409.5" x14ac:dyDescent="0.2">
      <c r="A697" s="431" t="s">
        <v>702</v>
      </c>
      <c r="B697" s="431">
        <v>1690188</v>
      </c>
      <c r="C697" s="431" t="s">
        <v>159</v>
      </c>
      <c r="D697" s="431" t="s">
        <v>160</v>
      </c>
      <c r="E697" s="431" t="s">
        <v>161</v>
      </c>
      <c r="F697" s="431" t="s">
        <v>712</v>
      </c>
      <c r="G697" s="431" t="s">
        <v>175</v>
      </c>
      <c r="H697" s="431"/>
      <c r="I697" s="431"/>
      <c r="J697" s="431"/>
      <c r="K697" s="431"/>
      <c r="L697" s="431" t="s">
        <v>704</v>
      </c>
      <c r="M697" s="432" t="s">
        <v>705</v>
      </c>
    </row>
    <row r="698" spans="1:13" ht="409.5" x14ac:dyDescent="0.2">
      <c r="A698" s="431" t="s">
        <v>702</v>
      </c>
      <c r="B698" s="431">
        <v>1690188</v>
      </c>
      <c r="C698" s="431" t="s">
        <v>159</v>
      </c>
      <c r="D698" s="431" t="s">
        <v>160</v>
      </c>
      <c r="E698" s="431" t="s">
        <v>161</v>
      </c>
      <c r="F698" s="431" t="s">
        <v>712</v>
      </c>
      <c r="G698" s="431" t="s">
        <v>175</v>
      </c>
      <c r="H698" s="431"/>
      <c r="I698" s="431"/>
      <c r="J698" s="431"/>
      <c r="K698" s="431"/>
      <c r="L698" s="431" t="s">
        <v>704</v>
      </c>
      <c r="M698" s="432" t="s">
        <v>705</v>
      </c>
    </row>
    <row r="699" spans="1:13" ht="409.5" x14ac:dyDescent="0.2">
      <c r="A699" s="431" t="s">
        <v>702</v>
      </c>
      <c r="B699" s="431">
        <v>1690188</v>
      </c>
      <c r="C699" s="431" t="s">
        <v>159</v>
      </c>
      <c r="D699" s="431" t="s">
        <v>160</v>
      </c>
      <c r="E699" s="431" t="s">
        <v>161</v>
      </c>
      <c r="F699" s="431" t="s">
        <v>712</v>
      </c>
      <c r="G699" s="431" t="s">
        <v>175</v>
      </c>
      <c r="H699" s="431"/>
      <c r="I699" s="431"/>
      <c r="J699" s="431"/>
      <c r="K699" s="431"/>
      <c r="L699" s="431" t="s">
        <v>704</v>
      </c>
      <c r="M699" s="432" t="s">
        <v>705</v>
      </c>
    </row>
    <row r="700" spans="1:13" ht="409.5" x14ac:dyDescent="0.2">
      <c r="A700" s="431" t="s">
        <v>702</v>
      </c>
      <c r="B700" s="431">
        <v>1690188</v>
      </c>
      <c r="C700" s="431" t="s">
        <v>159</v>
      </c>
      <c r="D700" s="431" t="s">
        <v>160</v>
      </c>
      <c r="E700" s="431" t="s">
        <v>161</v>
      </c>
      <c r="F700" s="431" t="s">
        <v>712</v>
      </c>
      <c r="G700" s="431" t="s">
        <v>175</v>
      </c>
      <c r="H700" s="431"/>
      <c r="I700" s="431"/>
      <c r="J700" s="431"/>
      <c r="K700" s="431"/>
      <c r="L700" s="431" t="s">
        <v>704</v>
      </c>
      <c r="M700" s="432" t="s">
        <v>705</v>
      </c>
    </row>
    <row r="701" spans="1:13" ht="409.5" x14ac:dyDescent="0.2">
      <c r="A701" s="431" t="s">
        <v>702</v>
      </c>
      <c r="B701" s="431">
        <v>1690188</v>
      </c>
      <c r="C701" s="431" t="s">
        <v>159</v>
      </c>
      <c r="D701" s="431" t="s">
        <v>160</v>
      </c>
      <c r="E701" s="431" t="s">
        <v>161</v>
      </c>
      <c r="F701" s="431" t="s">
        <v>712</v>
      </c>
      <c r="G701" s="431" t="s">
        <v>175</v>
      </c>
      <c r="H701" s="431"/>
      <c r="I701" s="431"/>
      <c r="J701" s="431"/>
      <c r="K701" s="431"/>
      <c r="L701" s="431" t="s">
        <v>704</v>
      </c>
      <c r="M701" s="432" t="s">
        <v>705</v>
      </c>
    </row>
    <row r="702" spans="1:13" ht="409.5" x14ac:dyDescent="0.2">
      <c r="A702" s="431" t="s">
        <v>702</v>
      </c>
      <c r="B702" s="431">
        <v>1690188</v>
      </c>
      <c r="C702" s="431" t="s">
        <v>159</v>
      </c>
      <c r="D702" s="431" t="s">
        <v>160</v>
      </c>
      <c r="E702" s="431" t="s">
        <v>161</v>
      </c>
      <c r="F702" s="431" t="s">
        <v>712</v>
      </c>
      <c r="G702" s="431" t="s">
        <v>175</v>
      </c>
      <c r="H702" s="431"/>
      <c r="I702" s="431"/>
      <c r="J702" s="431"/>
      <c r="K702" s="431"/>
      <c r="L702" s="431" t="s">
        <v>704</v>
      </c>
      <c r="M702" s="432" t="s">
        <v>705</v>
      </c>
    </row>
    <row r="703" spans="1:13" ht="409.5" x14ac:dyDescent="0.2">
      <c r="A703" s="431" t="s">
        <v>702</v>
      </c>
      <c r="B703" s="431">
        <v>1690188</v>
      </c>
      <c r="C703" s="431" t="s">
        <v>159</v>
      </c>
      <c r="D703" s="431" t="s">
        <v>160</v>
      </c>
      <c r="E703" s="431" t="s">
        <v>161</v>
      </c>
      <c r="F703" s="431" t="s">
        <v>712</v>
      </c>
      <c r="G703" s="431" t="s">
        <v>175</v>
      </c>
      <c r="H703" s="431"/>
      <c r="I703" s="431"/>
      <c r="J703" s="431"/>
      <c r="K703" s="431"/>
      <c r="L703" s="431" t="s">
        <v>704</v>
      </c>
      <c r="M703" s="432" t="s">
        <v>705</v>
      </c>
    </row>
    <row r="704" spans="1:13" ht="409.5" x14ac:dyDescent="0.2">
      <c r="A704" s="431" t="s">
        <v>702</v>
      </c>
      <c r="B704" s="431">
        <v>1690188</v>
      </c>
      <c r="C704" s="431" t="s">
        <v>159</v>
      </c>
      <c r="D704" s="431" t="s">
        <v>160</v>
      </c>
      <c r="E704" s="431" t="s">
        <v>161</v>
      </c>
      <c r="F704" s="431" t="s">
        <v>712</v>
      </c>
      <c r="G704" s="431" t="s">
        <v>175</v>
      </c>
      <c r="H704" s="431"/>
      <c r="I704" s="431"/>
      <c r="J704" s="431"/>
      <c r="K704" s="431"/>
      <c r="L704" s="431" t="s">
        <v>704</v>
      </c>
      <c r="M704" s="432" t="s">
        <v>705</v>
      </c>
    </row>
    <row r="705" spans="1:13" x14ac:dyDescent="0.2">
      <c r="A705" s="431" t="s">
        <v>713</v>
      </c>
      <c r="B705" s="431">
        <v>1690117</v>
      </c>
      <c r="C705" s="431" t="s">
        <v>159</v>
      </c>
      <c r="D705" s="431" t="s">
        <v>160</v>
      </c>
      <c r="E705" s="431" t="s">
        <v>161</v>
      </c>
      <c r="F705" s="431" t="s">
        <v>703</v>
      </c>
      <c r="G705" s="431" t="s">
        <v>175</v>
      </c>
      <c r="H705" s="431"/>
      <c r="I705" s="431"/>
      <c r="J705" s="431"/>
      <c r="K705" s="431"/>
      <c r="L705" s="431" t="s">
        <v>196</v>
      </c>
      <c r="M705" s="431" t="s">
        <v>714</v>
      </c>
    </row>
    <row r="706" spans="1:13" x14ac:dyDescent="0.2">
      <c r="A706" s="431" t="s">
        <v>713</v>
      </c>
      <c r="B706" s="431">
        <v>1690117</v>
      </c>
      <c r="C706" s="431" t="s">
        <v>159</v>
      </c>
      <c r="D706" s="431" t="s">
        <v>160</v>
      </c>
      <c r="E706" s="431" t="s">
        <v>161</v>
      </c>
      <c r="F706" s="431" t="s">
        <v>706</v>
      </c>
      <c r="G706" s="431" t="s">
        <v>175</v>
      </c>
      <c r="H706" s="431"/>
      <c r="I706" s="431"/>
      <c r="J706" s="431"/>
      <c r="K706" s="431"/>
      <c r="L706" s="431" t="s">
        <v>196</v>
      </c>
      <c r="M706" s="431" t="s">
        <v>714</v>
      </c>
    </row>
    <row r="707" spans="1:13" x14ac:dyDescent="0.2">
      <c r="A707" s="431" t="s">
        <v>713</v>
      </c>
      <c r="B707" s="431">
        <v>1690117</v>
      </c>
      <c r="C707" s="431" t="s">
        <v>159</v>
      </c>
      <c r="D707" s="431" t="s">
        <v>160</v>
      </c>
      <c r="E707" s="431" t="s">
        <v>161</v>
      </c>
      <c r="F707" s="431" t="s">
        <v>707</v>
      </c>
      <c r="G707" s="431" t="s">
        <v>175</v>
      </c>
      <c r="H707" s="431"/>
      <c r="I707" s="431"/>
      <c r="J707" s="431"/>
      <c r="K707" s="431"/>
      <c r="L707" s="431" t="s">
        <v>196</v>
      </c>
      <c r="M707" s="431" t="s">
        <v>714</v>
      </c>
    </row>
    <row r="708" spans="1:13" x14ac:dyDescent="0.2">
      <c r="A708" s="431" t="s">
        <v>713</v>
      </c>
      <c r="B708" s="431">
        <v>1690117</v>
      </c>
      <c r="C708" s="431" t="s">
        <v>159</v>
      </c>
      <c r="D708" s="431" t="s">
        <v>160</v>
      </c>
      <c r="E708" s="431" t="s">
        <v>161</v>
      </c>
      <c r="F708" s="431" t="s">
        <v>708</v>
      </c>
      <c r="G708" s="431" t="s">
        <v>175</v>
      </c>
      <c r="H708" s="431"/>
      <c r="I708" s="431"/>
      <c r="J708" s="431"/>
      <c r="K708" s="431"/>
      <c r="L708" s="431" t="s">
        <v>196</v>
      </c>
      <c r="M708" s="431" t="s">
        <v>714</v>
      </c>
    </row>
    <row r="709" spans="1:13" x14ac:dyDescent="0.2">
      <c r="A709" s="431" t="s">
        <v>713</v>
      </c>
      <c r="B709" s="431">
        <v>1690117</v>
      </c>
      <c r="C709" s="431" t="s">
        <v>159</v>
      </c>
      <c r="D709" s="431" t="s">
        <v>160</v>
      </c>
      <c r="E709" s="431" t="s">
        <v>161</v>
      </c>
      <c r="F709" s="431" t="s">
        <v>709</v>
      </c>
      <c r="G709" s="431" t="s">
        <v>175</v>
      </c>
      <c r="H709" s="431"/>
      <c r="I709" s="431"/>
      <c r="J709" s="431"/>
      <c r="K709" s="431"/>
      <c r="L709" s="431" t="s">
        <v>196</v>
      </c>
      <c r="M709" s="431" t="s">
        <v>714</v>
      </c>
    </row>
    <row r="710" spans="1:13" x14ac:dyDescent="0.2">
      <c r="A710" s="431" t="s">
        <v>713</v>
      </c>
      <c r="B710" s="431">
        <v>1690117</v>
      </c>
      <c r="C710" s="431" t="s">
        <v>159</v>
      </c>
      <c r="D710" s="431" t="s">
        <v>160</v>
      </c>
      <c r="E710" s="431" t="s">
        <v>161</v>
      </c>
      <c r="F710" s="431" t="s">
        <v>710</v>
      </c>
      <c r="G710" s="431" t="s">
        <v>175</v>
      </c>
      <c r="H710" s="431"/>
      <c r="I710" s="431"/>
      <c r="J710" s="431"/>
      <c r="K710" s="431"/>
      <c r="L710" s="431" t="s">
        <v>196</v>
      </c>
      <c r="M710" s="431" t="s">
        <v>714</v>
      </c>
    </row>
    <row r="711" spans="1:13" x14ac:dyDescent="0.2">
      <c r="A711" s="431" t="s">
        <v>713</v>
      </c>
      <c r="B711" s="431">
        <v>1690117</v>
      </c>
      <c r="C711" s="431" t="s">
        <v>159</v>
      </c>
      <c r="D711" s="431" t="s">
        <v>160</v>
      </c>
      <c r="E711" s="431" t="s">
        <v>161</v>
      </c>
      <c r="F711" s="431" t="s">
        <v>711</v>
      </c>
      <c r="G711" s="431" t="s">
        <v>175</v>
      </c>
      <c r="H711" s="431"/>
      <c r="I711" s="431"/>
      <c r="J711" s="431"/>
      <c r="K711" s="431"/>
      <c r="L711" s="431" t="s">
        <v>196</v>
      </c>
      <c r="M711" s="431" t="s">
        <v>714</v>
      </c>
    </row>
    <row r="712" spans="1:13" x14ac:dyDescent="0.2">
      <c r="A712" s="431" t="s">
        <v>713</v>
      </c>
      <c r="B712" s="431">
        <v>1690117</v>
      </c>
      <c r="C712" s="431" t="s">
        <v>159</v>
      </c>
      <c r="D712" s="431" t="s">
        <v>160</v>
      </c>
      <c r="E712" s="431" t="s">
        <v>161</v>
      </c>
      <c r="F712" s="431" t="s">
        <v>668</v>
      </c>
      <c r="G712" s="431" t="s">
        <v>175</v>
      </c>
      <c r="H712" s="431"/>
      <c r="I712" s="431"/>
      <c r="J712" s="431"/>
      <c r="K712" s="431"/>
      <c r="L712" s="431" t="s">
        <v>196</v>
      </c>
      <c r="M712" s="431" t="s">
        <v>714</v>
      </c>
    </row>
    <row r="713" spans="1:13" x14ac:dyDescent="0.2">
      <c r="A713" s="431" t="s">
        <v>713</v>
      </c>
      <c r="B713" s="431">
        <v>1690117</v>
      </c>
      <c r="C713" s="431" t="s">
        <v>159</v>
      </c>
      <c r="D713" s="431" t="s">
        <v>160</v>
      </c>
      <c r="E713" s="431" t="s">
        <v>161</v>
      </c>
      <c r="F713" s="431" t="s">
        <v>668</v>
      </c>
      <c r="G713" s="431" t="s">
        <v>175</v>
      </c>
      <c r="H713" s="431"/>
      <c r="I713" s="431"/>
      <c r="J713" s="431"/>
      <c r="K713" s="431"/>
      <c r="L713" s="431" t="s">
        <v>196</v>
      </c>
      <c r="M713" s="431" t="s">
        <v>714</v>
      </c>
    </row>
    <row r="714" spans="1:13" x14ac:dyDescent="0.2">
      <c r="A714" s="431" t="s">
        <v>713</v>
      </c>
      <c r="B714" s="431">
        <v>1690117</v>
      </c>
      <c r="C714" s="431" t="s">
        <v>159</v>
      </c>
      <c r="D714" s="431" t="s">
        <v>160</v>
      </c>
      <c r="E714" s="431" t="s">
        <v>161</v>
      </c>
      <c r="F714" s="431" t="s">
        <v>668</v>
      </c>
      <c r="G714" s="431" t="s">
        <v>175</v>
      </c>
      <c r="H714" s="431"/>
      <c r="I714" s="431"/>
      <c r="J714" s="431"/>
      <c r="K714" s="431"/>
      <c r="L714" s="431" t="s">
        <v>196</v>
      </c>
      <c r="M714" s="431" t="s">
        <v>714</v>
      </c>
    </row>
    <row r="715" spans="1:13" x14ac:dyDescent="0.2">
      <c r="A715" s="431" t="s">
        <v>713</v>
      </c>
      <c r="B715" s="431">
        <v>1690117</v>
      </c>
      <c r="C715" s="431" t="s">
        <v>159</v>
      </c>
      <c r="D715" s="431" t="s">
        <v>160</v>
      </c>
      <c r="E715" s="431" t="s">
        <v>161</v>
      </c>
      <c r="F715" s="431" t="s">
        <v>668</v>
      </c>
      <c r="G715" s="431" t="s">
        <v>175</v>
      </c>
      <c r="H715" s="431"/>
      <c r="I715" s="431"/>
      <c r="J715" s="431"/>
      <c r="K715" s="431"/>
      <c r="L715" s="431" t="s">
        <v>196</v>
      </c>
      <c r="M715" s="431" t="s">
        <v>714</v>
      </c>
    </row>
    <row r="716" spans="1:13" x14ac:dyDescent="0.2">
      <c r="A716" s="431" t="s">
        <v>713</v>
      </c>
      <c r="B716" s="431">
        <v>1690117</v>
      </c>
      <c r="C716" s="431" t="s">
        <v>159</v>
      </c>
      <c r="D716" s="431" t="s">
        <v>160</v>
      </c>
      <c r="E716" s="431" t="s">
        <v>161</v>
      </c>
      <c r="F716" s="431" t="s">
        <v>668</v>
      </c>
      <c r="G716" s="431" t="s">
        <v>175</v>
      </c>
      <c r="H716" s="431"/>
      <c r="I716" s="431"/>
      <c r="J716" s="431"/>
      <c r="K716" s="431"/>
      <c r="L716" s="431" t="s">
        <v>196</v>
      </c>
      <c r="M716" s="431" t="s">
        <v>714</v>
      </c>
    </row>
    <row r="717" spans="1:13" x14ac:dyDescent="0.2">
      <c r="A717" s="431" t="s">
        <v>713</v>
      </c>
      <c r="B717" s="431">
        <v>1690117</v>
      </c>
      <c r="C717" s="431" t="s">
        <v>159</v>
      </c>
      <c r="D717" s="431" t="s">
        <v>160</v>
      </c>
      <c r="E717" s="431" t="s">
        <v>161</v>
      </c>
      <c r="F717" s="431" t="s">
        <v>668</v>
      </c>
      <c r="G717" s="431" t="s">
        <v>175</v>
      </c>
      <c r="H717" s="431"/>
      <c r="I717" s="431"/>
      <c r="J717" s="431"/>
      <c r="K717" s="431"/>
      <c r="L717" s="431" t="s">
        <v>196</v>
      </c>
      <c r="M717" s="431" t="s">
        <v>714</v>
      </c>
    </row>
    <row r="718" spans="1:13" x14ac:dyDescent="0.2">
      <c r="A718" s="431" t="s">
        <v>713</v>
      </c>
      <c r="B718" s="431">
        <v>1690117</v>
      </c>
      <c r="C718" s="431" t="s">
        <v>159</v>
      </c>
      <c r="D718" s="431" t="s">
        <v>160</v>
      </c>
      <c r="E718" s="431" t="s">
        <v>161</v>
      </c>
      <c r="F718" s="431" t="s">
        <v>668</v>
      </c>
      <c r="G718" s="431" t="s">
        <v>175</v>
      </c>
      <c r="H718" s="431"/>
      <c r="I718" s="431"/>
      <c r="J718" s="431"/>
      <c r="K718" s="431"/>
      <c r="L718" s="431" t="s">
        <v>196</v>
      </c>
      <c r="M718" s="431" t="s">
        <v>714</v>
      </c>
    </row>
    <row r="719" spans="1:13" x14ac:dyDescent="0.2">
      <c r="A719" s="431" t="s">
        <v>713</v>
      </c>
      <c r="B719" s="431">
        <v>1690117</v>
      </c>
      <c r="C719" s="431" t="s">
        <v>159</v>
      </c>
      <c r="D719" s="431" t="s">
        <v>160</v>
      </c>
      <c r="E719" s="431" t="s">
        <v>161</v>
      </c>
      <c r="F719" s="431" t="s">
        <v>668</v>
      </c>
      <c r="G719" s="431" t="s">
        <v>175</v>
      </c>
      <c r="H719" s="431"/>
      <c r="I719" s="431"/>
      <c r="J719" s="431"/>
      <c r="K719" s="431"/>
      <c r="L719" s="431" t="s">
        <v>196</v>
      </c>
      <c r="M719" s="431" t="s">
        <v>714</v>
      </c>
    </row>
    <row r="720" spans="1:13" x14ac:dyDescent="0.2">
      <c r="A720" s="431" t="s">
        <v>713</v>
      </c>
      <c r="B720" s="431">
        <v>1690117</v>
      </c>
      <c r="C720" s="431" t="s">
        <v>159</v>
      </c>
      <c r="D720" s="431" t="s">
        <v>160</v>
      </c>
      <c r="E720" s="431" t="s">
        <v>161</v>
      </c>
      <c r="F720" s="431" t="s">
        <v>668</v>
      </c>
      <c r="G720" s="431" t="s">
        <v>175</v>
      </c>
      <c r="H720" s="431"/>
      <c r="I720" s="431"/>
      <c r="J720" s="431"/>
      <c r="K720" s="431"/>
      <c r="L720" s="431" t="s">
        <v>196</v>
      </c>
      <c r="M720" s="431" t="s">
        <v>714</v>
      </c>
    </row>
    <row r="721" spans="1:13" x14ac:dyDescent="0.2">
      <c r="A721" s="431" t="s">
        <v>713</v>
      </c>
      <c r="B721" s="431">
        <v>1690117</v>
      </c>
      <c r="C721" s="431" t="s">
        <v>159</v>
      </c>
      <c r="D721" s="431" t="s">
        <v>160</v>
      </c>
      <c r="E721" s="431" t="s">
        <v>161</v>
      </c>
      <c r="F721" s="431" t="s">
        <v>668</v>
      </c>
      <c r="G721" s="431" t="s">
        <v>175</v>
      </c>
      <c r="H721" s="431"/>
      <c r="I721" s="431"/>
      <c r="J721" s="431"/>
      <c r="K721" s="431"/>
      <c r="L721" s="431" t="s">
        <v>196</v>
      </c>
      <c r="M721" s="431" t="s">
        <v>714</v>
      </c>
    </row>
    <row r="722" spans="1:13" x14ac:dyDescent="0.2">
      <c r="A722" s="431" t="s">
        <v>713</v>
      </c>
      <c r="B722" s="431">
        <v>1690117</v>
      </c>
      <c r="C722" s="431" t="s">
        <v>159</v>
      </c>
      <c r="D722" s="431" t="s">
        <v>160</v>
      </c>
      <c r="E722" s="431" t="s">
        <v>161</v>
      </c>
      <c r="F722" s="431" t="s">
        <v>668</v>
      </c>
      <c r="G722" s="431" t="s">
        <v>175</v>
      </c>
      <c r="H722" s="431"/>
      <c r="I722" s="431"/>
      <c r="J722" s="431"/>
      <c r="K722" s="431"/>
      <c r="L722" s="431" t="s">
        <v>196</v>
      </c>
      <c r="M722" s="431" t="s">
        <v>714</v>
      </c>
    </row>
    <row r="723" spans="1:13" x14ac:dyDescent="0.2">
      <c r="A723" s="431" t="s">
        <v>713</v>
      </c>
      <c r="B723" s="431">
        <v>1690117</v>
      </c>
      <c r="C723" s="431" t="s">
        <v>159</v>
      </c>
      <c r="D723" s="431" t="s">
        <v>160</v>
      </c>
      <c r="E723" s="431" t="s">
        <v>161</v>
      </c>
      <c r="F723" s="431" t="s">
        <v>668</v>
      </c>
      <c r="G723" s="431" t="s">
        <v>175</v>
      </c>
      <c r="H723" s="431"/>
      <c r="I723" s="431"/>
      <c r="J723" s="431"/>
      <c r="K723" s="431"/>
      <c r="L723" s="431" t="s">
        <v>196</v>
      </c>
      <c r="M723" s="431" t="s">
        <v>714</v>
      </c>
    </row>
    <row r="724" spans="1:13" x14ac:dyDescent="0.2">
      <c r="A724" s="431" t="s">
        <v>713</v>
      </c>
      <c r="B724" s="431">
        <v>1690117</v>
      </c>
      <c r="C724" s="431" t="s">
        <v>159</v>
      </c>
      <c r="D724" s="431" t="s">
        <v>160</v>
      </c>
      <c r="E724" s="431" t="s">
        <v>161</v>
      </c>
      <c r="F724" s="431" t="s">
        <v>668</v>
      </c>
      <c r="G724" s="431" t="s">
        <v>175</v>
      </c>
      <c r="H724" s="431"/>
      <c r="I724" s="431"/>
      <c r="J724" s="431"/>
      <c r="K724" s="431"/>
      <c r="L724" s="431" t="s">
        <v>196</v>
      </c>
      <c r="M724" s="431" t="s">
        <v>714</v>
      </c>
    </row>
    <row r="725" spans="1:13" x14ac:dyDescent="0.2">
      <c r="A725" s="431" t="s">
        <v>713</v>
      </c>
      <c r="B725" s="431">
        <v>1690117</v>
      </c>
      <c r="C725" s="431" t="s">
        <v>159</v>
      </c>
      <c r="D725" s="431" t="s">
        <v>160</v>
      </c>
      <c r="E725" s="431" t="s">
        <v>161</v>
      </c>
      <c r="F725" s="431" t="s">
        <v>668</v>
      </c>
      <c r="G725" s="431" t="s">
        <v>175</v>
      </c>
      <c r="H725" s="431"/>
      <c r="I725" s="431"/>
      <c r="J725" s="431"/>
      <c r="K725" s="431"/>
      <c r="L725" s="431" t="s">
        <v>196</v>
      </c>
      <c r="M725" s="431" t="s">
        <v>714</v>
      </c>
    </row>
    <row r="726" spans="1:13" x14ac:dyDescent="0.2">
      <c r="A726" s="431" t="s">
        <v>713</v>
      </c>
      <c r="B726" s="431">
        <v>1690117</v>
      </c>
      <c r="C726" s="431" t="s">
        <v>159</v>
      </c>
      <c r="D726" s="431" t="s">
        <v>160</v>
      </c>
      <c r="E726" s="431" t="s">
        <v>161</v>
      </c>
      <c r="F726" s="431" t="s">
        <v>668</v>
      </c>
      <c r="G726" s="431" t="s">
        <v>175</v>
      </c>
      <c r="H726" s="431"/>
      <c r="I726" s="431"/>
      <c r="J726" s="431"/>
      <c r="K726" s="431"/>
      <c r="L726" s="431" t="s">
        <v>196</v>
      </c>
      <c r="M726" s="431" t="s">
        <v>714</v>
      </c>
    </row>
    <row r="727" spans="1:13" x14ac:dyDescent="0.2">
      <c r="A727" s="431" t="s">
        <v>713</v>
      </c>
      <c r="B727" s="431">
        <v>1690117</v>
      </c>
      <c r="C727" s="431" t="s">
        <v>159</v>
      </c>
      <c r="D727" s="431" t="s">
        <v>160</v>
      </c>
      <c r="E727" s="431" t="s">
        <v>161</v>
      </c>
      <c r="F727" s="431" t="s">
        <v>668</v>
      </c>
      <c r="G727" s="431" t="s">
        <v>175</v>
      </c>
      <c r="H727" s="431"/>
      <c r="I727" s="431"/>
      <c r="J727" s="431"/>
      <c r="K727" s="431"/>
      <c r="L727" s="431" t="s">
        <v>196</v>
      </c>
      <c r="M727" s="431" t="s">
        <v>714</v>
      </c>
    </row>
    <row r="728" spans="1:13" x14ac:dyDescent="0.2">
      <c r="A728" s="431" t="s">
        <v>713</v>
      </c>
      <c r="B728" s="431">
        <v>1690117</v>
      </c>
      <c r="C728" s="431" t="s">
        <v>159</v>
      </c>
      <c r="D728" s="431" t="s">
        <v>160</v>
      </c>
      <c r="E728" s="431" t="s">
        <v>161</v>
      </c>
      <c r="F728" s="431" t="s">
        <v>668</v>
      </c>
      <c r="G728" s="431" t="s">
        <v>175</v>
      </c>
      <c r="H728" s="431"/>
      <c r="I728" s="431"/>
      <c r="J728" s="431"/>
      <c r="K728" s="431"/>
      <c r="L728" s="431" t="s">
        <v>196</v>
      </c>
      <c r="M728" s="431" t="s">
        <v>714</v>
      </c>
    </row>
    <row r="729" spans="1:13" x14ac:dyDescent="0.2">
      <c r="A729" s="431" t="s">
        <v>713</v>
      </c>
      <c r="B729" s="431">
        <v>1690117</v>
      </c>
      <c r="C729" s="431" t="s">
        <v>159</v>
      </c>
      <c r="D729" s="431" t="s">
        <v>160</v>
      </c>
      <c r="E729" s="431" t="s">
        <v>161</v>
      </c>
      <c r="F729" s="431" t="s">
        <v>668</v>
      </c>
      <c r="G729" s="431" t="s">
        <v>175</v>
      </c>
      <c r="H729" s="431"/>
      <c r="I729" s="431"/>
      <c r="J729" s="431"/>
      <c r="K729" s="431"/>
      <c r="L729" s="431" t="s">
        <v>196</v>
      </c>
      <c r="M729" s="431" t="s">
        <v>714</v>
      </c>
    </row>
    <row r="730" spans="1:13" x14ac:dyDescent="0.2">
      <c r="A730" s="431" t="s">
        <v>713</v>
      </c>
      <c r="B730" s="431">
        <v>1690117</v>
      </c>
      <c r="C730" s="431" t="s">
        <v>159</v>
      </c>
      <c r="D730" s="431" t="s">
        <v>160</v>
      </c>
      <c r="E730" s="431" t="s">
        <v>161</v>
      </c>
      <c r="F730" s="431" t="s">
        <v>668</v>
      </c>
      <c r="G730" s="431" t="s">
        <v>175</v>
      </c>
      <c r="H730" s="431"/>
      <c r="I730" s="431"/>
      <c r="J730" s="431"/>
      <c r="K730" s="431"/>
      <c r="L730" s="431" t="s">
        <v>196</v>
      </c>
      <c r="M730" s="431" t="s">
        <v>714</v>
      </c>
    </row>
    <row r="731" spans="1:13" x14ac:dyDescent="0.2">
      <c r="A731" s="431" t="s">
        <v>713</v>
      </c>
      <c r="B731" s="431">
        <v>1690117</v>
      </c>
      <c r="C731" s="431" t="s">
        <v>159</v>
      </c>
      <c r="D731" s="431" t="s">
        <v>160</v>
      </c>
      <c r="E731" s="431" t="s">
        <v>161</v>
      </c>
      <c r="F731" s="431" t="s">
        <v>668</v>
      </c>
      <c r="G731" s="431" t="s">
        <v>175</v>
      </c>
      <c r="H731" s="431"/>
      <c r="I731" s="431"/>
      <c r="J731" s="431"/>
      <c r="K731" s="431"/>
      <c r="L731" s="431" t="s">
        <v>196</v>
      </c>
      <c r="M731" s="431" t="s">
        <v>714</v>
      </c>
    </row>
    <row r="732" spans="1:13" x14ac:dyDescent="0.2">
      <c r="A732" s="431" t="s">
        <v>713</v>
      </c>
      <c r="B732" s="431">
        <v>1690117</v>
      </c>
      <c r="C732" s="431" t="s">
        <v>159</v>
      </c>
      <c r="D732" s="431" t="s">
        <v>160</v>
      </c>
      <c r="E732" s="431" t="s">
        <v>161</v>
      </c>
      <c r="F732" s="431" t="s">
        <v>668</v>
      </c>
      <c r="G732" s="431" t="s">
        <v>175</v>
      </c>
      <c r="H732" s="431"/>
      <c r="I732" s="431"/>
      <c r="J732" s="431"/>
      <c r="K732" s="431"/>
      <c r="L732" s="431" t="s">
        <v>196</v>
      </c>
      <c r="M732" s="431" t="s">
        <v>714</v>
      </c>
    </row>
    <row r="733" spans="1:13" x14ac:dyDescent="0.2">
      <c r="A733" s="431" t="s">
        <v>713</v>
      </c>
      <c r="B733" s="431">
        <v>1690117</v>
      </c>
      <c r="C733" s="431" t="s">
        <v>159</v>
      </c>
      <c r="D733" s="431" t="s">
        <v>160</v>
      </c>
      <c r="E733" s="431" t="s">
        <v>161</v>
      </c>
      <c r="F733" s="431" t="s">
        <v>668</v>
      </c>
      <c r="G733" s="431" t="s">
        <v>175</v>
      </c>
      <c r="H733" s="431"/>
      <c r="I733" s="431"/>
      <c r="J733" s="431"/>
      <c r="K733" s="431"/>
      <c r="L733" s="431" t="s">
        <v>196</v>
      </c>
      <c r="M733" s="431" t="s">
        <v>714</v>
      </c>
    </row>
    <row r="734" spans="1:13" x14ac:dyDescent="0.2">
      <c r="A734" s="431" t="s">
        <v>713</v>
      </c>
      <c r="B734" s="431">
        <v>1690117</v>
      </c>
      <c r="C734" s="431" t="s">
        <v>159</v>
      </c>
      <c r="D734" s="431" t="s">
        <v>160</v>
      </c>
      <c r="E734" s="431" t="s">
        <v>161</v>
      </c>
      <c r="F734" s="431" t="s">
        <v>668</v>
      </c>
      <c r="G734" s="431" t="s">
        <v>175</v>
      </c>
      <c r="H734" s="431"/>
      <c r="I734" s="431"/>
      <c r="J734" s="431"/>
      <c r="K734" s="431"/>
      <c r="L734" s="431" t="s">
        <v>196</v>
      </c>
      <c r="M734" s="431" t="s">
        <v>714</v>
      </c>
    </row>
    <row r="735" spans="1:13" x14ac:dyDescent="0.2">
      <c r="A735" s="431" t="s">
        <v>713</v>
      </c>
      <c r="B735" s="431">
        <v>1690117</v>
      </c>
      <c r="C735" s="431" t="s">
        <v>159</v>
      </c>
      <c r="D735" s="431" t="s">
        <v>160</v>
      </c>
      <c r="E735" s="431" t="s">
        <v>161</v>
      </c>
      <c r="F735" s="431" t="s">
        <v>668</v>
      </c>
      <c r="G735" s="431" t="s">
        <v>175</v>
      </c>
      <c r="H735" s="431"/>
      <c r="I735" s="431"/>
      <c r="J735" s="431"/>
      <c r="K735" s="431"/>
      <c r="L735" s="431" t="s">
        <v>196</v>
      </c>
      <c r="M735" s="431" t="s">
        <v>714</v>
      </c>
    </row>
    <row r="736" spans="1:13" x14ac:dyDescent="0.2">
      <c r="A736" s="431" t="s">
        <v>713</v>
      </c>
      <c r="B736" s="431">
        <v>1690117</v>
      </c>
      <c r="C736" s="431" t="s">
        <v>159</v>
      </c>
      <c r="D736" s="431" t="s">
        <v>160</v>
      </c>
      <c r="E736" s="431" t="s">
        <v>161</v>
      </c>
      <c r="F736" s="431" t="s">
        <v>668</v>
      </c>
      <c r="G736" s="431" t="s">
        <v>175</v>
      </c>
      <c r="H736" s="431"/>
      <c r="I736" s="431"/>
      <c r="J736" s="431"/>
      <c r="K736" s="431"/>
      <c r="L736" s="431" t="s">
        <v>196</v>
      </c>
      <c r="M736" s="431" t="s">
        <v>714</v>
      </c>
    </row>
    <row r="737" spans="1:13" x14ac:dyDescent="0.2">
      <c r="A737" s="431" t="s">
        <v>713</v>
      </c>
      <c r="B737" s="431">
        <v>1690117</v>
      </c>
      <c r="C737" s="431" t="s">
        <v>159</v>
      </c>
      <c r="D737" s="431" t="s">
        <v>160</v>
      </c>
      <c r="E737" s="431" t="s">
        <v>161</v>
      </c>
      <c r="F737" s="431" t="s">
        <v>668</v>
      </c>
      <c r="G737" s="431" t="s">
        <v>175</v>
      </c>
      <c r="H737" s="431"/>
      <c r="I737" s="431"/>
      <c r="J737" s="431"/>
      <c r="K737" s="431"/>
      <c r="L737" s="431" t="s">
        <v>196</v>
      </c>
      <c r="M737" s="431" t="s">
        <v>714</v>
      </c>
    </row>
    <row r="738" spans="1:13" x14ac:dyDescent="0.2">
      <c r="A738" s="431" t="s">
        <v>713</v>
      </c>
      <c r="B738" s="431">
        <v>1690117</v>
      </c>
      <c r="C738" s="431" t="s">
        <v>159</v>
      </c>
      <c r="D738" s="431" t="s">
        <v>160</v>
      </c>
      <c r="E738" s="431" t="s">
        <v>161</v>
      </c>
      <c r="F738" s="431" t="s">
        <v>668</v>
      </c>
      <c r="G738" s="431" t="s">
        <v>175</v>
      </c>
      <c r="H738" s="431"/>
      <c r="I738" s="431"/>
      <c r="J738" s="431"/>
      <c r="K738" s="431"/>
      <c r="L738" s="431" t="s">
        <v>196</v>
      </c>
      <c r="M738" s="431" t="s">
        <v>714</v>
      </c>
    </row>
    <row r="739" spans="1:13" x14ac:dyDescent="0.2">
      <c r="A739" s="431" t="s">
        <v>713</v>
      </c>
      <c r="B739" s="431">
        <v>1690117</v>
      </c>
      <c r="C739" s="431" t="s">
        <v>159</v>
      </c>
      <c r="D739" s="431" t="s">
        <v>160</v>
      </c>
      <c r="E739" s="431" t="s">
        <v>161</v>
      </c>
      <c r="F739" s="431" t="s">
        <v>668</v>
      </c>
      <c r="G739" s="431" t="s">
        <v>175</v>
      </c>
      <c r="H739" s="431"/>
      <c r="I739" s="431"/>
      <c r="J739" s="431"/>
      <c r="K739" s="431"/>
      <c r="L739" s="431" t="s">
        <v>196</v>
      </c>
      <c r="M739" s="431" t="s">
        <v>714</v>
      </c>
    </row>
    <row r="740" spans="1:13" x14ac:dyDescent="0.2">
      <c r="A740" s="431" t="s">
        <v>713</v>
      </c>
      <c r="B740" s="431">
        <v>1690117</v>
      </c>
      <c r="C740" s="431" t="s">
        <v>159</v>
      </c>
      <c r="D740" s="431" t="s">
        <v>160</v>
      </c>
      <c r="E740" s="431" t="s">
        <v>161</v>
      </c>
      <c r="F740" s="431" t="s">
        <v>668</v>
      </c>
      <c r="G740" s="431" t="s">
        <v>175</v>
      </c>
      <c r="H740" s="431"/>
      <c r="I740" s="431"/>
      <c r="J740" s="431"/>
      <c r="K740" s="431"/>
      <c r="L740" s="431" t="s">
        <v>196</v>
      </c>
      <c r="M740" s="431" t="s">
        <v>714</v>
      </c>
    </row>
    <row r="741" spans="1:13" x14ac:dyDescent="0.2">
      <c r="A741" s="431" t="s">
        <v>713</v>
      </c>
      <c r="B741" s="431">
        <v>1690117</v>
      </c>
      <c r="C741" s="431" t="s">
        <v>159</v>
      </c>
      <c r="D741" s="431" t="s">
        <v>160</v>
      </c>
      <c r="E741" s="431" t="s">
        <v>161</v>
      </c>
      <c r="F741" s="431" t="s">
        <v>668</v>
      </c>
      <c r="G741" s="431" t="s">
        <v>175</v>
      </c>
      <c r="H741" s="431"/>
      <c r="I741" s="431"/>
      <c r="J741" s="431"/>
      <c r="K741" s="431"/>
      <c r="L741" s="431" t="s">
        <v>196</v>
      </c>
      <c r="M741" s="431" t="s">
        <v>714</v>
      </c>
    </row>
    <row r="742" spans="1:13" x14ac:dyDescent="0.2">
      <c r="A742" s="431" t="s">
        <v>713</v>
      </c>
      <c r="B742" s="431">
        <v>1690117</v>
      </c>
      <c r="C742" s="431" t="s">
        <v>159</v>
      </c>
      <c r="D742" s="431" t="s">
        <v>160</v>
      </c>
      <c r="E742" s="431" t="s">
        <v>161</v>
      </c>
      <c r="F742" s="431" t="s">
        <v>668</v>
      </c>
      <c r="G742" s="431" t="s">
        <v>175</v>
      </c>
      <c r="H742" s="431"/>
      <c r="I742" s="431"/>
      <c r="J742" s="431"/>
      <c r="K742" s="431"/>
      <c r="L742" s="431" t="s">
        <v>196</v>
      </c>
      <c r="M742" s="431" t="s">
        <v>714</v>
      </c>
    </row>
    <row r="743" spans="1:13" x14ac:dyDescent="0.2">
      <c r="A743" s="431" t="s">
        <v>713</v>
      </c>
      <c r="B743" s="431">
        <v>1690117</v>
      </c>
      <c r="C743" s="431" t="s">
        <v>159</v>
      </c>
      <c r="D743" s="431" t="s">
        <v>160</v>
      </c>
      <c r="E743" s="431" t="s">
        <v>161</v>
      </c>
      <c r="F743" s="431" t="s">
        <v>668</v>
      </c>
      <c r="G743" s="431" t="s">
        <v>175</v>
      </c>
      <c r="H743" s="431"/>
      <c r="I743" s="431"/>
      <c r="J743" s="431"/>
      <c r="K743" s="431"/>
      <c r="L743" s="431" t="s">
        <v>196</v>
      </c>
      <c r="M743" s="431" t="s">
        <v>714</v>
      </c>
    </row>
    <row r="744" spans="1:13" x14ac:dyDescent="0.2">
      <c r="A744" s="431" t="s">
        <v>713</v>
      </c>
      <c r="B744" s="431">
        <v>1690117</v>
      </c>
      <c r="C744" s="431" t="s">
        <v>159</v>
      </c>
      <c r="D744" s="431" t="s">
        <v>160</v>
      </c>
      <c r="E744" s="431" t="s">
        <v>161</v>
      </c>
      <c r="F744" s="431" t="s">
        <v>668</v>
      </c>
      <c r="G744" s="431" t="s">
        <v>175</v>
      </c>
      <c r="H744" s="431"/>
      <c r="I744" s="431"/>
      <c r="J744" s="431"/>
      <c r="K744" s="431"/>
      <c r="L744" s="431" t="s">
        <v>196</v>
      </c>
      <c r="M744" s="431" t="s">
        <v>714</v>
      </c>
    </row>
    <row r="745" spans="1:13" x14ac:dyDescent="0.2">
      <c r="A745" s="431" t="s">
        <v>713</v>
      </c>
      <c r="B745" s="431">
        <v>1690117</v>
      </c>
      <c r="C745" s="431" t="s">
        <v>159</v>
      </c>
      <c r="D745" s="431" t="s">
        <v>160</v>
      </c>
      <c r="E745" s="431" t="s">
        <v>161</v>
      </c>
      <c r="F745" s="431" t="s">
        <v>668</v>
      </c>
      <c r="G745" s="431" t="s">
        <v>175</v>
      </c>
      <c r="H745" s="431"/>
      <c r="I745" s="431"/>
      <c r="J745" s="431"/>
      <c r="K745" s="431"/>
      <c r="L745" s="431" t="s">
        <v>196</v>
      </c>
      <c r="M745" s="431" t="s">
        <v>714</v>
      </c>
    </row>
    <row r="746" spans="1:13" x14ac:dyDescent="0.2">
      <c r="A746" s="431" t="s">
        <v>713</v>
      </c>
      <c r="B746" s="431">
        <v>1690117</v>
      </c>
      <c r="C746" s="431" t="s">
        <v>159</v>
      </c>
      <c r="D746" s="431" t="s">
        <v>160</v>
      </c>
      <c r="E746" s="431" t="s">
        <v>161</v>
      </c>
      <c r="F746" s="431" t="s">
        <v>668</v>
      </c>
      <c r="G746" s="431" t="s">
        <v>175</v>
      </c>
      <c r="H746" s="431"/>
      <c r="I746" s="431"/>
      <c r="J746" s="431"/>
      <c r="K746" s="431"/>
      <c r="L746" s="431" t="s">
        <v>196</v>
      </c>
      <c r="M746" s="431" t="s">
        <v>714</v>
      </c>
    </row>
    <row r="747" spans="1:13" x14ac:dyDescent="0.2">
      <c r="A747" s="431" t="s">
        <v>713</v>
      </c>
      <c r="B747" s="431">
        <v>1690117</v>
      </c>
      <c r="C747" s="431" t="s">
        <v>159</v>
      </c>
      <c r="D747" s="431" t="s">
        <v>160</v>
      </c>
      <c r="E747" s="431" t="s">
        <v>161</v>
      </c>
      <c r="F747" s="431" t="s">
        <v>668</v>
      </c>
      <c r="G747" s="431" t="s">
        <v>175</v>
      </c>
      <c r="H747" s="431"/>
      <c r="I747" s="431"/>
      <c r="J747" s="431"/>
      <c r="K747" s="431"/>
      <c r="L747" s="431" t="s">
        <v>196</v>
      </c>
      <c r="M747" s="431" t="s">
        <v>714</v>
      </c>
    </row>
    <row r="748" spans="1:13" x14ac:dyDescent="0.2">
      <c r="A748" s="431" t="s">
        <v>713</v>
      </c>
      <c r="B748" s="431">
        <v>1690117</v>
      </c>
      <c r="C748" s="431" t="s">
        <v>159</v>
      </c>
      <c r="D748" s="431" t="s">
        <v>160</v>
      </c>
      <c r="E748" s="431" t="s">
        <v>161</v>
      </c>
      <c r="F748" s="431" t="s">
        <v>668</v>
      </c>
      <c r="G748" s="431" t="s">
        <v>175</v>
      </c>
      <c r="H748" s="431"/>
      <c r="I748" s="431"/>
      <c r="J748" s="431"/>
      <c r="K748" s="431"/>
      <c r="L748" s="431" t="s">
        <v>196</v>
      </c>
      <c r="M748" s="431" t="s">
        <v>714</v>
      </c>
    </row>
    <row r="749" spans="1:13" x14ac:dyDescent="0.2">
      <c r="A749" s="431" t="s">
        <v>713</v>
      </c>
      <c r="B749" s="431">
        <v>1690117</v>
      </c>
      <c r="C749" s="431" t="s">
        <v>159</v>
      </c>
      <c r="D749" s="431" t="s">
        <v>160</v>
      </c>
      <c r="E749" s="431" t="s">
        <v>161</v>
      </c>
      <c r="F749" s="431" t="s">
        <v>668</v>
      </c>
      <c r="G749" s="431" t="s">
        <v>175</v>
      </c>
      <c r="H749" s="431"/>
      <c r="I749" s="431"/>
      <c r="J749" s="431"/>
      <c r="K749" s="431"/>
      <c r="L749" s="431" t="s">
        <v>196</v>
      </c>
      <c r="M749" s="431" t="s">
        <v>714</v>
      </c>
    </row>
    <row r="750" spans="1:13" x14ac:dyDescent="0.2">
      <c r="A750" s="431" t="s">
        <v>713</v>
      </c>
      <c r="B750" s="431">
        <v>1690117</v>
      </c>
      <c r="C750" s="431" t="s">
        <v>159</v>
      </c>
      <c r="D750" s="431" t="s">
        <v>160</v>
      </c>
      <c r="E750" s="431" t="s">
        <v>161</v>
      </c>
      <c r="F750" s="431" t="s">
        <v>668</v>
      </c>
      <c r="G750" s="431" t="s">
        <v>175</v>
      </c>
      <c r="H750" s="431"/>
      <c r="I750" s="431"/>
      <c r="J750" s="431"/>
      <c r="K750" s="431"/>
      <c r="L750" s="431" t="s">
        <v>196</v>
      </c>
      <c r="M750" s="431" t="s">
        <v>714</v>
      </c>
    </row>
    <row r="751" spans="1:13" x14ac:dyDescent="0.2">
      <c r="A751" s="431" t="s">
        <v>713</v>
      </c>
      <c r="B751" s="431">
        <v>1690117</v>
      </c>
      <c r="C751" s="431" t="s">
        <v>159</v>
      </c>
      <c r="D751" s="431" t="s">
        <v>160</v>
      </c>
      <c r="E751" s="431" t="s">
        <v>161</v>
      </c>
      <c r="F751" s="431" t="s">
        <v>668</v>
      </c>
      <c r="G751" s="431" t="s">
        <v>175</v>
      </c>
      <c r="H751" s="431"/>
      <c r="I751" s="431"/>
      <c r="J751" s="431"/>
      <c r="K751" s="431"/>
      <c r="L751" s="431" t="s">
        <v>196</v>
      </c>
      <c r="M751" s="431" t="s">
        <v>714</v>
      </c>
    </row>
    <row r="752" spans="1:13" x14ac:dyDescent="0.2">
      <c r="A752" s="431" t="s">
        <v>713</v>
      </c>
      <c r="B752" s="431">
        <v>1690117</v>
      </c>
      <c r="C752" s="431" t="s">
        <v>159</v>
      </c>
      <c r="D752" s="431" t="s">
        <v>160</v>
      </c>
      <c r="E752" s="431" t="s">
        <v>161</v>
      </c>
      <c r="F752" s="431" t="s">
        <v>668</v>
      </c>
      <c r="G752" s="431" t="s">
        <v>175</v>
      </c>
      <c r="H752" s="431"/>
      <c r="I752" s="431"/>
      <c r="J752" s="431"/>
      <c r="K752" s="431"/>
      <c r="L752" s="431" t="s">
        <v>196</v>
      </c>
      <c r="M752" s="431" t="s">
        <v>714</v>
      </c>
    </row>
    <row r="753" spans="1:13" x14ac:dyDescent="0.2">
      <c r="A753" s="431" t="s">
        <v>713</v>
      </c>
      <c r="B753" s="431">
        <v>1690117</v>
      </c>
      <c r="C753" s="431" t="s">
        <v>159</v>
      </c>
      <c r="D753" s="431" t="s">
        <v>160</v>
      </c>
      <c r="E753" s="431" t="s">
        <v>161</v>
      </c>
      <c r="F753" s="431" t="s">
        <v>668</v>
      </c>
      <c r="G753" s="431" t="s">
        <v>175</v>
      </c>
      <c r="H753" s="431"/>
      <c r="I753" s="431"/>
      <c r="J753" s="431"/>
      <c r="K753" s="431"/>
      <c r="L753" s="431" t="s">
        <v>196</v>
      </c>
      <c r="M753" s="431" t="s">
        <v>714</v>
      </c>
    </row>
    <row r="754" spans="1:13" x14ac:dyDescent="0.2">
      <c r="A754" s="431" t="s">
        <v>713</v>
      </c>
      <c r="B754" s="431">
        <v>1690117</v>
      </c>
      <c r="C754" s="431" t="s">
        <v>159</v>
      </c>
      <c r="D754" s="431" t="s">
        <v>160</v>
      </c>
      <c r="E754" s="431" t="s">
        <v>161</v>
      </c>
      <c r="F754" s="431" t="s">
        <v>668</v>
      </c>
      <c r="G754" s="431" t="s">
        <v>175</v>
      </c>
      <c r="H754" s="431"/>
      <c r="I754" s="431"/>
      <c r="J754" s="431"/>
      <c r="K754" s="431"/>
      <c r="L754" s="431" t="s">
        <v>196</v>
      </c>
      <c r="M754" s="431" t="s">
        <v>714</v>
      </c>
    </row>
    <row r="755" spans="1:13" x14ac:dyDescent="0.2">
      <c r="A755" s="431" t="s">
        <v>713</v>
      </c>
      <c r="B755" s="431">
        <v>1690117</v>
      </c>
      <c r="C755" s="431" t="s">
        <v>159</v>
      </c>
      <c r="D755" s="431" t="s">
        <v>160</v>
      </c>
      <c r="E755" s="431" t="s">
        <v>161</v>
      </c>
      <c r="F755" s="431" t="s">
        <v>668</v>
      </c>
      <c r="G755" s="431" t="s">
        <v>175</v>
      </c>
      <c r="H755" s="431"/>
      <c r="I755" s="431"/>
      <c r="J755" s="431"/>
      <c r="K755" s="431"/>
      <c r="L755" s="431" t="s">
        <v>196</v>
      </c>
      <c r="M755" s="431" t="s">
        <v>714</v>
      </c>
    </row>
    <row r="756" spans="1:13" x14ac:dyDescent="0.2">
      <c r="A756" s="431" t="s">
        <v>713</v>
      </c>
      <c r="B756" s="431">
        <v>1690117</v>
      </c>
      <c r="C756" s="431" t="s">
        <v>159</v>
      </c>
      <c r="D756" s="431" t="s">
        <v>160</v>
      </c>
      <c r="E756" s="431" t="s">
        <v>161</v>
      </c>
      <c r="F756" s="431" t="s">
        <v>668</v>
      </c>
      <c r="G756" s="431" t="s">
        <v>175</v>
      </c>
      <c r="H756" s="431"/>
      <c r="I756" s="431"/>
      <c r="J756" s="431"/>
      <c r="K756" s="431"/>
      <c r="L756" s="431" t="s">
        <v>196</v>
      </c>
      <c r="M756" s="431" t="s">
        <v>714</v>
      </c>
    </row>
    <row r="757" spans="1:13" x14ac:dyDescent="0.2">
      <c r="A757" s="431" t="s">
        <v>713</v>
      </c>
      <c r="B757" s="431">
        <v>1690117</v>
      </c>
      <c r="C757" s="431" t="s">
        <v>159</v>
      </c>
      <c r="D757" s="431" t="s">
        <v>160</v>
      </c>
      <c r="E757" s="431" t="s">
        <v>161</v>
      </c>
      <c r="F757" s="431" t="s">
        <v>668</v>
      </c>
      <c r="G757" s="431" t="s">
        <v>175</v>
      </c>
      <c r="H757" s="431"/>
      <c r="I757" s="431"/>
      <c r="J757" s="431"/>
      <c r="K757" s="431"/>
      <c r="L757" s="431" t="s">
        <v>196</v>
      </c>
      <c r="M757" s="431" t="s">
        <v>714</v>
      </c>
    </row>
    <row r="758" spans="1:13" x14ac:dyDescent="0.2">
      <c r="A758" s="431" t="s">
        <v>713</v>
      </c>
      <c r="B758" s="431">
        <v>1690117</v>
      </c>
      <c r="C758" s="431" t="s">
        <v>159</v>
      </c>
      <c r="D758" s="431" t="s">
        <v>160</v>
      </c>
      <c r="E758" s="431" t="s">
        <v>161</v>
      </c>
      <c r="F758" s="431" t="s">
        <v>668</v>
      </c>
      <c r="G758" s="431" t="s">
        <v>175</v>
      </c>
      <c r="H758" s="431"/>
      <c r="I758" s="431"/>
      <c r="J758" s="431"/>
      <c r="K758" s="431"/>
      <c r="L758" s="431" t="s">
        <v>196</v>
      </c>
      <c r="M758" s="431" t="s">
        <v>714</v>
      </c>
    </row>
    <row r="759" spans="1:13" x14ac:dyDescent="0.2">
      <c r="A759" s="431" t="s">
        <v>713</v>
      </c>
      <c r="B759" s="431">
        <v>1690117</v>
      </c>
      <c r="C759" s="431" t="s">
        <v>159</v>
      </c>
      <c r="D759" s="431" t="s">
        <v>160</v>
      </c>
      <c r="E759" s="431" t="s">
        <v>161</v>
      </c>
      <c r="F759" s="431" t="s">
        <v>668</v>
      </c>
      <c r="G759" s="431" t="s">
        <v>175</v>
      </c>
      <c r="H759" s="431"/>
      <c r="I759" s="431"/>
      <c r="J759" s="431"/>
      <c r="K759" s="431"/>
      <c r="L759" s="431" t="s">
        <v>196</v>
      </c>
      <c r="M759" s="431" t="s">
        <v>714</v>
      </c>
    </row>
    <row r="760" spans="1:13" x14ac:dyDescent="0.2">
      <c r="A760" s="431" t="s">
        <v>713</v>
      </c>
      <c r="B760" s="431">
        <v>1690117</v>
      </c>
      <c r="C760" s="431" t="s">
        <v>159</v>
      </c>
      <c r="D760" s="431" t="s">
        <v>160</v>
      </c>
      <c r="E760" s="431" t="s">
        <v>161</v>
      </c>
      <c r="F760" s="431" t="s">
        <v>668</v>
      </c>
      <c r="G760" s="431" t="s">
        <v>175</v>
      </c>
      <c r="H760" s="431"/>
      <c r="I760" s="431"/>
      <c r="J760" s="431"/>
      <c r="K760" s="431"/>
      <c r="L760" s="431" t="s">
        <v>196</v>
      </c>
      <c r="M760" s="431" t="s">
        <v>714</v>
      </c>
    </row>
    <row r="761" spans="1:13" x14ac:dyDescent="0.2">
      <c r="A761" s="431" t="s">
        <v>713</v>
      </c>
      <c r="B761" s="431">
        <v>1690117</v>
      </c>
      <c r="C761" s="431" t="s">
        <v>159</v>
      </c>
      <c r="D761" s="431" t="s">
        <v>160</v>
      </c>
      <c r="E761" s="431" t="s">
        <v>161</v>
      </c>
      <c r="F761" s="431" t="s">
        <v>668</v>
      </c>
      <c r="G761" s="431" t="s">
        <v>175</v>
      </c>
      <c r="H761" s="431"/>
      <c r="I761" s="431"/>
      <c r="J761" s="431"/>
      <c r="K761" s="431"/>
      <c r="L761" s="431" t="s">
        <v>196</v>
      </c>
      <c r="M761" s="431" t="s">
        <v>714</v>
      </c>
    </row>
    <row r="762" spans="1:13" x14ac:dyDescent="0.2">
      <c r="A762" s="431" t="s">
        <v>713</v>
      </c>
      <c r="B762" s="431">
        <v>1690117</v>
      </c>
      <c r="C762" s="431" t="s">
        <v>159</v>
      </c>
      <c r="D762" s="431" t="s">
        <v>160</v>
      </c>
      <c r="E762" s="431" t="s">
        <v>161</v>
      </c>
      <c r="F762" s="431" t="s">
        <v>668</v>
      </c>
      <c r="G762" s="431" t="s">
        <v>175</v>
      </c>
      <c r="H762" s="431"/>
      <c r="I762" s="431"/>
      <c r="J762" s="431"/>
      <c r="K762" s="431"/>
      <c r="L762" s="431" t="s">
        <v>196</v>
      </c>
      <c r="M762" s="431" t="s">
        <v>714</v>
      </c>
    </row>
    <row r="763" spans="1:13" x14ac:dyDescent="0.2">
      <c r="A763" s="431" t="s">
        <v>713</v>
      </c>
      <c r="B763" s="431">
        <v>1690117</v>
      </c>
      <c r="C763" s="431" t="s">
        <v>159</v>
      </c>
      <c r="D763" s="431" t="s">
        <v>160</v>
      </c>
      <c r="E763" s="431" t="s">
        <v>161</v>
      </c>
      <c r="F763" s="431" t="s">
        <v>668</v>
      </c>
      <c r="G763" s="431" t="s">
        <v>175</v>
      </c>
      <c r="H763" s="431"/>
      <c r="I763" s="431"/>
      <c r="J763" s="431"/>
      <c r="K763" s="431"/>
      <c r="L763" s="431" t="s">
        <v>196</v>
      </c>
      <c r="M763" s="431" t="s">
        <v>714</v>
      </c>
    </row>
    <row r="764" spans="1:13" x14ac:dyDescent="0.2">
      <c r="A764" s="431" t="s">
        <v>713</v>
      </c>
      <c r="B764" s="431">
        <v>1690117</v>
      </c>
      <c r="C764" s="431" t="s">
        <v>159</v>
      </c>
      <c r="D764" s="431" t="s">
        <v>160</v>
      </c>
      <c r="E764" s="431" t="s">
        <v>161</v>
      </c>
      <c r="F764" s="431" t="s">
        <v>668</v>
      </c>
      <c r="G764" s="431" t="s">
        <v>175</v>
      </c>
      <c r="H764" s="431"/>
      <c r="I764" s="431"/>
      <c r="J764" s="431"/>
      <c r="K764" s="431"/>
      <c r="L764" s="431" t="s">
        <v>196</v>
      </c>
      <c r="M764" s="431" t="s">
        <v>714</v>
      </c>
    </row>
    <row r="765" spans="1:13" x14ac:dyDescent="0.2">
      <c r="A765" s="431" t="s">
        <v>713</v>
      </c>
      <c r="B765" s="431">
        <v>1690117</v>
      </c>
      <c r="C765" s="431" t="s">
        <v>159</v>
      </c>
      <c r="D765" s="431" t="s">
        <v>160</v>
      </c>
      <c r="E765" s="431" t="s">
        <v>161</v>
      </c>
      <c r="F765" s="431" t="s">
        <v>668</v>
      </c>
      <c r="G765" s="431" t="s">
        <v>175</v>
      </c>
      <c r="H765" s="431"/>
      <c r="I765" s="431"/>
      <c r="J765" s="431"/>
      <c r="K765" s="431"/>
      <c r="L765" s="431" t="s">
        <v>196</v>
      </c>
      <c r="M765" s="431" t="s">
        <v>714</v>
      </c>
    </row>
    <row r="766" spans="1:13" x14ac:dyDescent="0.2">
      <c r="A766" s="431" t="s">
        <v>713</v>
      </c>
      <c r="B766" s="431">
        <v>1690117</v>
      </c>
      <c r="C766" s="431" t="s">
        <v>159</v>
      </c>
      <c r="D766" s="431" t="s">
        <v>160</v>
      </c>
      <c r="E766" s="431" t="s">
        <v>161</v>
      </c>
      <c r="F766" s="431" t="s">
        <v>668</v>
      </c>
      <c r="G766" s="431" t="s">
        <v>175</v>
      </c>
      <c r="H766" s="431"/>
      <c r="I766" s="431"/>
      <c r="J766" s="431"/>
      <c r="K766" s="431"/>
      <c r="L766" s="431" t="s">
        <v>196</v>
      </c>
      <c r="M766" s="431" t="s">
        <v>714</v>
      </c>
    </row>
    <row r="767" spans="1:13" x14ac:dyDescent="0.2">
      <c r="A767" s="431" t="s">
        <v>713</v>
      </c>
      <c r="B767" s="431">
        <v>1690117</v>
      </c>
      <c r="C767" s="431" t="s">
        <v>159</v>
      </c>
      <c r="D767" s="431" t="s">
        <v>160</v>
      </c>
      <c r="E767" s="431" t="s">
        <v>161</v>
      </c>
      <c r="F767" s="431" t="s">
        <v>668</v>
      </c>
      <c r="G767" s="431" t="s">
        <v>175</v>
      </c>
      <c r="H767" s="431"/>
      <c r="I767" s="431"/>
      <c r="J767" s="431"/>
      <c r="K767" s="431"/>
      <c r="L767" s="431" t="s">
        <v>196</v>
      </c>
      <c r="M767" s="431" t="s">
        <v>714</v>
      </c>
    </row>
    <row r="768" spans="1:13" x14ac:dyDescent="0.2">
      <c r="A768" s="431" t="s">
        <v>713</v>
      </c>
      <c r="B768" s="431">
        <v>1690117</v>
      </c>
      <c r="C768" s="431" t="s">
        <v>159</v>
      </c>
      <c r="D768" s="431" t="s">
        <v>160</v>
      </c>
      <c r="E768" s="431" t="s">
        <v>161</v>
      </c>
      <c r="F768" s="431" t="s">
        <v>668</v>
      </c>
      <c r="G768" s="431" t="s">
        <v>175</v>
      </c>
      <c r="H768" s="431"/>
      <c r="I768" s="431"/>
      <c r="J768" s="431"/>
      <c r="K768" s="431"/>
      <c r="L768" s="431" t="s">
        <v>196</v>
      </c>
      <c r="M768" s="431" t="s">
        <v>714</v>
      </c>
    </row>
    <row r="769" spans="1:13" x14ac:dyDescent="0.2">
      <c r="A769" s="431" t="s">
        <v>713</v>
      </c>
      <c r="B769" s="431">
        <v>1690117</v>
      </c>
      <c r="C769" s="431" t="s">
        <v>159</v>
      </c>
      <c r="D769" s="431" t="s">
        <v>160</v>
      </c>
      <c r="E769" s="431" t="s">
        <v>161</v>
      </c>
      <c r="F769" s="431" t="s">
        <v>668</v>
      </c>
      <c r="G769" s="431" t="s">
        <v>175</v>
      </c>
      <c r="H769" s="431"/>
      <c r="I769" s="431"/>
      <c r="J769" s="431"/>
      <c r="K769" s="431"/>
      <c r="L769" s="431" t="s">
        <v>196</v>
      </c>
      <c r="M769" s="431" t="s">
        <v>714</v>
      </c>
    </row>
    <row r="770" spans="1:13" x14ac:dyDescent="0.2">
      <c r="A770" s="431" t="s">
        <v>713</v>
      </c>
      <c r="B770" s="431">
        <v>1690117</v>
      </c>
      <c r="C770" s="431" t="s">
        <v>159</v>
      </c>
      <c r="D770" s="431" t="s">
        <v>160</v>
      </c>
      <c r="E770" s="431" t="s">
        <v>161</v>
      </c>
      <c r="F770" s="431" t="s">
        <v>668</v>
      </c>
      <c r="G770" s="431" t="s">
        <v>175</v>
      </c>
      <c r="H770" s="431"/>
      <c r="I770" s="431"/>
      <c r="J770" s="431"/>
      <c r="K770" s="431"/>
      <c r="L770" s="431" t="s">
        <v>196</v>
      </c>
      <c r="M770" s="431" t="s">
        <v>714</v>
      </c>
    </row>
    <row r="771" spans="1:13" x14ac:dyDescent="0.2">
      <c r="A771" s="431" t="s">
        <v>713</v>
      </c>
      <c r="B771" s="431">
        <v>1690117</v>
      </c>
      <c r="C771" s="431" t="s">
        <v>159</v>
      </c>
      <c r="D771" s="431" t="s">
        <v>160</v>
      </c>
      <c r="E771" s="431" t="s">
        <v>161</v>
      </c>
      <c r="F771" s="431" t="s">
        <v>668</v>
      </c>
      <c r="G771" s="431" t="s">
        <v>175</v>
      </c>
      <c r="H771" s="431"/>
      <c r="I771" s="431"/>
      <c r="J771" s="431"/>
      <c r="K771" s="431"/>
      <c r="L771" s="431" t="s">
        <v>196</v>
      </c>
      <c r="M771" s="431" t="s">
        <v>714</v>
      </c>
    </row>
    <row r="772" spans="1:13" x14ac:dyDescent="0.2">
      <c r="A772" s="431" t="s">
        <v>713</v>
      </c>
      <c r="B772" s="431">
        <v>1690117</v>
      </c>
      <c r="C772" s="431" t="s">
        <v>159</v>
      </c>
      <c r="D772" s="431" t="s">
        <v>160</v>
      </c>
      <c r="E772" s="431" t="s">
        <v>161</v>
      </c>
      <c r="F772" s="431" t="s">
        <v>668</v>
      </c>
      <c r="G772" s="431" t="s">
        <v>175</v>
      </c>
      <c r="H772" s="431"/>
      <c r="I772" s="431"/>
      <c r="J772" s="431"/>
      <c r="K772" s="431"/>
      <c r="L772" s="431" t="s">
        <v>196</v>
      </c>
      <c r="M772" s="431" t="s">
        <v>714</v>
      </c>
    </row>
    <row r="773" spans="1:13" x14ac:dyDescent="0.2">
      <c r="A773" s="431" t="s">
        <v>713</v>
      </c>
      <c r="B773" s="431">
        <v>1690117</v>
      </c>
      <c r="C773" s="431" t="s">
        <v>159</v>
      </c>
      <c r="D773" s="431" t="s">
        <v>160</v>
      </c>
      <c r="E773" s="431" t="s">
        <v>161</v>
      </c>
      <c r="F773" s="431" t="s">
        <v>668</v>
      </c>
      <c r="G773" s="431" t="s">
        <v>175</v>
      </c>
      <c r="H773" s="431"/>
      <c r="I773" s="431"/>
      <c r="J773" s="431"/>
      <c r="K773" s="431"/>
      <c r="L773" s="431" t="s">
        <v>196</v>
      </c>
      <c r="M773" s="431" t="s">
        <v>714</v>
      </c>
    </row>
    <row r="774" spans="1:13" x14ac:dyDescent="0.2">
      <c r="A774" s="431" t="s">
        <v>713</v>
      </c>
      <c r="B774" s="431">
        <v>1690117</v>
      </c>
      <c r="C774" s="431" t="s">
        <v>159</v>
      </c>
      <c r="D774" s="431" t="s">
        <v>160</v>
      </c>
      <c r="E774" s="431" t="s">
        <v>161</v>
      </c>
      <c r="F774" s="431" t="s">
        <v>668</v>
      </c>
      <c r="G774" s="431" t="s">
        <v>175</v>
      </c>
      <c r="H774" s="431"/>
      <c r="I774" s="431"/>
      <c r="J774" s="431"/>
      <c r="K774" s="431"/>
      <c r="L774" s="431" t="s">
        <v>196</v>
      </c>
      <c r="M774" s="431" t="s">
        <v>714</v>
      </c>
    </row>
    <row r="775" spans="1:13" x14ac:dyDescent="0.2">
      <c r="A775" s="431" t="s">
        <v>713</v>
      </c>
      <c r="B775" s="431">
        <v>1690117</v>
      </c>
      <c r="C775" s="431" t="s">
        <v>159</v>
      </c>
      <c r="D775" s="431" t="s">
        <v>160</v>
      </c>
      <c r="E775" s="431" t="s">
        <v>161</v>
      </c>
      <c r="F775" s="431" t="s">
        <v>668</v>
      </c>
      <c r="G775" s="431" t="s">
        <v>175</v>
      </c>
      <c r="H775" s="431"/>
      <c r="I775" s="431"/>
      <c r="J775" s="431"/>
      <c r="K775" s="431"/>
      <c r="L775" s="431" t="s">
        <v>196</v>
      </c>
      <c r="M775" s="431" t="s">
        <v>714</v>
      </c>
    </row>
    <row r="776" spans="1:13" x14ac:dyDescent="0.2">
      <c r="A776" s="431" t="s">
        <v>713</v>
      </c>
      <c r="B776" s="431">
        <v>1690117</v>
      </c>
      <c r="C776" s="431" t="s">
        <v>159</v>
      </c>
      <c r="D776" s="431" t="s">
        <v>160</v>
      </c>
      <c r="E776" s="431" t="s">
        <v>161</v>
      </c>
      <c r="F776" s="431" t="s">
        <v>712</v>
      </c>
      <c r="G776" s="431" t="s">
        <v>175</v>
      </c>
      <c r="H776" s="431"/>
      <c r="I776" s="431"/>
      <c r="J776" s="431"/>
      <c r="K776" s="431"/>
      <c r="L776" s="431" t="s">
        <v>196</v>
      </c>
      <c r="M776" s="431" t="s">
        <v>714</v>
      </c>
    </row>
    <row r="777" spans="1:13" x14ac:dyDescent="0.2">
      <c r="A777" s="431" t="s">
        <v>713</v>
      </c>
      <c r="B777" s="431">
        <v>1690117</v>
      </c>
      <c r="C777" s="431" t="s">
        <v>159</v>
      </c>
      <c r="D777" s="431" t="s">
        <v>160</v>
      </c>
      <c r="E777" s="431" t="s">
        <v>161</v>
      </c>
      <c r="F777" s="431" t="s">
        <v>712</v>
      </c>
      <c r="G777" s="431" t="s">
        <v>175</v>
      </c>
      <c r="H777" s="431"/>
      <c r="I777" s="431"/>
      <c r="J777" s="431"/>
      <c r="K777" s="431"/>
      <c r="L777" s="431" t="s">
        <v>196</v>
      </c>
      <c r="M777" s="431" t="s">
        <v>714</v>
      </c>
    </row>
    <row r="778" spans="1:13" x14ac:dyDescent="0.2">
      <c r="A778" s="431" t="s">
        <v>713</v>
      </c>
      <c r="B778" s="431">
        <v>1690117</v>
      </c>
      <c r="C778" s="431" t="s">
        <v>159</v>
      </c>
      <c r="D778" s="431" t="s">
        <v>160</v>
      </c>
      <c r="E778" s="431" t="s">
        <v>161</v>
      </c>
      <c r="F778" s="431" t="s">
        <v>712</v>
      </c>
      <c r="G778" s="431" t="s">
        <v>175</v>
      </c>
      <c r="H778" s="431"/>
      <c r="I778" s="431"/>
      <c r="J778" s="431"/>
      <c r="K778" s="431"/>
      <c r="L778" s="431" t="s">
        <v>196</v>
      </c>
      <c r="M778" s="431" t="s">
        <v>714</v>
      </c>
    </row>
    <row r="779" spans="1:13" x14ac:dyDescent="0.2">
      <c r="A779" s="431" t="s">
        <v>713</v>
      </c>
      <c r="B779" s="431">
        <v>1690117</v>
      </c>
      <c r="C779" s="431" t="s">
        <v>159</v>
      </c>
      <c r="D779" s="431" t="s">
        <v>160</v>
      </c>
      <c r="E779" s="431" t="s">
        <v>161</v>
      </c>
      <c r="F779" s="431" t="s">
        <v>712</v>
      </c>
      <c r="G779" s="431" t="s">
        <v>175</v>
      </c>
      <c r="H779" s="431"/>
      <c r="I779" s="431"/>
      <c r="J779" s="431"/>
      <c r="K779" s="431"/>
      <c r="L779" s="431" t="s">
        <v>196</v>
      </c>
      <c r="M779" s="431" t="s">
        <v>714</v>
      </c>
    </row>
    <row r="780" spans="1:13" x14ac:dyDescent="0.2">
      <c r="A780" s="431" t="s">
        <v>713</v>
      </c>
      <c r="B780" s="431">
        <v>1690117</v>
      </c>
      <c r="C780" s="431" t="s">
        <v>159</v>
      </c>
      <c r="D780" s="431" t="s">
        <v>160</v>
      </c>
      <c r="E780" s="431" t="s">
        <v>161</v>
      </c>
      <c r="F780" s="431" t="s">
        <v>712</v>
      </c>
      <c r="G780" s="431" t="s">
        <v>175</v>
      </c>
      <c r="H780" s="431"/>
      <c r="I780" s="431"/>
      <c r="J780" s="431"/>
      <c r="K780" s="431"/>
      <c r="L780" s="431" t="s">
        <v>196</v>
      </c>
      <c r="M780" s="431" t="s">
        <v>714</v>
      </c>
    </row>
    <row r="781" spans="1:13" x14ac:dyDescent="0.2">
      <c r="A781" s="431" t="s">
        <v>713</v>
      </c>
      <c r="B781" s="431">
        <v>1690117</v>
      </c>
      <c r="C781" s="431" t="s">
        <v>159</v>
      </c>
      <c r="D781" s="431" t="s">
        <v>160</v>
      </c>
      <c r="E781" s="431" t="s">
        <v>161</v>
      </c>
      <c r="F781" s="431" t="s">
        <v>712</v>
      </c>
      <c r="G781" s="431" t="s">
        <v>175</v>
      </c>
      <c r="H781" s="431"/>
      <c r="I781" s="431"/>
      <c r="J781" s="431"/>
      <c r="K781" s="431"/>
      <c r="L781" s="431" t="s">
        <v>196</v>
      </c>
      <c r="M781" s="431" t="s">
        <v>714</v>
      </c>
    </row>
    <row r="782" spans="1:13" x14ac:dyDescent="0.2">
      <c r="A782" s="431" t="s">
        <v>713</v>
      </c>
      <c r="B782" s="431">
        <v>1690117</v>
      </c>
      <c r="C782" s="431" t="s">
        <v>159</v>
      </c>
      <c r="D782" s="431" t="s">
        <v>160</v>
      </c>
      <c r="E782" s="431" t="s">
        <v>161</v>
      </c>
      <c r="F782" s="431" t="s">
        <v>712</v>
      </c>
      <c r="G782" s="431" t="s">
        <v>175</v>
      </c>
      <c r="H782" s="431"/>
      <c r="I782" s="431"/>
      <c r="J782" s="431"/>
      <c r="K782" s="431"/>
      <c r="L782" s="431" t="s">
        <v>196</v>
      </c>
      <c r="M782" s="431" t="s">
        <v>714</v>
      </c>
    </row>
    <row r="783" spans="1:13" x14ac:dyDescent="0.2">
      <c r="A783" s="431" t="s">
        <v>713</v>
      </c>
      <c r="B783" s="431">
        <v>1690117</v>
      </c>
      <c r="C783" s="431" t="s">
        <v>159</v>
      </c>
      <c r="D783" s="431" t="s">
        <v>160</v>
      </c>
      <c r="E783" s="431" t="s">
        <v>161</v>
      </c>
      <c r="F783" s="431" t="s">
        <v>712</v>
      </c>
      <c r="G783" s="431" t="s">
        <v>175</v>
      </c>
      <c r="H783" s="431"/>
      <c r="I783" s="431"/>
      <c r="J783" s="431"/>
      <c r="K783" s="431"/>
      <c r="L783" s="431" t="s">
        <v>196</v>
      </c>
      <c r="M783" s="431" t="s">
        <v>714</v>
      </c>
    </row>
    <row r="784" spans="1:13" x14ac:dyDescent="0.2">
      <c r="A784" s="431" t="s">
        <v>713</v>
      </c>
      <c r="B784" s="431">
        <v>1690117</v>
      </c>
      <c r="C784" s="431" t="s">
        <v>159</v>
      </c>
      <c r="D784" s="431" t="s">
        <v>160</v>
      </c>
      <c r="E784" s="431" t="s">
        <v>161</v>
      </c>
      <c r="F784" s="431" t="s">
        <v>712</v>
      </c>
      <c r="G784" s="431" t="s">
        <v>175</v>
      </c>
      <c r="H784" s="431"/>
      <c r="I784" s="431"/>
      <c r="J784" s="431"/>
      <c r="K784" s="431"/>
      <c r="L784" s="431" t="s">
        <v>196</v>
      </c>
      <c r="M784" s="431" t="s">
        <v>714</v>
      </c>
    </row>
    <row r="785" spans="1:13" x14ac:dyDescent="0.2">
      <c r="A785" s="431" t="s">
        <v>713</v>
      </c>
      <c r="B785" s="431">
        <v>1690117</v>
      </c>
      <c r="C785" s="431" t="s">
        <v>159</v>
      </c>
      <c r="D785" s="431" t="s">
        <v>160</v>
      </c>
      <c r="E785" s="431" t="s">
        <v>161</v>
      </c>
      <c r="F785" s="431" t="s">
        <v>712</v>
      </c>
      <c r="G785" s="431" t="s">
        <v>175</v>
      </c>
      <c r="H785" s="431"/>
      <c r="I785" s="431"/>
      <c r="J785" s="431"/>
      <c r="K785" s="431"/>
      <c r="L785" s="431" t="s">
        <v>196</v>
      </c>
      <c r="M785" s="431" t="s">
        <v>714</v>
      </c>
    </row>
    <row r="786" spans="1:13" x14ac:dyDescent="0.2">
      <c r="A786" s="431" t="s">
        <v>713</v>
      </c>
      <c r="B786" s="431">
        <v>1690117</v>
      </c>
      <c r="C786" s="431" t="s">
        <v>159</v>
      </c>
      <c r="D786" s="431" t="s">
        <v>160</v>
      </c>
      <c r="E786" s="431" t="s">
        <v>161</v>
      </c>
      <c r="F786" s="431" t="s">
        <v>712</v>
      </c>
      <c r="G786" s="431" t="s">
        <v>175</v>
      </c>
      <c r="H786" s="431"/>
      <c r="I786" s="431"/>
      <c r="J786" s="431"/>
      <c r="K786" s="431"/>
      <c r="L786" s="431" t="s">
        <v>196</v>
      </c>
      <c r="M786" s="431" t="s">
        <v>714</v>
      </c>
    </row>
    <row r="787" spans="1:13" x14ac:dyDescent="0.2">
      <c r="A787" s="431" t="s">
        <v>713</v>
      </c>
      <c r="B787" s="431">
        <v>1690117</v>
      </c>
      <c r="C787" s="431" t="s">
        <v>159</v>
      </c>
      <c r="D787" s="431" t="s">
        <v>160</v>
      </c>
      <c r="E787" s="431" t="s">
        <v>161</v>
      </c>
      <c r="F787" s="431" t="s">
        <v>712</v>
      </c>
      <c r="G787" s="431" t="s">
        <v>175</v>
      </c>
      <c r="H787" s="431"/>
      <c r="I787" s="431"/>
      <c r="J787" s="431"/>
      <c r="K787" s="431"/>
      <c r="L787" s="431" t="s">
        <v>196</v>
      </c>
      <c r="M787" s="431" t="s">
        <v>714</v>
      </c>
    </row>
    <row r="788" spans="1:13" x14ac:dyDescent="0.2">
      <c r="A788" s="431" t="s">
        <v>713</v>
      </c>
      <c r="B788" s="431">
        <v>1690117</v>
      </c>
      <c r="C788" s="431" t="s">
        <v>159</v>
      </c>
      <c r="D788" s="431" t="s">
        <v>160</v>
      </c>
      <c r="E788" s="431" t="s">
        <v>161</v>
      </c>
      <c r="F788" s="431" t="s">
        <v>712</v>
      </c>
      <c r="G788" s="431" t="s">
        <v>175</v>
      </c>
      <c r="H788" s="431"/>
      <c r="I788" s="431"/>
      <c r="J788" s="431"/>
      <c r="K788" s="431"/>
      <c r="L788" s="431" t="s">
        <v>196</v>
      </c>
      <c r="M788" s="431" t="s">
        <v>714</v>
      </c>
    </row>
    <row r="789" spans="1:13" x14ac:dyDescent="0.2">
      <c r="A789" s="431" t="s">
        <v>713</v>
      </c>
      <c r="B789" s="431">
        <v>1690117</v>
      </c>
      <c r="C789" s="431" t="s">
        <v>159</v>
      </c>
      <c r="D789" s="431" t="s">
        <v>160</v>
      </c>
      <c r="E789" s="431" t="s">
        <v>161</v>
      </c>
      <c r="F789" s="431" t="s">
        <v>712</v>
      </c>
      <c r="G789" s="431" t="s">
        <v>175</v>
      </c>
      <c r="H789" s="431"/>
      <c r="I789" s="431"/>
      <c r="J789" s="431"/>
      <c r="K789" s="431"/>
      <c r="L789" s="431" t="s">
        <v>196</v>
      </c>
      <c r="M789" s="431" t="s">
        <v>714</v>
      </c>
    </row>
    <row r="790" spans="1:13" x14ac:dyDescent="0.2">
      <c r="A790" s="431" t="s">
        <v>713</v>
      </c>
      <c r="B790" s="431">
        <v>1690117</v>
      </c>
      <c r="C790" s="431" t="s">
        <v>159</v>
      </c>
      <c r="D790" s="431" t="s">
        <v>160</v>
      </c>
      <c r="E790" s="431" t="s">
        <v>161</v>
      </c>
      <c r="F790" s="431" t="s">
        <v>712</v>
      </c>
      <c r="G790" s="431" t="s">
        <v>175</v>
      </c>
      <c r="H790" s="431"/>
      <c r="I790" s="431"/>
      <c r="J790" s="431"/>
      <c r="K790" s="431"/>
      <c r="L790" s="431" t="s">
        <v>196</v>
      </c>
      <c r="M790" s="431" t="s">
        <v>714</v>
      </c>
    </row>
    <row r="791" spans="1:13" x14ac:dyDescent="0.2">
      <c r="A791" s="431" t="s">
        <v>713</v>
      </c>
      <c r="B791" s="431">
        <v>1690117</v>
      </c>
      <c r="C791" s="431" t="s">
        <v>159</v>
      </c>
      <c r="D791" s="431" t="s">
        <v>160</v>
      </c>
      <c r="E791" s="431" t="s">
        <v>161</v>
      </c>
      <c r="F791" s="431" t="s">
        <v>712</v>
      </c>
      <c r="G791" s="431" t="s">
        <v>175</v>
      </c>
      <c r="H791" s="431"/>
      <c r="I791" s="431"/>
      <c r="J791" s="431"/>
      <c r="K791" s="431"/>
      <c r="L791" s="431" t="s">
        <v>196</v>
      </c>
      <c r="M791" s="431" t="s">
        <v>714</v>
      </c>
    </row>
    <row r="792" spans="1:13" ht="409.5" x14ac:dyDescent="0.2">
      <c r="A792" s="431" t="s">
        <v>715</v>
      </c>
      <c r="B792" s="431">
        <v>1690011</v>
      </c>
      <c r="C792" s="431" t="s">
        <v>159</v>
      </c>
      <c r="D792" s="431" t="s">
        <v>160</v>
      </c>
      <c r="E792" s="431" t="s">
        <v>161</v>
      </c>
      <c r="F792" s="431" t="s">
        <v>716</v>
      </c>
      <c r="G792" s="431" t="s">
        <v>175</v>
      </c>
      <c r="H792" s="431"/>
      <c r="I792" s="431"/>
      <c r="J792" s="431"/>
      <c r="K792" s="431"/>
      <c r="L792" s="431" t="s">
        <v>163</v>
      </c>
      <c r="M792" s="432" t="s">
        <v>717</v>
      </c>
    </row>
    <row r="793" spans="1:13" x14ac:dyDescent="0.2">
      <c r="A793" s="431" t="s">
        <v>718</v>
      </c>
      <c r="B793" s="431">
        <v>1690033</v>
      </c>
      <c r="C793" s="431" t="s">
        <v>159</v>
      </c>
      <c r="D793" s="431" t="s">
        <v>160</v>
      </c>
      <c r="E793" s="431" t="s">
        <v>161</v>
      </c>
      <c r="F793" s="431" t="s">
        <v>716</v>
      </c>
      <c r="G793" s="431" t="s">
        <v>175</v>
      </c>
      <c r="H793" s="431"/>
      <c r="I793" s="431"/>
      <c r="J793" s="431"/>
      <c r="K793" s="431"/>
      <c r="L793" s="431" t="s">
        <v>163</v>
      </c>
      <c r="M793" s="431" t="s">
        <v>719</v>
      </c>
    </row>
    <row r="794" spans="1:13" x14ac:dyDescent="0.2">
      <c r="A794" s="431" t="s">
        <v>720</v>
      </c>
      <c r="B794" s="431">
        <v>1690085</v>
      </c>
      <c r="C794" s="431" t="s">
        <v>159</v>
      </c>
      <c r="D794" s="431" t="s">
        <v>160</v>
      </c>
      <c r="E794" s="431" t="s">
        <v>161</v>
      </c>
      <c r="F794" s="431" t="s">
        <v>246</v>
      </c>
      <c r="G794" s="431" t="s">
        <v>175</v>
      </c>
      <c r="H794" s="431"/>
      <c r="I794" s="431"/>
      <c r="J794" s="431"/>
      <c r="K794" s="431"/>
      <c r="L794" s="431" t="s">
        <v>721</v>
      </c>
      <c r="M794" s="431" t="s">
        <v>722</v>
      </c>
    </row>
    <row r="795" spans="1:13" x14ac:dyDescent="0.2">
      <c r="A795" s="431" t="s">
        <v>723</v>
      </c>
      <c r="B795" s="431">
        <v>1690194</v>
      </c>
      <c r="C795" s="431" t="s">
        <v>159</v>
      </c>
      <c r="D795" s="431" t="s">
        <v>724</v>
      </c>
      <c r="E795" s="431" t="s">
        <v>161</v>
      </c>
      <c r="F795" s="431" t="s">
        <v>725</v>
      </c>
      <c r="G795" s="431" t="s">
        <v>175</v>
      </c>
      <c r="H795" s="431"/>
      <c r="I795" s="431"/>
      <c r="J795" s="431"/>
      <c r="K795" s="431"/>
      <c r="L795" s="431" t="s">
        <v>721</v>
      </c>
      <c r="M795" s="431" t="s">
        <v>726</v>
      </c>
    </row>
    <row r="796" spans="1:13" x14ac:dyDescent="0.2">
      <c r="A796" s="431" t="s">
        <v>723</v>
      </c>
      <c r="B796" s="431">
        <v>1690194</v>
      </c>
      <c r="C796" s="431" t="s">
        <v>159</v>
      </c>
      <c r="D796" s="431" t="s">
        <v>724</v>
      </c>
      <c r="E796" s="431" t="s">
        <v>161</v>
      </c>
      <c r="F796" s="431" t="s">
        <v>725</v>
      </c>
      <c r="G796" s="431" t="s">
        <v>175</v>
      </c>
      <c r="H796" s="431"/>
      <c r="I796" s="431"/>
      <c r="J796" s="431"/>
      <c r="K796" s="431"/>
      <c r="L796" s="431" t="s">
        <v>721</v>
      </c>
      <c r="M796" s="431" t="s">
        <v>726</v>
      </c>
    </row>
    <row r="797" spans="1:13" x14ac:dyDescent="0.2">
      <c r="A797" s="431" t="s">
        <v>723</v>
      </c>
      <c r="B797" s="431">
        <v>1690194</v>
      </c>
      <c r="C797" s="431" t="s">
        <v>159</v>
      </c>
      <c r="D797" s="431" t="s">
        <v>724</v>
      </c>
      <c r="E797" s="431" t="s">
        <v>161</v>
      </c>
      <c r="F797" s="431" t="s">
        <v>725</v>
      </c>
      <c r="G797" s="431" t="s">
        <v>175</v>
      </c>
      <c r="H797" s="431"/>
      <c r="I797" s="431"/>
      <c r="J797" s="431"/>
      <c r="K797" s="431"/>
      <c r="L797" s="431" t="s">
        <v>721</v>
      </c>
      <c r="M797" s="431" t="s">
        <v>726</v>
      </c>
    </row>
    <row r="798" spans="1:13" x14ac:dyDescent="0.2">
      <c r="A798" s="431" t="s">
        <v>723</v>
      </c>
      <c r="B798" s="431">
        <v>1690194</v>
      </c>
      <c r="C798" s="431" t="s">
        <v>159</v>
      </c>
      <c r="D798" s="431" t="s">
        <v>724</v>
      </c>
      <c r="E798" s="431" t="s">
        <v>161</v>
      </c>
      <c r="F798" s="431" t="s">
        <v>725</v>
      </c>
      <c r="G798" s="431" t="s">
        <v>175</v>
      </c>
      <c r="H798" s="431"/>
      <c r="I798" s="431"/>
      <c r="J798" s="431"/>
      <c r="K798" s="431"/>
      <c r="L798" s="431" t="s">
        <v>721</v>
      </c>
      <c r="M798" s="431" t="s">
        <v>726</v>
      </c>
    </row>
    <row r="799" spans="1:13" x14ac:dyDescent="0.2">
      <c r="A799" s="431" t="s">
        <v>723</v>
      </c>
      <c r="B799" s="431">
        <v>1690194</v>
      </c>
      <c r="C799" s="431" t="s">
        <v>159</v>
      </c>
      <c r="D799" s="431" t="s">
        <v>724</v>
      </c>
      <c r="E799" s="431" t="s">
        <v>161</v>
      </c>
      <c r="F799" s="431" t="s">
        <v>725</v>
      </c>
      <c r="G799" s="431" t="s">
        <v>175</v>
      </c>
      <c r="H799" s="431"/>
      <c r="I799" s="431"/>
      <c r="J799" s="431"/>
      <c r="K799" s="431"/>
      <c r="L799" s="431" t="s">
        <v>721</v>
      </c>
      <c r="M799" s="431" t="s">
        <v>726</v>
      </c>
    </row>
    <row r="800" spans="1:13" x14ac:dyDescent="0.2">
      <c r="A800" s="431" t="s">
        <v>723</v>
      </c>
      <c r="B800" s="431">
        <v>1690194</v>
      </c>
      <c r="C800" s="431" t="s">
        <v>159</v>
      </c>
      <c r="D800" s="431" t="s">
        <v>724</v>
      </c>
      <c r="E800" s="431" t="s">
        <v>161</v>
      </c>
      <c r="F800" s="431" t="s">
        <v>725</v>
      </c>
      <c r="G800" s="431" t="s">
        <v>175</v>
      </c>
      <c r="H800" s="431"/>
      <c r="I800" s="431"/>
      <c r="J800" s="431"/>
      <c r="K800" s="431"/>
      <c r="L800" s="431" t="s">
        <v>721</v>
      </c>
      <c r="M800" s="431" t="s">
        <v>726</v>
      </c>
    </row>
    <row r="801" spans="1:13" x14ac:dyDescent="0.2">
      <c r="A801" s="431" t="s">
        <v>723</v>
      </c>
      <c r="B801" s="431">
        <v>1690194</v>
      </c>
      <c r="C801" s="431" t="s">
        <v>159</v>
      </c>
      <c r="D801" s="431" t="s">
        <v>724</v>
      </c>
      <c r="E801" s="431" t="s">
        <v>161</v>
      </c>
      <c r="F801" s="431" t="s">
        <v>725</v>
      </c>
      <c r="G801" s="431" t="s">
        <v>175</v>
      </c>
      <c r="H801" s="431"/>
      <c r="I801" s="431"/>
      <c r="J801" s="431"/>
      <c r="K801" s="431"/>
      <c r="L801" s="431" t="s">
        <v>721</v>
      </c>
      <c r="M801" s="431" t="s">
        <v>726</v>
      </c>
    </row>
    <row r="802" spans="1:13" x14ac:dyDescent="0.2">
      <c r="A802" s="431" t="s">
        <v>723</v>
      </c>
      <c r="B802" s="431">
        <v>1690194</v>
      </c>
      <c r="C802" s="431" t="s">
        <v>159</v>
      </c>
      <c r="D802" s="431" t="s">
        <v>724</v>
      </c>
      <c r="E802" s="431" t="s">
        <v>161</v>
      </c>
      <c r="F802" s="431" t="s">
        <v>725</v>
      </c>
      <c r="G802" s="431" t="s">
        <v>175</v>
      </c>
      <c r="H802" s="431"/>
      <c r="I802" s="431"/>
      <c r="J802" s="431"/>
      <c r="K802" s="431"/>
      <c r="L802" s="431" t="s">
        <v>721</v>
      </c>
      <c r="M802" s="431" t="s">
        <v>726</v>
      </c>
    </row>
    <row r="803" spans="1:13" x14ac:dyDescent="0.2">
      <c r="A803" s="431" t="s">
        <v>723</v>
      </c>
      <c r="B803" s="431">
        <v>1690194</v>
      </c>
      <c r="C803" s="431" t="s">
        <v>159</v>
      </c>
      <c r="D803" s="431" t="s">
        <v>724</v>
      </c>
      <c r="E803" s="431" t="s">
        <v>161</v>
      </c>
      <c r="F803" s="431" t="s">
        <v>725</v>
      </c>
      <c r="G803" s="431" t="s">
        <v>175</v>
      </c>
      <c r="H803" s="431"/>
      <c r="I803" s="431"/>
      <c r="J803" s="431"/>
      <c r="K803" s="431"/>
      <c r="L803" s="431" t="s">
        <v>721</v>
      </c>
      <c r="M803" s="431" t="s">
        <v>726</v>
      </c>
    </row>
    <row r="804" spans="1:13" x14ac:dyDescent="0.2">
      <c r="A804" s="431" t="s">
        <v>723</v>
      </c>
      <c r="B804" s="431">
        <v>1690194</v>
      </c>
      <c r="C804" s="431" t="s">
        <v>159</v>
      </c>
      <c r="D804" s="431" t="s">
        <v>724</v>
      </c>
      <c r="E804" s="431" t="s">
        <v>161</v>
      </c>
      <c r="F804" s="431" t="s">
        <v>725</v>
      </c>
      <c r="G804" s="431" t="s">
        <v>175</v>
      </c>
      <c r="H804" s="431"/>
      <c r="I804" s="431"/>
      <c r="J804" s="431"/>
      <c r="K804" s="431"/>
      <c r="L804" s="431" t="s">
        <v>721</v>
      </c>
      <c r="M804" s="431" t="s">
        <v>726</v>
      </c>
    </row>
    <row r="805" spans="1:13" x14ac:dyDescent="0.2">
      <c r="A805" s="431" t="s">
        <v>723</v>
      </c>
      <c r="B805" s="431">
        <v>1690194</v>
      </c>
      <c r="C805" s="431" t="s">
        <v>159</v>
      </c>
      <c r="D805" s="431" t="s">
        <v>724</v>
      </c>
      <c r="E805" s="431" t="s">
        <v>161</v>
      </c>
      <c r="F805" s="431" t="s">
        <v>725</v>
      </c>
      <c r="G805" s="431" t="s">
        <v>175</v>
      </c>
      <c r="H805" s="431"/>
      <c r="I805" s="431"/>
      <c r="J805" s="431"/>
      <c r="K805" s="431"/>
      <c r="L805" s="431" t="s">
        <v>721</v>
      </c>
      <c r="M805" s="431" t="s">
        <v>726</v>
      </c>
    </row>
    <row r="806" spans="1:13" x14ac:dyDescent="0.2">
      <c r="A806" s="431" t="s">
        <v>723</v>
      </c>
      <c r="B806" s="431">
        <v>1690194</v>
      </c>
      <c r="C806" s="431" t="s">
        <v>159</v>
      </c>
      <c r="D806" s="431" t="s">
        <v>724</v>
      </c>
      <c r="E806" s="431" t="s">
        <v>161</v>
      </c>
      <c r="F806" s="431" t="s">
        <v>725</v>
      </c>
      <c r="G806" s="431" t="s">
        <v>175</v>
      </c>
      <c r="H806" s="431"/>
      <c r="I806" s="431"/>
      <c r="J806" s="431"/>
      <c r="K806" s="431"/>
      <c r="L806" s="431" t="s">
        <v>721</v>
      </c>
      <c r="M806" s="431" t="s">
        <v>726</v>
      </c>
    </row>
    <row r="807" spans="1:13" x14ac:dyDescent="0.2">
      <c r="A807" s="431" t="s">
        <v>723</v>
      </c>
      <c r="B807" s="431">
        <v>1690194</v>
      </c>
      <c r="C807" s="431" t="s">
        <v>159</v>
      </c>
      <c r="D807" s="431" t="s">
        <v>724</v>
      </c>
      <c r="E807" s="431" t="s">
        <v>161</v>
      </c>
      <c r="F807" s="431" t="s">
        <v>725</v>
      </c>
      <c r="G807" s="431" t="s">
        <v>175</v>
      </c>
      <c r="H807" s="431"/>
      <c r="I807" s="431"/>
      <c r="J807" s="431"/>
      <c r="K807" s="431"/>
      <c r="L807" s="431" t="s">
        <v>721</v>
      </c>
      <c r="M807" s="431" t="s">
        <v>726</v>
      </c>
    </row>
    <row r="808" spans="1:13" x14ac:dyDescent="0.2">
      <c r="A808" s="431" t="s">
        <v>723</v>
      </c>
      <c r="B808" s="431">
        <v>1690194</v>
      </c>
      <c r="C808" s="431" t="s">
        <v>159</v>
      </c>
      <c r="D808" s="431" t="s">
        <v>724</v>
      </c>
      <c r="E808" s="431" t="s">
        <v>161</v>
      </c>
      <c r="F808" s="431" t="s">
        <v>725</v>
      </c>
      <c r="G808" s="431" t="s">
        <v>175</v>
      </c>
      <c r="H808" s="431"/>
      <c r="I808" s="431"/>
      <c r="J808" s="431"/>
      <c r="K808" s="431"/>
      <c r="L808" s="431" t="s">
        <v>721</v>
      </c>
      <c r="M808" s="431" t="s">
        <v>726</v>
      </c>
    </row>
    <row r="809" spans="1:13" x14ac:dyDescent="0.2">
      <c r="A809" s="431" t="s">
        <v>723</v>
      </c>
      <c r="B809" s="431">
        <v>1690194</v>
      </c>
      <c r="C809" s="431" t="s">
        <v>159</v>
      </c>
      <c r="D809" s="431" t="s">
        <v>724</v>
      </c>
      <c r="E809" s="431" t="s">
        <v>161</v>
      </c>
      <c r="F809" s="431" t="s">
        <v>725</v>
      </c>
      <c r="G809" s="431" t="s">
        <v>175</v>
      </c>
      <c r="H809" s="431"/>
      <c r="I809" s="431"/>
      <c r="J809" s="431"/>
      <c r="K809" s="431"/>
      <c r="L809" s="431" t="s">
        <v>721</v>
      </c>
      <c r="M809" s="431" t="s">
        <v>726</v>
      </c>
    </row>
    <row r="810" spans="1:13" x14ac:dyDescent="0.2">
      <c r="A810" s="431" t="s">
        <v>723</v>
      </c>
      <c r="B810" s="431">
        <v>1690194</v>
      </c>
      <c r="C810" s="431" t="s">
        <v>159</v>
      </c>
      <c r="D810" s="431" t="s">
        <v>724</v>
      </c>
      <c r="E810" s="431" t="s">
        <v>161</v>
      </c>
      <c r="F810" s="431" t="s">
        <v>725</v>
      </c>
      <c r="G810" s="431" t="s">
        <v>175</v>
      </c>
      <c r="H810" s="431"/>
      <c r="I810" s="431"/>
      <c r="J810" s="431"/>
      <c r="K810" s="431"/>
      <c r="L810" s="431" t="s">
        <v>721</v>
      </c>
      <c r="M810" s="431" t="s">
        <v>726</v>
      </c>
    </row>
    <row r="811" spans="1:13" x14ac:dyDescent="0.2">
      <c r="A811" s="431" t="s">
        <v>723</v>
      </c>
      <c r="B811" s="431">
        <v>1690194</v>
      </c>
      <c r="C811" s="431" t="s">
        <v>159</v>
      </c>
      <c r="D811" s="431" t="s">
        <v>724</v>
      </c>
      <c r="E811" s="431" t="s">
        <v>161</v>
      </c>
      <c r="F811" s="431" t="s">
        <v>725</v>
      </c>
      <c r="G811" s="431" t="s">
        <v>175</v>
      </c>
      <c r="H811" s="431"/>
      <c r="I811" s="431"/>
      <c r="J811" s="431"/>
      <c r="K811" s="431"/>
      <c r="L811" s="431" t="s">
        <v>721</v>
      </c>
      <c r="M811" s="431" t="s">
        <v>726</v>
      </c>
    </row>
    <row r="812" spans="1:13" x14ac:dyDescent="0.2">
      <c r="A812" s="431" t="s">
        <v>723</v>
      </c>
      <c r="B812" s="431">
        <v>1690194</v>
      </c>
      <c r="C812" s="431" t="s">
        <v>159</v>
      </c>
      <c r="D812" s="431" t="s">
        <v>724</v>
      </c>
      <c r="E812" s="431" t="s">
        <v>161</v>
      </c>
      <c r="F812" s="431" t="s">
        <v>725</v>
      </c>
      <c r="G812" s="431" t="s">
        <v>175</v>
      </c>
      <c r="H812" s="431"/>
      <c r="I812" s="431"/>
      <c r="J812" s="431"/>
      <c r="K812" s="431"/>
      <c r="L812" s="431" t="s">
        <v>721</v>
      </c>
      <c r="M812" s="431" t="s">
        <v>726</v>
      </c>
    </row>
    <row r="813" spans="1:13" x14ac:dyDescent="0.2">
      <c r="A813" s="431" t="s">
        <v>723</v>
      </c>
      <c r="B813" s="431">
        <v>1690194</v>
      </c>
      <c r="C813" s="431" t="s">
        <v>159</v>
      </c>
      <c r="D813" s="431" t="s">
        <v>724</v>
      </c>
      <c r="E813" s="431" t="s">
        <v>161</v>
      </c>
      <c r="F813" s="431" t="s">
        <v>725</v>
      </c>
      <c r="G813" s="431" t="s">
        <v>175</v>
      </c>
      <c r="H813" s="431"/>
      <c r="I813" s="431"/>
      <c r="J813" s="431"/>
      <c r="K813" s="431"/>
      <c r="L813" s="431" t="s">
        <v>721</v>
      </c>
      <c r="M813" s="431" t="s">
        <v>726</v>
      </c>
    </row>
    <row r="814" spans="1:13" x14ac:dyDescent="0.2">
      <c r="A814" s="431" t="s">
        <v>727</v>
      </c>
      <c r="B814" s="431">
        <v>1690105</v>
      </c>
      <c r="C814" s="431" t="s">
        <v>159</v>
      </c>
      <c r="D814" s="431" t="s">
        <v>160</v>
      </c>
      <c r="E814" s="431" t="s">
        <v>161</v>
      </c>
      <c r="F814" s="431" t="s">
        <v>703</v>
      </c>
      <c r="G814" s="431" t="s">
        <v>175</v>
      </c>
      <c r="H814" s="431"/>
      <c r="I814" s="431"/>
      <c r="J814" s="431"/>
      <c r="K814" s="431"/>
      <c r="L814" s="431" t="s">
        <v>404</v>
      </c>
      <c r="M814" s="431" t="s">
        <v>728</v>
      </c>
    </row>
    <row r="815" spans="1:13" x14ac:dyDescent="0.2">
      <c r="A815" s="431" t="s">
        <v>727</v>
      </c>
      <c r="B815" s="431">
        <v>1690105</v>
      </c>
      <c r="C815" s="431" t="s">
        <v>159</v>
      </c>
      <c r="D815" s="431" t="s">
        <v>160</v>
      </c>
      <c r="E815" s="431" t="s">
        <v>161</v>
      </c>
      <c r="F815" s="431" t="s">
        <v>706</v>
      </c>
      <c r="G815" s="431" t="s">
        <v>175</v>
      </c>
      <c r="H815" s="431"/>
      <c r="I815" s="431"/>
      <c r="J815" s="431"/>
      <c r="K815" s="431"/>
      <c r="L815" s="431" t="s">
        <v>404</v>
      </c>
      <c r="M815" s="431" t="s">
        <v>728</v>
      </c>
    </row>
    <row r="816" spans="1:13" x14ac:dyDescent="0.2">
      <c r="A816" s="431" t="s">
        <v>727</v>
      </c>
      <c r="B816" s="431">
        <v>1690105</v>
      </c>
      <c r="C816" s="431" t="s">
        <v>159</v>
      </c>
      <c r="D816" s="431" t="s">
        <v>160</v>
      </c>
      <c r="E816" s="431" t="s">
        <v>161</v>
      </c>
      <c r="F816" s="431" t="s">
        <v>707</v>
      </c>
      <c r="G816" s="431" t="s">
        <v>175</v>
      </c>
      <c r="H816" s="431"/>
      <c r="I816" s="431"/>
      <c r="J816" s="431"/>
      <c r="K816" s="431"/>
      <c r="L816" s="431" t="s">
        <v>404</v>
      </c>
      <c r="M816" s="431" t="s">
        <v>728</v>
      </c>
    </row>
    <row r="817" spans="1:13" x14ac:dyDescent="0.2">
      <c r="A817" s="431" t="s">
        <v>727</v>
      </c>
      <c r="B817" s="431">
        <v>1690105</v>
      </c>
      <c r="C817" s="431" t="s">
        <v>159</v>
      </c>
      <c r="D817" s="431" t="s">
        <v>160</v>
      </c>
      <c r="E817" s="431" t="s">
        <v>161</v>
      </c>
      <c r="F817" s="431" t="s">
        <v>708</v>
      </c>
      <c r="G817" s="431" t="s">
        <v>175</v>
      </c>
      <c r="H817" s="431"/>
      <c r="I817" s="431"/>
      <c r="J817" s="431"/>
      <c r="K817" s="431"/>
      <c r="L817" s="431" t="s">
        <v>404</v>
      </c>
      <c r="M817" s="431" t="s">
        <v>728</v>
      </c>
    </row>
    <row r="818" spans="1:13" x14ac:dyDescent="0.2">
      <c r="A818" s="431" t="s">
        <v>727</v>
      </c>
      <c r="B818" s="431">
        <v>1690105</v>
      </c>
      <c r="C818" s="431" t="s">
        <v>159</v>
      </c>
      <c r="D818" s="431" t="s">
        <v>160</v>
      </c>
      <c r="E818" s="431" t="s">
        <v>161</v>
      </c>
      <c r="F818" s="431" t="s">
        <v>709</v>
      </c>
      <c r="G818" s="431" t="s">
        <v>175</v>
      </c>
      <c r="H818" s="431"/>
      <c r="I818" s="431"/>
      <c r="J818" s="431"/>
      <c r="K818" s="431"/>
      <c r="L818" s="431" t="s">
        <v>404</v>
      </c>
      <c r="M818" s="431" t="s">
        <v>728</v>
      </c>
    </row>
    <row r="819" spans="1:13" x14ac:dyDescent="0.2">
      <c r="A819" s="431" t="s">
        <v>727</v>
      </c>
      <c r="B819" s="431">
        <v>1690105</v>
      </c>
      <c r="C819" s="431" t="s">
        <v>159</v>
      </c>
      <c r="D819" s="431" t="s">
        <v>160</v>
      </c>
      <c r="E819" s="431" t="s">
        <v>161</v>
      </c>
      <c r="F819" s="431" t="s">
        <v>710</v>
      </c>
      <c r="G819" s="431" t="s">
        <v>175</v>
      </c>
      <c r="H819" s="431"/>
      <c r="I819" s="431"/>
      <c r="J819" s="431"/>
      <c r="K819" s="431"/>
      <c r="L819" s="431" t="s">
        <v>404</v>
      </c>
      <c r="M819" s="431" t="s">
        <v>728</v>
      </c>
    </row>
    <row r="820" spans="1:13" x14ac:dyDescent="0.2">
      <c r="A820" s="431" t="s">
        <v>727</v>
      </c>
      <c r="B820" s="431">
        <v>1690105</v>
      </c>
      <c r="C820" s="431" t="s">
        <v>159</v>
      </c>
      <c r="D820" s="431" t="s">
        <v>160</v>
      </c>
      <c r="E820" s="431" t="s">
        <v>161</v>
      </c>
      <c r="F820" s="431" t="s">
        <v>711</v>
      </c>
      <c r="G820" s="431" t="s">
        <v>175</v>
      </c>
      <c r="H820" s="431"/>
      <c r="I820" s="431"/>
      <c r="J820" s="431"/>
      <c r="K820" s="431"/>
      <c r="L820" s="431" t="s">
        <v>404</v>
      </c>
      <c r="M820" s="431" t="s">
        <v>728</v>
      </c>
    </row>
    <row r="821" spans="1:13" x14ac:dyDescent="0.2">
      <c r="A821" s="431" t="s">
        <v>729</v>
      </c>
      <c r="B821" s="431">
        <v>1690094</v>
      </c>
      <c r="C821" s="431" t="s">
        <v>159</v>
      </c>
      <c r="D821" s="431" t="s">
        <v>160</v>
      </c>
      <c r="E821" s="431" t="s">
        <v>161</v>
      </c>
      <c r="F821" s="431" t="s">
        <v>246</v>
      </c>
      <c r="G821" s="431" t="s">
        <v>583</v>
      </c>
      <c r="H821" s="431"/>
      <c r="I821" s="431"/>
      <c r="J821" s="431"/>
      <c r="K821" s="431"/>
      <c r="L821" s="431" t="s">
        <v>730</v>
      </c>
      <c r="M821" s="431" t="s">
        <v>731</v>
      </c>
    </row>
    <row r="822" spans="1:13" x14ac:dyDescent="0.2">
      <c r="A822" s="431" t="s">
        <v>732</v>
      </c>
      <c r="B822" s="431">
        <v>1690203</v>
      </c>
      <c r="C822" s="431" t="s">
        <v>159</v>
      </c>
      <c r="D822" s="431" t="s">
        <v>160</v>
      </c>
      <c r="E822" s="431" t="s">
        <v>161</v>
      </c>
      <c r="F822" s="431" t="s">
        <v>249</v>
      </c>
      <c r="G822" s="431" t="s">
        <v>175</v>
      </c>
      <c r="H822" s="431"/>
      <c r="I822" s="431"/>
      <c r="J822" s="431"/>
      <c r="K822" s="431"/>
      <c r="L822" s="431" t="s">
        <v>733</v>
      </c>
      <c r="M822" s="431" t="s">
        <v>734</v>
      </c>
    </row>
    <row r="823" spans="1:13" x14ac:dyDescent="0.2">
      <c r="A823" s="431" t="s">
        <v>732</v>
      </c>
      <c r="B823" s="431">
        <v>1690203</v>
      </c>
      <c r="C823" s="431" t="s">
        <v>159</v>
      </c>
      <c r="D823" s="431" t="s">
        <v>160</v>
      </c>
      <c r="E823" s="431" t="s">
        <v>161</v>
      </c>
      <c r="F823" s="431" t="s">
        <v>249</v>
      </c>
      <c r="G823" s="431" t="s">
        <v>175</v>
      </c>
      <c r="H823" s="431"/>
      <c r="I823" s="431"/>
      <c r="J823" s="431"/>
      <c r="K823" s="431"/>
      <c r="L823" s="431" t="s">
        <v>733</v>
      </c>
      <c r="M823" s="431" t="s">
        <v>734</v>
      </c>
    </row>
    <row r="824" spans="1:13" x14ac:dyDescent="0.2">
      <c r="A824" s="431" t="s">
        <v>732</v>
      </c>
      <c r="B824" s="431">
        <v>1690203</v>
      </c>
      <c r="C824" s="431" t="s">
        <v>159</v>
      </c>
      <c r="D824" s="431" t="s">
        <v>160</v>
      </c>
      <c r="E824" s="431" t="s">
        <v>161</v>
      </c>
      <c r="F824" s="431" t="s">
        <v>249</v>
      </c>
      <c r="G824" s="431" t="s">
        <v>175</v>
      </c>
      <c r="H824" s="431"/>
      <c r="I824" s="431"/>
      <c r="J824" s="431"/>
      <c r="K824" s="431"/>
      <c r="L824" s="431" t="s">
        <v>733</v>
      </c>
      <c r="M824" s="431" t="s">
        <v>734</v>
      </c>
    </row>
    <row r="825" spans="1:13" x14ac:dyDescent="0.2">
      <c r="A825" s="431" t="s">
        <v>732</v>
      </c>
      <c r="B825" s="431">
        <v>1690203</v>
      </c>
      <c r="C825" s="431" t="s">
        <v>159</v>
      </c>
      <c r="D825" s="431" t="s">
        <v>160</v>
      </c>
      <c r="E825" s="431" t="s">
        <v>161</v>
      </c>
      <c r="F825" s="431" t="s">
        <v>249</v>
      </c>
      <c r="G825" s="431" t="s">
        <v>175</v>
      </c>
      <c r="H825" s="431"/>
      <c r="I825" s="431"/>
      <c r="J825" s="431"/>
      <c r="K825" s="431"/>
      <c r="L825" s="431" t="s">
        <v>733</v>
      </c>
      <c r="M825" s="431" t="s">
        <v>734</v>
      </c>
    </row>
    <row r="826" spans="1:13" x14ac:dyDescent="0.2">
      <c r="A826" s="431" t="s">
        <v>732</v>
      </c>
      <c r="B826" s="431">
        <v>1690203</v>
      </c>
      <c r="C826" s="431" t="s">
        <v>159</v>
      </c>
      <c r="D826" s="431" t="s">
        <v>160</v>
      </c>
      <c r="E826" s="431" t="s">
        <v>161</v>
      </c>
      <c r="F826" s="431" t="s">
        <v>517</v>
      </c>
      <c r="G826" s="431" t="s">
        <v>175</v>
      </c>
      <c r="H826" s="431"/>
      <c r="I826" s="431"/>
      <c r="J826" s="431"/>
      <c r="K826" s="431"/>
      <c r="L826" s="431" t="s">
        <v>733</v>
      </c>
      <c r="M826" s="431" t="s">
        <v>734</v>
      </c>
    </row>
    <row r="827" spans="1:13" x14ac:dyDescent="0.2">
      <c r="A827" s="431" t="s">
        <v>732</v>
      </c>
      <c r="B827" s="431">
        <v>1690203</v>
      </c>
      <c r="C827" s="431" t="s">
        <v>159</v>
      </c>
      <c r="D827" s="431" t="s">
        <v>160</v>
      </c>
      <c r="E827" s="431" t="s">
        <v>161</v>
      </c>
      <c r="F827" s="431" t="s">
        <v>517</v>
      </c>
      <c r="G827" s="431" t="s">
        <v>175</v>
      </c>
      <c r="H827" s="431"/>
      <c r="I827" s="431"/>
      <c r="J827" s="431"/>
      <c r="K827" s="431"/>
      <c r="L827" s="431" t="s">
        <v>733</v>
      </c>
      <c r="M827" s="431" t="s">
        <v>734</v>
      </c>
    </row>
    <row r="828" spans="1:13" x14ac:dyDescent="0.2">
      <c r="A828" s="431" t="s">
        <v>735</v>
      </c>
      <c r="B828" s="431">
        <v>1690093</v>
      </c>
      <c r="C828" s="431" t="s">
        <v>159</v>
      </c>
      <c r="D828" s="431" t="s">
        <v>160</v>
      </c>
      <c r="E828" s="431" t="s">
        <v>161</v>
      </c>
      <c r="F828" s="431" t="s">
        <v>249</v>
      </c>
      <c r="G828" s="431" t="s">
        <v>175</v>
      </c>
      <c r="H828" s="431"/>
      <c r="I828" s="431"/>
      <c r="J828" s="431"/>
      <c r="K828" s="431"/>
      <c r="L828" s="431" t="s">
        <v>733</v>
      </c>
      <c r="M828" s="431" t="s">
        <v>736</v>
      </c>
    </row>
    <row r="829" spans="1:13" x14ac:dyDescent="0.2">
      <c r="A829" s="431" t="s">
        <v>735</v>
      </c>
      <c r="B829" s="431">
        <v>1690093</v>
      </c>
      <c r="C829" s="431" t="s">
        <v>159</v>
      </c>
      <c r="D829" s="431" t="s">
        <v>160</v>
      </c>
      <c r="E829" s="431" t="s">
        <v>161</v>
      </c>
      <c r="F829" s="431" t="s">
        <v>249</v>
      </c>
      <c r="G829" s="431" t="s">
        <v>175</v>
      </c>
      <c r="H829" s="431"/>
      <c r="I829" s="431"/>
      <c r="J829" s="431"/>
      <c r="K829" s="431"/>
      <c r="L829" s="431" t="s">
        <v>733</v>
      </c>
      <c r="M829" s="431" t="s">
        <v>736</v>
      </c>
    </row>
    <row r="830" spans="1:13" x14ac:dyDescent="0.2">
      <c r="A830" s="431" t="s">
        <v>735</v>
      </c>
      <c r="B830" s="431">
        <v>1690093</v>
      </c>
      <c r="C830" s="431" t="s">
        <v>159</v>
      </c>
      <c r="D830" s="431" t="s">
        <v>160</v>
      </c>
      <c r="E830" s="431" t="s">
        <v>161</v>
      </c>
      <c r="F830" s="431" t="s">
        <v>249</v>
      </c>
      <c r="G830" s="431" t="s">
        <v>175</v>
      </c>
      <c r="H830" s="431"/>
      <c r="I830" s="431"/>
      <c r="J830" s="431"/>
      <c r="K830" s="431"/>
      <c r="L830" s="431" t="s">
        <v>733</v>
      </c>
      <c r="M830" s="431" t="s">
        <v>736</v>
      </c>
    </row>
    <row r="831" spans="1:13" x14ac:dyDescent="0.2">
      <c r="A831" s="431" t="s">
        <v>735</v>
      </c>
      <c r="B831" s="431">
        <v>1690093</v>
      </c>
      <c r="C831" s="431" t="s">
        <v>159</v>
      </c>
      <c r="D831" s="431" t="s">
        <v>160</v>
      </c>
      <c r="E831" s="431" t="s">
        <v>161</v>
      </c>
      <c r="F831" s="431" t="s">
        <v>249</v>
      </c>
      <c r="G831" s="431" t="s">
        <v>175</v>
      </c>
      <c r="H831" s="431"/>
      <c r="I831" s="431"/>
      <c r="J831" s="431"/>
      <c r="K831" s="431"/>
      <c r="L831" s="431" t="s">
        <v>733</v>
      </c>
      <c r="M831" s="431" t="s">
        <v>736</v>
      </c>
    </row>
    <row r="832" spans="1:13" x14ac:dyDescent="0.2">
      <c r="A832" s="431" t="s">
        <v>735</v>
      </c>
      <c r="B832" s="431">
        <v>1690093</v>
      </c>
      <c r="C832" s="431" t="s">
        <v>159</v>
      </c>
      <c r="D832" s="431" t="s">
        <v>160</v>
      </c>
      <c r="E832" s="431" t="s">
        <v>161</v>
      </c>
      <c r="F832" s="431" t="s">
        <v>517</v>
      </c>
      <c r="G832" s="431" t="s">
        <v>175</v>
      </c>
      <c r="H832" s="431"/>
      <c r="I832" s="431"/>
      <c r="J832" s="431"/>
      <c r="K832" s="431"/>
      <c r="L832" s="431" t="s">
        <v>733</v>
      </c>
      <c r="M832" s="431" t="s">
        <v>736</v>
      </c>
    </row>
    <row r="833" spans="1:13" x14ac:dyDescent="0.2">
      <c r="A833" s="431" t="s">
        <v>735</v>
      </c>
      <c r="B833" s="431">
        <v>1690093</v>
      </c>
      <c r="C833" s="431" t="s">
        <v>159</v>
      </c>
      <c r="D833" s="431" t="s">
        <v>160</v>
      </c>
      <c r="E833" s="431" t="s">
        <v>161</v>
      </c>
      <c r="F833" s="431" t="s">
        <v>517</v>
      </c>
      <c r="G833" s="431" t="s">
        <v>175</v>
      </c>
      <c r="H833" s="431"/>
      <c r="I833" s="431"/>
      <c r="J833" s="431"/>
      <c r="K833" s="431"/>
      <c r="L833" s="431" t="s">
        <v>733</v>
      </c>
      <c r="M833" s="431" t="s">
        <v>736</v>
      </c>
    </row>
    <row r="834" spans="1:13" x14ac:dyDescent="0.2">
      <c r="A834" s="431" t="s">
        <v>737</v>
      </c>
      <c r="B834" s="431">
        <v>1690126</v>
      </c>
      <c r="C834" s="431" t="s">
        <v>159</v>
      </c>
      <c r="D834" s="431" t="s">
        <v>160</v>
      </c>
      <c r="E834" s="431" t="s">
        <v>161</v>
      </c>
      <c r="F834" s="431" t="s">
        <v>246</v>
      </c>
      <c r="G834" s="431" t="s">
        <v>583</v>
      </c>
      <c r="H834" s="431"/>
      <c r="I834" s="431"/>
      <c r="J834" s="431"/>
      <c r="K834" s="431"/>
      <c r="L834" s="431" t="s">
        <v>730</v>
      </c>
      <c r="M834" s="431" t="s">
        <v>738</v>
      </c>
    </row>
    <row r="835" spans="1:13" x14ac:dyDescent="0.2">
      <c r="A835" s="431" t="s">
        <v>739</v>
      </c>
      <c r="B835" s="431">
        <v>1690166</v>
      </c>
      <c r="C835" s="431" t="s">
        <v>159</v>
      </c>
      <c r="D835" s="431" t="s">
        <v>160</v>
      </c>
      <c r="E835" s="431" t="s">
        <v>161</v>
      </c>
      <c r="F835" s="431" t="s">
        <v>517</v>
      </c>
      <c r="G835" s="431" t="s">
        <v>175</v>
      </c>
      <c r="H835" s="431"/>
      <c r="I835" s="431"/>
      <c r="J835" s="431"/>
      <c r="K835" s="431"/>
      <c r="L835" s="431" t="s">
        <v>176</v>
      </c>
      <c r="M835" s="431" t="s">
        <v>740</v>
      </c>
    </row>
    <row r="836" spans="1:13" x14ac:dyDescent="0.2">
      <c r="A836" s="431" t="s">
        <v>739</v>
      </c>
      <c r="B836" s="431">
        <v>1690166</v>
      </c>
      <c r="C836" s="431" t="s">
        <v>159</v>
      </c>
      <c r="D836" s="431" t="s">
        <v>160</v>
      </c>
      <c r="E836" s="431" t="s">
        <v>161</v>
      </c>
      <c r="F836" s="431" t="s">
        <v>517</v>
      </c>
      <c r="G836" s="431" t="s">
        <v>175</v>
      </c>
      <c r="H836" s="431"/>
      <c r="I836" s="431"/>
      <c r="J836" s="431"/>
      <c r="K836" s="431"/>
      <c r="L836" s="431" t="s">
        <v>176</v>
      </c>
      <c r="M836" s="431" t="s">
        <v>740</v>
      </c>
    </row>
    <row r="837" spans="1:13" x14ac:dyDescent="0.2">
      <c r="A837" s="431" t="s">
        <v>741</v>
      </c>
      <c r="B837" s="431">
        <v>1690034</v>
      </c>
      <c r="C837" s="431" t="s">
        <v>159</v>
      </c>
      <c r="D837" s="431" t="s">
        <v>160</v>
      </c>
      <c r="E837" s="431" t="s">
        <v>161</v>
      </c>
      <c r="F837" s="431" t="s">
        <v>246</v>
      </c>
      <c r="G837" s="431" t="s">
        <v>583</v>
      </c>
      <c r="H837" s="431"/>
      <c r="I837" s="431"/>
      <c r="J837" s="431"/>
      <c r="K837" s="431"/>
      <c r="L837" s="431" t="s">
        <v>730</v>
      </c>
      <c r="M837" s="431" t="s">
        <v>742</v>
      </c>
    </row>
    <row r="838" spans="1:13" x14ac:dyDescent="0.2">
      <c r="A838" s="431" t="s">
        <v>743</v>
      </c>
      <c r="B838" s="431">
        <v>1690021</v>
      </c>
      <c r="C838" s="431" t="s">
        <v>159</v>
      </c>
      <c r="D838" s="431" t="s">
        <v>160</v>
      </c>
      <c r="E838" s="431" t="s">
        <v>161</v>
      </c>
      <c r="F838" s="431" t="s">
        <v>246</v>
      </c>
      <c r="G838" s="431" t="s">
        <v>175</v>
      </c>
      <c r="H838" s="431"/>
      <c r="I838" s="431"/>
      <c r="J838" s="431"/>
      <c r="K838" s="431"/>
      <c r="L838" s="431" t="s">
        <v>730</v>
      </c>
      <c r="M838" s="431" t="s">
        <v>744</v>
      </c>
    </row>
    <row r="839" spans="1:13" x14ac:dyDescent="0.2">
      <c r="A839" s="431" t="s">
        <v>745</v>
      </c>
      <c r="B839" s="431">
        <v>1690077</v>
      </c>
      <c r="C839" s="431" t="s">
        <v>159</v>
      </c>
      <c r="D839" s="431" t="s">
        <v>160</v>
      </c>
      <c r="E839" s="431" t="s">
        <v>161</v>
      </c>
      <c r="F839" s="431" t="s">
        <v>246</v>
      </c>
      <c r="G839" s="431" t="s">
        <v>583</v>
      </c>
      <c r="H839" s="431"/>
      <c r="I839" s="431"/>
      <c r="J839" s="431"/>
      <c r="K839" s="431"/>
      <c r="L839" s="431" t="s">
        <v>730</v>
      </c>
      <c r="M839" s="431" t="s">
        <v>746</v>
      </c>
    </row>
    <row r="840" spans="1:13" x14ac:dyDescent="0.2">
      <c r="A840" s="431" t="s">
        <v>747</v>
      </c>
      <c r="B840" s="431">
        <v>1690122</v>
      </c>
      <c r="C840" s="431" t="s">
        <v>159</v>
      </c>
      <c r="D840" s="431" t="s">
        <v>160</v>
      </c>
      <c r="E840" s="431" t="s">
        <v>161</v>
      </c>
      <c r="F840" s="431" t="s">
        <v>246</v>
      </c>
      <c r="G840" s="431" t="s">
        <v>583</v>
      </c>
      <c r="H840" s="431"/>
      <c r="I840" s="431"/>
      <c r="J840" s="431"/>
      <c r="K840" s="431"/>
      <c r="L840" s="431" t="s">
        <v>730</v>
      </c>
      <c r="M840" s="431" t="s">
        <v>748</v>
      </c>
    </row>
    <row r="841" spans="1:13" ht="409.5" x14ac:dyDescent="0.2">
      <c r="A841" s="431" t="s">
        <v>749</v>
      </c>
      <c r="B841" s="431">
        <v>1690019</v>
      </c>
      <c r="C841" s="431" t="s">
        <v>159</v>
      </c>
      <c r="D841" s="431" t="s">
        <v>160</v>
      </c>
      <c r="E841" s="431" t="s">
        <v>161</v>
      </c>
      <c r="F841" s="431" t="s">
        <v>264</v>
      </c>
      <c r="G841" s="431" t="s">
        <v>175</v>
      </c>
      <c r="H841" s="431"/>
      <c r="I841" s="431"/>
      <c r="J841" s="431"/>
      <c r="K841" s="431"/>
      <c r="L841" s="431" t="s">
        <v>449</v>
      </c>
      <c r="M841" s="432" t="s">
        <v>750</v>
      </c>
    </row>
    <row r="842" spans="1:13" ht="409.5" x14ac:dyDescent="0.2">
      <c r="A842" s="431" t="s">
        <v>749</v>
      </c>
      <c r="B842" s="431">
        <v>1690019</v>
      </c>
      <c r="C842" s="431" t="s">
        <v>159</v>
      </c>
      <c r="D842" s="431" t="s">
        <v>160</v>
      </c>
      <c r="E842" s="431" t="s">
        <v>161</v>
      </c>
      <c r="F842" s="431" t="s">
        <v>265</v>
      </c>
      <c r="G842" s="431" t="s">
        <v>175</v>
      </c>
      <c r="H842" s="431"/>
      <c r="I842" s="431"/>
      <c r="J842" s="431"/>
      <c r="K842" s="431"/>
      <c r="L842" s="431" t="s">
        <v>449</v>
      </c>
      <c r="M842" s="432" t="s">
        <v>750</v>
      </c>
    </row>
    <row r="843" spans="1:13" ht="409.5" x14ac:dyDescent="0.2">
      <c r="A843" s="431" t="s">
        <v>749</v>
      </c>
      <c r="B843" s="431">
        <v>1690019</v>
      </c>
      <c r="C843" s="431" t="s">
        <v>159</v>
      </c>
      <c r="D843" s="431" t="s">
        <v>160</v>
      </c>
      <c r="E843" s="431" t="s">
        <v>161</v>
      </c>
      <c r="F843" s="431" t="s">
        <v>266</v>
      </c>
      <c r="G843" s="431" t="s">
        <v>175</v>
      </c>
      <c r="H843" s="431"/>
      <c r="I843" s="431"/>
      <c r="J843" s="431"/>
      <c r="K843" s="431"/>
      <c r="L843" s="431" t="s">
        <v>449</v>
      </c>
      <c r="M843" s="432" t="s">
        <v>750</v>
      </c>
    </row>
    <row r="844" spans="1:13" ht="409.5" x14ac:dyDescent="0.2">
      <c r="A844" s="431" t="s">
        <v>749</v>
      </c>
      <c r="B844" s="431">
        <v>1690019</v>
      </c>
      <c r="C844" s="431" t="s">
        <v>159</v>
      </c>
      <c r="D844" s="431" t="s">
        <v>160</v>
      </c>
      <c r="E844" s="431" t="s">
        <v>161</v>
      </c>
      <c r="F844" s="431" t="s">
        <v>267</v>
      </c>
      <c r="G844" s="431" t="s">
        <v>175</v>
      </c>
      <c r="H844" s="431"/>
      <c r="I844" s="431"/>
      <c r="J844" s="431"/>
      <c r="K844" s="431"/>
      <c r="L844" s="431" t="s">
        <v>449</v>
      </c>
      <c r="M844" s="432" t="s">
        <v>750</v>
      </c>
    </row>
    <row r="845" spans="1:13" ht="409.5" x14ac:dyDescent="0.2">
      <c r="A845" s="431" t="s">
        <v>749</v>
      </c>
      <c r="B845" s="431">
        <v>1690019</v>
      </c>
      <c r="C845" s="431" t="s">
        <v>159</v>
      </c>
      <c r="D845" s="431" t="s">
        <v>160</v>
      </c>
      <c r="E845" s="431" t="s">
        <v>161</v>
      </c>
      <c r="F845" s="431" t="s">
        <v>268</v>
      </c>
      <c r="G845" s="431" t="s">
        <v>175</v>
      </c>
      <c r="H845" s="431"/>
      <c r="I845" s="431"/>
      <c r="J845" s="431"/>
      <c r="K845" s="431"/>
      <c r="L845" s="431" t="s">
        <v>449</v>
      </c>
      <c r="M845" s="432" t="s">
        <v>750</v>
      </c>
    </row>
    <row r="846" spans="1:13" x14ac:dyDescent="0.2">
      <c r="A846" s="431" t="s">
        <v>751</v>
      </c>
      <c r="B846" s="431">
        <v>1690139</v>
      </c>
      <c r="C846" s="431" t="s">
        <v>159</v>
      </c>
      <c r="D846" s="431" t="s">
        <v>160</v>
      </c>
      <c r="E846" s="431" t="s">
        <v>161</v>
      </c>
      <c r="F846" s="431" t="s">
        <v>264</v>
      </c>
      <c r="G846" s="431" t="s">
        <v>162</v>
      </c>
      <c r="H846" s="431"/>
      <c r="I846" s="431"/>
      <c r="J846" s="431"/>
      <c r="K846" s="431"/>
      <c r="L846" s="431" t="s">
        <v>721</v>
      </c>
      <c r="M846" s="431" t="s">
        <v>752</v>
      </c>
    </row>
    <row r="847" spans="1:13" x14ac:dyDescent="0.2">
      <c r="A847" s="431" t="s">
        <v>753</v>
      </c>
      <c r="B847" s="431">
        <v>1690123</v>
      </c>
      <c r="C847" s="431" t="s">
        <v>159</v>
      </c>
      <c r="D847" s="431" t="s">
        <v>160</v>
      </c>
      <c r="E847" s="431" t="s">
        <v>161</v>
      </c>
      <c r="F847" s="431" t="s">
        <v>754</v>
      </c>
      <c r="G847" s="431" t="s">
        <v>175</v>
      </c>
      <c r="H847" s="431"/>
      <c r="I847" s="431"/>
      <c r="J847" s="431"/>
      <c r="K847" s="431"/>
      <c r="L847" s="431" t="s">
        <v>755</v>
      </c>
      <c r="M847" s="431" t="s">
        <v>756</v>
      </c>
    </row>
    <row r="848" spans="1:13" x14ac:dyDescent="0.2">
      <c r="A848" s="431" t="s">
        <v>753</v>
      </c>
      <c r="B848" s="431">
        <v>1690123</v>
      </c>
      <c r="C848" s="431" t="s">
        <v>159</v>
      </c>
      <c r="D848" s="431" t="s">
        <v>160</v>
      </c>
      <c r="E848" s="431" t="s">
        <v>161</v>
      </c>
      <c r="F848" s="431" t="s">
        <v>757</v>
      </c>
      <c r="G848" s="431" t="s">
        <v>175</v>
      </c>
      <c r="H848" s="431"/>
      <c r="I848" s="431"/>
      <c r="J848" s="431"/>
      <c r="K848" s="431"/>
      <c r="L848" s="431" t="s">
        <v>755</v>
      </c>
      <c r="M848" s="431" t="s">
        <v>756</v>
      </c>
    </row>
    <row r="849" spans="1:13" x14ac:dyDescent="0.2">
      <c r="A849" s="431" t="s">
        <v>753</v>
      </c>
      <c r="B849" s="431">
        <v>1690123</v>
      </c>
      <c r="C849" s="431" t="s">
        <v>159</v>
      </c>
      <c r="D849" s="431" t="s">
        <v>160</v>
      </c>
      <c r="E849" s="431" t="s">
        <v>161</v>
      </c>
      <c r="F849" s="431" t="s">
        <v>441</v>
      </c>
      <c r="G849" s="431" t="s">
        <v>175</v>
      </c>
      <c r="H849" s="431"/>
      <c r="I849" s="431"/>
      <c r="J849" s="431"/>
      <c r="K849" s="431"/>
      <c r="L849" s="431" t="s">
        <v>755</v>
      </c>
      <c r="M849" s="431" t="s">
        <v>756</v>
      </c>
    </row>
    <row r="850" spans="1:13" x14ac:dyDescent="0.2">
      <c r="A850" s="431" t="s">
        <v>758</v>
      </c>
      <c r="B850" s="431">
        <v>1690151</v>
      </c>
      <c r="C850" s="431" t="s">
        <v>159</v>
      </c>
      <c r="D850" s="431" t="s">
        <v>160</v>
      </c>
      <c r="E850" s="431" t="s">
        <v>161</v>
      </c>
      <c r="F850" s="431" t="s">
        <v>437</v>
      </c>
      <c r="G850" s="431" t="s">
        <v>175</v>
      </c>
      <c r="H850" s="431"/>
      <c r="I850" s="431"/>
      <c r="J850" s="431"/>
      <c r="K850" s="431"/>
      <c r="L850" s="431" t="s">
        <v>241</v>
      </c>
      <c r="M850" s="431" t="s">
        <v>759</v>
      </c>
    </row>
    <row r="851" spans="1:13" x14ac:dyDescent="0.2">
      <c r="A851" s="431" t="s">
        <v>758</v>
      </c>
      <c r="B851" s="431">
        <v>1690151</v>
      </c>
      <c r="C851" s="431" t="s">
        <v>159</v>
      </c>
      <c r="D851" s="431" t="s">
        <v>160</v>
      </c>
      <c r="E851" s="431" t="s">
        <v>161</v>
      </c>
      <c r="F851" s="431" t="s">
        <v>440</v>
      </c>
      <c r="G851" s="431" t="s">
        <v>175</v>
      </c>
      <c r="H851" s="431"/>
      <c r="I851" s="431"/>
      <c r="J851" s="431"/>
      <c r="K851" s="431"/>
      <c r="L851" s="431" t="s">
        <v>241</v>
      </c>
      <c r="M851" s="431" t="s">
        <v>759</v>
      </c>
    </row>
    <row r="852" spans="1:13" x14ac:dyDescent="0.2">
      <c r="A852" s="431" t="s">
        <v>760</v>
      </c>
      <c r="B852" s="431">
        <v>1690158</v>
      </c>
      <c r="C852" s="431" t="s">
        <v>159</v>
      </c>
      <c r="D852" s="431" t="s">
        <v>160</v>
      </c>
      <c r="E852" s="431" t="s">
        <v>161</v>
      </c>
      <c r="F852" s="431" t="s">
        <v>442</v>
      </c>
      <c r="G852" s="431" t="s">
        <v>175</v>
      </c>
      <c r="H852" s="431"/>
      <c r="I852" s="431"/>
      <c r="J852" s="431"/>
      <c r="K852" s="431"/>
      <c r="L852" s="431" t="s">
        <v>473</v>
      </c>
      <c r="M852" s="431" t="s">
        <v>761</v>
      </c>
    </row>
    <row r="853" spans="1:13" x14ac:dyDescent="0.2">
      <c r="A853" s="431" t="s">
        <v>762</v>
      </c>
      <c r="B853" s="431">
        <v>1690037</v>
      </c>
      <c r="C853" s="431" t="s">
        <v>159</v>
      </c>
      <c r="D853" s="431" t="s">
        <v>160</v>
      </c>
      <c r="E853" s="431" t="s">
        <v>161</v>
      </c>
      <c r="F853" s="431" t="s">
        <v>442</v>
      </c>
      <c r="G853" s="431" t="s">
        <v>175</v>
      </c>
      <c r="H853" s="431"/>
      <c r="I853" s="431"/>
      <c r="J853" s="431"/>
      <c r="K853" s="431"/>
      <c r="L853" s="431" t="s">
        <v>473</v>
      </c>
      <c r="M853" s="431" t="s">
        <v>763</v>
      </c>
    </row>
    <row r="854" spans="1:13" ht="409.5" x14ac:dyDescent="0.2">
      <c r="A854" s="431" t="s">
        <v>764</v>
      </c>
      <c r="B854" s="431">
        <v>1690083</v>
      </c>
      <c r="C854" s="431" t="s">
        <v>159</v>
      </c>
      <c r="D854" s="431" t="s">
        <v>160</v>
      </c>
      <c r="E854" s="431" t="s">
        <v>161</v>
      </c>
      <c r="F854" s="431" t="s">
        <v>765</v>
      </c>
      <c r="G854" s="431" t="s">
        <v>175</v>
      </c>
      <c r="H854" s="431"/>
      <c r="I854" s="431"/>
      <c r="J854" s="431"/>
      <c r="K854" s="431"/>
      <c r="L854" s="431" t="s">
        <v>766</v>
      </c>
      <c r="M854" s="432" t="s">
        <v>767</v>
      </c>
    </row>
    <row r="855" spans="1:13" ht="409.5" x14ac:dyDescent="0.2">
      <c r="A855" s="431" t="s">
        <v>764</v>
      </c>
      <c r="B855" s="431">
        <v>1690083</v>
      </c>
      <c r="C855" s="431" t="s">
        <v>159</v>
      </c>
      <c r="D855" s="431" t="s">
        <v>160</v>
      </c>
      <c r="E855" s="431" t="s">
        <v>161</v>
      </c>
      <c r="F855" s="431" t="s">
        <v>768</v>
      </c>
      <c r="G855" s="431" t="s">
        <v>175</v>
      </c>
      <c r="H855" s="431"/>
      <c r="I855" s="431"/>
      <c r="J855" s="431"/>
      <c r="K855" s="431"/>
      <c r="L855" s="431" t="s">
        <v>766</v>
      </c>
      <c r="M855" s="432" t="s">
        <v>767</v>
      </c>
    </row>
    <row r="856" spans="1:13" ht="409.5" x14ac:dyDescent="0.2">
      <c r="A856" s="431" t="s">
        <v>764</v>
      </c>
      <c r="B856" s="431">
        <v>1690083</v>
      </c>
      <c r="C856" s="431" t="s">
        <v>159</v>
      </c>
      <c r="D856" s="431" t="s">
        <v>160</v>
      </c>
      <c r="E856" s="431" t="s">
        <v>161</v>
      </c>
      <c r="F856" s="431" t="s">
        <v>769</v>
      </c>
      <c r="G856" s="431" t="s">
        <v>175</v>
      </c>
      <c r="H856" s="431"/>
      <c r="I856" s="431"/>
      <c r="J856" s="431"/>
      <c r="K856" s="431"/>
      <c r="L856" s="431" t="s">
        <v>766</v>
      </c>
      <c r="M856" s="432" t="s">
        <v>767</v>
      </c>
    </row>
    <row r="857" spans="1:13" ht="409.5" x14ac:dyDescent="0.2">
      <c r="A857" s="431" t="s">
        <v>764</v>
      </c>
      <c r="B857" s="431">
        <v>1690083</v>
      </c>
      <c r="C857" s="431" t="s">
        <v>159</v>
      </c>
      <c r="D857" s="431" t="s">
        <v>160</v>
      </c>
      <c r="E857" s="431" t="s">
        <v>161</v>
      </c>
      <c r="F857" s="431" t="s">
        <v>770</v>
      </c>
      <c r="G857" s="431" t="s">
        <v>175</v>
      </c>
      <c r="H857" s="431"/>
      <c r="I857" s="431"/>
      <c r="J857" s="431"/>
      <c r="K857" s="431"/>
      <c r="L857" s="431" t="s">
        <v>766</v>
      </c>
      <c r="M857" s="432" t="s">
        <v>767</v>
      </c>
    </row>
    <row r="858" spans="1:13" x14ac:dyDescent="0.2">
      <c r="A858" s="431" t="s">
        <v>771</v>
      </c>
      <c r="B858" s="431">
        <v>1690018</v>
      </c>
      <c r="C858" s="431" t="s">
        <v>159</v>
      </c>
      <c r="D858" s="431" t="s">
        <v>160</v>
      </c>
      <c r="E858" s="431" t="s">
        <v>161</v>
      </c>
      <c r="F858" s="431" t="s">
        <v>768</v>
      </c>
      <c r="G858" s="431" t="s">
        <v>175</v>
      </c>
      <c r="H858" s="431"/>
      <c r="I858" s="431"/>
      <c r="J858" s="431"/>
      <c r="K858" s="431"/>
      <c r="L858" s="431" t="s">
        <v>721</v>
      </c>
      <c r="M858" s="431" t="s">
        <v>772</v>
      </c>
    </row>
    <row r="859" spans="1:13" x14ac:dyDescent="0.2">
      <c r="A859" s="431" t="s">
        <v>773</v>
      </c>
      <c r="B859" s="431">
        <v>1690015</v>
      </c>
      <c r="C859" s="431" t="s">
        <v>159</v>
      </c>
      <c r="D859" s="431" t="s">
        <v>160</v>
      </c>
      <c r="E859" s="431" t="s">
        <v>161</v>
      </c>
      <c r="F859" s="431" t="s">
        <v>765</v>
      </c>
      <c r="G859" s="431" t="s">
        <v>175</v>
      </c>
      <c r="H859" s="431"/>
      <c r="I859" s="431"/>
      <c r="J859" s="431"/>
      <c r="K859" s="431"/>
      <c r="L859" s="431" t="s">
        <v>721</v>
      </c>
      <c r="M859" s="431" t="s">
        <v>714</v>
      </c>
    </row>
    <row r="860" spans="1:13" x14ac:dyDescent="0.2">
      <c r="A860" s="431" t="s">
        <v>774</v>
      </c>
      <c r="B860" s="431">
        <v>1690209</v>
      </c>
      <c r="C860" s="431" t="s">
        <v>159</v>
      </c>
      <c r="D860" s="431" t="s">
        <v>160</v>
      </c>
      <c r="E860" s="431" t="s">
        <v>161</v>
      </c>
      <c r="F860" s="431" t="s">
        <v>769</v>
      </c>
      <c r="G860" s="431" t="s">
        <v>175</v>
      </c>
      <c r="H860" s="431"/>
      <c r="I860" s="431"/>
      <c r="J860" s="431"/>
      <c r="K860" s="431"/>
      <c r="L860" s="431" t="s">
        <v>176</v>
      </c>
      <c r="M860" s="431" t="s">
        <v>775</v>
      </c>
    </row>
    <row r="861" spans="1:13" x14ac:dyDescent="0.2">
      <c r="A861" s="431" t="s">
        <v>774</v>
      </c>
      <c r="B861" s="431">
        <v>1690209</v>
      </c>
      <c r="C861" s="431" t="s">
        <v>159</v>
      </c>
      <c r="D861" s="431" t="s">
        <v>160</v>
      </c>
      <c r="E861" s="431" t="s">
        <v>161</v>
      </c>
      <c r="F861" s="431" t="s">
        <v>776</v>
      </c>
      <c r="G861" s="431" t="s">
        <v>175</v>
      </c>
      <c r="H861" s="431"/>
      <c r="I861" s="431"/>
      <c r="J861" s="431"/>
      <c r="K861" s="431"/>
      <c r="L861" s="431" t="s">
        <v>176</v>
      </c>
      <c r="M861" s="431" t="s">
        <v>775</v>
      </c>
    </row>
    <row r="862" spans="1:13" x14ac:dyDescent="0.2">
      <c r="A862" s="431" t="s">
        <v>774</v>
      </c>
      <c r="B862" s="431">
        <v>1690209</v>
      </c>
      <c r="C862" s="431" t="s">
        <v>159</v>
      </c>
      <c r="D862" s="431" t="s">
        <v>160</v>
      </c>
      <c r="E862" s="431" t="s">
        <v>161</v>
      </c>
      <c r="F862" s="431" t="s">
        <v>776</v>
      </c>
      <c r="G862" s="431" t="s">
        <v>175</v>
      </c>
      <c r="H862" s="431"/>
      <c r="I862" s="431"/>
      <c r="J862" s="431"/>
      <c r="K862" s="431"/>
      <c r="L862" s="431" t="s">
        <v>176</v>
      </c>
      <c r="M862" s="431" t="s">
        <v>775</v>
      </c>
    </row>
    <row r="863" spans="1:13" x14ac:dyDescent="0.2">
      <c r="A863" s="431" t="s">
        <v>774</v>
      </c>
      <c r="B863" s="431">
        <v>1690209</v>
      </c>
      <c r="C863" s="431" t="s">
        <v>159</v>
      </c>
      <c r="D863" s="431" t="s">
        <v>160</v>
      </c>
      <c r="E863" s="431" t="s">
        <v>161</v>
      </c>
      <c r="F863" s="431" t="s">
        <v>776</v>
      </c>
      <c r="G863" s="431" t="s">
        <v>175</v>
      </c>
      <c r="H863" s="431"/>
      <c r="I863" s="431"/>
      <c r="J863" s="431"/>
      <c r="K863" s="431"/>
      <c r="L863" s="431" t="s">
        <v>176</v>
      </c>
      <c r="M863" s="431" t="s">
        <v>775</v>
      </c>
    </row>
    <row r="864" spans="1:13" x14ac:dyDescent="0.2">
      <c r="A864" s="431" t="s">
        <v>774</v>
      </c>
      <c r="B864" s="431">
        <v>1690209</v>
      </c>
      <c r="C864" s="431" t="s">
        <v>159</v>
      </c>
      <c r="D864" s="431" t="s">
        <v>160</v>
      </c>
      <c r="E864" s="431" t="s">
        <v>161</v>
      </c>
      <c r="F864" s="431" t="s">
        <v>776</v>
      </c>
      <c r="G864" s="431" t="s">
        <v>175</v>
      </c>
      <c r="H864" s="431"/>
      <c r="I864" s="431"/>
      <c r="J864" s="431"/>
      <c r="K864" s="431"/>
      <c r="L864" s="431" t="s">
        <v>176</v>
      </c>
      <c r="M864" s="431" t="s">
        <v>775</v>
      </c>
    </row>
    <row r="865" spans="1:13" x14ac:dyDescent="0.2">
      <c r="A865" s="431" t="s">
        <v>774</v>
      </c>
      <c r="B865" s="431">
        <v>1690209</v>
      </c>
      <c r="C865" s="431" t="s">
        <v>159</v>
      </c>
      <c r="D865" s="431" t="s">
        <v>160</v>
      </c>
      <c r="E865" s="431" t="s">
        <v>161</v>
      </c>
      <c r="F865" s="431" t="s">
        <v>776</v>
      </c>
      <c r="G865" s="431" t="s">
        <v>175</v>
      </c>
      <c r="H865" s="431"/>
      <c r="I865" s="431"/>
      <c r="J865" s="431"/>
      <c r="K865" s="431"/>
      <c r="L865" s="431" t="s">
        <v>176</v>
      </c>
      <c r="M865" s="431" t="s">
        <v>775</v>
      </c>
    </row>
    <row r="866" spans="1:13" x14ac:dyDescent="0.2">
      <c r="A866" s="431" t="s">
        <v>774</v>
      </c>
      <c r="B866" s="431">
        <v>1690209</v>
      </c>
      <c r="C866" s="431" t="s">
        <v>159</v>
      </c>
      <c r="D866" s="431" t="s">
        <v>160</v>
      </c>
      <c r="E866" s="431" t="s">
        <v>161</v>
      </c>
      <c r="F866" s="431" t="s">
        <v>776</v>
      </c>
      <c r="G866" s="431" t="s">
        <v>175</v>
      </c>
      <c r="H866" s="431"/>
      <c r="I866" s="431"/>
      <c r="J866" s="431"/>
      <c r="K866" s="431"/>
      <c r="L866" s="431" t="s">
        <v>176</v>
      </c>
      <c r="M866" s="431" t="s">
        <v>775</v>
      </c>
    </row>
    <row r="867" spans="1:13" x14ac:dyDescent="0.2">
      <c r="A867" s="431" t="s">
        <v>774</v>
      </c>
      <c r="B867" s="431">
        <v>1690209</v>
      </c>
      <c r="C867" s="431" t="s">
        <v>159</v>
      </c>
      <c r="D867" s="431" t="s">
        <v>160</v>
      </c>
      <c r="E867" s="431" t="s">
        <v>161</v>
      </c>
      <c r="F867" s="431" t="s">
        <v>776</v>
      </c>
      <c r="G867" s="431" t="s">
        <v>175</v>
      </c>
      <c r="H867" s="431"/>
      <c r="I867" s="431"/>
      <c r="J867" s="431"/>
      <c r="K867" s="431"/>
      <c r="L867" s="431" t="s">
        <v>176</v>
      </c>
      <c r="M867" s="431" t="s">
        <v>775</v>
      </c>
    </row>
    <row r="868" spans="1:13" x14ac:dyDescent="0.2">
      <c r="A868" s="431" t="s">
        <v>774</v>
      </c>
      <c r="B868" s="431">
        <v>1690209</v>
      </c>
      <c r="C868" s="431" t="s">
        <v>159</v>
      </c>
      <c r="D868" s="431" t="s">
        <v>160</v>
      </c>
      <c r="E868" s="431" t="s">
        <v>161</v>
      </c>
      <c r="F868" s="431" t="s">
        <v>776</v>
      </c>
      <c r="G868" s="431" t="s">
        <v>175</v>
      </c>
      <c r="H868" s="431"/>
      <c r="I868" s="431"/>
      <c r="J868" s="431"/>
      <c r="K868" s="431"/>
      <c r="L868" s="431" t="s">
        <v>176</v>
      </c>
      <c r="M868" s="431" t="s">
        <v>775</v>
      </c>
    </row>
    <row r="869" spans="1:13" x14ac:dyDescent="0.2">
      <c r="A869" s="431" t="s">
        <v>774</v>
      </c>
      <c r="B869" s="431">
        <v>1690209</v>
      </c>
      <c r="C869" s="431" t="s">
        <v>159</v>
      </c>
      <c r="D869" s="431" t="s">
        <v>160</v>
      </c>
      <c r="E869" s="431" t="s">
        <v>161</v>
      </c>
      <c r="F869" s="431" t="s">
        <v>776</v>
      </c>
      <c r="G869" s="431" t="s">
        <v>175</v>
      </c>
      <c r="H869" s="431"/>
      <c r="I869" s="431"/>
      <c r="J869" s="431"/>
      <c r="K869" s="431"/>
      <c r="L869" s="431" t="s">
        <v>176</v>
      </c>
      <c r="M869" s="431" t="s">
        <v>775</v>
      </c>
    </row>
    <row r="870" spans="1:13" x14ac:dyDescent="0.2">
      <c r="A870" s="431" t="s">
        <v>774</v>
      </c>
      <c r="B870" s="431">
        <v>1690209</v>
      </c>
      <c r="C870" s="431" t="s">
        <v>159</v>
      </c>
      <c r="D870" s="431" t="s">
        <v>160</v>
      </c>
      <c r="E870" s="431" t="s">
        <v>161</v>
      </c>
      <c r="F870" s="431" t="s">
        <v>776</v>
      </c>
      <c r="G870" s="431" t="s">
        <v>175</v>
      </c>
      <c r="H870" s="431"/>
      <c r="I870" s="431"/>
      <c r="J870" s="431"/>
      <c r="K870" s="431"/>
      <c r="L870" s="431" t="s">
        <v>176</v>
      </c>
      <c r="M870" s="431" t="s">
        <v>775</v>
      </c>
    </row>
    <row r="871" spans="1:13" x14ac:dyDescent="0.2">
      <c r="A871" s="431" t="s">
        <v>774</v>
      </c>
      <c r="B871" s="431">
        <v>1690209</v>
      </c>
      <c r="C871" s="431" t="s">
        <v>159</v>
      </c>
      <c r="D871" s="431" t="s">
        <v>160</v>
      </c>
      <c r="E871" s="431" t="s">
        <v>161</v>
      </c>
      <c r="F871" s="431" t="s">
        <v>776</v>
      </c>
      <c r="G871" s="431" t="s">
        <v>175</v>
      </c>
      <c r="H871" s="431"/>
      <c r="I871" s="431"/>
      <c r="J871" s="431"/>
      <c r="K871" s="431"/>
      <c r="L871" s="431" t="s">
        <v>176</v>
      </c>
      <c r="M871" s="431" t="s">
        <v>775</v>
      </c>
    </row>
    <row r="872" spans="1:13" x14ac:dyDescent="0.2">
      <c r="A872" s="431" t="s">
        <v>774</v>
      </c>
      <c r="B872" s="431">
        <v>1690209</v>
      </c>
      <c r="C872" s="431" t="s">
        <v>159</v>
      </c>
      <c r="D872" s="431" t="s">
        <v>160</v>
      </c>
      <c r="E872" s="431" t="s">
        <v>161</v>
      </c>
      <c r="F872" s="431" t="s">
        <v>776</v>
      </c>
      <c r="G872" s="431" t="s">
        <v>175</v>
      </c>
      <c r="H872" s="431"/>
      <c r="I872" s="431"/>
      <c r="J872" s="431"/>
      <c r="K872" s="431"/>
      <c r="L872" s="431" t="s">
        <v>176</v>
      </c>
      <c r="M872" s="431" t="s">
        <v>775</v>
      </c>
    </row>
    <row r="873" spans="1:13" x14ac:dyDescent="0.2">
      <c r="A873" s="431" t="s">
        <v>774</v>
      </c>
      <c r="B873" s="431">
        <v>1690209</v>
      </c>
      <c r="C873" s="431" t="s">
        <v>159</v>
      </c>
      <c r="D873" s="431" t="s">
        <v>160</v>
      </c>
      <c r="E873" s="431" t="s">
        <v>161</v>
      </c>
      <c r="F873" s="431" t="s">
        <v>776</v>
      </c>
      <c r="G873" s="431" t="s">
        <v>175</v>
      </c>
      <c r="H873" s="431"/>
      <c r="I873" s="431"/>
      <c r="J873" s="431"/>
      <c r="K873" s="431"/>
      <c r="L873" s="431" t="s">
        <v>176</v>
      </c>
      <c r="M873" s="431" t="s">
        <v>775</v>
      </c>
    </row>
    <row r="874" spans="1:13" x14ac:dyDescent="0.2">
      <c r="A874" s="431" t="s">
        <v>774</v>
      </c>
      <c r="B874" s="431">
        <v>1690209</v>
      </c>
      <c r="C874" s="431" t="s">
        <v>159</v>
      </c>
      <c r="D874" s="431" t="s">
        <v>160</v>
      </c>
      <c r="E874" s="431" t="s">
        <v>161</v>
      </c>
      <c r="F874" s="431" t="s">
        <v>776</v>
      </c>
      <c r="G874" s="431" t="s">
        <v>175</v>
      </c>
      <c r="H874" s="431"/>
      <c r="I874" s="431"/>
      <c r="J874" s="431"/>
      <c r="K874" s="431"/>
      <c r="L874" s="431" t="s">
        <v>176</v>
      </c>
      <c r="M874" s="431" t="s">
        <v>775</v>
      </c>
    </row>
    <row r="875" spans="1:13" x14ac:dyDescent="0.2">
      <c r="A875" s="431" t="s">
        <v>774</v>
      </c>
      <c r="B875" s="431">
        <v>1690209</v>
      </c>
      <c r="C875" s="431" t="s">
        <v>159</v>
      </c>
      <c r="D875" s="431" t="s">
        <v>160</v>
      </c>
      <c r="E875" s="431" t="s">
        <v>161</v>
      </c>
      <c r="F875" s="431" t="s">
        <v>776</v>
      </c>
      <c r="G875" s="431" t="s">
        <v>175</v>
      </c>
      <c r="H875" s="431"/>
      <c r="I875" s="431"/>
      <c r="J875" s="431"/>
      <c r="K875" s="431"/>
      <c r="L875" s="431" t="s">
        <v>176</v>
      </c>
      <c r="M875" s="431" t="s">
        <v>775</v>
      </c>
    </row>
    <row r="876" spans="1:13" x14ac:dyDescent="0.2">
      <c r="A876" s="431" t="s">
        <v>774</v>
      </c>
      <c r="B876" s="431">
        <v>1690209</v>
      </c>
      <c r="C876" s="431" t="s">
        <v>159</v>
      </c>
      <c r="D876" s="431" t="s">
        <v>160</v>
      </c>
      <c r="E876" s="431" t="s">
        <v>161</v>
      </c>
      <c r="F876" s="431" t="s">
        <v>776</v>
      </c>
      <c r="G876" s="431" t="s">
        <v>175</v>
      </c>
      <c r="H876" s="431"/>
      <c r="I876" s="431"/>
      <c r="J876" s="431"/>
      <c r="K876" s="431"/>
      <c r="L876" s="431" t="s">
        <v>176</v>
      </c>
      <c r="M876" s="431" t="s">
        <v>775</v>
      </c>
    </row>
    <row r="877" spans="1:13" x14ac:dyDescent="0.2">
      <c r="A877" s="431" t="s">
        <v>774</v>
      </c>
      <c r="B877" s="431">
        <v>1690209</v>
      </c>
      <c r="C877" s="431" t="s">
        <v>159</v>
      </c>
      <c r="D877" s="431" t="s">
        <v>160</v>
      </c>
      <c r="E877" s="431" t="s">
        <v>161</v>
      </c>
      <c r="F877" s="431" t="s">
        <v>776</v>
      </c>
      <c r="G877" s="431" t="s">
        <v>175</v>
      </c>
      <c r="H877" s="431"/>
      <c r="I877" s="431"/>
      <c r="J877" s="431"/>
      <c r="K877" s="431"/>
      <c r="L877" s="431" t="s">
        <v>176</v>
      </c>
      <c r="M877" s="431" t="s">
        <v>775</v>
      </c>
    </row>
    <row r="878" spans="1:13" x14ac:dyDescent="0.2">
      <c r="A878" s="431" t="s">
        <v>774</v>
      </c>
      <c r="B878" s="431">
        <v>1690209</v>
      </c>
      <c r="C878" s="431" t="s">
        <v>159</v>
      </c>
      <c r="D878" s="431" t="s">
        <v>160</v>
      </c>
      <c r="E878" s="431" t="s">
        <v>161</v>
      </c>
      <c r="F878" s="431" t="s">
        <v>776</v>
      </c>
      <c r="G878" s="431" t="s">
        <v>175</v>
      </c>
      <c r="H878" s="431"/>
      <c r="I878" s="431"/>
      <c r="J878" s="431"/>
      <c r="K878" s="431"/>
      <c r="L878" s="431" t="s">
        <v>176</v>
      </c>
      <c r="M878" s="431" t="s">
        <v>775</v>
      </c>
    </row>
    <row r="879" spans="1:13" x14ac:dyDescent="0.2">
      <c r="A879" s="431" t="s">
        <v>774</v>
      </c>
      <c r="B879" s="431">
        <v>1690209</v>
      </c>
      <c r="C879" s="431" t="s">
        <v>159</v>
      </c>
      <c r="D879" s="431" t="s">
        <v>160</v>
      </c>
      <c r="E879" s="431" t="s">
        <v>161</v>
      </c>
      <c r="F879" s="431" t="s">
        <v>776</v>
      </c>
      <c r="G879" s="431" t="s">
        <v>175</v>
      </c>
      <c r="H879" s="431"/>
      <c r="I879" s="431"/>
      <c r="J879" s="431"/>
      <c r="K879" s="431"/>
      <c r="L879" s="431" t="s">
        <v>176</v>
      </c>
      <c r="M879" s="431" t="s">
        <v>775</v>
      </c>
    </row>
    <row r="880" spans="1:13" x14ac:dyDescent="0.2">
      <c r="A880" s="431" t="s">
        <v>774</v>
      </c>
      <c r="B880" s="431">
        <v>1690209</v>
      </c>
      <c r="C880" s="431" t="s">
        <v>159</v>
      </c>
      <c r="D880" s="431" t="s">
        <v>160</v>
      </c>
      <c r="E880" s="431" t="s">
        <v>161</v>
      </c>
      <c r="F880" s="431" t="s">
        <v>776</v>
      </c>
      <c r="G880" s="431" t="s">
        <v>175</v>
      </c>
      <c r="H880" s="431"/>
      <c r="I880" s="431"/>
      <c r="J880" s="431"/>
      <c r="K880" s="431"/>
      <c r="L880" s="431" t="s">
        <v>176</v>
      </c>
      <c r="M880" s="431" t="s">
        <v>775</v>
      </c>
    </row>
    <row r="881" spans="1:13" x14ac:dyDescent="0.2">
      <c r="A881" s="431" t="s">
        <v>774</v>
      </c>
      <c r="B881" s="431">
        <v>1690209</v>
      </c>
      <c r="C881" s="431" t="s">
        <v>159</v>
      </c>
      <c r="D881" s="431" t="s">
        <v>160</v>
      </c>
      <c r="E881" s="431" t="s">
        <v>161</v>
      </c>
      <c r="F881" s="431" t="s">
        <v>776</v>
      </c>
      <c r="G881" s="431" t="s">
        <v>175</v>
      </c>
      <c r="H881" s="431"/>
      <c r="I881" s="431"/>
      <c r="J881" s="431"/>
      <c r="K881" s="431"/>
      <c r="L881" s="431" t="s">
        <v>176</v>
      </c>
      <c r="M881" s="431" t="s">
        <v>775</v>
      </c>
    </row>
    <row r="882" spans="1:13" x14ac:dyDescent="0.2">
      <c r="A882" s="431" t="s">
        <v>774</v>
      </c>
      <c r="B882" s="431">
        <v>1690209</v>
      </c>
      <c r="C882" s="431" t="s">
        <v>159</v>
      </c>
      <c r="D882" s="431" t="s">
        <v>160</v>
      </c>
      <c r="E882" s="431" t="s">
        <v>161</v>
      </c>
      <c r="F882" s="431" t="s">
        <v>776</v>
      </c>
      <c r="G882" s="431" t="s">
        <v>175</v>
      </c>
      <c r="H882" s="431"/>
      <c r="I882" s="431"/>
      <c r="J882" s="431"/>
      <c r="K882" s="431"/>
      <c r="L882" s="431" t="s">
        <v>176</v>
      </c>
      <c r="M882" s="431" t="s">
        <v>775</v>
      </c>
    </row>
    <row r="883" spans="1:13" x14ac:dyDescent="0.2">
      <c r="A883" s="431" t="s">
        <v>774</v>
      </c>
      <c r="B883" s="431">
        <v>1690209</v>
      </c>
      <c r="C883" s="431" t="s">
        <v>159</v>
      </c>
      <c r="D883" s="431" t="s">
        <v>160</v>
      </c>
      <c r="E883" s="431" t="s">
        <v>161</v>
      </c>
      <c r="F883" s="431" t="s">
        <v>776</v>
      </c>
      <c r="G883" s="431" t="s">
        <v>175</v>
      </c>
      <c r="H883" s="431"/>
      <c r="I883" s="431"/>
      <c r="J883" s="431"/>
      <c r="K883" s="431"/>
      <c r="L883" s="431" t="s">
        <v>176</v>
      </c>
      <c r="M883" s="431" t="s">
        <v>775</v>
      </c>
    </row>
    <row r="884" spans="1:13" x14ac:dyDescent="0.2">
      <c r="A884" s="431" t="s">
        <v>774</v>
      </c>
      <c r="B884" s="431">
        <v>1690209</v>
      </c>
      <c r="C884" s="431" t="s">
        <v>159</v>
      </c>
      <c r="D884" s="431" t="s">
        <v>160</v>
      </c>
      <c r="E884" s="431" t="s">
        <v>161</v>
      </c>
      <c r="F884" s="431" t="s">
        <v>776</v>
      </c>
      <c r="G884" s="431" t="s">
        <v>175</v>
      </c>
      <c r="H884" s="431"/>
      <c r="I884" s="431"/>
      <c r="J884" s="431"/>
      <c r="K884" s="431"/>
      <c r="L884" s="431" t="s">
        <v>176</v>
      </c>
      <c r="M884" s="431" t="s">
        <v>775</v>
      </c>
    </row>
    <row r="885" spans="1:13" x14ac:dyDescent="0.2">
      <c r="A885" s="431" t="s">
        <v>774</v>
      </c>
      <c r="B885" s="431">
        <v>1690209</v>
      </c>
      <c r="C885" s="431" t="s">
        <v>159</v>
      </c>
      <c r="D885" s="431" t="s">
        <v>160</v>
      </c>
      <c r="E885" s="431" t="s">
        <v>161</v>
      </c>
      <c r="F885" s="431" t="s">
        <v>776</v>
      </c>
      <c r="G885" s="431" t="s">
        <v>175</v>
      </c>
      <c r="H885" s="431"/>
      <c r="I885" s="431"/>
      <c r="J885" s="431"/>
      <c r="K885" s="431"/>
      <c r="L885" s="431" t="s">
        <v>176</v>
      </c>
      <c r="M885" s="431" t="s">
        <v>775</v>
      </c>
    </row>
    <row r="886" spans="1:13" x14ac:dyDescent="0.2">
      <c r="A886" s="431" t="s">
        <v>774</v>
      </c>
      <c r="B886" s="431">
        <v>1690209</v>
      </c>
      <c r="C886" s="431" t="s">
        <v>159</v>
      </c>
      <c r="D886" s="431" t="s">
        <v>160</v>
      </c>
      <c r="E886" s="431" t="s">
        <v>161</v>
      </c>
      <c r="F886" s="431" t="s">
        <v>776</v>
      </c>
      <c r="G886" s="431" t="s">
        <v>175</v>
      </c>
      <c r="H886" s="431"/>
      <c r="I886" s="431"/>
      <c r="J886" s="431"/>
      <c r="K886" s="431"/>
      <c r="L886" s="431" t="s">
        <v>176</v>
      </c>
      <c r="M886" s="431" t="s">
        <v>775</v>
      </c>
    </row>
    <row r="887" spans="1:13" x14ac:dyDescent="0.2">
      <c r="A887" s="431" t="s">
        <v>774</v>
      </c>
      <c r="B887" s="431">
        <v>1690209</v>
      </c>
      <c r="C887" s="431" t="s">
        <v>159</v>
      </c>
      <c r="D887" s="431" t="s">
        <v>160</v>
      </c>
      <c r="E887" s="431" t="s">
        <v>161</v>
      </c>
      <c r="F887" s="431" t="s">
        <v>776</v>
      </c>
      <c r="G887" s="431" t="s">
        <v>175</v>
      </c>
      <c r="H887" s="431"/>
      <c r="I887" s="431"/>
      <c r="J887" s="431"/>
      <c r="K887" s="431"/>
      <c r="L887" s="431" t="s">
        <v>176</v>
      </c>
      <c r="M887" s="431" t="s">
        <v>775</v>
      </c>
    </row>
    <row r="888" spans="1:13" x14ac:dyDescent="0.2">
      <c r="A888" s="431" t="s">
        <v>774</v>
      </c>
      <c r="B888" s="431">
        <v>1690209</v>
      </c>
      <c r="C888" s="431" t="s">
        <v>159</v>
      </c>
      <c r="D888" s="431" t="s">
        <v>160</v>
      </c>
      <c r="E888" s="431" t="s">
        <v>161</v>
      </c>
      <c r="F888" s="431" t="s">
        <v>776</v>
      </c>
      <c r="G888" s="431" t="s">
        <v>175</v>
      </c>
      <c r="H888" s="431"/>
      <c r="I888" s="431"/>
      <c r="J888" s="431"/>
      <c r="K888" s="431"/>
      <c r="L888" s="431" t="s">
        <v>176</v>
      </c>
      <c r="M888" s="431" t="s">
        <v>775</v>
      </c>
    </row>
    <row r="889" spans="1:13" x14ac:dyDescent="0.2">
      <c r="A889" s="431" t="s">
        <v>774</v>
      </c>
      <c r="B889" s="431">
        <v>1690209</v>
      </c>
      <c r="C889" s="431" t="s">
        <v>159</v>
      </c>
      <c r="D889" s="431" t="s">
        <v>160</v>
      </c>
      <c r="E889" s="431" t="s">
        <v>161</v>
      </c>
      <c r="F889" s="431" t="s">
        <v>776</v>
      </c>
      <c r="G889" s="431" t="s">
        <v>175</v>
      </c>
      <c r="H889" s="431"/>
      <c r="I889" s="431"/>
      <c r="J889" s="431"/>
      <c r="K889" s="431"/>
      <c r="L889" s="431" t="s">
        <v>176</v>
      </c>
      <c r="M889" s="431" t="s">
        <v>775</v>
      </c>
    </row>
    <row r="890" spans="1:13" x14ac:dyDescent="0.2">
      <c r="A890" s="431" t="s">
        <v>774</v>
      </c>
      <c r="B890" s="431">
        <v>1690209</v>
      </c>
      <c r="C890" s="431" t="s">
        <v>159</v>
      </c>
      <c r="D890" s="431" t="s">
        <v>160</v>
      </c>
      <c r="E890" s="431" t="s">
        <v>161</v>
      </c>
      <c r="F890" s="431" t="s">
        <v>776</v>
      </c>
      <c r="G890" s="431" t="s">
        <v>175</v>
      </c>
      <c r="H890" s="431"/>
      <c r="I890" s="431"/>
      <c r="J890" s="431"/>
      <c r="K890" s="431"/>
      <c r="L890" s="431" t="s">
        <v>176</v>
      </c>
      <c r="M890" s="431" t="s">
        <v>775</v>
      </c>
    </row>
    <row r="891" spans="1:13" x14ac:dyDescent="0.2">
      <c r="A891" s="431" t="s">
        <v>774</v>
      </c>
      <c r="B891" s="431">
        <v>1690209</v>
      </c>
      <c r="C891" s="431" t="s">
        <v>159</v>
      </c>
      <c r="D891" s="431" t="s">
        <v>160</v>
      </c>
      <c r="E891" s="431" t="s">
        <v>161</v>
      </c>
      <c r="F891" s="431" t="s">
        <v>776</v>
      </c>
      <c r="G891" s="431" t="s">
        <v>175</v>
      </c>
      <c r="H891" s="431"/>
      <c r="I891" s="431"/>
      <c r="J891" s="431"/>
      <c r="K891" s="431"/>
      <c r="L891" s="431" t="s">
        <v>176</v>
      </c>
      <c r="M891" s="431" t="s">
        <v>775</v>
      </c>
    </row>
    <row r="892" spans="1:13" x14ac:dyDescent="0.2">
      <c r="A892" s="431" t="s">
        <v>774</v>
      </c>
      <c r="B892" s="431">
        <v>1690209</v>
      </c>
      <c r="C892" s="431" t="s">
        <v>159</v>
      </c>
      <c r="D892" s="431" t="s">
        <v>160</v>
      </c>
      <c r="E892" s="431" t="s">
        <v>161</v>
      </c>
      <c r="F892" s="431" t="s">
        <v>776</v>
      </c>
      <c r="G892" s="431" t="s">
        <v>175</v>
      </c>
      <c r="H892" s="431"/>
      <c r="I892" s="431"/>
      <c r="J892" s="431"/>
      <c r="K892" s="431"/>
      <c r="L892" s="431" t="s">
        <v>176</v>
      </c>
      <c r="M892" s="431" t="s">
        <v>775</v>
      </c>
    </row>
    <row r="893" spans="1:13" x14ac:dyDescent="0.2">
      <c r="A893" s="431" t="s">
        <v>774</v>
      </c>
      <c r="B893" s="431">
        <v>1690209</v>
      </c>
      <c r="C893" s="431" t="s">
        <v>159</v>
      </c>
      <c r="D893" s="431" t="s">
        <v>160</v>
      </c>
      <c r="E893" s="431" t="s">
        <v>161</v>
      </c>
      <c r="F893" s="431" t="s">
        <v>776</v>
      </c>
      <c r="G893" s="431" t="s">
        <v>175</v>
      </c>
      <c r="H893" s="431"/>
      <c r="I893" s="431"/>
      <c r="J893" s="431"/>
      <c r="K893" s="431"/>
      <c r="L893" s="431" t="s">
        <v>176</v>
      </c>
      <c r="M893" s="431" t="s">
        <v>775</v>
      </c>
    </row>
    <row r="894" spans="1:13" x14ac:dyDescent="0.2">
      <c r="A894" s="431" t="s">
        <v>774</v>
      </c>
      <c r="B894" s="431">
        <v>1690209</v>
      </c>
      <c r="C894" s="431" t="s">
        <v>159</v>
      </c>
      <c r="D894" s="431" t="s">
        <v>160</v>
      </c>
      <c r="E894" s="431" t="s">
        <v>161</v>
      </c>
      <c r="F894" s="431" t="s">
        <v>776</v>
      </c>
      <c r="G894" s="431" t="s">
        <v>175</v>
      </c>
      <c r="H894" s="431"/>
      <c r="I894" s="431"/>
      <c r="J894" s="431"/>
      <c r="K894" s="431"/>
      <c r="L894" s="431" t="s">
        <v>176</v>
      </c>
      <c r="M894" s="431" t="s">
        <v>775</v>
      </c>
    </row>
    <row r="895" spans="1:13" x14ac:dyDescent="0.2">
      <c r="A895" s="431" t="s">
        <v>774</v>
      </c>
      <c r="B895" s="431">
        <v>1690209</v>
      </c>
      <c r="C895" s="431" t="s">
        <v>159</v>
      </c>
      <c r="D895" s="431" t="s">
        <v>160</v>
      </c>
      <c r="E895" s="431" t="s">
        <v>161</v>
      </c>
      <c r="F895" s="431" t="s">
        <v>776</v>
      </c>
      <c r="G895" s="431" t="s">
        <v>175</v>
      </c>
      <c r="H895" s="431"/>
      <c r="I895" s="431"/>
      <c r="J895" s="431"/>
      <c r="K895" s="431"/>
      <c r="L895" s="431" t="s">
        <v>176</v>
      </c>
      <c r="M895" s="431" t="s">
        <v>775</v>
      </c>
    </row>
    <row r="896" spans="1:13" x14ac:dyDescent="0.2">
      <c r="A896" s="431" t="s">
        <v>774</v>
      </c>
      <c r="B896" s="431">
        <v>1690209</v>
      </c>
      <c r="C896" s="431" t="s">
        <v>159</v>
      </c>
      <c r="D896" s="431" t="s">
        <v>160</v>
      </c>
      <c r="E896" s="431" t="s">
        <v>161</v>
      </c>
      <c r="F896" s="431" t="s">
        <v>776</v>
      </c>
      <c r="G896" s="431" t="s">
        <v>175</v>
      </c>
      <c r="H896" s="431"/>
      <c r="I896" s="431"/>
      <c r="J896" s="431"/>
      <c r="K896" s="431"/>
      <c r="L896" s="431" t="s">
        <v>176</v>
      </c>
      <c r="M896" s="431" t="s">
        <v>775</v>
      </c>
    </row>
    <row r="897" spans="1:13" x14ac:dyDescent="0.2">
      <c r="A897" s="431" t="s">
        <v>774</v>
      </c>
      <c r="B897" s="431">
        <v>1690209</v>
      </c>
      <c r="C897" s="431" t="s">
        <v>159</v>
      </c>
      <c r="D897" s="431" t="s">
        <v>160</v>
      </c>
      <c r="E897" s="431" t="s">
        <v>161</v>
      </c>
      <c r="F897" s="431" t="s">
        <v>776</v>
      </c>
      <c r="G897" s="431" t="s">
        <v>175</v>
      </c>
      <c r="H897" s="431"/>
      <c r="I897" s="431"/>
      <c r="J897" s="431"/>
      <c r="K897" s="431"/>
      <c r="L897" s="431" t="s">
        <v>176</v>
      </c>
      <c r="M897" s="431" t="s">
        <v>775</v>
      </c>
    </row>
    <row r="898" spans="1:13" x14ac:dyDescent="0.2">
      <c r="A898" s="431" t="s">
        <v>774</v>
      </c>
      <c r="B898" s="431">
        <v>1690209</v>
      </c>
      <c r="C898" s="431" t="s">
        <v>159</v>
      </c>
      <c r="D898" s="431" t="s">
        <v>160</v>
      </c>
      <c r="E898" s="431" t="s">
        <v>161</v>
      </c>
      <c r="F898" s="431" t="s">
        <v>776</v>
      </c>
      <c r="G898" s="431" t="s">
        <v>175</v>
      </c>
      <c r="H898" s="431"/>
      <c r="I898" s="431"/>
      <c r="J898" s="431"/>
      <c r="K898" s="431"/>
      <c r="L898" s="431" t="s">
        <v>176</v>
      </c>
      <c r="M898" s="431" t="s">
        <v>775</v>
      </c>
    </row>
    <row r="899" spans="1:13" x14ac:dyDescent="0.2">
      <c r="A899" s="431" t="s">
        <v>774</v>
      </c>
      <c r="B899" s="431">
        <v>1690209</v>
      </c>
      <c r="C899" s="431" t="s">
        <v>159</v>
      </c>
      <c r="D899" s="431" t="s">
        <v>160</v>
      </c>
      <c r="E899" s="431" t="s">
        <v>161</v>
      </c>
      <c r="F899" s="431" t="s">
        <v>776</v>
      </c>
      <c r="G899" s="431" t="s">
        <v>175</v>
      </c>
      <c r="H899" s="431"/>
      <c r="I899" s="431"/>
      <c r="J899" s="431"/>
      <c r="K899" s="431"/>
      <c r="L899" s="431" t="s">
        <v>176</v>
      </c>
      <c r="M899" s="431" t="s">
        <v>775</v>
      </c>
    </row>
    <row r="900" spans="1:13" x14ac:dyDescent="0.2">
      <c r="A900" s="431" t="s">
        <v>774</v>
      </c>
      <c r="B900" s="431">
        <v>1690209</v>
      </c>
      <c r="C900" s="431" t="s">
        <v>159</v>
      </c>
      <c r="D900" s="431" t="s">
        <v>160</v>
      </c>
      <c r="E900" s="431" t="s">
        <v>161</v>
      </c>
      <c r="F900" s="431" t="s">
        <v>776</v>
      </c>
      <c r="G900" s="431" t="s">
        <v>175</v>
      </c>
      <c r="H900" s="431"/>
      <c r="I900" s="431"/>
      <c r="J900" s="431"/>
      <c r="K900" s="431"/>
      <c r="L900" s="431" t="s">
        <v>176</v>
      </c>
      <c r="M900" s="431" t="s">
        <v>775</v>
      </c>
    </row>
    <row r="901" spans="1:13" x14ac:dyDescent="0.2">
      <c r="A901" s="431" t="s">
        <v>774</v>
      </c>
      <c r="B901" s="431">
        <v>1690209</v>
      </c>
      <c r="C901" s="431" t="s">
        <v>159</v>
      </c>
      <c r="D901" s="431" t="s">
        <v>160</v>
      </c>
      <c r="E901" s="431" t="s">
        <v>161</v>
      </c>
      <c r="F901" s="431" t="s">
        <v>776</v>
      </c>
      <c r="G901" s="431" t="s">
        <v>175</v>
      </c>
      <c r="H901" s="431"/>
      <c r="I901" s="431"/>
      <c r="J901" s="431"/>
      <c r="K901" s="431"/>
      <c r="L901" s="431" t="s">
        <v>176</v>
      </c>
      <c r="M901" s="431" t="s">
        <v>775</v>
      </c>
    </row>
    <row r="902" spans="1:13" x14ac:dyDescent="0.2">
      <c r="A902" s="431" t="s">
        <v>774</v>
      </c>
      <c r="B902" s="431">
        <v>1690209</v>
      </c>
      <c r="C902" s="431" t="s">
        <v>159</v>
      </c>
      <c r="D902" s="431" t="s">
        <v>160</v>
      </c>
      <c r="E902" s="431" t="s">
        <v>161</v>
      </c>
      <c r="F902" s="431" t="s">
        <v>776</v>
      </c>
      <c r="G902" s="431" t="s">
        <v>175</v>
      </c>
      <c r="H902" s="431"/>
      <c r="I902" s="431"/>
      <c r="J902" s="431"/>
      <c r="K902" s="431"/>
      <c r="L902" s="431" t="s">
        <v>176</v>
      </c>
      <c r="M902" s="431" t="s">
        <v>775</v>
      </c>
    </row>
    <row r="903" spans="1:13" x14ac:dyDescent="0.2">
      <c r="A903" s="431" t="s">
        <v>774</v>
      </c>
      <c r="B903" s="431">
        <v>1690209</v>
      </c>
      <c r="C903" s="431" t="s">
        <v>159</v>
      </c>
      <c r="D903" s="431" t="s">
        <v>160</v>
      </c>
      <c r="E903" s="431" t="s">
        <v>161</v>
      </c>
      <c r="F903" s="431" t="s">
        <v>776</v>
      </c>
      <c r="G903" s="431" t="s">
        <v>175</v>
      </c>
      <c r="H903" s="431"/>
      <c r="I903" s="431"/>
      <c r="J903" s="431"/>
      <c r="K903" s="431"/>
      <c r="L903" s="431" t="s">
        <v>176</v>
      </c>
      <c r="M903" s="431" t="s">
        <v>775</v>
      </c>
    </row>
    <row r="904" spans="1:13" x14ac:dyDescent="0.2">
      <c r="A904" s="431" t="s">
        <v>774</v>
      </c>
      <c r="B904" s="431">
        <v>1690209</v>
      </c>
      <c r="C904" s="431" t="s">
        <v>159</v>
      </c>
      <c r="D904" s="431" t="s">
        <v>160</v>
      </c>
      <c r="E904" s="431" t="s">
        <v>161</v>
      </c>
      <c r="F904" s="431" t="s">
        <v>776</v>
      </c>
      <c r="G904" s="431" t="s">
        <v>175</v>
      </c>
      <c r="H904" s="431"/>
      <c r="I904" s="431"/>
      <c r="J904" s="431"/>
      <c r="K904" s="431"/>
      <c r="L904" s="431" t="s">
        <v>176</v>
      </c>
      <c r="M904" s="431" t="s">
        <v>775</v>
      </c>
    </row>
    <row r="905" spans="1:13" x14ac:dyDescent="0.2">
      <c r="A905" s="431" t="s">
        <v>774</v>
      </c>
      <c r="B905" s="431">
        <v>1690209</v>
      </c>
      <c r="C905" s="431" t="s">
        <v>159</v>
      </c>
      <c r="D905" s="431" t="s">
        <v>160</v>
      </c>
      <c r="E905" s="431" t="s">
        <v>161</v>
      </c>
      <c r="F905" s="431" t="s">
        <v>776</v>
      </c>
      <c r="G905" s="431" t="s">
        <v>175</v>
      </c>
      <c r="H905" s="431"/>
      <c r="I905" s="431"/>
      <c r="J905" s="431"/>
      <c r="K905" s="431"/>
      <c r="L905" s="431" t="s">
        <v>176</v>
      </c>
      <c r="M905" s="431" t="s">
        <v>775</v>
      </c>
    </row>
    <row r="906" spans="1:13" x14ac:dyDescent="0.2">
      <c r="A906" s="431" t="s">
        <v>774</v>
      </c>
      <c r="B906" s="431">
        <v>1690209</v>
      </c>
      <c r="C906" s="431" t="s">
        <v>159</v>
      </c>
      <c r="D906" s="431" t="s">
        <v>160</v>
      </c>
      <c r="E906" s="431" t="s">
        <v>161</v>
      </c>
      <c r="F906" s="431" t="s">
        <v>776</v>
      </c>
      <c r="G906" s="431" t="s">
        <v>175</v>
      </c>
      <c r="H906" s="431"/>
      <c r="I906" s="431"/>
      <c r="J906" s="431"/>
      <c r="K906" s="431"/>
      <c r="L906" s="431" t="s">
        <v>176</v>
      </c>
      <c r="M906" s="431" t="s">
        <v>775</v>
      </c>
    </row>
    <row r="907" spans="1:13" x14ac:dyDescent="0.2">
      <c r="A907" s="431" t="s">
        <v>774</v>
      </c>
      <c r="B907" s="431">
        <v>1690209</v>
      </c>
      <c r="C907" s="431" t="s">
        <v>159</v>
      </c>
      <c r="D907" s="431" t="s">
        <v>160</v>
      </c>
      <c r="E907" s="431" t="s">
        <v>161</v>
      </c>
      <c r="F907" s="431" t="s">
        <v>776</v>
      </c>
      <c r="G907" s="431" t="s">
        <v>175</v>
      </c>
      <c r="H907" s="431"/>
      <c r="I907" s="431"/>
      <c r="J907" s="431"/>
      <c r="K907" s="431"/>
      <c r="L907" s="431" t="s">
        <v>176</v>
      </c>
      <c r="M907" s="431" t="s">
        <v>775</v>
      </c>
    </row>
    <row r="908" spans="1:13" x14ac:dyDescent="0.2">
      <c r="A908" s="431" t="s">
        <v>774</v>
      </c>
      <c r="B908" s="431">
        <v>1690209</v>
      </c>
      <c r="C908" s="431" t="s">
        <v>159</v>
      </c>
      <c r="D908" s="431" t="s">
        <v>160</v>
      </c>
      <c r="E908" s="431" t="s">
        <v>161</v>
      </c>
      <c r="F908" s="431" t="s">
        <v>776</v>
      </c>
      <c r="G908" s="431" t="s">
        <v>175</v>
      </c>
      <c r="H908" s="431"/>
      <c r="I908" s="431"/>
      <c r="J908" s="431"/>
      <c r="K908" s="431"/>
      <c r="L908" s="431" t="s">
        <v>176</v>
      </c>
      <c r="M908" s="431" t="s">
        <v>775</v>
      </c>
    </row>
    <row r="909" spans="1:13" x14ac:dyDescent="0.2">
      <c r="A909" s="431" t="s">
        <v>774</v>
      </c>
      <c r="B909" s="431">
        <v>1690209</v>
      </c>
      <c r="C909" s="431" t="s">
        <v>159</v>
      </c>
      <c r="D909" s="431" t="s">
        <v>160</v>
      </c>
      <c r="E909" s="431" t="s">
        <v>161</v>
      </c>
      <c r="F909" s="431" t="s">
        <v>776</v>
      </c>
      <c r="G909" s="431" t="s">
        <v>175</v>
      </c>
      <c r="H909" s="431"/>
      <c r="I909" s="431"/>
      <c r="J909" s="431"/>
      <c r="K909" s="431"/>
      <c r="L909" s="431" t="s">
        <v>176</v>
      </c>
      <c r="M909" s="431" t="s">
        <v>775</v>
      </c>
    </row>
    <row r="910" spans="1:13" x14ac:dyDescent="0.2">
      <c r="A910" s="431" t="s">
        <v>774</v>
      </c>
      <c r="B910" s="431">
        <v>1690209</v>
      </c>
      <c r="C910" s="431" t="s">
        <v>159</v>
      </c>
      <c r="D910" s="431" t="s">
        <v>160</v>
      </c>
      <c r="E910" s="431" t="s">
        <v>161</v>
      </c>
      <c r="F910" s="431" t="s">
        <v>776</v>
      </c>
      <c r="G910" s="431" t="s">
        <v>175</v>
      </c>
      <c r="H910" s="431"/>
      <c r="I910" s="431"/>
      <c r="J910" s="431"/>
      <c r="K910" s="431"/>
      <c r="L910" s="431" t="s">
        <v>176</v>
      </c>
      <c r="M910" s="431" t="s">
        <v>775</v>
      </c>
    </row>
    <row r="911" spans="1:13" x14ac:dyDescent="0.2">
      <c r="A911" s="431" t="s">
        <v>774</v>
      </c>
      <c r="B911" s="431">
        <v>1690209</v>
      </c>
      <c r="C911" s="431" t="s">
        <v>159</v>
      </c>
      <c r="D911" s="431" t="s">
        <v>160</v>
      </c>
      <c r="E911" s="431" t="s">
        <v>161</v>
      </c>
      <c r="F911" s="431" t="s">
        <v>776</v>
      </c>
      <c r="G911" s="431" t="s">
        <v>175</v>
      </c>
      <c r="H911" s="431"/>
      <c r="I911" s="431"/>
      <c r="J911" s="431"/>
      <c r="K911" s="431"/>
      <c r="L911" s="431" t="s">
        <v>176</v>
      </c>
      <c r="M911" s="431" t="s">
        <v>775</v>
      </c>
    </row>
    <row r="912" spans="1:13" x14ac:dyDescent="0.2">
      <c r="A912" s="431" t="s">
        <v>774</v>
      </c>
      <c r="B912" s="431">
        <v>1690209</v>
      </c>
      <c r="C912" s="431" t="s">
        <v>159</v>
      </c>
      <c r="D912" s="431" t="s">
        <v>160</v>
      </c>
      <c r="E912" s="431" t="s">
        <v>161</v>
      </c>
      <c r="F912" s="431" t="s">
        <v>776</v>
      </c>
      <c r="G912" s="431" t="s">
        <v>175</v>
      </c>
      <c r="H912" s="431"/>
      <c r="I912" s="431"/>
      <c r="J912" s="431"/>
      <c r="K912" s="431"/>
      <c r="L912" s="431" t="s">
        <v>176</v>
      </c>
      <c r="M912" s="431" t="s">
        <v>775</v>
      </c>
    </row>
    <row r="913" spans="1:13" x14ac:dyDescent="0.2">
      <c r="A913" s="431" t="s">
        <v>774</v>
      </c>
      <c r="B913" s="431">
        <v>1690209</v>
      </c>
      <c r="C913" s="431" t="s">
        <v>159</v>
      </c>
      <c r="D913" s="431" t="s">
        <v>160</v>
      </c>
      <c r="E913" s="431" t="s">
        <v>161</v>
      </c>
      <c r="F913" s="431" t="s">
        <v>776</v>
      </c>
      <c r="G913" s="431" t="s">
        <v>175</v>
      </c>
      <c r="H913" s="431"/>
      <c r="I913" s="431"/>
      <c r="J913" s="431"/>
      <c r="K913" s="431"/>
      <c r="L913" s="431" t="s">
        <v>176</v>
      </c>
      <c r="M913" s="431" t="s">
        <v>775</v>
      </c>
    </row>
    <row r="914" spans="1:13" x14ac:dyDescent="0.2">
      <c r="A914" s="431" t="s">
        <v>774</v>
      </c>
      <c r="B914" s="431">
        <v>1690209</v>
      </c>
      <c r="C914" s="431" t="s">
        <v>159</v>
      </c>
      <c r="D914" s="431" t="s">
        <v>160</v>
      </c>
      <c r="E914" s="431" t="s">
        <v>161</v>
      </c>
      <c r="F914" s="431" t="s">
        <v>776</v>
      </c>
      <c r="G914" s="431" t="s">
        <v>175</v>
      </c>
      <c r="H914" s="431"/>
      <c r="I914" s="431"/>
      <c r="J914" s="431"/>
      <c r="K914" s="431"/>
      <c r="L914" s="431" t="s">
        <v>176</v>
      </c>
      <c r="M914" s="431" t="s">
        <v>775</v>
      </c>
    </row>
    <row r="915" spans="1:13" x14ac:dyDescent="0.2">
      <c r="A915" s="431" t="s">
        <v>774</v>
      </c>
      <c r="B915" s="431">
        <v>1690209</v>
      </c>
      <c r="C915" s="431" t="s">
        <v>159</v>
      </c>
      <c r="D915" s="431" t="s">
        <v>160</v>
      </c>
      <c r="E915" s="431" t="s">
        <v>161</v>
      </c>
      <c r="F915" s="431" t="s">
        <v>776</v>
      </c>
      <c r="G915" s="431" t="s">
        <v>175</v>
      </c>
      <c r="H915" s="431"/>
      <c r="I915" s="431"/>
      <c r="J915" s="431"/>
      <c r="K915" s="431"/>
      <c r="L915" s="431" t="s">
        <v>176</v>
      </c>
      <c r="M915" s="431" t="s">
        <v>775</v>
      </c>
    </row>
    <row r="916" spans="1:13" x14ac:dyDescent="0.2">
      <c r="A916" s="431" t="s">
        <v>774</v>
      </c>
      <c r="B916" s="431">
        <v>1690209</v>
      </c>
      <c r="C916" s="431" t="s">
        <v>159</v>
      </c>
      <c r="D916" s="431" t="s">
        <v>160</v>
      </c>
      <c r="E916" s="431" t="s">
        <v>161</v>
      </c>
      <c r="F916" s="431" t="s">
        <v>776</v>
      </c>
      <c r="G916" s="431" t="s">
        <v>175</v>
      </c>
      <c r="H916" s="431"/>
      <c r="I916" s="431"/>
      <c r="J916" s="431"/>
      <c r="K916" s="431"/>
      <c r="L916" s="431" t="s">
        <v>176</v>
      </c>
      <c r="M916" s="431" t="s">
        <v>775</v>
      </c>
    </row>
    <row r="917" spans="1:13" x14ac:dyDescent="0.2">
      <c r="A917" s="431" t="s">
        <v>774</v>
      </c>
      <c r="B917" s="431">
        <v>1690209</v>
      </c>
      <c r="C917" s="431" t="s">
        <v>159</v>
      </c>
      <c r="D917" s="431" t="s">
        <v>160</v>
      </c>
      <c r="E917" s="431" t="s">
        <v>161</v>
      </c>
      <c r="F917" s="431" t="s">
        <v>776</v>
      </c>
      <c r="G917" s="431" t="s">
        <v>175</v>
      </c>
      <c r="H917" s="431"/>
      <c r="I917" s="431"/>
      <c r="J917" s="431"/>
      <c r="K917" s="431"/>
      <c r="L917" s="431" t="s">
        <v>176</v>
      </c>
      <c r="M917" s="431" t="s">
        <v>775</v>
      </c>
    </row>
    <row r="918" spans="1:13" x14ac:dyDescent="0.2">
      <c r="A918" s="431" t="s">
        <v>774</v>
      </c>
      <c r="B918" s="431">
        <v>1690209</v>
      </c>
      <c r="C918" s="431" t="s">
        <v>159</v>
      </c>
      <c r="D918" s="431" t="s">
        <v>160</v>
      </c>
      <c r="E918" s="431" t="s">
        <v>161</v>
      </c>
      <c r="F918" s="431" t="s">
        <v>776</v>
      </c>
      <c r="G918" s="431" t="s">
        <v>175</v>
      </c>
      <c r="H918" s="431"/>
      <c r="I918" s="431"/>
      <c r="J918" s="431"/>
      <c r="K918" s="431"/>
      <c r="L918" s="431" t="s">
        <v>176</v>
      </c>
      <c r="M918" s="431" t="s">
        <v>775</v>
      </c>
    </row>
    <row r="919" spans="1:13" x14ac:dyDescent="0.2">
      <c r="A919" s="431" t="s">
        <v>774</v>
      </c>
      <c r="B919" s="431">
        <v>1690209</v>
      </c>
      <c r="C919" s="431" t="s">
        <v>159</v>
      </c>
      <c r="D919" s="431" t="s">
        <v>160</v>
      </c>
      <c r="E919" s="431" t="s">
        <v>161</v>
      </c>
      <c r="F919" s="431" t="s">
        <v>776</v>
      </c>
      <c r="G919" s="431" t="s">
        <v>175</v>
      </c>
      <c r="H919" s="431"/>
      <c r="I919" s="431"/>
      <c r="J919" s="431"/>
      <c r="K919" s="431"/>
      <c r="L919" s="431" t="s">
        <v>176</v>
      </c>
      <c r="M919" s="431" t="s">
        <v>775</v>
      </c>
    </row>
    <row r="920" spans="1:13" x14ac:dyDescent="0.2">
      <c r="A920" s="431" t="s">
        <v>774</v>
      </c>
      <c r="B920" s="431">
        <v>1690209</v>
      </c>
      <c r="C920" s="431" t="s">
        <v>159</v>
      </c>
      <c r="D920" s="431" t="s">
        <v>160</v>
      </c>
      <c r="E920" s="431" t="s">
        <v>161</v>
      </c>
      <c r="F920" s="431" t="s">
        <v>776</v>
      </c>
      <c r="G920" s="431" t="s">
        <v>175</v>
      </c>
      <c r="H920" s="431"/>
      <c r="I920" s="431"/>
      <c r="J920" s="431"/>
      <c r="K920" s="431"/>
      <c r="L920" s="431" t="s">
        <v>176</v>
      </c>
      <c r="M920" s="431" t="s">
        <v>775</v>
      </c>
    </row>
    <row r="921" spans="1:13" x14ac:dyDescent="0.2">
      <c r="A921" s="431" t="s">
        <v>774</v>
      </c>
      <c r="B921" s="431">
        <v>1690209</v>
      </c>
      <c r="C921" s="431" t="s">
        <v>159</v>
      </c>
      <c r="D921" s="431" t="s">
        <v>160</v>
      </c>
      <c r="E921" s="431" t="s">
        <v>161</v>
      </c>
      <c r="F921" s="431" t="s">
        <v>776</v>
      </c>
      <c r="G921" s="431" t="s">
        <v>175</v>
      </c>
      <c r="H921" s="431"/>
      <c r="I921" s="431"/>
      <c r="J921" s="431"/>
      <c r="K921" s="431"/>
      <c r="L921" s="431" t="s">
        <v>176</v>
      </c>
      <c r="M921" s="431" t="s">
        <v>775</v>
      </c>
    </row>
    <row r="922" spans="1:13" x14ac:dyDescent="0.2">
      <c r="A922" s="431" t="s">
        <v>774</v>
      </c>
      <c r="B922" s="431">
        <v>1690209</v>
      </c>
      <c r="C922" s="431" t="s">
        <v>159</v>
      </c>
      <c r="D922" s="431" t="s">
        <v>160</v>
      </c>
      <c r="E922" s="431" t="s">
        <v>161</v>
      </c>
      <c r="F922" s="431" t="s">
        <v>776</v>
      </c>
      <c r="G922" s="431" t="s">
        <v>175</v>
      </c>
      <c r="H922" s="431"/>
      <c r="I922" s="431"/>
      <c r="J922" s="431"/>
      <c r="K922" s="431"/>
      <c r="L922" s="431" t="s">
        <v>176</v>
      </c>
      <c r="M922" s="431" t="s">
        <v>775</v>
      </c>
    </row>
    <row r="923" spans="1:13" x14ac:dyDescent="0.2">
      <c r="A923" s="431" t="s">
        <v>774</v>
      </c>
      <c r="B923" s="431">
        <v>1690209</v>
      </c>
      <c r="C923" s="431" t="s">
        <v>159</v>
      </c>
      <c r="D923" s="431" t="s">
        <v>160</v>
      </c>
      <c r="E923" s="431" t="s">
        <v>161</v>
      </c>
      <c r="F923" s="431" t="s">
        <v>776</v>
      </c>
      <c r="G923" s="431" t="s">
        <v>175</v>
      </c>
      <c r="H923" s="431"/>
      <c r="I923" s="431"/>
      <c r="J923" s="431"/>
      <c r="K923" s="431"/>
      <c r="L923" s="431" t="s">
        <v>176</v>
      </c>
      <c r="M923" s="431" t="s">
        <v>775</v>
      </c>
    </row>
    <row r="924" spans="1:13" x14ac:dyDescent="0.2">
      <c r="A924" s="431" t="s">
        <v>774</v>
      </c>
      <c r="B924" s="431">
        <v>1690209</v>
      </c>
      <c r="C924" s="431" t="s">
        <v>159</v>
      </c>
      <c r="D924" s="431" t="s">
        <v>160</v>
      </c>
      <c r="E924" s="431" t="s">
        <v>161</v>
      </c>
      <c r="F924" s="431" t="s">
        <v>776</v>
      </c>
      <c r="G924" s="431" t="s">
        <v>175</v>
      </c>
      <c r="H924" s="431"/>
      <c r="I924" s="431"/>
      <c r="J924" s="431"/>
      <c r="K924" s="431"/>
      <c r="L924" s="431" t="s">
        <v>176</v>
      </c>
      <c r="M924" s="431" t="s">
        <v>775</v>
      </c>
    </row>
    <row r="925" spans="1:13" x14ac:dyDescent="0.2">
      <c r="A925" s="431" t="s">
        <v>774</v>
      </c>
      <c r="B925" s="431">
        <v>1690209</v>
      </c>
      <c r="C925" s="431" t="s">
        <v>159</v>
      </c>
      <c r="D925" s="431" t="s">
        <v>160</v>
      </c>
      <c r="E925" s="431" t="s">
        <v>161</v>
      </c>
      <c r="F925" s="431" t="s">
        <v>776</v>
      </c>
      <c r="G925" s="431" t="s">
        <v>175</v>
      </c>
      <c r="H925" s="431"/>
      <c r="I925" s="431"/>
      <c r="J925" s="431"/>
      <c r="K925" s="431"/>
      <c r="L925" s="431" t="s">
        <v>176</v>
      </c>
      <c r="M925" s="431" t="s">
        <v>775</v>
      </c>
    </row>
    <row r="926" spans="1:13" x14ac:dyDescent="0.2">
      <c r="A926" s="431" t="s">
        <v>774</v>
      </c>
      <c r="B926" s="431">
        <v>1690209</v>
      </c>
      <c r="C926" s="431" t="s">
        <v>159</v>
      </c>
      <c r="D926" s="431" t="s">
        <v>160</v>
      </c>
      <c r="E926" s="431" t="s">
        <v>161</v>
      </c>
      <c r="F926" s="431" t="s">
        <v>776</v>
      </c>
      <c r="G926" s="431" t="s">
        <v>175</v>
      </c>
      <c r="H926" s="431"/>
      <c r="I926" s="431"/>
      <c r="J926" s="431"/>
      <c r="K926" s="431"/>
      <c r="L926" s="431" t="s">
        <v>176</v>
      </c>
      <c r="M926" s="431" t="s">
        <v>775</v>
      </c>
    </row>
    <row r="927" spans="1:13" x14ac:dyDescent="0.2">
      <c r="A927" s="431" t="s">
        <v>774</v>
      </c>
      <c r="B927" s="431">
        <v>1690209</v>
      </c>
      <c r="C927" s="431" t="s">
        <v>159</v>
      </c>
      <c r="D927" s="431" t="s">
        <v>160</v>
      </c>
      <c r="E927" s="431" t="s">
        <v>161</v>
      </c>
      <c r="F927" s="431" t="s">
        <v>776</v>
      </c>
      <c r="G927" s="431" t="s">
        <v>175</v>
      </c>
      <c r="H927" s="431"/>
      <c r="I927" s="431"/>
      <c r="J927" s="431"/>
      <c r="K927" s="431"/>
      <c r="L927" s="431" t="s">
        <v>176</v>
      </c>
      <c r="M927" s="431" t="s">
        <v>775</v>
      </c>
    </row>
    <row r="928" spans="1:13" x14ac:dyDescent="0.2">
      <c r="A928" s="431" t="s">
        <v>774</v>
      </c>
      <c r="B928" s="431">
        <v>1690209</v>
      </c>
      <c r="C928" s="431" t="s">
        <v>159</v>
      </c>
      <c r="D928" s="431" t="s">
        <v>160</v>
      </c>
      <c r="E928" s="431" t="s">
        <v>161</v>
      </c>
      <c r="F928" s="431" t="s">
        <v>776</v>
      </c>
      <c r="G928" s="431" t="s">
        <v>175</v>
      </c>
      <c r="H928" s="431"/>
      <c r="I928" s="431"/>
      <c r="J928" s="431"/>
      <c r="K928" s="431"/>
      <c r="L928" s="431" t="s">
        <v>176</v>
      </c>
      <c r="M928" s="431" t="s">
        <v>775</v>
      </c>
    </row>
    <row r="929" spans="1:13" x14ac:dyDescent="0.2">
      <c r="A929" s="431" t="s">
        <v>774</v>
      </c>
      <c r="B929" s="431">
        <v>1690209</v>
      </c>
      <c r="C929" s="431" t="s">
        <v>159</v>
      </c>
      <c r="D929" s="431" t="s">
        <v>160</v>
      </c>
      <c r="E929" s="431" t="s">
        <v>161</v>
      </c>
      <c r="F929" s="431" t="s">
        <v>776</v>
      </c>
      <c r="G929" s="431" t="s">
        <v>175</v>
      </c>
      <c r="H929" s="431"/>
      <c r="I929" s="431"/>
      <c r="J929" s="431"/>
      <c r="K929" s="431"/>
      <c r="L929" s="431" t="s">
        <v>176</v>
      </c>
      <c r="M929" s="431" t="s">
        <v>775</v>
      </c>
    </row>
    <row r="930" spans="1:13" x14ac:dyDescent="0.2">
      <c r="A930" s="431" t="s">
        <v>774</v>
      </c>
      <c r="B930" s="431">
        <v>1690209</v>
      </c>
      <c r="C930" s="431" t="s">
        <v>159</v>
      </c>
      <c r="D930" s="431" t="s">
        <v>160</v>
      </c>
      <c r="E930" s="431" t="s">
        <v>161</v>
      </c>
      <c r="F930" s="431" t="s">
        <v>776</v>
      </c>
      <c r="G930" s="431" t="s">
        <v>175</v>
      </c>
      <c r="H930" s="431"/>
      <c r="I930" s="431"/>
      <c r="J930" s="431"/>
      <c r="K930" s="431"/>
      <c r="L930" s="431" t="s">
        <v>176</v>
      </c>
      <c r="M930" s="431" t="s">
        <v>775</v>
      </c>
    </row>
    <row r="931" spans="1:13" x14ac:dyDescent="0.2">
      <c r="A931" s="431" t="s">
        <v>774</v>
      </c>
      <c r="B931" s="431">
        <v>1690209</v>
      </c>
      <c r="C931" s="431" t="s">
        <v>159</v>
      </c>
      <c r="D931" s="431" t="s">
        <v>160</v>
      </c>
      <c r="E931" s="431" t="s">
        <v>161</v>
      </c>
      <c r="F931" s="431" t="s">
        <v>776</v>
      </c>
      <c r="G931" s="431" t="s">
        <v>175</v>
      </c>
      <c r="H931" s="431"/>
      <c r="I931" s="431"/>
      <c r="J931" s="431"/>
      <c r="K931" s="431"/>
      <c r="L931" s="431" t="s">
        <v>176</v>
      </c>
      <c r="M931" s="431" t="s">
        <v>775</v>
      </c>
    </row>
    <row r="932" spans="1:13" x14ac:dyDescent="0.2">
      <c r="A932" s="431" t="s">
        <v>774</v>
      </c>
      <c r="B932" s="431">
        <v>1690209</v>
      </c>
      <c r="C932" s="431" t="s">
        <v>159</v>
      </c>
      <c r="D932" s="431" t="s">
        <v>160</v>
      </c>
      <c r="E932" s="431" t="s">
        <v>161</v>
      </c>
      <c r="F932" s="431" t="s">
        <v>776</v>
      </c>
      <c r="G932" s="431" t="s">
        <v>175</v>
      </c>
      <c r="H932" s="431"/>
      <c r="I932" s="431"/>
      <c r="J932" s="431"/>
      <c r="K932" s="431"/>
      <c r="L932" s="431" t="s">
        <v>176</v>
      </c>
      <c r="M932" s="431" t="s">
        <v>775</v>
      </c>
    </row>
    <row r="933" spans="1:13" x14ac:dyDescent="0.2">
      <c r="A933" s="431" t="s">
        <v>777</v>
      </c>
      <c r="B933" s="431">
        <v>1690080</v>
      </c>
      <c r="C933" s="431" t="s">
        <v>159</v>
      </c>
      <c r="D933" s="431" t="s">
        <v>160</v>
      </c>
      <c r="E933" s="431" t="s">
        <v>161</v>
      </c>
      <c r="F933" s="431" t="s">
        <v>770</v>
      </c>
      <c r="G933" s="431" t="s">
        <v>175</v>
      </c>
      <c r="H933" s="431"/>
      <c r="I933" s="431"/>
      <c r="J933" s="431"/>
      <c r="K933" s="431"/>
      <c r="L933" s="431" t="s">
        <v>314</v>
      </c>
      <c r="M933" s="431" t="s">
        <v>778</v>
      </c>
    </row>
    <row r="934" spans="1:13" x14ac:dyDescent="0.2">
      <c r="A934" s="431" t="s">
        <v>779</v>
      </c>
      <c r="B934" s="431">
        <v>1690121</v>
      </c>
      <c r="C934" s="431" t="s">
        <v>159</v>
      </c>
      <c r="D934" s="431" t="s">
        <v>160</v>
      </c>
      <c r="E934" s="431" t="s">
        <v>161</v>
      </c>
      <c r="F934" s="431" t="s">
        <v>780</v>
      </c>
      <c r="G934" s="431" t="s">
        <v>175</v>
      </c>
      <c r="H934" s="431"/>
      <c r="I934" s="431"/>
      <c r="J934" s="431"/>
      <c r="K934" s="431"/>
      <c r="L934" s="431" t="s">
        <v>683</v>
      </c>
      <c r="M934" s="431" t="s">
        <v>781</v>
      </c>
    </row>
    <row r="935" spans="1:13" x14ac:dyDescent="0.2">
      <c r="A935" s="431" t="s">
        <v>779</v>
      </c>
      <c r="B935" s="431">
        <v>1690121</v>
      </c>
      <c r="C935" s="431" t="s">
        <v>159</v>
      </c>
      <c r="D935" s="431" t="s">
        <v>160</v>
      </c>
      <c r="E935" s="431" t="s">
        <v>161</v>
      </c>
      <c r="F935" s="431" t="s">
        <v>261</v>
      </c>
      <c r="G935" s="431" t="s">
        <v>175</v>
      </c>
      <c r="H935" s="431"/>
      <c r="I935" s="431"/>
      <c r="J935" s="431"/>
      <c r="K935" s="431"/>
      <c r="L935" s="431" t="s">
        <v>683</v>
      </c>
      <c r="M935" s="431" t="s">
        <v>781</v>
      </c>
    </row>
    <row r="936" spans="1:13" x14ac:dyDescent="0.2">
      <c r="A936" s="431" t="s">
        <v>779</v>
      </c>
      <c r="B936" s="431">
        <v>1690121</v>
      </c>
      <c r="C936" s="431" t="s">
        <v>159</v>
      </c>
      <c r="D936" s="431" t="s">
        <v>160</v>
      </c>
      <c r="E936" s="431" t="s">
        <v>161</v>
      </c>
      <c r="F936" s="431" t="s">
        <v>782</v>
      </c>
      <c r="G936" s="431" t="s">
        <v>175</v>
      </c>
      <c r="H936" s="431"/>
      <c r="I936" s="431"/>
      <c r="J936" s="431"/>
      <c r="K936" s="431"/>
      <c r="L936" s="431" t="s">
        <v>683</v>
      </c>
      <c r="M936" s="431" t="s">
        <v>781</v>
      </c>
    </row>
    <row r="937" spans="1:13" x14ac:dyDescent="0.2">
      <c r="A937" s="431" t="s">
        <v>779</v>
      </c>
      <c r="B937" s="431">
        <v>1690121</v>
      </c>
      <c r="C937" s="431" t="s">
        <v>159</v>
      </c>
      <c r="D937" s="431" t="s">
        <v>160</v>
      </c>
      <c r="E937" s="431" t="s">
        <v>161</v>
      </c>
      <c r="F937" s="431" t="s">
        <v>782</v>
      </c>
      <c r="G937" s="431" t="s">
        <v>175</v>
      </c>
      <c r="H937" s="431"/>
      <c r="I937" s="431"/>
      <c r="J937" s="431"/>
      <c r="K937" s="431"/>
      <c r="L937" s="431" t="s">
        <v>683</v>
      </c>
      <c r="M937" s="431" t="s">
        <v>781</v>
      </c>
    </row>
    <row r="938" spans="1:13" x14ac:dyDescent="0.2">
      <c r="A938" s="431" t="s">
        <v>779</v>
      </c>
      <c r="B938" s="431">
        <v>1690121</v>
      </c>
      <c r="C938" s="431" t="s">
        <v>159</v>
      </c>
      <c r="D938" s="431" t="s">
        <v>160</v>
      </c>
      <c r="E938" s="431" t="s">
        <v>161</v>
      </c>
      <c r="F938" s="431" t="s">
        <v>264</v>
      </c>
      <c r="G938" s="431" t="s">
        <v>175</v>
      </c>
      <c r="H938" s="431"/>
      <c r="I938" s="431"/>
      <c r="J938" s="431"/>
      <c r="K938" s="431"/>
      <c r="L938" s="431" t="s">
        <v>683</v>
      </c>
      <c r="M938" s="431" t="s">
        <v>781</v>
      </c>
    </row>
    <row r="939" spans="1:13" x14ac:dyDescent="0.2">
      <c r="A939" s="431" t="s">
        <v>779</v>
      </c>
      <c r="B939" s="431">
        <v>1690121</v>
      </c>
      <c r="C939" s="431" t="s">
        <v>159</v>
      </c>
      <c r="D939" s="431" t="s">
        <v>160</v>
      </c>
      <c r="E939" s="431" t="s">
        <v>161</v>
      </c>
      <c r="F939" s="431" t="s">
        <v>265</v>
      </c>
      <c r="G939" s="431" t="s">
        <v>175</v>
      </c>
      <c r="H939" s="431"/>
      <c r="I939" s="431"/>
      <c r="J939" s="431"/>
      <c r="K939" s="431"/>
      <c r="L939" s="431" t="s">
        <v>683</v>
      </c>
      <c r="M939" s="431" t="s">
        <v>781</v>
      </c>
    </row>
    <row r="940" spans="1:13" x14ac:dyDescent="0.2">
      <c r="A940" s="431" t="s">
        <v>779</v>
      </c>
      <c r="B940" s="431">
        <v>1690121</v>
      </c>
      <c r="C940" s="431" t="s">
        <v>159</v>
      </c>
      <c r="D940" s="431" t="s">
        <v>160</v>
      </c>
      <c r="E940" s="431" t="s">
        <v>161</v>
      </c>
      <c r="F940" s="431" t="s">
        <v>266</v>
      </c>
      <c r="G940" s="431" t="s">
        <v>175</v>
      </c>
      <c r="H940" s="431"/>
      <c r="I940" s="431"/>
      <c r="J940" s="431"/>
      <c r="K940" s="431"/>
      <c r="L940" s="431" t="s">
        <v>683</v>
      </c>
      <c r="M940" s="431" t="s">
        <v>781</v>
      </c>
    </row>
    <row r="941" spans="1:13" x14ac:dyDescent="0.2">
      <c r="A941" s="431" t="s">
        <v>779</v>
      </c>
      <c r="B941" s="431">
        <v>1690121</v>
      </c>
      <c r="C941" s="431" t="s">
        <v>159</v>
      </c>
      <c r="D941" s="431" t="s">
        <v>160</v>
      </c>
      <c r="E941" s="431" t="s">
        <v>161</v>
      </c>
      <c r="F941" s="431" t="s">
        <v>267</v>
      </c>
      <c r="G941" s="431" t="s">
        <v>175</v>
      </c>
      <c r="H941" s="431"/>
      <c r="I941" s="431"/>
      <c r="J941" s="431"/>
      <c r="K941" s="431"/>
      <c r="L941" s="431" t="s">
        <v>683</v>
      </c>
      <c r="M941" s="431" t="s">
        <v>781</v>
      </c>
    </row>
    <row r="942" spans="1:13" x14ac:dyDescent="0.2">
      <c r="A942" s="431" t="s">
        <v>779</v>
      </c>
      <c r="B942" s="431">
        <v>1690121</v>
      </c>
      <c r="C942" s="431" t="s">
        <v>159</v>
      </c>
      <c r="D942" s="431" t="s">
        <v>160</v>
      </c>
      <c r="E942" s="431" t="s">
        <v>161</v>
      </c>
      <c r="F942" s="431" t="s">
        <v>268</v>
      </c>
      <c r="G942" s="431" t="s">
        <v>175</v>
      </c>
      <c r="H942" s="431"/>
      <c r="I942" s="431"/>
      <c r="J942" s="431"/>
      <c r="K942" s="431"/>
      <c r="L942" s="431" t="s">
        <v>683</v>
      </c>
      <c r="M942" s="431" t="s">
        <v>781</v>
      </c>
    </row>
    <row r="943" spans="1:13" ht="409.5" x14ac:dyDescent="0.2">
      <c r="A943" s="431" t="s">
        <v>783</v>
      </c>
      <c r="B943" s="431">
        <v>1690120</v>
      </c>
      <c r="C943" s="431" t="s">
        <v>159</v>
      </c>
      <c r="D943" s="431" t="s">
        <v>160</v>
      </c>
      <c r="E943" s="431" t="s">
        <v>161</v>
      </c>
      <c r="F943" s="431" t="s">
        <v>273</v>
      </c>
      <c r="G943" s="431" t="s">
        <v>175</v>
      </c>
      <c r="H943" s="431"/>
      <c r="I943" s="431"/>
      <c r="J943" s="431"/>
      <c r="K943" s="431"/>
      <c r="L943" s="431" t="s">
        <v>784</v>
      </c>
      <c r="M943" s="432" t="s">
        <v>785</v>
      </c>
    </row>
    <row r="944" spans="1:13" ht="409.5" x14ac:dyDescent="0.2">
      <c r="A944" s="431" t="s">
        <v>783</v>
      </c>
      <c r="B944" s="431">
        <v>1690120</v>
      </c>
      <c r="C944" s="431" t="s">
        <v>159</v>
      </c>
      <c r="D944" s="431" t="s">
        <v>160</v>
      </c>
      <c r="E944" s="431" t="s">
        <v>161</v>
      </c>
      <c r="F944" s="431" t="s">
        <v>273</v>
      </c>
      <c r="G944" s="431" t="s">
        <v>175</v>
      </c>
      <c r="H944" s="431"/>
      <c r="I944" s="431"/>
      <c r="J944" s="431"/>
      <c r="K944" s="431"/>
      <c r="L944" s="431" t="s">
        <v>784</v>
      </c>
      <c r="M944" s="432" t="s">
        <v>785</v>
      </c>
    </row>
    <row r="945" spans="1:13" ht="409.5" x14ac:dyDescent="0.2">
      <c r="A945" s="431" t="s">
        <v>783</v>
      </c>
      <c r="B945" s="431">
        <v>1690120</v>
      </c>
      <c r="C945" s="431" t="s">
        <v>159</v>
      </c>
      <c r="D945" s="431" t="s">
        <v>160</v>
      </c>
      <c r="E945" s="431" t="s">
        <v>161</v>
      </c>
      <c r="F945" s="431" t="s">
        <v>276</v>
      </c>
      <c r="G945" s="431" t="s">
        <v>175</v>
      </c>
      <c r="H945" s="431"/>
      <c r="I945" s="431"/>
      <c r="J945" s="431"/>
      <c r="K945" s="431"/>
      <c r="L945" s="431" t="s">
        <v>784</v>
      </c>
      <c r="M945" s="432" t="s">
        <v>785</v>
      </c>
    </row>
    <row r="946" spans="1:13" ht="409.5" x14ac:dyDescent="0.2">
      <c r="A946" s="431" t="s">
        <v>783</v>
      </c>
      <c r="B946" s="431">
        <v>1690120</v>
      </c>
      <c r="C946" s="431" t="s">
        <v>159</v>
      </c>
      <c r="D946" s="431" t="s">
        <v>160</v>
      </c>
      <c r="E946" s="431" t="s">
        <v>161</v>
      </c>
      <c r="F946" s="431" t="s">
        <v>276</v>
      </c>
      <c r="G946" s="431" t="s">
        <v>175</v>
      </c>
      <c r="H946" s="431"/>
      <c r="I946" s="431"/>
      <c r="J946" s="431"/>
      <c r="K946" s="431"/>
      <c r="L946" s="431" t="s">
        <v>784</v>
      </c>
      <c r="M946" s="432" t="s">
        <v>785</v>
      </c>
    </row>
    <row r="947" spans="1:13" ht="409.5" x14ac:dyDescent="0.2">
      <c r="A947" s="431" t="s">
        <v>783</v>
      </c>
      <c r="B947" s="431">
        <v>1690120</v>
      </c>
      <c r="C947" s="431" t="s">
        <v>159</v>
      </c>
      <c r="D947" s="431" t="s">
        <v>160</v>
      </c>
      <c r="E947" s="431" t="s">
        <v>161</v>
      </c>
      <c r="F947" s="431" t="s">
        <v>277</v>
      </c>
      <c r="G947" s="431" t="s">
        <v>175</v>
      </c>
      <c r="H947" s="431"/>
      <c r="I947" s="431"/>
      <c r="J947" s="431"/>
      <c r="K947" s="431"/>
      <c r="L947" s="431" t="s">
        <v>784</v>
      </c>
      <c r="M947" s="432" t="s">
        <v>785</v>
      </c>
    </row>
    <row r="948" spans="1:13" ht="409.5" x14ac:dyDescent="0.2">
      <c r="A948" s="431" t="s">
        <v>783</v>
      </c>
      <c r="B948" s="431">
        <v>1690120</v>
      </c>
      <c r="C948" s="431" t="s">
        <v>159</v>
      </c>
      <c r="D948" s="431" t="s">
        <v>160</v>
      </c>
      <c r="E948" s="431" t="s">
        <v>161</v>
      </c>
      <c r="F948" s="431" t="s">
        <v>277</v>
      </c>
      <c r="G948" s="431" t="s">
        <v>175</v>
      </c>
      <c r="H948" s="431"/>
      <c r="I948" s="431"/>
      <c r="J948" s="431"/>
      <c r="K948" s="431"/>
      <c r="L948" s="431" t="s">
        <v>784</v>
      </c>
      <c r="M948" s="432" t="s">
        <v>785</v>
      </c>
    </row>
    <row r="949" spans="1:13" ht="409.5" x14ac:dyDescent="0.2">
      <c r="A949" s="431" t="s">
        <v>783</v>
      </c>
      <c r="B949" s="431">
        <v>1690120</v>
      </c>
      <c r="C949" s="431" t="s">
        <v>159</v>
      </c>
      <c r="D949" s="431" t="s">
        <v>160</v>
      </c>
      <c r="E949" s="431" t="s">
        <v>161</v>
      </c>
      <c r="F949" s="431" t="s">
        <v>278</v>
      </c>
      <c r="G949" s="431" t="s">
        <v>175</v>
      </c>
      <c r="H949" s="431"/>
      <c r="I949" s="431"/>
      <c r="J949" s="431"/>
      <c r="K949" s="431"/>
      <c r="L949" s="431" t="s">
        <v>784</v>
      </c>
      <c r="M949" s="432" t="s">
        <v>785</v>
      </c>
    </row>
    <row r="950" spans="1:13" ht="409.5" x14ac:dyDescent="0.2">
      <c r="A950" s="431" t="s">
        <v>783</v>
      </c>
      <c r="B950" s="431">
        <v>1690120</v>
      </c>
      <c r="C950" s="431" t="s">
        <v>159</v>
      </c>
      <c r="D950" s="431" t="s">
        <v>160</v>
      </c>
      <c r="E950" s="431" t="s">
        <v>161</v>
      </c>
      <c r="F950" s="431" t="s">
        <v>279</v>
      </c>
      <c r="G950" s="431" t="s">
        <v>175</v>
      </c>
      <c r="H950" s="431"/>
      <c r="I950" s="431"/>
      <c r="J950" s="431"/>
      <c r="K950" s="431"/>
      <c r="L950" s="431" t="s">
        <v>784</v>
      </c>
      <c r="M950" s="432" t="s">
        <v>785</v>
      </c>
    </row>
    <row r="951" spans="1:13" ht="409.5" x14ac:dyDescent="0.2">
      <c r="A951" s="431" t="s">
        <v>783</v>
      </c>
      <c r="B951" s="431">
        <v>1690120</v>
      </c>
      <c r="C951" s="431" t="s">
        <v>159</v>
      </c>
      <c r="D951" s="431" t="s">
        <v>160</v>
      </c>
      <c r="E951" s="431" t="s">
        <v>161</v>
      </c>
      <c r="F951" s="431" t="s">
        <v>280</v>
      </c>
      <c r="G951" s="431" t="s">
        <v>175</v>
      </c>
      <c r="H951" s="431"/>
      <c r="I951" s="431"/>
      <c r="J951" s="431"/>
      <c r="K951" s="431"/>
      <c r="L951" s="431" t="s">
        <v>784</v>
      </c>
      <c r="M951" s="432" t="s">
        <v>785</v>
      </c>
    </row>
    <row r="952" spans="1:13" ht="409.5" x14ac:dyDescent="0.2">
      <c r="A952" s="431" t="s">
        <v>783</v>
      </c>
      <c r="B952" s="431">
        <v>1690120</v>
      </c>
      <c r="C952" s="431" t="s">
        <v>159</v>
      </c>
      <c r="D952" s="431" t="s">
        <v>160</v>
      </c>
      <c r="E952" s="431" t="s">
        <v>161</v>
      </c>
      <c r="F952" s="431" t="s">
        <v>685</v>
      </c>
      <c r="G952" s="431" t="s">
        <v>175</v>
      </c>
      <c r="H952" s="431"/>
      <c r="I952" s="431"/>
      <c r="J952" s="431"/>
      <c r="K952" s="431"/>
      <c r="L952" s="431" t="s">
        <v>784</v>
      </c>
      <c r="M952" s="432" t="s">
        <v>785</v>
      </c>
    </row>
    <row r="953" spans="1:13" ht="409.5" x14ac:dyDescent="0.2">
      <c r="A953" s="431" t="s">
        <v>783</v>
      </c>
      <c r="B953" s="431">
        <v>1690120</v>
      </c>
      <c r="C953" s="431" t="s">
        <v>159</v>
      </c>
      <c r="D953" s="431" t="s">
        <v>160</v>
      </c>
      <c r="E953" s="431" t="s">
        <v>161</v>
      </c>
      <c r="F953" s="431" t="s">
        <v>685</v>
      </c>
      <c r="G953" s="431" t="s">
        <v>175</v>
      </c>
      <c r="H953" s="431"/>
      <c r="I953" s="431"/>
      <c r="J953" s="431"/>
      <c r="K953" s="431"/>
      <c r="L953" s="431" t="s">
        <v>784</v>
      </c>
      <c r="M953" s="432" t="s">
        <v>785</v>
      </c>
    </row>
    <row r="954" spans="1:13" ht="409.5" x14ac:dyDescent="0.2">
      <c r="A954" s="431" t="s">
        <v>783</v>
      </c>
      <c r="B954" s="431">
        <v>1690120</v>
      </c>
      <c r="C954" s="431" t="s">
        <v>159</v>
      </c>
      <c r="D954" s="431" t="s">
        <v>160</v>
      </c>
      <c r="E954" s="431" t="s">
        <v>161</v>
      </c>
      <c r="F954" s="431" t="s">
        <v>685</v>
      </c>
      <c r="G954" s="431" t="s">
        <v>175</v>
      </c>
      <c r="H954" s="431"/>
      <c r="I954" s="431"/>
      <c r="J954" s="431"/>
      <c r="K954" s="431"/>
      <c r="L954" s="431" t="s">
        <v>784</v>
      </c>
      <c r="M954" s="432" t="s">
        <v>785</v>
      </c>
    </row>
    <row r="955" spans="1:13" ht="409.5" x14ac:dyDescent="0.2">
      <c r="A955" s="431" t="s">
        <v>783</v>
      </c>
      <c r="B955" s="431">
        <v>1690120</v>
      </c>
      <c r="C955" s="431" t="s">
        <v>159</v>
      </c>
      <c r="D955" s="431" t="s">
        <v>160</v>
      </c>
      <c r="E955" s="431" t="s">
        <v>161</v>
      </c>
      <c r="F955" s="431" t="s">
        <v>685</v>
      </c>
      <c r="G955" s="431" t="s">
        <v>175</v>
      </c>
      <c r="H955" s="431"/>
      <c r="I955" s="431"/>
      <c r="J955" s="431"/>
      <c r="K955" s="431"/>
      <c r="L955" s="431" t="s">
        <v>784</v>
      </c>
      <c r="M955" s="432" t="s">
        <v>785</v>
      </c>
    </row>
    <row r="956" spans="1:13" ht="409.5" x14ac:dyDescent="0.2">
      <c r="A956" s="431" t="s">
        <v>783</v>
      </c>
      <c r="B956" s="431">
        <v>1690120</v>
      </c>
      <c r="C956" s="431" t="s">
        <v>159</v>
      </c>
      <c r="D956" s="431" t="s">
        <v>160</v>
      </c>
      <c r="E956" s="431" t="s">
        <v>161</v>
      </c>
      <c r="F956" s="431" t="s">
        <v>686</v>
      </c>
      <c r="G956" s="431" t="s">
        <v>175</v>
      </c>
      <c r="H956" s="431"/>
      <c r="I956" s="431"/>
      <c r="J956" s="431"/>
      <c r="K956" s="431"/>
      <c r="L956" s="431" t="s">
        <v>784</v>
      </c>
      <c r="M956" s="432" t="s">
        <v>785</v>
      </c>
    </row>
    <row r="957" spans="1:13" ht="409.5" x14ac:dyDescent="0.2">
      <c r="A957" s="431" t="s">
        <v>783</v>
      </c>
      <c r="B957" s="431">
        <v>1690120</v>
      </c>
      <c r="C957" s="431" t="s">
        <v>159</v>
      </c>
      <c r="D957" s="431" t="s">
        <v>160</v>
      </c>
      <c r="E957" s="431" t="s">
        <v>161</v>
      </c>
      <c r="F957" s="431" t="s">
        <v>786</v>
      </c>
      <c r="G957" s="431" t="s">
        <v>175</v>
      </c>
      <c r="H957" s="431"/>
      <c r="I957" s="431"/>
      <c r="J957" s="431"/>
      <c r="K957" s="431"/>
      <c r="L957" s="431" t="s">
        <v>784</v>
      </c>
      <c r="M957" s="432" t="s">
        <v>785</v>
      </c>
    </row>
    <row r="958" spans="1:13" ht="409.5" x14ac:dyDescent="0.2">
      <c r="A958" s="431" t="s">
        <v>783</v>
      </c>
      <c r="B958" s="431">
        <v>1690120</v>
      </c>
      <c r="C958" s="431" t="s">
        <v>159</v>
      </c>
      <c r="D958" s="431" t="s">
        <v>160</v>
      </c>
      <c r="E958" s="431" t="s">
        <v>161</v>
      </c>
      <c r="F958" s="431" t="s">
        <v>787</v>
      </c>
      <c r="G958" s="431" t="s">
        <v>175</v>
      </c>
      <c r="H958" s="431"/>
      <c r="I958" s="431"/>
      <c r="J958" s="431"/>
      <c r="K958" s="431"/>
      <c r="L958" s="431" t="s">
        <v>784</v>
      </c>
      <c r="M958" s="432" t="s">
        <v>785</v>
      </c>
    </row>
    <row r="959" spans="1:13" ht="409.5" x14ac:dyDescent="0.2">
      <c r="A959" s="431" t="s">
        <v>783</v>
      </c>
      <c r="B959" s="431">
        <v>1690120</v>
      </c>
      <c r="C959" s="431" t="s">
        <v>159</v>
      </c>
      <c r="D959" s="431" t="s">
        <v>160</v>
      </c>
      <c r="E959" s="431" t="s">
        <v>161</v>
      </c>
      <c r="F959" s="431" t="s">
        <v>788</v>
      </c>
      <c r="G959" s="431" t="s">
        <v>175</v>
      </c>
      <c r="H959" s="431"/>
      <c r="I959" s="431"/>
      <c r="J959" s="431"/>
      <c r="K959" s="431"/>
      <c r="L959" s="431" t="s">
        <v>784</v>
      </c>
      <c r="M959" s="432" t="s">
        <v>785</v>
      </c>
    </row>
    <row r="960" spans="1:13" ht="409.5" x14ac:dyDescent="0.2">
      <c r="A960" s="431" t="s">
        <v>783</v>
      </c>
      <c r="B960" s="431">
        <v>1690120</v>
      </c>
      <c r="C960" s="431" t="s">
        <v>159</v>
      </c>
      <c r="D960" s="431" t="s">
        <v>160</v>
      </c>
      <c r="E960" s="431" t="s">
        <v>161</v>
      </c>
      <c r="F960" s="431" t="s">
        <v>693</v>
      </c>
      <c r="G960" s="431" t="s">
        <v>175</v>
      </c>
      <c r="H960" s="431"/>
      <c r="I960" s="431"/>
      <c r="J960" s="431"/>
      <c r="K960" s="431"/>
      <c r="L960" s="431" t="s">
        <v>784</v>
      </c>
      <c r="M960" s="432" t="s">
        <v>785</v>
      </c>
    </row>
    <row r="961" spans="1:13" ht="409.5" x14ac:dyDescent="0.2">
      <c r="A961" s="431" t="s">
        <v>783</v>
      </c>
      <c r="B961" s="431">
        <v>1690120</v>
      </c>
      <c r="C961" s="431" t="s">
        <v>159</v>
      </c>
      <c r="D961" s="431" t="s">
        <v>160</v>
      </c>
      <c r="E961" s="431" t="s">
        <v>161</v>
      </c>
      <c r="F961" s="431" t="s">
        <v>693</v>
      </c>
      <c r="G961" s="431" t="s">
        <v>175</v>
      </c>
      <c r="H961" s="431"/>
      <c r="I961" s="431"/>
      <c r="J961" s="431"/>
      <c r="K961" s="431"/>
      <c r="L961" s="431" t="s">
        <v>784</v>
      </c>
      <c r="M961" s="432" t="s">
        <v>785</v>
      </c>
    </row>
    <row r="962" spans="1:13" ht="409.5" x14ac:dyDescent="0.2">
      <c r="A962" s="431" t="s">
        <v>783</v>
      </c>
      <c r="B962" s="431">
        <v>1690120</v>
      </c>
      <c r="C962" s="431" t="s">
        <v>159</v>
      </c>
      <c r="D962" s="431" t="s">
        <v>160</v>
      </c>
      <c r="E962" s="431" t="s">
        <v>161</v>
      </c>
      <c r="F962" s="431" t="s">
        <v>693</v>
      </c>
      <c r="G962" s="431" t="s">
        <v>175</v>
      </c>
      <c r="H962" s="431"/>
      <c r="I962" s="431"/>
      <c r="J962" s="431"/>
      <c r="K962" s="431"/>
      <c r="L962" s="431" t="s">
        <v>784</v>
      </c>
      <c r="M962" s="432" t="s">
        <v>785</v>
      </c>
    </row>
    <row r="963" spans="1:13" ht="409.5" x14ac:dyDescent="0.2">
      <c r="A963" s="431" t="s">
        <v>783</v>
      </c>
      <c r="B963" s="431">
        <v>1690120</v>
      </c>
      <c r="C963" s="431" t="s">
        <v>159</v>
      </c>
      <c r="D963" s="431" t="s">
        <v>160</v>
      </c>
      <c r="E963" s="431" t="s">
        <v>161</v>
      </c>
      <c r="F963" s="431" t="s">
        <v>694</v>
      </c>
      <c r="G963" s="431" t="s">
        <v>175</v>
      </c>
      <c r="H963" s="431"/>
      <c r="I963" s="431"/>
      <c r="J963" s="431"/>
      <c r="K963" s="431"/>
      <c r="L963" s="431" t="s">
        <v>784</v>
      </c>
      <c r="M963" s="432" t="s">
        <v>785</v>
      </c>
    </row>
    <row r="964" spans="1:13" ht="409.5" x14ac:dyDescent="0.2">
      <c r="A964" s="431" t="s">
        <v>783</v>
      </c>
      <c r="B964" s="431">
        <v>1690120</v>
      </c>
      <c r="C964" s="431" t="s">
        <v>159</v>
      </c>
      <c r="D964" s="431" t="s">
        <v>160</v>
      </c>
      <c r="E964" s="431" t="s">
        <v>161</v>
      </c>
      <c r="F964" s="431" t="s">
        <v>697</v>
      </c>
      <c r="G964" s="431" t="s">
        <v>175</v>
      </c>
      <c r="H964" s="431"/>
      <c r="I964" s="431"/>
      <c r="J964" s="431"/>
      <c r="K964" s="431"/>
      <c r="L964" s="431" t="s">
        <v>784</v>
      </c>
      <c r="M964" s="432" t="s">
        <v>785</v>
      </c>
    </row>
    <row r="965" spans="1:13" ht="409.5" x14ac:dyDescent="0.2">
      <c r="A965" s="431" t="s">
        <v>783</v>
      </c>
      <c r="B965" s="431">
        <v>1690120</v>
      </c>
      <c r="C965" s="431" t="s">
        <v>159</v>
      </c>
      <c r="D965" s="431" t="s">
        <v>160</v>
      </c>
      <c r="E965" s="431" t="s">
        <v>161</v>
      </c>
      <c r="F965" s="431" t="s">
        <v>789</v>
      </c>
      <c r="G965" s="431" t="s">
        <v>175</v>
      </c>
      <c r="H965" s="431"/>
      <c r="I965" s="431"/>
      <c r="J965" s="431"/>
      <c r="K965" s="431"/>
      <c r="L965" s="431" t="s">
        <v>784</v>
      </c>
      <c r="M965" s="432" t="s">
        <v>785</v>
      </c>
    </row>
    <row r="966" spans="1:13" ht="409.5" x14ac:dyDescent="0.2">
      <c r="A966" s="431" t="s">
        <v>783</v>
      </c>
      <c r="B966" s="431">
        <v>1690120</v>
      </c>
      <c r="C966" s="431" t="s">
        <v>159</v>
      </c>
      <c r="D966" s="431" t="s">
        <v>160</v>
      </c>
      <c r="E966" s="431" t="s">
        <v>161</v>
      </c>
      <c r="F966" s="431" t="s">
        <v>790</v>
      </c>
      <c r="G966" s="431" t="s">
        <v>175</v>
      </c>
      <c r="H966" s="431"/>
      <c r="I966" s="431"/>
      <c r="J966" s="431"/>
      <c r="K966" s="431"/>
      <c r="L966" s="431" t="s">
        <v>784</v>
      </c>
      <c r="M966" s="432" t="s">
        <v>785</v>
      </c>
    </row>
    <row r="967" spans="1:13" ht="409.5" x14ac:dyDescent="0.2">
      <c r="A967" s="431" t="s">
        <v>783</v>
      </c>
      <c r="B967" s="431">
        <v>1690120</v>
      </c>
      <c r="C967" s="431" t="s">
        <v>159</v>
      </c>
      <c r="D967" s="431" t="s">
        <v>160</v>
      </c>
      <c r="E967" s="431" t="s">
        <v>161</v>
      </c>
      <c r="F967" s="431" t="s">
        <v>698</v>
      </c>
      <c r="G967" s="431" t="s">
        <v>175</v>
      </c>
      <c r="H967" s="431"/>
      <c r="I967" s="431"/>
      <c r="J967" s="431"/>
      <c r="K967" s="431"/>
      <c r="L967" s="431" t="s">
        <v>784</v>
      </c>
      <c r="M967" s="432" t="s">
        <v>785</v>
      </c>
    </row>
    <row r="968" spans="1:13" ht="409.5" x14ac:dyDescent="0.2">
      <c r="A968" s="431" t="s">
        <v>783</v>
      </c>
      <c r="B968" s="431">
        <v>1690120</v>
      </c>
      <c r="C968" s="431" t="s">
        <v>159</v>
      </c>
      <c r="D968" s="431" t="s">
        <v>160</v>
      </c>
      <c r="E968" s="431" t="s">
        <v>161</v>
      </c>
      <c r="F968" s="431" t="s">
        <v>699</v>
      </c>
      <c r="G968" s="431" t="s">
        <v>175</v>
      </c>
      <c r="H968" s="431"/>
      <c r="I968" s="431"/>
      <c r="J968" s="431"/>
      <c r="K968" s="431"/>
      <c r="L968" s="431" t="s">
        <v>784</v>
      </c>
      <c r="M968" s="432" t="s">
        <v>785</v>
      </c>
    </row>
    <row r="969" spans="1:13" ht="409.5" x14ac:dyDescent="0.2">
      <c r="A969" s="431" t="s">
        <v>783</v>
      </c>
      <c r="B969" s="431">
        <v>1690120</v>
      </c>
      <c r="C969" s="431" t="s">
        <v>159</v>
      </c>
      <c r="D969" s="431" t="s">
        <v>160</v>
      </c>
      <c r="E969" s="431" t="s">
        <v>161</v>
      </c>
      <c r="F969" s="431" t="s">
        <v>700</v>
      </c>
      <c r="G969" s="431" t="s">
        <v>175</v>
      </c>
      <c r="H969" s="431"/>
      <c r="I969" s="431"/>
      <c r="J969" s="431"/>
      <c r="K969" s="431"/>
      <c r="L969" s="431" t="s">
        <v>784</v>
      </c>
      <c r="M969" s="432" t="s">
        <v>785</v>
      </c>
    </row>
    <row r="970" spans="1:13" ht="409.5" x14ac:dyDescent="0.2">
      <c r="A970" s="431" t="s">
        <v>783</v>
      </c>
      <c r="B970" s="431">
        <v>1690120</v>
      </c>
      <c r="C970" s="431" t="s">
        <v>159</v>
      </c>
      <c r="D970" s="431" t="s">
        <v>160</v>
      </c>
      <c r="E970" s="431" t="s">
        <v>161</v>
      </c>
      <c r="F970" s="431" t="s">
        <v>701</v>
      </c>
      <c r="G970" s="431" t="s">
        <v>175</v>
      </c>
      <c r="H970" s="431"/>
      <c r="I970" s="431"/>
      <c r="J970" s="431"/>
      <c r="K970" s="431"/>
      <c r="L970" s="431" t="s">
        <v>784</v>
      </c>
      <c r="M970" s="432" t="s">
        <v>785</v>
      </c>
    </row>
    <row r="971" spans="1:13" ht="409.5" x14ac:dyDescent="0.2">
      <c r="A971" s="431" t="s">
        <v>783</v>
      </c>
      <c r="B971" s="431">
        <v>1690120</v>
      </c>
      <c r="C971" s="431" t="s">
        <v>159</v>
      </c>
      <c r="D971" s="431" t="s">
        <v>160</v>
      </c>
      <c r="E971" s="431" t="s">
        <v>161</v>
      </c>
      <c r="F971" s="431" t="s">
        <v>791</v>
      </c>
      <c r="G971" s="431" t="s">
        <v>175</v>
      </c>
      <c r="H971" s="431"/>
      <c r="I971" s="431"/>
      <c r="J971" s="431"/>
      <c r="K971" s="431"/>
      <c r="L971" s="431" t="s">
        <v>784</v>
      </c>
      <c r="M971" s="432" t="s">
        <v>785</v>
      </c>
    </row>
    <row r="972" spans="1:13" ht="409.5" x14ac:dyDescent="0.2">
      <c r="A972" s="431" t="s">
        <v>783</v>
      </c>
      <c r="B972" s="431">
        <v>1690120</v>
      </c>
      <c r="C972" s="431" t="s">
        <v>159</v>
      </c>
      <c r="D972" s="431" t="s">
        <v>160</v>
      </c>
      <c r="E972" s="431" t="s">
        <v>161</v>
      </c>
      <c r="F972" s="431" t="s">
        <v>792</v>
      </c>
      <c r="G972" s="431" t="s">
        <v>175</v>
      </c>
      <c r="H972" s="431"/>
      <c r="I972" s="431"/>
      <c r="J972" s="431"/>
      <c r="K972" s="431"/>
      <c r="L972" s="431" t="s">
        <v>784</v>
      </c>
      <c r="M972" s="432" t="s">
        <v>785</v>
      </c>
    </row>
    <row r="973" spans="1:13" ht="409.5" x14ac:dyDescent="0.2">
      <c r="A973" s="431" t="s">
        <v>783</v>
      </c>
      <c r="B973" s="431">
        <v>1690120</v>
      </c>
      <c r="C973" s="431" t="s">
        <v>159</v>
      </c>
      <c r="D973" s="431" t="s">
        <v>160</v>
      </c>
      <c r="E973" s="431" t="s">
        <v>161</v>
      </c>
      <c r="F973" s="431" t="s">
        <v>792</v>
      </c>
      <c r="G973" s="431" t="s">
        <v>175</v>
      </c>
      <c r="H973" s="431"/>
      <c r="I973" s="431"/>
      <c r="J973" s="431"/>
      <c r="K973" s="431"/>
      <c r="L973" s="431" t="s">
        <v>784</v>
      </c>
      <c r="M973" s="432" t="s">
        <v>785</v>
      </c>
    </row>
    <row r="974" spans="1:13" ht="409.5" x14ac:dyDescent="0.2">
      <c r="A974" s="431" t="s">
        <v>783</v>
      </c>
      <c r="B974" s="431">
        <v>1690120</v>
      </c>
      <c r="C974" s="431" t="s">
        <v>159</v>
      </c>
      <c r="D974" s="431" t="s">
        <v>160</v>
      </c>
      <c r="E974" s="431" t="s">
        <v>161</v>
      </c>
      <c r="F974" s="431" t="s">
        <v>793</v>
      </c>
      <c r="G974" s="431" t="s">
        <v>175</v>
      </c>
      <c r="H974" s="431"/>
      <c r="I974" s="431"/>
      <c r="J974" s="431"/>
      <c r="K974" s="431"/>
      <c r="L974" s="431" t="s">
        <v>784</v>
      </c>
      <c r="M974" s="432" t="s">
        <v>785</v>
      </c>
    </row>
    <row r="975" spans="1:13" ht="409.5" x14ac:dyDescent="0.2">
      <c r="A975" s="431" t="s">
        <v>783</v>
      </c>
      <c r="B975" s="431">
        <v>1690120</v>
      </c>
      <c r="C975" s="431" t="s">
        <v>159</v>
      </c>
      <c r="D975" s="431" t="s">
        <v>160</v>
      </c>
      <c r="E975" s="431" t="s">
        <v>161</v>
      </c>
      <c r="F975" s="431" t="s">
        <v>793</v>
      </c>
      <c r="G975" s="431" t="s">
        <v>175</v>
      </c>
      <c r="H975" s="431"/>
      <c r="I975" s="431"/>
      <c r="J975" s="431"/>
      <c r="K975" s="431"/>
      <c r="L975" s="431" t="s">
        <v>784</v>
      </c>
      <c r="M975" s="432" t="s">
        <v>785</v>
      </c>
    </row>
    <row r="976" spans="1:13" ht="409.5" x14ac:dyDescent="0.2">
      <c r="A976" s="431" t="s">
        <v>783</v>
      </c>
      <c r="B976" s="431">
        <v>1690120</v>
      </c>
      <c r="C976" s="431" t="s">
        <v>159</v>
      </c>
      <c r="D976" s="431" t="s">
        <v>160</v>
      </c>
      <c r="E976" s="431" t="s">
        <v>161</v>
      </c>
      <c r="F976" s="431" t="s">
        <v>793</v>
      </c>
      <c r="G976" s="431" t="s">
        <v>175</v>
      </c>
      <c r="H976" s="431"/>
      <c r="I976" s="431"/>
      <c r="J976" s="431"/>
      <c r="K976" s="431"/>
      <c r="L976" s="431" t="s">
        <v>784</v>
      </c>
      <c r="M976" s="432" t="s">
        <v>785</v>
      </c>
    </row>
    <row r="977" spans="1:13" ht="409.5" x14ac:dyDescent="0.2">
      <c r="A977" s="431" t="s">
        <v>783</v>
      </c>
      <c r="B977" s="431">
        <v>1690120</v>
      </c>
      <c r="C977" s="431" t="s">
        <v>159</v>
      </c>
      <c r="D977" s="431" t="s">
        <v>160</v>
      </c>
      <c r="E977" s="431" t="s">
        <v>161</v>
      </c>
      <c r="F977" s="431" t="s">
        <v>793</v>
      </c>
      <c r="G977" s="431" t="s">
        <v>175</v>
      </c>
      <c r="H977" s="431"/>
      <c r="I977" s="431"/>
      <c r="J977" s="431"/>
      <c r="K977" s="431"/>
      <c r="L977" s="431" t="s">
        <v>784</v>
      </c>
      <c r="M977" s="432" t="s">
        <v>785</v>
      </c>
    </row>
    <row r="978" spans="1:13" ht="409.5" x14ac:dyDescent="0.2">
      <c r="A978" s="431" t="s">
        <v>783</v>
      </c>
      <c r="B978" s="431">
        <v>1690120</v>
      </c>
      <c r="C978" s="431" t="s">
        <v>159</v>
      </c>
      <c r="D978" s="431" t="s">
        <v>160</v>
      </c>
      <c r="E978" s="431" t="s">
        <v>161</v>
      </c>
      <c r="F978" s="431" t="s">
        <v>794</v>
      </c>
      <c r="G978" s="431" t="s">
        <v>175</v>
      </c>
      <c r="H978" s="431"/>
      <c r="I978" s="431"/>
      <c r="J978" s="431"/>
      <c r="K978" s="431"/>
      <c r="L978" s="431" t="s">
        <v>784</v>
      </c>
      <c r="M978" s="432" t="s">
        <v>785</v>
      </c>
    </row>
    <row r="979" spans="1:13" ht="409.5" x14ac:dyDescent="0.2">
      <c r="A979" s="431" t="s">
        <v>783</v>
      </c>
      <c r="B979" s="431">
        <v>1690120</v>
      </c>
      <c r="C979" s="431" t="s">
        <v>159</v>
      </c>
      <c r="D979" s="431" t="s">
        <v>160</v>
      </c>
      <c r="E979" s="431" t="s">
        <v>161</v>
      </c>
      <c r="F979" s="431" t="s">
        <v>795</v>
      </c>
      <c r="G979" s="431" t="s">
        <v>175</v>
      </c>
      <c r="H979" s="431"/>
      <c r="I979" s="431"/>
      <c r="J979" s="431"/>
      <c r="K979" s="431"/>
      <c r="L979" s="431" t="s">
        <v>784</v>
      </c>
      <c r="M979" s="432" t="s">
        <v>785</v>
      </c>
    </row>
    <row r="980" spans="1:13" ht="409.5" x14ac:dyDescent="0.2">
      <c r="A980" s="431" t="s">
        <v>783</v>
      </c>
      <c r="B980" s="431">
        <v>1690120</v>
      </c>
      <c r="C980" s="431" t="s">
        <v>159</v>
      </c>
      <c r="D980" s="431" t="s">
        <v>160</v>
      </c>
      <c r="E980" s="431" t="s">
        <v>161</v>
      </c>
      <c r="F980" s="431" t="s">
        <v>796</v>
      </c>
      <c r="G980" s="431" t="s">
        <v>175</v>
      </c>
      <c r="H980" s="431"/>
      <c r="I980" s="431"/>
      <c r="J980" s="431"/>
      <c r="K980" s="431"/>
      <c r="L980" s="431" t="s">
        <v>784</v>
      </c>
      <c r="M980" s="432" t="s">
        <v>785</v>
      </c>
    </row>
    <row r="981" spans="1:13" ht="409.5" x14ac:dyDescent="0.2">
      <c r="A981" s="431" t="s">
        <v>783</v>
      </c>
      <c r="B981" s="431">
        <v>1690120</v>
      </c>
      <c r="C981" s="431" t="s">
        <v>159</v>
      </c>
      <c r="D981" s="431" t="s">
        <v>160</v>
      </c>
      <c r="E981" s="431" t="s">
        <v>161</v>
      </c>
      <c r="F981" s="431" t="s">
        <v>797</v>
      </c>
      <c r="G981" s="431" t="s">
        <v>175</v>
      </c>
      <c r="H981" s="431"/>
      <c r="I981" s="431"/>
      <c r="J981" s="431"/>
      <c r="K981" s="431"/>
      <c r="L981" s="431" t="s">
        <v>784</v>
      </c>
      <c r="M981" s="432" t="s">
        <v>785</v>
      </c>
    </row>
    <row r="982" spans="1:13" ht="409.5" x14ac:dyDescent="0.2">
      <c r="A982" s="431" t="s">
        <v>783</v>
      </c>
      <c r="B982" s="431">
        <v>1690120</v>
      </c>
      <c r="C982" s="431" t="s">
        <v>159</v>
      </c>
      <c r="D982" s="431" t="s">
        <v>160</v>
      </c>
      <c r="E982" s="431" t="s">
        <v>161</v>
      </c>
      <c r="F982" s="431" t="s">
        <v>798</v>
      </c>
      <c r="G982" s="431" t="s">
        <v>175</v>
      </c>
      <c r="H982" s="431"/>
      <c r="I982" s="431"/>
      <c r="J982" s="431"/>
      <c r="K982" s="431"/>
      <c r="L982" s="431" t="s">
        <v>784</v>
      </c>
      <c r="M982" s="432" t="s">
        <v>785</v>
      </c>
    </row>
    <row r="983" spans="1:13" ht="409.5" x14ac:dyDescent="0.2">
      <c r="A983" s="431" t="s">
        <v>783</v>
      </c>
      <c r="B983" s="431">
        <v>1690120</v>
      </c>
      <c r="C983" s="431" t="s">
        <v>159</v>
      </c>
      <c r="D983" s="431" t="s">
        <v>160</v>
      </c>
      <c r="E983" s="431" t="s">
        <v>161</v>
      </c>
      <c r="F983" s="431" t="s">
        <v>798</v>
      </c>
      <c r="G983" s="431" t="s">
        <v>175</v>
      </c>
      <c r="H983" s="431"/>
      <c r="I983" s="431"/>
      <c r="J983" s="431"/>
      <c r="K983" s="431"/>
      <c r="L983" s="431" t="s">
        <v>784</v>
      </c>
      <c r="M983" s="432" t="s">
        <v>785</v>
      </c>
    </row>
    <row r="984" spans="1:13" ht="409.5" x14ac:dyDescent="0.2">
      <c r="A984" s="431" t="s">
        <v>783</v>
      </c>
      <c r="B984" s="431">
        <v>1690120</v>
      </c>
      <c r="C984" s="431" t="s">
        <v>159</v>
      </c>
      <c r="D984" s="431" t="s">
        <v>160</v>
      </c>
      <c r="E984" s="431" t="s">
        <v>161</v>
      </c>
      <c r="F984" s="431" t="s">
        <v>798</v>
      </c>
      <c r="G984" s="431" t="s">
        <v>175</v>
      </c>
      <c r="H984" s="431"/>
      <c r="I984" s="431"/>
      <c r="J984" s="431"/>
      <c r="K984" s="431"/>
      <c r="L984" s="431" t="s">
        <v>784</v>
      </c>
      <c r="M984" s="432" t="s">
        <v>785</v>
      </c>
    </row>
    <row r="985" spans="1:13" ht="409.5" x14ac:dyDescent="0.2">
      <c r="A985" s="431" t="s">
        <v>783</v>
      </c>
      <c r="B985" s="431">
        <v>1690120</v>
      </c>
      <c r="C985" s="431" t="s">
        <v>159</v>
      </c>
      <c r="D985" s="431" t="s">
        <v>160</v>
      </c>
      <c r="E985" s="431" t="s">
        <v>161</v>
      </c>
      <c r="F985" s="431" t="s">
        <v>798</v>
      </c>
      <c r="G985" s="431" t="s">
        <v>175</v>
      </c>
      <c r="H985" s="431"/>
      <c r="I985" s="431"/>
      <c r="J985" s="431"/>
      <c r="K985" s="431"/>
      <c r="L985" s="431" t="s">
        <v>784</v>
      </c>
      <c r="M985" s="432" t="s">
        <v>785</v>
      </c>
    </row>
    <row r="986" spans="1:13" ht="409.5" x14ac:dyDescent="0.2">
      <c r="A986" s="431" t="s">
        <v>783</v>
      </c>
      <c r="B986" s="431">
        <v>1690120</v>
      </c>
      <c r="C986" s="431" t="s">
        <v>159</v>
      </c>
      <c r="D986" s="431" t="s">
        <v>160</v>
      </c>
      <c r="E986" s="431" t="s">
        <v>161</v>
      </c>
      <c r="F986" s="431" t="s">
        <v>798</v>
      </c>
      <c r="G986" s="431" t="s">
        <v>175</v>
      </c>
      <c r="H986" s="431"/>
      <c r="I986" s="431"/>
      <c r="J986" s="431"/>
      <c r="K986" s="431"/>
      <c r="L986" s="431" t="s">
        <v>784</v>
      </c>
      <c r="M986" s="432" t="s">
        <v>785</v>
      </c>
    </row>
    <row r="987" spans="1:13" ht="409.5" x14ac:dyDescent="0.2">
      <c r="A987" s="431" t="s">
        <v>783</v>
      </c>
      <c r="B987" s="431">
        <v>1690120</v>
      </c>
      <c r="C987" s="431" t="s">
        <v>159</v>
      </c>
      <c r="D987" s="431" t="s">
        <v>160</v>
      </c>
      <c r="E987" s="431" t="s">
        <v>161</v>
      </c>
      <c r="F987" s="431" t="s">
        <v>798</v>
      </c>
      <c r="G987" s="431" t="s">
        <v>175</v>
      </c>
      <c r="H987" s="431"/>
      <c r="I987" s="431"/>
      <c r="J987" s="431"/>
      <c r="K987" s="431"/>
      <c r="L987" s="431" t="s">
        <v>784</v>
      </c>
      <c r="M987" s="432" t="s">
        <v>785</v>
      </c>
    </row>
    <row r="988" spans="1:13" ht="409.5" x14ac:dyDescent="0.2">
      <c r="A988" s="431" t="s">
        <v>783</v>
      </c>
      <c r="B988" s="431">
        <v>1690120</v>
      </c>
      <c r="C988" s="431" t="s">
        <v>159</v>
      </c>
      <c r="D988" s="431" t="s">
        <v>160</v>
      </c>
      <c r="E988" s="431" t="s">
        <v>161</v>
      </c>
      <c r="F988" s="431" t="s">
        <v>798</v>
      </c>
      <c r="G988" s="431" t="s">
        <v>175</v>
      </c>
      <c r="H988" s="431"/>
      <c r="I988" s="431"/>
      <c r="J988" s="431"/>
      <c r="K988" s="431"/>
      <c r="L988" s="431" t="s">
        <v>784</v>
      </c>
      <c r="M988" s="432" t="s">
        <v>785</v>
      </c>
    </row>
    <row r="989" spans="1:13" ht="409.5" x14ac:dyDescent="0.2">
      <c r="A989" s="431" t="s">
        <v>783</v>
      </c>
      <c r="B989" s="431">
        <v>1690120</v>
      </c>
      <c r="C989" s="431" t="s">
        <v>159</v>
      </c>
      <c r="D989" s="431" t="s">
        <v>160</v>
      </c>
      <c r="E989" s="431" t="s">
        <v>161</v>
      </c>
      <c r="F989" s="431" t="s">
        <v>798</v>
      </c>
      <c r="G989" s="431" t="s">
        <v>175</v>
      </c>
      <c r="H989" s="431"/>
      <c r="I989" s="431"/>
      <c r="J989" s="431"/>
      <c r="K989" s="431"/>
      <c r="L989" s="431" t="s">
        <v>784</v>
      </c>
      <c r="M989" s="432" t="s">
        <v>785</v>
      </c>
    </row>
    <row r="990" spans="1:13" ht="409.5" x14ac:dyDescent="0.2">
      <c r="A990" s="431" t="s">
        <v>783</v>
      </c>
      <c r="B990" s="431">
        <v>1690120</v>
      </c>
      <c r="C990" s="431" t="s">
        <v>159</v>
      </c>
      <c r="D990" s="431" t="s">
        <v>160</v>
      </c>
      <c r="E990" s="431" t="s">
        <v>161</v>
      </c>
      <c r="F990" s="431" t="s">
        <v>798</v>
      </c>
      <c r="G990" s="431" t="s">
        <v>175</v>
      </c>
      <c r="H990" s="431"/>
      <c r="I990" s="431"/>
      <c r="J990" s="431"/>
      <c r="K990" s="431"/>
      <c r="L990" s="431" t="s">
        <v>784</v>
      </c>
      <c r="M990" s="432" t="s">
        <v>785</v>
      </c>
    </row>
    <row r="991" spans="1:13" ht="409.5" x14ac:dyDescent="0.2">
      <c r="A991" s="431" t="s">
        <v>783</v>
      </c>
      <c r="B991" s="431">
        <v>1690120</v>
      </c>
      <c r="C991" s="431" t="s">
        <v>159</v>
      </c>
      <c r="D991" s="431" t="s">
        <v>160</v>
      </c>
      <c r="E991" s="431" t="s">
        <v>161</v>
      </c>
      <c r="F991" s="431" t="s">
        <v>798</v>
      </c>
      <c r="G991" s="431" t="s">
        <v>175</v>
      </c>
      <c r="H991" s="431"/>
      <c r="I991" s="431"/>
      <c r="J991" s="431"/>
      <c r="K991" s="431"/>
      <c r="L991" s="431" t="s">
        <v>784</v>
      </c>
      <c r="M991" s="432" t="s">
        <v>785</v>
      </c>
    </row>
    <row r="992" spans="1:13" ht="409.5" x14ac:dyDescent="0.2">
      <c r="A992" s="431" t="s">
        <v>783</v>
      </c>
      <c r="B992" s="431">
        <v>1690120</v>
      </c>
      <c r="C992" s="431" t="s">
        <v>159</v>
      </c>
      <c r="D992" s="431" t="s">
        <v>160</v>
      </c>
      <c r="E992" s="431" t="s">
        <v>161</v>
      </c>
      <c r="F992" s="431" t="s">
        <v>798</v>
      </c>
      <c r="G992" s="431" t="s">
        <v>175</v>
      </c>
      <c r="H992" s="431"/>
      <c r="I992" s="431"/>
      <c r="J992" s="431"/>
      <c r="K992" s="431"/>
      <c r="L992" s="431" t="s">
        <v>784</v>
      </c>
      <c r="M992" s="432" t="s">
        <v>785</v>
      </c>
    </row>
    <row r="993" spans="1:13" ht="409.5" x14ac:dyDescent="0.2">
      <c r="A993" s="431" t="s">
        <v>783</v>
      </c>
      <c r="B993" s="431">
        <v>1690120</v>
      </c>
      <c r="C993" s="431" t="s">
        <v>159</v>
      </c>
      <c r="D993" s="431" t="s">
        <v>160</v>
      </c>
      <c r="E993" s="431" t="s">
        <v>161</v>
      </c>
      <c r="F993" s="431" t="s">
        <v>798</v>
      </c>
      <c r="G993" s="431" t="s">
        <v>175</v>
      </c>
      <c r="H993" s="431"/>
      <c r="I993" s="431"/>
      <c r="J993" s="431"/>
      <c r="K993" s="431"/>
      <c r="L993" s="431" t="s">
        <v>784</v>
      </c>
      <c r="M993" s="432" t="s">
        <v>785</v>
      </c>
    </row>
    <row r="994" spans="1:13" ht="409.5" x14ac:dyDescent="0.2">
      <c r="A994" s="431" t="s">
        <v>783</v>
      </c>
      <c r="B994" s="431">
        <v>1690120</v>
      </c>
      <c r="C994" s="431" t="s">
        <v>159</v>
      </c>
      <c r="D994" s="431" t="s">
        <v>160</v>
      </c>
      <c r="E994" s="431" t="s">
        <v>161</v>
      </c>
      <c r="F994" s="431" t="s">
        <v>798</v>
      </c>
      <c r="G994" s="431" t="s">
        <v>175</v>
      </c>
      <c r="H994" s="431"/>
      <c r="I994" s="431"/>
      <c r="J994" s="431"/>
      <c r="K994" s="431"/>
      <c r="L994" s="431" t="s">
        <v>784</v>
      </c>
      <c r="M994" s="432" t="s">
        <v>785</v>
      </c>
    </row>
    <row r="995" spans="1:13" ht="409.5" x14ac:dyDescent="0.2">
      <c r="A995" s="431" t="s">
        <v>783</v>
      </c>
      <c r="B995" s="431">
        <v>1690120</v>
      </c>
      <c r="C995" s="431" t="s">
        <v>159</v>
      </c>
      <c r="D995" s="431" t="s">
        <v>160</v>
      </c>
      <c r="E995" s="431" t="s">
        <v>161</v>
      </c>
      <c r="F995" s="431" t="s">
        <v>798</v>
      </c>
      <c r="G995" s="431" t="s">
        <v>175</v>
      </c>
      <c r="H995" s="431"/>
      <c r="I995" s="431"/>
      <c r="J995" s="431"/>
      <c r="K995" s="431"/>
      <c r="L995" s="431" t="s">
        <v>784</v>
      </c>
      <c r="M995" s="432" t="s">
        <v>785</v>
      </c>
    </row>
    <row r="996" spans="1:13" ht="409.5" x14ac:dyDescent="0.2">
      <c r="A996" s="431" t="s">
        <v>783</v>
      </c>
      <c r="B996" s="431">
        <v>1690120</v>
      </c>
      <c r="C996" s="431" t="s">
        <v>159</v>
      </c>
      <c r="D996" s="431" t="s">
        <v>160</v>
      </c>
      <c r="E996" s="431" t="s">
        <v>161</v>
      </c>
      <c r="F996" s="431" t="s">
        <v>798</v>
      </c>
      <c r="G996" s="431" t="s">
        <v>175</v>
      </c>
      <c r="H996" s="431"/>
      <c r="I996" s="431"/>
      <c r="J996" s="431"/>
      <c r="K996" s="431"/>
      <c r="L996" s="431" t="s">
        <v>784</v>
      </c>
      <c r="M996" s="432" t="s">
        <v>785</v>
      </c>
    </row>
    <row r="997" spans="1:13" ht="409.5" x14ac:dyDescent="0.2">
      <c r="A997" s="431" t="s">
        <v>783</v>
      </c>
      <c r="B997" s="431">
        <v>1690120</v>
      </c>
      <c r="C997" s="431" t="s">
        <v>159</v>
      </c>
      <c r="D997" s="431" t="s">
        <v>160</v>
      </c>
      <c r="E997" s="431" t="s">
        <v>161</v>
      </c>
      <c r="F997" s="431" t="s">
        <v>798</v>
      </c>
      <c r="G997" s="431" t="s">
        <v>175</v>
      </c>
      <c r="H997" s="431"/>
      <c r="I997" s="431"/>
      <c r="J997" s="431"/>
      <c r="K997" s="431"/>
      <c r="L997" s="431" t="s">
        <v>784</v>
      </c>
      <c r="M997" s="432" t="s">
        <v>785</v>
      </c>
    </row>
    <row r="998" spans="1:13" ht="409.5" x14ac:dyDescent="0.2">
      <c r="A998" s="431" t="s">
        <v>783</v>
      </c>
      <c r="B998" s="431">
        <v>1690120</v>
      </c>
      <c r="C998" s="431" t="s">
        <v>159</v>
      </c>
      <c r="D998" s="431" t="s">
        <v>160</v>
      </c>
      <c r="E998" s="431" t="s">
        <v>161</v>
      </c>
      <c r="F998" s="431" t="s">
        <v>798</v>
      </c>
      <c r="G998" s="431" t="s">
        <v>175</v>
      </c>
      <c r="H998" s="431"/>
      <c r="I998" s="431"/>
      <c r="J998" s="431"/>
      <c r="K998" s="431"/>
      <c r="L998" s="431" t="s">
        <v>784</v>
      </c>
      <c r="M998" s="432" t="s">
        <v>785</v>
      </c>
    </row>
    <row r="999" spans="1:13" ht="409.5" x14ac:dyDescent="0.2">
      <c r="A999" s="431" t="s">
        <v>783</v>
      </c>
      <c r="B999" s="431">
        <v>1690120</v>
      </c>
      <c r="C999" s="431" t="s">
        <v>159</v>
      </c>
      <c r="D999" s="431" t="s">
        <v>160</v>
      </c>
      <c r="E999" s="431" t="s">
        <v>161</v>
      </c>
      <c r="F999" s="431" t="s">
        <v>798</v>
      </c>
      <c r="G999" s="431" t="s">
        <v>175</v>
      </c>
      <c r="H999" s="431"/>
      <c r="I999" s="431"/>
      <c r="J999" s="431"/>
      <c r="K999" s="431"/>
      <c r="L999" s="431" t="s">
        <v>784</v>
      </c>
      <c r="M999" s="432" t="s">
        <v>785</v>
      </c>
    </row>
    <row r="1000" spans="1:13" ht="409.5" x14ac:dyDescent="0.2">
      <c r="A1000" s="431" t="s">
        <v>783</v>
      </c>
      <c r="B1000" s="431">
        <v>1690120</v>
      </c>
      <c r="C1000" s="431" t="s">
        <v>159</v>
      </c>
      <c r="D1000" s="431" t="s">
        <v>160</v>
      </c>
      <c r="E1000" s="431" t="s">
        <v>161</v>
      </c>
      <c r="F1000" s="431" t="s">
        <v>798</v>
      </c>
      <c r="G1000" s="431" t="s">
        <v>175</v>
      </c>
      <c r="H1000" s="431"/>
      <c r="I1000" s="431"/>
      <c r="J1000" s="431"/>
      <c r="K1000" s="431"/>
      <c r="L1000" s="431" t="s">
        <v>784</v>
      </c>
      <c r="M1000" s="432" t="s">
        <v>785</v>
      </c>
    </row>
    <row r="1001" spans="1:13" ht="409.5" x14ac:dyDescent="0.2">
      <c r="A1001" s="431" t="s">
        <v>783</v>
      </c>
      <c r="B1001" s="431">
        <v>1690120</v>
      </c>
      <c r="C1001" s="431" t="s">
        <v>159</v>
      </c>
      <c r="D1001" s="431" t="s">
        <v>160</v>
      </c>
      <c r="E1001" s="431" t="s">
        <v>161</v>
      </c>
      <c r="F1001" s="431" t="s">
        <v>798</v>
      </c>
      <c r="G1001" s="431" t="s">
        <v>175</v>
      </c>
      <c r="H1001" s="431"/>
      <c r="I1001" s="431"/>
      <c r="J1001" s="431"/>
      <c r="K1001" s="431"/>
      <c r="L1001" s="431" t="s">
        <v>784</v>
      </c>
      <c r="M1001" s="432" t="s">
        <v>785</v>
      </c>
    </row>
    <row r="1002" spans="1:13" ht="409.5" x14ac:dyDescent="0.2">
      <c r="A1002" s="431" t="s">
        <v>783</v>
      </c>
      <c r="B1002" s="431">
        <v>1690120</v>
      </c>
      <c r="C1002" s="431" t="s">
        <v>159</v>
      </c>
      <c r="D1002" s="431" t="s">
        <v>160</v>
      </c>
      <c r="E1002" s="431" t="s">
        <v>161</v>
      </c>
      <c r="F1002" s="431" t="s">
        <v>798</v>
      </c>
      <c r="G1002" s="431" t="s">
        <v>175</v>
      </c>
      <c r="H1002" s="431"/>
      <c r="I1002" s="431"/>
      <c r="J1002" s="431"/>
      <c r="K1002" s="431"/>
      <c r="L1002" s="431" t="s">
        <v>784</v>
      </c>
      <c r="M1002" s="432" t="s">
        <v>785</v>
      </c>
    </row>
    <row r="1003" spans="1:13" ht="409.5" x14ac:dyDescent="0.2">
      <c r="A1003" s="431" t="s">
        <v>783</v>
      </c>
      <c r="B1003" s="431">
        <v>1690120</v>
      </c>
      <c r="C1003" s="431" t="s">
        <v>159</v>
      </c>
      <c r="D1003" s="431" t="s">
        <v>160</v>
      </c>
      <c r="E1003" s="431" t="s">
        <v>161</v>
      </c>
      <c r="F1003" s="431" t="s">
        <v>798</v>
      </c>
      <c r="G1003" s="431" t="s">
        <v>175</v>
      </c>
      <c r="H1003" s="431"/>
      <c r="I1003" s="431"/>
      <c r="J1003" s="431"/>
      <c r="K1003" s="431"/>
      <c r="L1003" s="431" t="s">
        <v>784</v>
      </c>
      <c r="M1003" s="432" t="s">
        <v>785</v>
      </c>
    </row>
    <row r="1004" spans="1:13" ht="409.5" x14ac:dyDescent="0.2">
      <c r="A1004" s="431" t="s">
        <v>783</v>
      </c>
      <c r="B1004" s="431">
        <v>1690120</v>
      </c>
      <c r="C1004" s="431" t="s">
        <v>159</v>
      </c>
      <c r="D1004" s="431" t="s">
        <v>160</v>
      </c>
      <c r="E1004" s="431" t="s">
        <v>161</v>
      </c>
      <c r="F1004" s="431" t="s">
        <v>798</v>
      </c>
      <c r="G1004" s="431" t="s">
        <v>175</v>
      </c>
      <c r="H1004" s="431"/>
      <c r="I1004" s="431"/>
      <c r="J1004" s="431"/>
      <c r="K1004" s="431"/>
      <c r="L1004" s="431" t="s">
        <v>784</v>
      </c>
      <c r="M1004" s="432" t="s">
        <v>785</v>
      </c>
    </row>
    <row r="1005" spans="1:13" ht="409.5" x14ac:dyDescent="0.2">
      <c r="A1005" s="431" t="s">
        <v>783</v>
      </c>
      <c r="B1005" s="431">
        <v>1690120</v>
      </c>
      <c r="C1005" s="431" t="s">
        <v>159</v>
      </c>
      <c r="D1005" s="431" t="s">
        <v>160</v>
      </c>
      <c r="E1005" s="431" t="s">
        <v>161</v>
      </c>
      <c r="F1005" s="431" t="s">
        <v>798</v>
      </c>
      <c r="G1005" s="431" t="s">
        <v>175</v>
      </c>
      <c r="H1005" s="431"/>
      <c r="I1005" s="431"/>
      <c r="J1005" s="431"/>
      <c r="K1005" s="431"/>
      <c r="L1005" s="431" t="s">
        <v>784</v>
      </c>
      <c r="M1005" s="432" t="s">
        <v>785</v>
      </c>
    </row>
    <row r="1006" spans="1:13" ht="409.5" x14ac:dyDescent="0.2">
      <c r="A1006" s="431" t="s">
        <v>783</v>
      </c>
      <c r="B1006" s="431">
        <v>1690120</v>
      </c>
      <c r="C1006" s="431" t="s">
        <v>159</v>
      </c>
      <c r="D1006" s="431" t="s">
        <v>160</v>
      </c>
      <c r="E1006" s="431" t="s">
        <v>161</v>
      </c>
      <c r="F1006" s="431" t="s">
        <v>798</v>
      </c>
      <c r="G1006" s="431" t="s">
        <v>175</v>
      </c>
      <c r="H1006" s="431"/>
      <c r="I1006" s="431"/>
      <c r="J1006" s="431"/>
      <c r="K1006" s="431"/>
      <c r="L1006" s="431" t="s">
        <v>784</v>
      </c>
      <c r="M1006" s="432" t="s">
        <v>785</v>
      </c>
    </row>
    <row r="1007" spans="1:13" ht="409.5" x14ac:dyDescent="0.2">
      <c r="A1007" s="431" t="s">
        <v>783</v>
      </c>
      <c r="B1007" s="431">
        <v>1690120</v>
      </c>
      <c r="C1007" s="431" t="s">
        <v>159</v>
      </c>
      <c r="D1007" s="431" t="s">
        <v>160</v>
      </c>
      <c r="E1007" s="431" t="s">
        <v>161</v>
      </c>
      <c r="F1007" s="431" t="s">
        <v>798</v>
      </c>
      <c r="G1007" s="431" t="s">
        <v>175</v>
      </c>
      <c r="H1007" s="431"/>
      <c r="I1007" s="431"/>
      <c r="J1007" s="431"/>
      <c r="K1007" s="431"/>
      <c r="L1007" s="431" t="s">
        <v>784</v>
      </c>
      <c r="M1007" s="432" t="s">
        <v>785</v>
      </c>
    </row>
    <row r="1008" spans="1:13" ht="409.5" x14ac:dyDescent="0.2">
      <c r="A1008" s="431" t="s">
        <v>783</v>
      </c>
      <c r="B1008" s="431">
        <v>1690120</v>
      </c>
      <c r="C1008" s="431" t="s">
        <v>159</v>
      </c>
      <c r="D1008" s="431" t="s">
        <v>160</v>
      </c>
      <c r="E1008" s="431" t="s">
        <v>161</v>
      </c>
      <c r="F1008" s="431" t="s">
        <v>798</v>
      </c>
      <c r="G1008" s="431" t="s">
        <v>175</v>
      </c>
      <c r="H1008" s="431"/>
      <c r="I1008" s="431"/>
      <c r="J1008" s="431"/>
      <c r="K1008" s="431"/>
      <c r="L1008" s="431" t="s">
        <v>784</v>
      </c>
      <c r="M1008" s="432" t="s">
        <v>785</v>
      </c>
    </row>
    <row r="1009" spans="1:13" ht="409.5" x14ac:dyDescent="0.2">
      <c r="A1009" s="431" t="s">
        <v>783</v>
      </c>
      <c r="B1009" s="431">
        <v>1690120</v>
      </c>
      <c r="C1009" s="431" t="s">
        <v>159</v>
      </c>
      <c r="D1009" s="431" t="s">
        <v>160</v>
      </c>
      <c r="E1009" s="431" t="s">
        <v>161</v>
      </c>
      <c r="F1009" s="431" t="s">
        <v>798</v>
      </c>
      <c r="G1009" s="431" t="s">
        <v>175</v>
      </c>
      <c r="H1009" s="431"/>
      <c r="I1009" s="431"/>
      <c r="J1009" s="431"/>
      <c r="K1009" s="431"/>
      <c r="L1009" s="431" t="s">
        <v>784</v>
      </c>
      <c r="M1009" s="432" t="s">
        <v>785</v>
      </c>
    </row>
    <row r="1010" spans="1:13" ht="409.5" x14ac:dyDescent="0.2">
      <c r="A1010" s="431" t="s">
        <v>783</v>
      </c>
      <c r="B1010" s="431">
        <v>1690120</v>
      </c>
      <c r="C1010" s="431" t="s">
        <v>159</v>
      </c>
      <c r="D1010" s="431" t="s">
        <v>160</v>
      </c>
      <c r="E1010" s="431" t="s">
        <v>161</v>
      </c>
      <c r="F1010" s="431" t="s">
        <v>798</v>
      </c>
      <c r="G1010" s="431" t="s">
        <v>175</v>
      </c>
      <c r="H1010" s="431"/>
      <c r="I1010" s="431"/>
      <c r="J1010" s="431"/>
      <c r="K1010" s="431"/>
      <c r="L1010" s="431" t="s">
        <v>784</v>
      </c>
      <c r="M1010" s="432" t="s">
        <v>785</v>
      </c>
    </row>
    <row r="1011" spans="1:13" ht="409.5" x14ac:dyDescent="0.2">
      <c r="A1011" s="431" t="s">
        <v>783</v>
      </c>
      <c r="B1011" s="431">
        <v>1690120</v>
      </c>
      <c r="C1011" s="431" t="s">
        <v>159</v>
      </c>
      <c r="D1011" s="431" t="s">
        <v>160</v>
      </c>
      <c r="E1011" s="431" t="s">
        <v>161</v>
      </c>
      <c r="F1011" s="431" t="s">
        <v>798</v>
      </c>
      <c r="G1011" s="431" t="s">
        <v>175</v>
      </c>
      <c r="H1011" s="431"/>
      <c r="I1011" s="431"/>
      <c r="J1011" s="431"/>
      <c r="K1011" s="431"/>
      <c r="L1011" s="431" t="s">
        <v>784</v>
      </c>
      <c r="M1011" s="432" t="s">
        <v>785</v>
      </c>
    </row>
    <row r="1012" spans="1:13" ht="409.5" x14ac:dyDescent="0.2">
      <c r="A1012" s="431" t="s">
        <v>783</v>
      </c>
      <c r="B1012" s="431">
        <v>1690120</v>
      </c>
      <c r="C1012" s="431" t="s">
        <v>159</v>
      </c>
      <c r="D1012" s="431" t="s">
        <v>160</v>
      </c>
      <c r="E1012" s="431" t="s">
        <v>161</v>
      </c>
      <c r="F1012" s="431" t="s">
        <v>798</v>
      </c>
      <c r="G1012" s="431" t="s">
        <v>175</v>
      </c>
      <c r="H1012" s="431"/>
      <c r="I1012" s="431"/>
      <c r="J1012" s="431"/>
      <c r="K1012" s="431"/>
      <c r="L1012" s="431" t="s">
        <v>784</v>
      </c>
      <c r="M1012" s="432" t="s">
        <v>785</v>
      </c>
    </row>
    <row r="1013" spans="1:13" ht="409.5" x14ac:dyDescent="0.2">
      <c r="A1013" s="431" t="s">
        <v>783</v>
      </c>
      <c r="B1013" s="431">
        <v>1690120</v>
      </c>
      <c r="C1013" s="431" t="s">
        <v>159</v>
      </c>
      <c r="D1013" s="431" t="s">
        <v>160</v>
      </c>
      <c r="E1013" s="431" t="s">
        <v>161</v>
      </c>
      <c r="F1013" s="431" t="s">
        <v>798</v>
      </c>
      <c r="G1013" s="431" t="s">
        <v>175</v>
      </c>
      <c r="H1013" s="431"/>
      <c r="I1013" s="431"/>
      <c r="J1013" s="431"/>
      <c r="K1013" s="431"/>
      <c r="L1013" s="431" t="s">
        <v>784</v>
      </c>
      <c r="M1013" s="432" t="s">
        <v>785</v>
      </c>
    </row>
    <row r="1014" spans="1:13" ht="409.5" x14ac:dyDescent="0.2">
      <c r="A1014" s="431" t="s">
        <v>783</v>
      </c>
      <c r="B1014" s="431">
        <v>1690120</v>
      </c>
      <c r="C1014" s="431" t="s">
        <v>159</v>
      </c>
      <c r="D1014" s="431" t="s">
        <v>160</v>
      </c>
      <c r="E1014" s="431" t="s">
        <v>161</v>
      </c>
      <c r="F1014" s="431" t="s">
        <v>798</v>
      </c>
      <c r="G1014" s="431" t="s">
        <v>175</v>
      </c>
      <c r="H1014" s="431"/>
      <c r="I1014" s="431"/>
      <c r="J1014" s="431"/>
      <c r="K1014" s="431"/>
      <c r="L1014" s="431" t="s">
        <v>784</v>
      </c>
      <c r="M1014" s="432" t="s">
        <v>785</v>
      </c>
    </row>
    <row r="1015" spans="1:13" ht="409.5" x14ac:dyDescent="0.2">
      <c r="A1015" s="431" t="s">
        <v>783</v>
      </c>
      <c r="B1015" s="431">
        <v>1690120</v>
      </c>
      <c r="C1015" s="431" t="s">
        <v>159</v>
      </c>
      <c r="D1015" s="431" t="s">
        <v>160</v>
      </c>
      <c r="E1015" s="431" t="s">
        <v>161</v>
      </c>
      <c r="F1015" s="431" t="s">
        <v>798</v>
      </c>
      <c r="G1015" s="431" t="s">
        <v>175</v>
      </c>
      <c r="H1015" s="431"/>
      <c r="I1015" s="431"/>
      <c r="J1015" s="431"/>
      <c r="K1015" s="431"/>
      <c r="L1015" s="431" t="s">
        <v>784</v>
      </c>
      <c r="M1015" s="432" t="s">
        <v>785</v>
      </c>
    </row>
    <row r="1016" spans="1:13" ht="409.5" x14ac:dyDescent="0.2">
      <c r="A1016" s="431" t="s">
        <v>783</v>
      </c>
      <c r="B1016" s="431">
        <v>1690120</v>
      </c>
      <c r="C1016" s="431" t="s">
        <v>159</v>
      </c>
      <c r="D1016" s="431" t="s">
        <v>160</v>
      </c>
      <c r="E1016" s="431" t="s">
        <v>161</v>
      </c>
      <c r="F1016" s="431" t="s">
        <v>798</v>
      </c>
      <c r="G1016" s="431" t="s">
        <v>175</v>
      </c>
      <c r="H1016" s="431"/>
      <c r="I1016" s="431"/>
      <c r="J1016" s="431"/>
      <c r="K1016" s="431"/>
      <c r="L1016" s="431" t="s">
        <v>784</v>
      </c>
      <c r="M1016" s="432" t="s">
        <v>785</v>
      </c>
    </row>
    <row r="1017" spans="1:13" ht="409.5" x14ac:dyDescent="0.2">
      <c r="A1017" s="431" t="s">
        <v>783</v>
      </c>
      <c r="B1017" s="431">
        <v>1690120</v>
      </c>
      <c r="C1017" s="431" t="s">
        <v>159</v>
      </c>
      <c r="D1017" s="431" t="s">
        <v>160</v>
      </c>
      <c r="E1017" s="431" t="s">
        <v>161</v>
      </c>
      <c r="F1017" s="431" t="s">
        <v>798</v>
      </c>
      <c r="G1017" s="431" t="s">
        <v>175</v>
      </c>
      <c r="H1017" s="431"/>
      <c r="I1017" s="431"/>
      <c r="J1017" s="431"/>
      <c r="K1017" s="431"/>
      <c r="L1017" s="431" t="s">
        <v>784</v>
      </c>
      <c r="M1017" s="432" t="s">
        <v>785</v>
      </c>
    </row>
    <row r="1018" spans="1:13" ht="409.5" x14ac:dyDescent="0.2">
      <c r="A1018" s="431" t="s">
        <v>783</v>
      </c>
      <c r="B1018" s="431">
        <v>1690120</v>
      </c>
      <c r="C1018" s="431" t="s">
        <v>159</v>
      </c>
      <c r="D1018" s="431" t="s">
        <v>160</v>
      </c>
      <c r="E1018" s="431" t="s">
        <v>161</v>
      </c>
      <c r="F1018" s="431" t="s">
        <v>798</v>
      </c>
      <c r="G1018" s="431" t="s">
        <v>175</v>
      </c>
      <c r="H1018" s="431"/>
      <c r="I1018" s="431"/>
      <c r="J1018" s="431"/>
      <c r="K1018" s="431"/>
      <c r="L1018" s="431" t="s">
        <v>784</v>
      </c>
      <c r="M1018" s="432" t="s">
        <v>785</v>
      </c>
    </row>
    <row r="1019" spans="1:13" ht="409.5" x14ac:dyDescent="0.2">
      <c r="A1019" s="431" t="s">
        <v>783</v>
      </c>
      <c r="B1019" s="431">
        <v>1690120</v>
      </c>
      <c r="C1019" s="431" t="s">
        <v>159</v>
      </c>
      <c r="D1019" s="431" t="s">
        <v>160</v>
      </c>
      <c r="E1019" s="431" t="s">
        <v>161</v>
      </c>
      <c r="F1019" s="431" t="s">
        <v>798</v>
      </c>
      <c r="G1019" s="431" t="s">
        <v>175</v>
      </c>
      <c r="H1019" s="431"/>
      <c r="I1019" s="431"/>
      <c r="J1019" s="431"/>
      <c r="K1019" s="431"/>
      <c r="L1019" s="431" t="s">
        <v>784</v>
      </c>
      <c r="M1019" s="432" t="s">
        <v>785</v>
      </c>
    </row>
    <row r="1020" spans="1:13" ht="409.5" x14ac:dyDescent="0.2">
      <c r="A1020" s="431" t="s">
        <v>783</v>
      </c>
      <c r="B1020" s="431">
        <v>1690120</v>
      </c>
      <c r="C1020" s="431" t="s">
        <v>159</v>
      </c>
      <c r="D1020" s="431" t="s">
        <v>160</v>
      </c>
      <c r="E1020" s="431" t="s">
        <v>161</v>
      </c>
      <c r="F1020" s="431" t="s">
        <v>798</v>
      </c>
      <c r="G1020" s="431" t="s">
        <v>175</v>
      </c>
      <c r="H1020" s="431"/>
      <c r="I1020" s="431"/>
      <c r="J1020" s="431"/>
      <c r="K1020" s="431"/>
      <c r="L1020" s="431" t="s">
        <v>784</v>
      </c>
      <c r="M1020" s="432" t="s">
        <v>785</v>
      </c>
    </row>
    <row r="1021" spans="1:13" ht="409.5" x14ac:dyDescent="0.2">
      <c r="A1021" s="431" t="s">
        <v>783</v>
      </c>
      <c r="B1021" s="431">
        <v>1690120</v>
      </c>
      <c r="C1021" s="431" t="s">
        <v>159</v>
      </c>
      <c r="D1021" s="431" t="s">
        <v>160</v>
      </c>
      <c r="E1021" s="431" t="s">
        <v>161</v>
      </c>
      <c r="F1021" s="431" t="s">
        <v>798</v>
      </c>
      <c r="G1021" s="431" t="s">
        <v>175</v>
      </c>
      <c r="H1021" s="431"/>
      <c r="I1021" s="431"/>
      <c r="J1021" s="431"/>
      <c r="K1021" s="431"/>
      <c r="L1021" s="431" t="s">
        <v>784</v>
      </c>
      <c r="M1021" s="432" t="s">
        <v>785</v>
      </c>
    </row>
    <row r="1022" spans="1:13" ht="409.5" x14ac:dyDescent="0.2">
      <c r="A1022" s="431" t="s">
        <v>783</v>
      </c>
      <c r="B1022" s="431">
        <v>1690120</v>
      </c>
      <c r="C1022" s="431" t="s">
        <v>159</v>
      </c>
      <c r="D1022" s="431" t="s">
        <v>160</v>
      </c>
      <c r="E1022" s="431" t="s">
        <v>161</v>
      </c>
      <c r="F1022" s="431" t="s">
        <v>798</v>
      </c>
      <c r="G1022" s="431" t="s">
        <v>175</v>
      </c>
      <c r="H1022" s="431"/>
      <c r="I1022" s="431"/>
      <c r="J1022" s="431"/>
      <c r="K1022" s="431"/>
      <c r="L1022" s="431" t="s">
        <v>784</v>
      </c>
      <c r="M1022" s="432" t="s">
        <v>785</v>
      </c>
    </row>
    <row r="1023" spans="1:13" ht="409.5" x14ac:dyDescent="0.2">
      <c r="A1023" s="431" t="s">
        <v>783</v>
      </c>
      <c r="B1023" s="431">
        <v>1690120</v>
      </c>
      <c r="C1023" s="431" t="s">
        <v>159</v>
      </c>
      <c r="D1023" s="431" t="s">
        <v>160</v>
      </c>
      <c r="E1023" s="431" t="s">
        <v>161</v>
      </c>
      <c r="F1023" s="431" t="s">
        <v>798</v>
      </c>
      <c r="G1023" s="431" t="s">
        <v>175</v>
      </c>
      <c r="H1023" s="431"/>
      <c r="I1023" s="431"/>
      <c r="J1023" s="431"/>
      <c r="K1023" s="431"/>
      <c r="L1023" s="431" t="s">
        <v>784</v>
      </c>
      <c r="M1023" s="432" t="s">
        <v>785</v>
      </c>
    </row>
    <row r="1024" spans="1:13" ht="409.5" x14ac:dyDescent="0.2">
      <c r="A1024" s="431" t="s">
        <v>783</v>
      </c>
      <c r="B1024" s="431">
        <v>1690120</v>
      </c>
      <c r="C1024" s="431" t="s">
        <v>159</v>
      </c>
      <c r="D1024" s="431" t="s">
        <v>160</v>
      </c>
      <c r="E1024" s="431" t="s">
        <v>161</v>
      </c>
      <c r="F1024" s="431" t="s">
        <v>798</v>
      </c>
      <c r="G1024" s="431" t="s">
        <v>175</v>
      </c>
      <c r="H1024" s="431"/>
      <c r="I1024" s="431"/>
      <c r="J1024" s="431"/>
      <c r="K1024" s="431"/>
      <c r="L1024" s="431" t="s">
        <v>784</v>
      </c>
      <c r="M1024" s="432" t="s">
        <v>785</v>
      </c>
    </row>
    <row r="1025" spans="1:13" ht="409.5" x14ac:dyDescent="0.2">
      <c r="A1025" s="431" t="s">
        <v>783</v>
      </c>
      <c r="B1025" s="431">
        <v>1690120</v>
      </c>
      <c r="C1025" s="431" t="s">
        <v>159</v>
      </c>
      <c r="D1025" s="431" t="s">
        <v>160</v>
      </c>
      <c r="E1025" s="431" t="s">
        <v>161</v>
      </c>
      <c r="F1025" s="431" t="s">
        <v>798</v>
      </c>
      <c r="G1025" s="431" t="s">
        <v>175</v>
      </c>
      <c r="H1025" s="431"/>
      <c r="I1025" s="431"/>
      <c r="J1025" s="431"/>
      <c r="K1025" s="431"/>
      <c r="L1025" s="431" t="s">
        <v>784</v>
      </c>
      <c r="M1025" s="432" t="s">
        <v>785</v>
      </c>
    </row>
    <row r="1026" spans="1:13" ht="409.5" x14ac:dyDescent="0.2">
      <c r="A1026" s="431" t="s">
        <v>783</v>
      </c>
      <c r="B1026" s="431">
        <v>1690120</v>
      </c>
      <c r="C1026" s="431" t="s">
        <v>159</v>
      </c>
      <c r="D1026" s="431" t="s">
        <v>160</v>
      </c>
      <c r="E1026" s="431" t="s">
        <v>161</v>
      </c>
      <c r="F1026" s="431" t="s">
        <v>798</v>
      </c>
      <c r="G1026" s="431" t="s">
        <v>175</v>
      </c>
      <c r="H1026" s="431"/>
      <c r="I1026" s="431"/>
      <c r="J1026" s="431"/>
      <c r="K1026" s="431"/>
      <c r="L1026" s="431" t="s">
        <v>784</v>
      </c>
      <c r="M1026" s="432" t="s">
        <v>785</v>
      </c>
    </row>
    <row r="1027" spans="1:13" ht="409.5" x14ac:dyDescent="0.2">
      <c r="A1027" s="431" t="s">
        <v>783</v>
      </c>
      <c r="B1027" s="431">
        <v>1690120</v>
      </c>
      <c r="C1027" s="431" t="s">
        <v>159</v>
      </c>
      <c r="D1027" s="431" t="s">
        <v>160</v>
      </c>
      <c r="E1027" s="431" t="s">
        <v>161</v>
      </c>
      <c r="F1027" s="431" t="s">
        <v>798</v>
      </c>
      <c r="G1027" s="431" t="s">
        <v>175</v>
      </c>
      <c r="H1027" s="431"/>
      <c r="I1027" s="431"/>
      <c r="J1027" s="431"/>
      <c r="K1027" s="431"/>
      <c r="L1027" s="431" t="s">
        <v>784</v>
      </c>
      <c r="M1027" s="432" t="s">
        <v>785</v>
      </c>
    </row>
    <row r="1028" spans="1:13" ht="409.5" x14ac:dyDescent="0.2">
      <c r="A1028" s="431" t="s">
        <v>783</v>
      </c>
      <c r="B1028" s="431">
        <v>1690120</v>
      </c>
      <c r="C1028" s="431" t="s">
        <v>159</v>
      </c>
      <c r="D1028" s="431" t="s">
        <v>160</v>
      </c>
      <c r="E1028" s="431" t="s">
        <v>161</v>
      </c>
      <c r="F1028" s="431" t="s">
        <v>798</v>
      </c>
      <c r="G1028" s="431" t="s">
        <v>175</v>
      </c>
      <c r="H1028" s="431"/>
      <c r="I1028" s="431"/>
      <c r="J1028" s="431"/>
      <c r="K1028" s="431"/>
      <c r="L1028" s="431" t="s">
        <v>784</v>
      </c>
      <c r="M1028" s="432" t="s">
        <v>785</v>
      </c>
    </row>
    <row r="1029" spans="1:13" ht="409.5" x14ac:dyDescent="0.2">
      <c r="A1029" s="431" t="s">
        <v>783</v>
      </c>
      <c r="B1029" s="431">
        <v>1690120</v>
      </c>
      <c r="C1029" s="431" t="s">
        <v>159</v>
      </c>
      <c r="D1029" s="431" t="s">
        <v>160</v>
      </c>
      <c r="E1029" s="431" t="s">
        <v>161</v>
      </c>
      <c r="F1029" s="431" t="s">
        <v>798</v>
      </c>
      <c r="G1029" s="431" t="s">
        <v>175</v>
      </c>
      <c r="H1029" s="431"/>
      <c r="I1029" s="431"/>
      <c r="J1029" s="431"/>
      <c r="K1029" s="431"/>
      <c r="L1029" s="431" t="s">
        <v>784</v>
      </c>
      <c r="M1029" s="432" t="s">
        <v>785</v>
      </c>
    </row>
    <row r="1030" spans="1:13" ht="409.5" x14ac:dyDescent="0.2">
      <c r="A1030" s="431" t="s">
        <v>783</v>
      </c>
      <c r="B1030" s="431">
        <v>1690120</v>
      </c>
      <c r="C1030" s="431" t="s">
        <v>159</v>
      </c>
      <c r="D1030" s="431" t="s">
        <v>160</v>
      </c>
      <c r="E1030" s="431" t="s">
        <v>161</v>
      </c>
      <c r="F1030" s="431" t="s">
        <v>798</v>
      </c>
      <c r="G1030" s="431" t="s">
        <v>175</v>
      </c>
      <c r="H1030" s="431"/>
      <c r="I1030" s="431"/>
      <c r="J1030" s="431"/>
      <c r="K1030" s="431"/>
      <c r="L1030" s="431" t="s">
        <v>784</v>
      </c>
      <c r="M1030" s="432" t="s">
        <v>785</v>
      </c>
    </row>
    <row r="1031" spans="1:13" ht="409.5" x14ac:dyDescent="0.2">
      <c r="A1031" s="431" t="s">
        <v>783</v>
      </c>
      <c r="B1031" s="431">
        <v>1690120</v>
      </c>
      <c r="C1031" s="431" t="s">
        <v>159</v>
      </c>
      <c r="D1031" s="431" t="s">
        <v>160</v>
      </c>
      <c r="E1031" s="431" t="s">
        <v>161</v>
      </c>
      <c r="F1031" s="431" t="s">
        <v>798</v>
      </c>
      <c r="G1031" s="431" t="s">
        <v>175</v>
      </c>
      <c r="H1031" s="431"/>
      <c r="I1031" s="431"/>
      <c r="J1031" s="431"/>
      <c r="K1031" s="431"/>
      <c r="L1031" s="431" t="s">
        <v>784</v>
      </c>
      <c r="M1031" s="432" t="s">
        <v>785</v>
      </c>
    </row>
    <row r="1032" spans="1:13" ht="409.5" x14ac:dyDescent="0.2">
      <c r="A1032" s="431" t="s">
        <v>783</v>
      </c>
      <c r="B1032" s="431">
        <v>1690120</v>
      </c>
      <c r="C1032" s="431" t="s">
        <v>159</v>
      </c>
      <c r="D1032" s="431" t="s">
        <v>160</v>
      </c>
      <c r="E1032" s="431" t="s">
        <v>161</v>
      </c>
      <c r="F1032" s="431" t="s">
        <v>798</v>
      </c>
      <c r="G1032" s="431" t="s">
        <v>175</v>
      </c>
      <c r="H1032" s="431"/>
      <c r="I1032" s="431"/>
      <c r="J1032" s="431"/>
      <c r="K1032" s="431"/>
      <c r="L1032" s="431" t="s">
        <v>784</v>
      </c>
      <c r="M1032" s="432" t="s">
        <v>785</v>
      </c>
    </row>
    <row r="1033" spans="1:13" ht="409.5" x14ac:dyDescent="0.2">
      <c r="A1033" s="431" t="s">
        <v>783</v>
      </c>
      <c r="B1033" s="431">
        <v>1690120</v>
      </c>
      <c r="C1033" s="431" t="s">
        <v>159</v>
      </c>
      <c r="D1033" s="431" t="s">
        <v>160</v>
      </c>
      <c r="E1033" s="431" t="s">
        <v>161</v>
      </c>
      <c r="F1033" s="431" t="s">
        <v>798</v>
      </c>
      <c r="G1033" s="431" t="s">
        <v>175</v>
      </c>
      <c r="H1033" s="431"/>
      <c r="I1033" s="431"/>
      <c r="J1033" s="431"/>
      <c r="K1033" s="431"/>
      <c r="L1033" s="431" t="s">
        <v>784</v>
      </c>
      <c r="M1033" s="432" t="s">
        <v>785</v>
      </c>
    </row>
    <row r="1034" spans="1:13" ht="409.5" x14ac:dyDescent="0.2">
      <c r="A1034" s="431" t="s">
        <v>783</v>
      </c>
      <c r="B1034" s="431">
        <v>1690120</v>
      </c>
      <c r="C1034" s="431" t="s">
        <v>159</v>
      </c>
      <c r="D1034" s="431" t="s">
        <v>160</v>
      </c>
      <c r="E1034" s="431" t="s">
        <v>161</v>
      </c>
      <c r="F1034" s="431" t="s">
        <v>798</v>
      </c>
      <c r="G1034" s="431" t="s">
        <v>175</v>
      </c>
      <c r="H1034" s="431"/>
      <c r="I1034" s="431"/>
      <c r="J1034" s="431"/>
      <c r="K1034" s="431"/>
      <c r="L1034" s="431" t="s">
        <v>784</v>
      </c>
      <c r="M1034" s="432" t="s">
        <v>785</v>
      </c>
    </row>
    <row r="1035" spans="1:13" ht="409.5" x14ac:dyDescent="0.2">
      <c r="A1035" s="431" t="s">
        <v>783</v>
      </c>
      <c r="B1035" s="431">
        <v>1690120</v>
      </c>
      <c r="C1035" s="431" t="s">
        <v>159</v>
      </c>
      <c r="D1035" s="431" t="s">
        <v>160</v>
      </c>
      <c r="E1035" s="431" t="s">
        <v>161</v>
      </c>
      <c r="F1035" s="431" t="s">
        <v>798</v>
      </c>
      <c r="G1035" s="431" t="s">
        <v>175</v>
      </c>
      <c r="H1035" s="431"/>
      <c r="I1035" s="431"/>
      <c r="J1035" s="431"/>
      <c r="K1035" s="431"/>
      <c r="L1035" s="431" t="s">
        <v>784</v>
      </c>
      <c r="M1035" s="432" t="s">
        <v>785</v>
      </c>
    </row>
    <row r="1036" spans="1:13" ht="409.5" x14ac:dyDescent="0.2">
      <c r="A1036" s="431" t="s">
        <v>783</v>
      </c>
      <c r="B1036" s="431">
        <v>1690120</v>
      </c>
      <c r="C1036" s="431" t="s">
        <v>159</v>
      </c>
      <c r="D1036" s="431" t="s">
        <v>160</v>
      </c>
      <c r="E1036" s="431" t="s">
        <v>161</v>
      </c>
      <c r="F1036" s="431" t="s">
        <v>798</v>
      </c>
      <c r="G1036" s="431" t="s">
        <v>175</v>
      </c>
      <c r="H1036" s="431"/>
      <c r="I1036" s="431"/>
      <c r="J1036" s="431"/>
      <c r="K1036" s="431"/>
      <c r="L1036" s="431" t="s">
        <v>784</v>
      </c>
      <c r="M1036" s="432" t="s">
        <v>785</v>
      </c>
    </row>
    <row r="1037" spans="1:13" ht="409.5" x14ac:dyDescent="0.2">
      <c r="A1037" s="431" t="s">
        <v>783</v>
      </c>
      <c r="B1037" s="431">
        <v>1690120</v>
      </c>
      <c r="C1037" s="431" t="s">
        <v>159</v>
      </c>
      <c r="D1037" s="431" t="s">
        <v>160</v>
      </c>
      <c r="E1037" s="431" t="s">
        <v>161</v>
      </c>
      <c r="F1037" s="431" t="s">
        <v>798</v>
      </c>
      <c r="G1037" s="431" t="s">
        <v>175</v>
      </c>
      <c r="H1037" s="431"/>
      <c r="I1037" s="431"/>
      <c r="J1037" s="431"/>
      <c r="K1037" s="431"/>
      <c r="L1037" s="431" t="s">
        <v>784</v>
      </c>
      <c r="M1037" s="432" t="s">
        <v>785</v>
      </c>
    </row>
    <row r="1038" spans="1:13" ht="409.5" x14ac:dyDescent="0.2">
      <c r="A1038" s="431" t="s">
        <v>783</v>
      </c>
      <c r="B1038" s="431">
        <v>1690120</v>
      </c>
      <c r="C1038" s="431" t="s">
        <v>159</v>
      </c>
      <c r="D1038" s="431" t="s">
        <v>160</v>
      </c>
      <c r="E1038" s="431" t="s">
        <v>161</v>
      </c>
      <c r="F1038" s="431" t="s">
        <v>798</v>
      </c>
      <c r="G1038" s="431" t="s">
        <v>175</v>
      </c>
      <c r="H1038" s="431"/>
      <c r="I1038" s="431"/>
      <c r="J1038" s="431"/>
      <c r="K1038" s="431"/>
      <c r="L1038" s="431" t="s">
        <v>784</v>
      </c>
      <c r="M1038" s="432" t="s">
        <v>785</v>
      </c>
    </row>
    <row r="1039" spans="1:13" ht="409.5" x14ac:dyDescent="0.2">
      <c r="A1039" s="431" t="s">
        <v>783</v>
      </c>
      <c r="B1039" s="431">
        <v>1690120</v>
      </c>
      <c r="C1039" s="431" t="s">
        <v>159</v>
      </c>
      <c r="D1039" s="431" t="s">
        <v>160</v>
      </c>
      <c r="E1039" s="431" t="s">
        <v>161</v>
      </c>
      <c r="F1039" s="431" t="s">
        <v>798</v>
      </c>
      <c r="G1039" s="431" t="s">
        <v>175</v>
      </c>
      <c r="H1039" s="431"/>
      <c r="I1039" s="431"/>
      <c r="J1039" s="431"/>
      <c r="K1039" s="431"/>
      <c r="L1039" s="431" t="s">
        <v>784</v>
      </c>
      <c r="M1039" s="432" t="s">
        <v>785</v>
      </c>
    </row>
    <row r="1040" spans="1:13" ht="409.5" x14ac:dyDescent="0.2">
      <c r="A1040" s="431" t="s">
        <v>783</v>
      </c>
      <c r="B1040" s="431">
        <v>1690120</v>
      </c>
      <c r="C1040" s="431" t="s">
        <v>159</v>
      </c>
      <c r="D1040" s="431" t="s">
        <v>160</v>
      </c>
      <c r="E1040" s="431" t="s">
        <v>161</v>
      </c>
      <c r="F1040" s="431" t="s">
        <v>798</v>
      </c>
      <c r="G1040" s="431" t="s">
        <v>175</v>
      </c>
      <c r="H1040" s="431"/>
      <c r="I1040" s="431"/>
      <c r="J1040" s="431"/>
      <c r="K1040" s="431"/>
      <c r="L1040" s="431" t="s">
        <v>784</v>
      </c>
      <c r="M1040" s="432" t="s">
        <v>785</v>
      </c>
    </row>
    <row r="1041" spans="1:13" ht="409.5" x14ac:dyDescent="0.2">
      <c r="A1041" s="431" t="s">
        <v>783</v>
      </c>
      <c r="B1041" s="431">
        <v>1690120</v>
      </c>
      <c r="C1041" s="431" t="s">
        <v>159</v>
      </c>
      <c r="D1041" s="431" t="s">
        <v>160</v>
      </c>
      <c r="E1041" s="431" t="s">
        <v>161</v>
      </c>
      <c r="F1041" s="431" t="s">
        <v>798</v>
      </c>
      <c r="G1041" s="431" t="s">
        <v>175</v>
      </c>
      <c r="H1041" s="431"/>
      <c r="I1041" s="431"/>
      <c r="J1041" s="431"/>
      <c r="K1041" s="431"/>
      <c r="L1041" s="431" t="s">
        <v>784</v>
      </c>
      <c r="M1041" s="432" t="s">
        <v>785</v>
      </c>
    </row>
    <row r="1042" spans="1:13" ht="409.5" x14ac:dyDescent="0.2">
      <c r="A1042" s="431" t="s">
        <v>783</v>
      </c>
      <c r="B1042" s="431">
        <v>1690120</v>
      </c>
      <c r="C1042" s="431" t="s">
        <v>159</v>
      </c>
      <c r="D1042" s="431" t="s">
        <v>160</v>
      </c>
      <c r="E1042" s="431" t="s">
        <v>161</v>
      </c>
      <c r="F1042" s="431" t="s">
        <v>798</v>
      </c>
      <c r="G1042" s="431" t="s">
        <v>175</v>
      </c>
      <c r="H1042" s="431"/>
      <c r="I1042" s="431"/>
      <c r="J1042" s="431"/>
      <c r="K1042" s="431"/>
      <c r="L1042" s="431" t="s">
        <v>784</v>
      </c>
      <c r="M1042" s="432" t="s">
        <v>785</v>
      </c>
    </row>
    <row r="1043" spans="1:13" ht="409.5" x14ac:dyDescent="0.2">
      <c r="A1043" s="431" t="s">
        <v>783</v>
      </c>
      <c r="B1043" s="431">
        <v>1690120</v>
      </c>
      <c r="C1043" s="431" t="s">
        <v>159</v>
      </c>
      <c r="D1043" s="431" t="s">
        <v>160</v>
      </c>
      <c r="E1043" s="431" t="s">
        <v>161</v>
      </c>
      <c r="F1043" s="431" t="s">
        <v>798</v>
      </c>
      <c r="G1043" s="431" t="s">
        <v>175</v>
      </c>
      <c r="H1043" s="431"/>
      <c r="I1043" s="431"/>
      <c r="J1043" s="431"/>
      <c r="K1043" s="431"/>
      <c r="L1043" s="431" t="s">
        <v>784</v>
      </c>
      <c r="M1043" s="432" t="s">
        <v>785</v>
      </c>
    </row>
    <row r="1044" spans="1:13" ht="409.5" x14ac:dyDescent="0.2">
      <c r="A1044" s="431" t="s">
        <v>783</v>
      </c>
      <c r="B1044" s="431">
        <v>1690120</v>
      </c>
      <c r="C1044" s="431" t="s">
        <v>159</v>
      </c>
      <c r="D1044" s="431" t="s">
        <v>160</v>
      </c>
      <c r="E1044" s="431" t="s">
        <v>161</v>
      </c>
      <c r="F1044" s="431" t="s">
        <v>798</v>
      </c>
      <c r="G1044" s="431" t="s">
        <v>175</v>
      </c>
      <c r="H1044" s="431"/>
      <c r="I1044" s="431"/>
      <c r="J1044" s="431"/>
      <c r="K1044" s="431"/>
      <c r="L1044" s="431" t="s">
        <v>784</v>
      </c>
      <c r="M1044" s="432" t="s">
        <v>785</v>
      </c>
    </row>
    <row r="1045" spans="1:13" ht="409.5" x14ac:dyDescent="0.2">
      <c r="A1045" s="431" t="s">
        <v>783</v>
      </c>
      <c r="B1045" s="431">
        <v>1690120</v>
      </c>
      <c r="C1045" s="431" t="s">
        <v>159</v>
      </c>
      <c r="D1045" s="431" t="s">
        <v>160</v>
      </c>
      <c r="E1045" s="431" t="s">
        <v>161</v>
      </c>
      <c r="F1045" s="431" t="s">
        <v>798</v>
      </c>
      <c r="G1045" s="431" t="s">
        <v>175</v>
      </c>
      <c r="H1045" s="431"/>
      <c r="I1045" s="431"/>
      <c r="J1045" s="431"/>
      <c r="K1045" s="431"/>
      <c r="L1045" s="431" t="s">
        <v>784</v>
      </c>
      <c r="M1045" s="432" t="s">
        <v>785</v>
      </c>
    </row>
    <row r="1046" spans="1:13" ht="409.5" x14ac:dyDescent="0.2">
      <c r="A1046" s="431" t="s">
        <v>783</v>
      </c>
      <c r="B1046" s="431">
        <v>1690120</v>
      </c>
      <c r="C1046" s="431" t="s">
        <v>159</v>
      </c>
      <c r="D1046" s="431" t="s">
        <v>160</v>
      </c>
      <c r="E1046" s="431" t="s">
        <v>161</v>
      </c>
      <c r="F1046" s="431" t="s">
        <v>798</v>
      </c>
      <c r="G1046" s="431" t="s">
        <v>175</v>
      </c>
      <c r="H1046" s="431"/>
      <c r="I1046" s="431"/>
      <c r="J1046" s="431"/>
      <c r="K1046" s="431"/>
      <c r="L1046" s="431" t="s">
        <v>784</v>
      </c>
      <c r="M1046" s="432" t="s">
        <v>785</v>
      </c>
    </row>
    <row r="1047" spans="1:13" ht="409.5" x14ac:dyDescent="0.2">
      <c r="A1047" s="431" t="s">
        <v>783</v>
      </c>
      <c r="B1047" s="431">
        <v>1690120</v>
      </c>
      <c r="C1047" s="431" t="s">
        <v>159</v>
      </c>
      <c r="D1047" s="431" t="s">
        <v>160</v>
      </c>
      <c r="E1047" s="431" t="s">
        <v>161</v>
      </c>
      <c r="F1047" s="431" t="s">
        <v>798</v>
      </c>
      <c r="G1047" s="431" t="s">
        <v>175</v>
      </c>
      <c r="H1047" s="431"/>
      <c r="I1047" s="431"/>
      <c r="J1047" s="431"/>
      <c r="K1047" s="431"/>
      <c r="L1047" s="431" t="s">
        <v>784</v>
      </c>
      <c r="M1047" s="432" t="s">
        <v>785</v>
      </c>
    </row>
    <row r="1048" spans="1:13" ht="409.5" x14ac:dyDescent="0.2">
      <c r="A1048" s="431" t="s">
        <v>783</v>
      </c>
      <c r="B1048" s="431">
        <v>1690120</v>
      </c>
      <c r="C1048" s="431" t="s">
        <v>159</v>
      </c>
      <c r="D1048" s="431" t="s">
        <v>160</v>
      </c>
      <c r="E1048" s="431" t="s">
        <v>161</v>
      </c>
      <c r="F1048" s="431" t="s">
        <v>798</v>
      </c>
      <c r="G1048" s="431" t="s">
        <v>175</v>
      </c>
      <c r="H1048" s="431"/>
      <c r="I1048" s="431"/>
      <c r="J1048" s="431"/>
      <c r="K1048" s="431"/>
      <c r="L1048" s="431" t="s">
        <v>784</v>
      </c>
      <c r="M1048" s="432" t="s">
        <v>785</v>
      </c>
    </row>
    <row r="1049" spans="1:13" ht="409.5" x14ac:dyDescent="0.2">
      <c r="A1049" s="431" t="s">
        <v>783</v>
      </c>
      <c r="B1049" s="431">
        <v>1690120</v>
      </c>
      <c r="C1049" s="431" t="s">
        <v>159</v>
      </c>
      <c r="D1049" s="431" t="s">
        <v>160</v>
      </c>
      <c r="E1049" s="431" t="s">
        <v>161</v>
      </c>
      <c r="F1049" s="431" t="s">
        <v>798</v>
      </c>
      <c r="G1049" s="431" t="s">
        <v>175</v>
      </c>
      <c r="H1049" s="431"/>
      <c r="I1049" s="431"/>
      <c r="J1049" s="431"/>
      <c r="K1049" s="431"/>
      <c r="L1049" s="431" t="s">
        <v>784</v>
      </c>
      <c r="M1049" s="432" t="s">
        <v>785</v>
      </c>
    </row>
    <row r="1050" spans="1:13" ht="409.5" x14ac:dyDescent="0.2">
      <c r="A1050" s="431" t="s">
        <v>783</v>
      </c>
      <c r="B1050" s="431">
        <v>1690120</v>
      </c>
      <c r="C1050" s="431" t="s">
        <v>159</v>
      </c>
      <c r="D1050" s="431" t="s">
        <v>160</v>
      </c>
      <c r="E1050" s="431" t="s">
        <v>161</v>
      </c>
      <c r="F1050" s="431" t="s">
        <v>798</v>
      </c>
      <c r="G1050" s="431" t="s">
        <v>175</v>
      </c>
      <c r="H1050" s="431"/>
      <c r="I1050" s="431"/>
      <c r="J1050" s="431"/>
      <c r="K1050" s="431"/>
      <c r="L1050" s="431" t="s">
        <v>784</v>
      </c>
      <c r="M1050" s="432" t="s">
        <v>785</v>
      </c>
    </row>
    <row r="1051" spans="1:13" ht="409.5" x14ac:dyDescent="0.2">
      <c r="A1051" s="431" t="s">
        <v>783</v>
      </c>
      <c r="B1051" s="431">
        <v>1690120</v>
      </c>
      <c r="C1051" s="431" t="s">
        <v>159</v>
      </c>
      <c r="D1051" s="431" t="s">
        <v>160</v>
      </c>
      <c r="E1051" s="431" t="s">
        <v>161</v>
      </c>
      <c r="F1051" s="431" t="s">
        <v>798</v>
      </c>
      <c r="G1051" s="431" t="s">
        <v>175</v>
      </c>
      <c r="H1051" s="431"/>
      <c r="I1051" s="431"/>
      <c r="J1051" s="431"/>
      <c r="K1051" s="431"/>
      <c r="L1051" s="431" t="s">
        <v>784</v>
      </c>
      <c r="M1051" s="432" t="s">
        <v>785</v>
      </c>
    </row>
    <row r="1052" spans="1:13" ht="409.5" x14ac:dyDescent="0.2">
      <c r="A1052" s="431" t="s">
        <v>783</v>
      </c>
      <c r="B1052" s="431">
        <v>1690120</v>
      </c>
      <c r="C1052" s="431" t="s">
        <v>159</v>
      </c>
      <c r="D1052" s="431" t="s">
        <v>160</v>
      </c>
      <c r="E1052" s="431" t="s">
        <v>161</v>
      </c>
      <c r="F1052" s="431" t="s">
        <v>798</v>
      </c>
      <c r="G1052" s="431" t="s">
        <v>175</v>
      </c>
      <c r="H1052" s="431"/>
      <c r="I1052" s="431"/>
      <c r="J1052" s="431"/>
      <c r="K1052" s="431"/>
      <c r="L1052" s="431" t="s">
        <v>784</v>
      </c>
      <c r="M1052" s="432" t="s">
        <v>785</v>
      </c>
    </row>
    <row r="1053" spans="1:13" ht="409.5" x14ac:dyDescent="0.2">
      <c r="A1053" s="431" t="s">
        <v>783</v>
      </c>
      <c r="B1053" s="431">
        <v>1690120</v>
      </c>
      <c r="C1053" s="431" t="s">
        <v>159</v>
      </c>
      <c r="D1053" s="431" t="s">
        <v>160</v>
      </c>
      <c r="E1053" s="431" t="s">
        <v>161</v>
      </c>
      <c r="F1053" s="431" t="s">
        <v>798</v>
      </c>
      <c r="G1053" s="431" t="s">
        <v>175</v>
      </c>
      <c r="H1053" s="431"/>
      <c r="I1053" s="431"/>
      <c r="J1053" s="431"/>
      <c r="K1053" s="431"/>
      <c r="L1053" s="431" t="s">
        <v>784</v>
      </c>
      <c r="M1053" s="432" t="s">
        <v>785</v>
      </c>
    </row>
    <row r="1054" spans="1:13" ht="409.5" x14ac:dyDescent="0.2">
      <c r="A1054" s="431" t="s">
        <v>783</v>
      </c>
      <c r="B1054" s="431">
        <v>1690120</v>
      </c>
      <c r="C1054" s="431" t="s">
        <v>159</v>
      </c>
      <c r="D1054" s="431" t="s">
        <v>160</v>
      </c>
      <c r="E1054" s="431" t="s">
        <v>161</v>
      </c>
      <c r="F1054" s="431" t="s">
        <v>799</v>
      </c>
      <c r="G1054" s="431" t="s">
        <v>175</v>
      </c>
      <c r="H1054" s="431"/>
      <c r="I1054" s="431"/>
      <c r="J1054" s="431"/>
      <c r="K1054" s="431"/>
      <c r="L1054" s="431" t="s">
        <v>784</v>
      </c>
      <c r="M1054" s="432" t="s">
        <v>785</v>
      </c>
    </row>
    <row r="1055" spans="1:13" ht="409.5" x14ac:dyDescent="0.2">
      <c r="A1055" s="431" t="s">
        <v>783</v>
      </c>
      <c r="B1055" s="431">
        <v>1690120</v>
      </c>
      <c r="C1055" s="431" t="s">
        <v>159</v>
      </c>
      <c r="D1055" s="431" t="s">
        <v>160</v>
      </c>
      <c r="E1055" s="431" t="s">
        <v>161</v>
      </c>
      <c r="F1055" s="431" t="s">
        <v>799</v>
      </c>
      <c r="G1055" s="431" t="s">
        <v>175</v>
      </c>
      <c r="H1055" s="431"/>
      <c r="I1055" s="431"/>
      <c r="J1055" s="431"/>
      <c r="K1055" s="431"/>
      <c r="L1055" s="431" t="s">
        <v>784</v>
      </c>
      <c r="M1055" s="432" t="s">
        <v>785</v>
      </c>
    </row>
    <row r="1056" spans="1:13" ht="409.5" x14ac:dyDescent="0.2">
      <c r="A1056" s="431" t="s">
        <v>783</v>
      </c>
      <c r="B1056" s="431">
        <v>1690120</v>
      </c>
      <c r="C1056" s="431" t="s">
        <v>159</v>
      </c>
      <c r="D1056" s="431" t="s">
        <v>160</v>
      </c>
      <c r="E1056" s="431" t="s">
        <v>161</v>
      </c>
      <c r="F1056" s="431" t="s">
        <v>799</v>
      </c>
      <c r="G1056" s="431" t="s">
        <v>175</v>
      </c>
      <c r="H1056" s="431"/>
      <c r="I1056" s="431"/>
      <c r="J1056" s="431"/>
      <c r="K1056" s="431"/>
      <c r="L1056" s="431" t="s">
        <v>784</v>
      </c>
      <c r="M1056" s="432" t="s">
        <v>785</v>
      </c>
    </row>
    <row r="1057" spans="1:13" ht="409.5" x14ac:dyDescent="0.2">
      <c r="A1057" s="431" t="s">
        <v>783</v>
      </c>
      <c r="B1057" s="431">
        <v>1690120</v>
      </c>
      <c r="C1057" s="431" t="s">
        <v>159</v>
      </c>
      <c r="D1057" s="431" t="s">
        <v>160</v>
      </c>
      <c r="E1057" s="431" t="s">
        <v>161</v>
      </c>
      <c r="F1057" s="431" t="s">
        <v>799</v>
      </c>
      <c r="G1057" s="431" t="s">
        <v>175</v>
      </c>
      <c r="H1057" s="431"/>
      <c r="I1057" s="431"/>
      <c r="J1057" s="431"/>
      <c r="K1057" s="431"/>
      <c r="L1057" s="431" t="s">
        <v>784</v>
      </c>
      <c r="M1057" s="432" t="s">
        <v>785</v>
      </c>
    </row>
    <row r="1058" spans="1:13" ht="409.5" x14ac:dyDescent="0.2">
      <c r="A1058" s="431" t="s">
        <v>783</v>
      </c>
      <c r="B1058" s="431">
        <v>1690120</v>
      </c>
      <c r="C1058" s="431" t="s">
        <v>159</v>
      </c>
      <c r="D1058" s="431" t="s">
        <v>160</v>
      </c>
      <c r="E1058" s="431" t="s">
        <v>161</v>
      </c>
      <c r="F1058" s="431" t="s">
        <v>799</v>
      </c>
      <c r="G1058" s="431" t="s">
        <v>175</v>
      </c>
      <c r="H1058" s="431"/>
      <c r="I1058" s="431"/>
      <c r="J1058" s="431"/>
      <c r="K1058" s="431"/>
      <c r="L1058" s="431" t="s">
        <v>784</v>
      </c>
      <c r="M1058" s="432" t="s">
        <v>785</v>
      </c>
    </row>
    <row r="1059" spans="1:13" ht="409.5" x14ac:dyDescent="0.2">
      <c r="A1059" s="431" t="s">
        <v>783</v>
      </c>
      <c r="B1059" s="431">
        <v>1690120</v>
      </c>
      <c r="C1059" s="431" t="s">
        <v>159</v>
      </c>
      <c r="D1059" s="431" t="s">
        <v>160</v>
      </c>
      <c r="E1059" s="431" t="s">
        <v>161</v>
      </c>
      <c r="F1059" s="431" t="s">
        <v>799</v>
      </c>
      <c r="G1059" s="431" t="s">
        <v>175</v>
      </c>
      <c r="H1059" s="431"/>
      <c r="I1059" s="431"/>
      <c r="J1059" s="431"/>
      <c r="K1059" s="431"/>
      <c r="L1059" s="431" t="s">
        <v>784</v>
      </c>
      <c r="M1059" s="432" t="s">
        <v>785</v>
      </c>
    </row>
    <row r="1060" spans="1:13" ht="409.5" x14ac:dyDescent="0.2">
      <c r="A1060" s="431" t="s">
        <v>783</v>
      </c>
      <c r="B1060" s="431">
        <v>1690120</v>
      </c>
      <c r="C1060" s="431" t="s">
        <v>159</v>
      </c>
      <c r="D1060" s="431" t="s">
        <v>160</v>
      </c>
      <c r="E1060" s="431" t="s">
        <v>161</v>
      </c>
      <c r="F1060" s="431" t="s">
        <v>799</v>
      </c>
      <c r="G1060" s="431" t="s">
        <v>175</v>
      </c>
      <c r="H1060" s="431"/>
      <c r="I1060" s="431"/>
      <c r="J1060" s="431"/>
      <c r="K1060" s="431"/>
      <c r="L1060" s="431" t="s">
        <v>784</v>
      </c>
      <c r="M1060" s="432" t="s">
        <v>785</v>
      </c>
    </row>
    <row r="1061" spans="1:13" ht="409.5" x14ac:dyDescent="0.2">
      <c r="A1061" s="431" t="s">
        <v>783</v>
      </c>
      <c r="B1061" s="431">
        <v>1690120</v>
      </c>
      <c r="C1061" s="431" t="s">
        <v>159</v>
      </c>
      <c r="D1061" s="431" t="s">
        <v>160</v>
      </c>
      <c r="E1061" s="431" t="s">
        <v>161</v>
      </c>
      <c r="F1061" s="431" t="s">
        <v>799</v>
      </c>
      <c r="G1061" s="431" t="s">
        <v>175</v>
      </c>
      <c r="H1061" s="431"/>
      <c r="I1061" s="431"/>
      <c r="J1061" s="431"/>
      <c r="K1061" s="431"/>
      <c r="L1061" s="431" t="s">
        <v>784</v>
      </c>
      <c r="M1061" s="432" t="s">
        <v>785</v>
      </c>
    </row>
    <row r="1062" spans="1:13" ht="409.5" x14ac:dyDescent="0.2">
      <c r="A1062" s="431" t="s">
        <v>783</v>
      </c>
      <c r="B1062" s="431">
        <v>1690120</v>
      </c>
      <c r="C1062" s="431" t="s">
        <v>159</v>
      </c>
      <c r="D1062" s="431" t="s">
        <v>160</v>
      </c>
      <c r="E1062" s="431" t="s">
        <v>161</v>
      </c>
      <c r="F1062" s="431" t="s">
        <v>799</v>
      </c>
      <c r="G1062" s="431" t="s">
        <v>175</v>
      </c>
      <c r="H1062" s="431"/>
      <c r="I1062" s="431"/>
      <c r="J1062" s="431"/>
      <c r="K1062" s="431"/>
      <c r="L1062" s="431" t="s">
        <v>784</v>
      </c>
      <c r="M1062" s="432" t="s">
        <v>785</v>
      </c>
    </row>
    <row r="1063" spans="1:13" ht="409.5" x14ac:dyDescent="0.2">
      <c r="A1063" s="431" t="s">
        <v>783</v>
      </c>
      <c r="B1063" s="431">
        <v>1690120</v>
      </c>
      <c r="C1063" s="431" t="s">
        <v>159</v>
      </c>
      <c r="D1063" s="431" t="s">
        <v>160</v>
      </c>
      <c r="E1063" s="431" t="s">
        <v>161</v>
      </c>
      <c r="F1063" s="431" t="s">
        <v>799</v>
      </c>
      <c r="G1063" s="431" t="s">
        <v>175</v>
      </c>
      <c r="H1063" s="431"/>
      <c r="I1063" s="431"/>
      <c r="J1063" s="431"/>
      <c r="K1063" s="431"/>
      <c r="L1063" s="431" t="s">
        <v>784</v>
      </c>
      <c r="M1063" s="432" t="s">
        <v>785</v>
      </c>
    </row>
    <row r="1064" spans="1:13" ht="409.5" x14ac:dyDescent="0.2">
      <c r="A1064" s="431" t="s">
        <v>783</v>
      </c>
      <c r="B1064" s="431">
        <v>1690120</v>
      </c>
      <c r="C1064" s="431" t="s">
        <v>159</v>
      </c>
      <c r="D1064" s="431" t="s">
        <v>160</v>
      </c>
      <c r="E1064" s="431" t="s">
        <v>161</v>
      </c>
      <c r="F1064" s="431" t="s">
        <v>799</v>
      </c>
      <c r="G1064" s="431" t="s">
        <v>175</v>
      </c>
      <c r="H1064" s="431"/>
      <c r="I1064" s="431"/>
      <c r="J1064" s="431"/>
      <c r="K1064" s="431"/>
      <c r="L1064" s="431" t="s">
        <v>784</v>
      </c>
      <c r="M1064" s="432" t="s">
        <v>785</v>
      </c>
    </row>
    <row r="1065" spans="1:13" ht="409.5" x14ac:dyDescent="0.2">
      <c r="A1065" s="431" t="s">
        <v>783</v>
      </c>
      <c r="B1065" s="431">
        <v>1690120</v>
      </c>
      <c r="C1065" s="431" t="s">
        <v>159</v>
      </c>
      <c r="D1065" s="431" t="s">
        <v>160</v>
      </c>
      <c r="E1065" s="431" t="s">
        <v>161</v>
      </c>
      <c r="F1065" s="431" t="s">
        <v>799</v>
      </c>
      <c r="G1065" s="431" t="s">
        <v>175</v>
      </c>
      <c r="H1065" s="431"/>
      <c r="I1065" s="431"/>
      <c r="J1065" s="431"/>
      <c r="K1065" s="431"/>
      <c r="L1065" s="431" t="s">
        <v>784</v>
      </c>
      <c r="M1065" s="432" t="s">
        <v>785</v>
      </c>
    </row>
    <row r="1066" spans="1:13" ht="409.5" x14ac:dyDescent="0.2">
      <c r="A1066" s="431" t="s">
        <v>783</v>
      </c>
      <c r="B1066" s="431">
        <v>1690120</v>
      </c>
      <c r="C1066" s="431" t="s">
        <v>159</v>
      </c>
      <c r="D1066" s="431" t="s">
        <v>160</v>
      </c>
      <c r="E1066" s="431" t="s">
        <v>161</v>
      </c>
      <c r="F1066" s="431" t="s">
        <v>799</v>
      </c>
      <c r="G1066" s="431" t="s">
        <v>175</v>
      </c>
      <c r="H1066" s="431"/>
      <c r="I1066" s="431"/>
      <c r="J1066" s="431"/>
      <c r="K1066" s="431"/>
      <c r="L1066" s="431" t="s">
        <v>784</v>
      </c>
      <c r="M1066" s="432" t="s">
        <v>785</v>
      </c>
    </row>
    <row r="1067" spans="1:13" ht="409.5" x14ac:dyDescent="0.2">
      <c r="A1067" s="431" t="s">
        <v>783</v>
      </c>
      <c r="B1067" s="431">
        <v>1690120</v>
      </c>
      <c r="C1067" s="431" t="s">
        <v>159</v>
      </c>
      <c r="D1067" s="431" t="s">
        <v>160</v>
      </c>
      <c r="E1067" s="431" t="s">
        <v>161</v>
      </c>
      <c r="F1067" s="431" t="s">
        <v>799</v>
      </c>
      <c r="G1067" s="431" t="s">
        <v>175</v>
      </c>
      <c r="H1067" s="431"/>
      <c r="I1067" s="431"/>
      <c r="J1067" s="431"/>
      <c r="K1067" s="431"/>
      <c r="L1067" s="431" t="s">
        <v>784</v>
      </c>
      <c r="M1067" s="432" t="s">
        <v>785</v>
      </c>
    </row>
    <row r="1068" spans="1:13" ht="409.5" x14ac:dyDescent="0.2">
      <c r="A1068" s="431" t="s">
        <v>783</v>
      </c>
      <c r="B1068" s="431">
        <v>1690120</v>
      </c>
      <c r="C1068" s="431" t="s">
        <v>159</v>
      </c>
      <c r="D1068" s="431" t="s">
        <v>160</v>
      </c>
      <c r="E1068" s="431" t="s">
        <v>161</v>
      </c>
      <c r="F1068" s="431" t="s">
        <v>799</v>
      </c>
      <c r="G1068" s="431" t="s">
        <v>175</v>
      </c>
      <c r="H1068" s="431"/>
      <c r="I1068" s="431"/>
      <c r="J1068" s="431"/>
      <c r="K1068" s="431"/>
      <c r="L1068" s="431" t="s">
        <v>784</v>
      </c>
      <c r="M1068" s="432" t="s">
        <v>785</v>
      </c>
    </row>
    <row r="1069" spans="1:13" ht="409.5" x14ac:dyDescent="0.2">
      <c r="A1069" s="431" t="s">
        <v>783</v>
      </c>
      <c r="B1069" s="431">
        <v>1690120</v>
      </c>
      <c r="C1069" s="431" t="s">
        <v>159</v>
      </c>
      <c r="D1069" s="431" t="s">
        <v>160</v>
      </c>
      <c r="E1069" s="431" t="s">
        <v>161</v>
      </c>
      <c r="F1069" s="431" t="s">
        <v>799</v>
      </c>
      <c r="G1069" s="431" t="s">
        <v>175</v>
      </c>
      <c r="H1069" s="431"/>
      <c r="I1069" s="431"/>
      <c r="J1069" s="431"/>
      <c r="K1069" s="431"/>
      <c r="L1069" s="431" t="s">
        <v>784</v>
      </c>
      <c r="M1069" s="432" t="s">
        <v>785</v>
      </c>
    </row>
    <row r="1070" spans="1:13" ht="409.5" x14ac:dyDescent="0.2">
      <c r="A1070" s="431" t="s">
        <v>783</v>
      </c>
      <c r="B1070" s="431">
        <v>1690120</v>
      </c>
      <c r="C1070" s="431" t="s">
        <v>159</v>
      </c>
      <c r="D1070" s="431" t="s">
        <v>160</v>
      </c>
      <c r="E1070" s="431" t="s">
        <v>161</v>
      </c>
      <c r="F1070" s="431" t="s">
        <v>799</v>
      </c>
      <c r="G1070" s="431" t="s">
        <v>175</v>
      </c>
      <c r="H1070" s="431"/>
      <c r="I1070" s="431"/>
      <c r="J1070" s="431"/>
      <c r="K1070" s="431"/>
      <c r="L1070" s="431" t="s">
        <v>784</v>
      </c>
      <c r="M1070" s="432" t="s">
        <v>785</v>
      </c>
    </row>
    <row r="1071" spans="1:13" ht="409.5" x14ac:dyDescent="0.2">
      <c r="A1071" s="431" t="s">
        <v>783</v>
      </c>
      <c r="B1071" s="431">
        <v>1690120</v>
      </c>
      <c r="C1071" s="431" t="s">
        <v>159</v>
      </c>
      <c r="D1071" s="431" t="s">
        <v>160</v>
      </c>
      <c r="E1071" s="431" t="s">
        <v>161</v>
      </c>
      <c r="F1071" s="431" t="s">
        <v>799</v>
      </c>
      <c r="G1071" s="431" t="s">
        <v>175</v>
      </c>
      <c r="H1071" s="431"/>
      <c r="I1071" s="431"/>
      <c r="J1071" s="431"/>
      <c r="K1071" s="431"/>
      <c r="L1071" s="431" t="s">
        <v>784</v>
      </c>
      <c r="M1071" s="432" t="s">
        <v>785</v>
      </c>
    </row>
    <row r="1072" spans="1:13" ht="409.5" x14ac:dyDescent="0.2">
      <c r="A1072" s="431" t="s">
        <v>783</v>
      </c>
      <c r="B1072" s="431">
        <v>1690120</v>
      </c>
      <c r="C1072" s="431" t="s">
        <v>159</v>
      </c>
      <c r="D1072" s="431" t="s">
        <v>160</v>
      </c>
      <c r="E1072" s="431" t="s">
        <v>161</v>
      </c>
      <c r="F1072" s="431" t="s">
        <v>799</v>
      </c>
      <c r="G1072" s="431" t="s">
        <v>175</v>
      </c>
      <c r="H1072" s="431"/>
      <c r="I1072" s="431"/>
      <c r="J1072" s="431"/>
      <c r="K1072" s="431"/>
      <c r="L1072" s="431" t="s">
        <v>784</v>
      </c>
      <c r="M1072" s="432" t="s">
        <v>785</v>
      </c>
    </row>
    <row r="1073" spans="1:13" ht="409.5" x14ac:dyDescent="0.2">
      <c r="A1073" s="431" t="s">
        <v>783</v>
      </c>
      <c r="B1073" s="431">
        <v>1690120</v>
      </c>
      <c r="C1073" s="431" t="s">
        <v>159</v>
      </c>
      <c r="D1073" s="431" t="s">
        <v>160</v>
      </c>
      <c r="E1073" s="431" t="s">
        <v>161</v>
      </c>
      <c r="F1073" s="431" t="s">
        <v>799</v>
      </c>
      <c r="G1073" s="431" t="s">
        <v>175</v>
      </c>
      <c r="H1073" s="431"/>
      <c r="I1073" s="431"/>
      <c r="J1073" s="431"/>
      <c r="K1073" s="431"/>
      <c r="L1073" s="431" t="s">
        <v>784</v>
      </c>
      <c r="M1073" s="432" t="s">
        <v>785</v>
      </c>
    </row>
    <row r="1074" spans="1:13" ht="409.5" x14ac:dyDescent="0.2">
      <c r="A1074" s="431" t="s">
        <v>783</v>
      </c>
      <c r="B1074" s="431">
        <v>1690120</v>
      </c>
      <c r="C1074" s="431" t="s">
        <v>159</v>
      </c>
      <c r="D1074" s="431" t="s">
        <v>160</v>
      </c>
      <c r="E1074" s="431" t="s">
        <v>161</v>
      </c>
      <c r="F1074" s="431" t="s">
        <v>799</v>
      </c>
      <c r="G1074" s="431" t="s">
        <v>175</v>
      </c>
      <c r="H1074" s="431"/>
      <c r="I1074" s="431"/>
      <c r="J1074" s="431"/>
      <c r="K1074" s="431"/>
      <c r="L1074" s="431" t="s">
        <v>784</v>
      </c>
      <c r="M1074" s="432" t="s">
        <v>785</v>
      </c>
    </row>
    <row r="1075" spans="1:13" ht="409.5" x14ac:dyDescent="0.2">
      <c r="A1075" s="431" t="s">
        <v>783</v>
      </c>
      <c r="B1075" s="431">
        <v>1690120</v>
      </c>
      <c r="C1075" s="431" t="s">
        <v>159</v>
      </c>
      <c r="D1075" s="431" t="s">
        <v>160</v>
      </c>
      <c r="E1075" s="431" t="s">
        <v>161</v>
      </c>
      <c r="F1075" s="431" t="s">
        <v>799</v>
      </c>
      <c r="G1075" s="431" t="s">
        <v>175</v>
      </c>
      <c r="H1075" s="431"/>
      <c r="I1075" s="431"/>
      <c r="J1075" s="431"/>
      <c r="K1075" s="431"/>
      <c r="L1075" s="431" t="s">
        <v>784</v>
      </c>
      <c r="M1075" s="432" t="s">
        <v>785</v>
      </c>
    </row>
    <row r="1076" spans="1:13" ht="409.5" x14ac:dyDescent="0.2">
      <c r="A1076" s="431" t="s">
        <v>783</v>
      </c>
      <c r="B1076" s="431">
        <v>1690120</v>
      </c>
      <c r="C1076" s="431" t="s">
        <v>159</v>
      </c>
      <c r="D1076" s="431" t="s">
        <v>160</v>
      </c>
      <c r="E1076" s="431" t="s">
        <v>161</v>
      </c>
      <c r="F1076" s="431" t="s">
        <v>799</v>
      </c>
      <c r="G1076" s="431" t="s">
        <v>175</v>
      </c>
      <c r="H1076" s="431"/>
      <c r="I1076" s="431"/>
      <c r="J1076" s="431"/>
      <c r="K1076" s="431"/>
      <c r="L1076" s="431" t="s">
        <v>784</v>
      </c>
      <c r="M1076" s="432" t="s">
        <v>785</v>
      </c>
    </row>
    <row r="1077" spans="1:13" ht="409.5" x14ac:dyDescent="0.2">
      <c r="A1077" s="431" t="s">
        <v>783</v>
      </c>
      <c r="B1077" s="431">
        <v>1690120</v>
      </c>
      <c r="C1077" s="431" t="s">
        <v>159</v>
      </c>
      <c r="D1077" s="431" t="s">
        <v>160</v>
      </c>
      <c r="E1077" s="431" t="s">
        <v>161</v>
      </c>
      <c r="F1077" s="431" t="s">
        <v>799</v>
      </c>
      <c r="G1077" s="431" t="s">
        <v>175</v>
      </c>
      <c r="H1077" s="431"/>
      <c r="I1077" s="431"/>
      <c r="J1077" s="431"/>
      <c r="K1077" s="431"/>
      <c r="L1077" s="431" t="s">
        <v>784</v>
      </c>
      <c r="M1077" s="432" t="s">
        <v>785</v>
      </c>
    </row>
    <row r="1078" spans="1:13" x14ac:dyDescent="0.2">
      <c r="A1078" s="431" t="s">
        <v>800</v>
      </c>
      <c r="B1078" s="431">
        <v>1690140</v>
      </c>
      <c r="C1078" s="431" t="s">
        <v>159</v>
      </c>
      <c r="D1078" s="431" t="s">
        <v>160</v>
      </c>
      <c r="E1078" s="431" t="s">
        <v>161</v>
      </c>
      <c r="F1078" s="431" t="s">
        <v>685</v>
      </c>
      <c r="G1078" s="431" t="s">
        <v>175</v>
      </c>
      <c r="H1078" s="431"/>
      <c r="I1078" s="431"/>
      <c r="J1078" s="431"/>
      <c r="K1078" s="431"/>
      <c r="L1078" s="431" t="s">
        <v>683</v>
      </c>
      <c r="M1078" s="431" t="s">
        <v>684</v>
      </c>
    </row>
    <row r="1079" spans="1:13" x14ac:dyDescent="0.2">
      <c r="A1079" s="431" t="s">
        <v>800</v>
      </c>
      <c r="B1079" s="431">
        <v>1690140</v>
      </c>
      <c r="C1079" s="431" t="s">
        <v>159</v>
      </c>
      <c r="D1079" s="431" t="s">
        <v>160</v>
      </c>
      <c r="E1079" s="431" t="s">
        <v>161</v>
      </c>
      <c r="F1079" s="431" t="s">
        <v>685</v>
      </c>
      <c r="G1079" s="431" t="s">
        <v>175</v>
      </c>
      <c r="H1079" s="431"/>
      <c r="I1079" s="431"/>
      <c r="J1079" s="431"/>
      <c r="K1079" s="431"/>
      <c r="L1079" s="431" t="s">
        <v>683</v>
      </c>
      <c r="M1079" s="431" t="s">
        <v>684</v>
      </c>
    </row>
    <row r="1080" spans="1:13" x14ac:dyDescent="0.2">
      <c r="A1080" s="431" t="s">
        <v>800</v>
      </c>
      <c r="B1080" s="431">
        <v>1690140</v>
      </c>
      <c r="C1080" s="431" t="s">
        <v>159</v>
      </c>
      <c r="D1080" s="431" t="s">
        <v>160</v>
      </c>
      <c r="E1080" s="431" t="s">
        <v>161</v>
      </c>
      <c r="F1080" s="431" t="s">
        <v>685</v>
      </c>
      <c r="G1080" s="431" t="s">
        <v>175</v>
      </c>
      <c r="H1080" s="431"/>
      <c r="I1080" s="431"/>
      <c r="J1080" s="431"/>
      <c r="K1080" s="431"/>
      <c r="L1080" s="431" t="s">
        <v>683</v>
      </c>
      <c r="M1080" s="431" t="s">
        <v>684</v>
      </c>
    </row>
    <row r="1081" spans="1:13" x14ac:dyDescent="0.2">
      <c r="A1081" s="431" t="s">
        <v>800</v>
      </c>
      <c r="B1081" s="431">
        <v>1690140</v>
      </c>
      <c r="C1081" s="431" t="s">
        <v>159</v>
      </c>
      <c r="D1081" s="431" t="s">
        <v>160</v>
      </c>
      <c r="E1081" s="431" t="s">
        <v>161</v>
      </c>
      <c r="F1081" s="431" t="s">
        <v>685</v>
      </c>
      <c r="G1081" s="431" t="s">
        <v>175</v>
      </c>
      <c r="H1081" s="431"/>
      <c r="I1081" s="431"/>
      <c r="J1081" s="431"/>
      <c r="K1081" s="431"/>
      <c r="L1081" s="431" t="s">
        <v>683</v>
      </c>
      <c r="M1081" s="431" t="s">
        <v>684</v>
      </c>
    </row>
    <row r="1082" spans="1:13" x14ac:dyDescent="0.2">
      <c r="A1082" s="431" t="s">
        <v>800</v>
      </c>
      <c r="B1082" s="431">
        <v>1690140</v>
      </c>
      <c r="C1082" s="431" t="s">
        <v>159</v>
      </c>
      <c r="D1082" s="431" t="s">
        <v>160</v>
      </c>
      <c r="E1082" s="431" t="s">
        <v>161</v>
      </c>
      <c r="F1082" s="431" t="s">
        <v>686</v>
      </c>
      <c r="G1082" s="431" t="s">
        <v>175</v>
      </c>
      <c r="H1082" s="431"/>
      <c r="I1082" s="431"/>
      <c r="J1082" s="431"/>
      <c r="K1082" s="431"/>
      <c r="L1082" s="431" t="s">
        <v>683</v>
      </c>
      <c r="M1082" s="431" t="s">
        <v>684</v>
      </c>
    </row>
    <row r="1083" spans="1:13" x14ac:dyDescent="0.2">
      <c r="A1083" s="431" t="s">
        <v>800</v>
      </c>
      <c r="B1083" s="431">
        <v>1690140</v>
      </c>
      <c r="C1083" s="431" t="s">
        <v>159</v>
      </c>
      <c r="D1083" s="431" t="s">
        <v>160</v>
      </c>
      <c r="E1083" s="431" t="s">
        <v>161</v>
      </c>
      <c r="F1083" s="431" t="s">
        <v>786</v>
      </c>
      <c r="G1083" s="431" t="s">
        <v>175</v>
      </c>
      <c r="H1083" s="431"/>
      <c r="I1083" s="431"/>
      <c r="J1083" s="431"/>
      <c r="K1083" s="431"/>
      <c r="L1083" s="431" t="s">
        <v>683</v>
      </c>
      <c r="M1083" s="431" t="s">
        <v>684</v>
      </c>
    </row>
    <row r="1084" spans="1:13" x14ac:dyDescent="0.2">
      <c r="A1084" s="431" t="s">
        <v>800</v>
      </c>
      <c r="B1084" s="431">
        <v>1690140</v>
      </c>
      <c r="C1084" s="431" t="s">
        <v>159</v>
      </c>
      <c r="D1084" s="431" t="s">
        <v>160</v>
      </c>
      <c r="E1084" s="431" t="s">
        <v>161</v>
      </c>
      <c r="F1084" s="431" t="s">
        <v>787</v>
      </c>
      <c r="G1084" s="431" t="s">
        <v>175</v>
      </c>
      <c r="H1084" s="431"/>
      <c r="I1084" s="431"/>
      <c r="J1084" s="431"/>
      <c r="K1084" s="431"/>
      <c r="L1084" s="431" t="s">
        <v>683</v>
      </c>
      <c r="M1084" s="431" t="s">
        <v>684</v>
      </c>
    </row>
    <row r="1085" spans="1:13" x14ac:dyDescent="0.2">
      <c r="A1085" s="431" t="s">
        <v>800</v>
      </c>
      <c r="B1085" s="431">
        <v>1690140</v>
      </c>
      <c r="C1085" s="431" t="s">
        <v>159</v>
      </c>
      <c r="D1085" s="431" t="s">
        <v>160</v>
      </c>
      <c r="E1085" s="431" t="s">
        <v>161</v>
      </c>
      <c r="F1085" s="431" t="s">
        <v>788</v>
      </c>
      <c r="G1085" s="431" t="s">
        <v>175</v>
      </c>
      <c r="H1085" s="431"/>
      <c r="I1085" s="431"/>
      <c r="J1085" s="431"/>
      <c r="K1085" s="431"/>
      <c r="L1085" s="431" t="s">
        <v>683</v>
      </c>
      <c r="M1085" s="431" t="s">
        <v>684</v>
      </c>
    </row>
    <row r="1086" spans="1:13" x14ac:dyDescent="0.2">
      <c r="A1086" s="431" t="s">
        <v>800</v>
      </c>
      <c r="B1086" s="431">
        <v>1690140</v>
      </c>
      <c r="C1086" s="431" t="s">
        <v>159</v>
      </c>
      <c r="D1086" s="431" t="s">
        <v>160</v>
      </c>
      <c r="E1086" s="431" t="s">
        <v>161</v>
      </c>
      <c r="F1086" s="431" t="s">
        <v>795</v>
      </c>
      <c r="G1086" s="431" t="s">
        <v>175</v>
      </c>
      <c r="H1086" s="431"/>
      <c r="I1086" s="431"/>
      <c r="J1086" s="431"/>
      <c r="K1086" s="431"/>
      <c r="L1086" s="431" t="s">
        <v>683</v>
      </c>
      <c r="M1086" s="431" t="s">
        <v>684</v>
      </c>
    </row>
    <row r="1087" spans="1:13" x14ac:dyDescent="0.2">
      <c r="A1087" s="431" t="s">
        <v>800</v>
      </c>
      <c r="B1087" s="431">
        <v>1690140</v>
      </c>
      <c r="C1087" s="431" t="s">
        <v>159</v>
      </c>
      <c r="D1087" s="431" t="s">
        <v>160</v>
      </c>
      <c r="E1087" s="431" t="s">
        <v>161</v>
      </c>
      <c r="F1087" s="431" t="s">
        <v>796</v>
      </c>
      <c r="G1087" s="431" t="s">
        <v>175</v>
      </c>
      <c r="H1087" s="431"/>
      <c r="I1087" s="431"/>
      <c r="J1087" s="431"/>
      <c r="K1087" s="431"/>
      <c r="L1087" s="431" t="s">
        <v>683</v>
      </c>
      <c r="M1087" s="431" t="s">
        <v>684</v>
      </c>
    </row>
    <row r="1088" spans="1:13" x14ac:dyDescent="0.2">
      <c r="A1088" s="431" t="s">
        <v>800</v>
      </c>
      <c r="B1088" s="431">
        <v>1690140</v>
      </c>
      <c r="C1088" s="431" t="s">
        <v>159</v>
      </c>
      <c r="D1088" s="431" t="s">
        <v>160</v>
      </c>
      <c r="E1088" s="431" t="s">
        <v>161</v>
      </c>
      <c r="F1088" s="431" t="s">
        <v>797</v>
      </c>
      <c r="G1088" s="431" t="s">
        <v>175</v>
      </c>
      <c r="H1088" s="431"/>
      <c r="I1088" s="431"/>
      <c r="J1088" s="431"/>
      <c r="K1088" s="431"/>
      <c r="L1088" s="431" t="s">
        <v>683</v>
      </c>
      <c r="M1088" s="431" t="s">
        <v>684</v>
      </c>
    </row>
    <row r="1089" spans="1:13" x14ac:dyDescent="0.2">
      <c r="A1089" s="431" t="s">
        <v>800</v>
      </c>
      <c r="B1089" s="431">
        <v>1690140</v>
      </c>
      <c r="C1089" s="431" t="s">
        <v>159</v>
      </c>
      <c r="D1089" s="431" t="s">
        <v>160</v>
      </c>
      <c r="E1089" s="431" t="s">
        <v>161</v>
      </c>
      <c r="F1089" s="431" t="s">
        <v>801</v>
      </c>
      <c r="G1089" s="431" t="s">
        <v>175</v>
      </c>
      <c r="H1089" s="431"/>
      <c r="I1089" s="431"/>
      <c r="J1089" s="431"/>
      <c r="K1089" s="431"/>
      <c r="L1089" s="431" t="s">
        <v>683</v>
      </c>
      <c r="M1089" s="431" t="s">
        <v>684</v>
      </c>
    </row>
    <row r="1090" spans="1:13" x14ac:dyDescent="0.2">
      <c r="A1090" s="431" t="s">
        <v>800</v>
      </c>
      <c r="B1090" s="431">
        <v>1690140</v>
      </c>
      <c r="C1090" s="431" t="s">
        <v>159</v>
      </c>
      <c r="D1090" s="431" t="s">
        <v>160</v>
      </c>
      <c r="E1090" s="431" t="s">
        <v>161</v>
      </c>
      <c r="F1090" s="431" t="s">
        <v>802</v>
      </c>
      <c r="G1090" s="431" t="s">
        <v>175</v>
      </c>
      <c r="H1090" s="431"/>
      <c r="I1090" s="431"/>
      <c r="J1090" s="431"/>
      <c r="K1090" s="431"/>
      <c r="L1090" s="431" t="s">
        <v>683</v>
      </c>
      <c r="M1090" s="431" t="s">
        <v>684</v>
      </c>
    </row>
    <row r="1091" spans="1:13" x14ac:dyDescent="0.2">
      <c r="A1091" s="431" t="s">
        <v>800</v>
      </c>
      <c r="B1091" s="431">
        <v>1690140</v>
      </c>
      <c r="C1091" s="431" t="s">
        <v>159</v>
      </c>
      <c r="D1091" s="431" t="s">
        <v>160</v>
      </c>
      <c r="E1091" s="431" t="s">
        <v>161</v>
      </c>
      <c r="F1091" s="431" t="s">
        <v>803</v>
      </c>
      <c r="G1091" s="431" t="s">
        <v>175</v>
      </c>
      <c r="H1091" s="431"/>
      <c r="I1091" s="431"/>
      <c r="J1091" s="431"/>
      <c r="K1091" s="431"/>
      <c r="L1091" s="431" t="s">
        <v>683</v>
      </c>
      <c r="M1091" s="431" t="s">
        <v>684</v>
      </c>
    </row>
    <row r="1092" spans="1:13" x14ac:dyDescent="0.2">
      <c r="A1092" s="431" t="s">
        <v>800</v>
      </c>
      <c r="B1092" s="431">
        <v>1690140</v>
      </c>
      <c r="C1092" s="431" t="s">
        <v>159</v>
      </c>
      <c r="D1092" s="431" t="s">
        <v>160</v>
      </c>
      <c r="E1092" s="431" t="s">
        <v>161</v>
      </c>
      <c r="F1092" s="431" t="s">
        <v>804</v>
      </c>
      <c r="G1092" s="431" t="s">
        <v>175</v>
      </c>
      <c r="H1092" s="431"/>
      <c r="I1092" s="431"/>
      <c r="J1092" s="431"/>
      <c r="K1092" s="431"/>
      <c r="L1092" s="431" t="s">
        <v>683</v>
      </c>
      <c r="M1092" s="431" t="s">
        <v>684</v>
      </c>
    </row>
    <row r="1093" spans="1:13" x14ac:dyDescent="0.2">
      <c r="A1093" s="431" t="s">
        <v>800</v>
      </c>
      <c r="B1093" s="431">
        <v>1690140</v>
      </c>
      <c r="C1093" s="431" t="s">
        <v>159</v>
      </c>
      <c r="D1093" s="431" t="s">
        <v>160</v>
      </c>
      <c r="E1093" s="431" t="s">
        <v>161</v>
      </c>
      <c r="F1093" s="431" t="s">
        <v>805</v>
      </c>
      <c r="G1093" s="431" t="s">
        <v>175</v>
      </c>
      <c r="H1093" s="431"/>
      <c r="I1093" s="431"/>
      <c r="J1093" s="431"/>
      <c r="K1093" s="431"/>
      <c r="L1093" s="431" t="s">
        <v>683</v>
      </c>
      <c r="M1093" s="431" t="s">
        <v>684</v>
      </c>
    </row>
    <row r="1094" spans="1:13" x14ac:dyDescent="0.2">
      <c r="A1094" s="431" t="s">
        <v>800</v>
      </c>
      <c r="B1094" s="431">
        <v>1690140</v>
      </c>
      <c r="C1094" s="431" t="s">
        <v>159</v>
      </c>
      <c r="D1094" s="431" t="s">
        <v>160</v>
      </c>
      <c r="E1094" s="431" t="s">
        <v>161</v>
      </c>
      <c r="F1094" s="431" t="s">
        <v>805</v>
      </c>
      <c r="G1094" s="431" t="s">
        <v>175</v>
      </c>
      <c r="H1094" s="431"/>
      <c r="I1094" s="431"/>
      <c r="J1094" s="431"/>
      <c r="K1094" s="431"/>
      <c r="L1094" s="431" t="s">
        <v>683</v>
      </c>
      <c r="M1094" s="431" t="s">
        <v>684</v>
      </c>
    </row>
    <row r="1095" spans="1:13" x14ac:dyDescent="0.2">
      <c r="A1095" s="431" t="s">
        <v>800</v>
      </c>
      <c r="B1095" s="431">
        <v>1690140</v>
      </c>
      <c r="C1095" s="431" t="s">
        <v>159</v>
      </c>
      <c r="D1095" s="431" t="s">
        <v>160</v>
      </c>
      <c r="E1095" s="431" t="s">
        <v>161</v>
      </c>
      <c r="F1095" s="431" t="s">
        <v>806</v>
      </c>
      <c r="G1095" s="431" t="s">
        <v>175</v>
      </c>
      <c r="H1095" s="431"/>
      <c r="I1095" s="431"/>
      <c r="J1095" s="431"/>
      <c r="K1095" s="431"/>
      <c r="L1095" s="431" t="s">
        <v>683</v>
      </c>
      <c r="M1095" s="431" t="s">
        <v>684</v>
      </c>
    </row>
    <row r="1096" spans="1:13" x14ac:dyDescent="0.2">
      <c r="A1096" s="431" t="s">
        <v>800</v>
      </c>
      <c r="B1096" s="431">
        <v>1690140</v>
      </c>
      <c r="C1096" s="431" t="s">
        <v>159</v>
      </c>
      <c r="D1096" s="431" t="s">
        <v>160</v>
      </c>
      <c r="E1096" s="431" t="s">
        <v>161</v>
      </c>
      <c r="F1096" s="431" t="s">
        <v>806</v>
      </c>
      <c r="G1096" s="431" t="s">
        <v>175</v>
      </c>
      <c r="H1096" s="431"/>
      <c r="I1096" s="431"/>
      <c r="J1096" s="431"/>
      <c r="K1096" s="431"/>
      <c r="L1096" s="431" t="s">
        <v>683</v>
      </c>
      <c r="M1096" s="431" t="s">
        <v>684</v>
      </c>
    </row>
    <row r="1097" spans="1:13" x14ac:dyDescent="0.2">
      <c r="A1097" s="431" t="s">
        <v>807</v>
      </c>
      <c r="B1097" s="431">
        <v>1690145</v>
      </c>
      <c r="C1097" s="431" t="s">
        <v>159</v>
      </c>
      <c r="D1097" s="431" t="s">
        <v>160</v>
      </c>
      <c r="E1097" s="431" t="s">
        <v>161</v>
      </c>
      <c r="F1097" s="431" t="s">
        <v>273</v>
      </c>
      <c r="G1097" s="431" t="s">
        <v>175</v>
      </c>
      <c r="H1097" s="431"/>
      <c r="I1097" s="431"/>
      <c r="J1097" s="431"/>
      <c r="K1097" s="431"/>
      <c r="L1097" s="431" t="s">
        <v>683</v>
      </c>
      <c r="M1097" s="431" t="s">
        <v>688</v>
      </c>
    </row>
    <row r="1098" spans="1:13" x14ac:dyDescent="0.2">
      <c r="A1098" s="431" t="s">
        <v>807</v>
      </c>
      <c r="B1098" s="431">
        <v>1690145</v>
      </c>
      <c r="C1098" s="431" t="s">
        <v>159</v>
      </c>
      <c r="D1098" s="431" t="s">
        <v>160</v>
      </c>
      <c r="E1098" s="431" t="s">
        <v>161</v>
      </c>
      <c r="F1098" s="431" t="s">
        <v>273</v>
      </c>
      <c r="G1098" s="431" t="s">
        <v>175</v>
      </c>
      <c r="H1098" s="431"/>
      <c r="I1098" s="431"/>
      <c r="J1098" s="431"/>
      <c r="K1098" s="431"/>
      <c r="L1098" s="431" t="s">
        <v>683</v>
      </c>
      <c r="M1098" s="431" t="s">
        <v>688</v>
      </c>
    </row>
    <row r="1099" spans="1:13" x14ac:dyDescent="0.2">
      <c r="A1099" s="431" t="s">
        <v>807</v>
      </c>
      <c r="B1099" s="431">
        <v>1690145</v>
      </c>
      <c r="C1099" s="431" t="s">
        <v>159</v>
      </c>
      <c r="D1099" s="431" t="s">
        <v>160</v>
      </c>
      <c r="E1099" s="431" t="s">
        <v>161</v>
      </c>
      <c r="F1099" s="431" t="s">
        <v>276</v>
      </c>
      <c r="G1099" s="431" t="s">
        <v>175</v>
      </c>
      <c r="H1099" s="431"/>
      <c r="I1099" s="431"/>
      <c r="J1099" s="431"/>
      <c r="K1099" s="431"/>
      <c r="L1099" s="431" t="s">
        <v>683</v>
      </c>
      <c r="M1099" s="431" t="s">
        <v>688</v>
      </c>
    </row>
    <row r="1100" spans="1:13" x14ac:dyDescent="0.2">
      <c r="A1100" s="431" t="s">
        <v>807</v>
      </c>
      <c r="B1100" s="431">
        <v>1690145</v>
      </c>
      <c r="C1100" s="431" t="s">
        <v>159</v>
      </c>
      <c r="D1100" s="431" t="s">
        <v>160</v>
      </c>
      <c r="E1100" s="431" t="s">
        <v>161</v>
      </c>
      <c r="F1100" s="431" t="s">
        <v>276</v>
      </c>
      <c r="G1100" s="431" t="s">
        <v>175</v>
      </c>
      <c r="H1100" s="431"/>
      <c r="I1100" s="431"/>
      <c r="J1100" s="431"/>
      <c r="K1100" s="431"/>
      <c r="L1100" s="431" t="s">
        <v>683</v>
      </c>
      <c r="M1100" s="431" t="s">
        <v>688</v>
      </c>
    </row>
    <row r="1101" spans="1:13" x14ac:dyDescent="0.2">
      <c r="A1101" s="431" t="s">
        <v>807</v>
      </c>
      <c r="B1101" s="431">
        <v>1690145</v>
      </c>
      <c r="C1101" s="431" t="s">
        <v>159</v>
      </c>
      <c r="D1101" s="431" t="s">
        <v>160</v>
      </c>
      <c r="E1101" s="431" t="s">
        <v>161</v>
      </c>
      <c r="F1101" s="431" t="s">
        <v>277</v>
      </c>
      <c r="G1101" s="431" t="s">
        <v>175</v>
      </c>
      <c r="H1101" s="431"/>
      <c r="I1101" s="431"/>
      <c r="J1101" s="431"/>
      <c r="K1101" s="431"/>
      <c r="L1101" s="431" t="s">
        <v>683</v>
      </c>
      <c r="M1101" s="431" t="s">
        <v>688</v>
      </c>
    </row>
    <row r="1102" spans="1:13" x14ac:dyDescent="0.2">
      <c r="A1102" s="431" t="s">
        <v>807</v>
      </c>
      <c r="B1102" s="431">
        <v>1690145</v>
      </c>
      <c r="C1102" s="431" t="s">
        <v>159</v>
      </c>
      <c r="D1102" s="431" t="s">
        <v>160</v>
      </c>
      <c r="E1102" s="431" t="s">
        <v>161</v>
      </c>
      <c r="F1102" s="431" t="s">
        <v>277</v>
      </c>
      <c r="G1102" s="431" t="s">
        <v>175</v>
      </c>
      <c r="H1102" s="431"/>
      <c r="I1102" s="431"/>
      <c r="J1102" s="431"/>
      <c r="K1102" s="431"/>
      <c r="L1102" s="431" t="s">
        <v>683</v>
      </c>
      <c r="M1102" s="431" t="s">
        <v>688</v>
      </c>
    </row>
    <row r="1103" spans="1:13" x14ac:dyDescent="0.2">
      <c r="A1103" s="431" t="s">
        <v>807</v>
      </c>
      <c r="B1103" s="431">
        <v>1690145</v>
      </c>
      <c r="C1103" s="431" t="s">
        <v>159</v>
      </c>
      <c r="D1103" s="431" t="s">
        <v>160</v>
      </c>
      <c r="E1103" s="431" t="s">
        <v>161</v>
      </c>
      <c r="F1103" s="431" t="s">
        <v>278</v>
      </c>
      <c r="G1103" s="431" t="s">
        <v>175</v>
      </c>
      <c r="H1103" s="431"/>
      <c r="I1103" s="431"/>
      <c r="J1103" s="431"/>
      <c r="K1103" s="431"/>
      <c r="L1103" s="431" t="s">
        <v>683</v>
      </c>
      <c r="M1103" s="431" t="s">
        <v>688</v>
      </c>
    </row>
    <row r="1104" spans="1:13" x14ac:dyDescent="0.2">
      <c r="A1104" s="431" t="s">
        <v>807</v>
      </c>
      <c r="B1104" s="431">
        <v>1690145</v>
      </c>
      <c r="C1104" s="431" t="s">
        <v>159</v>
      </c>
      <c r="D1104" s="431" t="s">
        <v>160</v>
      </c>
      <c r="E1104" s="431" t="s">
        <v>161</v>
      </c>
      <c r="F1104" s="431" t="s">
        <v>279</v>
      </c>
      <c r="G1104" s="431" t="s">
        <v>175</v>
      </c>
      <c r="H1104" s="431"/>
      <c r="I1104" s="431"/>
      <c r="J1104" s="431"/>
      <c r="K1104" s="431"/>
      <c r="L1104" s="431" t="s">
        <v>683</v>
      </c>
      <c r="M1104" s="431" t="s">
        <v>688</v>
      </c>
    </row>
    <row r="1105" spans="1:13" x14ac:dyDescent="0.2">
      <c r="A1105" s="431" t="s">
        <v>807</v>
      </c>
      <c r="B1105" s="431">
        <v>1690145</v>
      </c>
      <c r="C1105" s="431" t="s">
        <v>159</v>
      </c>
      <c r="D1105" s="431" t="s">
        <v>160</v>
      </c>
      <c r="E1105" s="431" t="s">
        <v>161</v>
      </c>
      <c r="F1105" s="431" t="s">
        <v>280</v>
      </c>
      <c r="G1105" s="431" t="s">
        <v>175</v>
      </c>
      <c r="H1105" s="431"/>
      <c r="I1105" s="431"/>
      <c r="J1105" s="431"/>
      <c r="K1105" s="431"/>
      <c r="L1105" s="431" t="s">
        <v>683</v>
      </c>
      <c r="M1105" s="431" t="s">
        <v>688</v>
      </c>
    </row>
    <row r="1106" spans="1:13" x14ac:dyDescent="0.2">
      <c r="A1106" s="431" t="s">
        <v>807</v>
      </c>
      <c r="B1106" s="431">
        <v>1690145</v>
      </c>
      <c r="C1106" s="431" t="s">
        <v>159</v>
      </c>
      <c r="D1106" s="431" t="s">
        <v>160</v>
      </c>
      <c r="E1106" s="431" t="s">
        <v>161</v>
      </c>
      <c r="F1106" s="431" t="s">
        <v>808</v>
      </c>
      <c r="G1106" s="431" t="s">
        <v>175</v>
      </c>
      <c r="H1106" s="431"/>
      <c r="I1106" s="431"/>
      <c r="J1106" s="431"/>
      <c r="K1106" s="431"/>
      <c r="L1106" s="431" t="s">
        <v>683</v>
      </c>
      <c r="M1106" s="431" t="s">
        <v>688</v>
      </c>
    </row>
    <row r="1107" spans="1:13" x14ac:dyDescent="0.2">
      <c r="A1107" s="431" t="s">
        <v>807</v>
      </c>
      <c r="B1107" s="431">
        <v>1690145</v>
      </c>
      <c r="C1107" s="431" t="s">
        <v>159</v>
      </c>
      <c r="D1107" s="431" t="s">
        <v>160</v>
      </c>
      <c r="E1107" s="431" t="s">
        <v>161</v>
      </c>
      <c r="F1107" s="431" t="s">
        <v>809</v>
      </c>
      <c r="G1107" s="431" t="s">
        <v>175</v>
      </c>
      <c r="H1107" s="431"/>
      <c r="I1107" s="431"/>
      <c r="J1107" s="431"/>
      <c r="K1107" s="431"/>
      <c r="L1107" s="431" t="s">
        <v>683</v>
      </c>
      <c r="M1107" s="431" t="s">
        <v>688</v>
      </c>
    </row>
    <row r="1108" spans="1:13" x14ac:dyDescent="0.2">
      <c r="A1108" s="431" t="s">
        <v>807</v>
      </c>
      <c r="B1108" s="431">
        <v>1690145</v>
      </c>
      <c r="C1108" s="431" t="s">
        <v>159</v>
      </c>
      <c r="D1108" s="431" t="s">
        <v>160</v>
      </c>
      <c r="E1108" s="431" t="s">
        <v>161</v>
      </c>
      <c r="F1108" s="431" t="s">
        <v>809</v>
      </c>
      <c r="G1108" s="431" t="s">
        <v>175</v>
      </c>
      <c r="H1108" s="431"/>
      <c r="I1108" s="431"/>
      <c r="J1108" s="431"/>
      <c r="K1108" s="431"/>
      <c r="L1108" s="431" t="s">
        <v>683</v>
      </c>
      <c r="M1108" s="431" t="s">
        <v>688</v>
      </c>
    </row>
    <row r="1109" spans="1:13" x14ac:dyDescent="0.2">
      <c r="A1109" s="431" t="s">
        <v>807</v>
      </c>
      <c r="B1109" s="431">
        <v>1690145</v>
      </c>
      <c r="C1109" s="431" t="s">
        <v>159</v>
      </c>
      <c r="D1109" s="431" t="s">
        <v>160</v>
      </c>
      <c r="E1109" s="431" t="s">
        <v>161</v>
      </c>
      <c r="F1109" s="431" t="s">
        <v>809</v>
      </c>
      <c r="G1109" s="431" t="s">
        <v>175</v>
      </c>
      <c r="H1109" s="431"/>
      <c r="I1109" s="431"/>
      <c r="J1109" s="431"/>
      <c r="K1109" s="431"/>
      <c r="L1109" s="431" t="s">
        <v>683</v>
      </c>
      <c r="M1109" s="431" t="s">
        <v>688</v>
      </c>
    </row>
    <row r="1110" spans="1:13" x14ac:dyDescent="0.2">
      <c r="A1110" s="431" t="s">
        <v>807</v>
      </c>
      <c r="B1110" s="431">
        <v>1690145</v>
      </c>
      <c r="C1110" s="431" t="s">
        <v>159</v>
      </c>
      <c r="D1110" s="431" t="s">
        <v>160</v>
      </c>
      <c r="E1110" s="431" t="s">
        <v>161</v>
      </c>
      <c r="F1110" s="431" t="s">
        <v>809</v>
      </c>
      <c r="G1110" s="431" t="s">
        <v>175</v>
      </c>
      <c r="H1110" s="431"/>
      <c r="I1110" s="431"/>
      <c r="J1110" s="431"/>
      <c r="K1110" s="431"/>
      <c r="L1110" s="431" t="s">
        <v>683</v>
      </c>
      <c r="M1110" s="431" t="s">
        <v>688</v>
      </c>
    </row>
    <row r="1111" spans="1:13" x14ac:dyDescent="0.2">
      <c r="A1111" s="431" t="s">
        <v>807</v>
      </c>
      <c r="B1111" s="431">
        <v>1690145</v>
      </c>
      <c r="C1111" s="431" t="s">
        <v>159</v>
      </c>
      <c r="D1111" s="431" t="s">
        <v>160</v>
      </c>
      <c r="E1111" s="431" t="s">
        <v>161</v>
      </c>
      <c r="F1111" s="431" t="s">
        <v>810</v>
      </c>
      <c r="G1111" s="431" t="s">
        <v>175</v>
      </c>
      <c r="H1111" s="431"/>
      <c r="I1111" s="431"/>
      <c r="J1111" s="431"/>
      <c r="K1111" s="431"/>
      <c r="L1111" s="431" t="s">
        <v>683</v>
      </c>
      <c r="M1111" s="431" t="s">
        <v>688</v>
      </c>
    </row>
    <row r="1112" spans="1:13" x14ac:dyDescent="0.2">
      <c r="A1112" s="431" t="s">
        <v>807</v>
      </c>
      <c r="B1112" s="431">
        <v>1690145</v>
      </c>
      <c r="C1112" s="431" t="s">
        <v>159</v>
      </c>
      <c r="D1112" s="431" t="s">
        <v>160</v>
      </c>
      <c r="E1112" s="431" t="s">
        <v>161</v>
      </c>
      <c r="F1112" s="431" t="s">
        <v>810</v>
      </c>
      <c r="G1112" s="431" t="s">
        <v>175</v>
      </c>
      <c r="H1112" s="431"/>
      <c r="I1112" s="431"/>
      <c r="J1112" s="431"/>
      <c r="K1112" s="431"/>
      <c r="L1112" s="431" t="s">
        <v>683</v>
      </c>
      <c r="M1112" s="431" t="s">
        <v>688</v>
      </c>
    </row>
    <row r="1113" spans="1:13" x14ac:dyDescent="0.2">
      <c r="A1113" s="431" t="s">
        <v>807</v>
      </c>
      <c r="B1113" s="431">
        <v>1690145</v>
      </c>
      <c r="C1113" s="431" t="s">
        <v>159</v>
      </c>
      <c r="D1113" s="431" t="s">
        <v>160</v>
      </c>
      <c r="E1113" s="431" t="s">
        <v>161</v>
      </c>
      <c r="F1113" s="431" t="s">
        <v>810</v>
      </c>
      <c r="G1113" s="431" t="s">
        <v>175</v>
      </c>
      <c r="H1113" s="431"/>
      <c r="I1113" s="431"/>
      <c r="J1113" s="431"/>
      <c r="K1113" s="431"/>
      <c r="L1113" s="431" t="s">
        <v>683</v>
      </c>
      <c r="M1113" s="431" t="s">
        <v>688</v>
      </c>
    </row>
    <row r="1114" spans="1:13" x14ac:dyDescent="0.2">
      <c r="A1114" s="431" t="s">
        <v>807</v>
      </c>
      <c r="B1114" s="431">
        <v>1690145</v>
      </c>
      <c r="C1114" s="431" t="s">
        <v>159</v>
      </c>
      <c r="D1114" s="431" t="s">
        <v>160</v>
      </c>
      <c r="E1114" s="431" t="s">
        <v>161</v>
      </c>
      <c r="F1114" s="431" t="s">
        <v>810</v>
      </c>
      <c r="G1114" s="431" t="s">
        <v>175</v>
      </c>
      <c r="H1114" s="431"/>
      <c r="I1114" s="431"/>
      <c r="J1114" s="431"/>
      <c r="K1114" s="431"/>
      <c r="L1114" s="431" t="s">
        <v>683</v>
      </c>
      <c r="M1114" s="431" t="s">
        <v>688</v>
      </c>
    </row>
    <row r="1115" spans="1:13" x14ac:dyDescent="0.2">
      <c r="A1115" s="431" t="s">
        <v>807</v>
      </c>
      <c r="B1115" s="431">
        <v>1690145</v>
      </c>
      <c r="C1115" s="431" t="s">
        <v>159</v>
      </c>
      <c r="D1115" s="431" t="s">
        <v>160</v>
      </c>
      <c r="E1115" s="431" t="s">
        <v>161</v>
      </c>
      <c r="F1115" s="431" t="s">
        <v>811</v>
      </c>
      <c r="G1115" s="431" t="s">
        <v>175</v>
      </c>
      <c r="H1115" s="431"/>
      <c r="I1115" s="431"/>
      <c r="J1115" s="431"/>
      <c r="K1115" s="431"/>
      <c r="L1115" s="431" t="s">
        <v>683</v>
      </c>
      <c r="M1115" s="431" t="s">
        <v>688</v>
      </c>
    </row>
    <row r="1116" spans="1:13" x14ac:dyDescent="0.2">
      <c r="A1116" s="431" t="s">
        <v>807</v>
      </c>
      <c r="B1116" s="431">
        <v>1690145</v>
      </c>
      <c r="C1116" s="431" t="s">
        <v>159</v>
      </c>
      <c r="D1116" s="431" t="s">
        <v>160</v>
      </c>
      <c r="E1116" s="431" t="s">
        <v>161</v>
      </c>
      <c r="F1116" s="431" t="s">
        <v>811</v>
      </c>
      <c r="G1116" s="431" t="s">
        <v>175</v>
      </c>
      <c r="H1116" s="431"/>
      <c r="I1116" s="431"/>
      <c r="J1116" s="431"/>
      <c r="K1116" s="431"/>
      <c r="L1116" s="431" t="s">
        <v>683</v>
      </c>
      <c r="M1116" s="431" t="s">
        <v>688</v>
      </c>
    </row>
    <row r="1117" spans="1:13" x14ac:dyDescent="0.2">
      <c r="A1117" s="431" t="s">
        <v>807</v>
      </c>
      <c r="B1117" s="431">
        <v>1690145</v>
      </c>
      <c r="C1117" s="431" t="s">
        <v>159</v>
      </c>
      <c r="D1117" s="431" t="s">
        <v>160</v>
      </c>
      <c r="E1117" s="431" t="s">
        <v>161</v>
      </c>
      <c r="F1117" s="431" t="s">
        <v>811</v>
      </c>
      <c r="G1117" s="431" t="s">
        <v>175</v>
      </c>
      <c r="H1117" s="431"/>
      <c r="I1117" s="431"/>
      <c r="J1117" s="431"/>
      <c r="K1117" s="431"/>
      <c r="L1117" s="431" t="s">
        <v>683</v>
      </c>
      <c r="M1117" s="431" t="s">
        <v>688</v>
      </c>
    </row>
    <row r="1118" spans="1:13" x14ac:dyDescent="0.2">
      <c r="A1118" s="431" t="s">
        <v>807</v>
      </c>
      <c r="B1118" s="431">
        <v>1690145</v>
      </c>
      <c r="C1118" s="431" t="s">
        <v>159</v>
      </c>
      <c r="D1118" s="431" t="s">
        <v>160</v>
      </c>
      <c r="E1118" s="431" t="s">
        <v>161</v>
      </c>
      <c r="F1118" s="431" t="s">
        <v>811</v>
      </c>
      <c r="G1118" s="431" t="s">
        <v>175</v>
      </c>
      <c r="H1118" s="431"/>
      <c r="I1118" s="431"/>
      <c r="J1118" s="431"/>
      <c r="K1118" s="431"/>
      <c r="L1118" s="431" t="s">
        <v>683</v>
      </c>
      <c r="M1118" s="431" t="s">
        <v>688</v>
      </c>
    </row>
    <row r="1119" spans="1:13" x14ac:dyDescent="0.2">
      <c r="A1119" s="431" t="s">
        <v>807</v>
      </c>
      <c r="B1119" s="431">
        <v>1690145</v>
      </c>
      <c r="C1119" s="431" t="s">
        <v>159</v>
      </c>
      <c r="D1119" s="431" t="s">
        <v>160</v>
      </c>
      <c r="E1119" s="431" t="s">
        <v>161</v>
      </c>
      <c r="F1119" s="431" t="s">
        <v>811</v>
      </c>
      <c r="G1119" s="431" t="s">
        <v>175</v>
      </c>
      <c r="H1119" s="431"/>
      <c r="I1119" s="431"/>
      <c r="J1119" s="431"/>
      <c r="K1119" s="431"/>
      <c r="L1119" s="431" t="s">
        <v>683</v>
      </c>
      <c r="M1119" s="431" t="s">
        <v>688</v>
      </c>
    </row>
    <row r="1120" spans="1:13" x14ac:dyDescent="0.2">
      <c r="A1120" s="431" t="s">
        <v>807</v>
      </c>
      <c r="B1120" s="431">
        <v>1690145</v>
      </c>
      <c r="C1120" s="431" t="s">
        <v>159</v>
      </c>
      <c r="D1120" s="431" t="s">
        <v>160</v>
      </c>
      <c r="E1120" s="431" t="s">
        <v>161</v>
      </c>
      <c r="F1120" s="431" t="s">
        <v>811</v>
      </c>
      <c r="G1120" s="431" t="s">
        <v>175</v>
      </c>
      <c r="H1120" s="431"/>
      <c r="I1120" s="431"/>
      <c r="J1120" s="431"/>
      <c r="K1120" s="431"/>
      <c r="L1120" s="431" t="s">
        <v>683</v>
      </c>
      <c r="M1120" s="431" t="s">
        <v>688</v>
      </c>
    </row>
    <row r="1121" spans="1:13" x14ac:dyDescent="0.2">
      <c r="A1121" s="431" t="s">
        <v>807</v>
      </c>
      <c r="B1121" s="431">
        <v>1690145</v>
      </c>
      <c r="C1121" s="431" t="s">
        <v>159</v>
      </c>
      <c r="D1121" s="431" t="s">
        <v>160</v>
      </c>
      <c r="E1121" s="431" t="s">
        <v>161</v>
      </c>
      <c r="F1121" s="431" t="s">
        <v>811</v>
      </c>
      <c r="G1121" s="431" t="s">
        <v>175</v>
      </c>
      <c r="H1121" s="431"/>
      <c r="I1121" s="431"/>
      <c r="J1121" s="431"/>
      <c r="K1121" s="431"/>
      <c r="L1121" s="431" t="s">
        <v>683</v>
      </c>
      <c r="M1121" s="431" t="s">
        <v>688</v>
      </c>
    </row>
    <row r="1122" spans="1:13" x14ac:dyDescent="0.2">
      <c r="A1122" s="431" t="s">
        <v>807</v>
      </c>
      <c r="B1122" s="431">
        <v>1690145</v>
      </c>
      <c r="C1122" s="431" t="s">
        <v>159</v>
      </c>
      <c r="D1122" s="431" t="s">
        <v>160</v>
      </c>
      <c r="E1122" s="431" t="s">
        <v>161</v>
      </c>
      <c r="F1122" s="431" t="s">
        <v>811</v>
      </c>
      <c r="G1122" s="431" t="s">
        <v>175</v>
      </c>
      <c r="H1122" s="431"/>
      <c r="I1122" s="431"/>
      <c r="J1122" s="431"/>
      <c r="K1122" s="431"/>
      <c r="L1122" s="431" t="s">
        <v>683</v>
      </c>
      <c r="M1122" s="431" t="s">
        <v>688</v>
      </c>
    </row>
    <row r="1123" spans="1:13" x14ac:dyDescent="0.2">
      <c r="A1123" s="431" t="s">
        <v>807</v>
      </c>
      <c r="B1123" s="431">
        <v>1690145</v>
      </c>
      <c r="C1123" s="431" t="s">
        <v>159</v>
      </c>
      <c r="D1123" s="431" t="s">
        <v>160</v>
      </c>
      <c r="E1123" s="431" t="s">
        <v>161</v>
      </c>
      <c r="F1123" s="431" t="s">
        <v>811</v>
      </c>
      <c r="G1123" s="431" t="s">
        <v>175</v>
      </c>
      <c r="H1123" s="431"/>
      <c r="I1123" s="431"/>
      <c r="J1123" s="431"/>
      <c r="K1123" s="431"/>
      <c r="L1123" s="431" t="s">
        <v>683</v>
      </c>
      <c r="M1123" s="431" t="s">
        <v>688</v>
      </c>
    </row>
    <row r="1124" spans="1:13" x14ac:dyDescent="0.2">
      <c r="A1124" s="431" t="s">
        <v>807</v>
      </c>
      <c r="B1124" s="431">
        <v>1690145</v>
      </c>
      <c r="C1124" s="431" t="s">
        <v>159</v>
      </c>
      <c r="D1124" s="431" t="s">
        <v>160</v>
      </c>
      <c r="E1124" s="431" t="s">
        <v>161</v>
      </c>
      <c r="F1124" s="431" t="s">
        <v>811</v>
      </c>
      <c r="G1124" s="431" t="s">
        <v>175</v>
      </c>
      <c r="H1124" s="431"/>
      <c r="I1124" s="431"/>
      <c r="J1124" s="431"/>
      <c r="K1124" s="431"/>
      <c r="L1124" s="431" t="s">
        <v>683</v>
      </c>
      <c r="M1124" s="431" t="s">
        <v>688</v>
      </c>
    </row>
    <row r="1125" spans="1:13" x14ac:dyDescent="0.2">
      <c r="A1125" s="431" t="s">
        <v>807</v>
      </c>
      <c r="B1125" s="431">
        <v>1690145</v>
      </c>
      <c r="C1125" s="431" t="s">
        <v>159</v>
      </c>
      <c r="D1125" s="431" t="s">
        <v>160</v>
      </c>
      <c r="E1125" s="431" t="s">
        <v>161</v>
      </c>
      <c r="F1125" s="431" t="s">
        <v>811</v>
      </c>
      <c r="G1125" s="431" t="s">
        <v>175</v>
      </c>
      <c r="H1125" s="431"/>
      <c r="I1125" s="431"/>
      <c r="J1125" s="431"/>
      <c r="K1125" s="431"/>
      <c r="L1125" s="431" t="s">
        <v>683</v>
      </c>
      <c r="M1125" s="431" t="s">
        <v>688</v>
      </c>
    </row>
    <row r="1126" spans="1:13" x14ac:dyDescent="0.2">
      <c r="A1126" s="431" t="s">
        <v>807</v>
      </c>
      <c r="B1126" s="431">
        <v>1690145</v>
      </c>
      <c r="C1126" s="431" t="s">
        <v>159</v>
      </c>
      <c r="D1126" s="431" t="s">
        <v>160</v>
      </c>
      <c r="E1126" s="431" t="s">
        <v>161</v>
      </c>
      <c r="F1126" s="431" t="s">
        <v>811</v>
      </c>
      <c r="G1126" s="431" t="s">
        <v>175</v>
      </c>
      <c r="H1126" s="431"/>
      <c r="I1126" s="431"/>
      <c r="J1126" s="431"/>
      <c r="K1126" s="431"/>
      <c r="L1126" s="431" t="s">
        <v>683</v>
      </c>
      <c r="M1126" s="431" t="s">
        <v>688</v>
      </c>
    </row>
    <row r="1127" spans="1:13" x14ac:dyDescent="0.2">
      <c r="A1127" s="431" t="s">
        <v>807</v>
      </c>
      <c r="B1127" s="431">
        <v>1690145</v>
      </c>
      <c r="C1127" s="431" t="s">
        <v>159</v>
      </c>
      <c r="D1127" s="431" t="s">
        <v>160</v>
      </c>
      <c r="E1127" s="431" t="s">
        <v>161</v>
      </c>
      <c r="F1127" s="431" t="s">
        <v>811</v>
      </c>
      <c r="G1127" s="431" t="s">
        <v>175</v>
      </c>
      <c r="H1127" s="431"/>
      <c r="I1127" s="431"/>
      <c r="J1127" s="431"/>
      <c r="K1127" s="431"/>
      <c r="L1127" s="431" t="s">
        <v>683</v>
      </c>
      <c r="M1127" s="431" t="s">
        <v>688</v>
      </c>
    </row>
    <row r="1128" spans="1:13" x14ac:dyDescent="0.2">
      <c r="A1128" s="431" t="s">
        <v>807</v>
      </c>
      <c r="B1128" s="431">
        <v>1690145</v>
      </c>
      <c r="C1128" s="431" t="s">
        <v>159</v>
      </c>
      <c r="D1128" s="431" t="s">
        <v>160</v>
      </c>
      <c r="E1128" s="431" t="s">
        <v>161</v>
      </c>
      <c r="F1128" s="431" t="s">
        <v>811</v>
      </c>
      <c r="G1128" s="431" t="s">
        <v>175</v>
      </c>
      <c r="H1128" s="431"/>
      <c r="I1128" s="431"/>
      <c r="J1128" s="431"/>
      <c r="K1128" s="431"/>
      <c r="L1128" s="431" t="s">
        <v>683</v>
      </c>
      <c r="M1128" s="431" t="s">
        <v>688</v>
      </c>
    </row>
    <row r="1129" spans="1:13" x14ac:dyDescent="0.2">
      <c r="A1129" s="431" t="s">
        <v>807</v>
      </c>
      <c r="B1129" s="431">
        <v>1690145</v>
      </c>
      <c r="C1129" s="431" t="s">
        <v>159</v>
      </c>
      <c r="D1129" s="431" t="s">
        <v>160</v>
      </c>
      <c r="E1129" s="431" t="s">
        <v>161</v>
      </c>
      <c r="F1129" s="431" t="s">
        <v>811</v>
      </c>
      <c r="G1129" s="431" t="s">
        <v>175</v>
      </c>
      <c r="H1129" s="431"/>
      <c r="I1129" s="431"/>
      <c r="J1129" s="431"/>
      <c r="K1129" s="431"/>
      <c r="L1129" s="431" t="s">
        <v>683</v>
      </c>
      <c r="M1129" s="431" t="s">
        <v>688</v>
      </c>
    </row>
    <row r="1130" spans="1:13" x14ac:dyDescent="0.2">
      <c r="A1130" s="431" t="s">
        <v>807</v>
      </c>
      <c r="B1130" s="431">
        <v>1690145</v>
      </c>
      <c r="C1130" s="431" t="s">
        <v>159</v>
      </c>
      <c r="D1130" s="431" t="s">
        <v>160</v>
      </c>
      <c r="E1130" s="431" t="s">
        <v>161</v>
      </c>
      <c r="F1130" s="431" t="s">
        <v>811</v>
      </c>
      <c r="G1130" s="431" t="s">
        <v>175</v>
      </c>
      <c r="H1130" s="431"/>
      <c r="I1130" s="431"/>
      <c r="J1130" s="431"/>
      <c r="K1130" s="431"/>
      <c r="L1130" s="431" t="s">
        <v>683</v>
      </c>
      <c r="M1130" s="431" t="s">
        <v>688</v>
      </c>
    </row>
    <row r="1131" spans="1:13" x14ac:dyDescent="0.2">
      <c r="A1131" s="431" t="s">
        <v>807</v>
      </c>
      <c r="B1131" s="431">
        <v>1690145</v>
      </c>
      <c r="C1131" s="431" t="s">
        <v>159</v>
      </c>
      <c r="D1131" s="431" t="s">
        <v>160</v>
      </c>
      <c r="E1131" s="431" t="s">
        <v>161</v>
      </c>
      <c r="F1131" s="431" t="s">
        <v>811</v>
      </c>
      <c r="G1131" s="431" t="s">
        <v>175</v>
      </c>
      <c r="H1131" s="431"/>
      <c r="I1131" s="431"/>
      <c r="J1131" s="431"/>
      <c r="K1131" s="431"/>
      <c r="L1131" s="431" t="s">
        <v>683</v>
      </c>
      <c r="M1131" s="431" t="s">
        <v>688</v>
      </c>
    </row>
    <row r="1132" spans="1:13" x14ac:dyDescent="0.2">
      <c r="A1132" s="431" t="s">
        <v>807</v>
      </c>
      <c r="B1132" s="431">
        <v>1690145</v>
      </c>
      <c r="C1132" s="431" t="s">
        <v>159</v>
      </c>
      <c r="D1132" s="431" t="s">
        <v>160</v>
      </c>
      <c r="E1132" s="431" t="s">
        <v>161</v>
      </c>
      <c r="F1132" s="431" t="s">
        <v>811</v>
      </c>
      <c r="G1132" s="431" t="s">
        <v>175</v>
      </c>
      <c r="H1132" s="431"/>
      <c r="I1132" s="431"/>
      <c r="J1132" s="431"/>
      <c r="K1132" s="431"/>
      <c r="L1132" s="431" t="s">
        <v>683</v>
      </c>
      <c r="M1132" s="431" t="s">
        <v>688</v>
      </c>
    </row>
    <row r="1133" spans="1:13" x14ac:dyDescent="0.2">
      <c r="A1133" s="431" t="s">
        <v>807</v>
      </c>
      <c r="B1133" s="431">
        <v>1690145</v>
      </c>
      <c r="C1133" s="431" t="s">
        <v>159</v>
      </c>
      <c r="D1133" s="431" t="s">
        <v>160</v>
      </c>
      <c r="E1133" s="431" t="s">
        <v>161</v>
      </c>
      <c r="F1133" s="431" t="s">
        <v>811</v>
      </c>
      <c r="G1133" s="431" t="s">
        <v>175</v>
      </c>
      <c r="H1133" s="431"/>
      <c r="I1133" s="431"/>
      <c r="J1133" s="431"/>
      <c r="K1133" s="431"/>
      <c r="L1133" s="431" t="s">
        <v>683</v>
      </c>
      <c r="M1133" s="431" t="s">
        <v>688</v>
      </c>
    </row>
    <row r="1134" spans="1:13" x14ac:dyDescent="0.2">
      <c r="A1134" s="431" t="s">
        <v>812</v>
      </c>
      <c r="B1134" s="431">
        <v>1690162</v>
      </c>
      <c r="C1134" s="431" t="s">
        <v>159</v>
      </c>
      <c r="D1134" s="431" t="s">
        <v>160</v>
      </c>
      <c r="E1134" s="431" t="s">
        <v>161</v>
      </c>
      <c r="F1134" s="431" t="s">
        <v>667</v>
      </c>
      <c r="G1134" s="431" t="s">
        <v>175</v>
      </c>
      <c r="H1134" s="431"/>
      <c r="I1134" s="431"/>
      <c r="J1134" s="431"/>
      <c r="K1134" s="431"/>
      <c r="L1134" s="431" t="s">
        <v>721</v>
      </c>
      <c r="M1134" s="431" t="s">
        <v>813</v>
      </c>
    </row>
    <row r="1135" spans="1:13" x14ac:dyDescent="0.2">
      <c r="A1135" s="431" t="s">
        <v>812</v>
      </c>
      <c r="B1135" s="431">
        <v>1690162</v>
      </c>
      <c r="C1135" s="431" t="s">
        <v>159</v>
      </c>
      <c r="D1135" s="431" t="s">
        <v>160</v>
      </c>
      <c r="E1135" s="431" t="s">
        <v>161</v>
      </c>
      <c r="F1135" s="431" t="s">
        <v>667</v>
      </c>
      <c r="G1135" s="431" t="s">
        <v>175</v>
      </c>
      <c r="H1135" s="431"/>
      <c r="I1135" s="431"/>
      <c r="J1135" s="431"/>
      <c r="K1135" s="431"/>
      <c r="L1135" s="431" t="s">
        <v>721</v>
      </c>
      <c r="M1135" s="431" t="s">
        <v>813</v>
      </c>
    </row>
    <row r="1136" spans="1:13" x14ac:dyDescent="0.2">
      <c r="A1136" s="431" t="s">
        <v>812</v>
      </c>
      <c r="B1136" s="431">
        <v>1690162</v>
      </c>
      <c r="C1136" s="431" t="s">
        <v>159</v>
      </c>
      <c r="D1136" s="431" t="s">
        <v>160</v>
      </c>
      <c r="E1136" s="431" t="s">
        <v>161</v>
      </c>
      <c r="F1136" s="431" t="s">
        <v>679</v>
      </c>
      <c r="G1136" s="431" t="s">
        <v>175</v>
      </c>
      <c r="H1136" s="431"/>
      <c r="I1136" s="431"/>
      <c r="J1136" s="431"/>
      <c r="K1136" s="431"/>
      <c r="L1136" s="431" t="s">
        <v>721</v>
      </c>
      <c r="M1136" s="431" t="s">
        <v>813</v>
      </c>
    </row>
    <row r="1137" spans="1:13" x14ac:dyDescent="0.2">
      <c r="A1137" s="431" t="s">
        <v>812</v>
      </c>
      <c r="B1137" s="431">
        <v>1690162</v>
      </c>
      <c r="C1137" s="431" t="s">
        <v>159</v>
      </c>
      <c r="D1137" s="431" t="s">
        <v>160</v>
      </c>
      <c r="E1137" s="431" t="s">
        <v>161</v>
      </c>
      <c r="F1137" s="431" t="s">
        <v>679</v>
      </c>
      <c r="G1137" s="431" t="s">
        <v>175</v>
      </c>
      <c r="H1137" s="431"/>
      <c r="I1137" s="431"/>
      <c r="J1137" s="431"/>
      <c r="K1137" s="431"/>
      <c r="L1137" s="431" t="s">
        <v>721</v>
      </c>
      <c r="M1137" s="431" t="s">
        <v>813</v>
      </c>
    </row>
    <row r="1138" spans="1:13" x14ac:dyDescent="0.2">
      <c r="A1138" s="431" t="s">
        <v>812</v>
      </c>
      <c r="B1138" s="431">
        <v>1690162</v>
      </c>
      <c r="C1138" s="431" t="s">
        <v>159</v>
      </c>
      <c r="D1138" s="431" t="s">
        <v>160</v>
      </c>
      <c r="E1138" s="431" t="s">
        <v>161</v>
      </c>
      <c r="F1138" s="431" t="s">
        <v>681</v>
      </c>
      <c r="G1138" s="431" t="s">
        <v>175</v>
      </c>
      <c r="H1138" s="431"/>
      <c r="I1138" s="431"/>
      <c r="J1138" s="431"/>
      <c r="K1138" s="431"/>
      <c r="L1138" s="431" t="s">
        <v>721</v>
      </c>
      <c r="M1138" s="431" t="s">
        <v>813</v>
      </c>
    </row>
    <row r="1139" spans="1:13" x14ac:dyDescent="0.2">
      <c r="A1139" s="431" t="s">
        <v>812</v>
      </c>
      <c r="B1139" s="431">
        <v>1690162</v>
      </c>
      <c r="C1139" s="431" t="s">
        <v>159</v>
      </c>
      <c r="D1139" s="431" t="s">
        <v>160</v>
      </c>
      <c r="E1139" s="431" t="s">
        <v>161</v>
      </c>
      <c r="F1139" s="431" t="s">
        <v>681</v>
      </c>
      <c r="G1139" s="431" t="s">
        <v>175</v>
      </c>
      <c r="H1139" s="431"/>
      <c r="I1139" s="431"/>
      <c r="J1139" s="431"/>
      <c r="K1139" s="431"/>
      <c r="L1139" s="431" t="s">
        <v>721</v>
      </c>
      <c r="M1139" s="431" t="s">
        <v>813</v>
      </c>
    </row>
    <row r="1140" spans="1:13" x14ac:dyDescent="0.2">
      <c r="A1140" s="431" t="s">
        <v>814</v>
      </c>
      <c r="B1140" s="431">
        <v>1690190</v>
      </c>
      <c r="C1140" s="431" t="s">
        <v>159</v>
      </c>
      <c r="D1140" s="431" t="s">
        <v>160</v>
      </c>
      <c r="E1140" s="431" t="s">
        <v>161</v>
      </c>
      <c r="F1140" s="431" t="s">
        <v>697</v>
      </c>
      <c r="G1140" s="431" t="s">
        <v>175</v>
      </c>
      <c r="H1140" s="431"/>
      <c r="I1140" s="431"/>
      <c r="J1140" s="431"/>
      <c r="K1140" s="431"/>
      <c r="L1140" s="431" t="s">
        <v>352</v>
      </c>
      <c r="M1140" s="431" t="s">
        <v>815</v>
      </c>
    </row>
    <row r="1141" spans="1:13" x14ac:dyDescent="0.2">
      <c r="A1141" s="431" t="s">
        <v>814</v>
      </c>
      <c r="B1141" s="431">
        <v>1690190</v>
      </c>
      <c r="C1141" s="431" t="s">
        <v>159</v>
      </c>
      <c r="D1141" s="431" t="s">
        <v>160</v>
      </c>
      <c r="E1141" s="431" t="s">
        <v>161</v>
      </c>
      <c r="F1141" s="431" t="s">
        <v>789</v>
      </c>
      <c r="G1141" s="431" t="s">
        <v>175</v>
      </c>
      <c r="H1141" s="431"/>
      <c r="I1141" s="431"/>
      <c r="J1141" s="431"/>
      <c r="K1141" s="431"/>
      <c r="L1141" s="431" t="s">
        <v>352</v>
      </c>
      <c r="M1141" s="431" t="s">
        <v>815</v>
      </c>
    </row>
    <row r="1142" spans="1:13" x14ac:dyDescent="0.2">
      <c r="A1142" s="431" t="s">
        <v>814</v>
      </c>
      <c r="B1142" s="431">
        <v>1690190</v>
      </c>
      <c r="C1142" s="431" t="s">
        <v>159</v>
      </c>
      <c r="D1142" s="431" t="s">
        <v>160</v>
      </c>
      <c r="E1142" s="431" t="s">
        <v>161</v>
      </c>
      <c r="F1142" s="431" t="s">
        <v>790</v>
      </c>
      <c r="G1142" s="431" t="s">
        <v>175</v>
      </c>
      <c r="H1142" s="431"/>
      <c r="I1142" s="431"/>
      <c r="J1142" s="431"/>
      <c r="K1142" s="431"/>
      <c r="L1142" s="431" t="s">
        <v>352</v>
      </c>
      <c r="M1142" s="431" t="s">
        <v>815</v>
      </c>
    </row>
    <row r="1143" spans="1:13" x14ac:dyDescent="0.2">
      <c r="A1143" s="431" t="s">
        <v>816</v>
      </c>
      <c r="B1143" s="431">
        <v>1690057</v>
      </c>
      <c r="C1143" s="431" t="s">
        <v>159</v>
      </c>
      <c r="D1143" s="431" t="s">
        <v>160</v>
      </c>
      <c r="E1143" s="431" t="s">
        <v>161</v>
      </c>
      <c r="F1143" s="431" t="s">
        <v>698</v>
      </c>
      <c r="G1143" s="431" t="s">
        <v>175</v>
      </c>
      <c r="H1143" s="431"/>
      <c r="I1143" s="431"/>
      <c r="J1143" s="431"/>
      <c r="K1143" s="431"/>
      <c r="L1143" s="431" t="s">
        <v>307</v>
      </c>
      <c r="M1143" s="431" t="s">
        <v>817</v>
      </c>
    </row>
    <row r="1144" spans="1:13" x14ac:dyDescent="0.2">
      <c r="A1144" s="431" t="s">
        <v>816</v>
      </c>
      <c r="B1144" s="431">
        <v>1690057</v>
      </c>
      <c r="C1144" s="431" t="s">
        <v>159</v>
      </c>
      <c r="D1144" s="431" t="s">
        <v>160</v>
      </c>
      <c r="E1144" s="431" t="s">
        <v>161</v>
      </c>
      <c r="F1144" s="431" t="s">
        <v>699</v>
      </c>
      <c r="G1144" s="431" t="s">
        <v>175</v>
      </c>
      <c r="H1144" s="431"/>
      <c r="I1144" s="431"/>
      <c r="J1144" s="431"/>
      <c r="K1144" s="431"/>
      <c r="L1144" s="431" t="s">
        <v>307</v>
      </c>
      <c r="M1144" s="431" t="s">
        <v>817</v>
      </c>
    </row>
    <row r="1145" spans="1:13" x14ac:dyDescent="0.2">
      <c r="A1145" s="431" t="s">
        <v>816</v>
      </c>
      <c r="B1145" s="431">
        <v>1690057</v>
      </c>
      <c r="C1145" s="431" t="s">
        <v>159</v>
      </c>
      <c r="D1145" s="431" t="s">
        <v>160</v>
      </c>
      <c r="E1145" s="431" t="s">
        <v>161</v>
      </c>
      <c r="F1145" s="431" t="s">
        <v>700</v>
      </c>
      <c r="G1145" s="431" t="s">
        <v>175</v>
      </c>
      <c r="H1145" s="431"/>
      <c r="I1145" s="431"/>
      <c r="J1145" s="431"/>
      <c r="K1145" s="431"/>
      <c r="L1145" s="431" t="s">
        <v>307</v>
      </c>
      <c r="M1145" s="431" t="s">
        <v>817</v>
      </c>
    </row>
    <row r="1146" spans="1:13" x14ac:dyDescent="0.2">
      <c r="A1146" s="431" t="s">
        <v>816</v>
      </c>
      <c r="B1146" s="431">
        <v>1690057</v>
      </c>
      <c r="C1146" s="431" t="s">
        <v>159</v>
      </c>
      <c r="D1146" s="431" t="s">
        <v>160</v>
      </c>
      <c r="E1146" s="431" t="s">
        <v>161</v>
      </c>
      <c r="F1146" s="431" t="s">
        <v>701</v>
      </c>
      <c r="G1146" s="431" t="s">
        <v>175</v>
      </c>
      <c r="H1146" s="431"/>
      <c r="I1146" s="431"/>
      <c r="J1146" s="431"/>
      <c r="K1146" s="431"/>
      <c r="L1146" s="431" t="s">
        <v>307</v>
      </c>
      <c r="M1146" s="431" t="s">
        <v>817</v>
      </c>
    </row>
    <row r="1147" spans="1:13" x14ac:dyDescent="0.2">
      <c r="A1147" s="431" t="s">
        <v>816</v>
      </c>
      <c r="B1147" s="431">
        <v>1690057</v>
      </c>
      <c r="C1147" s="431" t="s">
        <v>159</v>
      </c>
      <c r="D1147" s="431" t="s">
        <v>160</v>
      </c>
      <c r="E1147" s="431" t="s">
        <v>161</v>
      </c>
      <c r="F1147" s="431" t="s">
        <v>818</v>
      </c>
      <c r="G1147" s="431" t="s">
        <v>175</v>
      </c>
      <c r="H1147" s="431"/>
      <c r="I1147" s="431"/>
      <c r="J1147" s="431"/>
      <c r="K1147" s="431"/>
      <c r="L1147" s="431" t="s">
        <v>307</v>
      </c>
      <c r="M1147" s="431" t="s">
        <v>817</v>
      </c>
    </row>
    <row r="1148" spans="1:13" x14ac:dyDescent="0.2">
      <c r="A1148" s="431" t="s">
        <v>816</v>
      </c>
      <c r="B1148" s="431">
        <v>1690057</v>
      </c>
      <c r="C1148" s="431" t="s">
        <v>159</v>
      </c>
      <c r="D1148" s="431" t="s">
        <v>160</v>
      </c>
      <c r="E1148" s="431" t="s">
        <v>161</v>
      </c>
      <c r="F1148" s="431" t="s">
        <v>819</v>
      </c>
      <c r="G1148" s="431" t="s">
        <v>175</v>
      </c>
      <c r="H1148" s="431"/>
      <c r="I1148" s="431"/>
      <c r="J1148" s="431"/>
      <c r="K1148" s="431"/>
      <c r="L1148" s="431" t="s">
        <v>307</v>
      </c>
      <c r="M1148" s="431" t="s">
        <v>817</v>
      </c>
    </row>
    <row r="1149" spans="1:13" x14ac:dyDescent="0.2">
      <c r="A1149" s="431" t="s">
        <v>816</v>
      </c>
      <c r="B1149" s="431">
        <v>1690057</v>
      </c>
      <c r="C1149" s="431" t="s">
        <v>159</v>
      </c>
      <c r="D1149" s="431" t="s">
        <v>160</v>
      </c>
      <c r="E1149" s="431" t="s">
        <v>161</v>
      </c>
      <c r="F1149" s="431" t="s">
        <v>820</v>
      </c>
      <c r="G1149" s="431" t="s">
        <v>175</v>
      </c>
      <c r="H1149" s="431"/>
      <c r="I1149" s="431"/>
      <c r="J1149" s="431"/>
      <c r="K1149" s="431"/>
      <c r="L1149" s="431" t="s">
        <v>307</v>
      </c>
      <c r="M1149" s="431" t="s">
        <v>817</v>
      </c>
    </row>
    <row r="1150" spans="1:13" x14ac:dyDescent="0.2">
      <c r="A1150" s="431" t="s">
        <v>816</v>
      </c>
      <c r="B1150" s="431">
        <v>1690057</v>
      </c>
      <c r="C1150" s="431" t="s">
        <v>159</v>
      </c>
      <c r="D1150" s="431" t="s">
        <v>160</v>
      </c>
      <c r="E1150" s="431" t="s">
        <v>161</v>
      </c>
      <c r="F1150" s="431" t="s">
        <v>821</v>
      </c>
      <c r="G1150" s="431" t="s">
        <v>175</v>
      </c>
      <c r="H1150" s="431"/>
      <c r="I1150" s="431"/>
      <c r="J1150" s="431"/>
      <c r="K1150" s="431"/>
      <c r="L1150" s="431" t="s">
        <v>307</v>
      </c>
      <c r="M1150" s="431" t="s">
        <v>817</v>
      </c>
    </row>
    <row r="1151" spans="1:13" x14ac:dyDescent="0.2">
      <c r="A1151" s="431" t="s">
        <v>816</v>
      </c>
      <c r="B1151" s="431">
        <v>1690057</v>
      </c>
      <c r="C1151" s="431" t="s">
        <v>159</v>
      </c>
      <c r="D1151" s="431" t="s">
        <v>160</v>
      </c>
      <c r="E1151" s="431" t="s">
        <v>161</v>
      </c>
      <c r="F1151" s="431" t="s">
        <v>822</v>
      </c>
      <c r="G1151" s="431" t="s">
        <v>175</v>
      </c>
      <c r="H1151" s="431"/>
      <c r="I1151" s="431"/>
      <c r="J1151" s="431"/>
      <c r="K1151" s="431"/>
      <c r="L1151" s="431" t="s">
        <v>307</v>
      </c>
      <c r="M1151" s="431" t="s">
        <v>817</v>
      </c>
    </row>
    <row r="1152" spans="1:13" x14ac:dyDescent="0.2">
      <c r="A1152" s="431" t="s">
        <v>816</v>
      </c>
      <c r="B1152" s="431">
        <v>1690057</v>
      </c>
      <c r="C1152" s="431" t="s">
        <v>159</v>
      </c>
      <c r="D1152" s="431" t="s">
        <v>160</v>
      </c>
      <c r="E1152" s="431" t="s">
        <v>161</v>
      </c>
      <c r="F1152" s="431" t="s">
        <v>822</v>
      </c>
      <c r="G1152" s="431" t="s">
        <v>175</v>
      </c>
      <c r="H1152" s="431"/>
      <c r="I1152" s="431"/>
      <c r="J1152" s="431"/>
      <c r="K1152" s="431"/>
      <c r="L1152" s="431" t="s">
        <v>307</v>
      </c>
      <c r="M1152" s="431" t="s">
        <v>817</v>
      </c>
    </row>
    <row r="1153" spans="1:13" x14ac:dyDescent="0.2">
      <c r="A1153" s="431" t="s">
        <v>816</v>
      </c>
      <c r="B1153" s="431">
        <v>1690057</v>
      </c>
      <c r="C1153" s="431" t="s">
        <v>159</v>
      </c>
      <c r="D1153" s="431" t="s">
        <v>160</v>
      </c>
      <c r="E1153" s="431" t="s">
        <v>161</v>
      </c>
      <c r="F1153" s="431" t="s">
        <v>823</v>
      </c>
      <c r="G1153" s="431" t="s">
        <v>175</v>
      </c>
      <c r="H1153" s="431"/>
      <c r="I1153" s="431"/>
      <c r="J1153" s="431"/>
      <c r="K1153" s="431"/>
      <c r="L1153" s="431" t="s">
        <v>307</v>
      </c>
      <c r="M1153" s="431" t="s">
        <v>817</v>
      </c>
    </row>
    <row r="1154" spans="1:13" x14ac:dyDescent="0.2">
      <c r="A1154" s="431" t="s">
        <v>816</v>
      </c>
      <c r="B1154" s="431">
        <v>1690057</v>
      </c>
      <c r="C1154" s="431" t="s">
        <v>159</v>
      </c>
      <c r="D1154" s="431" t="s">
        <v>160</v>
      </c>
      <c r="E1154" s="431" t="s">
        <v>161</v>
      </c>
      <c r="F1154" s="431" t="s">
        <v>823</v>
      </c>
      <c r="G1154" s="431" t="s">
        <v>175</v>
      </c>
      <c r="H1154" s="431"/>
      <c r="I1154" s="431"/>
      <c r="J1154" s="431"/>
      <c r="K1154" s="431"/>
      <c r="L1154" s="431" t="s">
        <v>307</v>
      </c>
      <c r="M1154" s="431" t="s">
        <v>817</v>
      </c>
    </row>
    <row r="1155" spans="1:13" x14ac:dyDescent="0.2">
      <c r="A1155" s="431" t="s">
        <v>824</v>
      </c>
      <c r="B1155" s="431">
        <v>1690202</v>
      </c>
      <c r="C1155" s="431" t="s">
        <v>159</v>
      </c>
      <c r="D1155" s="431" t="s">
        <v>160</v>
      </c>
      <c r="E1155" s="431" t="s">
        <v>161</v>
      </c>
      <c r="F1155" s="431" t="s">
        <v>693</v>
      </c>
      <c r="G1155" s="431" t="s">
        <v>175</v>
      </c>
      <c r="H1155" s="431"/>
      <c r="I1155" s="431"/>
      <c r="J1155" s="431"/>
      <c r="K1155" s="431"/>
      <c r="L1155" s="431" t="s">
        <v>307</v>
      </c>
      <c r="M1155" s="431" t="s">
        <v>825</v>
      </c>
    </row>
    <row r="1156" spans="1:13" x14ac:dyDescent="0.2">
      <c r="A1156" s="431" t="s">
        <v>824</v>
      </c>
      <c r="B1156" s="431">
        <v>1690202</v>
      </c>
      <c r="C1156" s="431" t="s">
        <v>159</v>
      </c>
      <c r="D1156" s="431" t="s">
        <v>160</v>
      </c>
      <c r="E1156" s="431" t="s">
        <v>161</v>
      </c>
      <c r="F1156" s="431" t="s">
        <v>693</v>
      </c>
      <c r="G1156" s="431" t="s">
        <v>175</v>
      </c>
      <c r="H1156" s="431"/>
      <c r="I1156" s="431"/>
      <c r="J1156" s="431"/>
      <c r="K1156" s="431"/>
      <c r="L1156" s="431" t="s">
        <v>307</v>
      </c>
      <c r="M1156" s="431" t="s">
        <v>825</v>
      </c>
    </row>
    <row r="1157" spans="1:13" x14ac:dyDescent="0.2">
      <c r="A1157" s="431" t="s">
        <v>824</v>
      </c>
      <c r="B1157" s="431">
        <v>1690202</v>
      </c>
      <c r="C1157" s="431" t="s">
        <v>159</v>
      </c>
      <c r="D1157" s="431" t="s">
        <v>160</v>
      </c>
      <c r="E1157" s="431" t="s">
        <v>161</v>
      </c>
      <c r="F1157" s="431" t="s">
        <v>693</v>
      </c>
      <c r="G1157" s="431" t="s">
        <v>175</v>
      </c>
      <c r="H1157" s="431"/>
      <c r="I1157" s="431"/>
      <c r="J1157" s="431"/>
      <c r="K1157" s="431"/>
      <c r="L1157" s="431" t="s">
        <v>307</v>
      </c>
      <c r="M1157" s="431" t="s">
        <v>825</v>
      </c>
    </row>
    <row r="1158" spans="1:13" x14ac:dyDescent="0.2">
      <c r="A1158" s="431" t="s">
        <v>824</v>
      </c>
      <c r="B1158" s="431">
        <v>1690202</v>
      </c>
      <c r="C1158" s="431" t="s">
        <v>159</v>
      </c>
      <c r="D1158" s="431" t="s">
        <v>160</v>
      </c>
      <c r="E1158" s="431" t="s">
        <v>161</v>
      </c>
      <c r="F1158" s="431" t="s">
        <v>694</v>
      </c>
      <c r="G1158" s="431" t="s">
        <v>175</v>
      </c>
      <c r="H1158" s="431"/>
      <c r="I1158" s="431"/>
      <c r="J1158" s="431"/>
      <c r="K1158" s="431"/>
      <c r="L1158" s="431" t="s">
        <v>307</v>
      </c>
      <c r="M1158" s="431" t="s">
        <v>825</v>
      </c>
    </row>
    <row r="1159" spans="1:13" x14ac:dyDescent="0.2">
      <c r="A1159" s="431" t="s">
        <v>826</v>
      </c>
      <c r="B1159" s="431">
        <v>1690024</v>
      </c>
      <c r="C1159" s="431" t="s">
        <v>159</v>
      </c>
      <c r="D1159" s="431" t="s">
        <v>160</v>
      </c>
      <c r="E1159" s="431" t="s">
        <v>161</v>
      </c>
      <c r="F1159" s="431" t="s">
        <v>798</v>
      </c>
      <c r="G1159" s="431" t="s">
        <v>175</v>
      </c>
      <c r="H1159" s="431"/>
      <c r="I1159" s="431"/>
      <c r="J1159" s="431"/>
      <c r="K1159" s="431"/>
      <c r="L1159" s="431" t="s">
        <v>827</v>
      </c>
      <c r="M1159" s="431" t="s">
        <v>828</v>
      </c>
    </row>
    <row r="1160" spans="1:13" x14ac:dyDescent="0.2">
      <c r="A1160" s="431" t="s">
        <v>826</v>
      </c>
      <c r="B1160" s="431">
        <v>1690024</v>
      </c>
      <c r="C1160" s="431" t="s">
        <v>159</v>
      </c>
      <c r="D1160" s="431" t="s">
        <v>160</v>
      </c>
      <c r="E1160" s="431" t="s">
        <v>161</v>
      </c>
      <c r="F1160" s="431" t="s">
        <v>798</v>
      </c>
      <c r="G1160" s="431" t="s">
        <v>175</v>
      </c>
      <c r="H1160" s="431"/>
      <c r="I1160" s="431"/>
      <c r="J1160" s="431"/>
      <c r="K1160" s="431"/>
      <c r="L1160" s="431" t="s">
        <v>827</v>
      </c>
      <c r="M1160" s="431" t="s">
        <v>828</v>
      </c>
    </row>
    <row r="1161" spans="1:13" x14ac:dyDescent="0.2">
      <c r="A1161" s="431" t="s">
        <v>826</v>
      </c>
      <c r="B1161" s="431">
        <v>1690024</v>
      </c>
      <c r="C1161" s="431" t="s">
        <v>159</v>
      </c>
      <c r="D1161" s="431" t="s">
        <v>160</v>
      </c>
      <c r="E1161" s="431" t="s">
        <v>161</v>
      </c>
      <c r="F1161" s="431" t="s">
        <v>798</v>
      </c>
      <c r="G1161" s="431" t="s">
        <v>175</v>
      </c>
      <c r="H1161" s="431"/>
      <c r="I1161" s="431"/>
      <c r="J1161" s="431"/>
      <c r="K1161" s="431"/>
      <c r="L1161" s="431" t="s">
        <v>827</v>
      </c>
      <c r="M1161" s="431" t="s">
        <v>828</v>
      </c>
    </row>
    <row r="1162" spans="1:13" x14ac:dyDescent="0.2">
      <c r="A1162" s="431" t="s">
        <v>826</v>
      </c>
      <c r="B1162" s="431">
        <v>1690024</v>
      </c>
      <c r="C1162" s="431" t="s">
        <v>159</v>
      </c>
      <c r="D1162" s="431" t="s">
        <v>160</v>
      </c>
      <c r="E1162" s="431" t="s">
        <v>161</v>
      </c>
      <c r="F1162" s="431" t="s">
        <v>798</v>
      </c>
      <c r="G1162" s="431" t="s">
        <v>175</v>
      </c>
      <c r="H1162" s="431"/>
      <c r="I1162" s="431"/>
      <c r="J1162" s="431"/>
      <c r="K1162" s="431"/>
      <c r="L1162" s="431" t="s">
        <v>827</v>
      </c>
      <c r="M1162" s="431" t="s">
        <v>828</v>
      </c>
    </row>
    <row r="1163" spans="1:13" x14ac:dyDescent="0.2">
      <c r="A1163" s="431" t="s">
        <v>826</v>
      </c>
      <c r="B1163" s="431">
        <v>1690024</v>
      </c>
      <c r="C1163" s="431" t="s">
        <v>159</v>
      </c>
      <c r="D1163" s="431" t="s">
        <v>160</v>
      </c>
      <c r="E1163" s="431" t="s">
        <v>161</v>
      </c>
      <c r="F1163" s="431" t="s">
        <v>798</v>
      </c>
      <c r="G1163" s="431" t="s">
        <v>175</v>
      </c>
      <c r="H1163" s="431"/>
      <c r="I1163" s="431"/>
      <c r="J1163" s="431"/>
      <c r="K1163" s="431"/>
      <c r="L1163" s="431" t="s">
        <v>827</v>
      </c>
      <c r="M1163" s="431" t="s">
        <v>828</v>
      </c>
    </row>
    <row r="1164" spans="1:13" x14ac:dyDescent="0.2">
      <c r="A1164" s="431" t="s">
        <v>826</v>
      </c>
      <c r="B1164" s="431">
        <v>1690024</v>
      </c>
      <c r="C1164" s="431" t="s">
        <v>159</v>
      </c>
      <c r="D1164" s="431" t="s">
        <v>160</v>
      </c>
      <c r="E1164" s="431" t="s">
        <v>161</v>
      </c>
      <c r="F1164" s="431" t="s">
        <v>798</v>
      </c>
      <c r="G1164" s="431" t="s">
        <v>175</v>
      </c>
      <c r="H1164" s="431"/>
      <c r="I1164" s="431"/>
      <c r="J1164" s="431"/>
      <c r="K1164" s="431"/>
      <c r="L1164" s="431" t="s">
        <v>827</v>
      </c>
      <c r="M1164" s="431" t="s">
        <v>828</v>
      </c>
    </row>
    <row r="1165" spans="1:13" x14ac:dyDescent="0.2">
      <c r="A1165" s="431" t="s">
        <v>826</v>
      </c>
      <c r="B1165" s="431">
        <v>1690024</v>
      </c>
      <c r="C1165" s="431" t="s">
        <v>159</v>
      </c>
      <c r="D1165" s="431" t="s">
        <v>160</v>
      </c>
      <c r="E1165" s="431" t="s">
        <v>161</v>
      </c>
      <c r="F1165" s="431" t="s">
        <v>798</v>
      </c>
      <c r="G1165" s="431" t="s">
        <v>175</v>
      </c>
      <c r="H1165" s="431"/>
      <c r="I1165" s="431"/>
      <c r="J1165" s="431"/>
      <c r="K1165" s="431"/>
      <c r="L1165" s="431" t="s">
        <v>827</v>
      </c>
      <c r="M1165" s="431" t="s">
        <v>828</v>
      </c>
    </row>
    <row r="1166" spans="1:13" x14ac:dyDescent="0.2">
      <c r="A1166" s="431" t="s">
        <v>826</v>
      </c>
      <c r="B1166" s="431">
        <v>1690024</v>
      </c>
      <c r="C1166" s="431" t="s">
        <v>159</v>
      </c>
      <c r="D1166" s="431" t="s">
        <v>160</v>
      </c>
      <c r="E1166" s="431" t="s">
        <v>161</v>
      </c>
      <c r="F1166" s="431" t="s">
        <v>798</v>
      </c>
      <c r="G1166" s="431" t="s">
        <v>175</v>
      </c>
      <c r="H1166" s="431"/>
      <c r="I1166" s="431"/>
      <c r="J1166" s="431"/>
      <c r="K1166" s="431"/>
      <c r="L1166" s="431" t="s">
        <v>827</v>
      </c>
      <c r="M1166" s="431" t="s">
        <v>828</v>
      </c>
    </row>
    <row r="1167" spans="1:13" x14ac:dyDescent="0.2">
      <c r="A1167" s="431" t="s">
        <v>826</v>
      </c>
      <c r="B1167" s="431">
        <v>1690024</v>
      </c>
      <c r="C1167" s="431" t="s">
        <v>159</v>
      </c>
      <c r="D1167" s="431" t="s">
        <v>160</v>
      </c>
      <c r="E1167" s="431" t="s">
        <v>161</v>
      </c>
      <c r="F1167" s="431" t="s">
        <v>798</v>
      </c>
      <c r="G1167" s="431" t="s">
        <v>175</v>
      </c>
      <c r="H1167" s="431"/>
      <c r="I1167" s="431"/>
      <c r="J1167" s="431"/>
      <c r="K1167" s="431"/>
      <c r="L1167" s="431" t="s">
        <v>827</v>
      </c>
      <c r="M1167" s="431" t="s">
        <v>828</v>
      </c>
    </row>
    <row r="1168" spans="1:13" x14ac:dyDescent="0.2">
      <c r="A1168" s="431" t="s">
        <v>826</v>
      </c>
      <c r="B1168" s="431">
        <v>1690024</v>
      </c>
      <c r="C1168" s="431" t="s">
        <v>159</v>
      </c>
      <c r="D1168" s="431" t="s">
        <v>160</v>
      </c>
      <c r="E1168" s="431" t="s">
        <v>161</v>
      </c>
      <c r="F1168" s="431" t="s">
        <v>798</v>
      </c>
      <c r="G1168" s="431" t="s">
        <v>175</v>
      </c>
      <c r="H1168" s="431"/>
      <c r="I1168" s="431"/>
      <c r="J1168" s="431"/>
      <c r="K1168" s="431"/>
      <c r="L1168" s="431" t="s">
        <v>827</v>
      </c>
      <c r="M1168" s="431" t="s">
        <v>828</v>
      </c>
    </row>
    <row r="1169" spans="1:13" x14ac:dyDescent="0.2">
      <c r="A1169" s="431" t="s">
        <v>826</v>
      </c>
      <c r="B1169" s="431">
        <v>1690024</v>
      </c>
      <c r="C1169" s="431" t="s">
        <v>159</v>
      </c>
      <c r="D1169" s="431" t="s">
        <v>160</v>
      </c>
      <c r="E1169" s="431" t="s">
        <v>161</v>
      </c>
      <c r="F1169" s="431" t="s">
        <v>798</v>
      </c>
      <c r="G1169" s="431" t="s">
        <v>175</v>
      </c>
      <c r="H1169" s="431"/>
      <c r="I1169" s="431"/>
      <c r="J1169" s="431"/>
      <c r="K1169" s="431"/>
      <c r="L1169" s="431" t="s">
        <v>827</v>
      </c>
      <c r="M1169" s="431" t="s">
        <v>828</v>
      </c>
    </row>
    <row r="1170" spans="1:13" x14ac:dyDescent="0.2">
      <c r="A1170" s="431" t="s">
        <v>826</v>
      </c>
      <c r="B1170" s="431">
        <v>1690024</v>
      </c>
      <c r="C1170" s="431" t="s">
        <v>159</v>
      </c>
      <c r="D1170" s="431" t="s">
        <v>160</v>
      </c>
      <c r="E1170" s="431" t="s">
        <v>161</v>
      </c>
      <c r="F1170" s="431" t="s">
        <v>798</v>
      </c>
      <c r="G1170" s="431" t="s">
        <v>175</v>
      </c>
      <c r="H1170" s="431"/>
      <c r="I1170" s="431"/>
      <c r="J1170" s="431"/>
      <c r="K1170" s="431"/>
      <c r="L1170" s="431" t="s">
        <v>827</v>
      </c>
      <c r="M1170" s="431" t="s">
        <v>828</v>
      </c>
    </row>
    <row r="1171" spans="1:13" x14ac:dyDescent="0.2">
      <c r="A1171" s="431" t="s">
        <v>826</v>
      </c>
      <c r="B1171" s="431">
        <v>1690024</v>
      </c>
      <c r="C1171" s="431" t="s">
        <v>159</v>
      </c>
      <c r="D1171" s="431" t="s">
        <v>160</v>
      </c>
      <c r="E1171" s="431" t="s">
        <v>161</v>
      </c>
      <c r="F1171" s="431" t="s">
        <v>798</v>
      </c>
      <c r="G1171" s="431" t="s">
        <v>175</v>
      </c>
      <c r="H1171" s="431"/>
      <c r="I1171" s="431"/>
      <c r="J1171" s="431"/>
      <c r="K1171" s="431"/>
      <c r="L1171" s="431" t="s">
        <v>827</v>
      </c>
      <c r="M1171" s="431" t="s">
        <v>828</v>
      </c>
    </row>
    <row r="1172" spans="1:13" x14ac:dyDescent="0.2">
      <c r="A1172" s="431" t="s">
        <v>826</v>
      </c>
      <c r="B1172" s="431">
        <v>1690024</v>
      </c>
      <c r="C1172" s="431" t="s">
        <v>159</v>
      </c>
      <c r="D1172" s="431" t="s">
        <v>160</v>
      </c>
      <c r="E1172" s="431" t="s">
        <v>161</v>
      </c>
      <c r="F1172" s="431" t="s">
        <v>798</v>
      </c>
      <c r="G1172" s="431" t="s">
        <v>175</v>
      </c>
      <c r="H1172" s="431"/>
      <c r="I1172" s="431"/>
      <c r="J1172" s="431"/>
      <c r="K1172" s="431"/>
      <c r="L1172" s="431" t="s">
        <v>827</v>
      </c>
      <c r="M1172" s="431" t="s">
        <v>828</v>
      </c>
    </row>
    <row r="1173" spans="1:13" x14ac:dyDescent="0.2">
      <c r="A1173" s="431" t="s">
        <v>826</v>
      </c>
      <c r="B1173" s="431">
        <v>1690024</v>
      </c>
      <c r="C1173" s="431" t="s">
        <v>159</v>
      </c>
      <c r="D1173" s="431" t="s">
        <v>160</v>
      </c>
      <c r="E1173" s="431" t="s">
        <v>161</v>
      </c>
      <c r="F1173" s="431" t="s">
        <v>798</v>
      </c>
      <c r="G1173" s="431" t="s">
        <v>175</v>
      </c>
      <c r="H1173" s="431"/>
      <c r="I1173" s="431"/>
      <c r="J1173" s="431"/>
      <c r="K1173" s="431"/>
      <c r="L1173" s="431" t="s">
        <v>827</v>
      </c>
      <c r="M1173" s="431" t="s">
        <v>828</v>
      </c>
    </row>
    <row r="1174" spans="1:13" x14ac:dyDescent="0.2">
      <c r="A1174" s="431" t="s">
        <v>826</v>
      </c>
      <c r="B1174" s="431">
        <v>1690024</v>
      </c>
      <c r="C1174" s="431" t="s">
        <v>159</v>
      </c>
      <c r="D1174" s="431" t="s">
        <v>160</v>
      </c>
      <c r="E1174" s="431" t="s">
        <v>161</v>
      </c>
      <c r="F1174" s="431" t="s">
        <v>798</v>
      </c>
      <c r="G1174" s="431" t="s">
        <v>175</v>
      </c>
      <c r="H1174" s="431"/>
      <c r="I1174" s="431"/>
      <c r="J1174" s="431"/>
      <c r="K1174" s="431"/>
      <c r="L1174" s="431" t="s">
        <v>827</v>
      </c>
      <c r="M1174" s="431" t="s">
        <v>828</v>
      </c>
    </row>
    <row r="1175" spans="1:13" x14ac:dyDescent="0.2">
      <c r="A1175" s="431" t="s">
        <v>826</v>
      </c>
      <c r="B1175" s="431">
        <v>1690024</v>
      </c>
      <c r="C1175" s="431" t="s">
        <v>159</v>
      </c>
      <c r="D1175" s="431" t="s">
        <v>160</v>
      </c>
      <c r="E1175" s="431" t="s">
        <v>161</v>
      </c>
      <c r="F1175" s="431" t="s">
        <v>798</v>
      </c>
      <c r="G1175" s="431" t="s">
        <v>175</v>
      </c>
      <c r="H1175" s="431"/>
      <c r="I1175" s="431"/>
      <c r="J1175" s="431"/>
      <c r="K1175" s="431"/>
      <c r="L1175" s="431" t="s">
        <v>827</v>
      </c>
      <c r="M1175" s="431" t="s">
        <v>828</v>
      </c>
    </row>
    <row r="1176" spans="1:13" x14ac:dyDescent="0.2">
      <c r="A1176" s="431" t="s">
        <v>826</v>
      </c>
      <c r="B1176" s="431">
        <v>1690024</v>
      </c>
      <c r="C1176" s="431" t="s">
        <v>159</v>
      </c>
      <c r="D1176" s="431" t="s">
        <v>160</v>
      </c>
      <c r="E1176" s="431" t="s">
        <v>161</v>
      </c>
      <c r="F1176" s="431" t="s">
        <v>798</v>
      </c>
      <c r="G1176" s="431" t="s">
        <v>175</v>
      </c>
      <c r="H1176" s="431"/>
      <c r="I1176" s="431"/>
      <c r="J1176" s="431"/>
      <c r="K1176" s="431"/>
      <c r="L1176" s="431" t="s">
        <v>827</v>
      </c>
      <c r="M1176" s="431" t="s">
        <v>828</v>
      </c>
    </row>
    <row r="1177" spans="1:13" x14ac:dyDescent="0.2">
      <c r="A1177" s="431" t="s">
        <v>826</v>
      </c>
      <c r="B1177" s="431">
        <v>1690024</v>
      </c>
      <c r="C1177" s="431" t="s">
        <v>159</v>
      </c>
      <c r="D1177" s="431" t="s">
        <v>160</v>
      </c>
      <c r="E1177" s="431" t="s">
        <v>161</v>
      </c>
      <c r="F1177" s="431" t="s">
        <v>798</v>
      </c>
      <c r="G1177" s="431" t="s">
        <v>175</v>
      </c>
      <c r="H1177" s="431"/>
      <c r="I1177" s="431"/>
      <c r="J1177" s="431"/>
      <c r="K1177" s="431"/>
      <c r="L1177" s="431" t="s">
        <v>827</v>
      </c>
      <c r="M1177" s="431" t="s">
        <v>828</v>
      </c>
    </row>
    <row r="1178" spans="1:13" x14ac:dyDescent="0.2">
      <c r="A1178" s="431" t="s">
        <v>826</v>
      </c>
      <c r="B1178" s="431">
        <v>1690024</v>
      </c>
      <c r="C1178" s="431" t="s">
        <v>159</v>
      </c>
      <c r="D1178" s="431" t="s">
        <v>160</v>
      </c>
      <c r="E1178" s="431" t="s">
        <v>161</v>
      </c>
      <c r="F1178" s="431" t="s">
        <v>798</v>
      </c>
      <c r="G1178" s="431" t="s">
        <v>175</v>
      </c>
      <c r="H1178" s="431"/>
      <c r="I1178" s="431"/>
      <c r="J1178" s="431"/>
      <c r="K1178" s="431"/>
      <c r="L1178" s="431" t="s">
        <v>827</v>
      </c>
      <c r="M1178" s="431" t="s">
        <v>828</v>
      </c>
    </row>
    <row r="1179" spans="1:13" x14ac:dyDescent="0.2">
      <c r="A1179" s="431" t="s">
        <v>826</v>
      </c>
      <c r="B1179" s="431">
        <v>1690024</v>
      </c>
      <c r="C1179" s="431" t="s">
        <v>159</v>
      </c>
      <c r="D1179" s="431" t="s">
        <v>160</v>
      </c>
      <c r="E1179" s="431" t="s">
        <v>161</v>
      </c>
      <c r="F1179" s="431" t="s">
        <v>798</v>
      </c>
      <c r="G1179" s="431" t="s">
        <v>175</v>
      </c>
      <c r="H1179" s="431"/>
      <c r="I1179" s="431"/>
      <c r="J1179" s="431"/>
      <c r="K1179" s="431"/>
      <c r="L1179" s="431" t="s">
        <v>827</v>
      </c>
      <c r="M1179" s="431" t="s">
        <v>828</v>
      </c>
    </row>
    <row r="1180" spans="1:13" x14ac:dyDescent="0.2">
      <c r="A1180" s="431" t="s">
        <v>826</v>
      </c>
      <c r="B1180" s="431">
        <v>1690024</v>
      </c>
      <c r="C1180" s="431" t="s">
        <v>159</v>
      </c>
      <c r="D1180" s="431" t="s">
        <v>160</v>
      </c>
      <c r="E1180" s="431" t="s">
        <v>161</v>
      </c>
      <c r="F1180" s="431" t="s">
        <v>798</v>
      </c>
      <c r="G1180" s="431" t="s">
        <v>175</v>
      </c>
      <c r="H1180" s="431"/>
      <c r="I1180" s="431"/>
      <c r="J1180" s="431"/>
      <c r="K1180" s="431"/>
      <c r="L1180" s="431" t="s">
        <v>827</v>
      </c>
      <c r="M1180" s="431" t="s">
        <v>828</v>
      </c>
    </row>
    <row r="1181" spans="1:13" x14ac:dyDescent="0.2">
      <c r="A1181" s="431" t="s">
        <v>826</v>
      </c>
      <c r="B1181" s="431">
        <v>1690024</v>
      </c>
      <c r="C1181" s="431" t="s">
        <v>159</v>
      </c>
      <c r="D1181" s="431" t="s">
        <v>160</v>
      </c>
      <c r="E1181" s="431" t="s">
        <v>161</v>
      </c>
      <c r="F1181" s="431" t="s">
        <v>798</v>
      </c>
      <c r="G1181" s="431" t="s">
        <v>175</v>
      </c>
      <c r="H1181" s="431"/>
      <c r="I1181" s="431"/>
      <c r="J1181" s="431"/>
      <c r="K1181" s="431"/>
      <c r="L1181" s="431" t="s">
        <v>827</v>
      </c>
      <c r="M1181" s="431" t="s">
        <v>828</v>
      </c>
    </row>
    <row r="1182" spans="1:13" x14ac:dyDescent="0.2">
      <c r="A1182" s="431" t="s">
        <v>826</v>
      </c>
      <c r="B1182" s="431">
        <v>1690024</v>
      </c>
      <c r="C1182" s="431" t="s">
        <v>159</v>
      </c>
      <c r="D1182" s="431" t="s">
        <v>160</v>
      </c>
      <c r="E1182" s="431" t="s">
        <v>161</v>
      </c>
      <c r="F1182" s="431" t="s">
        <v>798</v>
      </c>
      <c r="G1182" s="431" t="s">
        <v>175</v>
      </c>
      <c r="H1182" s="431"/>
      <c r="I1182" s="431"/>
      <c r="J1182" s="431"/>
      <c r="K1182" s="431"/>
      <c r="L1182" s="431" t="s">
        <v>827</v>
      </c>
      <c r="M1182" s="431" t="s">
        <v>828</v>
      </c>
    </row>
    <row r="1183" spans="1:13" x14ac:dyDescent="0.2">
      <c r="A1183" s="431" t="s">
        <v>826</v>
      </c>
      <c r="B1183" s="431">
        <v>1690024</v>
      </c>
      <c r="C1183" s="431" t="s">
        <v>159</v>
      </c>
      <c r="D1183" s="431" t="s">
        <v>160</v>
      </c>
      <c r="E1183" s="431" t="s">
        <v>161</v>
      </c>
      <c r="F1183" s="431" t="s">
        <v>798</v>
      </c>
      <c r="G1183" s="431" t="s">
        <v>175</v>
      </c>
      <c r="H1183" s="431"/>
      <c r="I1183" s="431"/>
      <c r="J1183" s="431"/>
      <c r="K1183" s="431"/>
      <c r="L1183" s="431" t="s">
        <v>827</v>
      </c>
      <c r="M1183" s="431" t="s">
        <v>828</v>
      </c>
    </row>
    <row r="1184" spans="1:13" x14ac:dyDescent="0.2">
      <c r="A1184" s="431" t="s">
        <v>826</v>
      </c>
      <c r="B1184" s="431">
        <v>1690024</v>
      </c>
      <c r="C1184" s="431" t="s">
        <v>159</v>
      </c>
      <c r="D1184" s="431" t="s">
        <v>160</v>
      </c>
      <c r="E1184" s="431" t="s">
        <v>161</v>
      </c>
      <c r="F1184" s="431" t="s">
        <v>798</v>
      </c>
      <c r="G1184" s="431" t="s">
        <v>175</v>
      </c>
      <c r="H1184" s="431"/>
      <c r="I1184" s="431"/>
      <c r="J1184" s="431"/>
      <c r="K1184" s="431"/>
      <c r="L1184" s="431" t="s">
        <v>827</v>
      </c>
      <c r="M1184" s="431" t="s">
        <v>828</v>
      </c>
    </row>
    <row r="1185" spans="1:13" x14ac:dyDescent="0.2">
      <c r="A1185" s="431" t="s">
        <v>826</v>
      </c>
      <c r="B1185" s="431">
        <v>1690024</v>
      </c>
      <c r="C1185" s="431" t="s">
        <v>159</v>
      </c>
      <c r="D1185" s="431" t="s">
        <v>160</v>
      </c>
      <c r="E1185" s="431" t="s">
        <v>161</v>
      </c>
      <c r="F1185" s="431" t="s">
        <v>798</v>
      </c>
      <c r="G1185" s="431" t="s">
        <v>175</v>
      </c>
      <c r="H1185" s="431"/>
      <c r="I1185" s="431"/>
      <c r="J1185" s="431"/>
      <c r="K1185" s="431"/>
      <c r="L1185" s="431" t="s">
        <v>827</v>
      </c>
      <c r="M1185" s="431" t="s">
        <v>828</v>
      </c>
    </row>
    <row r="1186" spans="1:13" x14ac:dyDescent="0.2">
      <c r="A1186" s="431" t="s">
        <v>826</v>
      </c>
      <c r="B1186" s="431">
        <v>1690024</v>
      </c>
      <c r="C1186" s="431" t="s">
        <v>159</v>
      </c>
      <c r="D1186" s="431" t="s">
        <v>160</v>
      </c>
      <c r="E1186" s="431" t="s">
        <v>161</v>
      </c>
      <c r="F1186" s="431" t="s">
        <v>798</v>
      </c>
      <c r="G1186" s="431" t="s">
        <v>175</v>
      </c>
      <c r="H1186" s="431"/>
      <c r="I1186" s="431"/>
      <c r="J1186" s="431"/>
      <c r="K1186" s="431"/>
      <c r="L1186" s="431" t="s">
        <v>827</v>
      </c>
      <c r="M1186" s="431" t="s">
        <v>828</v>
      </c>
    </row>
    <row r="1187" spans="1:13" x14ac:dyDescent="0.2">
      <c r="A1187" s="431" t="s">
        <v>826</v>
      </c>
      <c r="B1187" s="431">
        <v>1690024</v>
      </c>
      <c r="C1187" s="431" t="s">
        <v>159</v>
      </c>
      <c r="D1187" s="431" t="s">
        <v>160</v>
      </c>
      <c r="E1187" s="431" t="s">
        <v>161</v>
      </c>
      <c r="F1187" s="431" t="s">
        <v>798</v>
      </c>
      <c r="G1187" s="431" t="s">
        <v>175</v>
      </c>
      <c r="H1187" s="431"/>
      <c r="I1187" s="431"/>
      <c r="J1187" s="431"/>
      <c r="K1187" s="431"/>
      <c r="L1187" s="431" t="s">
        <v>827</v>
      </c>
      <c r="M1187" s="431" t="s">
        <v>828</v>
      </c>
    </row>
    <row r="1188" spans="1:13" x14ac:dyDescent="0.2">
      <c r="A1188" s="431" t="s">
        <v>826</v>
      </c>
      <c r="B1188" s="431">
        <v>1690024</v>
      </c>
      <c r="C1188" s="431" t="s">
        <v>159</v>
      </c>
      <c r="D1188" s="431" t="s">
        <v>160</v>
      </c>
      <c r="E1188" s="431" t="s">
        <v>161</v>
      </c>
      <c r="F1188" s="431" t="s">
        <v>798</v>
      </c>
      <c r="G1188" s="431" t="s">
        <v>175</v>
      </c>
      <c r="H1188" s="431"/>
      <c r="I1188" s="431"/>
      <c r="J1188" s="431"/>
      <c r="K1188" s="431"/>
      <c r="L1188" s="431" t="s">
        <v>827</v>
      </c>
      <c r="M1188" s="431" t="s">
        <v>828</v>
      </c>
    </row>
    <row r="1189" spans="1:13" x14ac:dyDescent="0.2">
      <c r="A1189" s="431" t="s">
        <v>826</v>
      </c>
      <c r="B1189" s="431">
        <v>1690024</v>
      </c>
      <c r="C1189" s="431" t="s">
        <v>159</v>
      </c>
      <c r="D1189" s="431" t="s">
        <v>160</v>
      </c>
      <c r="E1189" s="431" t="s">
        <v>161</v>
      </c>
      <c r="F1189" s="431" t="s">
        <v>798</v>
      </c>
      <c r="G1189" s="431" t="s">
        <v>175</v>
      </c>
      <c r="H1189" s="431"/>
      <c r="I1189" s="431"/>
      <c r="J1189" s="431"/>
      <c r="K1189" s="431"/>
      <c r="L1189" s="431" t="s">
        <v>827</v>
      </c>
      <c r="M1189" s="431" t="s">
        <v>828</v>
      </c>
    </row>
    <row r="1190" spans="1:13" x14ac:dyDescent="0.2">
      <c r="A1190" s="431" t="s">
        <v>826</v>
      </c>
      <c r="B1190" s="431">
        <v>1690024</v>
      </c>
      <c r="C1190" s="431" t="s">
        <v>159</v>
      </c>
      <c r="D1190" s="431" t="s">
        <v>160</v>
      </c>
      <c r="E1190" s="431" t="s">
        <v>161</v>
      </c>
      <c r="F1190" s="431" t="s">
        <v>798</v>
      </c>
      <c r="G1190" s="431" t="s">
        <v>175</v>
      </c>
      <c r="H1190" s="431"/>
      <c r="I1190" s="431"/>
      <c r="J1190" s="431"/>
      <c r="K1190" s="431"/>
      <c r="L1190" s="431" t="s">
        <v>827</v>
      </c>
      <c r="M1190" s="431" t="s">
        <v>828</v>
      </c>
    </row>
    <row r="1191" spans="1:13" x14ac:dyDescent="0.2">
      <c r="A1191" s="431" t="s">
        <v>826</v>
      </c>
      <c r="B1191" s="431">
        <v>1690024</v>
      </c>
      <c r="C1191" s="431" t="s">
        <v>159</v>
      </c>
      <c r="D1191" s="431" t="s">
        <v>160</v>
      </c>
      <c r="E1191" s="431" t="s">
        <v>161</v>
      </c>
      <c r="F1191" s="431" t="s">
        <v>798</v>
      </c>
      <c r="G1191" s="431" t="s">
        <v>175</v>
      </c>
      <c r="H1191" s="431"/>
      <c r="I1191" s="431"/>
      <c r="J1191" s="431"/>
      <c r="K1191" s="431"/>
      <c r="L1191" s="431" t="s">
        <v>827</v>
      </c>
      <c r="M1191" s="431" t="s">
        <v>828</v>
      </c>
    </row>
    <row r="1192" spans="1:13" x14ac:dyDescent="0.2">
      <c r="A1192" s="431" t="s">
        <v>826</v>
      </c>
      <c r="B1192" s="431">
        <v>1690024</v>
      </c>
      <c r="C1192" s="431" t="s">
        <v>159</v>
      </c>
      <c r="D1192" s="431" t="s">
        <v>160</v>
      </c>
      <c r="E1192" s="431" t="s">
        <v>161</v>
      </c>
      <c r="F1192" s="431" t="s">
        <v>798</v>
      </c>
      <c r="G1192" s="431" t="s">
        <v>175</v>
      </c>
      <c r="H1192" s="431"/>
      <c r="I1192" s="431"/>
      <c r="J1192" s="431"/>
      <c r="K1192" s="431"/>
      <c r="L1192" s="431" t="s">
        <v>827</v>
      </c>
      <c r="M1192" s="431" t="s">
        <v>828</v>
      </c>
    </row>
    <row r="1193" spans="1:13" x14ac:dyDescent="0.2">
      <c r="A1193" s="431" t="s">
        <v>826</v>
      </c>
      <c r="B1193" s="431">
        <v>1690024</v>
      </c>
      <c r="C1193" s="431" t="s">
        <v>159</v>
      </c>
      <c r="D1193" s="431" t="s">
        <v>160</v>
      </c>
      <c r="E1193" s="431" t="s">
        <v>161</v>
      </c>
      <c r="F1193" s="431" t="s">
        <v>798</v>
      </c>
      <c r="G1193" s="431" t="s">
        <v>175</v>
      </c>
      <c r="H1193" s="431"/>
      <c r="I1193" s="431"/>
      <c r="J1193" s="431"/>
      <c r="K1193" s="431"/>
      <c r="L1193" s="431" t="s">
        <v>827</v>
      </c>
      <c r="M1193" s="431" t="s">
        <v>828</v>
      </c>
    </row>
    <row r="1194" spans="1:13" x14ac:dyDescent="0.2">
      <c r="A1194" s="431" t="s">
        <v>826</v>
      </c>
      <c r="B1194" s="431">
        <v>1690024</v>
      </c>
      <c r="C1194" s="431" t="s">
        <v>159</v>
      </c>
      <c r="D1194" s="431" t="s">
        <v>160</v>
      </c>
      <c r="E1194" s="431" t="s">
        <v>161</v>
      </c>
      <c r="F1194" s="431" t="s">
        <v>798</v>
      </c>
      <c r="G1194" s="431" t="s">
        <v>175</v>
      </c>
      <c r="H1194" s="431"/>
      <c r="I1194" s="431"/>
      <c r="J1194" s="431"/>
      <c r="K1194" s="431"/>
      <c r="L1194" s="431" t="s">
        <v>827</v>
      </c>
      <c r="M1194" s="431" t="s">
        <v>828</v>
      </c>
    </row>
    <row r="1195" spans="1:13" x14ac:dyDescent="0.2">
      <c r="A1195" s="431" t="s">
        <v>826</v>
      </c>
      <c r="B1195" s="431">
        <v>1690024</v>
      </c>
      <c r="C1195" s="431" t="s">
        <v>159</v>
      </c>
      <c r="D1195" s="431" t="s">
        <v>160</v>
      </c>
      <c r="E1195" s="431" t="s">
        <v>161</v>
      </c>
      <c r="F1195" s="431" t="s">
        <v>798</v>
      </c>
      <c r="G1195" s="431" t="s">
        <v>175</v>
      </c>
      <c r="H1195" s="431"/>
      <c r="I1195" s="431"/>
      <c r="J1195" s="431"/>
      <c r="K1195" s="431"/>
      <c r="L1195" s="431" t="s">
        <v>827</v>
      </c>
      <c r="M1195" s="431" t="s">
        <v>828</v>
      </c>
    </row>
    <row r="1196" spans="1:13" x14ac:dyDescent="0.2">
      <c r="A1196" s="431" t="s">
        <v>826</v>
      </c>
      <c r="B1196" s="431">
        <v>1690024</v>
      </c>
      <c r="C1196" s="431" t="s">
        <v>159</v>
      </c>
      <c r="D1196" s="431" t="s">
        <v>160</v>
      </c>
      <c r="E1196" s="431" t="s">
        <v>161</v>
      </c>
      <c r="F1196" s="431" t="s">
        <v>798</v>
      </c>
      <c r="G1196" s="431" t="s">
        <v>175</v>
      </c>
      <c r="H1196" s="431"/>
      <c r="I1196" s="431"/>
      <c r="J1196" s="431"/>
      <c r="K1196" s="431"/>
      <c r="L1196" s="431" t="s">
        <v>827</v>
      </c>
      <c r="M1196" s="431" t="s">
        <v>828</v>
      </c>
    </row>
    <row r="1197" spans="1:13" x14ac:dyDescent="0.2">
      <c r="A1197" s="431" t="s">
        <v>826</v>
      </c>
      <c r="B1197" s="431">
        <v>1690024</v>
      </c>
      <c r="C1197" s="431" t="s">
        <v>159</v>
      </c>
      <c r="D1197" s="431" t="s">
        <v>160</v>
      </c>
      <c r="E1197" s="431" t="s">
        <v>161</v>
      </c>
      <c r="F1197" s="431" t="s">
        <v>798</v>
      </c>
      <c r="G1197" s="431" t="s">
        <v>175</v>
      </c>
      <c r="H1197" s="431"/>
      <c r="I1197" s="431"/>
      <c r="J1197" s="431"/>
      <c r="K1197" s="431"/>
      <c r="L1197" s="431" t="s">
        <v>827</v>
      </c>
      <c r="M1197" s="431" t="s">
        <v>828</v>
      </c>
    </row>
    <row r="1198" spans="1:13" x14ac:dyDescent="0.2">
      <c r="A1198" s="431" t="s">
        <v>826</v>
      </c>
      <c r="B1198" s="431">
        <v>1690024</v>
      </c>
      <c r="C1198" s="431" t="s">
        <v>159</v>
      </c>
      <c r="D1198" s="431" t="s">
        <v>160</v>
      </c>
      <c r="E1198" s="431" t="s">
        <v>161</v>
      </c>
      <c r="F1198" s="431" t="s">
        <v>798</v>
      </c>
      <c r="G1198" s="431" t="s">
        <v>175</v>
      </c>
      <c r="H1198" s="431"/>
      <c r="I1198" s="431"/>
      <c r="J1198" s="431"/>
      <c r="K1198" s="431"/>
      <c r="L1198" s="431" t="s">
        <v>827</v>
      </c>
      <c r="M1198" s="431" t="s">
        <v>828</v>
      </c>
    </row>
    <row r="1199" spans="1:13" x14ac:dyDescent="0.2">
      <c r="A1199" s="431" t="s">
        <v>826</v>
      </c>
      <c r="B1199" s="431">
        <v>1690024</v>
      </c>
      <c r="C1199" s="431" t="s">
        <v>159</v>
      </c>
      <c r="D1199" s="431" t="s">
        <v>160</v>
      </c>
      <c r="E1199" s="431" t="s">
        <v>161</v>
      </c>
      <c r="F1199" s="431" t="s">
        <v>798</v>
      </c>
      <c r="G1199" s="431" t="s">
        <v>175</v>
      </c>
      <c r="H1199" s="431"/>
      <c r="I1199" s="431"/>
      <c r="J1199" s="431"/>
      <c r="K1199" s="431"/>
      <c r="L1199" s="431" t="s">
        <v>827</v>
      </c>
      <c r="M1199" s="431" t="s">
        <v>828</v>
      </c>
    </row>
    <row r="1200" spans="1:13" x14ac:dyDescent="0.2">
      <c r="A1200" s="431" t="s">
        <v>826</v>
      </c>
      <c r="B1200" s="431">
        <v>1690024</v>
      </c>
      <c r="C1200" s="431" t="s">
        <v>159</v>
      </c>
      <c r="D1200" s="431" t="s">
        <v>160</v>
      </c>
      <c r="E1200" s="431" t="s">
        <v>161</v>
      </c>
      <c r="F1200" s="431" t="s">
        <v>798</v>
      </c>
      <c r="G1200" s="431" t="s">
        <v>175</v>
      </c>
      <c r="H1200" s="431"/>
      <c r="I1200" s="431"/>
      <c r="J1200" s="431"/>
      <c r="K1200" s="431"/>
      <c r="L1200" s="431" t="s">
        <v>827</v>
      </c>
      <c r="M1200" s="431" t="s">
        <v>828</v>
      </c>
    </row>
    <row r="1201" spans="1:13" x14ac:dyDescent="0.2">
      <c r="A1201" s="431" t="s">
        <v>826</v>
      </c>
      <c r="B1201" s="431">
        <v>1690024</v>
      </c>
      <c r="C1201" s="431" t="s">
        <v>159</v>
      </c>
      <c r="D1201" s="431" t="s">
        <v>160</v>
      </c>
      <c r="E1201" s="431" t="s">
        <v>161</v>
      </c>
      <c r="F1201" s="431" t="s">
        <v>798</v>
      </c>
      <c r="G1201" s="431" t="s">
        <v>175</v>
      </c>
      <c r="H1201" s="431"/>
      <c r="I1201" s="431"/>
      <c r="J1201" s="431"/>
      <c r="K1201" s="431"/>
      <c r="L1201" s="431" t="s">
        <v>827</v>
      </c>
      <c r="M1201" s="431" t="s">
        <v>828</v>
      </c>
    </row>
    <row r="1202" spans="1:13" x14ac:dyDescent="0.2">
      <c r="A1202" s="431" t="s">
        <v>826</v>
      </c>
      <c r="B1202" s="431">
        <v>1690024</v>
      </c>
      <c r="C1202" s="431" t="s">
        <v>159</v>
      </c>
      <c r="D1202" s="431" t="s">
        <v>160</v>
      </c>
      <c r="E1202" s="431" t="s">
        <v>161</v>
      </c>
      <c r="F1202" s="431" t="s">
        <v>798</v>
      </c>
      <c r="G1202" s="431" t="s">
        <v>175</v>
      </c>
      <c r="H1202" s="431"/>
      <c r="I1202" s="431"/>
      <c r="J1202" s="431"/>
      <c r="K1202" s="431"/>
      <c r="L1202" s="431" t="s">
        <v>827</v>
      </c>
      <c r="M1202" s="431" t="s">
        <v>828</v>
      </c>
    </row>
    <row r="1203" spans="1:13" x14ac:dyDescent="0.2">
      <c r="A1203" s="431" t="s">
        <v>826</v>
      </c>
      <c r="B1203" s="431">
        <v>1690024</v>
      </c>
      <c r="C1203" s="431" t="s">
        <v>159</v>
      </c>
      <c r="D1203" s="431" t="s">
        <v>160</v>
      </c>
      <c r="E1203" s="431" t="s">
        <v>161</v>
      </c>
      <c r="F1203" s="431" t="s">
        <v>798</v>
      </c>
      <c r="G1203" s="431" t="s">
        <v>175</v>
      </c>
      <c r="H1203" s="431"/>
      <c r="I1203" s="431"/>
      <c r="J1203" s="431"/>
      <c r="K1203" s="431"/>
      <c r="L1203" s="431" t="s">
        <v>827</v>
      </c>
      <c r="M1203" s="431" t="s">
        <v>828</v>
      </c>
    </row>
    <row r="1204" spans="1:13" x14ac:dyDescent="0.2">
      <c r="A1204" s="431" t="s">
        <v>826</v>
      </c>
      <c r="B1204" s="431">
        <v>1690024</v>
      </c>
      <c r="C1204" s="431" t="s">
        <v>159</v>
      </c>
      <c r="D1204" s="431" t="s">
        <v>160</v>
      </c>
      <c r="E1204" s="431" t="s">
        <v>161</v>
      </c>
      <c r="F1204" s="431" t="s">
        <v>798</v>
      </c>
      <c r="G1204" s="431" t="s">
        <v>175</v>
      </c>
      <c r="H1204" s="431"/>
      <c r="I1204" s="431"/>
      <c r="J1204" s="431"/>
      <c r="K1204" s="431"/>
      <c r="L1204" s="431" t="s">
        <v>827</v>
      </c>
      <c r="M1204" s="431" t="s">
        <v>828</v>
      </c>
    </row>
    <row r="1205" spans="1:13" x14ac:dyDescent="0.2">
      <c r="A1205" s="431" t="s">
        <v>826</v>
      </c>
      <c r="B1205" s="431">
        <v>1690024</v>
      </c>
      <c r="C1205" s="431" t="s">
        <v>159</v>
      </c>
      <c r="D1205" s="431" t="s">
        <v>160</v>
      </c>
      <c r="E1205" s="431" t="s">
        <v>161</v>
      </c>
      <c r="F1205" s="431" t="s">
        <v>798</v>
      </c>
      <c r="G1205" s="431" t="s">
        <v>175</v>
      </c>
      <c r="H1205" s="431"/>
      <c r="I1205" s="431"/>
      <c r="J1205" s="431"/>
      <c r="K1205" s="431"/>
      <c r="L1205" s="431" t="s">
        <v>827</v>
      </c>
      <c r="M1205" s="431" t="s">
        <v>828</v>
      </c>
    </row>
    <row r="1206" spans="1:13" x14ac:dyDescent="0.2">
      <c r="A1206" s="431" t="s">
        <v>826</v>
      </c>
      <c r="B1206" s="431">
        <v>1690024</v>
      </c>
      <c r="C1206" s="431" t="s">
        <v>159</v>
      </c>
      <c r="D1206" s="431" t="s">
        <v>160</v>
      </c>
      <c r="E1206" s="431" t="s">
        <v>161</v>
      </c>
      <c r="F1206" s="431" t="s">
        <v>798</v>
      </c>
      <c r="G1206" s="431" t="s">
        <v>175</v>
      </c>
      <c r="H1206" s="431"/>
      <c r="I1206" s="431"/>
      <c r="J1206" s="431"/>
      <c r="K1206" s="431"/>
      <c r="L1206" s="431" t="s">
        <v>827</v>
      </c>
      <c r="M1206" s="431" t="s">
        <v>828</v>
      </c>
    </row>
    <row r="1207" spans="1:13" x14ac:dyDescent="0.2">
      <c r="A1207" s="431" t="s">
        <v>826</v>
      </c>
      <c r="B1207" s="431">
        <v>1690024</v>
      </c>
      <c r="C1207" s="431" t="s">
        <v>159</v>
      </c>
      <c r="D1207" s="431" t="s">
        <v>160</v>
      </c>
      <c r="E1207" s="431" t="s">
        <v>161</v>
      </c>
      <c r="F1207" s="431" t="s">
        <v>798</v>
      </c>
      <c r="G1207" s="431" t="s">
        <v>175</v>
      </c>
      <c r="H1207" s="431"/>
      <c r="I1207" s="431"/>
      <c r="J1207" s="431"/>
      <c r="K1207" s="431"/>
      <c r="L1207" s="431" t="s">
        <v>827</v>
      </c>
      <c r="M1207" s="431" t="s">
        <v>828</v>
      </c>
    </row>
    <row r="1208" spans="1:13" x14ac:dyDescent="0.2">
      <c r="A1208" s="431" t="s">
        <v>826</v>
      </c>
      <c r="B1208" s="431">
        <v>1690024</v>
      </c>
      <c r="C1208" s="431" t="s">
        <v>159</v>
      </c>
      <c r="D1208" s="431" t="s">
        <v>160</v>
      </c>
      <c r="E1208" s="431" t="s">
        <v>161</v>
      </c>
      <c r="F1208" s="431" t="s">
        <v>798</v>
      </c>
      <c r="G1208" s="431" t="s">
        <v>175</v>
      </c>
      <c r="H1208" s="431"/>
      <c r="I1208" s="431"/>
      <c r="J1208" s="431"/>
      <c r="K1208" s="431"/>
      <c r="L1208" s="431" t="s">
        <v>827</v>
      </c>
      <c r="M1208" s="431" t="s">
        <v>828</v>
      </c>
    </row>
    <row r="1209" spans="1:13" x14ac:dyDescent="0.2">
      <c r="A1209" s="431" t="s">
        <v>826</v>
      </c>
      <c r="B1209" s="431">
        <v>1690024</v>
      </c>
      <c r="C1209" s="431" t="s">
        <v>159</v>
      </c>
      <c r="D1209" s="431" t="s">
        <v>160</v>
      </c>
      <c r="E1209" s="431" t="s">
        <v>161</v>
      </c>
      <c r="F1209" s="431" t="s">
        <v>798</v>
      </c>
      <c r="G1209" s="431" t="s">
        <v>175</v>
      </c>
      <c r="H1209" s="431"/>
      <c r="I1209" s="431"/>
      <c r="J1209" s="431"/>
      <c r="K1209" s="431"/>
      <c r="L1209" s="431" t="s">
        <v>827</v>
      </c>
      <c r="M1209" s="431" t="s">
        <v>828</v>
      </c>
    </row>
    <row r="1210" spans="1:13" x14ac:dyDescent="0.2">
      <c r="A1210" s="431" t="s">
        <v>826</v>
      </c>
      <c r="B1210" s="431">
        <v>1690024</v>
      </c>
      <c r="C1210" s="431" t="s">
        <v>159</v>
      </c>
      <c r="D1210" s="431" t="s">
        <v>160</v>
      </c>
      <c r="E1210" s="431" t="s">
        <v>161</v>
      </c>
      <c r="F1210" s="431" t="s">
        <v>798</v>
      </c>
      <c r="G1210" s="431" t="s">
        <v>175</v>
      </c>
      <c r="H1210" s="431"/>
      <c r="I1210" s="431"/>
      <c r="J1210" s="431"/>
      <c r="K1210" s="431"/>
      <c r="L1210" s="431" t="s">
        <v>827</v>
      </c>
      <c r="M1210" s="431" t="s">
        <v>828</v>
      </c>
    </row>
    <row r="1211" spans="1:13" x14ac:dyDescent="0.2">
      <c r="A1211" s="431" t="s">
        <v>826</v>
      </c>
      <c r="B1211" s="431">
        <v>1690024</v>
      </c>
      <c r="C1211" s="431" t="s">
        <v>159</v>
      </c>
      <c r="D1211" s="431" t="s">
        <v>160</v>
      </c>
      <c r="E1211" s="431" t="s">
        <v>161</v>
      </c>
      <c r="F1211" s="431" t="s">
        <v>798</v>
      </c>
      <c r="G1211" s="431" t="s">
        <v>175</v>
      </c>
      <c r="H1211" s="431"/>
      <c r="I1211" s="431"/>
      <c r="J1211" s="431"/>
      <c r="K1211" s="431"/>
      <c r="L1211" s="431" t="s">
        <v>827</v>
      </c>
      <c r="M1211" s="431" t="s">
        <v>828</v>
      </c>
    </row>
    <row r="1212" spans="1:13" x14ac:dyDescent="0.2">
      <c r="A1212" s="431" t="s">
        <v>826</v>
      </c>
      <c r="B1212" s="431">
        <v>1690024</v>
      </c>
      <c r="C1212" s="431" t="s">
        <v>159</v>
      </c>
      <c r="D1212" s="431" t="s">
        <v>160</v>
      </c>
      <c r="E1212" s="431" t="s">
        <v>161</v>
      </c>
      <c r="F1212" s="431" t="s">
        <v>798</v>
      </c>
      <c r="G1212" s="431" t="s">
        <v>175</v>
      </c>
      <c r="H1212" s="431"/>
      <c r="I1212" s="431"/>
      <c r="J1212" s="431"/>
      <c r="K1212" s="431"/>
      <c r="L1212" s="431" t="s">
        <v>827</v>
      </c>
      <c r="M1212" s="431" t="s">
        <v>828</v>
      </c>
    </row>
    <row r="1213" spans="1:13" x14ac:dyDescent="0.2">
      <c r="A1213" s="431" t="s">
        <v>826</v>
      </c>
      <c r="B1213" s="431">
        <v>1690024</v>
      </c>
      <c r="C1213" s="431" t="s">
        <v>159</v>
      </c>
      <c r="D1213" s="431" t="s">
        <v>160</v>
      </c>
      <c r="E1213" s="431" t="s">
        <v>161</v>
      </c>
      <c r="F1213" s="431" t="s">
        <v>798</v>
      </c>
      <c r="G1213" s="431" t="s">
        <v>175</v>
      </c>
      <c r="H1213" s="431"/>
      <c r="I1213" s="431"/>
      <c r="J1213" s="431"/>
      <c r="K1213" s="431"/>
      <c r="L1213" s="431" t="s">
        <v>827</v>
      </c>
      <c r="M1213" s="431" t="s">
        <v>828</v>
      </c>
    </row>
    <row r="1214" spans="1:13" x14ac:dyDescent="0.2">
      <c r="A1214" s="431" t="s">
        <v>826</v>
      </c>
      <c r="B1214" s="431">
        <v>1690024</v>
      </c>
      <c r="C1214" s="431" t="s">
        <v>159</v>
      </c>
      <c r="D1214" s="431" t="s">
        <v>160</v>
      </c>
      <c r="E1214" s="431" t="s">
        <v>161</v>
      </c>
      <c r="F1214" s="431" t="s">
        <v>798</v>
      </c>
      <c r="G1214" s="431" t="s">
        <v>175</v>
      </c>
      <c r="H1214" s="431"/>
      <c r="I1214" s="431"/>
      <c r="J1214" s="431"/>
      <c r="K1214" s="431"/>
      <c r="L1214" s="431" t="s">
        <v>827</v>
      </c>
      <c r="M1214" s="431" t="s">
        <v>828</v>
      </c>
    </row>
    <row r="1215" spans="1:13" x14ac:dyDescent="0.2">
      <c r="A1215" s="431" t="s">
        <v>826</v>
      </c>
      <c r="B1215" s="431">
        <v>1690024</v>
      </c>
      <c r="C1215" s="431" t="s">
        <v>159</v>
      </c>
      <c r="D1215" s="431" t="s">
        <v>160</v>
      </c>
      <c r="E1215" s="431" t="s">
        <v>161</v>
      </c>
      <c r="F1215" s="431" t="s">
        <v>798</v>
      </c>
      <c r="G1215" s="431" t="s">
        <v>175</v>
      </c>
      <c r="H1215" s="431"/>
      <c r="I1215" s="431"/>
      <c r="J1215" s="431"/>
      <c r="K1215" s="431"/>
      <c r="L1215" s="431" t="s">
        <v>827</v>
      </c>
      <c r="M1215" s="431" t="s">
        <v>828</v>
      </c>
    </row>
    <row r="1216" spans="1:13" x14ac:dyDescent="0.2">
      <c r="A1216" s="431" t="s">
        <v>826</v>
      </c>
      <c r="B1216" s="431">
        <v>1690024</v>
      </c>
      <c r="C1216" s="431" t="s">
        <v>159</v>
      </c>
      <c r="D1216" s="431" t="s">
        <v>160</v>
      </c>
      <c r="E1216" s="431" t="s">
        <v>161</v>
      </c>
      <c r="F1216" s="431" t="s">
        <v>798</v>
      </c>
      <c r="G1216" s="431" t="s">
        <v>175</v>
      </c>
      <c r="H1216" s="431"/>
      <c r="I1216" s="431"/>
      <c r="J1216" s="431"/>
      <c r="K1216" s="431"/>
      <c r="L1216" s="431" t="s">
        <v>827</v>
      </c>
      <c r="M1216" s="431" t="s">
        <v>828</v>
      </c>
    </row>
    <row r="1217" spans="1:13" x14ac:dyDescent="0.2">
      <c r="A1217" s="431" t="s">
        <v>826</v>
      </c>
      <c r="B1217" s="431">
        <v>1690024</v>
      </c>
      <c r="C1217" s="431" t="s">
        <v>159</v>
      </c>
      <c r="D1217" s="431" t="s">
        <v>160</v>
      </c>
      <c r="E1217" s="431" t="s">
        <v>161</v>
      </c>
      <c r="F1217" s="431" t="s">
        <v>798</v>
      </c>
      <c r="G1217" s="431" t="s">
        <v>175</v>
      </c>
      <c r="H1217" s="431"/>
      <c r="I1217" s="431"/>
      <c r="J1217" s="431"/>
      <c r="K1217" s="431"/>
      <c r="L1217" s="431" t="s">
        <v>827</v>
      </c>
      <c r="M1217" s="431" t="s">
        <v>828</v>
      </c>
    </row>
    <row r="1218" spans="1:13" x14ac:dyDescent="0.2">
      <c r="A1218" s="431" t="s">
        <v>826</v>
      </c>
      <c r="B1218" s="431">
        <v>1690024</v>
      </c>
      <c r="C1218" s="431" t="s">
        <v>159</v>
      </c>
      <c r="D1218" s="431" t="s">
        <v>160</v>
      </c>
      <c r="E1218" s="431" t="s">
        <v>161</v>
      </c>
      <c r="F1218" s="431" t="s">
        <v>798</v>
      </c>
      <c r="G1218" s="431" t="s">
        <v>175</v>
      </c>
      <c r="H1218" s="431"/>
      <c r="I1218" s="431"/>
      <c r="J1218" s="431"/>
      <c r="K1218" s="431"/>
      <c r="L1218" s="431" t="s">
        <v>827</v>
      </c>
      <c r="M1218" s="431" t="s">
        <v>828</v>
      </c>
    </row>
    <row r="1219" spans="1:13" x14ac:dyDescent="0.2">
      <c r="A1219" s="431" t="s">
        <v>826</v>
      </c>
      <c r="B1219" s="431">
        <v>1690024</v>
      </c>
      <c r="C1219" s="431" t="s">
        <v>159</v>
      </c>
      <c r="D1219" s="431" t="s">
        <v>160</v>
      </c>
      <c r="E1219" s="431" t="s">
        <v>161</v>
      </c>
      <c r="F1219" s="431" t="s">
        <v>798</v>
      </c>
      <c r="G1219" s="431" t="s">
        <v>175</v>
      </c>
      <c r="H1219" s="431"/>
      <c r="I1219" s="431"/>
      <c r="J1219" s="431"/>
      <c r="K1219" s="431"/>
      <c r="L1219" s="431" t="s">
        <v>827</v>
      </c>
      <c r="M1219" s="431" t="s">
        <v>828</v>
      </c>
    </row>
    <row r="1220" spans="1:13" x14ac:dyDescent="0.2">
      <c r="A1220" s="431" t="s">
        <v>826</v>
      </c>
      <c r="B1220" s="431">
        <v>1690024</v>
      </c>
      <c r="C1220" s="431" t="s">
        <v>159</v>
      </c>
      <c r="D1220" s="431" t="s">
        <v>160</v>
      </c>
      <c r="E1220" s="431" t="s">
        <v>161</v>
      </c>
      <c r="F1220" s="431" t="s">
        <v>798</v>
      </c>
      <c r="G1220" s="431" t="s">
        <v>175</v>
      </c>
      <c r="H1220" s="431"/>
      <c r="I1220" s="431"/>
      <c r="J1220" s="431"/>
      <c r="K1220" s="431"/>
      <c r="L1220" s="431" t="s">
        <v>827</v>
      </c>
      <c r="M1220" s="431" t="s">
        <v>828</v>
      </c>
    </row>
    <row r="1221" spans="1:13" x14ac:dyDescent="0.2">
      <c r="A1221" s="431" t="s">
        <v>826</v>
      </c>
      <c r="B1221" s="431">
        <v>1690024</v>
      </c>
      <c r="C1221" s="431" t="s">
        <v>159</v>
      </c>
      <c r="D1221" s="431" t="s">
        <v>160</v>
      </c>
      <c r="E1221" s="431" t="s">
        <v>161</v>
      </c>
      <c r="F1221" s="431" t="s">
        <v>798</v>
      </c>
      <c r="G1221" s="431" t="s">
        <v>175</v>
      </c>
      <c r="H1221" s="431"/>
      <c r="I1221" s="431"/>
      <c r="J1221" s="431"/>
      <c r="K1221" s="431"/>
      <c r="L1221" s="431" t="s">
        <v>827</v>
      </c>
      <c r="M1221" s="431" t="s">
        <v>828</v>
      </c>
    </row>
    <row r="1222" spans="1:13" x14ac:dyDescent="0.2">
      <c r="A1222" s="431" t="s">
        <v>826</v>
      </c>
      <c r="B1222" s="431">
        <v>1690024</v>
      </c>
      <c r="C1222" s="431" t="s">
        <v>159</v>
      </c>
      <c r="D1222" s="431" t="s">
        <v>160</v>
      </c>
      <c r="E1222" s="431" t="s">
        <v>161</v>
      </c>
      <c r="F1222" s="431" t="s">
        <v>798</v>
      </c>
      <c r="G1222" s="431" t="s">
        <v>175</v>
      </c>
      <c r="H1222" s="431"/>
      <c r="I1222" s="431"/>
      <c r="J1222" s="431"/>
      <c r="K1222" s="431"/>
      <c r="L1222" s="431" t="s">
        <v>827</v>
      </c>
      <c r="M1222" s="431" t="s">
        <v>828</v>
      </c>
    </row>
    <row r="1223" spans="1:13" x14ac:dyDescent="0.2">
      <c r="A1223" s="431" t="s">
        <v>826</v>
      </c>
      <c r="B1223" s="431">
        <v>1690024</v>
      </c>
      <c r="C1223" s="431" t="s">
        <v>159</v>
      </c>
      <c r="D1223" s="431" t="s">
        <v>160</v>
      </c>
      <c r="E1223" s="431" t="s">
        <v>161</v>
      </c>
      <c r="F1223" s="431" t="s">
        <v>798</v>
      </c>
      <c r="G1223" s="431" t="s">
        <v>175</v>
      </c>
      <c r="H1223" s="431"/>
      <c r="I1223" s="431"/>
      <c r="J1223" s="431"/>
      <c r="K1223" s="431"/>
      <c r="L1223" s="431" t="s">
        <v>827</v>
      </c>
      <c r="M1223" s="431" t="s">
        <v>828</v>
      </c>
    </row>
    <row r="1224" spans="1:13" x14ac:dyDescent="0.2">
      <c r="A1224" s="431" t="s">
        <v>826</v>
      </c>
      <c r="B1224" s="431">
        <v>1690024</v>
      </c>
      <c r="C1224" s="431" t="s">
        <v>159</v>
      </c>
      <c r="D1224" s="431" t="s">
        <v>160</v>
      </c>
      <c r="E1224" s="431" t="s">
        <v>161</v>
      </c>
      <c r="F1224" s="431" t="s">
        <v>798</v>
      </c>
      <c r="G1224" s="431" t="s">
        <v>175</v>
      </c>
      <c r="H1224" s="431"/>
      <c r="I1224" s="431"/>
      <c r="J1224" s="431"/>
      <c r="K1224" s="431"/>
      <c r="L1224" s="431" t="s">
        <v>827</v>
      </c>
      <c r="M1224" s="431" t="s">
        <v>828</v>
      </c>
    </row>
    <row r="1225" spans="1:13" x14ac:dyDescent="0.2">
      <c r="A1225" s="431" t="s">
        <v>826</v>
      </c>
      <c r="B1225" s="431">
        <v>1690024</v>
      </c>
      <c r="C1225" s="431" t="s">
        <v>159</v>
      </c>
      <c r="D1225" s="431" t="s">
        <v>160</v>
      </c>
      <c r="E1225" s="431" t="s">
        <v>161</v>
      </c>
      <c r="F1225" s="431" t="s">
        <v>798</v>
      </c>
      <c r="G1225" s="431" t="s">
        <v>175</v>
      </c>
      <c r="H1225" s="431"/>
      <c r="I1225" s="431"/>
      <c r="J1225" s="431"/>
      <c r="K1225" s="431"/>
      <c r="L1225" s="431" t="s">
        <v>827</v>
      </c>
      <c r="M1225" s="431" t="s">
        <v>828</v>
      </c>
    </row>
    <row r="1226" spans="1:13" x14ac:dyDescent="0.2">
      <c r="A1226" s="431" t="s">
        <v>826</v>
      </c>
      <c r="B1226" s="431">
        <v>1690024</v>
      </c>
      <c r="C1226" s="431" t="s">
        <v>159</v>
      </c>
      <c r="D1226" s="431" t="s">
        <v>160</v>
      </c>
      <c r="E1226" s="431" t="s">
        <v>161</v>
      </c>
      <c r="F1226" s="431" t="s">
        <v>798</v>
      </c>
      <c r="G1226" s="431" t="s">
        <v>175</v>
      </c>
      <c r="H1226" s="431"/>
      <c r="I1226" s="431"/>
      <c r="J1226" s="431"/>
      <c r="K1226" s="431"/>
      <c r="L1226" s="431" t="s">
        <v>827</v>
      </c>
      <c r="M1226" s="431" t="s">
        <v>828</v>
      </c>
    </row>
    <row r="1227" spans="1:13" x14ac:dyDescent="0.2">
      <c r="A1227" s="431" t="s">
        <v>826</v>
      </c>
      <c r="B1227" s="431">
        <v>1690024</v>
      </c>
      <c r="C1227" s="431" t="s">
        <v>159</v>
      </c>
      <c r="D1227" s="431" t="s">
        <v>160</v>
      </c>
      <c r="E1227" s="431" t="s">
        <v>161</v>
      </c>
      <c r="F1227" s="431" t="s">
        <v>798</v>
      </c>
      <c r="G1227" s="431" t="s">
        <v>175</v>
      </c>
      <c r="H1227" s="431"/>
      <c r="I1227" s="431"/>
      <c r="J1227" s="431"/>
      <c r="K1227" s="431"/>
      <c r="L1227" s="431" t="s">
        <v>827</v>
      </c>
      <c r="M1227" s="431" t="s">
        <v>828</v>
      </c>
    </row>
    <row r="1228" spans="1:13" x14ac:dyDescent="0.2">
      <c r="A1228" s="431" t="s">
        <v>826</v>
      </c>
      <c r="B1228" s="431">
        <v>1690024</v>
      </c>
      <c r="C1228" s="431" t="s">
        <v>159</v>
      </c>
      <c r="D1228" s="431" t="s">
        <v>160</v>
      </c>
      <c r="E1228" s="431" t="s">
        <v>161</v>
      </c>
      <c r="F1228" s="431" t="s">
        <v>798</v>
      </c>
      <c r="G1228" s="431" t="s">
        <v>175</v>
      </c>
      <c r="H1228" s="431"/>
      <c r="I1228" s="431"/>
      <c r="J1228" s="431"/>
      <c r="K1228" s="431"/>
      <c r="L1228" s="431" t="s">
        <v>827</v>
      </c>
      <c r="M1228" s="431" t="s">
        <v>828</v>
      </c>
    </row>
    <row r="1229" spans="1:13" x14ac:dyDescent="0.2">
      <c r="A1229" s="431" t="s">
        <v>826</v>
      </c>
      <c r="B1229" s="431">
        <v>1690024</v>
      </c>
      <c r="C1229" s="431" t="s">
        <v>159</v>
      </c>
      <c r="D1229" s="431" t="s">
        <v>160</v>
      </c>
      <c r="E1229" s="431" t="s">
        <v>161</v>
      </c>
      <c r="F1229" s="431" t="s">
        <v>798</v>
      </c>
      <c r="G1229" s="431" t="s">
        <v>175</v>
      </c>
      <c r="H1229" s="431"/>
      <c r="I1229" s="431"/>
      <c r="J1229" s="431"/>
      <c r="K1229" s="431"/>
      <c r="L1229" s="431" t="s">
        <v>827</v>
      </c>
      <c r="M1229" s="431" t="s">
        <v>828</v>
      </c>
    </row>
    <row r="1230" spans="1:13" x14ac:dyDescent="0.2">
      <c r="A1230" s="431" t="s">
        <v>826</v>
      </c>
      <c r="B1230" s="431">
        <v>1690024</v>
      </c>
      <c r="C1230" s="431" t="s">
        <v>159</v>
      </c>
      <c r="D1230" s="431" t="s">
        <v>160</v>
      </c>
      <c r="E1230" s="431" t="s">
        <v>161</v>
      </c>
      <c r="F1230" s="431" t="s">
        <v>798</v>
      </c>
      <c r="G1230" s="431" t="s">
        <v>175</v>
      </c>
      <c r="H1230" s="431"/>
      <c r="I1230" s="431"/>
      <c r="J1230" s="431"/>
      <c r="K1230" s="431"/>
      <c r="L1230" s="431" t="s">
        <v>827</v>
      </c>
      <c r="M1230" s="431" t="s">
        <v>828</v>
      </c>
    </row>
    <row r="1231" spans="1:13" x14ac:dyDescent="0.2">
      <c r="A1231" s="431" t="s">
        <v>826</v>
      </c>
      <c r="B1231" s="431">
        <v>1690024</v>
      </c>
      <c r="C1231" s="431" t="s">
        <v>159</v>
      </c>
      <c r="D1231" s="431" t="s">
        <v>160</v>
      </c>
      <c r="E1231" s="431" t="s">
        <v>161</v>
      </c>
      <c r="F1231" s="431" t="s">
        <v>799</v>
      </c>
      <c r="G1231" s="431" t="s">
        <v>175</v>
      </c>
      <c r="H1231" s="431"/>
      <c r="I1231" s="431"/>
      <c r="J1231" s="431"/>
      <c r="K1231" s="431"/>
      <c r="L1231" s="431" t="s">
        <v>827</v>
      </c>
      <c r="M1231" s="431" t="s">
        <v>828</v>
      </c>
    </row>
    <row r="1232" spans="1:13" x14ac:dyDescent="0.2">
      <c r="A1232" s="431" t="s">
        <v>826</v>
      </c>
      <c r="B1232" s="431">
        <v>1690024</v>
      </c>
      <c r="C1232" s="431" t="s">
        <v>159</v>
      </c>
      <c r="D1232" s="431" t="s">
        <v>160</v>
      </c>
      <c r="E1232" s="431" t="s">
        <v>161</v>
      </c>
      <c r="F1232" s="431" t="s">
        <v>799</v>
      </c>
      <c r="G1232" s="431" t="s">
        <v>175</v>
      </c>
      <c r="H1232" s="431"/>
      <c r="I1232" s="431"/>
      <c r="J1232" s="431"/>
      <c r="K1232" s="431"/>
      <c r="L1232" s="431" t="s">
        <v>827</v>
      </c>
      <c r="M1232" s="431" t="s">
        <v>828</v>
      </c>
    </row>
    <row r="1233" spans="1:13" x14ac:dyDescent="0.2">
      <c r="A1233" s="431" t="s">
        <v>826</v>
      </c>
      <c r="B1233" s="431">
        <v>1690024</v>
      </c>
      <c r="C1233" s="431" t="s">
        <v>159</v>
      </c>
      <c r="D1233" s="431" t="s">
        <v>160</v>
      </c>
      <c r="E1233" s="431" t="s">
        <v>161</v>
      </c>
      <c r="F1233" s="431" t="s">
        <v>799</v>
      </c>
      <c r="G1233" s="431" t="s">
        <v>175</v>
      </c>
      <c r="H1233" s="431"/>
      <c r="I1233" s="431"/>
      <c r="J1233" s="431"/>
      <c r="K1233" s="431"/>
      <c r="L1233" s="431" t="s">
        <v>827</v>
      </c>
      <c r="M1233" s="431" t="s">
        <v>828</v>
      </c>
    </row>
    <row r="1234" spans="1:13" x14ac:dyDescent="0.2">
      <c r="A1234" s="431" t="s">
        <v>826</v>
      </c>
      <c r="B1234" s="431">
        <v>1690024</v>
      </c>
      <c r="C1234" s="431" t="s">
        <v>159</v>
      </c>
      <c r="D1234" s="431" t="s">
        <v>160</v>
      </c>
      <c r="E1234" s="431" t="s">
        <v>161</v>
      </c>
      <c r="F1234" s="431" t="s">
        <v>799</v>
      </c>
      <c r="G1234" s="431" t="s">
        <v>175</v>
      </c>
      <c r="H1234" s="431"/>
      <c r="I1234" s="431"/>
      <c r="J1234" s="431"/>
      <c r="K1234" s="431"/>
      <c r="L1234" s="431" t="s">
        <v>827</v>
      </c>
      <c r="M1234" s="431" t="s">
        <v>828</v>
      </c>
    </row>
    <row r="1235" spans="1:13" x14ac:dyDescent="0.2">
      <c r="A1235" s="431" t="s">
        <v>826</v>
      </c>
      <c r="B1235" s="431">
        <v>1690024</v>
      </c>
      <c r="C1235" s="431" t="s">
        <v>159</v>
      </c>
      <c r="D1235" s="431" t="s">
        <v>160</v>
      </c>
      <c r="E1235" s="431" t="s">
        <v>161</v>
      </c>
      <c r="F1235" s="431" t="s">
        <v>799</v>
      </c>
      <c r="G1235" s="431" t="s">
        <v>175</v>
      </c>
      <c r="H1235" s="431"/>
      <c r="I1235" s="431"/>
      <c r="J1235" s="431"/>
      <c r="K1235" s="431"/>
      <c r="L1235" s="431" t="s">
        <v>827</v>
      </c>
      <c r="M1235" s="431" t="s">
        <v>828</v>
      </c>
    </row>
    <row r="1236" spans="1:13" x14ac:dyDescent="0.2">
      <c r="A1236" s="431" t="s">
        <v>826</v>
      </c>
      <c r="B1236" s="431">
        <v>1690024</v>
      </c>
      <c r="C1236" s="431" t="s">
        <v>159</v>
      </c>
      <c r="D1236" s="431" t="s">
        <v>160</v>
      </c>
      <c r="E1236" s="431" t="s">
        <v>161</v>
      </c>
      <c r="F1236" s="431" t="s">
        <v>799</v>
      </c>
      <c r="G1236" s="431" t="s">
        <v>175</v>
      </c>
      <c r="H1236" s="431"/>
      <c r="I1236" s="431"/>
      <c r="J1236" s="431"/>
      <c r="K1236" s="431"/>
      <c r="L1236" s="431" t="s">
        <v>827</v>
      </c>
      <c r="M1236" s="431" t="s">
        <v>828</v>
      </c>
    </row>
    <row r="1237" spans="1:13" x14ac:dyDescent="0.2">
      <c r="A1237" s="431" t="s">
        <v>826</v>
      </c>
      <c r="B1237" s="431">
        <v>1690024</v>
      </c>
      <c r="C1237" s="431" t="s">
        <v>159</v>
      </c>
      <c r="D1237" s="431" t="s">
        <v>160</v>
      </c>
      <c r="E1237" s="431" t="s">
        <v>161</v>
      </c>
      <c r="F1237" s="431" t="s">
        <v>799</v>
      </c>
      <c r="G1237" s="431" t="s">
        <v>175</v>
      </c>
      <c r="H1237" s="431"/>
      <c r="I1237" s="431"/>
      <c r="J1237" s="431"/>
      <c r="K1237" s="431"/>
      <c r="L1237" s="431" t="s">
        <v>827</v>
      </c>
      <c r="M1237" s="431" t="s">
        <v>828</v>
      </c>
    </row>
    <row r="1238" spans="1:13" x14ac:dyDescent="0.2">
      <c r="A1238" s="431" t="s">
        <v>826</v>
      </c>
      <c r="B1238" s="431">
        <v>1690024</v>
      </c>
      <c r="C1238" s="431" t="s">
        <v>159</v>
      </c>
      <c r="D1238" s="431" t="s">
        <v>160</v>
      </c>
      <c r="E1238" s="431" t="s">
        <v>161</v>
      </c>
      <c r="F1238" s="431" t="s">
        <v>799</v>
      </c>
      <c r="G1238" s="431" t="s">
        <v>175</v>
      </c>
      <c r="H1238" s="431"/>
      <c r="I1238" s="431"/>
      <c r="J1238" s="431"/>
      <c r="K1238" s="431"/>
      <c r="L1238" s="431" t="s">
        <v>827</v>
      </c>
      <c r="M1238" s="431" t="s">
        <v>828</v>
      </c>
    </row>
    <row r="1239" spans="1:13" x14ac:dyDescent="0.2">
      <c r="A1239" s="431" t="s">
        <v>826</v>
      </c>
      <c r="B1239" s="431">
        <v>1690024</v>
      </c>
      <c r="C1239" s="431" t="s">
        <v>159</v>
      </c>
      <c r="D1239" s="431" t="s">
        <v>160</v>
      </c>
      <c r="E1239" s="431" t="s">
        <v>161</v>
      </c>
      <c r="F1239" s="431" t="s">
        <v>799</v>
      </c>
      <c r="G1239" s="431" t="s">
        <v>175</v>
      </c>
      <c r="H1239" s="431"/>
      <c r="I1239" s="431"/>
      <c r="J1239" s="431"/>
      <c r="K1239" s="431"/>
      <c r="L1239" s="431" t="s">
        <v>827</v>
      </c>
      <c r="M1239" s="431" t="s">
        <v>828</v>
      </c>
    </row>
    <row r="1240" spans="1:13" x14ac:dyDescent="0.2">
      <c r="A1240" s="431" t="s">
        <v>826</v>
      </c>
      <c r="B1240" s="431">
        <v>1690024</v>
      </c>
      <c r="C1240" s="431" t="s">
        <v>159</v>
      </c>
      <c r="D1240" s="431" t="s">
        <v>160</v>
      </c>
      <c r="E1240" s="431" t="s">
        <v>161</v>
      </c>
      <c r="F1240" s="431" t="s">
        <v>799</v>
      </c>
      <c r="G1240" s="431" t="s">
        <v>175</v>
      </c>
      <c r="H1240" s="431"/>
      <c r="I1240" s="431"/>
      <c r="J1240" s="431"/>
      <c r="K1240" s="431"/>
      <c r="L1240" s="431" t="s">
        <v>827</v>
      </c>
      <c r="M1240" s="431" t="s">
        <v>828</v>
      </c>
    </row>
    <row r="1241" spans="1:13" x14ac:dyDescent="0.2">
      <c r="A1241" s="431" t="s">
        <v>826</v>
      </c>
      <c r="B1241" s="431">
        <v>1690024</v>
      </c>
      <c r="C1241" s="431" t="s">
        <v>159</v>
      </c>
      <c r="D1241" s="431" t="s">
        <v>160</v>
      </c>
      <c r="E1241" s="431" t="s">
        <v>161</v>
      </c>
      <c r="F1241" s="431" t="s">
        <v>799</v>
      </c>
      <c r="G1241" s="431" t="s">
        <v>175</v>
      </c>
      <c r="H1241" s="431"/>
      <c r="I1241" s="431"/>
      <c r="J1241" s="431"/>
      <c r="K1241" s="431"/>
      <c r="L1241" s="431" t="s">
        <v>827</v>
      </c>
      <c r="M1241" s="431" t="s">
        <v>828</v>
      </c>
    </row>
    <row r="1242" spans="1:13" x14ac:dyDescent="0.2">
      <c r="A1242" s="431" t="s">
        <v>826</v>
      </c>
      <c r="B1242" s="431">
        <v>1690024</v>
      </c>
      <c r="C1242" s="431" t="s">
        <v>159</v>
      </c>
      <c r="D1242" s="431" t="s">
        <v>160</v>
      </c>
      <c r="E1242" s="431" t="s">
        <v>161</v>
      </c>
      <c r="F1242" s="431" t="s">
        <v>799</v>
      </c>
      <c r="G1242" s="431" t="s">
        <v>175</v>
      </c>
      <c r="H1242" s="431"/>
      <c r="I1242" s="431"/>
      <c r="J1242" s="431"/>
      <c r="K1242" s="431"/>
      <c r="L1242" s="431" t="s">
        <v>827</v>
      </c>
      <c r="M1242" s="431" t="s">
        <v>828</v>
      </c>
    </row>
    <row r="1243" spans="1:13" x14ac:dyDescent="0.2">
      <c r="A1243" s="431" t="s">
        <v>826</v>
      </c>
      <c r="B1243" s="431">
        <v>1690024</v>
      </c>
      <c r="C1243" s="431" t="s">
        <v>159</v>
      </c>
      <c r="D1243" s="431" t="s">
        <v>160</v>
      </c>
      <c r="E1243" s="431" t="s">
        <v>161</v>
      </c>
      <c r="F1243" s="431" t="s">
        <v>799</v>
      </c>
      <c r="G1243" s="431" t="s">
        <v>175</v>
      </c>
      <c r="H1243" s="431"/>
      <c r="I1243" s="431"/>
      <c r="J1243" s="431"/>
      <c r="K1243" s="431"/>
      <c r="L1243" s="431" t="s">
        <v>827</v>
      </c>
      <c r="M1243" s="431" t="s">
        <v>828</v>
      </c>
    </row>
    <row r="1244" spans="1:13" x14ac:dyDescent="0.2">
      <c r="A1244" s="431" t="s">
        <v>826</v>
      </c>
      <c r="B1244" s="431">
        <v>1690024</v>
      </c>
      <c r="C1244" s="431" t="s">
        <v>159</v>
      </c>
      <c r="D1244" s="431" t="s">
        <v>160</v>
      </c>
      <c r="E1244" s="431" t="s">
        <v>161</v>
      </c>
      <c r="F1244" s="431" t="s">
        <v>799</v>
      </c>
      <c r="G1244" s="431" t="s">
        <v>175</v>
      </c>
      <c r="H1244" s="431"/>
      <c r="I1244" s="431"/>
      <c r="J1244" s="431"/>
      <c r="K1244" s="431"/>
      <c r="L1244" s="431" t="s">
        <v>827</v>
      </c>
      <c r="M1244" s="431" t="s">
        <v>828</v>
      </c>
    </row>
    <row r="1245" spans="1:13" x14ac:dyDescent="0.2">
      <c r="A1245" s="431" t="s">
        <v>826</v>
      </c>
      <c r="B1245" s="431">
        <v>1690024</v>
      </c>
      <c r="C1245" s="431" t="s">
        <v>159</v>
      </c>
      <c r="D1245" s="431" t="s">
        <v>160</v>
      </c>
      <c r="E1245" s="431" t="s">
        <v>161</v>
      </c>
      <c r="F1245" s="431" t="s">
        <v>799</v>
      </c>
      <c r="G1245" s="431" t="s">
        <v>175</v>
      </c>
      <c r="H1245" s="431"/>
      <c r="I1245" s="431"/>
      <c r="J1245" s="431"/>
      <c r="K1245" s="431"/>
      <c r="L1245" s="431" t="s">
        <v>827</v>
      </c>
      <c r="M1245" s="431" t="s">
        <v>828</v>
      </c>
    </row>
    <row r="1246" spans="1:13" x14ac:dyDescent="0.2">
      <c r="A1246" s="431" t="s">
        <v>826</v>
      </c>
      <c r="B1246" s="431">
        <v>1690024</v>
      </c>
      <c r="C1246" s="431" t="s">
        <v>159</v>
      </c>
      <c r="D1246" s="431" t="s">
        <v>160</v>
      </c>
      <c r="E1246" s="431" t="s">
        <v>161</v>
      </c>
      <c r="F1246" s="431" t="s">
        <v>799</v>
      </c>
      <c r="G1246" s="431" t="s">
        <v>175</v>
      </c>
      <c r="H1246" s="431"/>
      <c r="I1246" s="431"/>
      <c r="J1246" s="431"/>
      <c r="K1246" s="431"/>
      <c r="L1246" s="431" t="s">
        <v>827</v>
      </c>
      <c r="M1246" s="431" t="s">
        <v>828</v>
      </c>
    </row>
    <row r="1247" spans="1:13" x14ac:dyDescent="0.2">
      <c r="A1247" s="431" t="s">
        <v>826</v>
      </c>
      <c r="B1247" s="431">
        <v>1690024</v>
      </c>
      <c r="C1247" s="431" t="s">
        <v>159</v>
      </c>
      <c r="D1247" s="431" t="s">
        <v>160</v>
      </c>
      <c r="E1247" s="431" t="s">
        <v>161</v>
      </c>
      <c r="F1247" s="431" t="s">
        <v>799</v>
      </c>
      <c r="G1247" s="431" t="s">
        <v>175</v>
      </c>
      <c r="H1247" s="431"/>
      <c r="I1247" s="431"/>
      <c r="J1247" s="431"/>
      <c r="K1247" s="431"/>
      <c r="L1247" s="431" t="s">
        <v>827</v>
      </c>
      <c r="M1247" s="431" t="s">
        <v>828</v>
      </c>
    </row>
    <row r="1248" spans="1:13" x14ac:dyDescent="0.2">
      <c r="A1248" s="431" t="s">
        <v>826</v>
      </c>
      <c r="B1248" s="431">
        <v>1690024</v>
      </c>
      <c r="C1248" s="431" t="s">
        <v>159</v>
      </c>
      <c r="D1248" s="431" t="s">
        <v>160</v>
      </c>
      <c r="E1248" s="431" t="s">
        <v>161</v>
      </c>
      <c r="F1248" s="431" t="s">
        <v>799</v>
      </c>
      <c r="G1248" s="431" t="s">
        <v>175</v>
      </c>
      <c r="H1248" s="431"/>
      <c r="I1248" s="431"/>
      <c r="J1248" s="431"/>
      <c r="K1248" s="431"/>
      <c r="L1248" s="431" t="s">
        <v>827</v>
      </c>
      <c r="M1248" s="431" t="s">
        <v>828</v>
      </c>
    </row>
    <row r="1249" spans="1:13" x14ac:dyDescent="0.2">
      <c r="A1249" s="431" t="s">
        <v>826</v>
      </c>
      <c r="B1249" s="431">
        <v>1690024</v>
      </c>
      <c r="C1249" s="431" t="s">
        <v>159</v>
      </c>
      <c r="D1249" s="431" t="s">
        <v>160</v>
      </c>
      <c r="E1249" s="431" t="s">
        <v>161</v>
      </c>
      <c r="F1249" s="431" t="s">
        <v>799</v>
      </c>
      <c r="G1249" s="431" t="s">
        <v>175</v>
      </c>
      <c r="H1249" s="431"/>
      <c r="I1249" s="431"/>
      <c r="J1249" s="431"/>
      <c r="K1249" s="431"/>
      <c r="L1249" s="431" t="s">
        <v>827</v>
      </c>
      <c r="M1249" s="431" t="s">
        <v>828</v>
      </c>
    </row>
    <row r="1250" spans="1:13" x14ac:dyDescent="0.2">
      <c r="A1250" s="431" t="s">
        <v>826</v>
      </c>
      <c r="B1250" s="431">
        <v>1690024</v>
      </c>
      <c r="C1250" s="431" t="s">
        <v>159</v>
      </c>
      <c r="D1250" s="431" t="s">
        <v>160</v>
      </c>
      <c r="E1250" s="431" t="s">
        <v>161</v>
      </c>
      <c r="F1250" s="431" t="s">
        <v>799</v>
      </c>
      <c r="G1250" s="431" t="s">
        <v>175</v>
      </c>
      <c r="H1250" s="431"/>
      <c r="I1250" s="431"/>
      <c r="J1250" s="431"/>
      <c r="K1250" s="431"/>
      <c r="L1250" s="431" t="s">
        <v>827</v>
      </c>
      <c r="M1250" s="431" t="s">
        <v>828</v>
      </c>
    </row>
    <row r="1251" spans="1:13" x14ac:dyDescent="0.2">
      <c r="A1251" s="431" t="s">
        <v>826</v>
      </c>
      <c r="B1251" s="431">
        <v>1690024</v>
      </c>
      <c r="C1251" s="431" t="s">
        <v>159</v>
      </c>
      <c r="D1251" s="431" t="s">
        <v>160</v>
      </c>
      <c r="E1251" s="431" t="s">
        <v>161</v>
      </c>
      <c r="F1251" s="431" t="s">
        <v>799</v>
      </c>
      <c r="G1251" s="431" t="s">
        <v>175</v>
      </c>
      <c r="H1251" s="431"/>
      <c r="I1251" s="431"/>
      <c r="J1251" s="431"/>
      <c r="K1251" s="431"/>
      <c r="L1251" s="431" t="s">
        <v>827</v>
      </c>
      <c r="M1251" s="431" t="s">
        <v>828</v>
      </c>
    </row>
    <row r="1252" spans="1:13" x14ac:dyDescent="0.2">
      <c r="A1252" s="431" t="s">
        <v>826</v>
      </c>
      <c r="B1252" s="431">
        <v>1690024</v>
      </c>
      <c r="C1252" s="431" t="s">
        <v>159</v>
      </c>
      <c r="D1252" s="431" t="s">
        <v>160</v>
      </c>
      <c r="E1252" s="431" t="s">
        <v>161</v>
      </c>
      <c r="F1252" s="431" t="s">
        <v>799</v>
      </c>
      <c r="G1252" s="431" t="s">
        <v>175</v>
      </c>
      <c r="H1252" s="431"/>
      <c r="I1252" s="431"/>
      <c r="J1252" s="431"/>
      <c r="K1252" s="431"/>
      <c r="L1252" s="431" t="s">
        <v>827</v>
      </c>
      <c r="M1252" s="431" t="s">
        <v>828</v>
      </c>
    </row>
    <row r="1253" spans="1:13" x14ac:dyDescent="0.2">
      <c r="A1253" s="431" t="s">
        <v>826</v>
      </c>
      <c r="B1253" s="431">
        <v>1690024</v>
      </c>
      <c r="C1253" s="431" t="s">
        <v>159</v>
      </c>
      <c r="D1253" s="431" t="s">
        <v>160</v>
      </c>
      <c r="E1253" s="431" t="s">
        <v>161</v>
      </c>
      <c r="F1253" s="431" t="s">
        <v>799</v>
      </c>
      <c r="G1253" s="431" t="s">
        <v>175</v>
      </c>
      <c r="H1253" s="431"/>
      <c r="I1253" s="431"/>
      <c r="J1253" s="431"/>
      <c r="K1253" s="431"/>
      <c r="L1253" s="431" t="s">
        <v>827</v>
      </c>
      <c r="M1253" s="431" t="s">
        <v>828</v>
      </c>
    </row>
    <row r="1254" spans="1:13" x14ac:dyDescent="0.2">
      <c r="A1254" s="431" t="s">
        <v>826</v>
      </c>
      <c r="B1254" s="431">
        <v>1690024</v>
      </c>
      <c r="C1254" s="431" t="s">
        <v>159</v>
      </c>
      <c r="D1254" s="431" t="s">
        <v>160</v>
      </c>
      <c r="E1254" s="431" t="s">
        <v>161</v>
      </c>
      <c r="F1254" s="431" t="s">
        <v>799</v>
      </c>
      <c r="G1254" s="431" t="s">
        <v>175</v>
      </c>
      <c r="H1254" s="431"/>
      <c r="I1254" s="431"/>
      <c r="J1254" s="431"/>
      <c r="K1254" s="431"/>
      <c r="L1254" s="431" t="s">
        <v>827</v>
      </c>
      <c r="M1254" s="431" t="s">
        <v>828</v>
      </c>
    </row>
    <row r="1255" spans="1:13" x14ac:dyDescent="0.2">
      <c r="A1255" s="431" t="s">
        <v>829</v>
      </c>
      <c r="B1255" s="431">
        <v>1690044</v>
      </c>
      <c r="C1255" s="431" t="s">
        <v>159</v>
      </c>
      <c r="D1255" s="431" t="s">
        <v>160</v>
      </c>
      <c r="E1255" s="431" t="s">
        <v>161</v>
      </c>
      <c r="F1255" s="431" t="s">
        <v>306</v>
      </c>
      <c r="G1255" s="431" t="s">
        <v>175</v>
      </c>
      <c r="H1255" s="431"/>
      <c r="I1255" s="431"/>
      <c r="J1255" s="431"/>
      <c r="K1255" s="431"/>
      <c r="L1255" s="431" t="s">
        <v>314</v>
      </c>
      <c r="M1255" s="431" t="s">
        <v>830</v>
      </c>
    </row>
    <row r="1256" spans="1:13" x14ac:dyDescent="0.2">
      <c r="A1256" s="431" t="s">
        <v>831</v>
      </c>
      <c r="B1256" s="431">
        <v>1690012</v>
      </c>
      <c r="C1256" s="431" t="s">
        <v>159</v>
      </c>
      <c r="D1256" s="431" t="s">
        <v>160</v>
      </c>
      <c r="E1256" s="431" t="s">
        <v>161</v>
      </c>
      <c r="F1256" s="431" t="s">
        <v>309</v>
      </c>
      <c r="G1256" s="431" t="s">
        <v>175</v>
      </c>
      <c r="H1256" s="431"/>
      <c r="I1256" s="431"/>
      <c r="J1256" s="431"/>
      <c r="K1256" s="431"/>
      <c r="L1256" s="431" t="s">
        <v>352</v>
      </c>
      <c r="M1256" s="431" t="s">
        <v>832</v>
      </c>
    </row>
    <row r="1257" spans="1:13" x14ac:dyDescent="0.2">
      <c r="A1257" s="431" t="s">
        <v>833</v>
      </c>
      <c r="B1257" s="431">
        <v>1690092</v>
      </c>
      <c r="C1257" s="431" t="s">
        <v>834</v>
      </c>
      <c r="D1257" s="431" t="s">
        <v>160</v>
      </c>
      <c r="E1257" s="431" t="s">
        <v>161</v>
      </c>
      <c r="F1257" s="431" t="s">
        <v>462</v>
      </c>
      <c r="G1257" s="431" t="s">
        <v>175</v>
      </c>
      <c r="H1257" s="431"/>
      <c r="I1257" s="431"/>
      <c r="J1257" s="431"/>
      <c r="K1257" s="431"/>
      <c r="L1257" s="431" t="s">
        <v>255</v>
      </c>
      <c r="M1257" s="431" t="s">
        <v>835</v>
      </c>
    </row>
    <row r="1258" spans="1:13" x14ac:dyDescent="0.2">
      <c r="A1258" s="431" t="s">
        <v>833</v>
      </c>
      <c r="B1258" s="431">
        <v>1690092</v>
      </c>
      <c r="C1258" s="431" t="s">
        <v>834</v>
      </c>
      <c r="D1258" s="431" t="s">
        <v>160</v>
      </c>
      <c r="E1258" s="431" t="s">
        <v>161</v>
      </c>
      <c r="F1258" s="431" t="s">
        <v>836</v>
      </c>
      <c r="G1258" s="431" t="s">
        <v>175</v>
      </c>
      <c r="H1258" s="431"/>
      <c r="I1258" s="431"/>
      <c r="J1258" s="431"/>
      <c r="K1258" s="431"/>
      <c r="L1258" s="431" t="s">
        <v>255</v>
      </c>
      <c r="M1258" s="431" t="s">
        <v>835</v>
      </c>
    </row>
    <row r="1259" spans="1:13" x14ac:dyDescent="0.2">
      <c r="A1259" s="431" t="s">
        <v>833</v>
      </c>
      <c r="B1259" s="431">
        <v>1690092</v>
      </c>
      <c r="C1259" s="431" t="s">
        <v>834</v>
      </c>
      <c r="D1259" s="431" t="s">
        <v>160</v>
      </c>
      <c r="E1259" s="431" t="s">
        <v>161</v>
      </c>
      <c r="F1259" s="431" t="s">
        <v>837</v>
      </c>
      <c r="G1259" s="431" t="s">
        <v>175</v>
      </c>
      <c r="H1259" s="431"/>
      <c r="I1259" s="431"/>
      <c r="J1259" s="431"/>
      <c r="K1259" s="431"/>
      <c r="L1259" s="431" t="s">
        <v>255</v>
      </c>
      <c r="M1259" s="431" t="s">
        <v>835</v>
      </c>
    </row>
    <row r="1260" spans="1:13" x14ac:dyDescent="0.2">
      <c r="A1260" s="431" t="s">
        <v>838</v>
      </c>
      <c r="B1260" s="431">
        <v>1690017</v>
      </c>
      <c r="C1260" s="431" t="s">
        <v>159</v>
      </c>
      <c r="D1260" s="431" t="s">
        <v>160</v>
      </c>
      <c r="E1260" s="431" t="s">
        <v>161</v>
      </c>
      <c r="F1260" s="431" t="s">
        <v>716</v>
      </c>
      <c r="G1260" s="431" t="s">
        <v>175</v>
      </c>
      <c r="H1260" s="431"/>
      <c r="I1260" s="431"/>
      <c r="J1260" s="431"/>
      <c r="K1260" s="431"/>
      <c r="L1260" s="431" t="s">
        <v>163</v>
      </c>
      <c r="M1260" s="431" t="s">
        <v>839</v>
      </c>
    </row>
    <row r="1261" spans="1:13" x14ac:dyDescent="0.2">
      <c r="A1261" s="431" t="s">
        <v>838</v>
      </c>
      <c r="B1261" s="431">
        <v>1690017</v>
      </c>
      <c r="C1261" s="431" t="s">
        <v>159</v>
      </c>
      <c r="D1261" s="431" t="s">
        <v>160</v>
      </c>
      <c r="E1261" s="431" t="s">
        <v>161</v>
      </c>
      <c r="F1261" s="431" t="s">
        <v>840</v>
      </c>
      <c r="G1261" s="431" t="s">
        <v>175</v>
      </c>
      <c r="H1261" s="431"/>
      <c r="I1261" s="431"/>
      <c r="J1261" s="431"/>
      <c r="K1261" s="431"/>
      <c r="L1261" s="431" t="s">
        <v>163</v>
      </c>
      <c r="M1261" s="431" t="s">
        <v>839</v>
      </c>
    </row>
    <row r="1262" spans="1:13" x14ac:dyDescent="0.2">
      <c r="A1262" s="431" t="s">
        <v>841</v>
      </c>
      <c r="B1262" s="431">
        <v>1690132</v>
      </c>
      <c r="C1262" s="431" t="s">
        <v>159</v>
      </c>
      <c r="D1262" s="431" t="s">
        <v>160</v>
      </c>
      <c r="E1262" s="431" t="s">
        <v>161</v>
      </c>
      <c r="F1262" s="431" t="s">
        <v>716</v>
      </c>
      <c r="G1262" s="431" t="s">
        <v>175</v>
      </c>
      <c r="H1262" s="431"/>
      <c r="I1262" s="431"/>
      <c r="J1262" s="431"/>
      <c r="K1262" s="431"/>
      <c r="L1262" s="431" t="s">
        <v>163</v>
      </c>
      <c r="M1262" s="431" t="s">
        <v>842</v>
      </c>
    </row>
    <row r="1263" spans="1:13" x14ac:dyDescent="0.2">
      <c r="A1263" s="431" t="s">
        <v>843</v>
      </c>
      <c r="B1263" s="431">
        <v>1690195</v>
      </c>
      <c r="C1263" s="431" t="s">
        <v>834</v>
      </c>
      <c r="D1263" s="431" t="s">
        <v>160</v>
      </c>
      <c r="E1263" s="431" t="s">
        <v>161</v>
      </c>
      <c r="F1263" s="431" t="s">
        <v>844</v>
      </c>
      <c r="G1263" s="431" t="s">
        <v>175</v>
      </c>
      <c r="H1263" s="431"/>
      <c r="I1263" s="431"/>
      <c r="J1263" s="431"/>
      <c r="K1263" s="431"/>
      <c r="L1263" s="431" t="s">
        <v>311</v>
      </c>
      <c r="M1263" s="431" t="s">
        <v>845</v>
      </c>
    </row>
    <row r="1264" spans="1:13" x14ac:dyDescent="0.2">
      <c r="A1264" s="431" t="s">
        <v>843</v>
      </c>
      <c r="B1264" s="431">
        <v>1690195</v>
      </c>
      <c r="C1264" s="431" t="s">
        <v>834</v>
      </c>
      <c r="D1264" s="431" t="s">
        <v>160</v>
      </c>
      <c r="E1264" s="431" t="s">
        <v>161</v>
      </c>
      <c r="F1264" s="431" t="s">
        <v>846</v>
      </c>
      <c r="G1264" s="431" t="s">
        <v>175</v>
      </c>
      <c r="H1264" s="431"/>
      <c r="I1264" s="431"/>
      <c r="J1264" s="431"/>
      <c r="K1264" s="431"/>
      <c r="L1264" s="431" t="s">
        <v>311</v>
      </c>
      <c r="M1264" s="431" t="s">
        <v>845</v>
      </c>
    </row>
    <row r="1265" spans="1:13" x14ac:dyDescent="0.2">
      <c r="A1265" s="431" t="s">
        <v>843</v>
      </c>
      <c r="B1265" s="431">
        <v>1690195</v>
      </c>
      <c r="C1265" s="431" t="s">
        <v>834</v>
      </c>
      <c r="D1265" s="431" t="s">
        <v>160</v>
      </c>
      <c r="E1265" s="431" t="s">
        <v>161</v>
      </c>
      <c r="F1265" s="431" t="s">
        <v>840</v>
      </c>
      <c r="G1265" s="431" t="s">
        <v>175</v>
      </c>
      <c r="H1265" s="431"/>
      <c r="I1265" s="431"/>
      <c r="J1265" s="431"/>
      <c r="K1265" s="431"/>
      <c r="L1265" s="431" t="s">
        <v>311</v>
      </c>
      <c r="M1265" s="431" t="s">
        <v>845</v>
      </c>
    </row>
    <row r="1266" spans="1:13" x14ac:dyDescent="0.2">
      <c r="A1266" s="431" t="s">
        <v>847</v>
      </c>
      <c r="B1266" s="431">
        <v>1690173</v>
      </c>
      <c r="C1266" s="431" t="s">
        <v>834</v>
      </c>
      <c r="D1266" s="431" t="s">
        <v>160</v>
      </c>
      <c r="E1266" s="431" t="s">
        <v>161</v>
      </c>
      <c r="F1266" s="431" t="s">
        <v>846</v>
      </c>
      <c r="G1266" s="431" t="s">
        <v>175</v>
      </c>
      <c r="H1266" s="431"/>
      <c r="I1266" s="431"/>
      <c r="J1266" s="431"/>
      <c r="K1266" s="431"/>
      <c r="L1266" s="431" t="s">
        <v>163</v>
      </c>
      <c r="M1266" s="431" t="s">
        <v>848</v>
      </c>
    </row>
    <row r="1267" spans="1:13" x14ac:dyDescent="0.2">
      <c r="A1267" s="431" t="s">
        <v>847</v>
      </c>
      <c r="B1267" s="431">
        <v>1690173</v>
      </c>
      <c r="C1267" s="431" t="s">
        <v>834</v>
      </c>
      <c r="D1267" s="431" t="s">
        <v>160</v>
      </c>
      <c r="E1267" s="431" t="s">
        <v>161</v>
      </c>
      <c r="F1267" s="431" t="s">
        <v>840</v>
      </c>
      <c r="G1267" s="431" t="s">
        <v>175</v>
      </c>
      <c r="H1267" s="431"/>
      <c r="I1267" s="431"/>
      <c r="J1267" s="431"/>
      <c r="K1267" s="431"/>
      <c r="L1267" s="431" t="s">
        <v>163</v>
      </c>
      <c r="M1267" s="431" t="s">
        <v>848</v>
      </c>
    </row>
    <row r="1268" spans="1:13" x14ac:dyDescent="0.2">
      <c r="A1268" s="431" t="s">
        <v>849</v>
      </c>
      <c r="B1268" s="431">
        <v>1690089</v>
      </c>
      <c r="C1268" s="431" t="s">
        <v>159</v>
      </c>
      <c r="D1268" s="431" t="s">
        <v>160</v>
      </c>
      <c r="E1268" s="431" t="s">
        <v>161</v>
      </c>
      <c r="F1268" s="431" t="s">
        <v>850</v>
      </c>
      <c r="G1268" s="431" t="s">
        <v>175</v>
      </c>
      <c r="H1268" s="431"/>
      <c r="I1268" s="431"/>
      <c r="J1268" s="431"/>
      <c r="K1268" s="431"/>
      <c r="L1268" s="431" t="s">
        <v>163</v>
      </c>
      <c r="M1268" s="431" t="s">
        <v>851</v>
      </c>
    </row>
    <row r="1269" spans="1:13" x14ac:dyDescent="0.2">
      <c r="A1269" s="431" t="s">
        <v>849</v>
      </c>
      <c r="B1269" s="431">
        <v>1690089</v>
      </c>
      <c r="C1269" s="431" t="s">
        <v>159</v>
      </c>
      <c r="D1269" s="431" t="s">
        <v>160</v>
      </c>
      <c r="E1269" s="431" t="s">
        <v>161</v>
      </c>
      <c r="F1269" s="431" t="s">
        <v>850</v>
      </c>
      <c r="G1269" s="431" t="s">
        <v>175</v>
      </c>
      <c r="H1269" s="431"/>
      <c r="I1269" s="431"/>
      <c r="J1269" s="431"/>
      <c r="K1269" s="431"/>
      <c r="L1269" s="431" t="s">
        <v>163</v>
      </c>
      <c r="M1269" s="431" t="s">
        <v>851</v>
      </c>
    </row>
    <row r="1270" spans="1:13" x14ac:dyDescent="0.2">
      <c r="A1270" s="431" t="s">
        <v>849</v>
      </c>
      <c r="B1270" s="431">
        <v>1690089</v>
      </c>
      <c r="C1270" s="431" t="s">
        <v>159</v>
      </c>
      <c r="D1270" s="431" t="s">
        <v>160</v>
      </c>
      <c r="E1270" s="431" t="s">
        <v>161</v>
      </c>
      <c r="F1270" s="431" t="s">
        <v>782</v>
      </c>
      <c r="G1270" s="431" t="s">
        <v>175</v>
      </c>
      <c r="H1270" s="431"/>
      <c r="I1270" s="431"/>
      <c r="J1270" s="431"/>
      <c r="K1270" s="431"/>
      <c r="L1270" s="431" t="s">
        <v>163</v>
      </c>
      <c r="M1270" s="431" t="s">
        <v>851</v>
      </c>
    </row>
    <row r="1271" spans="1:13" x14ac:dyDescent="0.2">
      <c r="A1271" s="431" t="s">
        <v>849</v>
      </c>
      <c r="B1271" s="431">
        <v>1690089</v>
      </c>
      <c r="C1271" s="431" t="s">
        <v>159</v>
      </c>
      <c r="D1271" s="431" t="s">
        <v>160</v>
      </c>
      <c r="E1271" s="431" t="s">
        <v>161</v>
      </c>
      <c r="F1271" s="431" t="s">
        <v>782</v>
      </c>
      <c r="G1271" s="431" t="s">
        <v>175</v>
      </c>
      <c r="H1271" s="431"/>
      <c r="I1271" s="431"/>
      <c r="J1271" s="431"/>
      <c r="K1271" s="431"/>
      <c r="L1271" s="431" t="s">
        <v>163</v>
      </c>
      <c r="M1271" s="431" t="s">
        <v>851</v>
      </c>
    </row>
    <row r="1272" spans="1:13" x14ac:dyDescent="0.2">
      <c r="A1272" s="431" t="s">
        <v>849</v>
      </c>
      <c r="B1272" s="431">
        <v>1690089</v>
      </c>
      <c r="C1272" s="431" t="s">
        <v>159</v>
      </c>
      <c r="D1272" s="431" t="s">
        <v>160</v>
      </c>
      <c r="E1272" s="431" t="s">
        <v>161</v>
      </c>
      <c r="F1272" s="431" t="s">
        <v>852</v>
      </c>
      <c r="G1272" s="431" t="s">
        <v>175</v>
      </c>
      <c r="H1272" s="431"/>
      <c r="I1272" s="431"/>
      <c r="J1272" s="431"/>
      <c r="K1272" s="431"/>
      <c r="L1272" s="431" t="s">
        <v>163</v>
      </c>
      <c r="M1272" s="431" t="s">
        <v>851</v>
      </c>
    </row>
    <row r="1273" spans="1:13" x14ac:dyDescent="0.2">
      <c r="A1273" s="431" t="s">
        <v>849</v>
      </c>
      <c r="B1273" s="431">
        <v>1690089</v>
      </c>
      <c r="C1273" s="431" t="s">
        <v>159</v>
      </c>
      <c r="D1273" s="431" t="s">
        <v>160</v>
      </c>
      <c r="E1273" s="431" t="s">
        <v>161</v>
      </c>
      <c r="F1273" s="431" t="s">
        <v>853</v>
      </c>
      <c r="G1273" s="431" t="s">
        <v>175</v>
      </c>
      <c r="H1273" s="431"/>
      <c r="I1273" s="431"/>
      <c r="J1273" s="431"/>
      <c r="K1273" s="431"/>
      <c r="L1273" s="431" t="s">
        <v>163</v>
      </c>
      <c r="M1273" s="431" t="s">
        <v>851</v>
      </c>
    </row>
    <row r="1274" spans="1:13" x14ac:dyDescent="0.2">
      <c r="A1274" s="431" t="s">
        <v>854</v>
      </c>
      <c r="B1274" s="431">
        <v>1690099</v>
      </c>
      <c r="C1274" s="431" t="s">
        <v>159</v>
      </c>
      <c r="D1274" s="431" t="s">
        <v>160</v>
      </c>
      <c r="E1274" s="431" t="s">
        <v>161</v>
      </c>
      <c r="F1274" s="431" t="s">
        <v>855</v>
      </c>
      <c r="G1274" s="431" t="s">
        <v>175</v>
      </c>
      <c r="H1274" s="431"/>
      <c r="I1274" s="431"/>
      <c r="J1274" s="431"/>
      <c r="K1274" s="431"/>
      <c r="L1274" s="431" t="s">
        <v>163</v>
      </c>
      <c r="M1274" s="431" t="s">
        <v>856</v>
      </c>
    </row>
    <row r="1275" spans="1:13" x14ac:dyDescent="0.2">
      <c r="A1275" s="431" t="s">
        <v>854</v>
      </c>
      <c r="B1275" s="431">
        <v>1690099</v>
      </c>
      <c r="C1275" s="431" t="s">
        <v>159</v>
      </c>
      <c r="D1275" s="431" t="s">
        <v>160</v>
      </c>
      <c r="E1275" s="431" t="s">
        <v>161</v>
      </c>
      <c r="F1275" s="431" t="s">
        <v>850</v>
      </c>
      <c r="G1275" s="431" t="s">
        <v>175</v>
      </c>
      <c r="H1275" s="431"/>
      <c r="I1275" s="431"/>
      <c r="J1275" s="431"/>
      <c r="K1275" s="431"/>
      <c r="L1275" s="431" t="s">
        <v>163</v>
      </c>
      <c r="M1275" s="431" t="s">
        <v>856</v>
      </c>
    </row>
    <row r="1276" spans="1:13" x14ac:dyDescent="0.2">
      <c r="A1276" s="431" t="s">
        <v>854</v>
      </c>
      <c r="B1276" s="431">
        <v>1690099</v>
      </c>
      <c r="C1276" s="431" t="s">
        <v>159</v>
      </c>
      <c r="D1276" s="431" t="s">
        <v>160</v>
      </c>
      <c r="E1276" s="431" t="s">
        <v>161</v>
      </c>
      <c r="F1276" s="431" t="s">
        <v>850</v>
      </c>
      <c r="G1276" s="431" t="s">
        <v>175</v>
      </c>
      <c r="H1276" s="431"/>
      <c r="I1276" s="431"/>
      <c r="J1276" s="431"/>
      <c r="K1276" s="431"/>
      <c r="L1276" s="431" t="s">
        <v>163</v>
      </c>
      <c r="M1276" s="431" t="s">
        <v>856</v>
      </c>
    </row>
    <row r="1277" spans="1:13" x14ac:dyDescent="0.2">
      <c r="A1277" s="431" t="s">
        <v>854</v>
      </c>
      <c r="B1277" s="431">
        <v>1690099</v>
      </c>
      <c r="C1277" s="431" t="s">
        <v>159</v>
      </c>
      <c r="D1277" s="431" t="s">
        <v>160</v>
      </c>
      <c r="E1277" s="431" t="s">
        <v>161</v>
      </c>
      <c r="F1277" s="431" t="s">
        <v>852</v>
      </c>
      <c r="G1277" s="431" t="s">
        <v>175</v>
      </c>
      <c r="H1277" s="431"/>
      <c r="I1277" s="431"/>
      <c r="J1277" s="431"/>
      <c r="K1277" s="431"/>
      <c r="L1277" s="431" t="s">
        <v>163</v>
      </c>
      <c r="M1277" s="431" t="s">
        <v>856</v>
      </c>
    </row>
    <row r="1278" spans="1:13" x14ac:dyDescent="0.2">
      <c r="A1278" s="431" t="s">
        <v>854</v>
      </c>
      <c r="B1278" s="431">
        <v>1690099</v>
      </c>
      <c r="C1278" s="431" t="s">
        <v>159</v>
      </c>
      <c r="D1278" s="431" t="s">
        <v>160</v>
      </c>
      <c r="E1278" s="431" t="s">
        <v>161</v>
      </c>
      <c r="F1278" s="431" t="s">
        <v>853</v>
      </c>
      <c r="G1278" s="431" t="s">
        <v>175</v>
      </c>
      <c r="H1278" s="431"/>
      <c r="I1278" s="431"/>
      <c r="J1278" s="431"/>
      <c r="K1278" s="431"/>
      <c r="L1278" s="431" t="s">
        <v>163</v>
      </c>
      <c r="M1278" s="431" t="s">
        <v>856</v>
      </c>
    </row>
    <row r="1279" spans="1:13" x14ac:dyDescent="0.2">
      <c r="A1279" s="431" t="s">
        <v>857</v>
      </c>
      <c r="B1279" s="431">
        <v>1690060</v>
      </c>
      <c r="C1279" s="431" t="s">
        <v>159</v>
      </c>
      <c r="D1279" s="431" t="s">
        <v>160</v>
      </c>
      <c r="E1279" s="431" t="s">
        <v>161</v>
      </c>
      <c r="F1279" s="431" t="s">
        <v>858</v>
      </c>
      <c r="G1279" s="431" t="s">
        <v>175</v>
      </c>
      <c r="H1279" s="431"/>
      <c r="I1279" s="431"/>
      <c r="J1279" s="431"/>
      <c r="K1279" s="431"/>
      <c r="L1279" s="431" t="s">
        <v>163</v>
      </c>
      <c r="M1279" s="431" t="s">
        <v>859</v>
      </c>
    </row>
    <row r="1280" spans="1:13" x14ac:dyDescent="0.2">
      <c r="A1280" s="431" t="s">
        <v>857</v>
      </c>
      <c r="B1280" s="431">
        <v>1690060</v>
      </c>
      <c r="C1280" s="431" t="s">
        <v>159</v>
      </c>
      <c r="D1280" s="431" t="s">
        <v>160</v>
      </c>
      <c r="E1280" s="431" t="s">
        <v>161</v>
      </c>
      <c r="F1280" s="431" t="s">
        <v>858</v>
      </c>
      <c r="G1280" s="431" t="s">
        <v>175</v>
      </c>
      <c r="H1280" s="431"/>
      <c r="I1280" s="431"/>
      <c r="J1280" s="431"/>
      <c r="K1280" s="431"/>
      <c r="L1280" s="431" t="s">
        <v>163</v>
      </c>
      <c r="M1280" s="431" t="s">
        <v>859</v>
      </c>
    </row>
    <row r="1281" spans="1:13" x14ac:dyDescent="0.2">
      <c r="A1281" s="431" t="s">
        <v>857</v>
      </c>
      <c r="B1281" s="431">
        <v>1690060</v>
      </c>
      <c r="C1281" s="431" t="s">
        <v>159</v>
      </c>
      <c r="D1281" s="431" t="s">
        <v>160</v>
      </c>
      <c r="E1281" s="431" t="s">
        <v>161</v>
      </c>
      <c r="F1281" s="431" t="s">
        <v>860</v>
      </c>
      <c r="G1281" s="431" t="s">
        <v>175</v>
      </c>
      <c r="H1281" s="431"/>
      <c r="I1281" s="431"/>
      <c r="J1281" s="431"/>
      <c r="K1281" s="431"/>
      <c r="L1281" s="431" t="s">
        <v>163</v>
      </c>
      <c r="M1281" s="431" t="s">
        <v>859</v>
      </c>
    </row>
    <row r="1282" spans="1:13" x14ac:dyDescent="0.2">
      <c r="A1282" s="431" t="s">
        <v>861</v>
      </c>
      <c r="B1282" s="431">
        <v>1690064</v>
      </c>
      <c r="C1282" s="431" t="s">
        <v>159</v>
      </c>
      <c r="D1282" s="431" t="s">
        <v>160</v>
      </c>
      <c r="E1282" s="431" t="s">
        <v>161</v>
      </c>
      <c r="F1282" s="431" t="s">
        <v>862</v>
      </c>
      <c r="G1282" s="431" t="s">
        <v>162</v>
      </c>
      <c r="H1282" s="431"/>
      <c r="I1282" s="431"/>
      <c r="J1282" s="431"/>
      <c r="K1282" s="431"/>
      <c r="L1282" s="431" t="s">
        <v>163</v>
      </c>
      <c r="M1282" s="431" t="s">
        <v>863</v>
      </c>
    </row>
    <row r="1283" spans="1:13" ht="409.5" x14ac:dyDescent="0.2">
      <c r="A1283" s="431" t="s">
        <v>864</v>
      </c>
      <c r="B1283" s="431">
        <v>1690038</v>
      </c>
      <c r="C1283" s="431" t="s">
        <v>159</v>
      </c>
      <c r="D1283" s="431" t="s">
        <v>160</v>
      </c>
      <c r="E1283" s="431" t="s">
        <v>161</v>
      </c>
      <c r="F1283" s="431" t="s">
        <v>246</v>
      </c>
      <c r="G1283" s="431" t="s">
        <v>175</v>
      </c>
      <c r="H1283" s="431"/>
      <c r="I1283" s="431"/>
      <c r="J1283" s="431"/>
      <c r="K1283" s="431"/>
      <c r="L1283" s="431" t="s">
        <v>730</v>
      </c>
      <c r="M1283" s="432" t="s">
        <v>865</v>
      </c>
    </row>
    <row r="1284" spans="1:13" x14ac:dyDescent="0.2">
      <c r="A1284" s="431" t="s">
        <v>866</v>
      </c>
      <c r="B1284" s="431">
        <v>1690204</v>
      </c>
      <c r="C1284" s="431" t="s">
        <v>159</v>
      </c>
      <c r="D1284" s="431" t="s">
        <v>160</v>
      </c>
      <c r="E1284" s="431" t="s">
        <v>161</v>
      </c>
      <c r="F1284" s="431" t="s">
        <v>858</v>
      </c>
      <c r="G1284" s="431" t="s">
        <v>175</v>
      </c>
      <c r="H1284" s="431"/>
      <c r="I1284" s="431"/>
      <c r="J1284" s="431"/>
      <c r="K1284" s="431"/>
      <c r="L1284" s="431" t="s">
        <v>163</v>
      </c>
      <c r="M1284" s="431" t="s">
        <v>867</v>
      </c>
    </row>
    <row r="1285" spans="1:13" x14ac:dyDescent="0.2">
      <c r="A1285" s="431" t="s">
        <v>866</v>
      </c>
      <c r="B1285" s="431">
        <v>1690204</v>
      </c>
      <c r="C1285" s="431" t="s">
        <v>159</v>
      </c>
      <c r="D1285" s="431" t="s">
        <v>160</v>
      </c>
      <c r="E1285" s="431" t="s">
        <v>161</v>
      </c>
      <c r="F1285" s="431" t="s">
        <v>858</v>
      </c>
      <c r="G1285" s="431" t="s">
        <v>175</v>
      </c>
      <c r="H1285" s="431"/>
      <c r="I1285" s="431"/>
      <c r="J1285" s="431"/>
      <c r="K1285" s="431"/>
      <c r="L1285" s="431" t="s">
        <v>163</v>
      </c>
      <c r="M1285" s="431" t="s">
        <v>867</v>
      </c>
    </row>
    <row r="1286" spans="1:13" x14ac:dyDescent="0.2">
      <c r="A1286" s="431" t="s">
        <v>866</v>
      </c>
      <c r="B1286" s="431">
        <v>1690204</v>
      </c>
      <c r="C1286" s="431" t="s">
        <v>159</v>
      </c>
      <c r="D1286" s="431" t="s">
        <v>160</v>
      </c>
      <c r="E1286" s="431" t="s">
        <v>161</v>
      </c>
      <c r="F1286" s="431" t="s">
        <v>860</v>
      </c>
      <c r="G1286" s="431" t="s">
        <v>175</v>
      </c>
      <c r="H1286" s="431"/>
      <c r="I1286" s="431"/>
      <c r="J1286" s="431"/>
      <c r="K1286" s="431"/>
      <c r="L1286" s="431" t="s">
        <v>163</v>
      </c>
      <c r="M1286" s="431" t="s">
        <v>867</v>
      </c>
    </row>
    <row r="1287" spans="1:13" x14ac:dyDescent="0.2">
      <c r="A1287" s="431" t="s">
        <v>868</v>
      </c>
      <c r="B1287" s="431">
        <v>1690082</v>
      </c>
      <c r="C1287" s="431" t="s">
        <v>159</v>
      </c>
      <c r="D1287" s="431" t="s">
        <v>160</v>
      </c>
      <c r="E1287" s="431" t="s">
        <v>161</v>
      </c>
      <c r="F1287" s="431" t="s">
        <v>869</v>
      </c>
      <c r="G1287" s="431" t="s">
        <v>175</v>
      </c>
      <c r="H1287" s="431"/>
      <c r="I1287" s="431"/>
      <c r="J1287" s="431"/>
      <c r="K1287" s="431"/>
      <c r="L1287" s="431" t="s">
        <v>163</v>
      </c>
      <c r="M1287" s="431" t="s">
        <v>870</v>
      </c>
    </row>
    <row r="1288" spans="1:13" ht="409.5" x14ac:dyDescent="0.2">
      <c r="A1288" s="431" t="s">
        <v>871</v>
      </c>
      <c r="B1288" s="431">
        <v>1690110</v>
      </c>
      <c r="C1288" s="431" t="s">
        <v>159</v>
      </c>
      <c r="D1288" s="431" t="s">
        <v>160</v>
      </c>
      <c r="E1288" s="431" t="s">
        <v>161</v>
      </c>
      <c r="F1288" s="431" t="s">
        <v>246</v>
      </c>
      <c r="G1288" s="431" t="s">
        <v>583</v>
      </c>
      <c r="H1288" s="431"/>
      <c r="I1288" s="431"/>
      <c r="J1288" s="431"/>
      <c r="K1288" s="431"/>
      <c r="L1288" s="431" t="s">
        <v>730</v>
      </c>
      <c r="M1288" s="432" t="s">
        <v>872</v>
      </c>
    </row>
    <row r="1289" spans="1:13" x14ac:dyDescent="0.2">
      <c r="A1289" s="431" t="s">
        <v>873</v>
      </c>
      <c r="B1289" s="431">
        <v>1690138</v>
      </c>
      <c r="C1289" s="431" t="s">
        <v>159</v>
      </c>
      <c r="D1289" s="431" t="s">
        <v>160</v>
      </c>
      <c r="E1289" s="431" t="s">
        <v>161</v>
      </c>
      <c r="F1289" s="431" t="s">
        <v>249</v>
      </c>
      <c r="G1289" s="431" t="s">
        <v>175</v>
      </c>
      <c r="H1289" s="431"/>
      <c r="I1289" s="431"/>
      <c r="J1289" s="431"/>
      <c r="K1289" s="431"/>
      <c r="L1289" s="431" t="s">
        <v>733</v>
      </c>
      <c r="M1289" s="431" t="s">
        <v>736</v>
      </c>
    </row>
    <row r="1290" spans="1:13" x14ac:dyDescent="0.2">
      <c r="A1290" s="431" t="s">
        <v>873</v>
      </c>
      <c r="B1290" s="431">
        <v>1690138</v>
      </c>
      <c r="C1290" s="431" t="s">
        <v>159</v>
      </c>
      <c r="D1290" s="431" t="s">
        <v>160</v>
      </c>
      <c r="E1290" s="431" t="s">
        <v>161</v>
      </c>
      <c r="F1290" s="431" t="s">
        <v>249</v>
      </c>
      <c r="G1290" s="431" t="s">
        <v>175</v>
      </c>
      <c r="H1290" s="431"/>
      <c r="I1290" s="431"/>
      <c r="J1290" s="431"/>
      <c r="K1290" s="431"/>
      <c r="L1290" s="431" t="s">
        <v>733</v>
      </c>
      <c r="M1290" s="431" t="s">
        <v>736</v>
      </c>
    </row>
    <row r="1291" spans="1:13" x14ac:dyDescent="0.2">
      <c r="A1291" s="431" t="s">
        <v>873</v>
      </c>
      <c r="B1291" s="431">
        <v>1690138</v>
      </c>
      <c r="C1291" s="431" t="s">
        <v>159</v>
      </c>
      <c r="D1291" s="431" t="s">
        <v>160</v>
      </c>
      <c r="E1291" s="431" t="s">
        <v>161</v>
      </c>
      <c r="F1291" s="431" t="s">
        <v>249</v>
      </c>
      <c r="G1291" s="431" t="s">
        <v>175</v>
      </c>
      <c r="H1291" s="431"/>
      <c r="I1291" s="431"/>
      <c r="J1291" s="431"/>
      <c r="K1291" s="431"/>
      <c r="L1291" s="431" t="s">
        <v>733</v>
      </c>
      <c r="M1291" s="431" t="s">
        <v>736</v>
      </c>
    </row>
    <row r="1292" spans="1:13" x14ac:dyDescent="0.2">
      <c r="A1292" s="431" t="s">
        <v>873</v>
      </c>
      <c r="B1292" s="431">
        <v>1690138</v>
      </c>
      <c r="C1292" s="431" t="s">
        <v>159</v>
      </c>
      <c r="D1292" s="431" t="s">
        <v>160</v>
      </c>
      <c r="E1292" s="431" t="s">
        <v>161</v>
      </c>
      <c r="F1292" s="431" t="s">
        <v>249</v>
      </c>
      <c r="G1292" s="431" t="s">
        <v>175</v>
      </c>
      <c r="H1292" s="431"/>
      <c r="I1292" s="431"/>
      <c r="J1292" s="431"/>
      <c r="K1292" s="431"/>
      <c r="L1292" s="431" t="s">
        <v>733</v>
      </c>
      <c r="M1292" s="431" t="s">
        <v>736</v>
      </c>
    </row>
    <row r="1293" spans="1:13" x14ac:dyDescent="0.2">
      <c r="A1293" s="431" t="s">
        <v>873</v>
      </c>
      <c r="B1293" s="431">
        <v>1690138</v>
      </c>
      <c r="C1293" s="431" t="s">
        <v>159</v>
      </c>
      <c r="D1293" s="431" t="s">
        <v>160</v>
      </c>
      <c r="E1293" s="431" t="s">
        <v>161</v>
      </c>
      <c r="F1293" s="431" t="s">
        <v>874</v>
      </c>
      <c r="G1293" s="431" t="s">
        <v>175</v>
      </c>
      <c r="H1293" s="431"/>
      <c r="I1293" s="431"/>
      <c r="J1293" s="431"/>
      <c r="K1293" s="431"/>
      <c r="L1293" s="431" t="s">
        <v>733</v>
      </c>
      <c r="M1293" s="431" t="s">
        <v>736</v>
      </c>
    </row>
    <row r="1294" spans="1:13" x14ac:dyDescent="0.2">
      <c r="A1294" s="431" t="s">
        <v>873</v>
      </c>
      <c r="B1294" s="431">
        <v>1690138</v>
      </c>
      <c r="C1294" s="431" t="s">
        <v>159</v>
      </c>
      <c r="D1294" s="431" t="s">
        <v>160</v>
      </c>
      <c r="E1294" s="431" t="s">
        <v>161</v>
      </c>
      <c r="F1294" s="431" t="s">
        <v>517</v>
      </c>
      <c r="G1294" s="431" t="s">
        <v>175</v>
      </c>
      <c r="H1294" s="431"/>
      <c r="I1294" s="431"/>
      <c r="J1294" s="431"/>
      <c r="K1294" s="431"/>
      <c r="L1294" s="431" t="s">
        <v>733</v>
      </c>
      <c r="M1294" s="431" t="s">
        <v>736</v>
      </c>
    </row>
    <row r="1295" spans="1:13" x14ac:dyDescent="0.2">
      <c r="A1295" s="431" t="s">
        <v>873</v>
      </c>
      <c r="B1295" s="431">
        <v>1690138</v>
      </c>
      <c r="C1295" s="431" t="s">
        <v>159</v>
      </c>
      <c r="D1295" s="431" t="s">
        <v>160</v>
      </c>
      <c r="E1295" s="431" t="s">
        <v>161</v>
      </c>
      <c r="F1295" s="431" t="s">
        <v>517</v>
      </c>
      <c r="G1295" s="431" t="s">
        <v>175</v>
      </c>
      <c r="H1295" s="431"/>
      <c r="I1295" s="431"/>
      <c r="J1295" s="431"/>
      <c r="K1295" s="431"/>
      <c r="L1295" s="431" t="s">
        <v>733</v>
      </c>
      <c r="M1295" s="431" t="s">
        <v>736</v>
      </c>
    </row>
    <row r="1296" spans="1:13" x14ac:dyDescent="0.2">
      <c r="A1296" s="431" t="s">
        <v>875</v>
      </c>
      <c r="B1296" s="431">
        <v>1690191</v>
      </c>
      <c r="C1296" s="431" t="s">
        <v>170</v>
      </c>
      <c r="D1296" s="431" t="s">
        <v>160</v>
      </c>
      <c r="E1296" s="431" t="s">
        <v>161</v>
      </c>
      <c r="F1296" s="431" t="s">
        <v>246</v>
      </c>
      <c r="G1296" s="431" t="s">
        <v>583</v>
      </c>
      <c r="H1296" s="431"/>
      <c r="I1296" s="431"/>
      <c r="J1296" s="431"/>
      <c r="K1296" s="431"/>
      <c r="L1296" s="431" t="s">
        <v>730</v>
      </c>
      <c r="M1296" s="431" t="s">
        <v>876</v>
      </c>
    </row>
    <row r="1297" spans="1:13" ht="409.5" x14ac:dyDescent="0.2">
      <c r="A1297" s="431" t="s">
        <v>877</v>
      </c>
      <c r="B1297" s="431">
        <v>1690048</v>
      </c>
      <c r="C1297" s="431" t="s">
        <v>159</v>
      </c>
      <c r="D1297" s="431" t="s">
        <v>160</v>
      </c>
      <c r="E1297" s="431" t="s">
        <v>161</v>
      </c>
      <c r="F1297" s="431" t="s">
        <v>878</v>
      </c>
      <c r="G1297" s="431" t="s">
        <v>583</v>
      </c>
      <c r="H1297" s="431"/>
      <c r="I1297" s="431"/>
      <c r="J1297" s="431"/>
      <c r="K1297" s="431"/>
      <c r="L1297" s="431" t="s">
        <v>163</v>
      </c>
      <c r="M1297" s="432" t="s">
        <v>879</v>
      </c>
    </row>
    <row r="1298" spans="1:13" ht="409.5" x14ac:dyDescent="0.2">
      <c r="A1298" s="431" t="s">
        <v>880</v>
      </c>
      <c r="B1298" s="431">
        <v>1690058</v>
      </c>
      <c r="C1298" s="431" t="s">
        <v>159</v>
      </c>
      <c r="D1298" s="431" t="s">
        <v>160</v>
      </c>
      <c r="E1298" s="431" t="s">
        <v>161</v>
      </c>
      <c r="F1298" s="431" t="s">
        <v>246</v>
      </c>
      <c r="G1298" s="431" t="s">
        <v>583</v>
      </c>
      <c r="H1298" s="431"/>
      <c r="I1298" s="431"/>
      <c r="J1298" s="431"/>
      <c r="K1298" s="431"/>
      <c r="L1298" s="431" t="s">
        <v>730</v>
      </c>
      <c r="M1298" s="432" t="s">
        <v>881</v>
      </c>
    </row>
    <row r="1299" spans="1:13" x14ac:dyDescent="0.2">
      <c r="A1299" s="431" t="s">
        <v>882</v>
      </c>
      <c r="B1299" s="431">
        <v>1690027</v>
      </c>
      <c r="C1299" s="431" t="s">
        <v>170</v>
      </c>
      <c r="D1299" s="431" t="s">
        <v>160</v>
      </c>
      <c r="E1299" s="431" t="s">
        <v>161</v>
      </c>
      <c r="F1299" s="431" t="s">
        <v>246</v>
      </c>
      <c r="G1299" s="431" t="s">
        <v>583</v>
      </c>
      <c r="H1299" s="431"/>
      <c r="I1299" s="431"/>
      <c r="J1299" s="431"/>
      <c r="K1299" s="431"/>
      <c r="L1299" s="431" t="s">
        <v>730</v>
      </c>
      <c r="M1299" s="431" t="s">
        <v>876</v>
      </c>
    </row>
    <row r="1300" spans="1:13" ht="409.5" x14ac:dyDescent="0.2">
      <c r="A1300" s="431" t="s">
        <v>883</v>
      </c>
      <c r="B1300" s="431">
        <v>1690199</v>
      </c>
      <c r="C1300" s="431" t="s">
        <v>159</v>
      </c>
      <c r="D1300" s="431" t="s">
        <v>160</v>
      </c>
      <c r="E1300" s="431" t="s">
        <v>161</v>
      </c>
      <c r="F1300" s="431" t="s">
        <v>878</v>
      </c>
      <c r="G1300" s="431" t="s">
        <v>175</v>
      </c>
      <c r="H1300" s="431"/>
      <c r="I1300" s="431"/>
      <c r="J1300" s="431"/>
      <c r="K1300" s="431"/>
      <c r="L1300" s="431" t="s">
        <v>163</v>
      </c>
      <c r="M1300" s="432" t="s">
        <v>879</v>
      </c>
    </row>
    <row r="1301" spans="1:13" ht="409.5" x14ac:dyDescent="0.2">
      <c r="A1301" s="431" t="s">
        <v>884</v>
      </c>
      <c r="B1301" s="431">
        <v>1690081</v>
      </c>
      <c r="C1301" s="431" t="s">
        <v>159</v>
      </c>
      <c r="D1301" s="431" t="s">
        <v>160</v>
      </c>
      <c r="E1301" s="431" t="s">
        <v>161</v>
      </c>
      <c r="F1301" s="431" t="s">
        <v>246</v>
      </c>
      <c r="G1301" s="431" t="s">
        <v>583</v>
      </c>
      <c r="H1301" s="431"/>
      <c r="I1301" s="431"/>
      <c r="J1301" s="431"/>
      <c r="K1301" s="431"/>
      <c r="L1301" s="431" t="s">
        <v>730</v>
      </c>
      <c r="M1301" s="432" t="s">
        <v>885</v>
      </c>
    </row>
    <row r="1302" spans="1:13" x14ac:dyDescent="0.2">
      <c r="A1302" s="431" t="s">
        <v>886</v>
      </c>
      <c r="B1302" s="431">
        <v>1690211</v>
      </c>
      <c r="C1302" s="431" t="s">
        <v>159</v>
      </c>
      <c r="D1302" s="431" t="s">
        <v>160</v>
      </c>
      <c r="E1302" s="431" t="s">
        <v>161</v>
      </c>
      <c r="F1302" s="431" t="s">
        <v>198</v>
      </c>
      <c r="G1302" s="431" t="s">
        <v>175</v>
      </c>
      <c r="H1302" s="431"/>
      <c r="I1302" s="431"/>
      <c r="J1302" s="431"/>
      <c r="K1302" s="431"/>
      <c r="L1302" s="431" t="s">
        <v>352</v>
      </c>
      <c r="M1302" s="431" t="s">
        <v>887</v>
      </c>
    </row>
    <row r="1303" spans="1:13" x14ac:dyDescent="0.2">
      <c r="A1303" s="431" t="s">
        <v>886</v>
      </c>
      <c r="B1303" s="431">
        <v>1690211</v>
      </c>
      <c r="C1303" s="431" t="s">
        <v>159</v>
      </c>
      <c r="D1303" s="431" t="s">
        <v>160</v>
      </c>
      <c r="E1303" s="431" t="s">
        <v>161</v>
      </c>
      <c r="F1303" s="431" t="s">
        <v>198</v>
      </c>
      <c r="G1303" s="431" t="s">
        <v>175</v>
      </c>
      <c r="H1303" s="431"/>
      <c r="I1303" s="431"/>
      <c r="J1303" s="431"/>
      <c r="K1303" s="431"/>
      <c r="L1303" s="431" t="s">
        <v>352</v>
      </c>
      <c r="M1303" s="431" t="s">
        <v>887</v>
      </c>
    </row>
    <row r="1304" spans="1:13" x14ac:dyDescent="0.2">
      <c r="A1304" s="431" t="s">
        <v>886</v>
      </c>
      <c r="B1304" s="431">
        <v>1690211</v>
      </c>
      <c r="C1304" s="431" t="s">
        <v>159</v>
      </c>
      <c r="D1304" s="431" t="s">
        <v>160</v>
      </c>
      <c r="E1304" s="431" t="s">
        <v>161</v>
      </c>
      <c r="F1304" s="431" t="s">
        <v>199</v>
      </c>
      <c r="G1304" s="431" t="s">
        <v>175</v>
      </c>
      <c r="H1304" s="431"/>
      <c r="I1304" s="431"/>
      <c r="J1304" s="431"/>
      <c r="K1304" s="431"/>
      <c r="L1304" s="431" t="s">
        <v>352</v>
      </c>
      <c r="M1304" s="431" t="s">
        <v>887</v>
      </c>
    </row>
    <row r="1305" spans="1:13" x14ac:dyDescent="0.2">
      <c r="A1305" s="431" t="s">
        <v>886</v>
      </c>
      <c r="B1305" s="431">
        <v>1690211</v>
      </c>
      <c r="C1305" s="431" t="s">
        <v>159</v>
      </c>
      <c r="D1305" s="431" t="s">
        <v>160</v>
      </c>
      <c r="E1305" s="431" t="s">
        <v>161</v>
      </c>
      <c r="F1305" s="431" t="s">
        <v>199</v>
      </c>
      <c r="G1305" s="431" t="s">
        <v>175</v>
      </c>
      <c r="H1305" s="431"/>
      <c r="I1305" s="431"/>
      <c r="J1305" s="431"/>
      <c r="K1305" s="431"/>
      <c r="L1305" s="431" t="s">
        <v>352</v>
      </c>
      <c r="M1305" s="431" t="s">
        <v>887</v>
      </c>
    </row>
    <row r="1306" spans="1:13" x14ac:dyDescent="0.2">
      <c r="A1306" s="431" t="s">
        <v>888</v>
      </c>
      <c r="B1306" s="431">
        <v>1690119</v>
      </c>
      <c r="C1306" s="431" t="s">
        <v>159</v>
      </c>
      <c r="D1306" s="431" t="s">
        <v>160</v>
      </c>
      <c r="E1306" s="431" t="s">
        <v>161</v>
      </c>
      <c r="F1306" s="431" t="s">
        <v>388</v>
      </c>
      <c r="G1306" s="431" t="s">
        <v>175</v>
      </c>
      <c r="H1306" s="431"/>
      <c r="I1306" s="431"/>
      <c r="J1306" s="431"/>
      <c r="K1306" s="431"/>
      <c r="L1306" s="431" t="s">
        <v>247</v>
      </c>
      <c r="M1306" s="431" t="s">
        <v>889</v>
      </c>
    </row>
    <row r="1307" spans="1:13" x14ac:dyDescent="0.2">
      <c r="A1307" s="431" t="s">
        <v>888</v>
      </c>
      <c r="B1307" s="431">
        <v>1690119</v>
      </c>
      <c r="C1307" s="431" t="s">
        <v>159</v>
      </c>
      <c r="D1307" s="431" t="s">
        <v>160</v>
      </c>
      <c r="E1307" s="431" t="s">
        <v>161</v>
      </c>
      <c r="F1307" s="431" t="s">
        <v>388</v>
      </c>
      <c r="G1307" s="431" t="s">
        <v>175</v>
      </c>
      <c r="H1307" s="431"/>
      <c r="I1307" s="431"/>
      <c r="J1307" s="431"/>
      <c r="K1307" s="431"/>
      <c r="L1307" s="431" t="s">
        <v>247</v>
      </c>
      <c r="M1307" s="431" t="s">
        <v>889</v>
      </c>
    </row>
    <row r="1308" spans="1:13" x14ac:dyDescent="0.2">
      <c r="A1308" s="431" t="s">
        <v>888</v>
      </c>
      <c r="B1308" s="431">
        <v>1690119</v>
      </c>
      <c r="C1308" s="431" t="s">
        <v>159</v>
      </c>
      <c r="D1308" s="431" t="s">
        <v>160</v>
      </c>
      <c r="E1308" s="431" t="s">
        <v>161</v>
      </c>
      <c r="F1308" s="431" t="s">
        <v>388</v>
      </c>
      <c r="G1308" s="431" t="s">
        <v>175</v>
      </c>
      <c r="H1308" s="431"/>
      <c r="I1308" s="431"/>
      <c r="J1308" s="431"/>
      <c r="K1308" s="431"/>
      <c r="L1308" s="431" t="s">
        <v>247</v>
      </c>
      <c r="M1308" s="431" t="s">
        <v>889</v>
      </c>
    </row>
    <row r="1309" spans="1:13" x14ac:dyDescent="0.2">
      <c r="A1309" s="431" t="s">
        <v>888</v>
      </c>
      <c r="B1309" s="431">
        <v>1690119</v>
      </c>
      <c r="C1309" s="431" t="s">
        <v>159</v>
      </c>
      <c r="D1309" s="431" t="s">
        <v>160</v>
      </c>
      <c r="E1309" s="431" t="s">
        <v>161</v>
      </c>
      <c r="F1309" s="431" t="s">
        <v>388</v>
      </c>
      <c r="G1309" s="431" t="s">
        <v>175</v>
      </c>
      <c r="H1309" s="431"/>
      <c r="I1309" s="431"/>
      <c r="J1309" s="431"/>
      <c r="K1309" s="431"/>
      <c r="L1309" s="431" t="s">
        <v>247</v>
      </c>
      <c r="M1309" s="431" t="s">
        <v>889</v>
      </c>
    </row>
    <row r="1310" spans="1:13" x14ac:dyDescent="0.2">
      <c r="A1310" s="431" t="s">
        <v>888</v>
      </c>
      <c r="B1310" s="431">
        <v>1690119</v>
      </c>
      <c r="C1310" s="431" t="s">
        <v>159</v>
      </c>
      <c r="D1310" s="431" t="s">
        <v>160</v>
      </c>
      <c r="E1310" s="431" t="s">
        <v>161</v>
      </c>
      <c r="F1310" s="431" t="s">
        <v>388</v>
      </c>
      <c r="G1310" s="431" t="s">
        <v>175</v>
      </c>
      <c r="H1310" s="431"/>
      <c r="I1310" s="431"/>
      <c r="J1310" s="431"/>
      <c r="K1310" s="431"/>
      <c r="L1310" s="431" t="s">
        <v>247</v>
      </c>
      <c r="M1310" s="431" t="s">
        <v>889</v>
      </c>
    </row>
    <row r="1311" spans="1:13" x14ac:dyDescent="0.2">
      <c r="A1311" s="431" t="s">
        <v>888</v>
      </c>
      <c r="B1311" s="431">
        <v>1690119</v>
      </c>
      <c r="C1311" s="431" t="s">
        <v>159</v>
      </c>
      <c r="D1311" s="431" t="s">
        <v>160</v>
      </c>
      <c r="E1311" s="431" t="s">
        <v>161</v>
      </c>
      <c r="F1311" s="431" t="s">
        <v>388</v>
      </c>
      <c r="G1311" s="431" t="s">
        <v>175</v>
      </c>
      <c r="H1311" s="431"/>
      <c r="I1311" s="431"/>
      <c r="J1311" s="431"/>
      <c r="K1311" s="431"/>
      <c r="L1311" s="431" t="s">
        <v>247</v>
      </c>
      <c r="M1311" s="431" t="s">
        <v>889</v>
      </c>
    </row>
    <row r="1312" spans="1:13" x14ac:dyDescent="0.2">
      <c r="A1312" s="431" t="s">
        <v>888</v>
      </c>
      <c r="B1312" s="431">
        <v>1690119</v>
      </c>
      <c r="C1312" s="431" t="s">
        <v>159</v>
      </c>
      <c r="D1312" s="431" t="s">
        <v>160</v>
      </c>
      <c r="E1312" s="431" t="s">
        <v>161</v>
      </c>
      <c r="F1312" s="431" t="s">
        <v>388</v>
      </c>
      <c r="G1312" s="431" t="s">
        <v>175</v>
      </c>
      <c r="H1312" s="431"/>
      <c r="I1312" s="431"/>
      <c r="J1312" s="431"/>
      <c r="K1312" s="431"/>
      <c r="L1312" s="431" t="s">
        <v>247</v>
      </c>
      <c r="M1312" s="431" t="s">
        <v>889</v>
      </c>
    </row>
    <row r="1313" spans="1:13" x14ac:dyDescent="0.2">
      <c r="A1313" s="431" t="s">
        <v>888</v>
      </c>
      <c r="B1313" s="431">
        <v>1690119</v>
      </c>
      <c r="C1313" s="431" t="s">
        <v>159</v>
      </c>
      <c r="D1313" s="431" t="s">
        <v>160</v>
      </c>
      <c r="E1313" s="431" t="s">
        <v>161</v>
      </c>
      <c r="F1313" s="431" t="s">
        <v>388</v>
      </c>
      <c r="G1313" s="431" t="s">
        <v>175</v>
      </c>
      <c r="H1313" s="431"/>
      <c r="I1313" s="431"/>
      <c r="J1313" s="431"/>
      <c r="K1313" s="431"/>
      <c r="L1313" s="431" t="s">
        <v>247</v>
      </c>
      <c r="M1313" s="431" t="s">
        <v>889</v>
      </c>
    </row>
    <row r="1314" spans="1:13" x14ac:dyDescent="0.2">
      <c r="A1314" s="431" t="s">
        <v>888</v>
      </c>
      <c r="B1314" s="431">
        <v>1690119</v>
      </c>
      <c r="C1314" s="431" t="s">
        <v>159</v>
      </c>
      <c r="D1314" s="431" t="s">
        <v>160</v>
      </c>
      <c r="E1314" s="431" t="s">
        <v>161</v>
      </c>
      <c r="F1314" s="431" t="s">
        <v>390</v>
      </c>
      <c r="G1314" s="431" t="s">
        <v>175</v>
      </c>
      <c r="H1314" s="431"/>
      <c r="I1314" s="431"/>
      <c r="J1314" s="431"/>
      <c r="K1314" s="431"/>
      <c r="L1314" s="431" t="s">
        <v>247</v>
      </c>
      <c r="M1314" s="431" t="s">
        <v>889</v>
      </c>
    </row>
    <row r="1315" spans="1:13" x14ac:dyDescent="0.2">
      <c r="A1315" s="431" t="s">
        <v>888</v>
      </c>
      <c r="B1315" s="431">
        <v>1690119</v>
      </c>
      <c r="C1315" s="431" t="s">
        <v>159</v>
      </c>
      <c r="D1315" s="431" t="s">
        <v>160</v>
      </c>
      <c r="E1315" s="431" t="s">
        <v>161</v>
      </c>
      <c r="F1315" s="431" t="s">
        <v>390</v>
      </c>
      <c r="G1315" s="431" t="s">
        <v>175</v>
      </c>
      <c r="H1315" s="431"/>
      <c r="I1315" s="431"/>
      <c r="J1315" s="431"/>
      <c r="K1315" s="431"/>
      <c r="L1315" s="431" t="s">
        <v>247</v>
      </c>
      <c r="M1315" s="431" t="s">
        <v>889</v>
      </c>
    </row>
    <row r="1316" spans="1:13" x14ac:dyDescent="0.2">
      <c r="A1316" s="431" t="s">
        <v>888</v>
      </c>
      <c r="B1316" s="431">
        <v>1690119</v>
      </c>
      <c r="C1316" s="431" t="s">
        <v>159</v>
      </c>
      <c r="D1316" s="431" t="s">
        <v>160</v>
      </c>
      <c r="E1316" s="431" t="s">
        <v>161</v>
      </c>
      <c r="F1316" s="431" t="s">
        <v>390</v>
      </c>
      <c r="G1316" s="431" t="s">
        <v>175</v>
      </c>
      <c r="H1316" s="431"/>
      <c r="I1316" s="431"/>
      <c r="J1316" s="431"/>
      <c r="K1316" s="431"/>
      <c r="L1316" s="431" t="s">
        <v>247</v>
      </c>
      <c r="M1316" s="431" t="s">
        <v>889</v>
      </c>
    </row>
    <row r="1317" spans="1:13" x14ac:dyDescent="0.2">
      <c r="A1317" s="431" t="s">
        <v>888</v>
      </c>
      <c r="B1317" s="431">
        <v>1690119</v>
      </c>
      <c r="C1317" s="431" t="s">
        <v>159</v>
      </c>
      <c r="D1317" s="431" t="s">
        <v>160</v>
      </c>
      <c r="E1317" s="431" t="s">
        <v>161</v>
      </c>
      <c r="F1317" s="431" t="s">
        <v>390</v>
      </c>
      <c r="G1317" s="431" t="s">
        <v>175</v>
      </c>
      <c r="H1317" s="431"/>
      <c r="I1317" s="431"/>
      <c r="J1317" s="431"/>
      <c r="K1317" s="431"/>
      <c r="L1317" s="431" t="s">
        <v>247</v>
      </c>
      <c r="M1317" s="431" t="s">
        <v>889</v>
      </c>
    </row>
    <row r="1318" spans="1:13" x14ac:dyDescent="0.2">
      <c r="A1318" s="431" t="s">
        <v>888</v>
      </c>
      <c r="B1318" s="431">
        <v>1690119</v>
      </c>
      <c r="C1318" s="431" t="s">
        <v>159</v>
      </c>
      <c r="D1318" s="431" t="s">
        <v>160</v>
      </c>
      <c r="E1318" s="431" t="s">
        <v>161</v>
      </c>
      <c r="F1318" s="431" t="s">
        <v>390</v>
      </c>
      <c r="G1318" s="431" t="s">
        <v>175</v>
      </c>
      <c r="H1318" s="431"/>
      <c r="I1318" s="431"/>
      <c r="J1318" s="431"/>
      <c r="K1318" s="431"/>
      <c r="L1318" s="431" t="s">
        <v>247</v>
      </c>
      <c r="M1318" s="431" t="s">
        <v>889</v>
      </c>
    </row>
    <row r="1319" spans="1:13" x14ac:dyDescent="0.2">
      <c r="A1319" s="431" t="s">
        <v>888</v>
      </c>
      <c r="B1319" s="431">
        <v>1690119</v>
      </c>
      <c r="C1319" s="431" t="s">
        <v>159</v>
      </c>
      <c r="D1319" s="431" t="s">
        <v>160</v>
      </c>
      <c r="E1319" s="431" t="s">
        <v>161</v>
      </c>
      <c r="F1319" s="431" t="s">
        <v>390</v>
      </c>
      <c r="G1319" s="431" t="s">
        <v>175</v>
      </c>
      <c r="H1319" s="431"/>
      <c r="I1319" s="431"/>
      <c r="J1319" s="431"/>
      <c r="K1319" s="431"/>
      <c r="L1319" s="431" t="s">
        <v>247</v>
      </c>
      <c r="M1319" s="431" t="s">
        <v>889</v>
      </c>
    </row>
    <row r="1320" spans="1:13" x14ac:dyDescent="0.2">
      <c r="A1320" s="431" t="s">
        <v>888</v>
      </c>
      <c r="B1320" s="431">
        <v>1690119</v>
      </c>
      <c r="C1320" s="431" t="s">
        <v>159</v>
      </c>
      <c r="D1320" s="431" t="s">
        <v>160</v>
      </c>
      <c r="E1320" s="431" t="s">
        <v>161</v>
      </c>
      <c r="F1320" s="431" t="s">
        <v>390</v>
      </c>
      <c r="G1320" s="431" t="s">
        <v>175</v>
      </c>
      <c r="H1320" s="431"/>
      <c r="I1320" s="431"/>
      <c r="J1320" s="431"/>
      <c r="K1320" s="431"/>
      <c r="L1320" s="431" t="s">
        <v>247</v>
      </c>
      <c r="M1320" s="431" t="s">
        <v>889</v>
      </c>
    </row>
    <row r="1321" spans="1:13" x14ac:dyDescent="0.2">
      <c r="A1321" s="431" t="s">
        <v>888</v>
      </c>
      <c r="B1321" s="431">
        <v>1690119</v>
      </c>
      <c r="C1321" s="431" t="s">
        <v>159</v>
      </c>
      <c r="D1321" s="431" t="s">
        <v>160</v>
      </c>
      <c r="E1321" s="431" t="s">
        <v>161</v>
      </c>
      <c r="F1321" s="431" t="s">
        <v>390</v>
      </c>
      <c r="G1321" s="431" t="s">
        <v>175</v>
      </c>
      <c r="H1321" s="431"/>
      <c r="I1321" s="431"/>
      <c r="J1321" s="431"/>
      <c r="K1321" s="431"/>
      <c r="L1321" s="431" t="s">
        <v>247</v>
      </c>
      <c r="M1321" s="431" t="s">
        <v>889</v>
      </c>
    </row>
    <row r="1322" spans="1:13" x14ac:dyDescent="0.2">
      <c r="A1322" s="431" t="s">
        <v>890</v>
      </c>
      <c r="B1322" s="431">
        <v>1690025</v>
      </c>
      <c r="C1322" s="431" t="s">
        <v>159</v>
      </c>
      <c r="D1322" s="431" t="s">
        <v>160</v>
      </c>
      <c r="E1322" s="431" t="s">
        <v>161</v>
      </c>
      <c r="F1322" s="431" t="s">
        <v>390</v>
      </c>
      <c r="G1322" s="431" t="s">
        <v>175</v>
      </c>
      <c r="H1322" s="431"/>
      <c r="I1322" s="431"/>
      <c r="J1322" s="431"/>
      <c r="K1322" s="431"/>
      <c r="L1322" s="431" t="s">
        <v>511</v>
      </c>
      <c r="M1322" s="431" t="s">
        <v>891</v>
      </c>
    </row>
    <row r="1323" spans="1:13" x14ac:dyDescent="0.2">
      <c r="A1323" s="431" t="s">
        <v>890</v>
      </c>
      <c r="B1323" s="431">
        <v>1690025</v>
      </c>
      <c r="C1323" s="431" t="s">
        <v>159</v>
      </c>
      <c r="D1323" s="431" t="s">
        <v>160</v>
      </c>
      <c r="E1323" s="431" t="s">
        <v>161</v>
      </c>
      <c r="F1323" s="431" t="s">
        <v>390</v>
      </c>
      <c r="G1323" s="431" t="s">
        <v>175</v>
      </c>
      <c r="H1323" s="431"/>
      <c r="I1323" s="431"/>
      <c r="J1323" s="431"/>
      <c r="K1323" s="431"/>
      <c r="L1323" s="431" t="s">
        <v>511</v>
      </c>
      <c r="M1323" s="431" t="s">
        <v>891</v>
      </c>
    </row>
    <row r="1324" spans="1:13" x14ac:dyDescent="0.2">
      <c r="A1324" s="431" t="s">
        <v>890</v>
      </c>
      <c r="B1324" s="431">
        <v>1690025</v>
      </c>
      <c r="C1324" s="431" t="s">
        <v>159</v>
      </c>
      <c r="D1324" s="431" t="s">
        <v>160</v>
      </c>
      <c r="E1324" s="431" t="s">
        <v>161</v>
      </c>
      <c r="F1324" s="431" t="s">
        <v>390</v>
      </c>
      <c r="G1324" s="431" t="s">
        <v>175</v>
      </c>
      <c r="H1324" s="431"/>
      <c r="I1324" s="431"/>
      <c r="J1324" s="431"/>
      <c r="K1324" s="431"/>
      <c r="L1324" s="431" t="s">
        <v>511</v>
      </c>
      <c r="M1324" s="431" t="s">
        <v>891</v>
      </c>
    </row>
    <row r="1325" spans="1:13" x14ac:dyDescent="0.2">
      <c r="A1325" s="431" t="s">
        <v>890</v>
      </c>
      <c r="B1325" s="431">
        <v>1690025</v>
      </c>
      <c r="C1325" s="431" t="s">
        <v>159</v>
      </c>
      <c r="D1325" s="431" t="s">
        <v>160</v>
      </c>
      <c r="E1325" s="431" t="s">
        <v>161</v>
      </c>
      <c r="F1325" s="431" t="s">
        <v>390</v>
      </c>
      <c r="G1325" s="431" t="s">
        <v>175</v>
      </c>
      <c r="H1325" s="431"/>
      <c r="I1325" s="431"/>
      <c r="J1325" s="431"/>
      <c r="K1325" s="431"/>
      <c r="L1325" s="431" t="s">
        <v>511</v>
      </c>
      <c r="M1325" s="431" t="s">
        <v>891</v>
      </c>
    </row>
    <row r="1326" spans="1:13" x14ac:dyDescent="0.2">
      <c r="A1326" s="431" t="s">
        <v>890</v>
      </c>
      <c r="B1326" s="431">
        <v>1690025</v>
      </c>
      <c r="C1326" s="431" t="s">
        <v>159</v>
      </c>
      <c r="D1326" s="431" t="s">
        <v>160</v>
      </c>
      <c r="E1326" s="431" t="s">
        <v>161</v>
      </c>
      <c r="F1326" s="431" t="s">
        <v>390</v>
      </c>
      <c r="G1326" s="431" t="s">
        <v>175</v>
      </c>
      <c r="H1326" s="431"/>
      <c r="I1326" s="431"/>
      <c r="J1326" s="431"/>
      <c r="K1326" s="431"/>
      <c r="L1326" s="431" t="s">
        <v>511</v>
      </c>
      <c r="M1326" s="431" t="s">
        <v>891</v>
      </c>
    </row>
    <row r="1327" spans="1:13" x14ac:dyDescent="0.2">
      <c r="A1327" s="431" t="s">
        <v>890</v>
      </c>
      <c r="B1327" s="431">
        <v>1690025</v>
      </c>
      <c r="C1327" s="431" t="s">
        <v>159</v>
      </c>
      <c r="D1327" s="431" t="s">
        <v>160</v>
      </c>
      <c r="E1327" s="431" t="s">
        <v>161</v>
      </c>
      <c r="F1327" s="431" t="s">
        <v>390</v>
      </c>
      <c r="G1327" s="431" t="s">
        <v>175</v>
      </c>
      <c r="H1327" s="431"/>
      <c r="I1327" s="431"/>
      <c r="J1327" s="431"/>
      <c r="K1327" s="431"/>
      <c r="L1327" s="431" t="s">
        <v>511</v>
      </c>
      <c r="M1327" s="431" t="s">
        <v>891</v>
      </c>
    </row>
    <row r="1328" spans="1:13" x14ac:dyDescent="0.2">
      <c r="A1328" s="431" t="s">
        <v>890</v>
      </c>
      <c r="B1328" s="431">
        <v>1690025</v>
      </c>
      <c r="C1328" s="431" t="s">
        <v>159</v>
      </c>
      <c r="D1328" s="431" t="s">
        <v>160</v>
      </c>
      <c r="E1328" s="431" t="s">
        <v>161</v>
      </c>
      <c r="F1328" s="431" t="s">
        <v>390</v>
      </c>
      <c r="G1328" s="431" t="s">
        <v>175</v>
      </c>
      <c r="H1328" s="431"/>
      <c r="I1328" s="431"/>
      <c r="J1328" s="431"/>
      <c r="K1328" s="431"/>
      <c r="L1328" s="431" t="s">
        <v>511</v>
      </c>
      <c r="M1328" s="431" t="s">
        <v>891</v>
      </c>
    </row>
    <row r="1329" spans="1:13" x14ac:dyDescent="0.2">
      <c r="A1329" s="431" t="s">
        <v>890</v>
      </c>
      <c r="B1329" s="431">
        <v>1690025</v>
      </c>
      <c r="C1329" s="431" t="s">
        <v>159</v>
      </c>
      <c r="D1329" s="431" t="s">
        <v>160</v>
      </c>
      <c r="E1329" s="431" t="s">
        <v>161</v>
      </c>
      <c r="F1329" s="431" t="s">
        <v>390</v>
      </c>
      <c r="G1329" s="431" t="s">
        <v>175</v>
      </c>
      <c r="H1329" s="431"/>
      <c r="I1329" s="431"/>
      <c r="J1329" s="431"/>
      <c r="K1329" s="431"/>
      <c r="L1329" s="431" t="s">
        <v>511</v>
      </c>
      <c r="M1329" s="431" t="s">
        <v>891</v>
      </c>
    </row>
    <row r="1330" spans="1:13" ht="409.5" x14ac:dyDescent="0.2">
      <c r="A1330" s="431" t="s">
        <v>892</v>
      </c>
      <c r="B1330" s="431">
        <v>1690096</v>
      </c>
      <c r="C1330" s="431" t="s">
        <v>159</v>
      </c>
      <c r="D1330" s="431" t="s">
        <v>160</v>
      </c>
      <c r="E1330" s="431" t="s">
        <v>161</v>
      </c>
      <c r="F1330" s="431" t="s">
        <v>246</v>
      </c>
      <c r="G1330" s="431" t="s">
        <v>175</v>
      </c>
      <c r="H1330" s="431"/>
      <c r="I1330" s="431"/>
      <c r="J1330" s="431"/>
      <c r="K1330" s="431"/>
      <c r="L1330" s="431" t="s">
        <v>730</v>
      </c>
      <c r="M1330" s="432" t="s">
        <v>893</v>
      </c>
    </row>
    <row r="1331" spans="1:13" ht="409.5" x14ac:dyDescent="0.2">
      <c r="A1331" s="431" t="s">
        <v>892</v>
      </c>
      <c r="B1331" s="431">
        <v>1690096</v>
      </c>
      <c r="C1331" s="431" t="s">
        <v>159</v>
      </c>
      <c r="D1331" s="431" t="s">
        <v>160</v>
      </c>
      <c r="E1331" s="431" t="s">
        <v>161</v>
      </c>
      <c r="F1331" s="431" t="s">
        <v>894</v>
      </c>
      <c r="G1331" s="431" t="s">
        <v>175</v>
      </c>
      <c r="H1331" s="431"/>
      <c r="I1331" s="431"/>
      <c r="J1331" s="431"/>
      <c r="K1331" s="431"/>
      <c r="L1331" s="431" t="s">
        <v>730</v>
      </c>
      <c r="M1331" s="432" t="s">
        <v>893</v>
      </c>
    </row>
    <row r="1332" spans="1:13" x14ac:dyDescent="0.2">
      <c r="A1332" s="431" t="s">
        <v>895</v>
      </c>
      <c r="B1332" s="431">
        <v>1690185</v>
      </c>
      <c r="C1332" s="431" t="s">
        <v>159</v>
      </c>
      <c r="D1332" s="431" t="s">
        <v>160</v>
      </c>
      <c r="E1332" s="431" t="s">
        <v>161</v>
      </c>
      <c r="F1332" s="431" t="s">
        <v>246</v>
      </c>
      <c r="G1332" s="431" t="s">
        <v>175</v>
      </c>
      <c r="H1332" s="431"/>
      <c r="I1332" s="431"/>
      <c r="J1332" s="431"/>
      <c r="K1332" s="431"/>
      <c r="L1332" s="431" t="s">
        <v>241</v>
      </c>
      <c r="M1332" s="431" t="s">
        <v>896</v>
      </c>
    </row>
    <row r="1333" spans="1:13" x14ac:dyDescent="0.2">
      <c r="A1333" s="431" t="s">
        <v>895</v>
      </c>
      <c r="B1333" s="431">
        <v>1690185</v>
      </c>
      <c r="C1333" s="431" t="s">
        <v>159</v>
      </c>
      <c r="D1333" s="431" t="s">
        <v>160</v>
      </c>
      <c r="E1333" s="431" t="s">
        <v>161</v>
      </c>
      <c r="F1333" s="431" t="s">
        <v>894</v>
      </c>
      <c r="G1333" s="431" t="s">
        <v>175</v>
      </c>
      <c r="H1333" s="431"/>
      <c r="I1333" s="431"/>
      <c r="J1333" s="431"/>
      <c r="K1333" s="431"/>
      <c r="L1333" s="431" t="s">
        <v>241</v>
      </c>
      <c r="M1333" s="431" t="s">
        <v>896</v>
      </c>
    </row>
    <row r="1334" spans="1:13" x14ac:dyDescent="0.2">
      <c r="A1334" s="431" t="s">
        <v>897</v>
      </c>
      <c r="B1334" s="431">
        <v>1690049</v>
      </c>
      <c r="C1334" s="431" t="s">
        <v>159</v>
      </c>
      <c r="D1334" s="431" t="s">
        <v>160</v>
      </c>
      <c r="E1334" s="431" t="s">
        <v>161</v>
      </c>
      <c r="F1334" s="431" t="s">
        <v>894</v>
      </c>
      <c r="G1334" s="431" t="s">
        <v>175</v>
      </c>
      <c r="H1334" s="431"/>
      <c r="I1334" s="431"/>
      <c r="J1334" s="431"/>
      <c r="K1334" s="431"/>
      <c r="L1334" s="431" t="s">
        <v>241</v>
      </c>
      <c r="M1334" s="431" t="s">
        <v>898</v>
      </c>
    </row>
    <row r="1335" spans="1:13" x14ac:dyDescent="0.2">
      <c r="A1335" s="431" t="s">
        <v>899</v>
      </c>
      <c r="B1335" s="431">
        <v>1690043</v>
      </c>
      <c r="C1335" s="431" t="s">
        <v>159</v>
      </c>
      <c r="D1335" s="431" t="s">
        <v>160</v>
      </c>
      <c r="E1335" s="431" t="s">
        <v>161</v>
      </c>
      <c r="F1335" s="431" t="s">
        <v>894</v>
      </c>
      <c r="G1335" s="431" t="s">
        <v>175</v>
      </c>
      <c r="H1335" s="431"/>
      <c r="I1335" s="431"/>
      <c r="J1335" s="431"/>
      <c r="K1335" s="431"/>
      <c r="L1335" s="431" t="s">
        <v>241</v>
      </c>
      <c r="M1335" s="431" t="s">
        <v>900</v>
      </c>
    </row>
    <row r="1336" spans="1:13" x14ac:dyDescent="0.2">
      <c r="A1336" s="431" t="s">
        <v>901</v>
      </c>
      <c r="B1336" s="431">
        <v>1690054</v>
      </c>
      <c r="C1336" s="431" t="s">
        <v>159</v>
      </c>
      <c r="D1336" s="431" t="s">
        <v>160</v>
      </c>
      <c r="E1336" s="431" t="s">
        <v>161</v>
      </c>
      <c r="F1336" s="431" t="s">
        <v>246</v>
      </c>
      <c r="G1336" s="431" t="s">
        <v>175</v>
      </c>
      <c r="H1336" s="431"/>
      <c r="I1336" s="431"/>
      <c r="J1336" s="431"/>
      <c r="K1336" s="431"/>
      <c r="L1336" s="431" t="s">
        <v>902</v>
      </c>
      <c r="M1336" s="431" t="s">
        <v>903</v>
      </c>
    </row>
    <row r="1337" spans="1:13" x14ac:dyDescent="0.2">
      <c r="A1337" s="431" t="s">
        <v>901</v>
      </c>
      <c r="B1337" s="431">
        <v>1690054</v>
      </c>
      <c r="C1337" s="431" t="s">
        <v>159</v>
      </c>
      <c r="D1337" s="431" t="s">
        <v>160</v>
      </c>
      <c r="E1337" s="431" t="s">
        <v>161</v>
      </c>
      <c r="F1337" s="431" t="s">
        <v>894</v>
      </c>
      <c r="G1337" s="431" t="s">
        <v>175</v>
      </c>
      <c r="H1337" s="431"/>
      <c r="I1337" s="431"/>
      <c r="J1337" s="431"/>
      <c r="K1337" s="431"/>
      <c r="L1337" s="431" t="s">
        <v>902</v>
      </c>
      <c r="M1337" s="431" t="s">
        <v>903</v>
      </c>
    </row>
    <row r="1338" spans="1:13" x14ac:dyDescent="0.2">
      <c r="A1338" s="431" t="s">
        <v>901</v>
      </c>
      <c r="B1338" s="431">
        <v>1690054</v>
      </c>
      <c r="C1338" s="431" t="s">
        <v>159</v>
      </c>
      <c r="D1338" s="431" t="s">
        <v>160</v>
      </c>
      <c r="E1338" s="431" t="s">
        <v>161</v>
      </c>
      <c r="F1338" s="431" t="s">
        <v>593</v>
      </c>
      <c r="G1338" s="431" t="s">
        <v>175</v>
      </c>
      <c r="H1338" s="431"/>
      <c r="I1338" s="431"/>
      <c r="J1338" s="431"/>
      <c r="K1338" s="431"/>
      <c r="L1338" s="431" t="s">
        <v>902</v>
      </c>
      <c r="M1338" s="431" t="s">
        <v>903</v>
      </c>
    </row>
    <row r="1339" spans="1:13" x14ac:dyDescent="0.2">
      <c r="A1339" s="431" t="s">
        <v>904</v>
      </c>
      <c r="B1339" s="431">
        <v>1690200</v>
      </c>
      <c r="C1339" s="431" t="s">
        <v>159</v>
      </c>
      <c r="D1339" s="431" t="s">
        <v>160</v>
      </c>
      <c r="E1339" s="431" t="s">
        <v>161</v>
      </c>
      <c r="F1339" s="431" t="s">
        <v>306</v>
      </c>
      <c r="G1339" s="431" t="s">
        <v>175</v>
      </c>
      <c r="H1339" s="431"/>
      <c r="I1339" s="431"/>
      <c r="J1339" s="431"/>
      <c r="K1339" s="431"/>
      <c r="L1339" s="431" t="s">
        <v>314</v>
      </c>
      <c r="M1339" s="431" t="s">
        <v>905</v>
      </c>
    </row>
    <row r="1340" spans="1:13" x14ac:dyDescent="0.2">
      <c r="A1340" s="431" t="s">
        <v>906</v>
      </c>
      <c r="B1340" s="431">
        <v>1690155</v>
      </c>
      <c r="C1340" s="431" t="s">
        <v>159</v>
      </c>
      <c r="D1340" s="431" t="s">
        <v>160</v>
      </c>
      <c r="E1340" s="431" t="s">
        <v>161</v>
      </c>
      <c r="F1340" s="431" t="s">
        <v>596</v>
      </c>
      <c r="G1340" s="431" t="s">
        <v>175</v>
      </c>
      <c r="H1340" s="431"/>
      <c r="I1340" s="431"/>
      <c r="J1340" s="431"/>
      <c r="K1340" s="431"/>
      <c r="L1340" s="431" t="s">
        <v>163</v>
      </c>
      <c r="M1340" s="431" t="s">
        <v>907</v>
      </c>
    </row>
    <row r="1341" spans="1:13" x14ac:dyDescent="0.2">
      <c r="A1341" s="431" t="s">
        <v>908</v>
      </c>
      <c r="B1341" s="431">
        <v>1690071</v>
      </c>
      <c r="C1341" s="431" t="s">
        <v>159</v>
      </c>
      <c r="D1341" s="431" t="s">
        <v>160</v>
      </c>
      <c r="E1341" s="431" t="s">
        <v>161</v>
      </c>
      <c r="F1341" s="431" t="s">
        <v>909</v>
      </c>
      <c r="G1341" s="431" t="s">
        <v>583</v>
      </c>
      <c r="H1341" s="431"/>
      <c r="I1341" s="431"/>
      <c r="J1341" s="431"/>
      <c r="K1341" s="431"/>
      <c r="L1341" s="431" t="s">
        <v>910</v>
      </c>
      <c r="M1341" s="431" t="s">
        <v>911</v>
      </c>
    </row>
    <row r="1342" spans="1:13" x14ac:dyDescent="0.2">
      <c r="A1342" s="431" t="s">
        <v>908</v>
      </c>
      <c r="B1342" s="431">
        <v>1690071</v>
      </c>
      <c r="C1342" s="431" t="s">
        <v>159</v>
      </c>
      <c r="D1342" s="431" t="s">
        <v>160</v>
      </c>
      <c r="E1342" s="431" t="s">
        <v>161</v>
      </c>
      <c r="F1342" s="431" t="s">
        <v>912</v>
      </c>
      <c r="G1342" s="431" t="s">
        <v>583</v>
      </c>
      <c r="H1342" s="431"/>
      <c r="I1342" s="431"/>
      <c r="J1342" s="431"/>
      <c r="K1342" s="431"/>
      <c r="L1342" s="431" t="s">
        <v>910</v>
      </c>
      <c r="M1342" s="431" t="s">
        <v>911</v>
      </c>
    </row>
    <row r="1343" spans="1:13" x14ac:dyDescent="0.2">
      <c r="A1343" s="431" t="s">
        <v>913</v>
      </c>
      <c r="B1343" s="431">
        <v>1690013</v>
      </c>
      <c r="C1343" s="431" t="s">
        <v>159</v>
      </c>
      <c r="D1343" s="431" t="s">
        <v>160</v>
      </c>
      <c r="E1343" s="431" t="s">
        <v>161</v>
      </c>
      <c r="F1343" s="431" t="s">
        <v>909</v>
      </c>
      <c r="G1343" s="431" t="s">
        <v>583</v>
      </c>
      <c r="H1343" s="431"/>
      <c r="I1343" s="431"/>
      <c r="J1343" s="431"/>
      <c r="K1343" s="431"/>
      <c r="L1343" s="431" t="s">
        <v>600</v>
      </c>
      <c r="M1343" s="431" t="s">
        <v>914</v>
      </c>
    </row>
    <row r="1344" spans="1:13" x14ac:dyDescent="0.2">
      <c r="A1344" s="431" t="s">
        <v>915</v>
      </c>
      <c r="B1344" s="431">
        <v>1690008</v>
      </c>
      <c r="C1344" s="431" t="s">
        <v>159</v>
      </c>
      <c r="D1344" s="431" t="s">
        <v>160</v>
      </c>
      <c r="E1344" s="431" t="s">
        <v>161</v>
      </c>
      <c r="F1344" s="431" t="s">
        <v>912</v>
      </c>
      <c r="G1344" s="431" t="s">
        <v>583</v>
      </c>
      <c r="H1344" s="431"/>
      <c r="I1344" s="431"/>
      <c r="J1344" s="431"/>
      <c r="K1344" s="431"/>
      <c r="L1344" s="431" t="s">
        <v>311</v>
      </c>
      <c r="M1344" s="431" t="s">
        <v>916</v>
      </c>
    </row>
    <row r="1345" spans="1:13" x14ac:dyDescent="0.2">
      <c r="A1345" s="431" t="s">
        <v>917</v>
      </c>
      <c r="B1345" s="431">
        <v>1690026</v>
      </c>
      <c r="C1345" s="431" t="s">
        <v>170</v>
      </c>
      <c r="D1345" s="431" t="s">
        <v>160</v>
      </c>
      <c r="E1345" s="431" t="s">
        <v>161</v>
      </c>
      <c r="F1345" s="431" t="s">
        <v>246</v>
      </c>
      <c r="G1345" s="431" t="s">
        <v>583</v>
      </c>
      <c r="H1345" s="431"/>
      <c r="I1345" s="431"/>
      <c r="J1345" s="431"/>
      <c r="K1345" s="431"/>
      <c r="L1345" s="431" t="s">
        <v>241</v>
      </c>
      <c r="M1345" s="431" t="s">
        <v>918</v>
      </c>
    </row>
    <row r="1346" spans="1:13" x14ac:dyDescent="0.2">
      <c r="A1346" s="431" t="s">
        <v>919</v>
      </c>
      <c r="B1346" s="431">
        <v>1690084</v>
      </c>
      <c r="C1346" s="431" t="s">
        <v>159</v>
      </c>
      <c r="D1346" s="431" t="s">
        <v>160</v>
      </c>
      <c r="E1346" s="431" t="s">
        <v>161</v>
      </c>
      <c r="F1346" s="431" t="s">
        <v>874</v>
      </c>
      <c r="G1346" s="431" t="s">
        <v>175</v>
      </c>
      <c r="H1346" s="431"/>
      <c r="I1346" s="431"/>
      <c r="J1346" s="431"/>
      <c r="K1346" s="431"/>
      <c r="L1346" s="431" t="s">
        <v>176</v>
      </c>
      <c r="M1346" s="431" t="s">
        <v>920</v>
      </c>
    </row>
    <row r="1347" spans="1:13" x14ac:dyDescent="0.2">
      <c r="A1347" s="431" t="s">
        <v>919</v>
      </c>
      <c r="B1347" s="431">
        <v>1690084</v>
      </c>
      <c r="C1347" s="431" t="s">
        <v>159</v>
      </c>
      <c r="D1347" s="431" t="s">
        <v>160</v>
      </c>
      <c r="E1347" s="431" t="s">
        <v>161</v>
      </c>
      <c r="F1347" s="431" t="s">
        <v>517</v>
      </c>
      <c r="G1347" s="431" t="s">
        <v>175</v>
      </c>
      <c r="H1347" s="431"/>
      <c r="I1347" s="431"/>
      <c r="J1347" s="431"/>
      <c r="K1347" s="431"/>
      <c r="L1347" s="431" t="s">
        <v>176</v>
      </c>
      <c r="M1347" s="431" t="s">
        <v>920</v>
      </c>
    </row>
    <row r="1348" spans="1:13" x14ac:dyDescent="0.2">
      <c r="A1348" s="431" t="s">
        <v>919</v>
      </c>
      <c r="B1348" s="431">
        <v>1690084</v>
      </c>
      <c r="C1348" s="431" t="s">
        <v>159</v>
      </c>
      <c r="D1348" s="431" t="s">
        <v>160</v>
      </c>
      <c r="E1348" s="431" t="s">
        <v>161</v>
      </c>
      <c r="F1348" s="431" t="s">
        <v>517</v>
      </c>
      <c r="G1348" s="431" t="s">
        <v>175</v>
      </c>
      <c r="H1348" s="431"/>
      <c r="I1348" s="431"/>
      <c r="J1348" s="431"/>
      <c r="K1348" s="431"/>
      <c r="L1348" s="431" t="s">
        <v>176</v>
      </c>
      <c r="M1348" s="431" t="s">
        <v>920</v>
      </c>
    </row>
    <row r="1349" spans="1:13" ht="409.5" x14ac:dyDescent="0.2">
      <c r="A1349" s="431" t="s">
        <v>921</v>
      </c>
      <c r="B1349" s="431">
        <v>1690056</v>
      </c>
      <c r="C1349" s="431" t="s">
        <v>159</v>
      </c>
      <c r="D1349" s="431" t="s">
        <v>160</v>
      </c>
      <c r="E1349" s="431" t="s">
        <v>161</v>
      </c>
      <c r="F1349" s="431" t="s">
        <v>922</v>
      </c>
      <c r="G1349" s="431" t="s">
        <v>175</v>
      </c>
      <c r="H1349" s="431"/>
      <c r="I1349" s="431"/>
      <c r="J1349" s="431"/>
      <c r="K1349" s="431"/>
      <c r="L1349" s="431" t="s">
        <v>923</v>
      </c>
      <c r="M1349" s="432" t="s">
        <v>924</v>
      </c>
    </row>
    <row r="1350" spans="1:13" ht="409.5" x14ac:dyDescent="0.2">
      <c r="A1350" s="431" t="s">
        <v>921</v>
      </c>
      <c r="B1350" s="431">
        <v>1690056</v>
      </c>
      <c r="C1350" s="431" t="s">
        <v>159</v>
      </c>
      <c r="D1350" s="431" t="s">
        <v>160</v>
      </c>
      <c r="E1350" s="431" t="s">
        <v>161</v>
      </c>
      <c r="F1350" s="431" t="s">
        <v>925</v>
      </c>
      <c r="G1350" s="431" t="s">
        <v>175</v>
      </c>
      <c r="H1350" s="431"/>
      <c r="I1350" s="431"/>
      <c r="J1350" s="431"/>
      <c r="K1350" s="431"/>
      <c r="L1350" s="431" t="s">
        <v>923</v>
      </c>
      <c r="M1350" s="432" t="s">
        <v>924</v>
      </c>
    </row>
    <row r="1351" spans="1:13" ht="409.5" x14ac:dyDescent="0.2">
      <c r="A1351" s="431" t="s">
        <v>921</v>
      </c>
      <c r="B1351" s="431">
        <v>1690056</v>
      </c>
      <c r="C1351" s="431" t="s">
        <v>159</v>
      </c>
      <c r="D1351" s="431" t="s">
        <v>160</v>
      </c>
      <c r="E1351" s="431" t="s">
        <v>161</v>
      </c>
      <c r="F1351" s="431" t="s">
        <v>925</v>
      </c>
      <c r="G1351" s="431" t="s">
        <v>175</v>
      </c>
      <c r="H1351" s="431"/>
      <c r="I1351" s="431"/>
      <c r="J1351" s="431"/>
      <c r="K1351" s="431"/>
      <c r="L1351" s="431" t="s">
        <v>923</v>
      </c>
      <c r="M1351" s="432" t="s">
        <v>924</v>
      </c>
    </row>
    <row r="1352" spans="1:13" ht="409.5" x14ac:dyDescent="0.2">
      <c r="A1352" s="431" t="s">
        <v>921</v>
      </c>
      <c r="B1352" s="431">
        <v>1690056</v>
      </c>
      <c r="C1352" s="431" t="s">
        <v>159</v>
      </c>
      <c r="D1352" s="431" t="s">
        <v>160</v>
      </c>
      <c r="E1352" s="431" t="s">
        <v>161</v>
      </c>
      <c r="F1352" s="431" t="s">
        <v>926</v>
      </c>
      <c r="G1352" s="431" t="s">
        <v>175</v>
      </c>
      <c r="H1352" s="431"/>
      <c r="I1352" s="431"/>
      <c r="J1352" s="431"/>
      <c r="K1352" s="431"/>
      <c r="L1352" s="431" t="s">
        <v>923</v>
      </c>
      <c r="M1352" s="432" t="s">
        <v>924</v>
      </c>
    </row>
    <row r="1353" spans="1:13" ht="409.5" x14ac:dyDescent="0.2">
      <c r="A1353" s="431" t="s">
        <v>927</v>
      </c>
      <c r="B1353" s="431">
        <v>1690112</v>
      </c>
      <c r="C1353" s="431" t="s">
        <v>159</v>
      </c>
      <c r="D1353" s="431" t="s">
        <v>160</v>
      </c>
      <c r="E1353" s="431" t="s">
        <v>161</v>
      </c>
      <c r="F1353" s="431" t="s">
        <v>928</v>
      </c>
      <c r="G1353" s="431" t="s">
        <v>175</v>
      </c>
      <c r="H1353" s="431"/>
      <c r="I1353" s="431"/>
      <c r="J1353" s="431"/>
      <c r="K1353" s="431"/>
      <c r="L1353" s="431" t="s">
        <v>311</v>
      </c>
      <c r="M1353" s="432" t="s">
        <v>929</v>
      </c>
    </row>
    <row r="1354" spans="1:13" ht="409.5" x14ac:dyDescent="0.2">
      <c r="A1354" s="431" t="s">
        <v>927</v>
      </c>
      <c r="B1354" s="431">
        <v>1690112</v>
      </c>
      <c r="C1354" s="431" t="s">
        <v>159</v>
      </c>
      <c r="D1354" s="431" t="s">
        <v>160</v>
      </c>
      <c r="E1354" s="431" t="s">
        <v>161</v>
      </c>
      <c r="F1354" s="431" t="s">
        <v>928</v>
      </c>
      <c r="G1354" s="431" t="s">
        <v>175</v>
      </c>
      <c r="H1354" s="431"/>
      <c r="I1354" s="431"/>
      <c r="J1354" s="431"/>
      <c r="K1354" s="431"/>
      <c r="L1354" s="431" t="s">
        <v>311</v>
      </c>
      <c r="M1354" s="432" t="s">
        <v>929</v>
      </c>
    </row>
    <row r="1355" spans="1:13" ht="409.5" x14ac:dyDescent="0.2">
      <c r="A1355" s="431" t="s">
        <v>927</v>
      </c>
      <c r="B1355" s="431">
        <v>1690112</v>
      </c>
      <c r="C1355" s="431" t="s">
        <v>159</v>
      </c>
      <c r="D1355" s="431" t="s">
        <v>160</v>
      </c>
      <c r="E1355" s="431" t="s">
        <v>161</v>
      </c>
      <c r="F1355" s="431" t="s">
        <v>928</v>
      </c>
      <c r="G1355" s="431" t="s">
        <v>175</v>
      </c>
      <c r="H1355" s="431"/>
      <c r="I1355" s="431"/>
      <c r="J1355" s="431"/>
      <c r="K1355" s="431"/>
      <c r="L1355" s="431" t="s">
        <v>311</v>
      </c>
      <c r="M1355" s="432" t="s">
        <v>929</v>
      </c>
    </row>
    <row r="1356" spans="1:13" ht="409.5" x14ac:dyDescent="0.2">
      <c r="A1356" s="431" t="s">
        <v>927</v>
      </c>
      <c r="B1356" s="431">
        <v>1690112</v>
      </c>
      <c r="C1356" s="431" t="s">
        <v>159</v>
      </c>
      <c r="D1356" s="431" t="s">
        <v>160</v>
      </c>
      <c r="E1356" s="431" t="s">
        <v>161</v>
      </c>
      <c r="F1356" s="431" t="s">
        <v>930</v>
      </c>
      <c r="G1356" s="431" t="s">
        <v>175</v>
      </c>
      <c r="H1356" s="431"/>
      <c r="I1356" s="431"/>
      <c r="J1356" s="431"/>
      <c r="K1356" s="431"/>
      <c r="L1356" s="431" t="s">
        <v>311</v>
      </c>
      <c r="M1356" s="432" t="s">
        <v>929</v>
      </c>
    </row>
    <row r="1357" spans="1:13" ht="409.5" x14ac:dyDescent="0.2">
      <c r="A1357" s="431" t="s">
        <v>927</v>
      </c>
      <c r="B1357" s="431">
        <v>1690112</v>
      </c>
      <c r="C1357" s="431" t="s">
        <v>159</v>
      </c>
      <c r="D1357" s="431" t="s">
        <v>160</v>
      </c>
      <c r="E1357" s="431" t="s">
        <v>161</v>
      </c>
      <c r="F1357" s="431" t="s">
        <v>930</v>
      </c>
      <c r="G1357" s="431" t="s">
        <v>175</v>
      </c>
      <c r="H1357" s="431"/>
      <c r="I1357" s="431"/>
      <c r="J1357" s="431"/>
      <c r="K1357" s="431"/>
      <c r="L1357" s="431" t="s">
        <v>311</v>
      </c>
      <c r="M1357" s="432" t="s">
        <v>929</v>
      </c>
    </row>
    <row r="1358" spans="1:13" ht="409.5" x14ac:dyDescent="0.2">
      <c r="A1358" s="431" t="s">
        <v>927</v>
      </c>
      <c r="B1358" s="431">
        <v>1690112</v>
      </c>
      <c r="C1358" s="431" t="s">
        <v>159</v>
      </c>
      <c r="D1358" s="431" t="s">
        <v>160</v>
      </c>
      <c r="E1358" s="431" t="s">
        <v>161</v>
      </c>
      <c r="F1358" s="431" t="s">
        <v>930</v>
      </c>
      <c r="G1358" s="431" t="s">
        <v>175</v>
      </c>
      <c r="H1358" s="431"/>
      <c r="I1358" s="431"/>
      <c r="J1358" s="431"/>
      <c r="K1358" s="431"/>
      <c r="L1358" s="431" t="s">
        <v>311</v>
      </c>
      <c r="M1358" s="432" t="s">
        <v>929</v>
      </c>
    </row>
    <row r="1359" spans="1:13" ht="409.5" x14ac:dyDescent="0.2">
      <c r="A1359" s="431" t="s">
        <v>931</v>
      </c>
      <c r="B1359" s="431">
        <v>1690205</v>
      </c>
      <c r="C1359" s="431" t="s">
        <v>159</v>
      </c>
      <c r="D1359" s="431" t="s">
        <v>160</v>
      </c>
      <c r="E1359" s="431" t="s">
        <v>161</v>
      </c>
      <c r="F1359" s="431" t="s">
        <v>932</v>
      </c>
      <c r="G1359" s="431" t="s">
        <v>175</v>
      </c>
      <c r="H1359" s="431"/>
      <c r="I1359" s="431"/>
      <c r="J1359" s="431"/>
      <c r="K1359" s="431"/>
      <c r="L1359" s="431" t="s">
        <v>311</v>
      </c>
      <c r="M1359" s="432" t="s">
        <v>933</v>
      </c>
    </row>
    <row r="1360" spans="1:13" ht="409.5" x14ac:dyDescent="0.2">
      <c r="A1360" s="431" t="s">
        <v>931</v>
      </c>
      <c r="B1360" s="431">
        <v>1690205</v>
      </c>
      <c r="C1360" s="431" t="s">
        <v>159</v>
      </c>
      <c r="D1360" s="431" t="s">
        <v>160</v>
      </c>
      <c r="E1360" s="431" t="s">
        <v>161</v>
      </c>
      <c r="F1360" s="431" t="s">
        <v>934</v>
      </c>
      <c r="G1360" s="431" t="s">
        <v>175</v>
      </c>
      <c r="H1360" s="431"/>
      <c r="I1360" s="431"/>
      <c r="J1360" s="431"/>
      <c r="K1360" s="431"/>
      <c r="L1360" s="431" t="s">
        <v>311</v>
      </c>
      <c r="M1360" s="432" t="s">
        <v>933</v>
      </c>
    </row>
    <row r="1361" spans="1:13" ht="409.5" x14ac:dyDescent="0.2">
      <c r="A1361" s="431" t="s">
        <v>931</v>
      </c>
      <c r="B1361" s="431">
        <v>1690205</v>
      </c>
      <c r="C1361" s="431" t="s">
        <v>159</v>
      </c>
      <c r="D1361" s="431" t="s">
        <v>160</v>
      </c>
      <c r="E1361" s="431" t="s">
        <v>161</v>
      </c>
      <c r="F1361" s="431" t="s">
        <v>935</v>
      </c>
      <c r="G1361" s="431" t="s">
        <v>175</v>
      </c>
      <c r="H1361" s="431"/>
      <c r="I1361" s="431"/>
      <c r="J1361" s="431"/>
      <c r="K1361" s="431"/>
      <c r="L1361" s="431" t="s">
        <v>311</v>
      </c>
      <c r="M1361" s="432" t="s">
        <v>933</v>
      </c>
    </row>
    <row r="1362" spans="1:13" ht="409.5" x14ac:dyDescent="0.2">
      <c r="A1362" s="431" t="s">
        <v>936</v>
      </c>
      <c r="B1362" s="431">
        <v>1690128</v>
      </c>
      <c r="C1362" s="431" t="s">
        <v>159</v>
      </c>
      <c r="D1362" s="431" t="s">
        <v>160</v>
      </c>
      <c r="E1362" s="431" t="s">
        <v>161</v>
      </c>
      <c r="F1362" s="431" t="s">
        <v>937</v>
      </c>
      <c r="G1362" s="431" t="s">
        <v>175</v>
      </c>
      <c r="H1362" s="431"/>
      <c r="I1362" s="431"/>
      <c r="J1362" s="431"/>
      <c r="K1362" s="431"/>
      <c r="L1362" s="431" t="s">
        <v>163</v>
      </c>
      <c r="M1362" s="432" t="s">
        <v>938</v>
      </c>
    </row>
    <row r="1363" spans="1:13" ht="409.5" x14ac:dyDescent="0.2">
      <c r="A1363" s="431" t="s">
        <v>936</v>
      </c>
      <c r="B1363" s="431">
        <v>1690128</v>
      </c>
      <c r="C1363" s="431" t="s">
        <v>159</v>
      </c>
      <c r="D1363" s="431" t="s">
        <v>160</v>
      </c>
      <c r="E1363" s="431" t="s">
        <v>161</v>
      </c>
      <c r="F1363" s="431" t="s">
        <v>939</v>
      </c>
      <c r="G1363" s="431" t="s">
        <v>175</v>
      </c>
      <c r="H1363" s="431"/>
      <c r="I1363" s="431"/>
      <c r="J1363" s="431"/>
      <c r="K1363" s="431"/>
      <c r="L1363" s="431" t="s">
        <v>163</v>
      </c>
      <c r="M1363" s="432" t="s">
        <v>938</v>
      </c>
    </row>
    <row r="1364" spans="1:13" ht="409.5" x14ac:dyDescent="0.2">
      <c r="A1364" s="431" t="s">
        <v>936</v>
      </c>
      <c r="B1364" s="431">
        <v>1690128</v>
      </c>
      <c r="C1364" s="431" t="s">
        <v>159</v>
      </c>
      <c r="D1364" s="431" t="s">
        <v>160</v>
      </c>
      <c r="E1364" s="431" t="s">
        <v>161</v>
      </c>
      <c r="F1364" s="431" t="s">
        <v>939</v>
      </c>
      <c r="G1364" s="431" t="s">
        <v>175</v>
      </c>
      <c r="H1364" s="431"/>
      <c r="I1364" s="431"/>
      <c r="J1364" s="431"/>
      <c r="K1364" s="431"/>
      <c r="L1364" s="431" t="s">
        <v>163</v>
      </c>
      <c r="M1364" s="432" t="s">
        <v>938</v>
      </c>
    </row>
    <row r="1365" spans="1:13" ht="409.5" x14ac:dyDescent="0.2">
      <c r="A1365" s="431" t="s">
        <v>936</v>
      </c>
      <c r="B1365" s="431">
        <v>1690128</v>
      </c>
      <c r="C1365" s="431" t="s">
        <v>159</v>
      </c>
      <c r="D1365" s="431" t="s">
        <v>160</v>
      </c>
      <c r="E1365" s="431" t="s">
        <v>161</v>
      </c>
      <c r="F1365" s="431" t="s">
        <v>354</v>
      </c>
      <c r="G1365" s="431" t="s">
        <v>175</v>
      </c>
      <c r="H1365" s="431"/>
      <c r="I1365" s="431"/>
      <c r="J1365" s="431"/>
      <c r="K1365" s="431"/>
      <c r="L1365" s="431" t="s">
        <v>163</v>
      </c>
      <c r="M1365" s="432" t="s">
        <v>938</v>
      </c>
    </row>
    <row r="1366" spans="1:13" ht="409.5" x14ac:dyDescent="0.2">
      <c r="A1366" s="431" t="s">
        <v>936</v>
      </c>
      <c r="B1366" s="431">
        <v>1690128</v>
      </c>
      <c r="C1366" s="431" t="s">
        <v>159</v>
      </c>
      <c r="D1366" s="431" t="s">
        <v>160</v>
      </c>
      <c r="E1366" s="431" t="s">
        <v>161</v>
      </c>
      <c r="F1366" s="431" t="s">
        <v>354</v>
      </c>
      <c r="G1366" s="431" t="s">
        <v>175</v>
      </c>
      <c r="H1366" s="431"/>
      <c r="I1366" s="431"/>
      <c r="J1366" s="431"/>
      <c r="K1366" s="431"/>
      <c r="L1366" s="431" t="s">
        <v>163</v>
      </c>
      <c r="M1366" s="432" t="s">
        <v>938</v>
      </c>
    </row>
    <row r="1367" spans="1:13" ht="409.5" x14ac:dyDescent="0.2">
      <c r="A1367" s="431" t="s">
        <v>936</v>
      </c>
      <c r="B1367" s="431">
        <v>1690128</v>
      </c>
      <c r="C1367" s="431" t="s">
        <v>159</v>
      </c>
      <c r="D1367" s="431" t="s">
        <v>160</v>
      </c>
      <c r="E1367" s="431" t="s">
        <v>161</v>
      </c>
      <c r="F1367" s="431" t="s">
        <v>940</v>
      </c>
      <c r="G1367" s="431" t="s">
        <v>175</v>
      </c>
      <c r="H1367" s="431"/>
      <c r="I1367" s="431"/>
      <c r="J1367" s="431"/>
      <c r="K1367" s="431"/>
      <c r="L1367" s="431" t="s">
        <v>163</v>
      </c>
      <c r="M1367" s="432" t="s">
        <v>938</v>
      </c>
    </row>
    <row r="1368" spans="1:13" ht="409.5" x14ac:dyDescent="0.2">
      <c r="A1368" s="431" t="s">
        <v>936</v>
      </c>
      <c r="B1368" s="431">
        <v>1690128</v>
      </c>
      <c r="C1368" s="431" t="s">
        <v>159</v>
      </c>
      <c r="D1368" s="431" t="s">
        <v>160</v>
      </c>
      <c r="E1368" s="431" t="s">
        <v>161</v>
      </c>
      <c r="F1368" s="431" t="s">
        <v>940</v>
      </c>
      <c r="G1368" s="431" t="s">
        <v>175</v>
      </c>
      <c r="H1368" s="431"/>
      <c r="I1368" s="431"/>
      <c r="J1368" s="431"/>
      <c r="K1368" s="431"/>
      <c r="L1368" s="431" t="s">
        <v>163</v>
      </c>
      <c r="M1368" s="432" t="s">
        <v>938</v>
      </c>
    </row>
    <row r="1369" spans="1:13" ht="409.5" x14ac:dyDescent="0.2">
      <c r="A1369" s="431" t="s">
        <v>941</v>
      </c>
      <c r="B1369" s="431">
        <v>1690187</v>
      </c>
      <c r="C1369" s="431" t="s">
        <v>159</v>
      </c>
      <c r="D1369" s="431" t="s">
        <v>160</v>
      </c>
      <c r="E1369" s="431" t="s">
        <v>161</v>
      </c>
      <c r="F1369" s="431" t="s">
        <v>942</v>
      </c>
      <c r="G1369" s="431" t="s">
        <v>175</v>
      </c>
      <c r="H1369" s="431"/>
      <c r="I1369" s="431"/>
      <c r="J1369" s="431"/>
      <c r="K1369" s="431"/>
      <c r="L1369" s="431" t="s">
        <v>241</v>
      </c>
      <c r="M1369" s="432" t="s">
        <v>943</v>
      </c>
    </row>
    <row r="1370" spans="1:13" ht="409.5" x14ac:dyDescent="0.2">
      <c r="A1370" s="431" t="s">
        <v>941</v>
      </c>
      <c r="B1370" s="431">
        <v>1690187</v>
      </c>
      <c r="C1370" s="431" t="s">
        <v>159</v>
      </c>
      <c r="D1370" s="431" t="s">
        <v>160</v>
      </c>
      <c r="E1370" s="431" t="s">
        <v>161</v>
      </c>
      <c r="F1370" s="431" t="s">
        <v>844</v>
      </c>
      <c r="G1370" s="431" t="s">
        <v>175</v>
      </c>
      <c r="H1370" s="431"/>
      <c r="I1370" s="431"/>
      <c r="J1370" s="431"/>
      <c r="K1370" s="431"/>
      <c r="L1370" s="431" t="s">
        <v>241</v>
      </c>
      <c r="M1370" s="432" t="s">
        <v>943</v>
      </c>
    </row>
    <row r="1371" spans="1:13" x14ac:dyDescent="0.2">
      <c r="A1371" s="431" t="s">
        <v>944</v>
      </c>
      <c r="B1371" s="431">
        <v>1690069</v>
      </c>
      <c r="C1371" s="431" t="s">
        <v>159</v>
      </c>
      <c r="D1371" s="431" t="s">
        <v>160</v>
      </c>
      <c r="E1371" s="431" t="s">
        <v>161</v>
      </c>
      <c r="F1371" s="431" t="s">
        <v>354</v>
      </c>
      <c r="G1371" s="431" t="s">
        <v>175</v>
      </c>
      <c r="H1371" s="431"/>
      <c r="I1371" s="431"/>
      <c r="J1371" s="431"/>
      <c r="K1371" s="431"/>
      <c r="L1371" s="431" t="s">
        <v>163</v>
      </c>
      <c r="M1371" s="431" t="s">
        <v>945</v>
      </c>
    </row>
    <row r="1372" spans="1:13" x14ac:dyDescent="0.2">
      <c r="A1372" s="431" t="s">
        <v>944</v>
      </c>
      <c r="B1372" s="431">
        <v>1690069</v>
      </c>
      <c r="C1372" s="431" t="s">
        <v>159</v>
      </c>
      <c r="D1372" s="431" t="s">
        <v>160</v>
      </c>
      <c r="E1372" s="431" t="s">
        <v>161</v>
      </c>
      <c r="F1372" s="431" t="s">
        <v>354</v>
      </c>
      <c r="G1372" s="431" t="s">
        <v>175</v>
      </c>
      <c r="H1372" s="431"/>
      <c r="I1372" s="431"/>
      <c r="J1372" s="431"/>
      <c r="K1372" s="431"/>
      <c r="L1372" s="431" t="s">
        <v>163</v>
      </c>
      <c r="M1372" s="431" t="s">
        <v>945</v>
      </c>
    </row>
    <row r="1373" spans="1:13" x14ac:dyDescent="0.2">
      <c r="A1373" s="431" t="s">
        <v>944</v>
      </c>
      <c r="B1373" s="431">
        <v>1690069</v>
      </c>
      <c r="C1373" s="431" t="s">
        <v>159</v>
      </c>
      <c r="D1373" s="431" t="s">
        <v>160</v>
      </c>
      <c r="E1373" s="431" t="s">
        <v>161</v>
      </c>
      <c r="F1373" s="431" t="s">
        <v>940</v>
      </c>
      <c r="G1373" s="431" t="s">
        <v>175</v>
      </c>
      <c r="H1373" s="431"/>
      <c r="I1373" s="431"/>
      <c r="J1373" s="431"/>
      <c r="K1373" s="431"/>
      <c r="L1373" s="431" t="s">
        <v>163</v>
      </c>
      <c r="M1373" s="431" t="s">
        <v>945</v>
      </c>
    </row>
    <row r="1374" spans="1:13" x14ac:dyDescent="0.2">
      <c r="A1374" s="431" t="s">
        <v>944</v>
      </c>
      <c r="B1374" s="431">
        <v>1690069</v>
      </c>
      <c r="C1374" s="431" t="s">
        <v>159</v>
      </c>
      <c r="D1374" s="431" t="s">
        <v>160</v>
      </c>
      <c r="E1374" s="431" t="s">
        <v>161</v>
      </c>
      <c r="F1374" s="431" t="s">
        <v>940</v>
      </c>
      <c r="G1374" s="431" t="s">
        <v>175</v>
      </c>
      <c r="H1374" s="431"/>
      <c r="I1374" s="431"/>
      <c r="J1374" s="431"/>
      <c r="K1374" s="431"/>
      <c r="L1374" s="431" t="s">
        <v>163</v>
      </c>
      <c r="M1374" s="431" t="s">
        <v>945</v>
      </c>
    </row>
    <row r="1375" spans="1:13" ht="409.5" x14ac:dyDescent="0.2">
      <c r="A1375" s="431" t="s">
        <v>946</v>
      </c>
      <c r="B1375" s="431">
        <v>1690149</v>
      </c>
      <c r="C1375" s="431" t="s">
        <v>159</v>
      </c>
      <c r="D1375" s="431" t="s">
        <v>160</v>
      </c>
      <c r="E1375" s="431" t="s">
        <v>161</v>
      </c>
      <c r="F1375" s="431" t="s">
        <v>947</v>
      </c>
      <c r="G1375" s="431" t="s">
        <v>175</v>
      </c>
      <c r="H1375" s="431"/>
      <c r="I1375" s="431"/>
      <c r="J1375" s="431"/>
      <c r="K1375" s="431"/>
      <c r="L1375" s="431" t="s">
        <v>192</v>
      </c>
      <c r="M1375" s="432" t="s">
        <v>948</v>
      </c>
    </row>
    <row r="1376" spans="1:13" ht="409.5" x14ac:dyDescent="0.2">
      <c r="A1376" s="431" t="s">
        <v>946</v>
      </c>
      <c r="B1376" s="431">
        <v>1690149</v>
      </c>
      <c r="C1376" s="431" t="s">
        <v>159</v>
      </c>
      <c r="D1376" s="431" t="s">
        <v>160</v>
      </c>
      <c r="E1376" s="431" t="s">
        <v>161</v>
      </c>
      <c r="F1376" s="431" t="s">
        <v>949</v>
      </c>
      <c r="G1376" s="431" t="s">
        <v>175</v>
      </c>
      <c r="H1376" s="431"/>
      <c r="I1376" s="431"/>
      <c r="J1376" s="431"/>
      <c r="K1376" s="431"/>
      <c r="L1376" s="431" t="s">
        <v>192</v>
      </c>
      <c r="M1376" s="432" t="s">
        <v>948</v>
      </c>
    </row>
    <row r="1377" spans="1:13" ht="409.5" x14ac:dyDescent="0.2">
      <c r="A1377" s="431" t="s">
        <v>946</v>
      </c>
      <c r="B1377" s="431">
        <v>1690149</v>
      </c>
      <c r="C1377" s="431" t="s">
        <v>159</v>
      </c>
      <c r="D1377" s="431" t="s">
        <v>160</v>
      </c>
      <c r="E1377" s="431" t="s">
        <v>161</v>
      </c>
      <c r="F1377" s="431" t="s">
        <v>950</v>
      </c>
      <c r="G1377" s="431" t="s">
        <v>175</v>
      </c>
      <c r="H1377" s="431"/>
      <c r="I1377" s="431"/>
      <c r="J1377" s="431"/>
      <c r="K1377" s="431"/>
      <c r="L1377" s="431" t="s">
        <v>192</v>
      </c>
      <c r="M1377" s="432" t="s">
        <v>948</v>
      </c>
    </row>
    <row r="1378" spans="1:13" ht="409.5" x14ac:dyDescent="0.2">
      <c r="A1378" s="431" t="s">
        <v>946</v>
      </c>
      <c r="B1378" s="431">
        <v>1690149</v>
      </c>
      <c r="C1378" s="431" t="s">
        <v>159</v>
      </c>
      <c r="D1378" s="431" t="s">
        <v>160</v>
      </c>
      <c r="E1378" s="431" t="s">
        <v>161</v>
      </c>
      <c r="F1378" s="431" t="s">
        <v>951</v>
      </c>
      <c r="G1378" s="431" t="s">
        <v>175</v>
      </c>
      <c r="H1378" s="431"/>
      <c r="I1378" s="431"/>
      <c r="J1378" s="431"/>
      <c r="K1378" s="431"/>
      <c r="L1378" s="431" t="s">
        <v>192</v>
      </c>
      <c r="M1378" s="432" t="s">
        <v>948</v>
      </c>
    </row>
    <row r="1379" spans="1:13" ht="409.5" x14ac:dyDescent="0.2">
      <c r="A1379" s="431" t="s">
        <v>946</v>
      </c>
      <c r="B1379" s="431">
        <v>1690149</v>
      </c>
      <c r="C1379" s="431" t="s">
        <v>159</v>
      </c>
      <c r="D1379" s="431" t="s">
        <v>160</v>
      </c>
      <c r="E1379" s="431" t="s">
        <v>161</v>
      </c>
      <c r="F1379" s="431" t="s">
        <v>951</v>
      </c>
      <c r="G1379" s="431" t="s">
        <v>175</v>
      </c>
      <c r="H1379" s="431"/>
      <c r="I1379" s="431"/>
      <c r="J1379" s="431"/>
      <c r="K1379" s="431"/>
      <c r="L1379" s="431" t="s">
        <v>192</v>
      </c>
      <c r="M1379" s="432" t="s">
        <v>948</v>
      </c>
    </row>
    <row r="1380" spans="1:13" ht="409.5" x14ac:dyDescent="0.2">
      <c r="A1380" s="431" t="s">
        <v>946</v>
      </c>
      <c r="B1380" s="431">
        <v>1690149</v>
      </c>
      <c r="C1380" s="431" t="s">
        <v>159</v>
      </c>
      <c r="D1380" s="431" t="s">
        <v>160</v>
      </c>
      <c r="E1380" s="431" t="s">
        <v>161</v>
      </c>
      <c r="F1380" s="431" t="s">
        <v>951</v>
      </c>
      <c r="G1380" s="431" t="s">
        <v>175</v>
      </c>
      <c r="H1380" s="431"/>
      <c r="I1380" s="431"/>
      <c r="J1380" s="431"/>
      <c r="K1380" s="431"/>
      <c r="L1380" s="431" t="s">
        <v>192</v>
      </c>
      <c r="M1380" s="432" t="s">
        <v>948</v>
      </c>
    </row>
    <row r="1381" spans="1:13" ht="409.5" x14ac:dyDescent="0.2">
      <c r="A1381" s="431" t="s">
        <v>946</v>
      </c>
      <c r="B1381" s="431">
        <v>1690149</v>
      </c>
      <c r="C1381" s="431" t="s">
        <v>159</v>
      </c>
      <c r="D1381" s="431" t="s">
        <v>160</v>
      </c>
      <c r="E1381" s="431" t="s">
        <v>161</v>
      </c>
      <c r="F1381" s="431" t="s">
        <v>951</v>
      </c>
      <c r="G1381" s="431" t="s">
        <v>175</v>
      </c>
      <c r="H1381" s="431"/>
      <c r="I1381" s="431"/>
      <c r="J1381" s="431"/>
      <c r="K1381" s="431"/>
      <c r="L1381" s="431" t="s">
        <v>192</v>
      </c>
      <c r="M1381" s="432" t="s">
        <v>948</v>
      </c>
    </row>
    <row r="1382" spans="1:13" ht="409.5" x14ac:dyDescent="0.2">
      <c r="A1382" s="431" t="s">
        <v>946</v>
      </c>
      <c r="B1382" s="431">
        <v>1690149</v>
      </c>
      <c r="C1382" s="431" t="s">
        <v>159</v>
      </c>
      <c r="D1382" s="431" t="s">
        <v>160</v>
      </c>
      <c r="E1382" s="431" t="s">
        <v>161</v>
      </c>
      <c r="F1382" s="431" t="s">
        <v>951</v>
      </c>
      <c r="G1382" s="431" t="s">
        <v>175</v>
      </c>
      <c r="H1382" s="431"/>
      <c r="I1382" s="431"/>
      <c r="J1382" s="431"/>
      <c r="K1382" s="431"/>
      <c r="L1382" s="431" t="s">
        <v>192</v>
      </c>
      <c r="M1382" s="432" t="s">
        <v>948</v>
      </c>
    </row>
    <row r="1383" spans="1:13" ht="409.5" x14ac:dyDescent="0.2">
      <c r="A1383" s="431" t="s">
        <v>946</v>
      </c>
      <c r="B1383" s="431">
        <v>1690149</v>
      </c>
      <c r="C1383" s="431" t="s">
        <v>159</v>
      </c>
      <c r="D1383" s="431" t="s">
        <v>160</v>
      </c>
      <c r="E1383" s="431" t="s">
        <v>161</v>
      </c>
      <c r="F1383" s="431" t="s">
        <v>951</v>
      </c>
      <c r="G1383" s="431" t="s">
        <v>175</v>
      </c>
      <c r="H1383" s="431"/>
      <c r="I1383" s="431"/>
      <c r="J1383" s="431"/>
      <c r="K1383" s="431"/>
      <c r="L1383" s="431" t="s">
        <v>192</v>
      </c>
      <c r="M1383" s="432" t="s">
        <v>948</v>
      </c>
    </row>
    <row r="1384" spans="1:13" ht="409.5" x14ac:dyDescent="0.2">
      <c r="A1384" s="431" t="s">
        <v>946</v>
      </c>
      <c r="B1384" s="431">
        <v>1690149</v>
      </c>
      <c r="C1384" s="431" t="s">
        <v>159</v>
      </c>
      <c r="D1384" s="431" t="s">
        <v>160</v>
      </c>
      <c r="E1384" s="431" t="s">
        <v>161</v>
      </c>
      <c r="F1384" s="431" t="s">
        <v>951</v>
      </c>
      <c r="G1384" s="431" t="s">
        <v>175</v>
      </c>
      <c r="H1384" s="431"/>
      <c r="I1384" s="431"/>
      <c r="J1384" s="431"/>
      <c r="K1384" s="431"/>
      <c r="L1384" s="431" t="s">
        <v>192</v>
      </c>
      <c r="M1384" s="432" t="s">
        <v>948</v>
      </c>
    </row>
    <row r="1385" spans="1:13" ht="409.5" x14ac:dyDescent="0.2">
      <c r="A1385" s="431" t="s">
        <v>946</v>
      </c>
      <c r="B1385" s="431">
        <v>1690149</v>
      </c>
      <c r="C1385" s="431" t="s">
        <v>159</v>
      </c>
      <c r="D1385" s="431" t="s">
        <v>160</v>
      </c>
      <c r="E1385" s="431" t="s">
        <v>161</v>
      </c>
      <c r="F1385" s="431" t="s">
        <v>951</v>
      </c>
      <c r="G1385" s="431" t="s">
        <v>175</v>
      </c>
      <c r="H1385" s="431"/>
      <c r="I1385" s="431"/>
      <c r="J1385" s="431"/>
      <c r="K1385" s="431"/>
      <c r="L1385" s="431" t="s">
        <v>192</v>
      </c>
      <c r="M1385" s="432" t="s">
        <v>948</v>
      </c>
    </row>
    <row r="1386" spans="1:13" ht="409.5" x14ac:dyDescent="0.2">
      <c r="A1386" s="431" t="s">
        <v>946</v>
      </c>
      <c r="B1386" s="431">
        <v>1690149</v>
      </c>
      <c r="C1386" s="431" t="s">
        <v>159</v>
      </c>
      <c r="D1386" s="431" t="s">
        <v>160</v>
      </c>
      <c r="E1386" s="431" t="s">
        <v>161</v>
      </c>
      <c r="F1386" s="431" t="s">
        <v>951</v>
      </c>
      <c r="G1386" s="431" t="s">
        <v>175</v>
      </c>
      <c r="H1386" s="431"/>
      <c r="I1386" s="431"/>
      <c r="J1386" s="431"/>
      <c r="K1386" s="431"/>
      <c r="L1386" s="431" t="s">
        <v>192</v>
      </c>
      <c r="M1386" s="432" t="s">
        <v>948</v>
      </c>
    </row>
    <row r="1387" spans="1:13" ht="409.5" x14ac:dyDescent="0.2">
      <c r="A1387" s="431" t="s">
        <v>946</v>
      </c>
      <c r="B1387" s="431">
        <v>1690149</v>
      </c>
      <c r="C1387" s="431" t="s">
        <v>159</v>
      </c>
      <c r="D1387" s="431" t="s">
        <v>160</v>
      </c>
      <c r="E1387" s="431" t="s">
        <v>161</v>
      </c>
      <c r="F1387" s="431" t="s">
        <v>952</v>
      </c>
      <c r="G1387" s="431" t="s">
        <v>175</v>
      </c>
      <c r="H1387" s="431"/>
      <c r="I1387" s="431"/>
      <c r="J1387" s="431"/>
      <c r="K1387" s="431"/>
      <c r="L1387" s="431" t="s">
        <v>192</v>
      </c>
      <c r="M1387" s="432" t="s">
        <v>948</v>
      </c>
    </row>
    <row r="1388" spans="1:13" ht="409.5" x14ac:dyDescent="0.2">
      <c r="A1388" s="431" t="s">
        <v>953</v>
      </c>
      <c r="B1388" s="431">
        <v>1690216</v>
      </c>
      <c r="C1388" s="431" t="s">
        <v>159</v>
      </c>
      <c r="D1388" s="431" t="s">
        <v>160</v>
      </c>
      <c r="E1388" s="431" t="s">
        <v>161</v>
      </c>
      <c r="F1388" s="431" t="s">
        <v>951</v>
      </c>
      <c r="G1388" s="431" t="s">
        <v>175</v>
      </c>
      <c r="H1388" s="431"/>
      <c r="I1388" s="431"/>
      <c r="J1388" s="431"/>
      <c r="K1388" s="431"/>
      <c r="L1388" s="431" t="s">
        <v>954</v>
      </c>
      <c r="M1388" s="432" t="s">
        <v>955</v>
      </c>
    </row>
    <row r="1389" spans="1:13" ht="409.5" x14ac:dyDescent="0.2">
      <c r="A1389" s="431" t="s">
        <v>953</v>
      </c>
      <c r="B1389" s="431">
        <v>1690216</v>
      </c>
      <c r="C1389" s="431" t="s">
        <v>159</v>
      </c>
      <c r="D1389" s="431" t="s">
        <v>160</v>
      </c>
      <c r="E1389" s="431" t="s">
        <v>161</v>
      </c>
      <c r="F1389" s="431" t="s">
        <v>951</v>
      </c>
      <c r="G1389" s="431" t="s">
        <v>175</v>
      </c>
      <c r="H1389" s="431"/>
      <c r="I1389" s="431"/>
      <c r="J1389" s="431"/>
      <c r="K1389" s="431"/>
      <c r="L1389" s="431" t="s">
        <v>954</v>
      </c>
      <c r="M1389" s="432" t="s">
        <v>955</v>
      </c>
    </row>
    <row r="1390" spans="1:13" ht="409.5" x14ac:dyDescent="0.2">
      <c r="A1390" s="431" t="s">
        <v>953</v>
      </c>
      <c r="B1390" s="431">
        <v>1690216</v>
      </c>
      <c r="C1390" s="431" t="s">
        <v>159</v>
      </c>
      <c r="D1390" s="431" t="s">
        <v>160</v>
      </c>
      <c r="E1390" s="431" t="s">
        <v>161</v>
      </c>
      <c r="F1390" s="431" t="s">
        <v>951</v>
      </c>
      <c r="G1390" s="431" t="s">
        <v>175</v>
      </c>
      <c r="H1390" s="431"/>
      <c r="I1390" s="431"/>
      <c r="J1390" s="431"/>
      <c r="K1390" s="431"/>
      <c r="L1390" s="431" t="s">
        <v>954</v>
      </c>
      <c r="M1390" s="432" t="s">
        <v>955</v>
      </c>
    </row>
    <row r="1391" spans="1:13" ht="409.5" x14ac:dyDescent="0.2">
      <c r="A1391" s="431" t="s">
        <v>953</v>
      </c>
      <c r="B1391" s="431">
        <v>1690216</v>
      </c>
      <c r="C1391" s="431" t="s">
        <v>159</v>
      </c>
      <c r="D1391" s="431" t="s">
        <v>160</v>
      </c>
      <c r="E1391" s="431" t="s">
        <v>161</v>
      </c>
      <c r="F1391" s="431" t="s">
        <v>951</v>
      </c>
      <c r="G1391" s="431" t="s">
        <v>175</v>
      </c>
      <c r="H1391" s="431"/>
      <c r="I1391" s="431"/>
      <c r="J1391" s="431"/>
      <c r="K1391" s="431"/>
      <c r="L1391" s="431" t="s">
        <v>954</v>
      </c>
      <c r="M1391" s="432" t="s">
        <v>955</v>
      </c>
    </row>
    <row r="1392" spans="1:13" ht="409.5" x14ac:dyDescent="0.2">
      <c r="A1392" s="431" t="s">
        <v>953</v>
      </c>
      <c r="B1392" s="431">
        <v>1690216</v>
      </c>
      <c r="C1392" s="431" t="s">
        <v>159</v>
      </c>
      <c r="D1392" s="431" t="s">
        <v>160</v>
      </c>
      <c r="E1392" s="431" t="s">
        <v>161</v>
      </c>
      <c r="F1392" s="431" t="s">
        <v>951</v>
      </c>
      <c r="G1392" s="431" t="s">
        <v>175</v>
      </c>
      <c r="H1392" s="431"/>
      <c r="I1392" s="431"/>
      <c r="J1392" s="431"/>
      <c r="K1392" s="431"/>
      <c r="L1392" s="431" t="s">
        <v>954</v>
      </c>
      <c r="M1392" s="432" t="s">
        <v>955</v>
      </c>
    </row>
    <row r="1393" spans="1:13" ht="409.5" x14ac:dyDescent="0.2">
      <c r="A1393" s="431" t="s">
        <v>953</v>
      </c>
      <c r="B1393" s="431">
        <v>1690216</v>
      </c>
      <c r="C1393" s="431" t="s">
        <v>159</v>
      </c>
      <c r="D1393" s="431" t="s">
        <v>160</v>
      </c>
      <c r="E1393" s="431" t="s">
        <v>161</v>
      </c>
      <c r="F1393" s="431" t="s">
        <v>951</v>
      </c>
      <c r="G1393" s="431" t="s">
        <v>175</v>
      </c>
      <c r="H1393" s="431"/>
      <c r="I1393" s="431"/>
      <c r="J1393" s="431"/>
      <c r="K1393" s="431"/>
      <c r="L1393" s="431" t="s">
        <v>954</v>
      </c>
      <c r="M1393" s="432" t="s">
        <v>955</v>
      </c>
    </row>
    <row r="1394" spans="1:13" ht="409.5" x14ac:dyDescent="0.2">
      <c r="A1394" s="431" t="s">
        <v>953</v>
      </c>
      <c r="B1394" s="431">
        <v>1690216</v>
      </c>
      <c r="C1394" s="431" t="s">
        <v>159</v>
      </c>
      <c r="D1394" s="431" t="s">
        <v>160</v>
      </c>
      <c r="E1394" s="431" t="s">
        <v>161</v>
      </c>
      <c r="F1394" s="431" t="s">
        <v>951</v>
      </c>
      <c r="G1394" s="431" t="s">
        <v>175</v>
      </c>
      <c r="H1394" s="431"/>
      <c r="I1394" s="431"/>
      <c r="J1394" s="431"/>
      <c r="K1394" s="431"/>
      <c r="L1394" s="431" t="s">
        <v>954</v>
      </c>
      <c r="M1394" s="432" t="s">
        <v>955</v>
      </c>
    </row>
    <row r="1395" spans="1:13" ht="409.5" x14ac:dyDescent="0.2">
      <c r="A1395" s="431" t="s">
        <v>953</v>
      </c>
      <c r="B1395" s="431">
        <v>1690216</v>
      </c>
      <c r="C1395" s="431" t="s">
        <v>159</v>
      </c>
      <c r="D1395" s="431" t="s">
        <v>160</v>
      </c>
      <c r="E1395" s="431" t="s">
        <v>161</v>
      </c>
      <c r="F1395" s="431" t="s">
        <v>951</v>
      </c>
      <c r="G1395" s="431" t="s">
        <v>175</v>
      </c>
      <c r="H1395" s="431"/>
      <c r="I1395" s="431"/>
      <c r="J1395" s="431"/>
      <c r="K1395" s="431"/>
      <c r="L1395" s="431" t="s">
        <v>954</v>
      </c>
      <c r="M1395" s="432" t="s">
        <v>955</v>
      </c>
    </row>
    <row r="1396" spans="1:13" ht="409.5" x14ac:dyDescent="0.2">
      <c r="A1396" s="431" t="s">
        <v>953</v>
      </c>
      <c r="B1396" s="431">
        <v>1690216</v>
      </c>
      <c r="C1396" s="431" t="s">
        <v>159</v>
      </c>
      <c r="D1396" s="431" t="s">
        <v>160</v>
      </c>
      <c r="E1396" s="431" t="s">
        <v>161</v>
      </c>
      <c r="F1396" s="431" t="s">
        <v>951</v>
      </c>
      <c r="G1396" s="431" t="s">
        <v>175</v>
      </c>
      <c r="H1396" s="431"/>
      <c r="I1396" s="431"/>
      <c r="J1396" s="431"/>
      <c r="K1396" s="431"/>
      <c r="L1396" s="431" t="s">
        <v>954</v>
      </c>
      <c r="M1396" s="432" t="s">
        <v>955</v>
      </c>
    </row>
    <row r="1397" spans="1:13" ht="409.5" x14ac:dyDescent="0.2">
      <c r="A1397" s="431" t="s">
        <v>953</v>
      </c>
      <c r="B1397" s="431">
        <v>1690216</v>
      </c>
      <c r="C1397" s="431" t="s">
        <v>159</v>
      </c>
      <c r="D1397" s="431" t="s">
        <v>160</v>
      </c>
      <c r="E1397" s="431" t="s">
        <v>161</v>
      </c>
      <c r="F1397" s="431" t="s">
        <v>382</v>
      </c>
      <c r="G1397" s="431" t="s">
        <v>175</v>
      </c>
      <c r="H1397" s="431"/>
      <c r="I1397" s="431"/>
      <c r="J1397" s="431"/>
      <c r="K1397" s="431"/>
      <c r="L1397" s="431" t="s">
        <v>954</v>
      </c>
      <c r="M1397" s="432" t="s">
        <v>955</v>
      </c>
    </row>
    <row r="1398" spans="1:13" ht="409.5" x14ac:dyDescent="0.2">
      <c r="A1398" s="431" t="s">
        <v>953</v>
      </c>
      <c r="B1398" s="431">
        <v>1690216</v>
      </c>
      <c r="C1398" s="431" t="s">
        <v>159</v>
      </c>
      <c r="D1398" s="431" t="s">
        <v>160</v>
      </c>
      <c r="E1398" s="431" t="s">
        <v>161</v>
      </c>
      <c r="F1398" s="431" t="s">
        <v>382</v>
      </c>
      <c r="G1398" s="431" t="s">
        <v>175</v>
      </c>
      <c r="H1398" s="431"/>
      <c r="I1398" s="431"/>
      <c r="J1398" s="431"/>
      <c r="K1398" s="431"/>
      <c r="L1398" s="431" t="s">
        <v>954</v>
      </c>
      <c r="M1398" s="432" t="s">
        <v>955</v>
      </c>
    </row>
    <row r="1399" spans="1:13" ht="409.5" x14ac:dyDescent="0.2">
      <c r="A1399" s="431" t="s">
        <v>953</v>
      </c>
      <c r="B1399" s="431">
        <v>1690216</v>
      </c>
      <c r="C1399" s="431" t="s">
        <v>159</v>
      </c>
      <c r="D1399" s="431" t="s">
        <v>160</v>
      </c>
      <c r="E1399" s="431" t="s">
        <v>161</v>
      </c>
      <c r="F1399" s="431" t="s">
        <v>382</v>
      </c>
      <c r="G1399" s="431" t="s">
        <v>175</v>
      </c>
      <c r="H1399" s="431"/>
      <c r="I1399" s="431"/>
      <c r="J1399" s="431"/>
      <c r="K1399" s="431"/>
      <c r="L1399" s="431" t="s">
        <v>954</v>
      </c>
      <c r="M1399" s="432" t="s">
        <v>955</v>
      </c>
    </row>
    <row r="1400" spans="1:13" ht="409.5" x14ac:dyDescent="0.2">
      <c r="A1400" s="431" t="s">
        <v>953</v>
      </c>
      <c r="B1400" s="431">
        <v>1690216</v>
      </c>
      <c r="C1400" s="431" t="s">
        <v>159</v>
      </c>
      <c r="D1400" s="431" t="s">
        <v>160</v>
      </c>
      <c r="E1400" s="431" t="s">
        <v>161</v>
      </c>
      <c r="F1400" s="431" t="s">
        <v>382</v>
      </c>
      <c r="G1400" s="431" t="s">
        <v>175</v>
      </c>
      <c r="H1400" s="431"/>
      <c r="I1400" s="431"/>
      <c r="J1400" s="431"/>
      <c r="K1400" s="431"/>
      <c r="L1400" s="431" t="s">
        <v>954</v>
      </c>
      <c r="M1400" s="432" t="s">
        <v>955</v>
      </c>
    </row>
    <row r="1401" spans="1:13" ht="409.5" x14ac:dyDescent="0.2">
      <c r="A1401" s="431" t="s">
        <v>953</v>
      </c>
      <c r="B1401" s="431">
        <v>1690216</v>
      </c>
      <c r="C1401" s="431" t="s">
        <v>159</v>
      </c>
      <c r="D1401" s="431" t="s">
        <v>160</v>
      </c>
      <c r="E1401" s="431" t="s">
        <v>161</v>
      </c>
      <c r="F1401" s="431" t="s">
        <v>382</v>
      </c>
      <c r="G1401" s="431" t="s">
        <v>175</v>
      </c>
      <c r="H1401" s="431"/>
      <c r="I1401" s="431"/>
      <c r="J1401" s="431"/>
      <c r="K1401" s="431"/>
      <c r="L1401" s="431" t="s">
        <v>954</v>
      </c>
      <c r="M1401" s="432" t="s">
        <v>955</v>
      </c>
    </row>
    <row r="1402" spans="1:13" ht="409.5" x14ac:dyDescent="0.2">
      <c r="A1402" s="431" t="s">
        <v>953</v>
      </c>
      <c r="B1402" s="431">
        <v>1690216</v>
      </c>
      <c r="C1402" s="431" t="s">
        <v>159</v>
      </c>
      <c r="D1402" s="431" t="s">
        <v>160</v>
      </c>
      <c r="E1402" s="431" t="s">
        <v>161</v>
      </c>
      <c r="F1402" s="431" t="s">
        <v>382</v>
      </c>
      <c r="G1402" s="431" t="s">
        <v>175</v>
      </c>
      <c r="H1402" s="431"/>
      <c r="I1402" s="431"/>
      <c r="J1402" s="431"/>
      <c r="K1402" s="431"/>
      <c r="L1402" s="431" t="s">
        <v>954</v>
      </c>
      <c r="M1402" s="432" t="s">
        <v>955</v>
      </c>
    </row>
    <row r="1403" spans="1:13" ht="409.5" x14ac:dyDescent="0.2">
      <c r="A1403" s="431" t="s">
        <v>953</v>
      </c>
      <c r="B1403" s="431">
        <v>1690216</v>
      </c>
      <c r="C1403" s="431" t="s">
        <v>159</v>
      </c>
      <c r="D1403" s="431" t="s">
        <v>160</v>
      </c>
      <c r="E1403" s="431" t="s">
        <v>161</v>
      </c>
      <c r="F1403" s="431" t="s">
        <v>382</v>
      </c>
      <c r="G1403" s="431" t="s">
        <v>175</v>
      </c>
      <c r="H1403" s="431"/>
      <c r="I1403" s="431"/>
      <c r="J1403" s="431"/>
      <c r="K1403" s="431"/>
      <c r="L1403" s="431" t="s">
        <v>954</v>
      </c>
      <c r="M1403" s="432" t="s">
        <v>955</v>
      </c>
    </row>
    <row r="1404" spans="1:13" ht="409.5" x14ac:dyDescent="0.2">
      <c r="A1404" s="431" t="s">
        <v>953</v>
      </c>
      <c r="B1404" s="431">
        <v>1690216</v>
      </c>
      <c r="C1404" s="431" t="s">
        <v>159</v>
      </c>
      <c r="D1404" s="431" t="s">
        <v>160</v>
      </c>
      <c r="E1404" s="431" t="s">
        <v>161</v>
      </c>
      <c r="F1404" s="431" t="s">
        <v>382</v>
      </c>
      <c r="G1404" s="431" t="s">
        <v>175</v>
      </c>
      <c r="H1404" s="431"/>
      <c r="I1404" s="431"/>
      <c r="J1404" s="431"/>
      <c r="K1404" s="431"/>
      <c r="L1404" s="431" t="s">
        <v>954</v>
      </c>
      <c r="M1404" s="432" t="s">
        <v>955</v>
      </c>
    </row>
    <row r="1405" spans="1:13" ht="409.5" x14ac:dyDescent="0.2">
      <c r="A1405" s="431" t="s">
        <v>953</v>
      </c>
      <c r="B1405" s="431">
        <v>1690216</v>
      </c>
      <c r="C1405" s="431" t="s">
        <v>159</v>
      </c>
      <c r="D1405" s="431" t="s">
        <v>160</v>
      </c>
      <c r="E1405" s="431" t="s">
        <v>161</v>
      </c>
      <c r="F1405" s="431" t="s">
        <v>382</v>
      </c>
      <c r="G1405" s="431" t="s">
        <v>175</v>
      </c>
      <c r="H1405" s="431"/>
      <c r="I1405" s="431"/>
      <c r="J1405" s="431"/>
      <c r="K1405" s="431"/>
      <c r="L1405" s="431" t="s">
        <v>954</v>
      </c>
      <c r="M1405" s="432" t="s">
        <v>955</v>
      </c>
    </row>
    <row r="1406" spans="1:13" ht="409.5" x14ac:dyDescent="0.2">
      <c r="A1406" s="431" t="s">
        <v>953</v>
      </c>
      <c r="B1406" s="431">
        <v>1690216</v>
      </c>
      <c r="C1406" s="431" t="s">
        <v>159</v>
      </c>
      <c r="D1406" s="431" t="s">
        <v>160</v>
      </c>
      <c r="E1406" s="431" t="s">
        <v>161</v>
      </c>
      <c r="F1406" s="431" t="s">
        <v>382</v>
      </c>
      <c r="G1406" s="431" t="s">
        <v>175</v>
      </c>
      <c r="H1406" s="431"/>
      <c r="I1406" s="431"/>
      <c r="J1406" s="431"/>
      <c r="K1406" s="431"/>
      <c r="L1406" s="431" t="s">
        <v>954</v>
      </c>
      <c r="M1406" s="432" t="s">
        <v>955</v>
      </c>
    </row>
    <row r="1407" spans="1:13" ht="409.5" x14ac:dyDescent="0.2">
      <c r="A1407" s="431" t="s">
        <v>953</v>
      </c>
      <c r="B1407" s="431">
        <v>1690216</v>
      </c>
      <c r="C1407" s="431" t="s">
        <v>159</v>
      </c>
      <c r="D1407" s="431" t="s">
        <v>160</v>
      </c>
      <c r="E1407" s="431" t="s">
        <v>161</v>
      </c>
      <c r="F1407" s="431" t="s">
        <v>712</v>
      </c>
      <c r="G1407" s="431" t="s">
        <v>175</v>
      </c>
      <c r="H1407" s="431"/>
      <c r="I1407" s="431"/>
      <c r="J1407" s="431"/>
      <c r="K1407" s="431"/>
      <c r="L1407" s="431" t="s">
        <v>954</v>
      </c>
      <c r="M1407" s="432" t="s">
        <v>955</v>
      </c>
    </row>
    <row r="1408" spans="1:13" ht="409.5" x14ac:dyDescent="0.2">
      <c r="A1408" s="431" t="s">
        <v>953</v>
      </c>
      <c r="B1408" s="431">
        <v>1690216</v>
      </c>
      <c r="C1408" s="431" t="s">
        <v>159</v>
      </c>
      <c r="D1408" s="431" t="s">
        <v>160</v>
      </c>
      <c r="E1408" s="431" t="s">
        <v>161</v>
      </c>
      <c r="F1408" s="431" t="s">
        <v>712</v>
      </c>
      <c r="G1408" s="431" t="s">
        <v>175</v>
      </c>
      <c r="H1408" s="431"/>
      <c r="I1408" s="431"/>
      <c r="J1408" s="431"/>
      <c r="K1408" s="431"/>
      <c r="L1408" s="431" t="s">
        <v>954</v>
      </c>
      <c r="M1408" s="432" t="s">
        <v>955</v>
      </c>
    </row>
    <row r="1409" spans="1:13" ht="409.5" x14ac:dyDescent="0.2">
      <c r="A1409" s="431" t="s">
        <v>953</v>
      </c>
      <c r="B1409" s="431">
        <v>1690216</v>
      </c>
      <c r="C1409" s="431" t="s">
        <v>159</v>
      </c>
      <c r="D1409" s="431" t="s">
        <v>160</v>
      </c>
      <c r="E1409" s="431" t="s">
        <v>161</v>
      </c>
      <c r="F1409" s="431" t="s">
        <v>712</v>
      </c>
      <c r="G1409" s="431" t="s">
        <v>175</v>
      </c>
      <c r="H1409" s="431"/>
      <c r="I1409" s="431"/>
      <c r="J1409" s="431"/>
      <c r="K1409" s="431"/>
      <c r="L1409" s="431" t="s">
        <v>954</v>
      </c>
      <c r="M1409" s="432" t="s">
        <v>955</v>
      </c>
    </row>
    <row r="1410" spans="1:13" ht="409.5" x14ac:dyDescent="0.2">
      <c r="A1410" s="431" t="s">
        <v>953</v>
      </c>
      <c r="B1410" s="431">
        <v>1690216</v>
      </c>
      <c r="C1410" s="431" t="s">
        <v>159</v>
      </c>
      <c r="D1410" s="431" t="s">
        <v>160</v>
      </c>
      <c r="E1410" s="431" t="s">
        <v>161</v>
      </c>
      <c r="F1410" s="431" t="s">
        <v>712</v>
      </c>
      <c r="G1410" s="431" t="s">
        <v>175</v>
      </c>
      <c r="H1410" s="431"/>
      <c r="I1410" s="431"/>
      <c r="J1410" s="431"/>
      <c r="K1410" s="431"/>
      <c r="L1410" s="431" t="s">
        <v>954</v>
      </c>
      <c r="M1410" s="432" t="s">
        <v>955</v>
      </c>
    </row>
    <row r="1411" spans="1:13" ht="409.5" x14ac:dyDescent="0.2">
      <c r="A1411" s="431" t="s">
        <v>953</v>
      </c>
      <c r="B1411" s="431">
        <v>1690216</v>
      </c>
      <c r="C1411" s="431" t="s">
        <v>159</v>
      </c>
      <c r="D1411" s="431" t="s">
        <v>160</v>
      </c>
      <c r="E1411" s="431" t="s">
        <v>161</v>
      </c>
      <c r="F1411" s="431" t="s">
        <v>712</v>
      </c>
      <c r="G1411" s="431" t="s">
        <v>175</v>
      </c>
      <c r="H1411" s="431"/>
      <c r="I1411" s="431"/>
      <c r="J1411" s="431"/>
      <c r="K1411" s="431"/>
      <c r="L1411" s="431" t="s">
        <v>954</v>
      </c>
      <c r="M1411" s="432" t="s">
        <v>955</v>
      </c>
    </row>
    <row r="1412" spans="1:13" ht="409.5" x14ac:dyDescent="0.2">
      <c r="A1412" s="431" t="s">
        <v>953</v>
      </c>
      <c r="B1412" s="431">
        <v>1690216</v>
      </c>
      <c r="C1412" s="431" t="s">
        <v>159</v>
      </c>
      <c r="D1412" s="431" t="s">
        <v>160</v>
      </c>
      <c r="E1412" s="431" t="s">
        <v>161</v>
      </c>
      <c r="F1412" s="431" t="s">
        <v>712</v>
      </c>
      <c r="G1412" s="431" t="s">
        <v>175</v>
      </c>
      <c r="H1412" s="431"/>
      <c r="I1412" s="431"/>
      <c r="J1412" s="431"/>
      <c r="K1412" s="431"/>
      <c r="L1412" s="431" t="s">
        <v>954</v>
      </c>
      <c r="M1412" s="432" t="s">
        <v>955</v>
      </c>
    </row>
    <row r="1413" spans="1:13" ht="409.5" x14ac:dyDescent="0.2">
      <c r="A1413" s="431" t="s">
        <v>953</v>
      </c>
      <c r="B1413" s="431">
        <v>1690216</v>
      </c>
      <c r="C1413" s="431" t="s">
        <v>159</v>
      </c>
      <c r="D1413" s="431" t="s">
        <v>160</v>
      </c>
      <c r="E1413" s="431" t="s">
        <v>161</v>
      </c>
      <c r="F1413" s="431" t="s">
        <v>712</v>
      </c>
      <c r="G1413" s="431" t="s">
        <v>175</v>
      </c>
      <c r="H1413" s="431"/>
      <c r="I1413" s="431"/>
      <c r="J1413" s="431"/>
      <c r="K1413" s="431"/>
      <c r="L1413" s="431" t="s">
        <v>954</v>
      </c>
      <c r="M1413" s="432" t="s">
        <v>955</v>
      </c>
    </row>
    <row r="1414" spans="1:13" ht="409.5" x14ac:dyDescent="0.2">
      <c r="A1414" s="431" t="s">
        <v>953</v>
      </c>
      <c r="B1414" s="431">
        <v>1690216</v>
      </c>
      <c r="C1414" s="431" t="s">
        <v>159</v>
      </c>
      <c r="D1414" s="431" t="s">
        <v>160</v>
      </c>
      <c r="E1414" s="431" t="s">
        <v>161</v>
      </c>
      <c r="F1414" s="431" t="s">
        <v>712</v>
      </c>
      <c r="G1414" s="431" t="s">
        <v>175</v>
      </c>
      <c r="H1414" s="431"/>
      <c r="I1414" s="431"/>
      <c r="J1414" s="431"/>
      <c r="K1414" s="431"/>
      <c r="L1414" s="431" t="s">
        <v>954</v>
      </c>
      <c r="M1414" s="432" t="s">
        <v>955</v>
      </c>
    </row>
    <row r="1415" spans="1:13" ht="409.5" x14ac:dyDescent="0.2">
      <c r="A1415" s="431" t="s">
        <v>953</v>
      </c>
      <c r="B1415" s="431">
        <v>1690216</v>
      </c>
      <c r="C1415" s="431" t="s">
        <v>159</v>
      </c>
      <c r="D1415" s="431" t="s">
        <v>160</v>
      </c>
      <c r="E1415" s="431" t="s">
        <v>161</v>
      </c>
      <c r="F1415" s="431" t="s">
        <v>712</v>
      </c>
      <c r="G1415" s="431" t="s">
        <v>175</v>
      </c>
      <c r="H1415" s="431"/>
      <c r="I1415" s="431"/>
      <c r="J1415" s="431"/>
      <c r="K1415" s="431"/>
      <c r="L1415" s="431" t="s">
        <v>954</v>
      </c>
      <c r="M1415" s="432" t="s">
        <v>955</v>
      </c>
    </row>
    <row r="1416" spans="1:13" ht="409.5" x14ac:dyDescent="0.2">
      <c r="A1416" s="431" t="s">
        <v>953</v>
      </c>
      <c r="B1416" s="431">
        <v>1690216</v>
      </c>
      <c r="C1416" s="431" t="s">
        <v>159</v>
      </c>
      <c r="D1416" s="431" t="s">
        <v>160</v>
      </c>
      <c r="E1416" s="431" t="s">
        <v>161</v>
      </c>
      <c r="F1416" s="431" t="s">
        <v>712</v>
      </c>
      <c r="G1416" s="431" t="s">
        <v>175</v>
      </c>
      <c r="H1416" s="431"/>
      <c r="I1416" s="431"/>
      <c r="J1416" s="431"/>
      <c r="K1416" s="431"/>
      <c r="L1416" s="431" t="s">
        <v>954</v>
      </c>
      <c r="M1416" s="432" t="s">
        <v>955</v>
      </c>
    </row>
    <row r="1417" spans="1:13" ht="409.5" x14ac:dyDescent="0.2">
      <c r="A1417" s="431" t="s">
        <v>953</v>
      </c>
      <c r="B1417" s="431">
        <v>1690216</v>
      </c>
      <c r="C1417" s="431" t="s">
        <v>159</v>
      </c>
      <c r="D1417" s="431" t="s">
        <v>160</v>
      </c>
      <c r="E1417" s="431" t="s">
        <v>161</v>
      </c>
      <c r="F1417" s="431" t="s">
        <v>712</v>
      </c>
      <c r="G1417" s="431" t="s">
        <v>175</v>
      </c>
      <c r="H1417" s="431"/>
      <c r="I1417" s="431"/>
      <c r="J1417" s="431"/>
      <c r="K1417" s="431"/>
      <c r="L1417" s="431" t="s">
        <v>954</v>
      </c>
      <c r="M1417" s="432" t="s">
        <v>955</v>
      </c>
    </row>
    <row r="1418" spans="1:13" ht="409.5" x14ac:dyDescent="0.2">
      <c r="A1418" s="431" t="s">
        <v>953</v>
      </c>
      <c r="B1418" s="431">
        <v>1690216</v>
      </c>
      <c r="C1418" s="431" t="s">
        <v>159</v>
      </c>
      <c r="D1418" s="431" t="s">
        <v>160</v>
      </c>
      <c r="E1418" s="431" t="s">
        <v>161</v>
      </c>
      <c r="F1418" s="431" t="s">
        <v>712</v>
      </c>
      <c r="G1418" s="431" t="s">
        <v>175</v>
      </c>
      <c r="H1418" s="431"/>
      <c r="I1418" s="431"/>
      <c r="J1418" s="431"/>
      <c r="K1418" s="431"/>
      <c r="L1418" s="431" t="s">
        <v>954</v>
      </c>
      <c r="M1418" s="432" t="s">
        <v>955</v>
      </c>
    </row>
    <row r="1419" spans="1:13" ht="409.5" x14ac:dyDescent="0.2">
      <c r="A1419" s="431" t="s">
        <v>953</v>
      </c>
      <c r="B1419" s="431">
        <v>1690216</v>
      </c>
      <c r="C1419" s="431" t="s">
        <v>159</v>
      </c>
      <c r="D1419" s="431" t="s">
        <v>160</v>
      </c>
      <c r="E1419" s="431" t="s">
        <v>161</v>
      </c>
      <c r="F1419" s="431" t="s">
        <v>712</v>
      </c>
      <c r="G1419" s="431" t="s">
        <v>175</v>
      </c>
      <c r="H1419" s="431"/>
      <c r="I1419" s="431"/>
      <c r="J1419" s="431"/>
      <c r="K1419" s="431"/>
      <c r="L1419" s="431" t="s">
        <v>954</v>
      </c>
      <c r="M1419" s="432" t="s">
        <v>955</v>
      </c>
    </row>
    <row r="1420" spans="1:13" ht="409.5" x14ac:dyDescent="0.2">
      <c r="A1420" s="431" t="s">
        <v>953</v>
      </c>
      <c r="B1420" s="431">
        <v>1690216</v>
      </c>
      <c r="C1420" s="431" t="s">
        <v>159</v>
      </c>
      <c r="D1420" s="431" t="s">
        <v>160</v>
      </c>
      <c r="E1420" s="431" t="s">
        <v>161</v>
      </c>
      <c r="F1420" s="431" t="s">
        <v>712</v>
      </c>
      <c r="G1420" s="431" t="s">
        <v>175</v>
      </c>
      <c r="H1420" s="431"/>
      <c r="I1420" s="431"/>
      <c r="J1420" s="431"/>
      <c r="K1420" s="431"/>
      <c r="L1420" s="431" t="s">
        <v>954</v>
      </c>
      <c r="M1420" s="432" t="s">
        <v>955</v>
      </c>
    </row>
    <row r="1421" spans="1:13" ht="409.5" x14ac:dyDescent="0.2">
      <c r="A1421" s="431" t="s">
        <v>953</v>
      </c>
      <c r="B1421" s="431">
        <v>1690216</v>
      </c>
      <c r="C1421" s="431" t="s">
        <v>159</v>
      </c>
      <c r="D1421" s="431" t="s">
        <v>160</v>
      </c>
      <c r="E1421" s="431" t="s">
        <v>161</v>
      </c>
      <c r="F1421" s="431" t="s">
        <v>712</v>
      </c>
      <c r="G1421" s="431" t="s">
        <v>175</v>
      </c>
      <c r="H1421" s="431"/>
      <c r="I1421" s="431"/>
      <c r="J1421" s="431"/>
      <c r="K1421" s="431"/>
      <c r="L1421" s="431" t="s">
        <v>954</v>
      </c>
      <c r="M1421" s="432" t="s">
        <v>955</v>
      </c>
    </row>
    <row r="1422" spans="1:13" ht="409.5" x14ac:dyDescent="0.2">
      <c r="A1422" s="431" t="s">
        <v>953</v>
      </c>
      <c r="B1422" s="431">
        <v>1690216</v>
      </c>
      <c r="C1422" s="431" t="s">
        <v>159</v>
      </c>
      <c r="D1422" s="431" t="s">
        <v>160</v>
      </c>
      <c r="E1422" s="431" t="s">
        <v>161</v>
      </c>
      <c r="F1422" s="431" t="s">
        <v>712</v>
      </c>
      <c r="G1422" s="431" t="s">
        <v>175</v>
      </c>
      <c r="H1422" s="431"/>
      <c r="I1422" s="431"/>
      <c r="J1422" s="431"/>
      <c r="K1422" s="431"/>
      <c r="L1422" s="431" t="s">
        <v>954</v>
      </c>
      <c r="M1422" s="432" t="s">
        <v>955</v>
      </c>
    </row>
    <row r="1423" spans="1:13" x14ac:dyDescent="0.2">
      <c r="A1423" s="431" t="s">
        <v>956</v>
      </c>
      <c r="B1423" s="431">
        <v>1821323</v>
      </c>
      <c r="C1423" s="431" t="s">
        <v>159</v>
      </c>
      <c r="D1423" s="431" t="s">
        <v>160</v>
      </c>
      <c r="E1423" s="431" t="s">
        <v>161</v>
      </c>
      <c r="F1423" s="431"/>
      <c r="G1423" s="431" t="s">
        <v>162</v>
      </c>
      <c r="H1423" s="431"/>
      <c r="I1423" s="431"/>
      <c r="J1423" s="431"/>
      <c r="K1423" s="431"/>
      <c r="L1423" s="431" t="s">
        <v>241</v>
      </c>
      <c r="M1423" s="431" t="s">
        <v>957</v>
      </c>
    </row>
    <row r="1424" spans="1:13" x14ac:dyDescent="0.2">
      <c r="A1424" s="431" t="s">
        <v>958</v>
      </c>
      <c r="B1424" s="431">
        <v>1821324</v>
      </c>
      <c r="C1424" s="431" t="s">
        <v>159</v>
      </c>
      <c r="D1424" s="431" t="s">
        <v>160</v>
      </c>
      <c r="E1424" s="431" t="s">
        <v>161</v>
      </c>
      <c r="F1424" s="431"/>
      <c r="G1424" s="431" t="s">
        <v>162</v>
      </c>
      <c r="H1424" s="431"/>
      <c r="I1424" s="431"/>
      <c r="J1424" s="431"/>
      <c r="K1424" s="431"/>
      <c r="L1424" s="431" t="s">
        <v>241</v>
      </c>
      <c r="M1424" s="431" t="s">
        <v>959</v>
      </c>
    </row>
    <row r="1425" spans="1:13" ht="409.5" x14ac:dyDescent="0.2">
      <c r="A1425" s="431" t="s">
        <v>960</v>
      </c>
      <c r="B1425" s="431">
        <v>1821325</v>
      </c>
      <c r="C1425" s="431" t="s">
        <v>159</v>
      </c>
      <c r="D1425" s="431" t="s">
        <v>160</v>
      </c>
      <c r="E1425" s="431" t="s">
        <v>161</v>
      </c>
      <c r="F1425" s="431"/>
      <c r="G1425" s="431" t="s">
        <v>162</v>
      </c>
      <c r="H1425" s="431"/>
      <c r="I1425" s="431"/>
      <c r="J1425" s="431"/>
      <c r="K1425" s="431"/>
      <c r="L1425" s="431" t="s">
        <v>241</v>
      </c>
      <c r="M1425" s="432" t="s">
        <v>961</v>
      </c>
    </row>
    <row r="1426" spans="1:13" ht="114.75" x14ac:dyDescent="0.2">
      <c r="A1426" s="431" t="s">
        <v>962</v>
      </c>
      <c r="B1426" s="431">
        <v>1821328</v>
      </c>
      <c r="C1426" s="431" t="s">
        <v>159</v>
      </c>
      <c r="D1426" s="431" t="s">
        <v>160</v>
      </c>
      <c r="E1426" s="431" t="s">
        <v>161</v>
      </c>
      <c r="F1426" s="431"/>
      <c r="G1426" s="431" t="s">
        <v>162</v>
      </c>
      <c r="H1426" s="431"/>
      <c r="I1426" s="431"/>
      <c r="J1426" s="431"/>
      <c r="K1426" s="431"/>
      <c r="L1426" s="431" t="s">
        <v>241</v>
      </c>
      <c r="M1426" s="432" t="s">
        <v>963</v>
      </c>
    </row>
    <row r="1427" spans="1:13" ht="216.75" x14ac:dyDescent="0.2">
      <c r="A1427" s="431" t="s">
        <v>964</v>
      </c>
      <c r="B1427" s="431">
        <v>1821329</v>
      </c>
      <c r="C1427" s="431" t="s">
        <v>159</v>
      </c>
      <c r="D1427" s="431" t="s">
        <v>160</v>
      </c>
      <c r="E1427" s="431" t="s">
        <v>161</v>
      </c>
      <c r="F1427" s="431"/>
      <c r="G1427" s="431" t="s">
        <v>162</v>
      </c>
      <c r="H1427" s="431"/>
      <c r="I1427" s="431"/>
      <c r="J1427" s="431"/>
      <c r="K1427" s="431"/>
      <c r="L1427" s="431" t="s">
        <v>241</v>
      </c>
      <c r="M1427" s="432" t="s">
        <v>965</v>
      </c>
    </row>
    <row r="1428" spans="1:13" ht="216.75" x14ac:dyDescent="0.2">
      <c r="A1428" s="431" t="s">
        <v>966</v>
      </c>
      <c r="B1428" s="431">
        <v>1821330</v>
      </c>
      <c r="C1428" s="431" t="s">
        <v>159</v>
      </c>
      <c r="D1428" s="431" t="s">
        <v>160</v>
      </c>
      <c r="E1428" s="431" t="s">
        <v>161</v>
      </c>
      <c r="F1428" s="431"/>
      <c r="G1428" s="431" t="s">
        <v>162</v>
      </c>
      <c r="H1428" s="431"/>
      <c r="I1428" s="431"/>
      <c r="J1428" s="431"/>
      <c r="K1428" s="431"/>
      <c r="L1428" s="431" t="s">
        <v>241</v>
      </c>
      <c r="M1428" s="432" t="s">
        <v>967</v>
      </c>
    </row>
    <row r="1429" spans="1:13" ht="280.5" x14ac:dyDescent="0.2">
      <c r="A1429" s="431" t="s">
        <v>968</v>
      </c>
      <c r="B1429" s="431">
        <v>1821331</v>
      </c>
      <c r="C1429" s="431" t="s">
        <v>159</v>
      </c>
      <c r="D1429" s="431" t="s">
        <v>160</v>
      </c>
      <c r="E1429" s="431" t="s">
        <v>161</v>
      </c>
      <c r="F1429" s="431"/>
      <c r="G1429" s="431" t="s">
        <v>162</v>
      </c>
      <c r="H1429" s="431"/>
      <c r="I1429" s="431"/>
      <c r="J1429" s="431"/>
      <c r="K1429" s="431"/>
      <c r="L1429" s="431" t="s">
        <v>241</v>
      </c>
      <c r="M1429" s="432" t="s">
        <v>969</v>
      </c>
    </row>
    <row r="1430" spans="1:13" ht="280.5" x14ac:dyDescent="0.2">
      <c r="A1430" s="431" t="s">
        <v>970</v>
      </c>
      <c r="B1430" s="431">
        <v>1821332</v>
      </c>
      <c r="C1430" s="431" t="s">
        <v>159</v>
      </c>
      <c r="D1430" s="431" t="s">
        <v>160</v>
      </c>
      <c r="E1430" s="431" t="s">
        <v>161</v>
      </c>
      <c r="F1430" s="431"/>
      <c r="G1430" s="431" t="s">
        <v>162</v>
      </c>
      <c r="H1430" s="431"/>
      <c r="I1430" s="431"/>
      <c r="J1430" s="431"/>
      <c r="K1430" s="431"/>
      <c r="L1430" s="431" t="s">
        <v>241</v>
      </c>
      <c r="M1430" s="432" t="s">
        <v>971</v>
      </c>
    </row>
  </sheetData>
  <autoFilter ref="A2:N2" xr:uid="{00000000-0009-0000-0000-000006000000}"/>
  <pageMargins left="0.75" right="0.75" top="1" bottom="1" header="0.4921259845" footer="0.4921259845"/>
  <pageSetup paperSize="9" orientation="portrait" r:id="rId1"/>
  <headerFooter alignWithMargins="0">
    <oddFooter>&amp;LE905722 rev xxx ver xxx&amp;R&amp;P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F9801-C223-478C-9A56-9A19B48E5AF0}">
  <sheetPr codeName="Feuil10"/>
  <dimension ref="A1:N2"/>
  <sheetViews>
    <sheetView showGridLines="0" zoomScale="85" zoomScaleNormal="85" workbookViewId="0">
      <pane ySplit="2" topLeftCell="A3" activePane="bottomLeft" state="frozen"/>
      <selection pane="bottomLeft" activeCell="M2" sqref="M2"/>
    </sheetView>
  </sheetViews>
  <sheetFormatPr defaultColWidth="11.42578125" defaultRowHeight="12.75" x14ac:dyDescent="0.2"/>
  <cols>
    <col min="1" max="1" width="11.42578125" style="177"/>
    <col min="2" max="2" width="0" style="167" hidden="1" customWidth="1"/>
    <col min="3" max="9" width="11.42578125" style="167"/>
    <col min="10" max="10" width="22.7109375" style="167" customWidth="1"/>
    <col min="11" max="11" width="11.42578125" style="181"/>
    <col min="12" max="16384" width="11.42578125" style="167"/>
  </cols>
  <sheetData>
    <row r="1" spans="1:14" ht="115.5" x14ac:dyDescent="0.2">
      <c r="A1" s="430" t="s">
        <v>155</v>
      </c>
      <c r="B1" s="430" t="s">
        <v>40</v>
      </c>
      <c r="C1" s="430" t="s">
        <v>141</v>
      </c>
      <c r="D1" s="430" t="s">
        <v>41</v>
      </c>
      <c r="E1" s="430" t="s">
        <v>42</v>
      </c>
      <c r="F1" s="430" t="s">
        <v>109</v>
      </c>
      <c r="G1" s="430" t="s">
        <v>43</v>
      </c>
      <c r="H1" s="430" t="s">
        <v>156</v>
      </c>
      <c r="I1" s="430" t="s">
        <v>45</v>
      </c>
      <c r="J1" s="430" t="s">
        <v>46</v>
      </c>
      <c r="K1" s="430" t="s">
        <v>47</v>
      </c>
      <c r="L1" s="430" t="s">
        <v>140</v>
      </c>
      <c r="M1" s="430" t="s">
        <v>157</v>
      </c>
      <c r="N1" s="190"/>
    </row>
    <row r="2" spans="1:14" x14ac:dyDescent="0.2">
      <c r="A2" s="431"/>
      <c r="B2" s="431"/>
      <c r="C2" s="431"/>
      <c r="D2" s="431"/>
      <c r="E2" s="431" t="s">
        <v>161</v>
      </c>
      <c r="F2" s="431"/>
      <c r="G2" s="431"/>
      <c r="H2" s="431"/>
      <c r="I2" s="431"/>
      <c r="J2" s="431"/>
      <c r="K2" s="431"/>
      <c r="L2" s="431"/>
      <c r="M2" s="431"/>
      <c r="N2" s="178"/>
    </row>
  </sheetData>
  <autoFilter ref="A2:N2" xr:uid="{00000000-0009-0000-0000-000006000000}"/>
  <pageMargins left="0.75" right="0.75" top="1" bottom="1" header="0.4921259845" footer="0.4921259845"/>
  <pageSetup paperSize="9" orientation="portrait" r:id="rId1"/>
  <headerFooter alignWithMargins="0">
    <oddFooter>&amp;LE905722 rev xxx ver xxx&amp;R&amp;P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1EA0A-13BD-4E68-96F6-B095D8314713}">
  <sheetPr codeName="Feuil11"/>
  <dimension ref="A1:N2"/>
  <sheetViews>
    <sheetView showGridLines="0" zoomScale="85" zoomScaleNormal="85" workbookViewId="0">
      <pane ySplit="2" topLeftCell="A3" activePane="bottomLeft" state="frozen"/>
      <selection pane="bottomLeft" activeCell="M2" sqref="M2"/>
    </sheetView>
  </sheetViews>
  <sheetFormatPr defaultColWidth="11.42578125" defaultRowHeight="12.75" x14ac:dyDescent="0.2"/>
  <cols>
    <col min="1" max="1" width="11.42578125" style="177"/>
    <col min="2" max="2" width="0" style="167" hidden="1" customWidth="1"/>
    <col min="3" max="9" width="11.42578125" style="167"/>
    <col min="10" max="10" width="22.7109375" style="167" customWidth="1"/>
    <col min="11" max="11" width="11.42578125" style="181"/>
    <col min="12" max="16384" width="11.42578125" style="167"/>
  </cols>
  <sheetData>
    <row r="1" spans="1:14" ht="115.5" x14ac:dyDescent="0.2">
      <c r="A1" s="430" t="s">
        <v>155</v>
      </c>
      <c r="B1" s="430" t="s">
        <v>40</v>
      </c>
      <c r="C1" s="430" t="s">
        <v>141</v>
      </c>
      <c r="D1" s="430" t="s">
        <v>41</v>
      </c>
      <c r="E1" s="430" t="s">
        <v>42</v>
      </c>
      <c r="F1" s="430" t="s">
        <v>109</v>
      </c>
      <c r="G1" s="430" t="s">
        <v>43</v>
      </c>
      <c r="H1" s="430" t="s">
        <v>156</v>
      </c>
      <c r="I1" s="430" t="s">
        <v>45</v>
      </c>
      <c r="J1" s="430" t="s">
        <v>46</v>
      </c>
      <c r="K1" s="430" t="s">
        <v>47</v>
      </c>
      <c r="L1" s="430" t="s">
        <v>140</v>
      </c>
      <c r="M1" s="430" t="s">
        <v>157</v>
      </c>
      <c r="N1" s="190"/>
    </row>
    <row r="2" spans="1:14" x14ac:dyDescent="0.2">
      <c r="A2" s="431"/>
      <c r="B2" s="431"/>
      <c r="C2" s="431"/>
      <c r="D2" s="431"/>
      <c r="E2" s="431" t="s">
        <v>161</v>
      </c>
      <c r="F2" s="431"/>
      <c r="G2" s="431"/>
      <c r="H2" s="431"/>
      <c r="I2" s="431"/>
      <c r="J2" s="431"/>
      <c r="K2" s="431"/>
      <c r="L2" s="431"/>
      <c r="M2" s="431"/>
      <c r="N2" s="178"/>
    </row>
  </sheetData>
  <autoFilter ref="A2:N2" xr:uid="{00000000-0009-0000-0000-000006000000}"/>
  <pageMargins left="0.75" right="0.75" top="1" bottom="1" header="0.4921259845" footer="0.4921259845"/>
  <pageSetup paperSize="9" orientation="portrait" r:id="rId1"/>
  <headerFooter alignWithMargins="0">
    <oddFooter>&amp;LE905722 rev xxx ver xxx&amp;R&amp;P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92505-83F5-4E54-B30C-07AA4602B61E}">
  <sheetPr codeName="Feuil12"/>
  <dimension ref="A1:N340"/>
  <sheetViews>
    <sheetView showGridLines="0" zoomScale="85" zoomScaleNormal="85" workbookViewId="0">
      <pane ySplit="2" topLeftCell="A3" activePane="bottomLeft" state="frozen"/>
      <selection pane="bottomLeft" activeCell="M340" sqref="M340"/>
    </sheetView>
  </sheetViews>
  <sheetFormatPr defaultColWidth="11.42578125" defaultRowHeight="12.75" x14ac:dyDescent="0.2"/>
  <cols>
    <col min="1" max="1" width="11.42578125" style="177"/>
    <col min="2" max="2" width="0" style="167" hidden="1" customWidth="1"/>
    <col min="3" max="9" width="11.42578125" style="167"/>
    <col min="10" max="10" width="22.7109375" style="167" customWidth="1"/>
    <col min="11" max="11" width="11.42578125" style="181"/>
    <col min="12" max="16384" width="11.42578125" style="167"/>
  </cols>
  <sheetData>
    <row r="1" spans="1:14" ht="115.5" x14ac:dyDescent="0.2">
      <c r="A1" s="430" t="s">
        <v>155</v>
      </c>
      <c r="B1" s="430" t="s">
        <v>40</v>
      </c>
      <c r="C1" s="430" t="s">
        <v>141</v>
      </c>
      <c r="D1" s="430" t="s">
        <v>41</v>
      </c>
      <c r="E1" s="430" t="s">
        <v>42</v>
      </c>
      <c r="F1" s="430" t="s">
        <v>109</v>
      </c>
      <c r="G1" s="430" t="s">
        <v>43</v>
      </c>
      <c r="H1" s="430" t="s">
        <v>156</v>
      </c>
      <c r="I1" s="430" t="s">
        <v>45</v>
      </c>
      <c r="J1" s="430" t="s">
        <v>46</v>
      </c>
      <c r="K1" s="430" t="s">
        <v>47</v>
      </c>
      <c r="L1" s="430" t="s">
        <v>140</v>
      </c>
      <c r="M1" s="430" t="s">
        <v>157</v>
      </c>
      <c r="N1" s="190"/>
    </row>
    <row r="2" spans="1:14" x14ac:dyDescent="0.2">
      <c r="A2" s="431" t="s">
        <v>972</v>
      </c>
      <c r="B2" s="431">
        <v>1820924</v>
      </c>
      <c r="C2" s="431" t="s">
        <v>159</v>
      </c>
      <c r="D2" s="431" t="s">
        <v>160</v>
      </c>
      <c r="E2" s="431" t="s">
        <v>161</v>
      </c>
      <c r="F2" s="431" t="s">
        <v>973</v>
      </c>
      <c r="G2" s="431" t="s">
        <v>175</v>
      </c>
      <c r="H2" s="431"/>
      <c r="I2" s="431"/>
      <c r="J2" s="431"/>
      <c r="K2" s="431"/>
      <c r="L2" s="431" t="s">
        <v>307</v>
      </c>
      <c r="M2" s="431" t="s">
        <v>974</v>
      </c>
      <c r="N2" s="178"/>
    </row>
    <row r="3" spans="1:14" x14ac:dyDescent="0.2">
      <c r="A3" s="431" t="s">
        <v>972</v>
      </c>
      <c r="B3" s="431">
        <v>1820924</v>
      </c>
      <c r="C3" s="431" t="s">
        <v>159</v>
      </c>
      <c r="D3" s="431" t="s">
        <v>160</v>
      </c>
      <c r="E3" s="431" t="s">
        <v>161</v>
      </c>
      <c r="F3" s="431" t="s">
        <v>973</v>
      </c>
      <c r="G3" s="431" t="s">
        <v>175</v>
      </c>
      <c r="H3" s="431"/>
      <c r="I3" s="431"/>
      <c r="J3" s="431"/>
      <c r="K3" s="431"/>
      <c r="L3" s="431" t="s">
        <v>307</v>
      </c>
      <c r="M3" s="431" t="s">
        <v>974</v>
      </c>
    </row>
    <row r="4" spans="1:14" x14ac:dyDescent="0.2">
      <c r="A4" s="431" t="s">
        <v>972</v>
      </c>
      <c r="B4" s="431">
        <v>1820924</v>
      </c>
      <c r="C4" s="431" t="s">
        <v>159</v>
      </c>
      <c r="D4" s="431" t="s">
        <v>160</v>
      </c>
      <c r="E4" s="431" t="s">
        <v>161</v>
      </c>
      <c r="F4" s="431" t="s">
        <v>973</v>
      </c>
      <c r="G4" s="431" t="s">
        <v>175</v>
      </c>
      <c r="H4" s="431"/>
      <c r="I4" s="431"/>
      <c r="J4" s="431"/>
      <c r="K4" s="431"/>
      <c r="L4" s="431" t="s">
        <v>307</v>
      </c>
      <c r="M4" s="431" t="s">
        <v>974</v>
      </c>
    </row>
    <row r="5" spans="1:14" x14ac:dyDescent="0.2">
      <c r="A5" s="431" t="s">
        <v>975</v>
      </c>
      <c r="B5" s="431">
        <v>1820978</v>
      </c>
      <c r="C5" s="431" t="s">
        <v>159</v>
      </c>
      <c r="D5" s="431" t="s">
        <v>976</v>
      </c>
      <c r="E5" s="431" t="s">
        <v>161</v>
      </c>
      <c r="F5" s="431" t="s">
        <v>928</v>
      </c>
      <c r="G5" s="431" t="s">
        <v>175</v>
      </c>
      <c r="H5" s="431"/>
      <c r="I5" s="431"/>
      <c r="J5" s="431"/>
      <c r="K5" s="431"/>
      <c r="L5" s="431" t="s">
        <v>163</v>
      </c>
      <c r="M5" s="431" t="s">
        <v>977</v>
      </c>
    </row>
    <row r="6" spans="1:14" x14ac:dyDescent="0.2">
      <c r="A6" s="431" t="s">
        <v>975</v>
      </c>
      <c r="B6" s="431">
        <v>1820978</v>
      </c>
      <c r="C6" s="431" t="s">
        <v>159</v>
      </c>
      <c r="D6" s="431" t="s">
        <v>976</v>
      </c>
      <c r="E6" s="431" t="s">
        <v>161</v>
      </c>
      <c r="F6" s="431" t="s">
        <v>928</v>
      </c>
      <c r="G6" s="431" t="s">
        <v>175</v>
      </c>
      <c r="H6" s="431"/>
      <c r="I6" s="431"/>
      <c r="J6" s="431"/>
      <c r="K6" s="431"/>
      <c r="L6" s="431" t="s">
        <v>163</v>
      </c>
      <c r="M6" s="431" t="s">
        <v>977</v>
      </c>
    </row>
    <row r="7" spans="1:14" x14ac:dyDescent="0.2">
      <c r="A7" s="431" t="s">
        <v>975</v>
      </c>
      <c r="B7" s="431">
        <v>1820978</v>
      </c>
      <c r="C7" s="431" t="s">
        <v>159</v>
      </c>
      <c r="D7" s="431" t="s">
        <v>976</v>
      </c>
      <c r="E7" s="431" t="s">
        <v>161</v>
      </c>
      <c r="F7" s="431" t="s">
        <v>928</v>
      </c>
      <c r="G7" s="431" t="s">
        <v>175</v>
      </c>
      <c r="H7" s="431"/>
      <c r="I7" s="431"/>
      <c r="J7" s="431"/>
      <c r="K7" s="431"/>
      <c r="L7" s="431" t="s">
        <v>163</v>
      </c>
      <c r="M7" s="431" t="s">
        <v>977</v>
      </c>
    </row>
    <row r="8" spans="1:14" x14ac:dyDescent="0.2">
      <c r="A8" s="431" t="s">
        <v>978</v>
      </c>
      <c r="B8" s="431">
        <v>1820925</v>
      </c>
      <c r="C8" s="431" t="s">
        <v>159</v>
      </c>
      <c r="D8" s="431" t="s">
        <v>160</v>
      </c>
      <c r="E8" s="431" t="s">
        <v>161</v>
      </c>
      <c r="F8" s="431" t="s">
        <v>979</v>
      </c>
      <c r="G8" s="431" t="s">
        <v>175</v>
      </c>
      <c r="H8" s="431"/>
      <c r="I8" s="431"/>
      <c r="J8" s="431"/>
      <c r="K8" s="431"/>
      <c r="L8" s="431" t="s">
        <v>307</v>
      </c>
      <c r="M8" s="431" t="s">
        <v>980</v>
      </c>
    </row>
    <row r="9" spans="1:14" x14ac:dyDescent="0.2">
      <c r="A9" s="431" t="s">
        <v>978</v>
      </c>
      <c r="B9" s="431">
        <v>1820925</v>
      </c>
      <c r="C9" s="431" t="s">
        <v>159</v>
      </c>
      <c r="D9" s="431" t="s">
        <v>160</v>
      </c>
      <c r="E9" s="431" t="s">
        <v>161</v>
      </c>
      <c r="F9" s="431" t="s">
        <v>979</v>
      </c>
      <c r="G9" s="431" t="s">
        <v>175</v>
      </c>
      <c r="H9" s="431"/>
      <c r="I9" s="431"/>
      <c r="J9" s="431"/>
      <c r="K9" s="431"/>
      <c r="L9" s="431" t="s">
        <v>307</v>
      </c>
      <c r="M9" s="431" t="s">
        <v>980</v>
      </c>
    </row>
    <row r="10" spans="1:14" x14ac:dyDescent="0.2">
      <c r="A10" s="431" t="s">
        <v>978</v>
      </c>
      <c r="B10" s="431">
        <v>1820925</v>
      </c>
      <c r="C10" s="431" t="s">
        <v>159</v>
      </c>
      <c r="D10" s="431" t="s">
        <v>160</v>
      </c>
      <c r="E10" s="431" t="s">
        <v>161</v>
      </c>
      <c r="F10" s="431" t="s">
        <v>979</v>
      </c>
      <c r="G10" s="431" t="s">
        <v>175</v>
      </c>
      <c r="H10" s="431"/>
      <c r="I10" s="431"/>
      <c r="J10" s="431"/>
      <c r="K10" s="431"/>
      <c r="L10" s="431" t="s">
        <v>307</v>
      </c>
      <c r="M10" s="431" t="s">
        <v>980</v>
      </c>
    </row>
    <row r="11" spans="1:14" ht="409.5" x14ac:dyDescent="0.2">
      <c r="A11" s="431" t="s">
        <v>981</v>
      </c>
      <c r="B11" s="431">
        <v>1820926</v>
      </c>
      <c r="C11" s="431" t="s">
        <v>159</v>
      </c>
      <c r="D11" s="431" t="s">
        <v>160</v>
      </c>
      <c r="E11" s="431" t="s">
        <v>161</v>
      </c>
      <c r="F11" s="431" t="s">
        <v>930</v>
      </c>
      <c r="G11" s="431" t="s">
        <v>175</v>
      </c>
      <c r="H11" s="431"/>
      <c r="I11" s="431"/>
      <c r="J11" s="431"/>
      <c r="K11" s="431"/>
      <c r="L11" s="431" t="s">
        <v>163</v>
      </c>
      <c r="M11" s="432" t="s">
        <v>982</v>
      </c>
    </row>
    <row r="12" spans="1:14" ht="409.5" x14ac:dyDescent="0.2">
      <c r="A12" s="431" t="s">
        <v>981</v>
      </c>
      <c r="B12" s="431">
        <v>1820926</v>
      </c>
      <c r="C12" s="431" t="s">
        <v>159</v>
      </c>
      <c r="D12" s="431" t="s">
        <v>160</v>
      </c>
      <c r="E12" s="431" t="s">
        <v>161</v>
      </c>
      <c r="F12" s="431" t="s">
        <v>930</v>
      </c>
      <c r="G12" s="431" t="s">
        <v>175</v>
      </c>
      <c r="H12" s="431"/>
      <c r="I12" s="431"/>
      <c r="J12" s="431"/>
      <c r="K12" s="431"/>
      <c r="L12" s="431" t="s">
        <v>163</v>
      </c>
      <c r="M12" s="432" t="s">
        <v>982</v>
      </c>
    </row>
    <row r="13" spans="1:14" ht="409.5" x14ac:dyDescent="0.2">
      <c r="A13" s="431" t="s">
        <v>981</v>
      </c>
      <c r="B13" s="431">
        <v>1820926</v>
      </c>
      <c r="C13" s="431" t="s">
        <v>159</v>
      </c>
      <c r="D13" s="431" t="s">
        <v>160</v>
      </c>
      <c r="E13" s="431" t="s">
        <v>161</v>
      </c>
      <c r="F13" s="431" t="s">
        <v>930</v>
      </c>
      <c r="G13" s="431" t="s">
        <v>175</v>
      </c>
      <c r="H13" s="431"/>
      <c r="I13" s="431"/>
      <c r="J13" s="431"/>
      <c r="K13" s="431"/>
      <c r="L13" s="431" t="s">
        <v>163</v>
      </c>
      <c r="M13" s="432" t="s">
        <v>982</v>
      </c>
    </row>
    <row r="14" spans="1:14" ht="409.5" x14ac:dyDescent="0.2">
      <c r="A14" s="431" t="s">
        <v>983</v>
      </c>
      <c r="B14" s="431">
        <v>1820927</v>
      </c>
      <c r="C14" s="431" t="s">
        <v>159</v>
      </c>
      <c r="D14" s="431" t="s">
        <v>160</v>
      </c>
      <c r="E14" s="431" t="s">
        <v>161</v>
      </c>
      <c r="F14" s="431" t="s">
        <v>932</v>
      </c>
      <c r="G14" s="431" t="s">
        <v>175</v>
      </c>
      <c r="H14" s="431"/>
      <c r="I14" s="431"/>
      <c r="J14" s="431"/>
      <c r="K14" s="431"/>
      <c r="L14" s="431" t="s">
        <v>163</v>
      </c>
      <c r="M14" s="432" t="s">
        <v>984</v>
      </c>
    </row>
    <row r="15" spans="1:14" ht="409.5" x14ac:dyDescent="0.2">
      <c r="A15" s="431" t="s">
        <v>985</v>
      </c>
      <c r="B15" s="431">
        <v>1820928</v>
      </c>
      <c r="C15" s="431" t="s">
        <v>181</v>
      </c>
      <c r="D15" s="431" t="s">
        <v>160</v>
      </c>
      <c r="E15" s="431" t="s">
        <v>161</v>
      </c>
      <c r="F15" s="431" t="s">
        <v>934</v>
      </c>
      <c r="G15" s="431" t="s">
        <v>175</v>
      </c>
      <c r="H15" s="431"/>
      <c r="I15" s="431"/>
      <c r="J15" s="431"/>
      <c r="K15" s="431"/>
      <c r="L15" s="431" t="s">
        <v>163</v>
      </c>
      <c r="M15" s="432" t="s">
        <v>986</v>
      </c>
    </row>
    <row r="16" spans="1:14" ht="409.5" x14ac:dyDescent="0.2">
      <c r="A16" s="431" t="s">
        <v>987</v>
      </c>
      <c r="B16" s="431">
        <v>1820929</v>
      </c>
      <c r="C16" s="431" t="s">
        <v>159</v>
      </c>
      <c r="D16" s="431" t="s">
        <v>160</v>
      </c>
      <c r="E16" s="431" t="s">
        <v>161</v>
      </c>
      <c r="F16" s="431" t="s">
        <v>935</v>
      </c>
      <c r="G16" s="431" t="s">
        <v>175</v>
      </c>
      <c r="H16" s="431"/>
      <c r="I16" s="431"/>
      <c r="J16" s="431"/>
      <c r="K16" s="431"/>
      <c r="L16" s="431" t="s">
        <v>163</v>
      </c>
      <c r="M16" s="432" t="s">
        <v>988</v>
      </c>
    </row>
    <row r="17" spans="1:13" x14ac:dyDescent="0.2">
      <c r="A17" s="431" t="s">
        <v>989</v>
      </c>
      <c r="B17" s="431">
        <v>1820933</v>
      </c>
      <c r="C17" s="431" t="s">
        <v>170</v>
      </c>
      <c r="D17" s="431" t="s">
        <v>160</v>
      </c>
      <c r="E17" s="431" t="s">
        <v>161</v>
      </c>
      <c r="F17" s="431" t="s">
        <v>990</v>
      </c>
      <c r="G17" s="431" t="s">
        <v>175</v>
      </c>
      <c r="H17" s="431"/>
      <c r="I17" s="431"/>
      <c r="J17" s="431"/>
      <c r="K17" s="431"/>
      <c r="L17" s="431" t="s">
        <v>241</v>
      </c>
      <c r="M17" s="431" t="s">
        <v>991</v>
      </c>
    </row>
    <row r="18" spans="1:13" x14ac:dyDescent="0.2">
      <c r="A18" s="431" t="s">
        <v>989</v>
      </c>
      <c r="B18" s="431">
        <v>1820933</v>
      </c>
      <c r="C18" s="431" t="s">
        <v>170</v>
      </c>
      <c r="D18" s="431" t="s">
        <v>160</v>
      </c>
      <c r="E18" s="431" t="s">
        <v>161</v>
      </c>
      <c r="F18" s="431" t="s">
        <v>992</v>
      </c>
      <c r="G18" s="431" t="s">
        <v>175</v>
      </c>
      <c r="H18" s="431"/>
      <c r="I18" s="431"/>
      <c r="J18" s="431"/>
      <c r="K18" s="431"/>
      <c r="L18" s="431" t="s">
        <v>241</v>
      </c>
      <c r="M18" s="431" t="s">
        <v>991</v>
      </c>
    </row>
    <row r="19" spans="1:13" ht="409.5" x14ac:dyDescent="0.2">
      <c r="A19" s="431" t="s">
        <v>993</v>
      </c>
      <c r="B19" s="431">
        <v>1820983</v>
      </c>
      <c r="C19" s="431" t="s">
        <v>170</v>
      </c>
      <c r="D19" s="431" t="s">
        <v>976</v>
      </c>
      <c r="E19" s="431" t="s">
        <v>161</v>
      </c>
      <c r="F19" s="431" t="s">
        <v>994</v>
      </c>
      <c r="G19" s="431" t="s">
        <v>583</v>
      </c>
      <c r="H19" s="431"/>
      <c r="I19" s="431"/>
      <c r="J19" s="431"/>
      <c r="K19" s="431"/>
      <c r="L19" s="431" t="s">
        <v>307</v>
      </c>
      <c r="M19" s="432" t="s">
        <v>995</v>
      </c>
    </row>
    <row r="20" spans="1:13" ht="409.5" x14ac:dyDescent="0.2">
      <c r="A20" s="431" t="s">
        <v>993</v>
      </c>
      <c r="B20" s="431">
        <v>1820983</v>
      </c>
      <c r="C20" s="431" t="s">
        <v>170</v>
      </c>
      <c r="D20" s="431" t="s">
        <v>976</v>
      </c>
      <c r="E20" s="431" t="s">
        <v>161</v>
      </c>
      <c r="F20" s="431" t="s">
        <v>996</v>
      </c>
      <c r="G20" s="431" t="s">
        <v>583</v>
      </c>
      <c r="H20" s="431"/>
      <c r="I20" s="431"/>
      <c r="J20" s="431"/>
      <c r="K20" s="431"/>
      <c r="L20" s="431" t="s">
        <v>307</v>
      </c>
      <c r="M20" s="432" t="s">
        <v>995</v>
      </c>
    </row>
    <row r="21" spans="1:13" ht="409.5" x14ac:dyDescent="0.2">
      <c r="A21" s="431" t="s">
        <v>993</v>
      </c>
      <c r="B21" s="431">
        <v>1820983</v>
      </c>
      <c r="C21" s="431" t="s">
        <v>170</v>
      </c>
      <c r="D21" s="431" t="s">
        <v>976</v>
      </c>
      <c r="E21" s="431" t="s">
        <v>161</v>
      </c>
      <c r="F21" s="431" t="s">
        <v>997</v>
      </c>
      <c r="G21" s="431" t="s">
        <v>583</v>
      </c>
      <c r="H21" s="431"/>
      <c r="I21" s="431"/>
      <c r="J21" s="431"/>
      <c r="K21" s="431"/>
      <c r="L21" s="431" t="s">
        <v>307</v>
      </c>
      <c r="M21" s="432" t="s">
        <v>995</v>
      </c>
    </row>
    <row r="22" spans="1:13" ht="409.5" x14ac:dyDescent="0.2">
      <c r="A22" s="431" t="s">
        <v>993</v>
      </c>
      <c r="B22" s="431">
        <v>1820983</v>
      </c>
      <c r="C22" s="431" t="s">
        <v>170</v>
      </c>
      <c r="D22" s="431" t="s">
        <v>976</v>
      </c>
      <c r="E22" s="431" t="s">
        <v>161</v>
      </c>
      <c r="F22" s="431" t="s">
        <v>998</v>
      </c>
      <c r="G22" s="431" t="s">
        <v>583</v>
      </c>
      <c r="H22" s="431"/>
      <c r="I22" s="431"/>
      <c r="J22" s="431"/>
      <c r="K22" s="431"/>
      <c r="L22" s="431" t="s">
        <v>307</v>
      </c>
      <c r="M22" s="432" t="s">
        <v>995</v>
      </c>
    </row>
    <row r="23" spans="1:13" x14ac:dyDescent="0.2">
      <c r="A23" s="431" t="s">
        <v>999</v>
      </c>
      <c r="B23" s="431">
        <v>1846346</v>
      </c>
      <c r="C23" s="431" t="s">
        <v>159</v>
      </c>
      <c r="D23" s="431" t="s">
        <v>160</v>
      </c>
      <c r="E23" s="431" t="s">
        <v>161</v>
      </c>
      <c r="F23" s="431" t="s">
        <v>1000</v>
      </c>
      <c r="G23" s="431" t="s">
        <v>175</v>
      </c>
      <c r="H23" s="431"/>
      <c r="I23" s="431"/>
      <c r="J23" s="431"/>
      <c r="K23" s="431"/>
      <c r="L23" s="431" t="s">
        <v>241</v>
      </c>
      <c r="M23" s="431" t="s">
        <v>1001</v>
      </c>
    </row>
    <row r="24" spans="1:13" x14ac:dyDescent="0.2">
      <c r="A24" s="431" t="s">
        <v>999</v>
      </c>
      <c r="B24" s="431">
        <v>1846346</v>
      </c>
      <c r="C24" s="431" t="s">
        <v>159</v>
      </c>
      <c r="D24" s="431" t="s">
        <v>160</v>
      </c>
      <c r="E24" s="431" t="s">
        <v>161</v>
      </c>
      <c r="F24" s="431" t="s">
        <v>1000</v>
      </c>
      <c r="G24" s="431" t="s">
        <v>175</v>
      </c>
      <c r="H24" s="431"/>
      <c r="I24" s="431"/>
      <c r="J24" s="431"/>
      <c r="K24" s="431"/>
      <c r="L24" s="431" t="s">
        <v>241</v>
      </c>
      <c r="M24" s="431" t="s">
        <v>1001</v>
      </c>
    </row>
    <row r="25" spans="1:13" x14ac:dyDescent="0.2">
      <c r="A25" s="431" t="s">
        <v>999</v>
      </c>
      <c r="B25" s="431">
        <v>1846346</v>
      </c>
      <c r="C25" s="431" t="s">
        <v>159</v>
      </c>
      <c r="D25" s="431" t="s">
        <v>160</v>
      </c>
      <c r="E25" s="431" t="s">
        <v>161</v>
      </c>
      <c r="F25" s="431" t="s">
        <v>1000</v>
      </c>
      <c r="G25" s="431" t="s">
        <v>175</v>
      </c>
      <c r="H25" s="431"/>
      <c r="I25" s="431"/>
      <c r="J25" s="431"/>
      <c r="K25" s="431"/>
      <c r="L25" s="431" t="s">
        <v>241</v>
      </c>
      <c r="M25" s="431" t="s">
        <v>1001</v>
      </c>
    </row>
    <row r="26" spans="1:13" x14ac:dyDescent="0.2">
      <c r="A26" s="431" t="s">
        <v>999</v>
      </c>
      <c r="B26" s="431">
        <v>1846346</v>
      </c>
      <c r="C26" s="431" t="s">
        <v>159</v>
      </c>
      <c r="D26" s="431" t="s">
        <v>160</v>
      </c>
      <c r="E26" s="431" t="s">
        <v>161</v>
      </c>
      <c r="F26" s="431" t="s">
        <v>1000</v>
      </c>
      <c r="G26" s="431" t="s">
        <v>175</v>
      </c>
      <c r="H26" s="431"/>
      <c r="I26" s="431"/>
      <c r="J26" s="431"/>
      <c r="K26" s="431"/>
      <c r="L26" s="431" t="s">
        <v>241</v>
      </c>
      <c r="M26" s="431" t="s">
        <v>1001</v>
      </c>
    </row>
    <row r="27" spans="1:13" x14ac:dyDescent="0.2">
      <c r="A27" s="431" t="s">
        <v>1002</v>
      </c>
      <c r="B27" s="431">
        <v>1846076</v>
      </c>
      <c r="C27" s="431" t="s">
        <v>159</v>
      </c>
      <c r="D27" s="431" t="s">
        <v>160</v>
      </c>
      <c r="E27" s="431" t="s">
        <v>161</v>
      </c>
      <c r="F27" s="431" t="s">
        <v>1003</v>
      </c>
      <c r="G27" s="431" t="s">
        <v>175</v>
      </c>
      <c r="H27" s="431"/>
      <c r="I27" s="431"/>
      <c r="J27" s="431"/>
      <c r="K27" s="431"/>
      <c r="L27" s="431" t="s">
        <v>511</v>
      </c>
      <c r="M27" s="431" t="s">
        <v>1004</v>
      </c>
    </row>
    <row r="28" spans="1:13" x14ac:dyDescent="0.2">
      <c r="A28" s="431" t="s">
        <v>1005</v>
      </c>
      <c r="B28" s="431">
        <v>1846082</v>
      </c>
      <c r="C28" s="431" t="s">
        <v>159</v>
      </c>
      <c r="D28" s="431" t="s">
        <v>160</v>
      </c>
      <c r="E28" s="431" t="s">
        <v>161</v>
      </c>
      <c r="F28" s="431" t="s">
        <v>1003</v>
      </c>
      <c r="G28" s="431" t="s">
        <v>175</v>
      </c>
      <c r="H28" s="431"/>
      <c r="I28" s="431"/>
      <c r="J28" s="431"/>
      <c r="K28" s="431"/>
      <c r="L28" s="431" t="s">
        <v>511</v>
      </c>
      <c r="M28" s="431" t="s">
        <v>1006</v>
      </c>
    </row>
    <row r="29" spans="1:13" x14ac:dyDescent="0.2">
      <c r="A29" s="431" t="s">
        <v>1007</v>
      </c>
      <c r="B29" s="431">
        <v>1846083</v>
      </c>
      <c r="C29" s="431" t="s">
        <v>159</v>
      </c>
      <c r="D29" s="431" t="s">
        <v>160</v>
      </c>
      <c r="E29" s="431" t="s">
        <v>161</v>
      </c>
      <c r="F29" s="431" t="s">
        <v>599</v>
      </c>
      <c r="G29" s="431" t="s">
        <v>175</v>
      </c>
      <c r="H29" s="431"/>
      <c r="I29" s="431"/>
      <c r="J29" s="431"/>
      <c r="K29" s="431"/>
      <c r="L29" s="431" t="s">
        <v>473</v>
      </c>
      <c r="M29" s="431" t="s">
        <v>1008</v>
      </c>
    </row>
    <row r="30" spans="1:13" x14ac:dyDescent="0.2">
      <c r="A30" s="431" t="s">
        <v>1009</v>
      </c>
      <c r="B30" s="431">
        <v>1846145</v>
      </c>
      <c r="C30" s="431" t="s">
        <v>159</v>
      </c>
      <c r="D30" s="431" t="s">
        <v>160</v>
      </c>
      <c r="E30" s="431" t="s">
        <v>161</v>
      </c>
      <c r="F30" s="431" t="s">
        <v>1010</v>
      </c>
      <c r="G30" s="431" t="s">
        <v>175</v>
      </c>
      <c r="H30" s="431"/>
      <c r="I30" s="431"/>
      <c r="J30" s="431"/>
      <c r="K30" s="431"/>
      <c r="L30" s="431" t="s">
        <v>511</v>
      </c>
      <c r="M30" s="431" t="s">
        <v>1011</v>
      </c>
    </row>
    <row r="31" spans="1:13" x14ac:dyDescent="0.2">
      <c r="A31" s="431" t="s">
        <v>1012</v>
      </c>
      <c r="B31" s="431">
        <v>1846123</v>
      </c>
      <c r="C31" s="431" t="s">
        <v>159</v>
      </c>
      <c r="D31" s="431" t="s">
        <v>160</v>
      </c>
      <c r="E31" s="431" t="s">
        <v>161</v>
      </c>
      <c r="F31" s="431" t="s">
        <v>1013</v>
      </c>
      <c r="G31" s="431" t="s">
        <v>175</v>
      </c>
      <c r="H31" s="431"/>
      <c r="I31" s="431"/>
      <c r="J31" s="431"/>
      <c r="K31" s="431"/>
      <c r="L31" s="431" t="s">
        <v>163</v>
      </c>
      <c r="M31" s="431" t="s">
        <v>1014</v>
      </c>
    </row>
    <row r="32" spans="1:13" x14ac:dyDescent="0.2">
      <c r="A32" s="431" t="s">
        <v>1012</v>
      </c>
      <c r="B32" s="431">
        <v>1846123</v>
      </c>
      <c r="C32" s="431" t="s">
        <v>159</v>
      </c>
      <c r="D32" s="431" t="s">
        <v>160</v>
      </c>
      <c r="E32" s="431" t="s">
        <v>161</v>
      </c>
      <c r="F32" s="431" t="s">
        <v>1015</v>
      </c>
      <c r="G32" s="431" t="s">
        <v>175</v>
      </c>
      <c r="H32" s="431"/>
      <c r="I32" s="431"/>
      <c r="J32" s="431"/>
      <c r="K32" s="431"/>
      <c r="L32" s="431" t="s">
        <v>163</v>
      </c>
      <c r="M32" s="431" t="s">
        <v>1014</v>
      </c>
    </row>
    <row r="33" spans="1:13" x14ac:dyDescent="0.2">
      <c r="A33" s="431" t="s">
        <v>1016</v>
      </c>
      <c r="B33" s="431">
        <v>1846129</v>
      </c>
      <c r="C33" s="431" t="s">
        <v>159</v>
      </c>
      <c r="D33" s="431" t="s">
        <v>160</v>
      </c>
      <c r="E33" s="431" t="s">
        <v>161</v>
      </c>
      <c r="F33" s="431" t="s">
        <v>1013</v>
      </c>
      <c r="G33" s="431" t="s">
        <v>175</v>
      </c>
      <c r="H33" s="431"/>
      <c r="I33" s="431"/>
      <c r="J33" s="431"/>
      <c r="K33" s="431"/>
      <c r="L33" s="431" t="s">
        <v>163</v>
      </c>
      <c r="M33" s="431" t="s">
        <v>1017</v>
      </c>
    </row>
    <row r="34" spans="1:13" x14ac:dyDescent="0.2">
      <c r="A34" s="431" t="s">
        <v>1016</v>
      </c>
      <c r="B34" s="431">
        <v>1846129</v>
      </c>
      <c r="C34" s="431" t="s">
        <v>159</v>
      </c>
      <c r="D34" s="431" t="s">
        <v>160</v>
      </c>
      <c r="E34" s="431" t="s">
        <v>161</v>
      </c>
      <c r="F34" s="431" t="s">
        <v>1015</v>
      </c>
      <c r="G34" s="431" t="s">
        <v>175</v>
      </c>
      <c r="H34" s="431"/>
      <c r="I34" s="431"/>
      <c r="J34" s="431"/>
      <c r="K34" s="431"/>
      <c r="L34" s="431" t="s">
        <v>163</v>
      </c>
      <c r="M34" s="431" t="s">
        <v>1017</v>
      </c>
    </row>
    <row r="35" spans="1:13" x14ac:dyDescent="0.2">
      <c r="A35" s="431" t="s">
        <v>1018</v>
      </c>
      <c r="B35" s="431">
        <v>1846147</v>
      </c>
      <c r="C35" s="431" t="s">
        <v>159</v>
      </c>
      <c r="D35" s="431" t="s">
        <v>160</v>
      </c>
      <c r="E35" s="431" t="s">
        <v>161</v>
      </c>
      <c r="F35" s="431" t="s">
        <v>1019</v>
      </c>
      <c r="G35" s="431" t="s">
        <v>175</v>
      </c>
      <c r="H35" s="431"/>
      <c r="I35" s="431"/>
      <c r="J35" s="431"/>
      <c r="K35" s="431"/>
      <c r="L35" s="431" t="s">
        <v>163</v>
      </c>
      <c r="M35" s="431" t="s">
        <v>1020</v>
      </c>
    </row>
    <row r="36" spans="1:13" x14ac:dyDescent="0.2">
      <c r="A36" s="431" t="s">
        <v>1021</v>
      </c>
      <c r="B36" s="431">
        <v>1846162</v>
      </c>
      <c r="C36" s="431" t="s">
        <v>159</v>
      </c>
      <c r="D36" s="431" t="s">
        <v>160</v>
      </c>
      <c r="E36" s="431" t="s">
        <v>161</v>
      </c>
      <c r="F36" s="431" t="s">
        <v>1022</v>
      </c>
      <c r="G36" s="431" t="s">
        <v>175</v>
      </c>
      <c r="H36" s="431"/>
      <c r="I36" s="431"/>
      <c r="J36" s="431"/>
      <c r="K36" s="431"/>
      <c r="L36" s="431" t="s">
        <v>314</v>
      </c>
      <c r="M36" s="431" t="s">
        <v>1023</v>
      </c>
    </row>
    <row r="37" spans="1:13" x14ac:dyDescent="0.2">
      <c r="A37" s="431" t="s">
        <v>1021</v>
      </c>
      <c r="B37" s="431">
        <v>1846162</v>
      </c>
      <c r="C37" s="431" t="s">
        <v>159</v>
      </c>
      <c r="D37" s="431" t="s">
        <v>160</v>
      </c>
      <c r="E37" s="431" t="s">
        <v>161</v>
      </c>
      <c r="F37" s="431" t="s">
        <v>1024</v>
      </c>
      <c r="G37" s="431" t="s">
        <v>175</v>
      </c>
      <c r="H37" s="431"/>
      <c r="I37" s="431"/>
      <c r="J37" s="431"/>
      <c r="K37" s="431"/>
      <c r="L37" s="431" t="s">
        <v>314</v>
      </c>
      <c r="M37" s="431" t="s">
        <v>1023</v>
      </c>
    </row>
    <row r="38" spans="1:13" x14ac:dyDescent="0.2">
      <c r="A38" s="431" t="s">
        <v>1025</v>
      </c>
      <c r="B38" s="431">
        <v>1846171</v>
      </c>
      <c r="C38" s="431" t="s">
        <v>159</v>
      </c>
      <c r="D38" s="431" t="s">
        <v>160</v>
      </c>
      <c r="E38" s="431" t="s">
        <v>161</v>
      </c>
      <c r="F38" s="431" t="s">
        <v>1026</v>
      </c>
      <c r="G38" s="431" t="s">
        <v>175</v>
      </c>
      <c r="H38" s="431"/>
      <c r="I38" s="431"/>
      <c r="J38" s="431"/>
      <c r="K38" s="431"/>
      <c r="L38" s="431" t="s">
        <v>176</v>
      </c>
      <c r="M38" s="431" t="s">
        <v>1027</v>
      </c>
    </row>
    <row r="39" spans="1:13" x14ac:dyDescent="0.2">
      <c r="A39" s="431" t="s">
        <v>1025</v>
      </c>
      <c r="B39" s="431">
        <v>1846171</v>
      </c>
      <c r="C39" s="431" t="s">
        <v>159</v>
      </c>
      <c r="D39" s="431" t="s">
        <v>160</v>
      </c>
      <c r="E39" s="431" t="s">
        <v>161</v>
      </c>
      <c r="F39" s="431" t="s">
        <v>1028</v>
      </c>
      <c r="G39" s="431" t="s">
        <v>175</v>
      </c>
      <c r="H39" s="431"/>
      <c r="I39" s="431"/>
      <c r="J39" s="431"/>
      <c r="K39" s="431"/>
      <c r="L39" s="431" t="s">
        <v>176</v>
      </c>
      <c r="M39" s="431" t="s">
        <v>1027</v>
      </c>
    </row>
    <row r="40" spans="1:13" x14ac:dyDescent="0.2">
      <c r="A40" s="431" t="s">
        <v>1029</v>
      </c>
      <c r="B40" s="431">
        <v>1846178</v>
      </c>
      <c r="C40" s="431" t="s">
        <v>159</v>
      </c>
      <c r="D40" s="431" t="s">
        <v>160</v>
      </c>
      <c r="E40" s="431" t="s">
        <v>161</v>
      </c>
      <c r="F40" s="431" t="s">
        <v>345</v>
      </c>
      <c r="G40" s="431" t="s">
        <v>175</v>
      </c>
      <c r="H40" s="431"/>
      <c r="I40" s="431"/>
      <c r="J40" s="431"/>
      <c r="K40" s="431"/>
      <c r="L40" s="431" t="s">
        <v>241</v>
      </c>
      <c r="M40" s="431" t="s">
        <v>1030</v>
      </c>
    </row>
    <row r="41" spans="1:13" x14ac:dyDescent="0.2">
      <c r="A41" s="431" t="s">
        <v>1029</v>
      </c>
      <c r="B41" s="431">
        <v>1846178</v>
      </c>
      <c r="C41" s="431" t="s">
        <v>159</v>
      </c>
      <c r="D41" s="431" t="s">
        <v>160</v>
      </c>
      <c r="E41" s="431" t="s">
        <v>161</v>
      </c>
      <c r="F41" s="431" t="s">
        <v>572</v>
      </c>
      <c r="G41" s="431" t="s">
        <v>175</v>
      </c>
      <c r="H41" s="431"/>
      <c r="I41" s="431"/>
      <c r="J41" s="431"/>
      <c r="K41" s="431"/>
      <c r="L41" s="431" t="s">
        <v>241</v>
      </c>
      <c r="M41" s="431" t="s">
        <v>1030</v>
      </c>
    </row>
    <row r="42" spans="1:13" ht="409.5" x14ac:dyDescent="0.2">
      <c r="A42" s="431" t="s">
        <v>1031</v>
      </c>
      <c r="B42" s="431">
        <v>1846172</v>
      </c>
      <c r="C42" s="431" t="s">
        <v>159</v>
      </c>
      <c r="D42" s="431" t="s">
        <v>160</v>
      </c>
      <c r="E42" s="431" t="s">
        <v>161</v>
      </c>
      <c r="F42" s="431" t="s">
        <v>1032</v>
      </c>
      <c r="G42" s="431" t="s">
        <v>175</v>
      </c>
      <c r="H42" s="431"/>
      <c r="I42" s="431"/>
      <c r="J42" s="431"/>
      <c r="K42" s="431"/>
      <c r="L42" s="431" t="s">
        <v>176</v>
      </c>
      <c r="M42" s="432" t="s">
        <v>1033</v>
      </c>
    </row>
    <row r="43" spans="1:13" ht="409.5" x14ac:dyDescent="0.2">
      <c r="A43" s="431" t="s">
        <v>1031</v>
      </c>
      <c r="B43" s="431">
        <v>1846172</v>
      </c>
      <c r="C43" s="431" t="s">
        <v>159</v>
      </c>
      <c r="D43" s="431" t="s">
        <v>160</v>
      </c>
      <c r="E43" s="431" t="s">
        <v>161</v>
      </c>
      <c r="F43" s="431" t="s">
        <v>1032</v>
      </c>
      <c r="G43" s="431" t="s">
        <v>175</v>
      </c>
      <c r="H43" s="431"/>
      <c r="I43" s="431"/>
      <c r="J43" s="431"/>
      <c r="K43" s="431"/>
      <c r="L43" s="431" t="s">
        <v>176</v>
      </c>
      <c r="M43" s="432" t="s">
        <v>1033</v>
      </c>
    </row>
    <row r="44" spans="1:13" x14ac:dyDescent="0.2">
      <c r="A44" s="431" t="s">
        <v>1034</v>
      </c>
      <c r="B44" s="431">
        <v>1846200</v>
      </c>
      <c r="C44" s="431" t="s">
        <v>159</v>
      </c>
      <c r="D44" s="431" t="s">
        <v>160</v>
      </c>
      <c r="E44" s="431" t="s">
        <v>161</v>
      </c>
      <c r="F44" s="431" t="s">
        <v>1035</v>
      </c>
      <c r="G44" s="431" t="s">
        <v>175</v>
      </c>
      <c r="H44" s="431"/>
      <c r="I44" s="431"/>
      <c r="J44" s="431"/>
      <c r="K44" s="431"/>
      <c r="L44" s="431" t="s">
        <v>176</v>
      </c>
      <c r="M44" s="431" t="s">
        <v>1036</v>
      </c>
    </row>
    <row r="45" spans="1:13" x14ac:dyDescent="0.2">
      <c r="A45" s="431" t="s">
        <v>1037</v>
      </c>
      <c r="B45" s="431">
        <v>1846226</v>
      </c>
      <c r="C45" s="431" t="s">
        <v>159</v>
      </c>
      <c r="D45" s="431" t="s">
        <v>160</v>
      </c>
      <c r="E45" s="431" t="s">
        <v>161</v>
      </c>
      <c r="F45" s="431" t="s">
        <v>1035</v>
      </c>
      <c r="G45" s="431" t="s">
        <v>175</v>
      </c>
      <c r="H45" s="431"/>
      <c r="I45" s="431"/>
      <c r="J45" s="431"/>
      <c r="K45" s="431"/>
      <c r="L45" s="431" t="s">
        <v>176</v>
      </c>
      <c r="M45" s="431" t="s">
        <v>1038</v>
      </c>
    </row>
    <row r="46" spans="1:13" ht="280.5" x14ac:dyDescent="0.2">
      <c r="A46" s="431" t="s">
        <v>1039</v>
      </c>
      <c r="B46" s="431">
        <v>1846204</v>
      </c>
      <c r="C46" s="431" t="s">
        <v>159</v>
      </c>
      <c r="D46" s="431" t="s">
        <v>160</v>
      </c>
      <c r="E46" s="431" t="s">
        <v>161</v>
      </c>
      <c r="F46" s="431" t="s">
        <v>1035</v>
      </c>
      <c r="G46" s="431" t="s">
        <v>175</v>
      </c>
      <c r="H46" s="431"/>
      <c r="I46" s="431"/>
      <c r="J46" s="431"/>
      <c r="K46" s="431"/>
      <c r="L46" s="431" t="s">
        <v>176</v>
      </c>
      <c r="M46" s="432" t="s">
        <v>1040</v>
      </c>
    </row>
    <row r="47" spans="1:13" ht="280.5" x14ac:dyDescent="0.2">
      <c r="A47" s="431" t="s">
        <v>1039</v>
      </c>
      <c r="B47" s="431">
        <v>1846204</v>
      </c>
      <c r="C47" s="431" t="s">
        <v>159</v>
      </c>
      <c r="D47" s="431" t="s">
        <v>160</v>
      </c>
      <c r="E47" s="431" t="s">
        <v>161</v>
      </c>
      <c r="F47" s="431" t="s">
        <v>1041</v>
      </c>
      <c r="G47" s="431" t="s">
        <v>175</v>
      </c>
      <c r="H47" s="431"/>
      <c r="I47" s="431"/>
      <c r="J47" s="431"/>
      <c r="K47" s="431"/>
      <c r="L47" s="431" t="s">
        <v>176</v>
      </c>
      <c r="M47" s="432" t="s">
        <v>1040</v>
      </c>
    </row>
    <row r="48" spans="1:13" ht="280.5" x14ac:dyDescent="0.2">
      <c r="A48" s="431" t="s">
        <v>1039</v>
      </c>
      <c r="B48" s="431">
        <v>1846204</v>
      </c>
      <c r="C48" s="431" t="s">
        <v>159</v>
      </c>
      <c r="D48" s="431" t="s">
        <v>160</v>
      </c>
      <c r="E48" s="431" t="s">
        <v>161</v>
      </c>
      <c r="F48" s="431" t="s">
        <v>1041</v>
      </c>
      <c r="G48" s="431" t="s">
        <v>175</v>
      </c>
      <c r="H48" s="431"/>
      <c r="I48" s="431"/>
      <c r="J48" s="431"/>
      <c r="K48" s="431"/>
      <c r="L48" s="431" t="s">
        <v>176</v>
      </c>
      <c r="M48" s="432" t="s">
        <v>1040</v>
      </c>
    </row>
    <row r="49" spans="1:13" ht="280.5" x14ac:dyDescent="0.2">
      <c r="A49" s="431" t="s">
        <v>1039</v>
      </c>
      <c r="B49" s="431">
        <v>1846204</v>
      </c>
      <c r="C49" s="431" t="s">
        <v>159</v>
      </c>
      <c r="D49" s="431" t="s">
        <v>160</v>
      </c>
      <c r="E49" s="431" t="s">
        <v>161</v>
      </c>
      <c r="F49" s="431" t="s">
        <v>1041</v>
      </c>
      <c r="G49" s="431" t="s">
        <v>175</v>
      </c>
      <c r="H49" s="431"/>
      <c r="I49" s="431"/>
      <c r="J49" s="431"/>
      <c r="K49" s="431"/>
      <c r="L49" s="431" t="s">
        <v>176</v>
      </c>
      <c r="M49" s="432" t="s">
        <v>1040</v>
      </c>
    </row>
    <row r="50" spans="1:13" ht="280.5" x14ac:dyDescent="0.2">
      <c r="A50" s="431" t="s">
        <v>1039</v>
      </c>
      <c r="B50" s="431">
        <v>1846204</v>
      </c>
      <c r="C50" s="431" t="s">
        <v>159</v>
      </c>
      <c r="D50" s="431" t="s">
        <v>160</v>
      </c>
      <c r="E50" s="431" t="s">
        <v>161</v>
      </c>
      <c r="F50" s="431" t="s">
        <v>1041</v>
      </c>
      <c r="G50" s="431" t="s">
        <v>175</v>
      </c>
      <c r="H50" s="431"/>
      <c r="I50" s="431"/>
      <c r="J50" s="431"/>
      <c r="K50" s="431"/>
      <c r="L50" s="431" t="s">
        <v>176</v>
      </c>
      <c r="M50" s="432" t="s">
        <v>1040</v>
      </c>
    </row>
    <row r="51" spans="1:13" ht="280.5" x14ac:dyDescent="0.2">
      <c r="A51" s="431" t="s">
        <v>1039</v>
      </c>
      <c r="B51" s="431">
        <v>1846204</v>
      </c>
      <c r="C51" s="431" t="s">
        <v>159</v>
      </c>
      <c r="D51" s="431" t="s">
        <v>160</v>
      </c>
      <c r="E51" s="431" t="s">
        <v>161</v>
      </c>
      <c r="F51" s="431" t="s">
        <v>1041</v>
      </c>
      <c r="G51" s="431" t="s">
        <v>175</v>
      </c>
      <c r="H51" s="431"/>
      <c r="I51" s="431"/>
      <c r="J51" s="431"/>
      <c r="K51" s="431"/>
      <c r="L51" s="431" t="s">
        <v>176</v>
      </c>
      <c r="M51" s="432" t="s">
        <v>1040</v>
      </c>
    </row>
    <row r="52" spans="1:13" ht="409.5" x14ac:dyDescent="0.2">
      <c r="A52" s="431" t="s">
        <v>1042</v>
      </c>
      <c r="B52" s="431">
        <v>1846215</v>
      </c>
      <c r="C52" s="431" t="s">
        <v>159</v>
      </c>
      <c r="D52" s="431" t="s">
        <v>160</v>
      </c>
      <c r="E52" s="431" t="s">
        <v>161</v>
      </c>
      <c r="F52" s="431" t="s">
        <v>1032</v>
      </c>
      <c r="G52" s="431" t="s">
        <v>175</v>
      </c>
      <c r="H52" s="431"/>
      <c r="I52" s="431"/>
      <c r="J52" s="431"/>
      <c r="K52" s="431"/>
      <c r="L52" s="431" t="s">
        <v>176</v>
      </c>
      <c r="M52" s="432" t="s">
        <v>1033</v>
      </c>
    </row>
    <row r="53" spans="1:13" ht="409.5" x14ac:dyDescent="0.2">
      <c r="A53" s="431" t="s">
        <v>1042</v>
      </c>
      <c r="B53" s="431">
        <v>1846215</v>
      </c>
      <c r="C53" s="431" t="s">
        <v>159</v>
      </c>
      <c r="D53" s="431" t="s">
        <v>160</v>
      </c>
      <c r="E53" s="431" t="s">
        <v>161</v>
      </c>
      <c r="F53" s="431" t="s">
        <v>1032</v>
      </c>
      <c r="G53" s="431" t="s">
        <v>175</v>
      </c>
      <c r="H53" s="431"/>
      <c r="I53" s="431"/>
      <c r="J53" s="431"/>
      <c r="K53" s="431"/>
      <c r="L53" s="431" t="s">
        <v>176</v>
      </c>
      <c r="M53" s="432" t="s">
        <v>1033</v>
      </c>
    </row>
    <row r="54" spans="1:13" ht="409.5" x14ac:dyDescent="0.2">
      <c r="A54" s="431" t="s">
        <v>1042</v>
      </c>
      <c r="B54" s="431">
        <v>1846215</v>
      </c>
      <c r="C54" s="431" t="s">
        <v>159</v>
      </c>
      <c r="D54" s="431" t="s">
        <v>160</v>
      </c>
      <c r="E54" s="431" t="s">
        <v>161</v>
      </c>
      <c r="F54" s="431" t="s">
        <v>1043</v>
      </c>
      <c r="G54" s="431" t="s">
        <v>175</v>
      </c>
      <c r="H54" s="431"/>
      <c r="I54" s="431"/>
      <c r="J54" s="431"/>
      <c r="K54" s="431"/>
      <c r="L54" s="431" t="s">
        <v>176</v>
      </c>
      <c r="M54" s="432" t="s">
        <v>1033</v>
      </c>
    </row>
    <row r="55" spans="1:13" ht="409.5" x14ac:dyDescent="0.2">
      <c r="A55" s="431" t="s">
        <v>1042</v>
      </c>
      <c r="B55" s="431">
        <v>1846215</v>
      </c>
      <c r="C55" s="431" t="s">
        <v>159</v>
      </c>
      <c r="D55" s="431" t="s">
        <v>160</v>
      </c>
      <c r="E55" s="431" t="s">
        <v>161</v>
      </c>
      <c r="F55" s="431" t="s">
        <v>1043</v>
      </c>
      <c r="G55" s="431" t="s">
        <v>175</v>
      </c>
      <c r="H55" s="431"/>
      <c r="I55" s="431"/>
      <c r="J55" s="431"/>
      <c r="K55" s="431"/>
      <c r="L55" s="431" t="s">
        <v>176</v>
      </c>
      <c r="M55" s="432" t="s">
        <v>1033</v>
      </c>
    </row>
    <row r="56" spans="1:13" ht="409.5" x14ac:dyDescent="0.2">
      <c r="A56" s="431" t="s">
        <v>1042</v>
      </c>
      <c r="B56" s="431">
        <v>1846215</v>
      </c>
      <c r="C56" s="431" t="s">
        <v>159</v>
      </c>
      <c r="D56" s="431" t="s">
        <v>160</v>
      </c>
      <c r="E56" s="431" t="s">
        <v>161</v>
      </c>
      <c r="F56" s="431" t="s">
        <v>1043</v>
      </c>
      <c r="G56" s="431" t="s">
        <v>175</v>
      </c>
      <c r="H56" s="431"/>
      <c r="I56" s="431"/>
      <c r="J56" s="431"/>
      <c r="K56" s="431"/>
      <c r="L56" s="431" t="s">
        <v>176</v>
      </c>
      <c r="M56" s="432" t="s">
        <v>1033</v>
      </c>
    </row>
    <row r="57" spans="1:13" ht="409.5" x14ac:dyDescent="0.2">
      <c r="A57" s="431" t="s">
        <v>1042</v>
      </c>
      <c r="B57" s="431">
        <v>1846215</v>
      </c>
      <c r="C57" s="431" t="s">
        <v>159</v>
      </c>
      <c r="D57" s="431" t="s">
        <v>160</v>
      </c>
      <c r="E57" s="431" t="s">
        <v>161</v>
      </c>
      <c r="F57" s="431" t="s">
        <v>1043</v>
      </c>
      <c r="G57" s="431" t="s">
        <v>175</v>
      </c>
      <c r="H57" s="431"/>
      <c r="I57" s="431"/>
      <c r="J57" s="431"/>
      <c r="K57" s="431"/>
      <c r="L57" s="431" t="s">
        <v>176</v>
      </c>
      <c r="M57" s="432" t="s">
        <v>1033</v>
      </c>
    </row>
    <row r="58" spans="1:13" ht="409.5" x14ac:dyDescent="0.2">
      <c r="A58" s="431" t="s">
        <v>1042</v>
      </c>
      <c r="B58" s="431">
        <v>1846215</v>
      </c>
      <c r="C58" s="431" t="s">
        <v>159</v>
      </c>
      <c r="D58" s="431" t="s">
        <v>160</v>
      </c>
      <c r="E58" s="431" t="s">
        <v>161</v>
      </c>
      <c r="F58" s="431" t="s">
        <v>1043</v>
      </c>
      <c r="G58" s="431" t="s">
        <v>175</v>
      </c>
      <c r="H58" s="431"/>
      <c r="I58" s="431"/>
      <c r="J58" s="431"/>
      <c r="K58" s="431"/>
      <c r="L58" s="431" t="s">
        <v>176</v>
      </c>
      <c r="M58" s="432" t="s">
        <v>1033</v>
      </c>
    </row>
    <row r="59" spans="1:13" x14ac:dyDescent="0.2">
      <c r="A59" s="431" t="s">
        <v>1044</v>
      </c>
      <c r="B59" s="431">
        <v>1846256</v>
      </c>
      <c r="C59" s="431" t="s">
        <v>159</v>
      </c>
      <c r="D59" s="431" t="s">
        <v>160</v>
      </c>
      <c r="E59" s="431" t="s">
        <v>161</v>
      </c>
      <c r="F59" s="431" t="s">
        <v>1045</v>
      </c>
      <c r="G59" s="431" t="s">
        <v>175</v>
      </c>
      <c r="H59" s="431"/>
      <c r="I59" s="431"/>
      <c r="J59" s="431"/>
      <c r="K59" s="431"/>
      <c r="L59" s="431" t="s">
        <v>307</v>
      </c>
      <c r="M59" s="431" t="s">
        <v>1046</v>
      </c>
    </row>
    <row r="60" spans="1:13" x14ac:dyDescent="0.2">
      <c r="A60" s="431" t="s">
        <v>1044</v>
      </c>
      <c r="B60" s="431">
        <v>1846256</v>
      </c>
      <c r="C60" s="431" t="s">
        <v>159</v>
      </c>
      <c r="D60" s="431" t="s">
        <v>160</v>
      </c>
      <c r="E60" s="431" t="s">
        <v>161</v>
      </c>
      <c r="F60" s="431" t="s">
        <v>1047</v>
      </c>
      <c r="G60" s="431" t="s">
        <v>175</v>
      </c>
      <c r="H60" s="431"/>
      <c r="I60" s="431"/>
      <c r="J60" s="431"/>
      <c r="K60" s="431"/>
      <c r="L60" s="431" t="s">
        <v>307</v>
      </c>
      <c r="M60" s="431" t="s">
        <v>1046</v>
      </c>
    </row>
    <row r="61" spans="1:13" x14ac:dyDescent="0.2">
      <c r="A61" s="431" t="s">
        <v>1044</v>
      </c>
      <c r="B61" s="431">
        <v>1846256</v>
      </c>
      <c r="C61" s="431" t="s">
        <v>159</v>
      </c>
      <c r="D61" s="431" t="s">
        <v>160</v>
      </c>
      <c r="E61" s="431" t="s">
        <v>161</v>
      </c>
      <c r="F61" s="431" t="s">
        <v>1048</v>
      </c>
      <c r="G61" s="431" t="s">
        <v>175</v>
      </c>
      <c r="H61" s="431"/>
      <c r="I61" s="431"/>
      <c r="J61" s="431"/>
      <c r="K61" s="431"/>
      <c r="L61" s="431" t="s">
        <v>307</v>
      </c>
      <c r="M61" s="431" t="s">
        <v>1046</v>
      </c>
    </row>
    <row r="62" spans="1:13" x14ac:dyDescent="0.2">
      <c r="A62" s="431" t="s">
        <v>1044</v>
      </c>
      <c r="B62" s="431">
        <v>1846256</v>
      </c>
      <c r="C62" s="431" t="s">
        <v>159</v>
      </c>
      <c r="D62" s="431" t="s">
        <v>160</v>
      </c>
      <c r="E62" s="431" t="s">
        <v>161</v>
      </c>
      <c r="F62" s="431" t="s">
        <v>1049</v>
      </c>
      <c r="G62" s="431" t="s">
        <v>175</v>
      </c>
      <c r="H62" s="431"/>
      <c r="I62" s="431"/>
      <c r="J62" s="431"/>
      <c r="K62" s="431"/>
      <c r="L62" s="431" t="s">
        <v>307</v>
      </c>
      <c r="M62" s="431" t="s">
        <v>1046</v>
      </c>
    </row>
    <row r="63" spans="1:13" x14ac:dyDescent="0.2">
      <c r="A63" s="431" t="s">
        <v>1044</v>
      </c>
      <c r="B63" s="431">
        <v>1846256</v>
      </c>
      <c r="C63" s="431" t="s">
        <v>159</v>
      </c>
      <c r="D63" s="431" t="s">
        <v>160</v>
      </c>
      <c r="E63" s="431" t="s">
        <v>161</v>
      </c>
      <c r="F63" s="431" t="s">
        <v>1049</v>
      </c>
      <c r="G63" s="431" t="s">
        <v>175</v>
      </c>
      <c r="H63" s="431"/>
      <c r="I63" s="431"/>
      <c r="J63" s="431"/>
      <c r="K63" s="431"/>
      <c r="L63" s="431" t="s">
        <v>307</v>
      </c>
      <c r="M63" s="431" t="s">
        <v>1046</v>
      </c>
    </row>
    <row r="64" spans="1:13" x14ac:dyDescent="0.2">
      <c r="A64" s="431" t="s">
        <v>1044</v>
      </c>
      <c r="B64" s="431">
        <v>1846256</v>
      </c>
      <c r="C64" s="431" t="s">
        <v>159</v>
      </c>
      <c r="D64" s="431" t="s">
        <v>160</v>
      </c>
      <c r="E64" s="431" t="s">
        <v>161</v>
      </c>
      <c r="F64" s="431" t="s">
        <v>1049</v>
      </c>
      <c r="G64" s="431" t="s">
        <v>175</v>
      </c>
      <c r="H64" s="431"/>
      <c r="I64" s="431"/>
      <c r="J64" s="431"/>
      <c r="K64" s="431"/>
      <c r="L64" s="431" t="s">
        <v>307</v>
      </c>
      <c r="M64" s="431" t="s">
        <v>1046</v>
      </c>
    </row>
    <row r="65" spans="1:13" x14ac:dyDescent="0.2">
      <c r="A65" s="431" t="s">
        <v>1044</v>
      </c>
      <c r="B65" s="431">
        <v>1846256</v>
      </c>
      <c r="C65" s="431" t="s">
        <v>159</v>
      </c>
      <c r="D65" s="431" t="s">
        <v>160</v>
      </c>
      <c r="E65" s="431" t="s">
        <v>161</v>
      </c>
      <c r="F65" s="431" t="s">
        <v>1049</v>
      </c>
      <c r="G65" s="431" t="s">
        <v>175</v>
      </c>
      <c r="H65" s="431"/>
      <c r="I65" s="431"/>
      <c r="J65" s="431"/>
      <c r="K65" s="431"/>
      <c r="L65" s="431" t="s">
        <v>307</v>
      </c>
      <c r="M65" s="431" t="s">
        <v>1046</v>
      </c>
    </row>
    <row r="66" spans="1:13" x14ac:dyDescent="0.2">
      <c r="A66" s="431" t="s">
        <v>1044</v>
      </c>
      <c r="B66" s="431">
        <v>1846256</v>
      </c>
      <c r="C66" s="431" t="s">
        <v>159</v>
      </c>
      <c r="D66" s="431" t="s">
        <v>160</v>
      </c>
      <c r="E66" s="431" t="s">
        <v>161</v>
      </c>
      <c r="F66" s="431" t="s">
        <v>1049</v>
      </c>
      <c r="G66" s="431" t="s">
        <v>175</v>
      </c>
      <c r="H66" s="431"/>
      <c r="I66" s="431"/>
      <c r="J66" s="431"/>
      <c r="K66" s="431"/>
      <c r="L66" s="431" t="s">
        <v>307</v>
      </c>
      <c r="M66" s="431" t="s">
        <v>1046</v>
      </c>
    </row>
    <row r="67" spans="1:13" x14ac:dyDescent="0.2">
      <c r="A67" s="431" t="s">
        <v>1044</v>
      </c>
      <c r="B67" s="431">
        <v>1846256</v>
      </c>
      <c r="C67" s="431" t="s">
        <v>159</v>
      </c>
      <c r="D67" s="431" t="s">
        <v>160</v>
      </c>
      <c r="E67" s="431" t="s">
        <v>161</v>
      </c>
      <c r="F67" s="431" t="s">
        <v>1049</v>
      </c>
      <c r="G67" s="431" t="s">
        <v>175</v>
      </c>
      <c r="H67" s="431"/>
      <c r="I67" s="431"/>
      <c r="J67" s="431"/>
      <c r="K67" s="431"/>
      <c r="L67" s="431" t="s">
        <v>307</v>
      </c>
      <c r="M67" s="431" t="s">
        <v>1046</v>
      </c>
    </row>
    <row r="68" spans="1:13" x14ac:dyDescent="0.2">
      <c r="A68" s="431" t="s">
        <v>1044</v>
      </c>
      <c r="B68" s="431">
        <v>1846256</v>
      </c>
      <c r="C68" s="431" t="s">
        <v>159</v>
      </c>
      <c r="D68" s="431" t="s">
        <v>160</v>
      </c>
      <c r="E68" s="431" t="s">
        <v>161</v>
      </c>
      <c r="F68" s="431" t="s">
        <v>1049</v>
      </c>
      <c r="G68" s="431" t="s">
        <v>175</v>
      </c>
      <c r="H68" s="431"/>
      <c r="I68" s="431"/>
      <c r="J68" s="431"/>
      <c r="K68" s="431"/>
      <c r="L68" s="431" t="s">
        <v>307</v>
      </c>
      <c r="M68" s="431" t="s">
        <v>1046</v>
      </c>
    </row>
    <row r="69" spans="1:13" x14ac:dyDescent="0.2">
      <c r="A69" s="431" t="s">
        <v>1044</v>
      </c>
      <c r="B69" s="431">
        <v>1846256</v>
      </c>
      <c r="C69" s="431" t="s">
        <v>159</v>
      </c>
      <c r="D69" s="431" t="s">
        <v>160</v>
      </c>
      <c r="E69" s="431" t="s">
        <v>161</v>
      </c>
      <c r="F69" s="431" t="s">
        <v>1049</v>
      </c>
      <c r="G69" s="431" t="s">
        <v>175</v>
      </c>
      <c r="H69" s="431"/>
      <c r="I69" s="431"/>
      <c r="J69" s="431"/>
      <c r="K69" s="431"/>
      <c r="L69" s="431" t="s">
        <v>307</v>
      </c>
      <c r="M69" s="431" t="s">
        <v>1046</v>
      </c>
    </row>
    <row r="70" spans="1:13" x14ac:dyDescent="0.2">
      <c r="A70" s="431" t="s">
        <v>1044</v>
      </c>
      <c r="B70" s="431">
        <v>1846256</v>
      </c>
      <c r="C70" s="431" t="s">
        <v>159</v>
      </c>
      <c r="D70" s="431" t="s">
        <v>160</v>
      </c>
      <c r="E70" s="431" t="s">
        <v>161</v>
      </c>
      <c r="F70" s="431" t="s">
        <v>1049</v>
      </c>
      <c r="G70" s="431" t="s">
        <v>175</v>
      </c>
      <c r="H70" s="431"/>
      <c r="I70" s="431"/>
      <c r="J70" s="431"/>
      <c r="K70" s="431"/>
      <c r="L70" s="431" t="s">
        <v>307</v>
      </c>
      <c r="M70" s="431" t="s">
        <v>1046</v>
      </c>
    </row>
    <row r="71" spans="1:13" x14ac:dyDescent="0.2">
      <c r="A71" s="431" t="s">
        <v>1044</v>
      </c>
      <c r="B71" s="431">
        <v>1846256</v>
      </c>
      <c r="C71" s="431" t="s">
        <v>159</v>
      </c>
      <c r="D71" s="431" t="s">
        <v>160</v>
      </c>
      <c r="E71" s="431" t="s">
        <v>161</v>
      </c>
      <c r="F71" s="431" t="s">
        <v>1049</v>
      </c>
      <c r="G71" s="431" t="s">
        <v>175</v>
      </c>
      <c r="H71" s="431"/>
      <c r="I71" s="431"/>
      <c r="J71" s="431"/>
      <c r="K71" s="431"/>
      <c r="L71" s="431" t="s">
        <v>307</v>
      </c>
      <c r="M71" s="431" t="s">
        <v>1046</v>
      </c>
    </row>
    <row r="72" spans="1:13" x14ac:dyDescent="0.2">
      <c r="A72" s="431" t="s">
        <v>1044</v>
      </c>
      <c r="B72" s="431">
        <v>1846256</v>
      </c>
      <c r="C72" s="431" t="s">
        <v>159</v>
      </c>
      <c r="D72" s="431" t="s">
        <v>160</v>
      </c>
      <c r="E72" s="431" t="s">
        <v>161</v>
      </c>
      <c r="F72" s="431" t="s">
        <v>1049</v>
      </c>
      <c r="G72" s="431" t="s">
        <v>175</v>
      </c>
      <c r="H72" s="431"/>
      <c r="I72" s="431"/>
      <c r="J72" s="431"/>
      <c r="K72" s="431"/>
      <c r="L72" s="431" t="s">
        <v>307</v>
      </c>
      <c r="M72" s="431" t="s">
        <v>1046</v>
      </c>
    </row>
    <row r="73" spans="1:13" x14ac:dyDescent="0.2">
      <c r="A73" s="431" t="s">
        <v>1044</v>
      </c>
      <c r="B73" s="431">
        <v>1846256</v>
      </c>
      <c r="C73" s="431" t="s">
        <v>159</v>
      </c>
      <c r="D73" s="431" t="s">
        <v>160</v>
      </c>
      <c r="E73" s="431" t="s">
        <v>161</v>
      </c>
      <c r="F73" s="431" t="s">
        <v>1049</v>
      </c>
      <c r="G73" s="431" t="s">
        <v>175</v>
      </c>
      <c r="H73" s="431"/>
      <c r="I73" s="431"/>
      <c r="J73" s="431"/>
      <c r="K73" s="431"/>
      <c r="L73" s="431" t="s">
        <v>307</v>
      </c>
      <c r="M73" s="431" t="s">
        <v>1046</v>
      </c>
    </row>
    <row r="74" spans="1:13" x14ac:dyDescent="0.2">
      <c r="A74" s="431" t="s">
        <v>1044</v>
      </c>
      <c r="B74" s="431">
        <v>1846256</v>
      </c>
      <c r="C74" s="431" t="s">
        <v>159</v>
      </c>
      <c r="D74" s="431" t="s">
        <v>160</v>
      </c>
      <c r="E74" s="431" t="s">
        <v>161</v>
      </c>
      <c r="F74" s="431" t="s">
        <v>1049</v>
      </c>
      <c r="G74" s="431" t="s">
        <v>175</v>
      </c>
      <c r="H74" s="431"/>
      <c r="I74" s="431"/>
      <c r="J74" s="431"/>
      <c r="K74" s="431"/>
      <c r="L74" s="431" t="s">
        <v>307</v>
      </c>
      <c r="M74" s="431" t="s">
        <v>1046</v>
      </c>
    </row>
    <row r="75" spans="1:13" x14ac:dyDescent="0.2">
      <c r="A75" s="431" t="s">
        <v>1044</v>
      </c>
      <c r="B75" s="431">
        <v>1846256</v>
      </c>
      <c r="C75" s="431" t="s">
        <v>159</v>
      </c>
      <c r="D75" s="431" t="s">
        <v>160</v>
      </c>
      <c r="E75" s="431" t="s">
        <v>161</v>
      </c>
      <c r="F75" s="431" t="s">
        <v>1049</v>
      </c>
      <c r="G75" s="431" t="s">
        <v>175</v>
      </c>
      <c r="H75" s="431"/>
      <c r="I75" s="431"/>
      <c r="J75" s="431"/>
      <c r="K75" s="431"/>
      <c r="L75" s="431" t="s">
        <v>307</v>
      </c>
      <c r="M75" s="431" t="s">
        <v>1046</v>
      </c>
    </row>
    <row r="76" spans="1:13" x14ac:dyDescent="0.2">
      <c r="A76" s="431" t="s">
        <v>1044</v>
      </c>
      <c r="B76" s="431">
        <v>1846256</v>
      </c>
      <c r="C76" s="431" t="s">
        <v>159</v>
      </c>
      <c r="D76" s="431" t="s">
        <v>160</v>
      </c>
      <c r="E76" s="431" t="s">
        <v>161</v>
      </c>
      <c r="F76" s="431" t="s">
        <v>1049</v>
      </c>
      <c r="G76" s="431" t="s">
        <v>175</v>
      </c>
      <c r="H76" s="431"/>
      <c r="I76" s="431"/>
      <c r="J76" s="431"/>
      <c r="K76" s="431"/>
      <c r="L76" s="431" t="s">
        <v>307</v>
      </c>
      <c r="M76" s="431" t="s">
        <v>1046</v>
      </c>
    </row>
    <row r="77" spans="1:13" x14ac:dyDescent="0.2">
      <c r="A77" s="431" t="s">
        <v>1044</v>
      </c>
      <c r="B77" s="431">
        <v>1846256</v>
      </c>
      <c r="C77" s="431" t="s">
        <v>159</v>
      </c>
      <c r="D77" s="431" t="s">
        <v>160</v>
      </c>
      <c r="E77" s="431" t="s">
        <v>161</v>
      </c>
      <c r="F77" s="431" t="s">
        <v>1049</v>
      </c>
      <c r="G77" s="431" t="s">
        <v>175</v>
      </c>
      <c r="H77" s="431"/>
      <c r="I77" s="431"/>
      <c r="J77" s="431"/>
      <c r="K77" s="431"/>
      <c r="L77" s="431" t="s">
        <v>307</v>
      </c>
      <c r="M77" s="431" t="s">
        <v>1046</v>
      </c>
    </row>
    <row r="78" spans="1:13" x14ac:dyDescent="0.2">
      <c r="A78" s="431" t="s">
        <v>1044</v>
      </c>
      <c r="B78" s="431">
        <v>1846256</v>
      </c>
      <c r="C78" s="431" t="s">
        <v>159</v>
      </c>
      <c r="D78" s="431" t="s">
        <v>160</v>
      </c>
      <c r="E78" s="431" t="s">
        <v>161</v>
      </c>
      <c r="F78" s="431" t="s">
        <v>1049</v>
      </c>
      <c r="G78" s="431" t="s">
        <v>175</v>
      </c>
      <c r="H78" s="431"/>
      <c r="I78" s="431"/>
      <c r="J78" s="431"/>
      <c r="K78" s="431"/>
      <c r="L78" s="431" t="s">
        <v>307</v>
      </c>
      <c r="M78" s="431" t="s">
        <v>1046</v>
      </c>
    </row>
    <row r="79" spans="1:13" x14ac:dyDescent="0.2">
      <c r="A79" s="431" t="s">
        <v>1044</v>
      </c>
      <c r="B79" s="431">
        <v>1846256</v>
      </c>
      <c r="C79" s="431" t="s">
        <v>159</v>
      </c>
      <c r="D79" s="431" t="s">
        <v>160</v>
      </c>
      <c r="E79" s="431" t="s">
        <v>161</v>
      </c>
      <c r="F79" s="431" t="s">
        <v>1049</v>
      </c>
      <c r="G79" s="431" t="s">
        <v>175</v>
      </c>
      <c r="H79" s="431"/>
      <c r="I79" s="431"/>
      <c r="J79" s="431"/>
      <c r="K79" s="431"/>
      <c r="L79" s="431" t="s">
        <v>307</v>
      </c>
      <c r="M79" s="431" t="s">
        <v>1046</v>
      </c>
    </row>
    <row r="80" spans="1:13" x14ac:dyDescent="0.2">
      <c r="A80" s="431" t="s">
        <v>1044</v>
      </c>
      <c r="B80" s="431">
        <v>1846256</v>
      </c>
      <c r="C80" s="431" t="s">
        <v>159</v>
      </c>
      <c r="D80" s="431" t="s">
        <v>160</v>
      </c>
      <c r="E80" s="431" t="s">
        <v>161</v>
      </c>
      <c r="F80" s="431" t="s">
        <v>1050</v>
      </c>
      <c r="G80" s="431" t="s">
        <v>175</v>
      </c>
      <c r="H80" s="431"/>
      <c r="I80" s="431"/>
      <c r="J80" s="431"/>
      <c r="K80" s="431"/>
      <c r="L80" s="431" t="s">
        <v>307</v>
      </c>
      <c r="M80" s="431" t="s">
        <v>1046</v>
      </c>
    </row>
    <row r="81" spans="1:13" x14ac:dyDescent="0.2">
      <c r="A81" s="431" t="s">
        <v>1044</v>
      </c>
      <c r="B81" s="431">
        <v>1846256</v>
      </c>
      <c r="C81" s="431" t="s">
        <v>159</v>
      </c>
      <c r="D81" s="431" t="s">
        <v>160</v>
      </c>
      <c r="E81" s="431" t="s">
        <v>161</v>
      </c>
      <c r="F81" s="431" t="s">
        <v>1050</v>
      </c>
      <c r="G81" s="431" t="s">
        <v>175</v>
      </c>
      <c r="H81" s="431"/>
      <c r="I81" s="431"/>
      <c r="J81" s="431"/>
      <c r="K81" s="431"/>
      <c r="L81" s="431" t="s">
        <v>307</v>
      </c>
      <c r="M81" s="431" t="s">
        <v>1046</v>
      </c>
    </row>
    <row r="82" spans="1:13" x14ac:dyDescent="0.2">
      <c r="A82" s="431" t="s">
        <v>1044</v>
      </c>
      <c r="B82" s="431">
        <v>1846256</v>
      </c>
      <c r="C82" s="431" t="s">
        <v>159</v>
      </c>
      <c r="D82" s="431" t="s">
        <v>160</v>
      </c>
      <c r="E82" s="431" t="s">
        <v>161</v>
      </c>
      <c r="F82" s="431" t="s">
        <v>1050</v>
      </c>
      <c r="G82" s="431" t="s">
        <v>175</v>
      </c>
      <c r="H82" s="431"/>
      <c r="I82" s="431"/>
      <c r="J82" s="431"/>
      <c r="K82" s="431"/>
      <c r="L82" s="431" t="s">
        <v>307</v>
      </c>
      <c r="M82" s="431" t="s">
        <v>1046</v>
      </c>
    </row>
    <row r="83" spans="1:13" x14ac:dyDescent="0.2">
      <c r="A83" s="431" t="s">
        <v>1044</v>
      </c>
      <c r="B83" s="431">
        <v>1846256</v>
      </c>
      <c r="C83" s="431" t="s">
        <v>159</v>
      </c>
      <c r="D83" s="431" t="s">
        <v>160</v>
      </c>
      <c r="E83" s="431" t="s">
        <v>161</v>
      </c>
      <c r="F83" s="431" t="s">
        <v>1050</v>
      </c>
      <c r="G83" s="431" t="s">
        <v>175</v>
      </c>
      <c r="H83" s="431"/>
      <c r="I83" s="431"/>
      <c r="J83" s="431"/>
      <c r="K83" s="431"/>
      <c r="L83" s="431" t="s">
        <v>307</v>
      </c>
      <c r="M83" s="431" t="s">
        <v>1046</v>
      </c>
    </row>
    <row r="84" spans="1:13" x14ac:dyDescent="0.2">
      <c r="A84" s="431" t="s">
        <v>1044</v>
      </c>
      <c r="B84" s="431">
        <v>1846256</v>
      </c>
      <c r="C84" s="431" t="s">
        <v>159</v>
      </c>
      <c r="D84" s="431" t="s">
        <v>160</v>
      </c>
      <c r="E84" s="431" t="s">
        <v>161</v>
      </c>
      <c r="F84" s="431" t="s">
        <v>1050</v>
      </c>
      <c r="G84" s="431" t="s">
        <v>175</v>
      </c>
      <c r="H84" s="431"/>
      <c r="I84" s="431"/>
      <c r="J84" s="431"/>
      <c r="K84" s="431"/>
      <c r="L84" s="431" t="s">
        <v>307</v>
      </c>
      <c r="M84" s="431" t="s">
        <v>1046</v>
      </c>
    </row>
    <row r="85" spans="1:13" x14ac:dyDescent="0.2">
      <c r="A85" s="431" t="s">
        <v>1044</v>
      </c>
      <c r="B85" s="431">
        <v>1846256</v>
      </c>
      <c r="C85" s="431" t="s">
        <v>159</v>
      </c>
      <c r="D85" s="431" t="s">
        <v>160</v>
      </c>
      <c r="E85" s="431" t="s">
        <v>161</v>
      </c>
      <c r="F85" s="431" t="s">
        <v>1050</v>
      </c>
      <c r="G85" s="431" t="s">
        <v>175</v>
      </c>
      <c r="H85" s="431"/>
      <c r="I85" s="431"/>
      <c r="J85" s="431"/>
      <c r="K85" s="431"/>
      <c r="L85" s="431" t="s">
        <v>307</v>
      </c>
      <c r="M85" s="431" t="s">
        <v>1046</v>
      </c>
    </row>
    <row r="86" spans="1:13" x14ac:dyDescent="0.2">
      <c r="A86" s="431" t="s">
        <v>1044</v>
      </c>
      <c r="B86" s="431">
        <v>1846256</v>
      </c>
      <c r="C86" s="431" t="s">
        <v>159</v>
      </c>
      <c r="D86" s="431" t="s">
        <v>160</v>
      </c>
      <c r="E86" s="431" t="s">
        <v>161</v>
      </c>
      <c r="F86" s="431" t="s">
        <v>1050</v>
      </c>
      <c r="G86" s="431" t="s">
        <v>175</v>
      </c>
      <c r="H86" s="431"/>
      <c r="I86" s="431"/>
      <c r="J86" s="431"/>
      <c r="K86" s="431"/>
      <c r="L86" s="431" t="s">
        <v>307</v>
      </c>
      <c r="M86" s="431" t="s">
        <v>1046</v>
      </c>
    </row>
    <row r="87" spans="1:13" x14ac:dyDescent="0.2">
      <c r="A87" s="431" t="s">
        <v>1044</v>
      </c>
      <c r="B87" s="431">
        <v>1846256</v>
      </c>
      <c r="C87" s="431" t="s">
        <v>159</v>
      </c>
      <c r="D87" s="431" t="s">
        <v>160</v>
      </c>
      <c r="E87" s="431" t="s">
        <v>161</v>
      </c>
      <c r="F87" s="431" t="s">
        <v>1050</v>
      </c>
      <c r="G87" s="431" t="s">
        <v>175</v>
      </c>
      <c r="H87" s="431"/>
      <c r="I87" s="431"/>
      <c r="J87" s="431"/>
      <c r="K87" s="431"/>
      <c r="L87" s="431" t="s">
        <v>307</v>
      </c>
      <c r="M87" s="431" t="s">
        <v>1046</v>
      </c>
    </row>
    <row r="88" spans="1:13" x14ac:dyDescent="0.2">
      <c r="A88" s="431" t="s">
        <v>1044</v>
      </c>
      <c r="B88" s="431">
        <v>1846256</v>
      </c>
      <c r="C88" s="431" t="s">
        <v>159</v>
      </c>
      <c r="D88" s="431" t="s">
        <v>160</v>
      </c>
      <c r="E88" s="431" t="s">
        <v>161</v>
      </c>
      <c r="F88" s="431" t="s">
        <v>1050</v>
      </c>
      <c r="G88" s="431" t="s">
        <v>175</v>
      </c>
      <c r="H88" s="431"/>
      <c r="I88" s="431"/>
      <c r="J88" s="431"/>
      <c r="K88" s="431"/>
      <c r="L88" s="431" t="s">
        <v>307</v>
      </c>
      <c r="M88" s="431" t="s">
        <v>1046</v>
      </c>
    </row>
    <row r="89" spans="1:13" x14ac:dyDescent="0.2">
      <c r="A89" s="431" t="s">
        <v>1044</v>
      </c>
      <c r="B89" s="431">
        <v>1846256</v>
      </c>
      <c r="C89" s="431" t="s">
        <v>159</v>
      </c>
      <c r="D89" s="431" t="s">
        <v>160</v>
      </c>
      <c r="E89" s="431" t="s">
        <v>161</v>
      </c>
      <c r="F89" s="431" t="s">
        <v>1050</v>
      </c>
      <c r="G89" s="431" t="s">
        <v>175</v>
      </c>
      <c r="H89" s="431"/>
      <c r="I89" s="431"/>
      <c r="J89" s="431"/>
      <c r="K89" s="431"/>
      <c r="L89" s="431" t="s">
        <v>307</v>
      </c>
      <c r="M89" s="431" t="s">
        <v>1046</v>
      </c>
    </row>
    <row r="90" spans="1:13" x14ac:dyDescent="0.2">
      <c r="A90" s="431" t="s">
        <v>1044</v>
      </c>
      <c r="B90" s="431">
        <v>1846256</v>
      </c>
      <c r="C90" s="431" t="s">
        <v>159</v>
      </c>
      <c r="D90" s="431" t="s">
        <v>160</v>
      </c>
      <c r="E90" s="431" t="s">
        <v>161</v>
      </c>
      <c r="F90" s="431" t="s">
        <v>1050</v>
      </c>
      <c r="G90" s="431" t="s">
        <v>175</v>
      </c>
      <c r="H90" s="431"/>
      <c r="I90" s="431"/>
      <c r="J90" s="431"/>
      <c r="K90" s="431"/>
      <c r="L90" s="431" t="s">
        <v>307</v>
      </c>
      <c r="M90" s="431" t="s">
        <v>1046</v>
      </c>
    </row>
    <row r="91" spans="1:13" x14ac:dyDescent="0.2">
      <c r="A91" s="431" t="s">
        <v>1044</v>
      </c>
      <c r="B91" s="431">
        <v>1846256</v>
      </c>
      <c r="C91" s="431" t="s">
        <v>159</v>
      </c>
      <c r="D91" s="431" t="s">
        <v>160</v>
      </c>
      <c r="E91" s="431" t="s">
        <v>161</v>
      </c>
      <c r="F91" s="431" t="s">
        <v>1050</v>
      </c>
      <c r="G91" s="431" t="s">
        <v>175</v>
      </c>
      <c r="H91" s="431"/>
      <c r="I91" s="431"/>
      <c r="J91" s="431"/>
      <c r="K91" s="431"/>
      <c r="L91" s="431" t="s">
        <v>307</v>
      </c>
      <c r="M91" s="431" t="s">
        <v>1046</v>
      </c>
    </row>
    <row r="92" spans="1:13" x14ac:dyDescent="0.2">
      <c r="A92" s="431" t="s">
        <v>1044</v>
      </c>
      <c r="B92" s="431">
        <v>1846256</v>
      </c>
      <c r="C92" s="431" t="s">
        <v>159</v>
      </c>
      <c r="D92" s="431" t="s">
        <v>160</v>
      </c>
      <c r="E92" s="431" t="s">
        <v>161</v>
      </c>
      <c r="F92" s="431" t="s">
        <v>1050</v>
      </c>
      <c r="G92" s="431" t="s">
        <v>175</v>
      </c>
      <c r="H92" s="431"/>
      <c r="I92" s="431"/>
      <c r="J92" s="431"/>
      <c r="K92" s="431"/>
      <c r="L92" s="431" t="s">
        <v>307</v>
      </c>
      <c r="M92" s="431" t="s">
        <v>1046</v>
      </c>
    </row>
    <row r="93" spans="1:13" x14ac:dyDescent="0.2">
      <c r="A93" s="431" t="s">
        <v>1044</v>
      </c>
      <c r="B93" s="431">
        <v>1846256</v>
      </c>
      <c r="C93" s="431" t="s">
        <v>159</v>
      </c>
      <c r="D93" s="431" t="s">
        <v>160</v>
      </c>
      <c r="E93" s="431" t="s">
        <v>161</v>
      </c>
      <c r="F93" s="431" t="s">
        <v>1050</v>
      </c>
      <c r="G93" s="431" t="s">
        <v>175</v>
      </c>
      <c r="H93" s="431"/>
      <c r="I93" s="431"/>
      <c r="J93" s="431"/>
      <c r="K93" s="431"/>
      <c r="L93" s="431" t="s">
        <v>307</v>
      </c>
      <c r="M93" s="431" t="s">
        <v>1046</v>
      </c>
    </row>
    <row r="94" spans="1:13" x14ac:dyDescent="0.2">
      <c r="A94" s="431" t="s">
        <v>1044</v>
      </c>
      <c r="B94" s="431">
        <v>1846256</v>
      </c>
      <c r="C94" s="431" t="s">
        <v>159</v>
      </c>
      <c r="D94" s="431" t="s">
        <v>160</v>
      </c>
      <c r="E94" s="431" t="s">
        <v>161</v>
      </c>
      <c r="F94" s="431" t="s">
        <v>1050</v>
      </c>
      <c r="G94" s="431" t="s">
        <v>175</v>
      </c>
      <c r="H94" s="431"/>
      <c r="I94" s="431"/>
      <c r="J94" s="431"/>
      <c r="K94" s="431"/>
      <c r="L94" s="431" t="s">
        <v>307</v>
      </c>
      <c r="M94" s="431" t="s">
        <v>1046</v>
      </c>
    </row>
    <row r="95" spans="1:13" x14ac:dyDescent="0.2">
      <c r="A95" s="431" t="s">
        <v>1044</v>
      </c>
      <c r="B95" s="431">
        <v>1846256</v>
      </c>
      <c r="C95" s="431" t="s">
        <v>159</v>
      </c>
      <c r="D95" s="431" t="s">
        <v>160</v>
      </c>
      <c r="E95" s="431" t="s">
        <v>161</v>
      </c>
      <c r="F95" s="431" t="s">
        <v>1050</v>
      </c>
      <c r="G95" s="431" t="s">
        <v>175</v>
      </c>
      <c r="H95" s="431"/>
      <c r="I95" s="431"/>
      <c r="J95" s="431"/>
      <c r="K95" s="431"/>
      <c r="L95" s="431" t="s">
        <v>307</v>
      </c>
      <c r="M95" s="431" t="s">
        <v>1046</v>
      </c>
    </row>
    <row r="96" spans="1:13" x14ac:dyDescent="0.2">
      <c r="A96" s="431" t="s">
        <v>1044</v>
      </c>
      <c r="B96" s="431">
        <v>1846256</v>
      </c>
      <c r="C96" s="431" t="s">
        <v>159</v>
      </c>
      <c r="D96" s="431" t="s">
        <v>160</v>
      </c>
      <c r="E96" s="431" t="s">
        <v>161</v>
      </c>
      <c r="F96" s="431" t="s">
        <v>1050</v>
      </c>
      <c r="G96" s="431" t="s">
        <v>175</v>
      </c>
      <c r="H96" s="431"/>
      <c r="I96" s="431"/>
      <c r="J96" s="431"/>
      <c r="K96" s="431"/>
      <c r="L96" s="431" t="s">
        <v>307</v>
      </c>
      <c r="M96" s="431" t="s">
        <v>1046</v>
      </c>
    </row>
    <row r="97" spans="1:13" x14ac:dyDescent="0.2">
      <c r="A97" s="431" t="s">
        <v>1044</v>
      </c>
      <c r="B97" s="431">
        <v>1846256</v>
      </c>
      <c r="C97" s="431" t="s">
        <v>159</v>
      </c>
      <c r="D97" s="431" t="s">
        <v>160</v>
      </c>
      <c r="E97" s="431" t="s">
        <v>161</v>
      </c>
      <c r="F97" s="431" t="s">
        <v>1050</v>
      </c>
      <c r="G97" s="431" t="s">
        <v>175</v>
      </c>
      <c r="H97" s="431"/>
      <c r="I97" s="431"/>
      <c r="J97" s="431"/>
      <c r="K97" s="431"/>
      <c r="L97" s="431" t="s">
        <v>307</v>
      </c>
      <c r="M97" s="431" t="s">
        <v>1046</v>
      </c>
    </row>
    <row r="98" spans="1:13" x14ac:dyDescent="0.2">
      <c r="A98" s="431" t="s">
        <v>1051</v>
      </c>
      <c r="B98" s="431">
        <v>1846286</v>
      </c>
      <c r="C98" s="431" t="s">
        <v>159</v>
      </c>
      <c r="D98" s="431" t="s">
        <v>160</v>
      </c>
      <c r="E98" s="431" t="s">
        <v>161</v>
      </c>
      <c r="F98" s="431" t="s">
        <v>1045</v>
      </c>
      <c r="G98" s="431" t="s">
        <v>175</v>
      </c>
      <c r="H98" s="431"/>
      <c r="I98" s="431"/>
      <c r="J98" s="431"/>
      <c r="K98" s="431"/>
      <c r="L98" s="431" t="s">
        <v>163</v>
      </c>
      <c r="M98" s="431" t="s">
        <v>1052</v>
      </c>
    </row>
    <row r="99" spans="1:13" x14ac:dyDescent="0.2">
      <c r="A99" s="431" t="s">
        <v>1051</v>
      </c>
      <c r="B99" s="431">
        <v>1846286</v>
      </c>
      <c r="C99" s="431" t="s">
        <v>159</v>
      </c>
      <c r="D99" s="431" t="s">
        <v>160</v>
      </c>
      <c r="E99" s="431" t="s">
        <v>161</v>
      </c>
      <c r="F99" s="431" t="s">
        <v>1047</v>
      </c>
      <c r="G99" s="431" t="s">
        <v>175</v>
      </c>
      <c r="H99" s="431"/>
      <c r="I99" s="431"/>
      <c r="J99" s="431"/>
      <c r="K99" s="431"/>
      <c r="L99" s="431" t="s">
        <v>163</v>
      </c>
      <c r="M99" s="431" t="s">
        <v>1052</v>
      </c>
    </row>
    <row r="100" spans="1:13" x14ac:dyDescent="0.2">
      <c r="A100" s="431" t="s">
        <v>1053</v>
      </c>
      <c r="B100" s="431">
        <v>1846318</v>
      </c>
      <c r="C100" s="431" t="s">
        <v>159</v>
      </c>
      <c r="D100" s="431" t="s">
        <v>160</v>
      </c>
      <c r="E100" s="431" t="s">
        <v>161</v>
      </c>
      <c r="F100" s="431" t="s">
        <v>1048</v>
      </c>
      <c r="G100" s="431" t="s">
        <v>175</v>
      </c>
      <c r="H100" s="431"/>
      <c r="I100" s="431"/>
      <c r="J100" s="431"/>
      <c r="K100" s="431"/>
      <c r="L100" s="431" t="s">
        <v>255</v>
      </c>
      <c r="M100" s="431" t="s">
        <v>1054</v>
      </c>
    </row>
    <row r="101" spans="1:13" x14ac:dyDescent="0.2">
      <c r="A101" s="431" t="s">
        <v>1053</v>
      </c>
      <c r="B101" s="431">
        <v>1846318</v>
      </c>
      <c r="C101" s="431" t="s">
        <v>159</v>
      </c>
      <c r="D101" s="431" t="s">
        <v>160</v>
      </c>
      <c r="E101" s="431" t="s">
        <v>161</v>
      </c>
      <c r="F101" s="431" t="s">
        <v>1055</v>
      </c>
      <c r="G101" s="431" t="s">
        <v>175</v>
      </c>
      <c r="H101" s="431"/>
      <c r="I101" s="431"/>
      <c r="J101" s="431"/>
      <c r="K101" s="431"/>
      <c r="L101" s="431" t="s">
        <v>255</v>
      </c>
      <c r="M101" s="431" t="s">
        <v>1054</v>
      </c>
    </row>
    <row r="102" spans="1:13" x14ac:dyDescent="0.2">
      <c r="A102" s="431" t="s">
        <v>1056</v>
      </c>
      <c r="B102" s="431">
        <v>1846331</v>
      </c>
      <c r="C102" s="431" t="s">
        <v>159</v>
      </c>
      <c r="D102" s="431" t="s">
        <v>160</v>
      </c>
      <c r="E102" s="431" t="s">
        <v>161</v>
      </c>
      <c r="F102" s="431" t="s">
        <v>1057</v>
      </c>
      <c r="G102" s="431" t="s">
        <v>175</v>
      </c>
      <c r="H102" s="431"/>
      <c r="I102" s="431"/>
      <c r="J102" s="431"/>
      <c r="K102" s="431"/>
      <c r="L102" s="431" t="s">
        <v>721</v>
      </c>
      <c r="M102" s="431" t="s">
        <v>1058</v>
      </c>
    </row>
    <row r="103" spans="1:13" x14ac:dyDescent="0.2">
      <c r="A103" s="431" t="s">
        <v>1059</v>
      </c>
      <c r="B103" s="431">
        <v>1846345</v>
      </c>
      <c r="C103" s="431" t="s">
        <v>159</v>
      </c>
      <c r="D103" s="431" t="s">
        <v>160</v>
      </c>
      <c r="E103" s="431" t="s">
        <v>161</v>
      </c>
      <c r="F103" s="431" t="s">
        <v>1060</v>
      </c>
      <c r="G103" s="431" t="s">
        <v>175</v>
      </c>
      <c r="H103" s="431"/>
      <c r="I103" s="431"/>
      <c r="J103" s="431"/>
      <c r="K103" s="431"/>
      <c r="L103" s="431" t="s">
        <v>163</v>
      </c>
      <c r="M103" s="431" t="s">
        <v>1061</v>
      </c>
    </row>
    <row r="104" spans="1:13" x14ac:dyDescent="0.2">
      <c r="A104" s="431" t="s">
        <v>1062</v>
      </c>
      <c r="B104" s="431">
        <v>1846088</v>
      </c>
      <c r="C104" s="431" t="s">
        <v>159</v>
      </c>
      <c r="D104" s="431" t="s">
        <v>160</v>
      </c>
      <c r="E104" s="431" t="s">
        <v>161</v>
      </c>
      <c r="F104" s="431" t="s">
        <v>1063</v>
      </c>
      <c r="G104" s="431" t="s">
        <v>175</v>
      </c>
      <c r="H104" s="431"/>
      <c r="I104" s="431"/>
      <c r="J104" s="431"/>
      <c r="K104" s="431"/>
      <c r="L104" s="431" t="s">
        <v>511</v>
      </c>
      <c r="M104" s="431" t="s">
        <v>1064</v>
      </c>
    </row>
    <row r="105" spans="1:13" x14ac:dyDescent="0.2">
      <c r="A105" s="431" t="s">
        <v>1062</v>
      </c>
      <c r="B105" s="431">
        <v>1846088</v>
      </c>
      <c r="C105" s="431" t="s">
        <v>159</v>
      </c>
      <c r="D105" s="431" t="s">
        <v>160</v>
      </c>
      <c r="E105" s="431" t="s">
        <v>161</v>
      </c>
      <c r="F105" s="431" t="s">
        <v>1065</v>
      </c>
      <c r="G105" s="431" t="s">
        <v>175</v>
      </c>
      <c r="H105" s="431"/>
      <c r="I105" s="431"/>
      <c r="J105" s="431"/>
      <c r="K105" s="431"/>
      <c r="L105" s="431" t="s">
        <v>511</v>
      </c>
      <c r="M105" s="431" t="s">
        <v>1064</v>
      </c>
    </row>
    <row r="106" spans="1:13" x14ac:dyDescent="0.2">
      <c r="A106" s="431" t="s">
        <v>1062</v>
      </c>
      <c r="B106" s="431">
        <v>1846088</v>
      </c>
      <c r="C106" s="431" t="s">
        <v>159</v>
      </c>
      <c r="D106" s="431" t="s">
        <v>160</v>
      </c>
      <c r="E106" s="431" t="s">
        <v>161</v>
      </c>
      <c r="F106" s="431" t="s">
        <v>1066</v>
      </c>
      <c r="G106" s="431" t="s">
        <v>175</v>
      </c>
      <c r="H106" s="431"/>
      <c r="I106" s="431"/>
      <c r="J106" s="431"/>
      <c r="K106" s="431"/>
      <c r="L106" s="431" t="s">
        <v>511</v>
      </c>
      <c r="M106" s="431" t="s">
        <v>1064</v>
      </c>
    </row>
    <row r="107" spans="1:13" x14ac:dyDescent="0.2">
      <c r="A107" s="431" t="s">
        <v>1067</v>
      </c>
      <c r="B107" s="431">
        <v>1846096</v>
      </c>
      <c r="C107" s="431" t="s">
        <v>159</v>
      </c>
      <c r="D107" s="431" t="s">
        <v>160</v>
      </c>
      <c r="E107" s="431" t="s">
        <v>161</v>
      </c>
      <c r="F107" s="431" t="s">
        <v>1066</v>
      </c>
      <c r="G107" s="431" t="s">
        <v>175</v>
      </c>
      <c r="H107" s="431"/>
      <c r="I107" s="431"/>
      <c r="J107" s="431"/>
      <c r="K107" s="431"/>
      <c r="L107" s="431" t="s">
        <v>511</v>
      </c>
      <c r="M107" s="431" t="s">
        <v>1068</v>
      </c>
    </row>
    <row r="108" spans="1:13" x14ac:dyDescent="0.2">
      <c r="A108" s="431" t="s">
        <v>1069</v>
      </c>
      <c r="B108" s="431">
        <v>1846101</v>
      </c>
      <c r="C108" s="431" t="s">
        <v>159</v>
      </c>
      <c r="D108" s="431" t="s">
        <v>160</v>
      </c>
      <c r="E108" s="431" t="s">
        <v>161</v>
      </c>
      <c r="F108" s="431" t="s">
        <v>1063</v>
      </c>
      <c r="G108" s="431" t="s">
        <v>175</v>
      </c>
      <c r="H108" s="431"/>
      <c r="I108" s="431"/>
      <c r="J108" s="431"/>
      <c r="K108" s="431"/>
      <c r="L108" s="431" t="s">
        <v>511</v>
      </c>
      <c r="M108" s="431" t="s">
        <v>1070</v>
      </c>
    </row>
    <row r="109" spans="1:13" x14ac:dyDescent="0.2">
      <c r="A109" s="431" t="s">
        <v>1069</v>
      </c>
      <c r="B109" s="431">
        <v>1846101</v>
      </c>
      <c r="C109" s="431" t="s">
        <v>159</v>
      </c>
      <c r="D109" s="431" t="s">
        <v>160</v>
      </c>
      <c r="E109" s="431" t="s">
        <v>161</v>
      </c>
      <c r="F109" s="431" t="s">
        <v>1065</v>
      </c>
      <c r="G109" s="431" t="s">
        <v>175</v>
      </c>
      <c r="H109" s="431"/>
      <c r="I109" s="431"/>
      <c r="J109" s="431"/>
      <c r="K109" s="431"/>
      <c r="L109" s="431" t="s">
        <v>511</v>
      </c>
      <c r="M109" s="431" t="s">
        <v>1070</v>
      </c>
    </row>
    <row r="110" spans="1:13" x14ac:dyDescent="0.2">
      <c r="A110" s="431" t="s">
        <v>1069</v>
      </c>
      <c r="B110" s="431">
        <v>1846101</v>
      </c>
      <c r="C110" s="431" t="s">
        <v>159</v>
      </c>
      <c r="D110" s="431" t="s">
        <v>160</v>
      </c>
      <c r="E110" s="431" t="s">
        <v>161</v>
      </c>
      <c r="F110" s="431" t="s">
        <v>1066</v>
      </c>
      <c r="G110" s="431" t="s">
        <v>175</v>
      </c>
      <c r="H110" s="431"/>
      <c r="I110" s="431"/>
      <c r="J110" s="431"/>
      <c r="K110" s="431"/>
      <c r="L110" s="431" t="s">
        <v>511</v>
      </c>
      <c r="M110" s="431" t="s">
        <v>1070</v>
      </c>
    </row>
    <row r="111" spans="1:13" x14ac:dyDescent="0.2">
      <c r="A111" s="431" t="s">
        <v>1071</v>
      </c>
      <c r="B111" s="431">
        <v>1846109</v>
      </c>
      <c r="C111" s="431" t="s">
        <v>170</v>
      </c>
      <c r="D111" s="431" t="s">
        <v>160</v>
      </c>
      <c r="E111" s="431" t="s">
        <v>161</v>
      </c>
      <c r="F111" s="431" t="s">
        <v>1072</v>
      </c>
      <c r="G111" s="431" t="s">
        <v>175</v>
      </c>
      <c r="H111" s="431"/>
      <c r="I111" s="431"/>
      <c r="J111" s="431"/>
      <c r="K111" s="431"/>
      <c r="L111" s="431" t="s">
        <v>473</v>
      </c>
      <c r="M111" s="431" t="s">
        <v>1073</v>
      </c>
    </row>
    <row r="112" spans="1:13" x14ac:dyDescent="0.2">
      <c r="A112" s="431" t="s">
        <v>1074</v>
      </c>
      <c r="B112" s="431">
        <v>1821109</v>
      </c>
      <c r="C112" s="431" t="s">
        <v>159</v>
      </c>
      <c r="D112" s="431" t="s">
        <v>160</v>
      </c>
      <c r="E112" s="431" t="s">
        <v>161</v>
      </c>
      <c r="F112" s="431" t="s">
        <v>1075</v>
      </c>
      <c r="G112" s="431" t="s">
        <v>175</v>
      </c>
      <c r="H112" s="431"/>
      <c r="I112" s="431"/>
      <c r="J112" s="431"/>
      <c r="K112" s="431"/>
      <c r="L112" s="431" t="s">
        <v>511</v>
      </c>
      <c r="M112" s="431" t="s">
        <v>1076</v>
      </c>
    </row>
    <row r="113" spans="1:13" x14ac:dyDescent="0.2">
      <c r="A113" s="431" t="s">
        <v>1074</v>
      </c>
      <c r="B113" s="431">
        <v>1821109</v>
      </c>
      <c r="C113" s="431" t="s">
        <v>159</v>
      </c>
      <c r="D113" s="431" t="s">
        <v>160</v>
      </c>
      <c r="E113" s="431" t="s">
        <v>161</v>
      </c>
      <c r="F113" s="431" t="s">
        <v>1077</v>
      </c>
      <c r="G113" s="431" t="s">
        <v>175</v>
      </c>
      <c r="H113" s="431"/>
      <c r="I113" s="431"/>
      <c r="J113" s="431"/>
      <c r="K113" s="431"/>
      <c r="L113" s="431" t="s">
        <v>511</v>
      </c>
      <c r="M113" s="431" t="s">
        <v>1076</v>
      </c>
    </row>
    <row r="114" spans="1:13" x14ac:dyDescent="0.2">
      <c r="A114" s="431" t="s">
        <v>1078</v>
      </c>
      <c r="B114" s="431">
        <v>1821110</v>
      </c>
      <c r="C114" s="431" t="s">
        <v>159</v>
      </c>
      <c r="D114" s="431" t="s">
        <v>160</v>
      </c>
      <c r="E114" s="431" t="s">
        <v>161</v>
      </c>
      <c r="F114" s="431" t="s">
        <v>1075</v>
      </c>
      <c r="G114" s="431" t="s">
        <v>175</v>
      </c>
      <c r="H114" s="431"/>
      <c r="I114" s="431"/>
      <c r="J114" s="431"/>
      <c r="K114" s="431"/>
      <c r="L114" s="431" t="s">
        <v>511</v>
      </c>
      <c r="M114" s="431" t="s">
        <v>1070</v>
      </c>
    </row>
    <row r="115" spans="1:13" x14ac:dyDescent="0.2">
      <c r="A115" s="431" t="s">
        <v>1078</v>
      </c>
      <c r="B115" s="431">
        <v>1821110</v>
      </c>
      <c r="C115" s="431" t="s">
        <v>159</v>
      </c>
      <c r="D115" s="431" t="s">
        <v>160</v>
      </c>
      <c r="E115" s="431" t="s">
        <v>161</v>
      </c>
      <c r="F115" s="431" t="s">
        <v>1077</v>
      </c>
      <c r="G115" s="431" t="s">
        <v>175</v>
      </c>
      <c r="H115" s="431"/>
      <c r="I115" s="431"/>
      <c r="J115" s="431"/>
      <c r="K115" s="431"/>
      <c r="L115" s="431" t="s">
        <v>511</v>
      </c>
      <c r="M115" s="431" t="s">
        <v>1070</v>
      </c>
    </row>
    <row r="116" spans="1:13" x14ac:dyDescent="0.2">
      <c r="A116" s="431" t="s">
        <v>1079</v>
      </c>
      <c r="B116" s="431">
        <v>1821111</v>
      </c>
      <c r="C116" s="431" t="s">
        <v>159</v>
      </c>
      <c r="D116" s="431" t="s">
        <v>160</v>
      </c>
      <c r="E116" s="431" t="s">
        <v>161</v>
      </c>
      <c r="F116" s="431" t="s">
        <v>1080</v>
      </c>
      <c r="G116" s="431" t="s">
        <v>175</v>
      </c>
      <c r="H116" s="431"/>
      <c r="I116" s="431"/>
      <c r="J116" s="431"/>
      <c r="K116" s="431"/>
      <c r="L116" s="431" t="s">
        <v>511</v>
      </c>
      <c r="M116" s="431" t="s">
        <v>1081</v>
      </c>
    </row>
    <row r="117" spans="1:13" x14ac:dyDescent="0.2">
      <c r="A117" s="431" t="s">
        <v>1082</v>
      </c>
      <c r="B117" s="431">
        <v>1821113</v>
      </c>
      <c r="C117" s="431" t="s">
        <v>159</v>
      </c>
      <c r="D117" s="431" t="s">
        <v>160</v>
      </c>
      <c r="E117" s="431" t="s">
        <v>161</v>
      </c>
      <c r="F117" s="431" t="s">
        <v>909</v>
      </c>
      <c r="G117" s="431" t="s">
        <v>175</v>
      </c>
      <c r="H117" s="431"/>
      <c r="I117" s="431"/>
      <c r="J117" s="431"/>
      <c r="K117" s="431"/>
      <c r="L117" s="431" t="s">
        <v>473</v>
      </c>
      <c r="M117" s="431" t="s">
        <v>1083</v>
      </c>
    </row>
    <row r="118" spans="1:13" x14ac:dyDescent="0.2">
      <c r="A118" s="431" t="s">
        <v>1084</v>
      </c>
      <c r="B118" s="431">
        <v>1846160</v>
      </c>
      <c r="C118" s="431" t="s">
        <v>159</v>
      </c>
      <c r="D118" s="431" t="s">
        <v>160</v>
      </c>
      <c r="E118" s="431" t="s">
        <v>161</v>
      </c>
      <c r="F118" s="431" t="s">
        <v>1085</v>
      </c>
      <c r="G118" s="431" t="s">
        <v>175</v>
      </c>
      <c r="H118" s="431"/>
      <c r="I118" s="431"/>
      <c r="J118" s="431"/>
      <c r="K118" s="431"/>
      <c r="L118" s="431" t="s">
        <v>163</v>
      </c>
      <c r="M118" s="431" t="s">
        <v>1086</v>
      </c>
    </row>
    <row r="119" spans="1:13" x14ac:dyDescent="0.2">
      <c r="A119" s="431" t="s">
        <v>1084</v>
      </c>
      <c r="B119" s="431">
        <v>1846160</v>
      </c>
      <c r="C119" s="431" t="s">
        <v>159</v>
      </c>
      <c r="D119" s="431" t="s">
        <v>160</v>
      </c>
      <c r="E119" s="431" t="s">
        <v>161</v>
      </c>
      <c r="F119" s="431" t="s">
        <v>1087</v>
      </c>
      <c r="G119" s="431" t="s">
        <v>175</v>
      </c>
      <c r="H119" s="431"/>
      <c r="I119" s="431"/>
      <c r="J119" s="431"/>
      <c r="K119" s="431"/>
      <c r="L119" s="431" t="s">
        <v>163</v>
      </c>
      <c r="M119" s="431" t="s">
        <v>1086</v>
      </c>
    </row>
    <row r="120" spans="1:13" x14ac:dyDescent="0.2">
      <c r="A120" s="431" t="s">
        <v>1084</v>
      </c>
      <c r="B120" s="431">
        <v>1846160</v>
      </c>
      <c r="C120" s="431" t="s">
        <v>159</v>
      </c>
      <c r="D120" s="431" t="s">
        <v>160</v>
      </c>
      <c r="E120" s="431" t="s">
        <v>161</v>
      </c>
      <c r="F120" s="431" t="s">
        <v>1088</v>
      </c>
      <c r="G120" s="431" t="s">
        <v>175</v>
      </c>
      <c r="H120" s="431"/>
      <c r="I120" s="431"/>
      <c r="J120" s="431"/>
      <c r="K120" s="431"/>
      <c r="L120" s="431" t="s">
        <v>163</v>
      </c>
      <c r="M120" s="431" t="s">
        <v>1086</v>
      </c>
    </row>
    <row r="121" spans="1:13" x14ac:dyDescent="0.2">
      <c r="A121" s="431" t="s">
        <v>1089</v>
      </c>
      <c r="B121" s="431">
        <v>1821100</v>
      </c>
      <c r="C121" s="431" t="s">
        <v>159</v>
      </c>
      <c r="D121" s="431" t="s">
        <v>160</v>
      </c>
      <c r="E121" s="431" t="s">
        <v>161</v>
      </c>
      <c r="F121" s="431" t="s">
        <v>1090</v>
      </c>
      <c r="G121" s="431" t="s">
        <v>175</v>
      </c>
      <c r="H121" s="431"/>
      <c r="I121" s="431"/>
      <c r="J121" s="431"/>
      <c r="K121" s="431"/>
      <c r="L121" s="431" t="s">
        <v>163</v>
      </c>
      <c r="M121" s="431" t="s">
        <v>1091</v>
      </c>
    </row>
    <row r="122" spans="1:13" x14ac:dyDescent="0.2">
      <c r="A122" s="431" t="s">
        <v>1089</v>
      </c>
      <c r="B122" s="431">
        <v>1821100</v>
      </c>
      <c r="C122" s="431" t="s">
        <v>159</v>
      </c>
      <c r="D122" s="431" t="s">
        <v>160</v>
      </c>
      <c r="E122" s="431" t="s">
        <v>161</v>
      </c>
      <c r="F122" s="431" t="s">
        <v>1092</v>
      </c>
      <c r="G122" s="431" t="s">
        <v>175</v>
      </c>
      <c r="H122" s="431"/>
      <c r="I122" s="431"/>
      <c r="J122" s="431"/>
      <c r="K122" s="431"/>
      <c r="L122" s="431" t="s">
        <v>163</v>
      </c>
      <c r="M122" s="431" t="s">
        <v>1091</v>
      </c>
    </row>
    <row r="123" spans="1:13" x14ac:dyDescent="0.2">
      <c r="A123" s="431" t="s">
        <v>1089</v>
      </c>
      <c r="B123" s="431">
        <v>1821100</v>
      </c>
      <c r="C123" s="431" t="s">
        <v>159</v>
      </c>
      <c r="D123" s="431" t="s">
        <v>160</v>
      </c>
      <c r="E123" s="431" t="s">
        <v>161</v>
      </c>
      <c r="F123" s="431" t="s">
        <v>1093</v>
      </c>
      <c r="G123" s="431" t="s">
        <v>175</v>
      </c>
      <c r="H123" s="431"/>
      <c r="I123" s="431"/>
      <c r="J123" s="431"/>
      <c r="K123" s="431"/>
      <c r="L123" s="431" t="s">
        <v>163</v>
      </c>
      <c r="M123" s="431" t="s">
        <v>1091</v>
      </c>
    </row>
    <row r="124" spans="1:13" x14ac:dyDescent="0.2">
      <c r="A124" s="431" t="s">
        <v>1094</v>
      </c>
      <c r="B124" s="431">
        <v>1821105</v>
      </c>
      <c r="C124" s="431" t="s">
        <v>159</v>
      </c>
      <c r="D124" s="431" t="s">
        <v>160</v>
      </c>
      <c r="E124" s="431" t="s">
        <v>161</v>
      </c>
      <c r="F124" s="431" t="s">
        <v>1090</v>
      </c>
      <c r="G124" s="431" t="s">
        <v>175</v>
      </c>
      <c r="H124" s="431"/>
      <c r="I124" s="431"/>
      <c r="J124" s="431"/>
      <c r="K124" s="431"/>
      <c r="L124" s="431" t="s">
        <v>163</v>
      </c>
      <c r="M124" s="431" t="s">
        <v>1070</v>
      </c>
    </row>
    <row r="125" spans="1:13" x14ac:dyDescent="0.2">
      <c r="A125" s="431" t="s">
        <v>1094</v>
      </c>
      <c r="B125" s="431">
        <v>1821105</v>
      </c>
      <c r="C125" s="431" t="s">
        <v>159</v>
      </c>
      <c r="D125" s="431" t="s">
        <v>160</v>
      </c>
      <c r="E125" s="431" t="s">
        <v>161</v>
      </c>
      <c r="F125" s="431" t="s">
        <v>1092</v>
      </c>
      <c r="G125" s="431" t="s">
        <v>175</v>
      </c>
      <c r="H125" s="431"/>
      <c r="I125" s="431"/>
      <c r="J125" s="431"/>
      <c r="K125" s="431"/>
      <c r="L125" s="431" t="s">
        <v>163</v>
      </c>
      <c r="M125" s="431" t="s">
        <v>1070</v>
      </c>
    </row>
    <row r="126" spans="1:13" x14ac:dyDescent="0.2">
      <c r="A126" s="431" t="s">
        <v>1094</v>
      </c>
      <c r="B126" s="431">
        <v>1821105</v>
      </c>
      <c r="C126" s="431" t="s">
        <v>159</v>
      </c>
      <c r="D126" s="431" t="s">
        <v>160</v>
      </c>
      <c r="E126" s="431" t="s">
        <v>161</v>
      </c>
      <c r="F126" s="431" t="s">
        <v>1093</v>
      </c>
      <c r="G126" s="431" t="s">
        <v>175</v>
      </c>
      <c r="H126" s="431"/>
      <c r="I126" s="431"/>
      <c r="J126" s="431"/>
      <c r="K126" s="431"/>
      <c r="L126" s="431" t="s">
        <v>163</v>
      </c>
      <c r="M126" s="431" t="s">
        <v>1070</v>
      </c>
    </row>
    <row r="127" spans="1:13" x14ac:dyDescent="0.2">
      <c r="A127" s="431" t="s">
        <v>1095</v>
      </c>
      <c r="B127" s="431">
        <v>1821107</v>
      </c>
      <c r="C127" s="431" t="s">
        <v>159</v>
      </c>
      <c r="D127" s="431" t="s">
        <v>160</v>
      </c>
      <c r="E127" s="431" t="s">
        <v>161</v>
      </c>
      <c r="F127" s="431" t="s">
        <v>912</v>
      </c>
      <c r="G127" s="431" t="s">
        <v>175</v>
      </c>
      <c r="H127" s="431"/>
      <c r="I127" s="431"/>
      <c r="J127" s="431"/>
      <c r="K127" s="431"/>
      <c r="L127" s="431" t="s">
        <v>163</v>
      </c>
      <c r="M127" s="431" t="s">
        <v>1096</v>
      </c>
    </row>
    <row r="128" spans="1:13" ht="409.5" x14ac:dyDescent="0.2">
      <c r="A128" s="431" t="s">
        <v>1097</v>
      </c>
      <c r="B128" s="431">
        <v>1537180</v>
      </c>
      <c r="C128" s="431" t="s">
        <v>159</v>
      </c>
      <c r="D128" s="431" t="s">
        <v>160</v>
      </c>
      <c r="E128" s="431" t="s">
        <v>161</v>
      </c>
      <c r="F128" s="431" t="s">
        <v>1098</v>
      </c>
      <c r="G128" s="431" t="s">
        <v>175</v>
      </c>
      <c r="H128" s="431"/>
      <c r="I128" s="431"/>
      <c r="J128" s="431"/>
      <c r="K128" s="431"/>
      <c r="L128" s="431" t="s">
        <v>241</v>
      </c>
      <c r="M128" s="432" t="s">
        <v>1099</v>
      </c>
    </row>
    <row r="129" spans="1:13" ht="409.5" x14ac:dyDescent="0.2">
      <c r="A129" s="431" t="s">
        <v>1097</v>
      </c>
      <c r="B129" s="431">
        <v>1537180</v>
      </c>
      <c r="C129" s="431" t="s">
        <v>159</v>
      </c>
      <c r="D129" s="431" t="s">
        <v>160</v>
      </c>
      <c r="E129" s="431" t="s">
        <v>161</v>
      </c>
      <c r="F129" s="431" t="s">
        <v>1100</v>
      </c>
      <c r="G129" s="431" t="s">
        <v>175</v>
      </c>
      <c r="H129" s="431"/>
      <c r="I129" s="431"/>
      <c r="J129" s="431"/>
      <c r="K129" s="431"/>
      <c r="L129" s="431" t="s">
        <v>241</v>
      </c>
      <c r="M129" s="432" t="s">
        <v>1099</v>
      </c>
    </row>
    <row r="130" spans="1:13" ht="409.5" x14ac:dyDescent="0.2">
      <c r="A130" s="431" t="s">
        <v>1097</v>
      </c>
      <c r="B130" s="431">
        <v>1537180</v>
      </c>
      <c r="C130" s="431" t="s">
        <v>159</v>
      </c>
      <c r="D130" s="431" t="s">
        <v>160</v>
      </c>
      <c r="E130" s="431" t="s">
        <v>161</v>
      </c>
      <c r="F130" s="431" t="s">
        <v>1101</v>
      </c>
      <c r="G130" s="431" t="s">
        <v>175</v>
      </c>
      <c r="H130" s="431"/>
      <c r="I130" s="431"/>
      <c r="J130" s="431"/>
      <c r="K130" s="431"/>
      <c r="L130" s="431" t="s">
        <v>241</v>
      </c>
      <c r="M130" s="432" t="s">
        <v>1099</v>
      </c>
    </row>
    <row r="131" spans="1:13" x14ac:dyDescent="0.2">
      <c r="A131" s="431" t="s">
        <v>1102</v>
      </c>
      <c r="B131" s="431">
        <v>1537185</v>
      </c>
      <c r="C131" s="431" t="s">
        <v>159</v>
      </c>
      <c r="D131" s="431" t="s">
        <v>160</v>
      </c>
      <c r="E131" s="431" t="s">
        <v>161</v>
      </c>
      <c r="F131" s="431"/>
      <c r="G131" s="431" t="s">
        <v>175</v>
      </c>
      <c r="H131" s="431"/>
      <c r="I131" s="431"/>
      <c r="J131" s="431"/>
      <c r="K131" s="431"/>
      <c r="L131" s="431" t="s">
        <v>241</v>
      </c>
      <c r="M131" s="431" t="s">
        <v>1103</v>
      </c>
    </row>
    <row r="132" spans="1:13" x14ac:dyDescent="0.2">
      <c r="A132" s="431" t="s">
        <v>1104</v>
      </c>
      <c r="B132" s="431">
        <v>1537186</v>
      </c>
      <c r="C132" s="431" t="s">
        <v>159</v>
      </c>
      <c r="D132" s="431" t="s">
        <v>160</v>
      </c>
      <c r="E132" s="431" t="s">
        <v>161</v>
      </c>
      <c r="F132" s="431"/>
      <c r="G132" s="431" t="s">
        <v>175</v>
      </c>
      <c r="H132" s="431"/>
      <c r="I132" s="431"/>
      <c r="J132" s="431"/>
      <c r="K132" s="431"/>
      <c r="L132" s="431" t="s">
        <v>241</v>
      </c>
      <c r="M132" s="431" t="s">
        <v>1105</v>
      </c>
    </row>
    <row r="133" spans="1:13" x14ac:dyDescent="0.2">
      <c r="A133" s="431" t="s">
        <v>1106</v>
      </c>
      <c r="B133" s="431">
        <v>1846347</v>
      </c>
      <c r="C133" s="431" t="s">
        <v>159</v>
      </c>
      <c r="D133" s="431" t="s">
        <v>160</v>
      </c>
      <c r="E133" s="431" t="s">
        <v>161</v>
      </c>
      <c r="F133" s="431"/>
      <c r="G133" s="431" t="s">
        <v>175</v>
      </c>
      <c r="H133" s="431"/>
      <c r="I133" s="431"/>
      <c r="J133" s="431"/>
      <c r="K133" s="431"/>
      <c r="L133" s="431" t="s">
        <v>241</v>
      </c>
      <c r="M133" s="431" t="s">
        <v>1107</v>
      </c>
    </row>
    <row r="134" spans="1:13" x14ac:dyDescent="0.2">
      <c r="A134" s="431" t="s">
        <v>1108</v>
      </c>
      <c r="B134" s="431">
        <v>1537188</v>
      </c>
      <c r="C134" s="431" t="s">
        <v>159</v>
      </c>
      <c r="D134" s="431" t="s">
        <v>160</v>
      </c>
      <c r="E134" s="431" t="s">
        <v>161</v>
      </c>
      <c r="F134" s="431"/>
      <c r="G134" s="431" t="s">
        <v>175</v>
      </c>
      <c r="H134" s="431"/>
      <c r="I134" s="431"/>
      <c r="J134" s="431"/>
      <c r="K134" s="431"/>
      <c r="L134" s="431" t="s">
        <v>241</v>
      </c>
      <c r="M134" s="431" t="s">
        <v>1109</v>
      </c>
    </row>
    <row r="135" spans="1:13" x14ac:dyDescent="0.2">
      <c r="A135" s="431" t="s">
        <v>1110</v>
      </c>
      <c r="B135" s="431">
        <v>2414872</v>
      </c>
      <c r="C135" s="431" t="s">
        <v>159</v>
      </c>
      <c r="D135" s="431" t="s">
        <v>160</v>
      </c>
      <c r="E135" s="431" t="s">
        <v>161</v>
      </c>
      <c r="F135" s="431"/>
      <c r="G135" s="431" t="s">
        <v>175</v>
      </c>
      <c r="H135" s="431"/>
      <c r="I135" s="431"/>
      <c r="J135" s="431"/>
      <c r="K135" s="431"/>
      <c r="L135" s="431" t="s">
        <v>241</v>
      </c>
      <c r="M135" s="431" t="s">
        <v>1111</v>
      </c>
    </row>
    <row r="136" spans="1:13" x14ac:dyDescent="0.2">
      <c r="A136" s="431" t="s">
        <v>1112</v>
      </c>
      <c r="B136" s="431">
        <v>2414873</v>
      </c>
      <c r="C136" s="431" t="s">
        <v>159</v>
      </c>
      <c r="D136" s="431" t="s">
        <v>160</v>
      </c>
      <c r="E136" s="431" t="s">
        <v>161</v>
      </c>
      <c r="F136" s="431"/>
      <c r="G136" s="431" t="s">
        <v>175</v>
      </c>
      <c r="H136" s="431"/>
      <c r="I136" s="431"/>
      <c r="J136" s="431"/>
      <c r="K136" s="431"/>
      <c r="L136" s="431" t="s">
        <v>241</v>
      </c>
      <c r="M136" s="431" t="s">
        <v>1113</v>
      </c>
    </row>
    <row r="137" spans="1:13" x14ac:dyDescent="0.2">
      <c r="A137" s="431" t="s">
        <v>1114</v>
      </c>
      <c r="B137" s="431">
        <v>2414876</v>
      </c>
      <c r="C137" s="431" t="s">
        <v>170</v>
      </c>
      <c r="D137" s="431" t="s">
        <v>160</v>
      </c>
      <c r="E137" s="431" t="s">
        <v>161</v>
      </c>
      <c r="F137" s="431"/>
      <c r="G137" s="431" t="s">
        <v>175</v>
      </c>
      <c r="H137" s="431"/>
      <c r="I137" s="431"/>
      <c r="J137" s="431"/>
      <c r="K137" s="431"/>
      <c r="L137" s="431" t="s">
        <v>241</v>
      </c>
      <c r="M137" s="431" t="s">
        <v>1115</v>
      </c>
    </row>
    <row r="138" spans="1:13" x14ac:dyDescent="0.2">
      <c r="A138" s="431" t="s">
        <v>1116</v>
      </c>
      <c r="B138" s="431">
        <v>2414878</v>
      </c>
      <c r="C138" s="431" t="s">
        <v>159</v>
      </c>
      <c r="D138" s="431" t="s">
        <v>160</v>
      </c>
      <c r="E138" s="431" t="s">
        <v>161</v>
      </c>
      <c r="F138" s="431"/>
      <c r="G138" s="431" t="s">
        <v>162</v>
      </c>
      <c r="H138" s="431"/>
      <c r="I138" s="431"/>
      <c r="J138" s="431"/>
      <c r="K138" s="431"/>
      <c r="L138" s="431" t="s">
        <v>241</v>
      </c>
      <c r="M138" s="431" t="s">
        <v>1117</v>
      </c>
    </row>
    <row r="139" spans="1:13" x14ac:dyDescent="0.2">
      <c r="A139" s="431" t="s">
        <v>1118</v>
      </c>
      <c r="B139" s="431">
        <v>2414885</v>
      </c>
      <c r="C139" s="431" t="s">
        <v>159</v>
      </c>
      <c r="D139" s="431" t="s">
        <v>160</v>
      </c>
      <c r="E139" s="431" t="s">
        <v>161</v>
      </c>
      <c r="F139" s="431" t="s">
        <v>1119</v>
      </c>
      <c r="G139" s="431" t="s">
        <v>175</v>
      </c>
      <c r="H139" s="431"/>
      <c r="I139" s="431"/>
      <c r="J139" s="431"/>
      <c r="K139" s="431"/>
      <c r="L139" s="431" t="s">
        <v>910</v>
      </c>
      <c r="M139" s="431" t="s">
        <v>1120</v>
      </c>
    </row>
    <row r="140" spans="1:13" x14ac:dyDescent="0.2">
      <c r="A140" s="431" t="s">
        <v>1118</v>
      </c>
      <c r="B140" s="431">
        <v>2414885</v>
      </c>
      <c r="C140" s="431" t="s">
        <v>159</v>
      </c>
      <c r="D140" s="431" t="s">
        <v>160</v>
      </c>
      <c r="E140" s="431" t="s">
        <v>161</v>
      </c>
      <c r="F140" s="431" t="s">
        <v>1121</v>
      </c>
      <c r="G140" s="431" t="s">
        <v>175</v>
      </c>
      <c r="H140" s="431"/>
      <c r="I140" s="431"/>
      <c r="J140" s="431"/>
      <c r="K140" s="431"/>
      <c r="L140" s="431" t="s">
        <v>910</v>
      </c>
      <c r="M140" s="431" t="s">
        <v>1120</v>
      </c>
    </row>
    <row r="141" spans="1:13" x14ac:dyDescent="0.2">
      <c r="A141" s="431" t="s">
        <v>1118</v>
      </c>
      <c r="B141" s="431">
        <v>2414885</v>
      </c>
      <c r="C141" s="431" t="s">
        <v>159</v>
      </c>
      <c r="D141" s="431" t="s">
        <v>160</v>
      </c>
      <c r="E141" s="431" t="s">
        <v>161</v>
      </c>
      <c r="F141" s="431" t="s">
        <v>1122</v>
      </c>
      <c r="G141" s="431" t="s">
        <v>175</v>
      </c>
      <c r="H141" s="431"/>
      <c r="I141" s="431"/>
      <c r="J141" s="431"/>
      <c r="K141" s="431"/>
      <c r="L141" s="431" t="s">
        <v>910</v>
      </c>
      <c r="M141" s="431" t="s">
        <v>1120</v>
      </c>
    </row>
    <row r="142" spans="1:13" x14ac:dyDescent="0.2">
      <c r="A142" s="431" t="s">
        <v>1118</v>
      </c>
      <c r="B142" s="431">
        <v>2414885</v>
      </c>
      <c r="C142" s="431" t="s">
        <v>159</v>
      </c>
      <c r="D142" s="431" t="s">
        <v>160</v>
      </c>
      <c r="E142" s="431" t="s">
        <v>161</v>
      </c>
      <c r="F142" s="431" t="s">
        <v>1123</v>
      </c>
      <c r="G142" s="431" t="s">
        <v>175</v>
      </c>
      <c r="H142" s="431"/>
      <c r="I142" s="431"/>
      <c r="J142" s="431"/>
      <c r="K142" s="431"/>
      <c r="L142" s="431" t="s">
        <v>910</v>
      </c>
      <c r="M142" s="431" t="s">
        <v>1120</v>
      </c>
    </row>
    <row r="143" spans="1:13" ht="409.5" x14ac:dyDescent="0.2">
      <c r="A143" s="431" t="s">
        <v>1124</v>
      </c>
      <c r="B143" s="431">
        <v>1537210</v>
      </c>
      <c r="C143" s="431" t="s">
        <v>170</v>
      </c>
      <c r="D143" s="431" t="s">
        <v>160</v>
      </c>
      <c r="E143" s="431" t="s">
        <v>161</v>
      </c>
      <c r="F143" s="431"/>
      <c r="G143" s="431" t="s">
        <v>175</v>
      </c>
      <c r="H143" s="431"/>
      <c r="I143" s="431"/>
      <c r="J143" s="431"/>
      <c r="K143" s="431"/>
      <c r="L143" s="431" t="s">
        <v>241</v>
      </c>
      <c r="M143" s="432" t="s">
        <v>1125</v>
      </c>
    </row>
    <row r="144" spans="1:13" x14ac:dyDescent="0.2">
      <c r="A144" s="431" t="s">
        <v>1126</v>
      </c>
      <c r="B144" s="431">
        <v>1537229</v>
      </c>
      <c r="C144" s="431" t="s">
        <v>159</v>
      </c>
      <c r="D144" s="431" t="s">
        <v>160</v>
      </c>
      <c r="E144" s="431" t="s">
        <v>161</v>
      </c>
      <c r="F144" s="431"/>
      <c r="G144" s="431" t="s">
        <v>175</v>
      </c>
      <c r="H144" s="431"/>
      <c r="I144" s="431"/>
      <c r="J144" s="431"/>
      <c r="K144" s="431"/>
      <c r="L144" s="431" t="s">
        <v>241</v>
      </c>
      <c r="M144" s="431" t="s">
        <v>1127</v>
      </c>
    </row>
    <row r="145" spans="1:13" ht="409.5" x14ac:dyDescent="0.2">
      <c r="A145" s="431" t="s">
        <v>1128</v>
      </c>
      <c r="B145" s="431">
        <v>1537265</v>
      </c>
      <c r="C145" s="431" t="s">
        <v>159</v>
      </c>
      <c r="D145" s="431" t="s">
        <v>160</v>
      </c>
      <c r="E145" s="431" t="s">
        <v>161</v>
      </c>
      <c r="F145" s="431"/>
      <c r="G145" s="431" t="s">
        <v>175</v>
      </c>
      <c r="H145" s="431"/>
      <c r="I145" s="431"/>
      <c r="J145" s="431"/>
      <c r="K145" s="431"/>
      <c r="L145" s="431" t="s">
        <v>241</v>
      </c>
      <c r="M145" s="432" t="s">
        <v>1129</v>
      </c>
    </row>
    <row r="146" spans="1:13" ht="409.5" x14ac:dyDescent="0.2">
      <c r="A146" s="431" t="s">
        <v>1130</v>
      </c>
      <c r="B146" s="431">
        <v>1537267</v>
      </c>
      <c r="C146" s="431" t="s">
        <v>170</v>
      </c>
      <c r="D146" s="431" t="s">
        <v>160</v>
      </c>
      <c r="E146" s="431" t="s">
        <v>161</v>
      </c>
      <c r="F146" s="431"/>
      <c r="G146" s="431" t="s">
        <v>175</v>
      </c>
      <c r="H146" s="431"/>
      <c r="I146" s="431"/>
      <c r="J146" s="431"/>
      <c r="K146" s="431"/>
      <c r="L146" s="431" t="s">
        <v>241</v>
      </c>
      <c r="M146" s="432" t="s">
        <v>1131</v>
      </c>
    </row>
    <row r="147" spans="1:13" x14ac:dyDescent="0.2">
      <c r="A147" s="431" t="s">
        <v>1132</v>
      </c>
      <c r="B147" s="431">
        <v>1537268</v>
      </c>
      <c r="C147" s="431" t="s">
        <v>170</v>
      </c>
      <c r="D147" s="431" t="s">
        <v>160</v>
      </c>
      <c r="E147" s="431" t="s">
        <v>161</v>
      </c>
      <c r="F147" s="431"/>
      <c r="G147" s="431" t="s">
        <v>175</v>
      </c>
      <c r="H147" s="431"/>
      <c r="I147" s="431"/>
      <c r="J147" s="431"/>
      <c r="K147" s="431"/>
      <c r="L147" s="431" t="s">
        <v>241</v>
      </c>
      <c r="M147" s="431" t="s">
        <v>1133</v>
      </c>
    </row>
    <row r="148" spans="1:13" ht="409.5" x14ac:dyDescent="0.2">
      <c r="A148" s="431" t="s">
        <v>1134</v>
      </c>
      <c r="B148" s="431">
        <v>2414890</v>
      </c>
      <c r="C148" s="431" t="s">
        <v>159</v>
      </c>
      <c r="D148" s="431" t="s">
        <v>160</v>
      </c>
      <c r="E148" s="431" t="s">
        <v>161</v>
      </c>
      <c r="F148" s="431"/>
      <c r="G148" s="431" t="s">
        <v>175</v>
      </c>
      <c r="H148" s="431"/>
      <c r="I148" s="431"/>
      <c r="J148" s="431"/>
      <c r="K148" s="431"/>
      <c r="L148" s="431" t="s">
        <v>241</v>
      </c>
      <c r="M148" s="432" t="s">
        <v>1135</v>
      </c>
    </row>
    <row r="149" spans="1:13" x14ac:dyDescent="0.2">
      <c r="A149" s="431" t="s">
        <v>1136</v>
      </c>
      <c r="B149" s="431">
        <v>1537333</v>
      </c>
      <c r="C149" s="431" t="s">
        <v>159</v>
      </c>
      <c r="D149" s="431" t="s">
        <v>160</v>
      </c>
      <c r="E149" s="431" t="s">
        <v>161</v>
      </c>
      <c r="F149" s="431"/>
      <c r="G149" s="431" t="s">
        <v>175</v>
      </c>
      <c r="H149" s="431"/>
      <c r="I149" s="431"/>
      <c r="J149" s="431"/>
      <c r="K149" s="431"/>
      <c r="L149" s="431" t="s">
        <v>241</v>
      </c>
      <c r="M149" s="431" t="s">
        <v>1137</v>
      </c>
    </row>
    <row r="150" spans="1:13" x14ac:dyDescent="0.2">
      <c r="A150" s="431" t="s">
        <v>1138</v>
      </c>
      <c r="B150" s="431">
        <v>1537334</v>
      </c>
      <c r="C150" s="431" t="s">
        <v>159</v>
      </c>
      <c r="D150" s="431" t="s">
        <v>160</v>
      </c>
      <c r="E150" s="431" t="s">
        <v>161</v>
      </c>
      <c r="F150" s="431"/>
      <c r="G150" s="431" t="s">
        <v>175</v>
      </c>
      <c r="H150" s="431"/>
      <c r="I150" s="431"/>
      <c r="J150" s="431"/>
      <c r="K150" s="431"/>
      <c r="L150" s="431" t="s">
        <v>241</v>
      </c>
      <c r="M150" s="431" t="s">
        <v>1139</v>
      </c>
    </row>
    <row r="151" spans="1:13" x14ac:dyDescent="0.2">
      <c r="A151" s="431" t="s">
        <v>1140</v>
      </c>
      <c r="B151" s="431">
        <v>1537335</v>
      </c>
      <c r="C151" s="431" t="s">
        <v>159</v>
      </c>
      <c r="D151" s="431" t="s">
        <v>160</v>
      </c>
      <c r="E151" s="431" t="s">
        <v>161</v>
      </c>
      <c r="F151" s="431"/>
      <c r="G151" s="431" t="s">
        <v>175</v>
      </c>
      <c r="H151" s="431"/>
      <c r="I151" s="431"/>
      <c r="J151" s="431"/>
      <c r="K151" s="431"/>
      <c r="L151" s="431" t="s">
        <v>241</v>
      </c>
      <c r="M151" s="431" t="s">
        <v>1141</v>
      </c>
    </row>
    <row r="152" spans="1:13" ht="409.5" x14ac:dyDescent="0.2">
      <c r="A152" s="431" t="s">
        <v>1142</v>
      </c>
      <c r="B152" s="431">
        <v>1537336</v>
      </c>
      <c r="C152" s="431" t="s">
        <v>159</v>
      </c>
      <c r="D152" s="431" t="s">
        <v>160</v>
      </c>
      <c r="E152" s="431" t="s">
        <v>161</v>
      </c>
      <c r="F152" s="431"/>
      <c r="G152" s="431" t="s">
        <v>175</v>
      </c>
      <c r="H152" s="431"/>
      <c r="I152" s="431"/>
      <c r="J152" s="431"/>
      <c r="K152" s="431"/>
      <c r="L152" s="431" t="s">
        <v>241</v>
      </c>
      <c r="M152" s="432" t="s">
        <v>1143</v>
      </c>
    </row>
    <row r="153" spans="1:13" x14ac:dyDescent="0.2">
      <c r="A153" s="431" t="s">
        <v>1144</v>
      </c>
      <c r="B153" s="431">
        <v>1537344</v>
      </c>
      <c r="C153" s="431" t="s">
        <v>159</v>
      </c>
      <c r="D153" s="431" t="s">
        <v>160</v>
      </c>
      <c r="E153" s="431" t="s">
        <v>161</v>
      </c>
      <c r="F153" s="431"/>
      <c r="G153" s="431" t="s">
        <v>175</v>
      </c>
      <c r="H153" s="431"/>
      <c r="I153" s="431"/>
      <c r="J153" s="431"/>
      <c r="K153" s="431"/>
      <c r="L153" s="431" t="s">
        <v>241</v>
      </c>
      <c r="M153" s="431" t="s">
        <v>1145</v>
      </c>
    </row>
    <row r="154" spans="1:13" x14ac:dyDescent="0.2">
      <c r="A154" s="431" t="s">
        <v>1146</v>
      </c>
      <c r="B154" s="431">
        <v>1537345</v>
      </c>
      <c r="C154" s="431" t="s">
        <v>159</v>
      </c>
      <c r="D154" s="431" t="s">
        <v>160</v>
      </c>
      <c r="E154" s="431" t="s">
        <v>161</v>
      </c>
      <c r="F154" s="431"/>
      <c r="G154" s="431" t="s">
        <v>175</v>
      </c>
      <c r="H154" s="431"/>
      <c r="I154" s="431"/>
      <c r="J154" s="431"/>
      <c r="K154" s="431"/>
      <c r="L154" s="431" t="s">
        <v>241</v>
      </c>
      <c r="M154" s="431" t="s">
        <v>1147</v>
      </c>
    </row>
    <row r="155" spans="1:13" x14ac:dyDescent="0.2">
      <c r="A155" s="431" t="s">
        <v>1148</v>
      </c>
      <c r="B155" s="431">
        <v>1537347</v>
      </c>
      <c r="C155" s="431" t="s">
        <v>159</v>
      </c>
      <c r="D155" s="431" t="s">
        <v>160</v>
      </c>
      <c r="E155" s="431" t="s">
        <v>161</v>
      </c>
      <c r="F155" s="431"/>
      <c r="G155" s="431" t="s">
        <v>175</v>
      </c>
      <c r="H155" s="431"/>
      <c r="I155" s="431"/>
      <c r="J155" s="431"/>
      <c r="K155" s="431"/>
      <c r="L155" s="431" t="s">
        <v>1149</v>
      </c>
      <c r="M155" s="431" t="s">
        <v>1150</v>
      </c>
    </row>
    <row r="156" spans="1:13" x14ac:dyDescent="0.2">
      <c r="A156" s="431" t="s">
        <v>1151</v>
      </c>
      <c r="B156" s="431">
        <v>2414893</v>
      </c>
      <c r="C156" s="431" t="s">
        <v>159</v>
      </c>
      <c r="D156" s="431" t="s">
        <v>160</v>
      </c>
      <c r="E156" s="431" t="s">
        <v>161</v>
      </c>
      <c r="F156" s="431"/>
      <c r="G156" s="431" t="s">
        <v>175</v>
      </c>
      <c r="H156" s="431"/>
      <c r="I156" s="431"/>
      <c r="J156" s="431"/>
      <c r="K156" s="431"/>
      <c r="L156" s="431" t="s">
        <v>241</v>
      </c>
      <c r="M156" s="431" t="s">
        <v>1152</v>
      </c>
    </row>
    <row r="157" spans="1:13" x14ac:dyDescent="0.2">
      <c r="A157" s="431" t="s">
        <v>1153</v>
      </c>
      <c r="B157" s="431">
        <v>1537348</v>
      </c>
      <c r="C157" s="431" t="s">
        <v>159</v>
      </c>
      <c r="D157" s="431" t="s">
        <v>160</v>
      </c>
      <c r="E157" s="431" t="s">
        <v>161</v>
      </c>
      <c r="F157" s="431"/>
      <c r="G157" s="431" t="s">
        <v>175</v>
      </c>
      <c r="H157" s="431"/>
      <c r="I157" s="431"/>
      <c r="J157" s="431"/>
      <c r="K157" s="431"/>
      <c r="L157" s="431" t="s">
        <v>241</v>
      </c>
      <c r="M157" s="431" t="s">
        <v>1154</v>
      </c>
    </row>
    <row r="158" spans="1:13" x14ac:dyDescent="0.2">
      <c r="A158" s="431" t="s">
        <v>1155</v>
      </c>
      <c r="B158" s="431">
        <v>1537349</v>
      </c>
      <c r="C158" s="431" t="s">
        <v>159</v>
      </c>
      <c r="D158" s="431" t="s">
        <v>160</v>
      </c>
      <c r="E158" s="431" t="s">
        <v>161</v>
      </c>
      <c r="F158" s="431"/>
      <c r="G158" s="431" t="s">
        <v>175</v>
      </c>
      <c r="H158" s="431"/>
      <c r="I158" s="431"/>
      <c r="J158" s="431"/>
      <c r="K158" s="431"/>
      <c r="L158" s="431" t="s">
        <v>241</v>
      </c>
      <c r="M158" s="431" t="s">
        <v>1156</v>
      </c>
    </row>
    <row r="159" spans="1:13" x14ac:dyDescent="0.2">
      <c r="A159" s="431" t="s">
        <v>1157</v>
      </c>
      <c r="B159" s="431">
        <v>1537350</v>
      </c>
      <c r="C159" s="431" t="s">
        <v>170</v>
      </c>
      <c r="D159" s="431" t="s">
        <v>160</v>
      </c>
      <c r="E159" s="431" t="s">
        <v>161</v>
      </c>
      <c r="F159" s="431"/>
      <c r="G159" s="431" t="s">
        <v>175</v>
      </c>
      <c r="H159" s="431"/>
      <c r="I159" s="431"/>
      <c r="J159" s="431"/>
      <c r="K159" s="431"/>
      <c r="L159" s="431" t="s">
        <v>241</v>
      </c>
      <c r="M159" s="431" t="s">
        <v>1158</v>
      </c>
    </row>
    <row r="160" spans="1:13" x14ac:dyDescent="0.2">
      <c r="A160" s="431" t="s">
        <v>1159</v>
      </c>
      <c r="B160" s="431">
        <v>1537351</v>
      </c>
      <c r="C160" s="431" t="s">
        <v>170</v>
      </c>
      <c r="D160" s="431" t="s">
        <v>160</v>
      </c>
      <c r="E160" s="431" t="s">
        <v>161</v>
      </c>
      <c r="F160" s="431"/>
      <c r="G160" s="431" t="s">
        <v>175</v>
      </c>
      <c r="H160" s="431"/>
      <c r="I160" s="431"/>
      <c r="J160" s="431"/>
      <c r="K160" s="431"/>
      <c r="L160" s="431" t="s">
        <v>241</v>
      </c>
      <c r="M160" s="431" t="s">
        <v>1160</v>
      </c>
    </row>
    <row r="161" spans="1:13" x14ac:dyDescent="0.2">
      <c r="A161" s="431" t="s">
        <v>1161</v>
      </c>
      <c r="B161" s="431">
        <v>1537352</v>
      </c>
      <c r="C161" s="431" t="s">
        <v>170</v>
      </c>
      <c r="D161" s="431" t="s">
        <v>160</v>
      </c>
      <c r="E161" s="431" t="s">
        <v>161</v>
      </c>
      <c r="F161" s="431"/>
      <c r="G161" s="431" t="s">
        <v>175</v>
      </c>
      <c r="H161" s="431"/>
      <c r="I161" s="431"/>
      <c r="J161" s="431"/>
      <c r="K161" s="431"/>
      <c r="L161" s="431" t="s">
        <v>241</v>
      </c>
      <c r="M161" s="431" t="s">
        <v>1162</v>
      </c>
    </row>
    <row r="162" spans="1:13" x14ac:dyDescent="0.2">
      <c r="A162" s="431" t="s">
        <v>1163</v>
      </c>
      <c r="B162" s="431">
        <v>1537355</v>
      </c>
      <c r="C162" s="431" t="s">
        <v>159</v>
      </c>
      <c r="D162" s="431" t="s">
        <v>160</v>
      </c>
      <c r="E162" s="431" t="s">
        <v>161</v>
      </c>
      <c r="F162" s="431"/>
      <c r="G162" s="431" t="s">
        <v>175</v>
      </c>
      <c r="H162" s="431"/>
      <c r="I162" s="431"/>
      <c r="J162" s="431"/>
      <c r="K162" s="431"/>
      <c r="L162" s="431" t="s">
        <v>241</v>
      </c>
      <c r="M162" s="431" t="s">
        <v>1164</v>
      </c>
    </row>
    <row r="163" spans="1:13" x14ac:dyDescent="0.2">
      <c r="A163" s="431" t="s">
        <v>1165</v>
      </c>
      <c r="B163" s="431">
        <v>1537356</v>
      </c>
      <c r="C163" s="431" t="s">
        <v>159</v>
      </c>
      <c r="D163" s="431" t="s">
        <v>160</v>
      </c>
      <c r="E163" s="431" t="s">
        <v>161</v>
      </c>
      <c r="F163" s="431"/>
      <c r="G163" s="431" t="s">
        <v>175</v>
      </c>
      <c r="H163" s="431"/>
      <c r="I163" s="431"/>
      <c r="J163" s="431"/>
      <c r="K163" s="431"/>
      <c r="L163" s="431" t="s">
        <v>241</v>
      </c>
      <c r="M163" s="431" t="s">
        <v>1166</v>
      </c>
    </row>
    <row r="164" spans="1:13" x14ac:dyDescent="0.2">
      <c r="A164" s="431" t="s">
        <v>1167</v>
      </c>
      <c r="B164" s="431">
        <v>1537357</v>
      </c>
      <c r="C164" s="431" t="s">
        <v>159</v>
      </c>
      <c r="D164" s="431" t="s">
        <v>160</v>
      </c>
      <c r="E164" s="431" t="s">
        <v>161</v>
      </c>
      <c r="F164" s="431"/>
      <c r="G164" s="431" t="s">
        <v>175</v>
      </c>
      <c r="H164" s="431"/>
      <c r="I164" s="431"/>
      <c r="J164" s="431"/>
      <c r="K164" s="431"/>
      <c r="L164" s="431" t="s">
        <v>241</v>
      </c>
      <c r="M164" s="431" t="s">
        <v>1168</v>
      </c>
    </row>
    <row r="165" spans="1:13" x14ac:dyDescent="0.2">
      <c r="A165" s="431" t="s">
        <v>1169</v>
      </c>
      <c r="B165" s="431">
        <v>1537358</v>
      </c>
      <c r="C165" s="431" t="s">
        <v>159</v>
      </c>
      <c r="D165" s="431" t="s">
        <v>160</v>
      </c>
      <c r="E165" s="431" t="s">
        <v>161</v>
      </c>
      <c r="F165" s="431"/>
      <c r="G165" s="431" t="s">
        <v>175</v>
      </c>
      <c r="H165" s="431"/>
      <c r="I165" s="431"/>
      <c r="J165" s="431"/>
      <c r="K165" s="431"/>
      <c r="L165" s="431" t="s">
        <v>241</v>
      </c>
      <c r="M165" s="431" t="s">
        <v>1170</v>
      </c>
    </row>
    <row r="166" spans="1:13" x14ac:dyDescent="0.2">
      <c r="A166" s="431" t="s">
        <v>1171</v>
      </c>
      <c r="B166" s="431">
        <v>1537360</v>
      </c>
      <c r="C166" s="431" t="s">
        <v>159</v>
      </c>
      <c r="D166" s="431" t="s">
        <v>160</v>
      </c>
      <c r="E166" s="431" t="s">
        <v>161</v>
      </c>
      <c r="F166" s="431"/>
      <c r="G166" s="431" t="s">
        <v>175</v>
      </c>
      <c r="H166" s="431"/>
      <c r="I166" s="431"/>
      <c r="J166" s="431"/>
      <c r="K166" s="431"/>
      <c r="L166" s="431" t="s">
        <v>241</v>
      </c>
      <c r="M166" s="431" t="s">
        <v>1172</v>
      </c>
    </row>
    <row r="167" spans="1:13" x14ac:dyDescent="0.2">
      <c r="A167" s="431" t="s">
        <v>1173</v>
      </c>
      <c r="B167" s="431">
        <v>1537361</v>
      </c>
      <c r="C167" s="431" t="s">
        <v>159</v>
      </c>
      <c r="D167" s="431" t="s">
        <v>160</v>
      </c>
      <c r="E167" s="431" t="s">
        <v>161</v>
      </c>
      <c r="F167" s="431"/>
      <c r="G167" s="431" t="s">
        <v>175</v>
      </c>
      <c r="H167" s="431"/>
      <c r="I167" s="431"/>
      <c r="J167" s="431"/>
      <c r="K167" s="431"/>
      <c r="L167" s="431" t="s">
        <v>241</v>
      </c>
      <c r="M167" s="431" t="s">
        <v>1174</v>
      </c>
    </row>
    <row r="168" spans="1:13" x14ac:dyDescent="0.2">
      <c r="A168" s="431" t="s">
        <v>1175</v>
      </c>
      <c r="B168" s="431">
        <v>1537362</v>
      </c>
      <c r="C168" s="431" t="s">
        <v>159</v>
      </c>
      <c r="D168" s="431" t="s">
        <v>160</v>
      </c>
      <c r="E168" s="431" t="s">
        <v>161</v>
      </c>
      <c r="F168" s="431"/>
      <c r="G168" s="431" t="s">
        <v>175</v>
      </c>
      <c r="H168" s="431"/>
      <c r="I168" s="431"/>
      <c r="J168" s="431"/>
      <c r="K168" s="431"/>
      <c r="L168" s="431" t="s">
        <v>241</v>
      </c>
      <c r="M168" s="431" t="s">
        <v>1176</v>
      </c>
    </row>
    <row r="169" spans="1:13" x14ac:dyDescent="0.2">
      <c r="A169" s="431" t="s">
        <v>1177</v>
      </c>
      <c r="B169" s="431">
        <v>1537370</v>
      </c>
      <c r="C169" s="431" t="s">
        <v>159</v>
      </c>
      <c r="D169" s="431" t="s">
        <v>160</v>
      </c>
      <c r="E169" s="431" t="s">
        <v>161</v>
      </c>
      <c r="F169" s="431"/>
      <c r="G169" s="431" t="s">
        <v>175</v>
      </c>
      <c r="H169" s="431"/>
      <c r="I169" s="431"/>
      <c r="J169" s="431"/>
      <c r="K169" s="431"/>
      <c r="L169" s="431" t="s">
        <v>241</v>
      </c>
      <c r="M169" s="431" t="s">
        <v>1178</v>
      </c>
    </row>
    <row r="170" spans="1:13" x14ac:dyDescent="0.2">
      <c r="A170" s="431" t="s">
        <v>1179</v>
      </c>
      <c r="B170" s="431">
        <v>1537374</v>
      </c>
      <c r="C170" s="431" t="s">
        <v>159</v>
      </c>
      <c r="D170" s="431" t="s">
        <v>160</v>
      </c>
      <c r="E170" s="431" t="s">
        <v>161</v>
      </c>
      <c r="F170" s="431"/>
      <c r="G170" s="431" t="s">
        <v>175</v>
      </c>
      <c r="H170" s="431"/>
      <c r="I170" s="431"/>
      <c r="J170" s="431"/>
      <c r="K170" s="431"/>
      <c r="L170" s="431" t="s">
        <v>241</v>
      </c>
      <c r="M170" s="431" t="s">
        <v>1180</v>
      </c>
    </row>
    <row r="171" spans="1:13" x14ac:dyDescent="0.2">
      <c r="A171" s="431" t="s">
        <v>1181</v>
      </c>
      <c r="B171" s="431">
        <v>1537380</v>
      </c>
      <c r="C171" s="431" t="s">
        <v>159</v>
      </c>
      <c r="D171" s="431" t="s">
        <v>160</v>
      </c>
      <c r="E171" s="431" t="s">
        <v>161</v>
      </c>
      <c r="F171" s="431"/>
      <c r="G171" s="431" t="s">
        <v>175</v>
      </c>
      <c r="H171" s="431"/>
      <c r="I171" s="431"/>
      <c r="J171" s="431"/>
      <c r="K171" s="431"/>
      <c r="L171" s="431" t="s">
        <v>241</v>
      </c>
      <c r="M171" s="431" t="s">
        <v>1182</v>
      </c>
    </row>
    <row r="172" spans="1:13" x14ac:dyDescent="0.2">
      <c r="A172" s="431" t="s">
        <v>1183</v>
      </c>
      <c r="B172" s="431">
        <v>1537386</v>
      </c>
      <c r="C172" s="431" t="s">
        <v>159</v>
      </c>
      <c r="D172" s="431" t="s">
        <v>160</v>
      </c>
      <c r="E172" s="431" t="s">
        <v>161</v>
      </c>
      <c r="F172" s="431"/>
      <c r="G172" s="431" t="s">
        <v>175</v>
      </c>
      <c r="H172" s="431"/>
      <c r="I172" s="431"/>
      <c r="J172" s="431"/>
      <c r="K172" s="431"/>
      <c r="L172" s="431" t="s">
        <v>241</v>
      </c>
      <c r="M172" s="431" t="s">
        <v>1184</v>
      </c>
    </row>
    <row r="173" spans="1:13" x14ac:dyDescent="0.2">
      <c r="A173" s="431" t="s">
        <v>1185</v>
      </c>
      <c r="B173" s="431">
        <v>1537387</v>
      </c>
      <c r="C173" s="431" t="s">
        <v>159</v>
      </c>
      <c r="D173" s="431" t="s">
        <v>160</v>
      </c>
      <c r="E173" s="431" t="s">
        <v>161</v>
      </c>
      <c r="F173" s="431"/>
      <c r="G173" s="431" t="s">
        <v>175</v>
      </c>
      <c r="H173" s="431"/>
      <c r="I173" s="431"/>
      <c r="J173" s="431"/>
      <c r="K173" s="431"/>
      <c r="L173" s="431" t="s">
        <v>241</v>
      </c>
      <c r="M173" s="431" t="s">
        <v>1186</v>
      </c>
    </row>
    <row r="174" spans="1:13" x14ac:dyDescent="0.2">
      <c r="A174" s="431" t="s">
        <v>1187</v>
      </c>
      <c r="B174" s="431">
        <v>1537389</v>
      </c>
      <c r="C174" s="431" t="s">
        <v>159</v>
      </c>
      <c r="D174" s="431" t="s">
        <v>160</v>
      </c>
      <c r="E174" s="431" t="s">
        <v>161</v>
      </c>
      <c r="F174" s="431"/>
      <c r="G174" s="431" t="s">
        <v>175</v>
      </c>
      <c r="H174" s="431"/>
      <c r="I174" s="431"/>
      <c r="J174" s="431"/>
      <c r="K174" s="431"/>
      <c r="L174" s="431" t="s">
        <v>241</v>
      </c>
      <c r="M174" s="431" t="s">
        <v>1188</v>
      </c>
    </row>
    <row r="175" spans="1:13" x14ac:dyDescent="0.2">
      <c r="A175" s="431" t="s">
        <v>1189</v>
      </c>
      <c r="B175" s="431">
        <v>1537390</v>
      </c>
      <c r="C175" s="431" t="s">
        <v>159</v>
      </c>
      <c r="D175" s="431" t="s">
        <v>160</v>
      </c>
      <c r="E175" s="431" t="s">
        <v>161</v>
      </c>
      <c r="F175" s="431"/>
      <c r="G175" s="431" t="s">
        <v>175</v>
      </c>
      <c r="H175" s="431"/>
      <c r="I175" s="431"/>
      <c r="J175" s="431"/>
      <c r="K175" s="431"/>
      <c r="L175" s="431" t="s">
        <v>241</v>
      </c>
      <c r="M175" s="431" t="s">
        <v>1190</v>
      </c>
    </row>
    <row r="176" spans="1:13" x14ac:dyDescent="0.2">
      <c r="A176" s="431" t="s">
        <v>1191</v>
      </c>
      <c r="B176" s="431">
        <v>1537402</v>
      </c>
      <c r="C176" s="431" t="s">
        <v>159</v>
      </c>
      <c r="D176" s="431" t="s">
        <v>160</v>
      </c>
      <c r="E176" s="431" t="s">
        <v>161</v>
      </c>
      <c r="F176" s="431"/>
      <c r="G176" s="431" t="s">
        <v>175</v>
      </c>
      <c r="H176" s="431"/>
      <c r="I176" s="431"/>
      <c r="J176" s="431"/>
      <c r="K176" s="431"/>
      <c r="L176" s="431" t="s">
        <v>241</v>
      </c>
      <c r="M176" s="431" t="s">
        <v>1192</v>
      </c>
    </row>
    <row r="177" spans="1:13" x14ac:dyDescent="0.2">
      <c r="A177" s="431" t="s">
        <v>1193</v>
      </c>
      <c r="B177" s="431">
        <v>1537403</v>
      </c>
      <c r="C177" s="431" t="s">
        <v>159</v>
      </c>
      <c r="D177" s="431" t="s">
        <v>160</v>
      </c>
      <c r="E177" s="431" t="s">
        <v>161</v>
      </c>
      <c r="F177" s="431"/>
      <c r="G177" s="431" t="s">
        <v>175</v>
      </c>
      <c r="H177" s="431"/>
      <c r="I177" s="431"/>
      <c r="J177" s="431"/>
      <c r="K177" s="431"/>
      <c r="L177" s="431" t="s">
        <v>241</v>
      </c>
      <c r="M177" s="431" t="s">
        <v>1194</v>
      </c>
    </row>
    <row r="178" spans="1:13" x14ac:dyDescent="0.2">
      <c r="A178" s="431" t="s">
        <v>1195</v>
      </c>
      <c r="B178" s="431">
        <v>1537406</v>
      </c>
      <c r="C178" s="431" t="s">
        <v>159</v>
      </c>
      <c r="D178" s="431" t="s">
        <v>160</v>
      </c>
      <c r="E178" s="431" t="s">
        <v>161</v>
      </c>
      <c r="F178" s="431" t="s">
        <v>819</v>
      </c>
      <c r="G178" s="431" t="s">
        <v>175</v>
      </c>
      <c r="H178" s="431"/>
      <c r="I178" s="431"/>
      <c r="J178" s="431"/>
      <c r="K178" s="431"/>
      <c r="L178" s="431" t="s">
        <v>307</v>
      </c>
      <c r="M178" s="431" t="s">
        <v>1196</v>
      </c>
    </row>
    <row r="179" spans="1:13" x14ac:dyDescent="0.2">
      <c r="A179" s="431" t="s">
        <v>1195</v>
      </c>
      <c r="B179" s="431">
        <v>1537406</v>
      </c>
      <c r="C179" s="431" t="s">
        <v>159</v>
      </c>
      <c r="D179" s="431" t="s">
        <v>160</v>
      </c>
      <c r="E179" s="431" t="s">
        <v>161</v>
      </c>
      <c r="F179" s="431" t="s">
        <v>820</v>
      </c>
      <c r="G179" s="431" t="s">
        <v>175</v>
      </c>
      <c r="H179" s="431"/>
      <c r="I179" s="431"/>
      <c r="J179" s="431"/>
      <c r="K179" s="431"/>
      <c r="L179" s="431" t="s">
        <v>307</v>
      </c>
      <c r="M179" s="431" t="s">
        <v>1196</v>
      </c>
    </row>
    <row r="180" spans="1:13" x14ac:dyDescent="0.2">
      <c r="A180" s="431" t="s">
        <v>1195</v>
      </c>
      <c r="B180" s="431">
        <v>1537406</v>
      </c>
      <c r="C180" s="431" t="s">
        <v>159</v>
      </c>
      <c r="D180" s="431" t="s">
        <v>160</v>
      </c>
      <c r="E180" s="431" t="s">
        <v>161</v>
      </c>
      <c r="F180" s="431" t="s">
        <v>821</v>
      </c>
      <c r="G180" s="431" t="s">
        <v>175</v>
      </c>
      <c r="H180" s="431"/>
      <c r="I180" s="431"/>
      <c r="J180" s="431"/>
      <c r="K180" s="431"/>
      <c r="L180" s="431" t="s">
        <v>307</v>
      </c>
      <c r="M180" s="431" t="s">
        <v>1196</v>
      </c>
    </row>
    <row r="181" spans="1:13" x14ac:dyDescent="0.2">
      <c r="A181" s="431" t="s">
        <v>1197</v>
      </c>
      <c r="B181" s="431">
        <v>1537407</v>
      </c>
      <c r="C181" s="431" t="s">
        <v>159</v>
      </c>
      <c r="D181" s="431" t="s">
        <v>160</v>
      </c>
      <c r="E181" s="431" t="s">
        <v>161</v>
      </c>
      <c r="F181" s="431" t="s">
        <v>819</v>
      </c>
      <c r="G181" s="431" t="s">
        <v>175</v>
      </c>
      <c r="H181" s="431"/>
      <c r="I181" s="431"/>
      <c r="J181" s="431"/>
      <c r="K181" s="431"/>
      <c r="L181" s="431" t="s">
        <v>307</v>
      </c>
      <c r="M181" s="431" t="s">
        <v>1198</v>
      </c>
    </row>
    <row r="182" spans="1:13" x14ac:dyDescent="0.2">
      <c r="A182" s="431" t="s">
        <v>1197</v>
      </c>
      <c r="B182" s="431">
        <v>1537407</v>
      </c>
      <c r="C182" s="431" t="s">
        <v>159</v>
      </c>
      <c r="D182" s="431" t="s">
        <v>160</v>
      </c>
      <c r="E182" s="431" t="s">
        <v>161</v>
      </c>
      <c r="F182" s="431" t="s">
        <v>820</v>
      </c>
      <c r="G182" s="431" t="s">
        <v>175</v>
      </c>
      <c r="H182" s="431"/>
      <c r="I182" s="431"/>
      <c r="J182" s="431"/>
      <c r="K182" s="431"/>
      <c r="L182" s="431" t="s">
        <v>307</v>
      </c>
      <c r="M182" s="431" t="s">
        <v>1198</v>
      </c>
    </row>
    <row r="183" spans="1:13" x14ac:dyDescent="0.2">
      <c r="A183" s="431" t="s">
        <v>1197</v>
      </c>
      <c r="B183" s="431">
        <v>1537407</v>
      </c>
      <c r="C183" s="431" t="s">
        <v>159</v>
      </c>
      <c r="D183" s="431" t="s">
        <v>160</v>
      </c>
      <c r="E183" s="431" t="s">
        <v>161</v>
      </c>
      <c r="F183" s="431" t="s">
        <v>821</v>
      </c>
      <c r="G183" s="431" t="s">
        <v>175</v>
      </c>
      <c r="H183" s="431"/>
      <c r="I183" s="431"/>
      <c r="J183" s="431"/>
      <c r="K183" s="431"/>
      <c r="L183" s="431" t="s">
        <v>307</v>
      </c>
      <c r="M183" s="431" t="s">
        <v>1198</v>
      </c>
    </row>
    <row r="184" spans="1:13" x14ac:dyDescent="0.2">
      <c r="A184" s="431" t="s">
        <v>1199</v>
      </c>
      <c r="B184" s="431">
        <v>1537412</v>
      </c>
      <c r="C184" s="431" t="s">
        <v>159</v>
      </c>
      <c r="D184" s="431" t="s">
        <v>160</v>
      </c>
      <c r="E184" s="431" t="s">
        <v>161</v>
      </c>
      <c r="F184" s="431"/>
      <c r="G184" s="431" t="s">
        <v>175</v>
      </c>
      <c r="H184" s="431"/>
      <c r="I184" s="431"/>
      <c r="J184" s="431"/>
      <c r="K184" s="431"/>
      <c r="L184" s="431" t="s">
        <v>241</v>
      </c>
      <c r="M184" s="431" t="s">
        <v>1200</v>
      </c>
    </row>
    <row r="185" spans="1:13" x14ac:dyDescent="0.2">
      <c r="A185" s="431" t="s">
        <v>1201</v>
      </c>
      <c r="B185" s="431">
        <v>1537413</v>
      </c>
      <c r="C185" s="431" t="s">
        <v>159</v>
      </c>
      <c r="D185" s="431" t="s">
        <v>160</v>
      </c>
      <c r="E185" s="431" t="s">
        <v>161</v>
      </c>
      <c r="F185" s="431"/>
      <c r="G185" s="431" t="s">
        <v>175</v>
      </c>
      <c r="H185" s="431"/>
      <c r="I185" s="431"/>
      <c r="J185" s="431"/>
      <c r="K185" s="431"/>
      <c r="L185" s="431" t="s">
        <v>241</v>
      </c>
      <c r="M185" s="431" t="s">
        <v>1202</v>
      </c>
    </row>
    <row r="186" spans="1:13" x14ac:dyDescent="0.2">
      <c r="A186" s="431" t="s">
        <v>1203</v>
      </c>
      <c r="B186" s="431">
        <v>1537415</v>
      </c>
      <c r="C186" s="431" t="s">
        <v>159</v>
      </c>
      <c r="D186" s="431" t="s">
        <v>160</v>
      </c>
      <c r="E186" s="431" t="s">
        <v>161</v>
      </c>
      <c r="F186" s="431"/>
      <c r="G186" s="431" t="s">
        <v>175</v>
      </c>
      <c r="H186" s="431"/>
      <c r="I186" s="431"/>
      <c r="J186" s="431"/>
      <c r="K186" s="431"/>
      <c r="L186" s="431" t="s">
        <v>241</v>
      </c>
      <c r="M186" s="431" t="s">
        <v>1204</v>
      </c>
    </row>
    <row r="187" spans="1:13" ht="409.5" x14ac:dyDescent="0.2">
      <c r="A187" s="431" t="s">
        <v>1205</v>
      </c>
      <c r="B187" s="431">
        <v>1537418</v>
      </c>
      <c r="C187" s="431" t="s">
        <v>159</v>
      </c>
      <c r="D187" s="431" t="s">
        <v>160</v>
      </c>
      <c r="E187" s="431" t="s">
        <v>161</v>
      </c>
      <c r="F187" s="431"/>
      <c r="G187" s="431" t="s">
        <v>175</v>
      </c>
      <c r="H187" s="431"/>
      <c r="I187" s="431"/>
      <c r="J187" s="431"/>
      <c r="K187" s="431"/>
      <c r="L187" s="431" t="s">
        <v>241</v>
      </c>
      <c r="M187" s="432" t="s">
        <v>1206</v>
      </c>
    </row>
    <row r="188" spans="1:13" x14ac:dyDescent="0.2">
      <c r="A188" s="431" t="s">
        <v>1207</v>
      </c>
      <c r="B188" s="431">
        <v>1537493</v>
      </c>
      <c r="C188" s="431" t="s">
        <v>159</v>
      </c>
      <c r="D188" s="431" t="s">
        <v>160</v>
      </c>
      <c r="E188" s="431" t="s">
        <v>161</v>
      </c>
      <c r="F188" s="431"/>
      <c r="G188" s="431" t="s">
        <v>175</v>
      </c>
      <c r="H188" s="431"/>
      <c r="I188" s="431"/>
      <c r="J188" s="431"/>
      <c r="K188" s="431"/>
      <c r="L188" s="431" t="s">
        <v>241</v>
      </c>
      <c r="M188" s="431" t="s">
        <v>1208</v>
      </c>
    </row>
    <row r="189" spans="1:13" ht="409.5" x14ac:dyDescent="0.2">
      <c r="A189" s="431" t="s">
        <v>1209</v>
      </c>
      <c r="B189" s="431">
        <v>1537494</v>
      </c>
      <c r="C189" s="431" t="s">
        <v>159</v>
      </c>
      <c r="D189" s="431" t="s">
        <v>160</v>
      </c>
      <c r="E189" s="431" t="s">
        <v>161</v>
      </c>
      <c r="F189" s="431"/>
      <c r="G189" s="431" t="s">
        <v>175</v>
      </c>
      <c r="H189" s="431"/>
      <c r="I189" s="431"/>
      <c r="J189" s="431"/>
      <c r="K189" s="431"/>
      <c r="L189" s="431" t="s">
        <v>241</v>
      </c>
      <c r="M189" s="432" t="s">
        <v>1210</v>
      </c>
    </row>
    <row r="190" spans="1:13" x14ac:dyDescent="0.2">
      <c r="A190" s="431" t="s">
        <v>1211</v>
      </c>
      <c r="B190" s="431">
        <v>1537496</v>
      </c>
      <c r="C190" s="431" t="s">
        <v>159</v>
      </c>
      <c r="D190" s="431" t="s">
        <v>160</v>
      </c>
      <c r="E190" s="431" t="s">
        <v>161</v>
      </c>
      <c r="F190" s="431"/>
      <c r="G190" s="431" t="s">
        <v>175</v>
      </c>
      <c r="H190" s="431"/>
      <c r="I190" s="431"/>
      <c r="J190" s="431"/>
      <c r="K190" s="431"/>
      <c r="L190" s="431" t="s">
        <v>241</v>
      </c>
      <c r="M190" s="431" t="s">
        <v>1212</v>
      </c>
    </row>
    <row r="191" spans="1:13" x14ac:dyDescent="0.2">
      <c r="A191" s="431" t="s">
        <v>1213</v>
      </c>
      <c r="B191" s="431">
        <v>1537499</v>
      </c>
      <c r="C191" s="431" t="s">
        <v>159</v>
      </c>
      <c r="D191" s="431" t="s">
        <v>160</v>
      </c>
      <c r="E191" s="431" t="s">
        <v>161</v>
      </c>
      <c r="F191" s="431"/>
      <c r="G191" s="431" t="s">
        <v>175</v>
      </c>
      <c r="H191" s="431"/>
      <c r="I191" s="431"/>
      <c r="J191" s="431"/>
      <c r="K191" s="431"/>
      <c r="L191" s="431" t="s">
        <v>241</v>
      </c>
      <c r="M191" s="431" t="s">
        <v>1214</v>
      </c>
    </row>
    <row r="192" spans="1:13" x14ac:dyDescent="0.2">
      <c r="A192" s="431" t="s">
        <v>1215</v>
      </c>
      <c r="B192" s="431">
        <v>1537500</v>
      </c>
      <c r="C192" s="431" t="s">
        <v>159</v>
      </c>
      <c r="D192" s="431" t="s">
        <v>160</v>
      </c>
      <c r="E192" s="431" t="s">
        <v>161</v>
      </c>
      <c r="F192" s="431"/>
      <c r="G192" s="431" t="s">
        <v>175</v>
      </c>
      <c r="H192" s="431"/>
      <c r="I192" s="431"/>
      <c r="J192" s="431"/>
      <c r="K192" s="431"/>
      <c r="L192" s="431" t="s">
        <v>241</v>
      </c>
      <c r="M192" s="431" t="s">
        <v>1216</v>
      </c>
    </row>
    <row r="193" spans="1:13" x14ac:dyDescent="0.2">
      <c r="A193" s="431" t="s">
        <v>1217</v>
      </c>
      <c r="B193" s="431">
        <v>1537501</v>
      </c>
      <c r="C193" s="431" t="s">
        <v>159</v>
      </c>
      <c r="D193" s="431" t="s">
        <v>160</v>
      </c>
      <c r="E193" s="431" t="s">
        <v>161</v>
      </c>
      <c r="F193" s="431"/>
      <c r="G193" s="431" t="s">
        <v>175</v>
      </c>
      <c r="H193" s="431"/>
      <c r="I193" s="431"/>
      <c r="J193" s="431"/>
      <c r="K193" s="431"/>
      <c r="L193" s="431" t="s">
        <v>241</v>
      </c>
      <c r="M193" s="431" t="s">
        <v>1218</v>
      </c>
    </row>
    <row r="194" spans="1:13" x14ac:dyDescent="0.2">
      <c r="A194" s="431" t="s">
        <v>1219</v>
      </c>
      <c r="B194" s="431">
        <v>1537502</v>
      </c>
      <c r="C194" s="431" t="s">
        <v>159</v>
      </c>
      <c r="D194" s="431" t="s">
        <v>160</v>
      </c>
      <c r="E194" s="431" t="s">
        <v>161</v>
      </c>
      <c r="F194" s="431"/>
      <c r="G194" s="431" t="s">
        <v>175</v>
      </c>
      <c r="H194" s="431"/>
      <c r="I194" s="431"/>
      <c r="J194" s="431"/>
      <c r="K194" s="431"/>
      <c r="L194" s="431" t="s">
        <v>241</v>
      </c>
      <c r="M194" s="431" t="s">
        <v>1220</v>
      </c>
    </row>
    <row r="195" spans="1:13" x14ac:dyDescent="0.2">
      <c r="A195" s="431" t="s">
        <v>1221</v>
      </c>
      <c r="B195" s="431">
        <v>1537503</v>
      </c>
      <c r="C195" s="431" t="s">
        <v>159</v>
      </c>
      <c r="D195" s="431" t="s">
        <v>160</v>
      </c>
      <c r="E195" s="431" t="s">
        <v>161</v>
      </c>
      <c r="F195" s="431"/>
      <c r="G195" s="431" t="s">
        <v>175</v>
      </c>
      <c r="H195" s="431"/>
      <c r="I195" s="431"/>
      <c r="J195" s="431"/>
      <c r="K195" s="431"/>
      <c r="L195" s="431" t="s">
        <v>163</v>
      </c>
      <c r="M195" s="431" t="s">
        <v>1222</v>
      </c>
    </row>
    <row r="196" spans="1:13" x14ac:dyDescent="0.2">
      <c r="A196" s="431" t="s">
        <v>1223</v>
      </c>
      <c r="B196" s="431">
        <v>1537504</v>
      </c>
      <c r="C196" s="431" t="s">
        <v>159</v>
      </c>
      <c r="D196" s="431" t="s">
        <v>160</v>
      </c>
      <c r="E196" s="431" t="s">
        <v>161</v>
      </c>
      <c r="F196" s="431"/>
      <c r="G196" s="431" t="s">
        <v>175</v>
      </c>
      <c r="H196" s="431"/>
      <c r="I196" s="431"/>
      <c r="J196" s="431"/>
      <c r="K196" s="431"/>
      <c r="L196" s="431" t="s">
        <v>241</v>
      </c>
      <c r="M196" s="431" t="s">
        <v>1224</v>
      </c>
    </row>
    <row r="197" spans="1:13" x14ac:dyDescent="0.2">
      <c r="A197" s="431" t="s">
        <v>1225</v>
      </c>
      <c r="B197" s="431">
        <v>1537524</v>
      </c>
      <c r="C197" s="431" t="s">
        <v>159</v>
      </c>
      <c r="D197" s="431" t="s">
        <v>160</v>
      </c>
      <c r="E197" s="431" t="s">
        <v>161</v>
      </c>
      <c r="F197" s="431" t="s">
        <v>1226</v>
      </c>
      <c r="G197" s="431" t="s">
        <v>175</v>
      </c>
      <c r="H197" s="431"/>
      <c r="I197" s="431"/>
      <c r="J197" s="431"/>
      <c r="K197" s="431"/>
      <c r="L197" s="431" t="s">
        <v>1149</v>
      </c>
      <c r="M197" s="431" t="s">
        <v>1227</v>
      </c>
    </row>
    <row r="198" spans="1:13" x14ac:dyDescent="0.2">
      <c r="A198" s="431" t="s">
        <v>1225</v>
      </c>
      <c r="B198" s="431">
        <v>1537524</v>
      </c>
      <c r="C198" s="431" t="s">
        <v>159</v>
      </c>
      <c r="D198" s="431" t="s">
        <v>160</v>
      </c>
      <c r="E198" s="431" t="s">
        <v>161</v>
      </c>
      <c r="F198" s="431" t="s">
        <v>1228</v>
      </c>
      <c r="G198" s="431" t="s">
        <v>175</v>
      </c>
      <c r="H198" s="431"/>
      <c r="I198" s="431"/>
      <c r="J198" s="431"/>
      <c r="K198" s="431"/>
      <c r="L198" s="431" t="s">
        <v>1149</v>
      </c>
      <c r="M198" s="431" t="s">
        <v>1227</v>
      </c>
    </row>
    <row r="199" spans="1:13" x14ac:dyDescent="0.2">
      <c r="A199" s="431" t="s">
        <v>1229</v>
      </c>
      <c r="B199" s="431">
        <v>1734188</v>
      </c>
      <c r="C199" s="431" t="s">
        <v>159</v>
      </c>
      <c r="D199" s="431" t="s">
        <v>160</v>
      </c>
      <c r="E199" s="431" t="s">
        <v>161</v>
      </c>
      <c r="F199" s="431" t="s">
        <v>1230</v>
      </c>
      <c r="G199" s="431" t="s">
        <v>175</v>
      </c>
      <c r="H199" s="431"/>
      <c r="I199" s="431"/>
      <c r="J199" s="431"/>
      <c r="K199" s="431"/>
      <c r="L199" s="431" t="s">
        <v>1149</v>
      </c>
      <c r="M199" s="431" t="s">
        <v>1231</v>
      </c>
    </row>
    <row r="200" spans="1:13" x14ac:dyDescent="0.2">
      <c r="A200" s="431" t="s">
        <v>1229</v>
      </c>
      <c r="B200" s="431">
        <v>1734188</v>
      </c>
      <c r="C200" s="431" t="s">
        <v>159</v>
      </c>
      <c r="D200" s="431" t="s">
        <v>160</v>
      </c>
      <c r="E200" s="431" t="s">
        <v>161</v>
      </c>
      <c r="F200" s="431" t="s">
        <v>1230</v>
      </c>
      <c r="G200" s="431" t="s">
        <v>175</v>
      </c>
      <c r="H200" s="431"/>
      <c r="I200" s="431"/>
      <c r="J200" s="431"/>
      <c r="K200" s="431"/>
      <c r="L200" s="431" t="s">
        <v>1149</v>
      </c>
      <c r="M200" s="431" t="s">
        <v>1231</v>
      </c>
    </row>
    <row r="201" spans="1:13" x14ac:dyDescent="0.2">
      <c r="A201" s="431" t="s">
        <v>1229</v>
      </c>
      <c r="B201" s="431">
        <v>1734188</v>
      </c>
      <c r="C201" s="431" t="s">
        <v>159</v>
      </c>
      <c r="D201" s="431" t="s">
        <v>160</v>
      </c>
      <c r="E201" s="431" t="s">
        <v>161</v>
      </c>
      <c r="F201" s="431" t="s">
        <v>1232</v>
      </c>
      <c r="G201" s="431" t="s">
        <v>175</v>
      </c>
      <c r="H201" s="431"/>
      <c r="I201" s="431"/>
      <c r="J201" s="431"/>
      <c r="K201" s="431"/>
      <c r="L201" s="431" t="s">
        <v>1149</v>
      </c>
      <c r="M201" s="431" t="s">
        <v>1231</v>
      </c>
    </row>
    <row r="202" spans="1:13" x14ac:dyDescent="0.2">
      <c r="A202" s="431" t="s">
        <v>1229</v>
      </c>
      <c r="B202" s="431">
        <v>1734188</v>
      </c>
      <c r="C202" s="431" t="s">
        <v>159</v>
      </c>
      <c r="D202" s="431" t="s">
        <v>160</v>
      </c>
      <c r="E202" s="431" t="s">
        <v>161</v>
      </c>
      <c r="F202" s="431" t="s">
        <v>1232</v>
      </c>
      <c r="G202" s="431" t="s">
        <v>175</v>
      </c>
      <c r="H202" s="431"/>
      <c r="I202" s="431"/>
      <c r="J202" s="431"/>
      <c r="K202" s="431"/>
      <c r="L202" s="431" t="s">
        <v>1149</v>
      </c>
      <c r="M202" s="431" t="s">
        <v>1231</v>
      </c>
    </row>
    <row r="203" spans="1:13" x14ac:dyDescent="0.2">
      <c r="A203" s="431" t="s">
        <v>1229</v>
      </c>
      <c r="B203" s="431">
        <v>1734188</v>
      </c>
      <c r="C203" s="431" t="s">
        <v>159</v>
      </c>
      <c r="D203" s="431" t="s">
        <v>160</v>
      </c>
      <c r="E203" s="431" t="s">
        <v>161</v>
      </c>
      <c r="F203" s="431" t="s">
        <v>593</v>
      </c>
      <c r="G203" s="431" t="s">
        <v>175</v>
      </c>
      <c r="H203" s="431"/>
      <c r="I203" s="431"/>
      <c r="J203" s="431"/>
      <c r="K203" s="431"/>
      <c r="L203" s="431" t="s">
        <v>1149</v>
      </c>
      <c r="M203" s="431" t="s">
        <v>1231</v>
      </c>
    </row>
    <row r="204" spans="1:13" x14ac:dyDescent="0.2">
      <c r="A204" s="431" t="s">
        <v>1229</v>
      </c>
      <c r="B204" s="431">
        <v>1734188</v>
      </c>
      <c r="C204" s="431" t="s">
        <v>159</v>
      </c>
      <c r="D204" s="431" t="s">
        <v>160</v>
      </c>
      <c r="E204" s="431" t="s">
        <v>161</v>
      </c>
      <c r="F204" s="431" t="s">
        <v>1233</v>
      </c>
      <c r="G204" s="431" t="s">
        <v>175</v>
      </c>
      <c r="H204" s="431"/>
      <c r="I204" s="431"/>
      <c r="J204" s="431"/>
      <c r="K204" s="431"/>
      <c r="L204" s="431" t="s">
        <v>1149</v>
      </c>
      <c r="M204" s="431" t="s">
        <v>1231</v>
      </c>
    </row>
    <row r="205" spans="1:13" x14ac:dyDescent="0.2">
      <c r="A205" s="431" t="s">
        <v>1234</v>
      </c>
      <c r="B205" s="431">
        <v>1735454</v>
      </c>
      <c r="C205" s="431" t="s">
        <v>159</v>
      </c>
      <c r="D205" s="431" t="s">
        <v>160</v>
      </c>
      <c r="E205" s="431" t="s">
        <v>161</v>
      </c>
      <c r="F205" s="431" t="s">
        <v>1235</v>
      </c>
      <c r="G205" s="431" t="s">
        <v>175</v>
      </c>
      <c r="H205" s="431"/>
      <c r="I205" s="431"/>
      <c r="J205" s="431"/>
      <c r="K205" s="431"/>
      <c r="L205" s="431" t="s">
        <v>1149</v>
      </c>
      <c r="M205" s="431" t="s">
        <v>1236</v>
      </c>
    </row>
    <row r="206" spans="1:13" x14ac:dyDescent="0.2">
      <c r="A206" s="431" t="s">
        <v>1237</v>
      </c>
      <c r="B206" s="431">
        <v>1735674</v>
      </c>
      <c r="C206" s="431" t="s">
        <v>159</v>
      </c>
      <c r="D206" s="431" t="s">
        <v>160</v>
      </c>
      <c r="E206" s="431" t="s">
        <v>161</v>
      </c>
      <c r="F206" s="431" t="s">
        <v>1238</v>
      </c>
      <c r="G206" s="431" t="s">
        <v>175</v>
      </c>
      <c r="H206" s="431"/>
      <c r="I206" s="431"/>
      <c r="J206" s="431"/>
      <c r="K206" s="431"/>
      <c r="L206" s="431" t="s">
        <v>1149</v>
      </c>
      <c r="M206" s="431" t="s">
        <v>1239</v>
      </c>
    </row>
    <row r="207" spans="1:13" x14ac:dyDescent="0.2">
      <c r="A207" s="431" t="s">
        <v>1237</v>
      </c>
      <c r="B207" s="431">
        <v>1735674</v>
      </c>
      <c r="C207" s="431" t="s">
        <v>159</v>
      </c>
      <c r="D207" s="431" t="s">
        <v>160</v>
      </c>
      <c r="E207" s="431" t="s">
        <v>161</v>
      </c>
      <c r="F207" s="431" t="s">
        <v>1240</v>
      </c>
      <c r="G207" s="431" t="s">
        <v>175</v>
      </c>
      <c r="H207" s="431"/>
      <c r="I207" s="431"/>
      <c r="J207" s="431"/>
      <c r="K207" s="431"/>
      <c r="L207" s="431" t="s">
        <v>1149</v>
      </c>
      <c r="M207" s="431" t="s">
        <v>1239</v>
      </c>
    </row>
    <row r="208" spans="1:13" x14ac:dyDescent="0.2">
      <c r="A208" s="431" t="s">
        <v>1237</v>
      </c>
      <c r="B208" s="431">
        <v>1735674</v>
      </c>
      <c r="C208" s="431" t="s">
        <v>159</v>
      </c>
      <c r="D208" s="431" t="s">
        <v>160</v>
      </c>
      <c r="E208" s="431" t="s">
        <v>161</v>
      </c>
      <c r="F208" s="431" t="s">
        <v>1240</v>
      </c>
      <c r="G208" s="431" t="s">
        <v>175</v>
      </c>
      <c r="H208" s="431"/>
      <c r="I208" s="431"/>
      <c r="J208" s="431"/>
      <c r="K208" s="431"/>
      <c r="L208" s="431" t="s">
        <v>1149</v>
      </c>
      <c r="M208" s="431" t="s">
        <v>1239</v>
      </c>
    </row>
    <row r="209" spans="1:13" x14ac:dyDescent="0.2">
      <c r="A209" s="431" t="s">
        <v>1237</v>
      </c>
      <c r="B209" s="431">
        <v>1735674</v>
      </c>
      <c r="C209" s="431" t="s">
        <v>159</v>
      </c>
      <c r="D209" s="431" t="s">
        <v>160</v>
      </c>
      <c r="E209" s="431" t="s">
        <v>161</v>
      </c>
      <c r="F209" s="431" t="s">
        <v>1240</v>
      </c>
      <c r="G209" s="431" t="s">
        <v>175</v>
      </c>
      <c r="H209" s="431"/>
      <c r="I209" s="431"/>
      <c r="J209" s="431"/>
      <c r="K209" s="431"/>
      <c r="L209" s="431" t="s">
        <v>1149</v>
      </c>
      <c r="M209" s="431" t="s">
        <v>1239</v>
      </c>
    </row>
    <row r="210" spans="1:13" x14ac:dyDescent="0.2">
      <c r="A210" s="431" t="s">
        <v>1237</v>
      </c>
      <c r="B210" s="431">
        <v>1735674</v>
      </c>
      <c r="C210" s="431" t="s">
        <v>159</v>
      </c>
      <c r="D210" s="431" t="s">
        <v>160</v>
      </c>
      <c r="E210" s="431" t="s">
        <v>161</v>
      </c>
      <c r="F210" s="431" t="s">
        <v>1240</v>
      </c>
      <c r="G210" s="431" t="s">
        <v>175</v>
      </c>
      <c r="H210" s="431"/>
      <c r="I210" s="431"/>
      <c r="J210" s="431"/>
      <c r="K210" s="431"/>
      <c r="L210" s="431" t="s">
        <v>1149</v>
      </c>
      <c r="M210" s="431" t="s">
        <v>1239</v>
      </c>
    </row>
    <row r="211" spans="1:13" x14ac:dyDescent="0.2">
      <c r="A211" s="431" t="s">
        <v>1237</v>
      </c>
      <c r="B211" s="431">
        <v>1735674</v>
      </c>
      <c r="C211" s="431" t="s">
        <v>159</v>
      </c>
      <c r="D211" s="431" t="s">
        <v>160</v>
      </c>
      <c r="E211" s="431" t="s">
        <v>161</v>
      </c>
      <c r="F211" s="431" t="s">
        <v>1240</v>
      </c>
      <c r="G211" s="431" t="s">
        <v>175</v>
      </c>
      <c r="H211" s="431"/>
      <c r="I211" s="431"/>
      <c r="J211" s="431"/>
      <c r="K211" s="431"/>
      <c r="L211" s="431" t="s">
        <v>1149</v>
      </c>
      <c r="M211" s="431" t="s">
        <v>1239</v>
      </c>
    </row>
    <row r="212" spans="1:13" x14ac:dyDescent="0.2">
      <c r="A212" s="431" t="s">
        <v>1237</v>
      </c>
      <c r="B212" s="431">
        <v>1735674</v>
      </c>
      <c r="C212" s="431" t="s">
        <v>159</v>
      </c>
      <c r="D212" s="431" t="s">
        <v>160</v>
      </c>
      <c r="E212" s="431" t="s">
        <v>161</v>
      </c>
      <c r="F212" s="431" t="s">
        <v>1240</v>
      </c>
      <c r="G212" s="431" t="s">
        <v>175</v>
      </c>
      <c r="H212" s="431"/>
      <c r="I212" s="431"/>
      <c r="J212" s="431"/>
      <c r="K212" s="431"/>
      <c r="L212" s="431" t="s">
        <v>1149</v>
      </c>
      <c r="M212" s="431" t="s">
        <v>1239</v>
      </c>
    </row>
    <row r="213" spans="1:13" x14ac:dyDescent="0.2">
      <c r="A213" s="431" t="s">
        <v>1237</v>
      </c>
      <c r="B213" s="431">
        <v>1735674</v>
      </c>
      <c r="C213" s="431" t="s">
        <v>159</v>
      </c>
      <c r="D213" s="431" t="s">
        <v>160</v>
      </c>
      <c r="E213" s="431" t="s">
        <v>161</v>
      </c>
      <c r="F213" s="431" t="s">
        <v>1240</v>
      </c>
      <c r="G213" s="431" t="s">
        <v>175</v>
      </c>
      <c r="H213" s="431"/>
      <c r="I213" s="431"/>
      <c r="J213" s="431"/>
      <c r="K213" s="431"/>
      <c r="L213" s="431" t="s">
        <v>1149</v>
      </c>
      <c r="M213" s="431" t="s">
        <v>1239</v>
      </c>
    </row>
    <row r="214" spans="1:13" x14ac:dyDescent="0.2">
      <c r="A214" s="431" t="s">
        <v>1237</v>
      </c>
      <c r="B214" s="431">
        <v>1735674</v>
      </c>
      <c r="C214" s="431" t="s">
        <v>159</v>
      </c>
      <c r="D214" s="431" t="s">
        <v>160</v>
      </c>
      <c r="E214" s="431" t="s">
        <v>161</v>
      </c>
      <c r="F214" s="431" t="s">
        <v>1240</v>
      </c>
      <c r="G214" s="431" t="s">
        <v>175</v>
      </c>
      <c r="H214" s="431"/>
      <c r="I214" s="431"/>
      <c r="J214" s="431"/>
      <c r="K214" s="431"/>
      <c r="L214" s="431" t="s">
        <v>1149</v>
      </c>
      <c r="M214" s="431" t="s">
        <v>1239</v>
      </c>
    </row>
    <row r="215" spans="1:13" x14ac:dyDescent="0.2">
      <c r="A215" s="431" t="s">
        <v>1237</v>
      </c>
      <c r="B215" s="431">
        <v>1735674</v>
      </c>
      <c r="C215" s="431" t="s">
        <v>159</v>
      </c>
      <c r="D215" s="431" t="s">
        <v>160</v>
      </c>
      <c r="E215" s="431" t="s">
        <v>161</v>
      </c>
      <c r="F215" s="431" t="s">
        <v>1240</v>
      </c>
      <c r="G215" s="431" t="s">
        <v>175</v>
      </c>
      <c r="H215" s="431"/>
      <c r="I215" s="431"/>
      <c r="J215" s="431"/>
      <c r="K215" s="431"/>
      <c r="L215" s="431" t="s">
        <v>1149</v>
      </c>
      <c r="M215" s="431" t="s">
        <v>1239</v>
      </c>
    </row>
    <row r="216" spans="1:13" x14ac:dyDescent="0.2">
      <c r="A216" s="431" t="s">
        <v>1237</v>
      </c>
      <c r="B216" s="431">
        <v>1735674</v>
      </c>
      <c r="C216" s="431" t="s">
        <v>159</v>
      </c>
      <c r="D216" s="431" t="s">
        <v>160</v>
      </c>
      <c r="E216" s="431" t="s">
        <v>161</v>
      </c>
      <c r="F216" s="431" t="s">
        <v>1240</v>
      </c>
      <c r="G216" s="431" t="s">
        <v>175</v>
      </c>
      <c r="H216" s="431"/>
      <c r="I216" s="431"/>
      <c r="J216" s="431"/>
      <c r="K216" s="431"/>
      <c r="L216" s="431" t="s">
        <v>1149</v>
      </c>
      <c r="M216" s="431" t="s">
        <v>1239</v>
      </c>
    </row>
    <row r="217" spans="1:13" x14ac:dyDescent="0.2">
      <c r="A217" s="431" t="s">
        <v>1237</v>
      </c>
      <c r="B217" s="431">
        <v>1735674</v>
      </c>
      <c r="C217" s="431" t="s">
        <v>159</v>
      </c>
      <c r="D217" s="431" t="s">
        <v>160</v>
      </c>
      <c r="E217" s="431" t="s">
        <v>161</v>
      </c>
      <c r="F217" s="431" t="s">
        <v>1240</v>
      </c>
      <c r="G217" s="431" t="s">
        <v>175</v>
      </c>
      <c r="H217" s="431"/>
      <c r="I217" s="431"/>
      <c r="J217" s="431"/>
      <c r="K217" s="431"/>
      <c r="L217" s="431" t="s">
        <v>1149</v>
      </c>
      <c r="M217" s="431" t="s">
        <v>1239</v>
      </c>
    </row>
    <row r="218" spans="1:13" x14ac:dyDescent="0.2">
      <c r="A218" s="431" t="s">
        <v>1237</v>
      </c>
      <c r="B218" s="431">
        <v>1735674</v>
      </c>
      <c r="C218" s="431" t="s">
        <v>159</v>
      </c>
      <c r="D218" s="431" t="s">
        <v>160</v>
      </c>
      <c r="E218" s="431" t="s">
        <v>161</v>
      </c>
      <c r="F218" s="431" t="s">
        <v>1240</v>
      </c>
      <c r="G218" s="431" t="s">
        <v>175</v>
      </c>
      <c r="H218" s="431"/>
      <c r="I218" s="431"/>
      <c r="J218" s="431"/>
      <c r="K218" s="431"/>
      <c r="L218" s="431" t="s">
        <v>1149</v>
      </c>
      <c r="M218" s="431" t="s">
        <v>1239</v>
      </c>
    </row>
    <row r="219" spans="1:13" x14ac:dyDescent="0.2">
      <c r="A219" s="431" t="s">
        <v>1237</v>
      </c>
      <c r="B219" s="431">
        <v>1735674</v>
      </c>
      <c r="C219" s="431" t="s">
        <v>159</v>
      </c>
      <c r="D219" s="431" t="s">
        <v>160</v>
      </c>
      <c r="E219" s="431" t="s">
        <v>161</v>
      </c>
      <c r="F219" s="431" t="s">
        <v>1240</v>
      </c>
      <c r="G219" s="431" t="s">
        <v>175</v>
      </c>
      <c r="H219" s="431"/>
      <c r="I219" s="431"/>
      <c r="J219" s="431"/>
      <c r="K219" s="431"/>
      <c r="L219" s="431" t="s">
        <v>1149</v>
      </c>
      <c r="M219" s="431" t="s">
        <v>1239</v>
      </c>
    </row>
    <row r="220" spans="1:13" x14ac:dyDescent="0.2">
      <c r="A220" s="431" t="s">
        <v>1237</v>
      </c>
      <c r="B220" s="431">
        <v>1735674</v>
      </c>
      <c r="C220" s="431" t="s">
        <v>159</v>
      </c>
      <c r="D220" s="431" t="s">
        <v>160</v>
      </c>
      <c r="E220" s="431" t="s">
        <v>161</v>
      </c>
      <c r="F220" s="431" t="s">
        <v>1240</v>
      </c>
      <c r="G220" s="431" t="s">
        <v>175</v>
      </c>
      <c r="H220" s="431"/>
      <c r="I220" s="431"/>
      <c r="J220" s="431"/>
      <c r="K220" s="431"/>
      <c r="L220" s="431" t="s">
        <v>1149</v>
      </c>
      <c r="M220" s="431" t="s">
        <v>1239</v>
      </c>
    </row>
    <row r="221" spans="1:13" x14ac:dyDescent="0.2">
      <c r="A221" s="431" t="s">
        <v>1237</v>
      </c>
      <c r="B221" s="431">
        <v>1735674</v>
      </c>
      <c r="C221" s="431" t="s">
        <v>159</v>
      </c>
      <c r="D221" s="431" t="s">
        <v>160</v>
      </c>
      <c r="E221" s="431" t="s">
        <v>161</v>
      </c>
      <c r="F221" s="431" t="s">
        <v>1240</v>
      </c>
      <c r="G221" s="431" t="s">
        <v>175</v>
      </c>
      <c r="H221" s="431"/>
      <c r="I221" s="431"/>
      <c r="J221" s="431"/>
      <c r="K221" s="431"/>
      <c r="L221" s="431" t="s">
        <v>1149</v>
      </c>
      <c r="M221" s="431" t="s">
        <v>1239</v>
      </c>
    </row>
    <row r="222" spans="1:13" x14ac:dyDescent="0.2">
      <c r="A222" s="431" t="s">
        <v>1237</v>
      </c>
      <c r="B222" s="431">
        <v>1735674</v>
      </c>
      <c r="C222" s="431" t="s">
        <v>159</v>
      </c>
      <c r="D222" s="431" t="s">
        <v>160</v>
      </c>
      <c r="E222" s="431" t="s">
        <v>161</v>
      </c>
      <c r="F222" s="431" t="s">
        <v>1240</v>
      </c>
      <c r="G222" s="431" t="s">
        <v>175</v>
      </c>
      <c r="H222" s="431"/>
      <c r="I222" s="431"/>
      <c r="J222" s="431"/>
      <c r="K222" s="431"/>
      <c r="L222" s="431" t="s">
        <v>1149</v>
      </c>
      <c r="M222" s="431" t="s">
        <v>1239</v>
      </c>
    </row>
    <row r="223" spans="1:13" x14ac:dyDescent="0.2">
      <c r="A223" s="431" t="s">
        <v>1237</v>
      </c>
      <c r="B223" s="431">
        <v>1735674</v>
      </c>
      <c r="C223" s="431" t="s">
        <v>159</v>
      </c>
      <c r="D223" s="431" t="s">
        <v>160</v>
      </c>
      <c r="E223" s="431" t="s">
        <v>161</v>
      </c>
      <c r="F223" s="431" t="s">
        <v>1240</v>
      </c>
      <c r="G223" s="431" t="s">
        <v>175</v>
      </c>
      <c r="H223" s="431"/>
      <c r="I223" s="431"/>
      <c r="J223" s="431"/>
      <c r="K223" s="431"/>
      <c r="L223" s="431" t="s">
        <v>1149</v>
      </c>
      <c r="M223" s="431" t="s">
        <v>1239</v>
      </c>
    </row>
    <row r="224" spans="1:13" x14ac:dyDescent="0.2">
      <c r="A224" s="431" t="s">
        <v>1237</v>
      </c>
      <c r="B224" s="431">
        <v>1735674</v>
      </c>
      <c r="C224" s="431" t="s">
        <v>159</v>
      </c>
      <c r="D224" s="431" t="s">
        <v>160</v>
      </c>
      <c r="E224" s="431" t="s">
        <v>161</v>
      </c>
      <c r="F224" s="431" t="s">
        <v>1240</v>
      </c>
      <c r="G224" s="431" t="s">
        <v>175</v>
      </c>
      <c r="H224" s="431"/>
      <c r="I224" s="431"/>
      <c r="J224" s="431"/>
      <c r="K224" s="431"/>
      <c r="L224" s="431" t="s">
        <v>1149</v>
      </c>
      <c r="M224" s="431" t="s">
        <v>1239</v>
      </c>
    </row>
    <row r="225" spans="1:13" x14ac:dyDescent="0.2">
      <c r="A225" s="431" t="s">
        <v>1237</v>
      </c>
      <c r="B225" s="431">
        <v>1735674</v>
      </c>
      <c r="C225" s="431" t="s">
        <v>159</v>
      </c>
      <c r="D225" s="431" t="s">
        <v>160</v>
      </c>
      <c r="E225" s="431" t="s">
        <v>161</v>
      </c>
      <c r="F225" s="431" t="s">
        <v>1240</v>
      </c>
      <c r="G225" s="431" t="s">
        <v>175</v>
      </c>
      <c r="H225" s="431"/>
      <c r="I225" s="431"/>
      <c r="J225" s="431"/>
      <c r="K225" s="431"/>
      <c r="L225" s="431" t="s">
        <v>1149</v>
      </c>
      <c r="M225" s="431" t="s">
        <v>1239</v>
      </c>
    </row>
    <row r="226" spans="1:13" x14ac:dyDescent="0.2">
      <c r="A226" s="431" t="s">
        <v>1237</v>
      </c>
      <c r="B226" s="431">
        <v>1735674</v>
      </c>
      <c r="C226" s="431" t="s">
        <v>159</v>
      </c>
      <c r="D226" s="431" t="s">
        <v>160</v>
      </c>
      <c r="E226" s="431" t="s">
        <v>161</v>
      </c>
      <c r="F226" s="431" t="s">
        <v>1240</v>
      </c>
      <c r="G226" s="431" t="s">
        <v>175</v>
      </c>
      <c r="H226" s="431"/>
      <c r="I226" s="431"/>
      <c r="J226" s="431"/>
      <c r="K226" s="431"/>
      <c r="L226" s="431" t="s">
        <v>1149</v>
      </c>
      <c r="M226" s="431" t="s">
        <v>1239</v>
      </c>
    </row>
    <row r="227" spans="1:13" x14ac:dyDescent="0.2">
      <c r="A227" s="431" t="s">
        <v>1237</v>
      </c>
      <c r="B227" s="431">
        <v>1735674</v>
      </c>
      <c r="C227" s="431" t="s">
        <v>159</v>
      </c>
      <c r="D227" s="431" t="s">
        <v>160</v>
      </c>
      <c r="E227" s="431" t="s">
        <v>161</v>
      </c>
      <c r="F227" s="431" t="s">
        <v>1240</v>
      </c>
      <c r="G227" s="431" t="s">
        <v>175</v>
      </c>
      <c r="H227" s="431"/>
      <c r="I227" s="431"/>
      <c r="J227" s="431"/>
      <c r="K227" s="431"/>
      <c r="L227" s="431" t="s">
        <v>1149</v>
      </c>
      <c r="M227" s="431" t="s">
        <v>1239</v>
      </c>
    </row>
    <row r="228" spans="1:13" x14ac:dyDescent="0.2">
      <c r="A228" s="431" t="s">
        <v>1237</v>
      </c>
      <c r="B228" s="431">
        <v>1735674</v>
      </c>
      <c r="C228" s="431" t="s">
        <v>159</v>
      </c>
      <c r="D228" s="431" t="s">
        <v>160</v>
      </c>
      <c r="E228" s="431" t="s">
        <v>161</v>
      </c>
      <c r="F228" s="431" t="s">
        <v>1240</v>
      </c>
      <c r="G228" s="431" t="s">
        <v>175</v>
      </c>
      <c r="H228" s="431"/>
      <c r="I228" s="431"/>
      <c r="J228" s="431"/>
      <c r="K228" s="431"/>
      <c r="L228" s="431" t="s">
        <v>1149</v>
      </c>
      <c r="M228" s="431" t="s">
        <v>1239</v>
      </c>
    </row>
    <row r="229" spans="1:13" x14ac:dyDescent="0.2">
      <c r="A229" s="431" t="s">
        <v>1237</v>
      </c>
      <c r="B229" s="431">
        <v>1735674</v>
      </c>
      <c r="C229" s="431" t="s">
        <v>159</v>
      </c>
      <c r="D229" s="431" t="s">
        <v>160</v>
      </c>
      <c r="E229" s="431" t="s">
        <v>161</v>
      </c>
      <c r="F229" s="431" t="s">
        <v>1240</v>
      </c>
      <c r="G229" s="431" t="s">
        <v>175</v>
      </c>
      <c r="H229" s="431"/>
      <c r="I229" s="431"/>
      <c r="J229" s="431"/>
      <c r="K229" s="431"/>
      <c r="L229" s="431" t="s">
        <v>1149</v>
      </c>
      <c r="M229" s="431" t="s">
        <v>1239</v>
      </c>
    </row>
    <row r="230" spans="1:13" x14ac:dyDescent="0.2">
      <c r="A230" s="431" t="s">
        <v>1237</v>
      </c>
      <c r="B230" s="431">
        <v>1735674</v>
      </c>
      <c r="C230" s="431" t="s">
        <v>159</v>
      </c>
      <c r="D230" s="431" t="s">
        <v>160</v>
      </c>
      <c r="E230" s="431" t="s">
        <v>161</v>
      </c>
      <c r="F230" s="431" t="s">
        <v>1240</v>
      </c>
      <c r="G230" s="431" t="s">
        <v>175</v>
      </c>
      <c r="H230" s="431"/>
      <c r="I230" s="431"/>
      <c r="J230" s="431"/>
      <c r="K230" s="431"/>
      <c r="L230" s="431" t="s">
        <v>1149</v>
      </c>
      <c r="M230" s="431" t="s">
        <v>1239</v>
      </c>
    </row>
    <row r="231" spans="1:13" x14ac:dyDescent="0.2">
      <c r="A231" s="431" t="s">
        <v>1237</v>
      </c>
      <c r="B231" s="431">
        <v>1735674</v>
      </c>
      <c r="C231" s="431" t="s">
        <v>159</v>
      </c>
      <c r="D231" s="431" t="s">
        <v>160</v>
      </c>
      <c r="E231" s="431" t="s">
        <v>161</v>
      </c>
      <c r="F231" s="431" t="s">
        <v>1240</v>
      </c>
      <c r="G231" s="431" t="s">
        <v>175</v>
      </c>
      <c r="H231" s="431"/>
      <c r="I231" s="431"/>
      <c r="J231" s="431"/>
      <c r="K231" s="431"/>
      <c r="L231" s="431" t="s">
        <v>1149</v>
      </c>
      <c r="M231" s="431" t="s">
        <v>1239</v>
      </c>
    </row>
    <row r="232" spans="1:13" x14ac:dyDescent="0.2">
      <c r="A232" s="431" t="s">
        <v>1237</v>
      </c>
      <c r="B232" s="431">
        <v>1735674</v>
      </c>
      <c r="C232" s="431" t="s">
        <v>159</v>
      </c>
      <c r="D232" s="431" t="s">
        <v>160</v>
      </c>
      <c r="E232" s="431" t="s">
        <v>161</v>
      </c>
      <c r="F232" s="431" t="s">
        <v>1240</v>
      </c>
      <c r="G232" s="431" t="s">
        <v>175</v>
      </c>
      <c r="H232" s="431"/>
      <c r="I232" s="431"/>
      <c r="J232" s="431"/>
      <c r="K232" s="431"/>
      <c r="L232" s="431" t="s">
        <v>1149</v>
      </c>
      <c r="M232" s="431" t="s">
        <v>1239</v>
      </c>
    </row>
    <row r="233" spans="1:13" x14ac:dyDescent="0.2">
      <c r="A233" s="431" t="s">
        <v>1237</v>
      </c>
      <c r="B233" s="431">
        <v>1735674</v>
      </c>
      <c r="C233" s="431" t="s">
        <v>159</v>
      </c>
      <c r="D233" s="431" t="s">
        <v>160</v>
      </c>
      <c r="E233" s="431" t="s">
        <v>161</v>
      </c>
      <c r="F233" s="431" t="s">
        <v>1240</v>
      </c>
      <c r="G233" s="431" t="s">
        <v>175</v>
      </c>
      <c r="H233" s="431"/>
      <c r="I233" s="431"/>
      <c r="J233" s="431"/>
      <c r="K233" s="431"/>
      <c r="L233" s="431" t="s">
        <v>1149</v>
      </c>
      <c r="M233" s="431" t="s">
        <v>1239</v>
      </c>
    </row>
    <row r="234" spans="1:13" x14ac:dyDescent="0.2">
      <c r="A234" s="431" t="s">
        <v>1237</v>
      </c>
      <c r="B234" s="431">
        <v>1735674</v>
      </c>
      <c r="C234" s="431" t="s">
        <v>159</v>
      </c>
      <c r="D234" s="431" t="s">
        <v>160</v>
      </c>
      <c r="E234" s="431" t="s">
        <v>161</v>
      </c>
      <c r="F234" s="431" t="s">
        <v>1240</v>
      </c>
      <c r="G234" s="431" t="s">
        <v>175</v>
      </c>
      <c r="H234" s="431"/>
      <c r="I234" s="431"/>
      <c r="J234" s="431"/>
      <c r="K234" s="431"/>
      <c r="L234" s="431" t="s">
        <v>1149</v>
      </c>
      <c r="M234" s="431" t="s">
        <v>1239</v>
      </c>
    </row>
    <row r="235" spans="1:13" x14ac:dyDescent="0.2">
      <c r="A235" s="431" t="s">
        <v>1237</v>
      </c>
      <c r="B235" s="431">
        <v>1735674</v>
      </c>
      <c r="C235" s="431" t="s">
        <v>159</v>
      </c>
      <c r="D235" s="431" t="s">
        <v>160</v>
      </c>
      <c r="E235" s="431" t="s">
        <v>161</v>
      </c>
      <c r="F235" s="431" t="s">
        <v>1240</v>
      </c>
      <c r="G235" s="431" t="s">
        <v>175</v>
      </c>
      <c r="H235" s="431"/>
      <c r="I235" s="431"/>
      <c r="J235" s="431"/>
      <c r="K235" s="431"/>
      <c r="L235" s="431" t="s">
        <v>1149</v>
      </c>
      <c r="M235" s="431" t="s">
        <v>1239</v>
      </c>
    </row>
    <row r="236" spans="1:13" x14ac:dyDescent="0.2">
      <c r="A236" s="431" t="s">
        <v>1237</v>
      </c>
      <c r="B236" s="431">
        <v>1735674</v>
      </c>
      <c r="C236" s="431" t="s">
        <v>159</v>
      </c>
      <c r="D236" s="431" t="s">
        <v>160</v>
      </c>
      <c r="E236" s="431" t="s">
        <v>161</v>
      </c>
      <c r="F236" s="431" t="s">
        <v>1240</v>
      </c>
      <c r="G236" s="431" t="s">
        <v>175</v>
      </c>
      <c r="H236" s="431"/>
      <c r="I236" s="431"/>
      <c r="J236" s="431"/>
      <c r="K236" s="431"/>
      <c r="L236" s="431" t="s">
        <v>1149</v>
      </c>
      <c r="M236" s="431" t="s">
        <v>1239</v>
      </c>
    </row>
    <row r="237" spans="1:13" x14ac:dyDescent="0.2">
      <c r="A237" s="431" t="s">
        <v>1237</v>
      </c>
      <c r="B237" s="431">
        <v>1735674</v>
      </c>
      <c r="C237" s="431" t="s">
        <v>159</v>
      </c>
      <c r="D237" s="431" t="s">
        <v>160</v>
      </c>
      <c r="E237" s="431" t="s">
        <v>161</v>
      </c>
      <c r="F237" s="431" t="s">
        <v>1240</v>
      </c>
      <c r="G237" s="431" t="s">
        <v>175</v>
      </c>
      <c r="H237" s="431"/>
      <c r="I237" s="431"/>
      <c r="J237" s="431"/>
      <c r="K237" s="431"/>
      <c r="L237" s="431" t="s">
        <v>1149</v>
      </c>
      <c r="M237" s="431" t="s">
        <v>1239</v>
      </c>
    </row>
    <row r="238" spans="1:13" x14ac:dyDescent="0.2">
      <c r="A238" s="431" t="s">
        <v>1237</v>
      </c>
      <c r="B238" s="431">
        <v>1735674</v>
      </c>
      <c r="C238" s="431" t="s">
        <v>159</v>
      </c>
      <c r="D238" s="431" t="s">
        <v>160</v>
      </c>
      <c r="E238" s="431" t="s">
        <v>161</v>
      </c>
      <c r="F238" s="431" t="s">
        <v>1240</v>
      </c>
      <c r="G238" s="431" t="s">
        <v>175</v>
      </c>
      <c r="H238" s="431"/>
      <c r="I238" s="431"/>
      <c r="J238" s="431"/>
      <c r="K238" s="431"/>
      <c r="L238" s="431" t="s">
        <v>1149</v>
      </c>
      <c r="M238" s="431" t="s">
        <v>1239</v>
      </c>
    </row>
    <row r="239" spans="1:13" x14ac:dyDescent="0.2">
      <c r="A239" s="431" t="s">
        <v>1237</v>
      </c>
      <c r="B239" s="431">
        <v>1735674</v>
      </c>
      <c r="C239" s="431" t="s">
        <v>159</v>
      </c>
      <c r="D239" s="431" t="s">
        <v>160</v>
      </c>
      <c r="E239" s="431" t="s">
        <v>161</v>
      </c>
      <c r="F239" s="431" t="s">
        <v>1240</v>
      </c>
      <c r="G239" s="431" t="s">
        <v>175</v>
      </c>
      <c r="H239" s="431"/>
      <c r="I239" s="431"/>
      <c r="J239" s="431"/>
      <c r="K239" s="431"/>
      <c r="L239" s="431" t="s">
        <v>1149</v>
      </c>
      <c r="M239" s="431" t="s">
        <v>1239</v>
      </c>
    </row>
    <row r="240" spans="1:13" x14ac:dyDescent="0.2">
      <c r="A240" s="431" t="s">
        <v>1237</v>
      </c>
      <c r="B240" s="431">
        <v>1735674</v>
      </c>
      <c r="C240" s="431" t="s">
        <v>159</v>
      </c>
      <c r="D240" s="431" t="s">
        <v>160</v>
      </c>
      <c r="E240" s="431" t="s">
        <v>161</v>
      </c>
      <c r="F240" s="431" t="s">
        <v>1240</v>
      </c>
      <c r="G240" s="431" t="s">
        <v>175</v>
      </c>
      <c r="H240" s="431"/>
      <c r="I240" s="431"/>
      <c r="J240" s="431"/>
      <c r="K240" s="431"/>
      <c r="L240" s="431" t="s">
        <v>1149</v>
      </c>
      <c r="M240" s="431" t="s">
        <v>1239</v>
      </c>
    </row>
    <row r="241" spans="1:13" x14ac:dyDescent="0.2">
      <c r="A241" s="431" t="s">
        <v>1237</v>
      </c>
      <c r="B241" s="431">
        <v>1735674</v>
      </c>
      <c r="C241" s="431" t="s">
        <v>159</v>
      </c>
      <c r="D241" s="431" t="s">
        <v>160</v>
      </c>
      <c r="E241" s="431" t="s">
        <v>161</v>
      </c>
      <c r="F241" s="431" t="s">
        <v>1240</v>
      </c>
      <c r="G241" s="431" t="s">
        <v>175</v>
      </c>
      <c r="H241" s="431"/>
      <c r="I241" s="431"/>
      <c r="J241" s="431"/>
      <c r="K241" s="431"/>
      <c r="L241" s="431" t="s">
        <v>1149</v>
      </c>
      <c r="M241" s="431" t="s">
        <v>1239</v>
      </c>
    </row>
    <row r="242" spans="1:13" x14ac:dyDescent="0.2">
      <c r="A242" s="431" t="s">
        <v>1237</v>
      </c>
      <c r="B242" s="431">
        <v>1735674</v>
      </c>
      <c r="C242" s="431" t="s">
        <v>159</v>
      </c>
      <c r="D242" s="431" t="s">
        <v>160</v>
      </c>
      <c r="E242" s="431" t="s">
        <v>161</v>
      </c>
      <c r="F242" s="431" t="s">
        <v>1240</v>
      </c>
      <c r="G242" s="431" t="s">
        <v>175</v>
      </c>
      <c r="H242" s="431"/>
      <c r="I242" s="431"/>
      <c r="J242" s="431"/>
      <c r="K242" s="431"/>
      <c r="L242" s="431" t="s">
        <v>1149</v>
      </c>
      <c r="M242" s="431" t="s">
        <v>1239</v>
      </c>
    </row>
    <row r="243" spans="1:13" x14ac:dyDescent="0.2">
      <c r="A243" s="431" t="s">
        <v>1237</v>
      </c>
      <c r="B243" s="431">
        <v>1735674</v>
      </c>
      <c r="C243" s="431" t="s">
        <v>159</v>
      </c>
      <c r="D243" s="431" t="s">
        <v>160</v>
      </c>
      <c r="E243" s="431" t="s">
        <v>161</v>
      </c>
      <c r="F243" s="431" t="s">
        <v>1240</v>
      </c>
      <c r="G243" s="431" t="s">
        <v>175</v>
      </c>
      <c r="H243" s="431"/>
      <c r="I243" s="431"/>
      <c r="J243" s="431"/>
      <c r="K243" s="431"/>
      <c r="L243" s="431" t="s">
        <v>1149</v>
      </c>
      <c r="M243" s="431" t="s">
        <v>1239</v>
      </c>
    </row>
    <row r="244" spans="1:13" x14ac:dyDescent="0.2">
      <c r="A244" s="431" t="s">
        <v>1237</v>
      </c>
      <c r="B244" s="431">
        <v>1735674</v>
      </c>
      <c r="C244" s="431" t="s">
        <v>159</v>
      </c>
      <c r="D244" s="431" t="s">
        <v>160</v>
      </c>
      <c r="E244" s="431" t="s">
        <v>161</v>
      </c>
      <c r="F244" s="431" t="s">
        <v>1240</v>
      </c>
      <c r="G244" s="431" t="s">
        <v>175</v>
      </c>
      <c r="H244" s="431"/>
      <c r="I244" s="431"/>
      <c r="J244" s="431"/>
      <c r="K244" s="431"/>
      <c r="L244" s="431" t="s">
        <v>1149</v>
      </c>
      <c r="M244" s="431" t="s">
        <v>1239</v>
      </c>
    </row>
    <row r="245" spans="1:13" x14ac:dyDescent="0.2">
      <c r="A245" s="431" t="s">
        <v>1237</v>
      </c>
      <c r="B245" s="431">
        <v>1735674</v>
      </c>
      <c r="C245" s="431" t="s">
        <v>159</v>
      </c>
      <c r="D245" s="431" t="s">
        <v>160</v>
      </c>
      <c r="E245" s="431" t="s">
        <v>161</v>
      </c>
      <c r="F245" s="431" t="s">
        <v>1240</v>
      </c>
      <c r="G245" s="431" t="s">
        <v>175</v>
      </c>
      <c r="H245" s="431"/>
      <c r="I245" s="431"/>
      <c r="J245" s="431"/>
      <c r="K245" s="431"/>
      <c r="L245" s="431" t="s">
        <v>1149</v>
      </c>
      <c r="M245" s="431" t="s">
        <v>1239</v>
      </c>
    </row>
    <row r="246" spans="1:13" x14ac:dyDescent="0.2">
      <c r="A246" s="431" t="s">
        <v>1237</v>
      </c>
      <c r="B246" s="431">
        <v>1735674</v>
      </c>
      <c r="C246" s="431" t="s">
        <v>159</v>
      </c>
      <c r="D246" s="431" t="s">
        <v>160</v>
      </c>
      <c r="E246" s="431" t="s">
        <v>161</v>
      </c>
      <c r="F246" s="431" t="s">
        <v>1240</v>
      </c>
      <c r="G246" s="431" t="s">
        <v>175</v>
      </c>
      <c r="H246" s="431"/>
      <c r="I246" s="431"/>
      <c r="J246" s="431"/>
      <c r="K246" s="431"/>
      <c r="L246" s="431" t="s">
        <v>1149</v>
      </c>
      <c r="M246" s="431" t="s">
        <v>1239</v>
      </c>
    </row>
    <row r="247" spans="1:13" x14ac:dyDescent="0.2">
      <c r="A247" s="431" t="s">
        <v>1237</v>
      </c>
      <c r="B247" s="431">
        <v>1735674</v>
      </c>
      <c r="C247" s="431" t="s">
        <v>159</v>
      </c>
      <c r="D247" s="431" t="s">
        <v>160</v>
      </c>
      <c r="E247" s="431" t="s">
        <v>161</v>
      </c>
      <c r="F247" s="431" t="s">
        <v>1240</v>
      </c>
      <c r="G247" s="431" t="s">
        <v>175</v>
      </c>
      <c r="H247" s="431"/>
      <c r="I247" s="431"/>
      <c r="J247" s="431"/>
      <c r="K247" s="431"/>
      <c r="L247" s="431" t="s">
        <v>1149</v>
      </c>
      <c r="M247" s="431" t="s">
        <v>1239</v>
      </c>
    </row>
    <row r="248" spans="1:13" x14ac:dyDescent="0.2">
      <c r="A248" s="431" t="s">
        <v>1237</v>
      </c>
      <c r="B248" s="431">
        <v>1735674</v>
      </c>
      <c r="C248" s="431" t="s">
        <v>159</v>
      </c>
      <c r="D248" s="431" t="s">
        <v>160</v>
      </c>
      <c r="E248" s="431" t="s">
        <v>161</v>
      </c>
      <c r="F248" s="431" t="s">
        <v>1240</v>
      </c>
      <c r="G248" s="431" t="s">
        <v>175</v>
      </c>
      <c r="H248" s="431"/>
      <c r="I248" s="431"/>
      <c r="J248" s="431"/>
      <c r="K248" s="431"/>
      <c r="L248" s="431" t="s">
        <v>1149</v>
      </c>
      <c r="M248" s="431" t="s">
        <v>1239</v>
      </c>
    </row>
    <row r="249" spans="1:13" x14ac:dyDescent="0.2">
      <c r="A249" s="431" t="s">
        <v>1237</v>
      </c>
      <c r="B249" s="431">
        <v>1735674</v>
      </c>
      <c r="C249" s="431" t="s">
        <v>159</v>
      </c>
      <c r="D249" s="431" t="s">
        <v>160</v>
      </c>
      <c r="E249" s="431" t="s">
        <v>161</v>
      </c>
      <c r="F249" s="431" t="s">
        <v>1240</v>
      </c>
      <c r="G249" s="431" t="s">
        <v>175</v>
      </c>
      <c r="H249" s="431"/>
      <c r="I249" s="431"/>
      <c r="J249" s="431"/>
      <c r="K249" s="431"/>
      <c r="L249" s="431" t="s">
        <v>1149</v>
      </c>
      <c r="M249" s="431" t="s">
        <v>1239</v>
      </c>
    </row>
    <row r="250" spans="1:13" x14ac:dyDescent="0.2">
      <c r="A250" s="431" t="s">
        <v>1237</v>
      </c>
      <c r="B250" s="431">
        <v>1735674</v>
      </c>
      <c r="C250" s="431" t="s">
        <v>159</v>
      </c>
      <c r="D250" s="431" t="s">
        <v>160</v>
      </c>
      <c r="E250" s="431" t="s">
        <v>161</v>
      </c>
      <c r="F250" s="431" t="s">
        <v>1240</v>
      </c>
      <c r="G250" s="431" t="s">
        <v>175</v>
      </c>
      <c r="H250" s="431"/>
      <c r="I250" s="431"/>
      <c r="J250" s="431"/>
      <c r="K250" s="431"/>
      <c r="L250" s="431" t="s">
        <v>1149</v>
      </c>
      <c r="M250" s="431" t="s">
        <v>1239</v>
      </c>
    </row>
    <row r="251" spans="1:13" x14ac:dyDescent="0.2">
      <c r="A251" s="431" t="s">
        <v>1237</v>
      </c>
      <c r="B251" s="431">
        <v>1735674</v>
      </c>
      <c r="C251" s="431" t="s">
        <v>159</v>
      </c>
      <c r="D251" s="431" t="s">
        <v>160</v>
      </c>
      <c r="E251" s="431" t="s">
        <v>161</v>
      </c>
      <c r="F251" s="431" t="s">
        <v>1240</v>
      </c>
      <c r="G251" s="431" t="s">
        <v>175</v>
      </c>
      <c r="H251" s="431"/>
      <c r="I251" s="431"/>
      <c r="J251" s="431"/>
      <c r="K251" s="431"/>
      <c r="L251" s="431" t="s">
        <v>1149</v>
      </c>
      <c r="M251" s="431" t="s">
        <v>1239</v>
      </c>
    </row>
    <row r="252" spans="1:13" x14ac:dyDescent="0.2">
      <c r="A252" s="431" t="s">
        <v>1237</v>
      </c>
      <c r="B252" s="431">
        <v>1735674</v>
      </c>
      <c r="C252" s="431" t="s">
        <v>159</v>
      </c>
      <c r="D252" s="431" t="s">
        <v>160</v>
      </c>
      <c r="E252" s="431" t="s">
        <v>161</v>
      </c>
      <c r="F252" s="431" t="s">
        <v>1240</v>
      </c>
      <c r="G252" s="431" t="s">
        <v>175</v>
      </c>
      <c r="H252" s="431"/>
      <c r="I252" s="431"/>
      <c r="J252" s="431"/>
      <c r="K252" s="431"/>
      <c r="L252" s="431" t="s">
        <v>1149</v>
      </c>
      <c r="M252" s="431" t="s">
        <v>1239</v>
      </c>
    </row>
    <row r="253" spans="1:13" x14ac:dyDescent="0.2">
      <c r="A253" s="431" t="s">
        <v>1237</v>
      </c>
      <c r="B253" s="431">
        <v>1735674</v>
      </c>
      <c r="C253" s="431" t="s">
        <v>159</v>
      </c>
      <c r="D253" s="431" t="s">
        <v>160</v>
      </c>
      <c r="E253" s="431" t="s">
        <v>161</v>
      </c>
      <c r="F253" s="431" t="s">
        <v>1240</v>
      </c>
      <c r="G253" s="431" t="s">
        <v>175</v>
      </c>
      <c r="H253" s="431"/>
      <c r="I253" s="431"/>
      <c r="J253" s="431"/>
      <c r="K253" s="431"/>
      <c r="L253" s="431" t="s">
        <v>1149</v>
      </c>
      <c r="M253" s="431" t="s">
        <v>1239</v>
      </c>
    </row>
    <row r="254" spans="1:13" x14ac:dyDescent="0.2">
      <c r="A254" s="431" t="s">
        <v>1237</v>
      </c>
      <c r="B254" s="431">
        <v>1735674</v>
      </c>
      <c r="C254" s="431" t="s">
        <v>159</v>
      </c>
      <c r="D254" s="431" t="s">
        <v>160</v>
      </c>
      <c r="E254" s="431" t="s">
        <v>161</v>
      </c>
      <c r="F254" s="431" t="s">
        <v>1240</v>
      </c>
      <c r="G254" s="431" t="s">
        <v>175</v>
      </c>
      <c r="H254" s="431"/>
      <c r="I254" s="431"/>
      <c r="J254" s="431"/>
      <c r="K254" s="431"/>
      <c r="L254" s="431" t="s">
        <v>1149</v>
      </c>
      <c r="M254" s="431" t="s">
        <v>1239</v>
      </c>
    </row>
    <row r="255" spans="1:13" x14ac:dyDescent="0.2">
      <c r="A255" s="431" t="s">
        <v>1237</v>
      </c>
      <c r="B255" s="431">
        <v>1735674</v>
      </c>
      <c r="C255" s="431" t="s">
        <v>159</v>
      </c>
      <c r="D255" s="431" t="s">
        <v>160</v>
      </c>
      <c r="E255" s="431" t="s">
        <v>161</v>
      </c>
      <c r="F255" s="431" t="s">
        <v>1240</v>
      </c>
      <c r="G255" s="431" t="s">
        <v>175</v>
      </c>
      <c r="H255" s="431"/>
      <c r="I255" s="431"/>
      <c r="J255" s="431"/>
      <c r="K255" s="431"/>
      <c r="L255" s="431" t="s">
        <v>1149</v>
      </c>
      <c r="M255" s="431" t="s">
        <v>1239</v>
      </c>
    </row>
    <row r="256" spans="1:13" x14ac:dyDescent="0.2">
      <c r="A256" s="431" t="s">
        <v>1237</v>
      </c>
      <c r="B256" s="431">
        <v>1735674</v>
      </c>
      <c r="C256" s="431" t="s">
        <v>159</v>
      </c>
      <c r="D256" s="431" t="s">
        <v>160</v>
      </c>
      <c r="E256" s="431" t="s">
        <v>161</v>
      </c>
      <c r="F256" s="431" t="s">
        <v>1240</v>
      </c>
      <c r="G256" s="431" t="s">
        <v>175</v>
      </c>
      <c r="H256" s="431"/>
      <c r="I256" s="431"/>
      <c r="J256" s="431"/>
      <c r="K256" s="431"/>
      <c r="L256" s="431" t="s">
        <v>1149</v>
      </c>
      <c r="M256" s="431" t="s">
        <v>1239</v>
      </c>
    </row>
    <row r="257" spans="1:13" x14ac:dyDescent="0.2">
      <c r="A257" s="431" t="s">
        <v>1237</v>
      </c>
      <c r="B257" s="431">
        <v>1735674</v>
      </c>
      <c r="C257" s="431" t="s">
        <v>159</v>
      </c>
      <c r="D257" s="431" t="s">
        <v>160</v>
      </c>
      <c r="E257" s="431" t="s">
        <v>161</v>
      </c>
      <c r="F257" s="431" t="s">
        <v>1240</v>
      </c>
      <c r="G257" s="431" t="s">
        <v>175</v>
      </c>
      <c r="H257" s="431"/>
      <c r="I257" s="431"/>
      <c r="J257" s="431"/>
      <c r="K257" s="431"/>
      <c r="L257" s="431" t="s">
        <v>1149</v>
      </c>
      <c r="M257" s="431" t="s">
        <v>1239</v>
      </c>
    </row>
    <row r="258" spans="1:13" x14ac:dyDescent="0.2">
      <c r="A258" s="431" t="s">
        <v>1237</v>
      </c>
      <c r="B258" s="431">
        <v>1735674</v>
      </c>
      <c r="C258" s="431" t="s">
        <v>159</v>
      </c>
      <c r="D258" s="431" t="s">
        <v>160</v>
      </c>
      <c r="E258" s="431" t="s">
        <v>161</v>
      </c>
      <c r="F258" s="431" t="s">
        <v>1240</v>
      </c>
      <c r="G258" s="431" t="s">
        <v>175</v>
      </c>
      <c r="H258" s="431"/>
      <c r="I258" s="431"/>
      <c r="J258" s="431"/>
      <c r="K258" s="431"/>
      <c r="L258" s="431" t="s">
        <v>1149</v>
      </c>
      <c r="M258" s="431" t="s">
        <v>1239</v>
      </c>
    </row>
    <row r="259" spans="1:13" x14ac:dyDescent="0.2">
      <c r="A259" s="431" t="s">
        <v>1237</v>
      </c>
      <c r="B259" s="431">
        <v>1735674</v>
      </c>
      <c r="C259" s="431" t="s">
        <v>159</v>
      </c>
      <c r="D259" s="431" t="s">
        <v>160</v>
      </c>
      <c r="E259" s="431" t="s">
        <v>161</v>
      </c>
      <c r="F259" s="431" t="s">
        <v>1240</v>
      </c>
      <c r="G259" s="431" t="s">
        <v>175</v>
      </c>
      <c r="H259" s="431"/>
      <c r="I259" s="431"/>
      <c r="J259" s="431"/>
      <c r="K259" s="431"/>
      <c r="L259" s="431" t="s">
        <v>1149</v>
      </c>
      <c r="M259" s="431" t="s">
        <v>1239</v>
      </c>
    </row>
    <row r="260" spans="1:13" x14ac:dyDescent="0.2">
      <c r="A260" s="431" t="s">
        <v>1237</v>
      </c>
      <c r="B260" s="431">
        <v>1735674</v>
      </c>
      <c r="C260" s="431" t="s">
        <v>159</v>
      </c>
      <c r="D260" s="431" t="s">
        <v>160</v>
      </c>
      <c r="E260" s="431" t="s">
        <v>161</v>
      </c>
      <c r="F260" s="431" t="s">
        <v>1240</v>
      </c>
      <c r="G260" s="431" t="s">
        <v>175</v>
      </c>
      <c r="H260" s="431"/>
      <c r="I260" s="431"/>
      <c r="J260" s="431"/>
      <c r="K260" s="431"/>
      <c r="L260" s="431" t="s">
        <v>1149</v>
      </c>
      <c r="M260" s="431" t="s">
        <v>1239</v>
      </c>
    </row>
    <row r="261" spans="1:13" x14ac:dyDescent="0.2">
      <c r="A261" s="431" t="s">
        <v>1237</v>
      </c>
      <c r="B261" s="431">
        <v>1735674</v>
      </c>
      <c r="C261" s="431" t="s">
        <v>159</v>
      </c>
      <c r="D261" s="431" t="s">
        <v>160</v>
      </c>
      <c r="E261" s="431" t="s">
        <v>161</v>
      </c>
      <c r="F261" s="431" t="s">
        <v>1240</v>
      </c>
      <c r="G261" s="431" t="s">
        <v>175</v>
      </c>
      <c r="H261" s="431"/>
      <c r="I261" s="431"/>
      <c r="J261" s="431"/>
      <c r="K261" s="431"/>
      <c r="L261" s="431" t="s">
        <v>1149</v>
      </c>
      <c r="M261" s="431" t="s">
        <v>1239</v>
      </c>
    </row>
    <row r="262" spans="1:13" x14ac:dyDescent="0.2">
      <c r="A262" s="431" t="s">
        <v>1237</v>
      </c>
      <c r="B262" s="431">
        <v>1735674</v>
      </c>
      <c r="C262" s="431" t="s">
        <v>159</v>
      </c>
      <c r="D262" s="431" t="s">
        <v>160</v>
      </c>
      <c r="E262" s="431" t="s">
        <v>161</v>
      </c>
      <c r="F262" s="431" t="s">
        <v>1240</v>
      </c>
      <c r="G262" s="431" t="s">
        <v>175</v>
      </c>
      <c r="H262" s="431"/>
      <c r="I262" s="431"/>
      <c r="J262" s="431"/>
      <c r="K262" s="431"/>
      <c r="L262" s="431" t="s">
        <v>1149</v>
      </c>
      <c r="M262" s="431" t="s">
        <v>1239</v>
      </c>
    </row>
    <row r="263" spans="1:13" x14ac:dyDescent="0.2">
      <c r="A263" s="431" t="s">
        <v>1237</v>
      </c>
      <c r="B263" s="431">
        <v>1735674</v>
      </c>
      <c r="C263" s="431" t="s">
        <v>159</v>
      </c>
      <c r="D263" s="431" t="s">
        <v>160</v>
      </c>
      <c r="E263" s="431" t="s">
        <v>161</v>
      </c>
      <c r="F263" s="431" t="s">
        <v>1240</v>
      </c>
      <c r="G263" s="431" t="s">
        <v>175</v>
      </c>
      <c r="H263" s="431"/>
      <c r="I263" s="431"/>
      <c r="J263" s="431"/>
      <c r="K263" s="431"/>
      <c r="L263" s="431" t="s">
        <v>1149</v>
      </c>
      <c r="M263" s="431" t="s">
        <v>1239</v>
      </c>
    </row>
    <row r="264" spans="1:13" x14ac:dyDescent="0.2">
      <c r="A264" s="431" t="s">
        <v>1237</v>
      </c>
      <c r="B264" s="431">
        <v>1735674</v>
      </c>
      <c r="C264" s="431" t="s">
        <v>159</v>
      </c>
      <c r="D264" s="431" t="s">
        <v>160</v>
      </c>
      <c r="E264" s="431" t="s">
        <v>161</v>
      </c>
      <c r="F264" s="431" t="s">
        <v>1240</v>
      </c>
      <c r="G264" s="431" t="s">
        <v>175</v>
      </c>
      <c r="H264" s="431"/>
      <c r="I264" s="431"/>
      <c r="J264" s="431"/>
      <c r="K264" s="431"/>
      <c r="L264" s="431" t="s">
        <v>1149</v>
      </c>
      <c r="M264" s="431" t="s">
        <v>1239</v>
      </c>
    </row>
    <row r="265" spans="1:13" x14ac:dyDescent="0.2">
      <c r="A265" s="431" t="s">
        <v>1241</v>
      </c>
      <c r="B265" s="431">
        <v>1737949</v>
      </c>
      <c r="C265" s="431" t="s">
        <v>159</v>
      </c>
      <c r="D265" s="431" t="s">
        <v>160</v>
      </c>
      <c r="E265" s="431" t="s">
        <v>161</v>
      </c>
      <c r="F265" s="431" t="s">
        <v>1238</v>
      </c>
      <c r="G265" s="431" t="s">
        <v>175</v>
      </c>
      <c r="H265" s="431"/>
      <c r="I265" s="431"/>
      <c r="J265" s="431"/>
      <c r="K265" s="431"/>
      <c r="L265" s="431" t="s">
        <v>594</v>
      </c>
      <c r="M265" s="431" t="s">
        <v>1242</v>
      </c>
    </row>
    <row r="266" spans="1:13" x14ac:dyDescent="0.2">
      <c r="A266" s="431" t="s">
        <v>1241</v>
      </c>
      <c r="B266" s="431">
        <v>1737949</v>
      </c>
      <c r="C266" s="431" t="s">
        <v>159</v>
      </c>
      <c r="D266" s="431" t="s">
        <v>160</v>
      </c>
      <c r="E266" s="431" t="s">
        <v>161</v>
      </c>
      <c r="F266" s="431" t="s">
        <v>1240</v>
      </c>
      <c r="G266" s="431" t="s">
        <v>175</v>
      </c>
      <c r="H266" s="431"/>
      <c r="I266" s="431"/>
      <c r="J266" s="431"/>
      <c r="K266" s="431"/>
      <c r="L266" s="431" t="s">
        <v>594</v>
      </c>
      <c r="M266" s="431" t="s">
        <v>1242</v>
      </c>
    </row>
    <row r="267" spans="1:13" x14ac:dyDescent="0.2">
      <c r="A267" s="431" t="s">
        <v>1241</v>
      </c>
      <c r="B267" s="431">
        <v>1737949</v>
      </c>
      <c r="C267" s="431" t="s">
        <v>159</v>
      </c>
      <c r="D267" s="431" t="s">
        <v>160</v>
      </c>
      <c r="E267" s="431" t="s">
        <v>161</v>
      </c>
      <c r="F267" s="431" t="s">
        <v>1240</v>
      </c>
      <c r="G267" s="431" t="s">
        <v>175</v>
      </c>
      <c r="H267" s="431"/>
      <c r="I267" s="431"/>
      <c r="J267" s="431"/>
      <c r="K267" s="431"/>
      <c r="L267" s="431" t="s">
        <v>594</v>
      </c>
      <c r="M267" s="431" t="s">
        <v>1242</v>
      </c>
    </row>
    <row r="268" spans="1:13" x14ac:dyDescent="0.2">
      <c r="A268" s="431" t="s">
        <v>1241</v>
      </c>
      <c r="B268" s="431">
        <v>1737949</v>
      </c>
      <c r="C268" s="431" t="s">
        <v>159</v>
      </c>
      <c r="D268" s="431" t="s">
        <v>160</v>
      </c>
      <c r="E268" s="431" t="s">
        <v>161</v>
      </c>
      <c r="F268" s="431" t="s">
        <v>1240</v>
      </c>
      <c r="G268" s="431" t="s">
        <v>175</v>
      </c>
      <c r="H268" s="431"/>
      <c r="I268" s="431"/>
      <c r="J268" s="431"/>
      <c r="K268" s="431"/>
      <c r="L268" s="431" t="s">
        <v>594</v>
      </c>
      <c r="M268" s="431" t="s">
        <v>1242</v>
      </c>
    </row>
    <row r="269" spans="1:13" x14ac:dyDescent="0.2">
      <c r="A269" s="431" t="s">
        <v>1241</v>
      </c>
      <c r="B269" s="431">
        <v>1737949</v>
      </c>
      <c r="C269" s="431" t="s">
        <v>159</v>
      </c>
      <c r="D269" s="431" t="s">
        <v>160</v>
      </c>
      <c r="E269" s="431" t="s">
        <v>161</v>
      </c>
      <c r="F269" s="431" t="s">
        <v>1240</v>
      </c>
      <c r="G269" s="431" t="s">
        <v>175</v>
      </c>
      <c r="H269" s="431"/>
      <c r="I269" s="431"/>
      <c r="J269" s="431"/>
      <c r="K269" s="431"/>
      <c r="L269" s="431" t="s">
        <v>594</v>
      </c>
      <c r="M269" s="431" t="s">
        <v>1242</v>
      </c>
    </row>
    <row r="270" spans="1:13" x14ac:dyDescent="0.2">
      <c r="A270" s="431" t="s">
        <v>1241</v>
      </c>
      <c r="B270" s="431">
        <v>1737949</v>
      </c>
      <c r="C270" s="431" t="s">
        <v>159</v>
      </c>
      <c r="D270" s="431" t="s">
        <v>160</v>
      </c>
      <c r="E270" s="431" t="s">
        <v>161</v>
      </c>
      <c r="F270" s="431" t="s">
        <v>1240</v>
      </c>
      <c r="G270" s="431" t="s">
        <v>175</v>
      </c>
      <c r="H270" s="431"/>
      <c r="I270" s="431"/>
      <c r="J270" s="431"/>
      <c r="K270" s="431"/>
      <c r="L270" s="431" t="s">
        <v>594</v>
      </c>
      <c r="M270" s="431" t="s">
        <v>1242</v>
      </c>
    </row>
    <row r="271" spans="1:13" x14ac:dyDescent="0.2">
      <c r="A271" s="431" t="s">
        <v>1241</v>
      </c>
      <c r="B271" s="431">
        <v>1737949</v>
      </c>
      <c r="C271" s="431" t="s">
        <v>159</v>
      </c>
      <c r="D271" s="431" t="s">
        <v>160</v>
      </c>
      <c r="E271" s="431" t="s">
        <v>161</v>
      </c>
      <c r="F271" s="431" t="s">
        <v>1240</v>
      </c>
      <c r="G271" s="431" t="s">
        <v>175</v>
      </c>
      <c r="H271" s="431"/>
      <c r="I271" s="431"/>
      <c r="J271" s="431"/>
      <c r="K271" s="431"/>
      <c r="L271" s="431" t="s">
        <v>594</v>
      </c>
      <c r="M271" s="431" t="s">
        <v>1242</v>
      </c>
    </row>
    <row r="272" spans="1:13" x14ac:dyDescent="0.2">
      <c r="A272" s="431" t="s">
        <v>1241</v>
      </c>
      <c r="B272" s="431">
        <v>1737949</v>
      </c>
      <c r="C272" s="431" t="s">
        <v>159</v>
      </c>
      <c r="D272" s="431" t="s">
        <v>160</v>
      </c>
      <c r="E272" s="431" t="s">
        <v>161</v>
      </c>
      <c r="F272" s="431" t="s">
        <v>1240</v>
      </c>
      <c r="G272" s="431" t="s">
        <v>175</v>
      </c>
      <c r="H272" s="431"/>
      <c r="I272" s="431"/>
      <c r="J272" s="431"/>
      <c r="K272" s="431"/>
      <c r="L272" s="431" t="s">
        <v>594</v>
      </c>
      <c r="M272" s="431" t="s">
        <v>1242</v>
      </c>
    </row>
    <row r="273" spans="1:13" x14ac:dyDescent="0.2">
      <c r="A273" s="431" t="s">
        <v>1241</v>
      </c>
      <c r="B273" s="431">
        <v>1737949</v>
      </c>
      <c r="C273" s="431" t="s">
        <v>159</v>
      </c>
      <c r="D273" s="431" t="s">
        <v>160</v>
      </c>
      <c r="E273" s="431" t="s">
        <v>161</v>
      </c>
      <c r="F273" s="431" t="s">
        <v>1240</v>
      </c>
      <c r="G273" s="431" t="s">
        <v>175</v>
      </c>
      <c r="H273" s="431"/>
      <c r="I273" s="431"/>
      <c r="J273" s="431"/>
      <c r="K273" s="431"/>
      <c r="L273" s="431" t="s">
        <v>594</v>
      </c>
      <c r="M273" s="431" t="s">
        <v>1242</v>
      </c>
    </row>
    <row r="274" spans="1:13" x14ac:dyDescent="0.2">
      <c r="A274" s="431" t="s">
        <v>1241</v>
      </c>
      <c r="B274" s="431">
        <v>1737949</v>
      </c>
      <c r="C274" s="431" t="s">
        <v>159</v>
      </c>
      <c r="D274" s="431" t="s">
        <v>160</v>
      </c>
      <c r="E274" s="431" t="s">
        <v>161</v>
      </c>
      <c r="F274" s="431" t="s">
        <v>1240</v>
      </c>
      <c r="G274" s="431" t="s">
        <v>175</v>
      </c>
      <c r="H274" s="431"/>
      <c r="I274" s="431"/>
      <c r="J274" s="431"/>
      <c r="K274" s="431"/>
      <c r="L274" s="431" t="s">
        <v>594</v>
      </c>
      <c r="M274" s="431" t="s">
        <v>1242</v>
      </c>
    </row>
    <row r="275" spans="1:13" x14ac:dyDescent="0.2">
      <c r="A275" s="431" t="s">
        <v>1241</v>
      </c>
      <c r="B275" s="431">
        <v>1737949</v>
      </c>
      <c r="C275" s="431" t="s">
        <v>159</v>
      </c>
      <c r="D275" s="431" t="s">
        <v>160</v>
      </c>
      <c r="E275" s="431" t="s">
        <v>161</v>
      </c>
      <c r="F275" s="431" t="s">
        <v>1240</v>
      </c>
      <c r="G275" s="431" t="s">
        <v>175</v>
      </c>
      <c r="H275" s="431"/>
      <c r="I275" s="431"/>
      <c r="J275" s="431"/>
      <c r="K275" s="431"/>
      <c r="L275" s="431" t="s">
        <v>594</v>
      </c>
      <c r="M275" s="431" t="s">
        <v>1242</v>
      </c>
    </row>
    <row r="276" spans="1:13" x14ac:dyDescent="0.2">
      <c r="A276" s="431" t="s">
        <v>1241</v>
      </c>
      <c r="B276" s="431">
        <v>1737949</v>
      </c>
      <c r="C276" s="431" t="s">
        <v>159</v>
      </c>
      <c r="D276" s="431" t="s">
        <v>160</v>
      </c>
      <c r="E276" s="431" t="s">
        <v>161</v>
      </c>
      <c r="F276" s="431" t="s">
        <v>1240</v>
      </c>
      <c r="G276" s="431" t="s">
        <v>175</v>
      </c>
      <c r="H276" s="431"/>
      <c r="I276" s="431"/>
      <c r="J276" s="431"/>
      <c r="K276" s="431"/>
      <c r="L276" s="431" t="s">
        <v>594</v>
      </c>
      <c r="M276" s="431" t="s">
        <v>1242</v>
      </c>
    </row>
    <row r="277" spans="1:13" x14ac:dyDescent="0.2">
      <c r="A277" s="431" t="s">
        <v>1241</v>
      </c>
      <c r="B277" s="431">
        <v>1737949</v>
      </c>
      <c r="C277" s="431" t="s">
        <v>159</v>
      </c>
      <c r="D277" s="431" t="s">
        <v>160</v>
      </c>
      <c r="E277" s="431" t="s">
        <v>161</v>
      </c>
      <c r="F277" s="431" t="s">
        <v>1240</v>
      </c>
      <c r="G277" s="431" t="s">
        <v>175</v>
      </c>
      <c r="H277" s="431"/>
      <c r="I277" s="431"/>
      <c r="J277" s="431"/>
      <c r="K277" s="431"/>
      <c r="L277" s="431" t="s">
        <v>594</v>
      </c>
      <c r="M277" s="431" t="s">
        <v>1242</v>
      </c>
    </row>
    <row r="278" spans="1:13" x14ac:dyDescent="0.2">
      <c r="A278" s="431" t="s">
        <v>1241</v>
      </c>
      <c r="B278" s="431">
        <v>1737949</v>
      </c>
      <c r="C278" s="431" t="s">
        <v>159</v>
      </c>
      <c r="D278" s="431" t="s">
        <v>160</v>
      </c>
      <c r="E278" s="431" t="s">
        <v>161</v>
      </c>
      <c r="F278" s="431" t="s">
        <v>1240</v>
      </c>
      <c r="G278" s="431" t="s">
        <v>175</v>
      </c>
      <c r="H278" s="431"/>
      <c r="I278" s="431"/>
      <c r="J278" s="431"/>
      <c r="K278" s="431"/>
      <c r="L278" s="431" t="s">
        <v>594</v>
      </c>
      <c r="M278" s="431" t="s">
        <v>1242</v>
      </c>
    </row>
    <row r="279" spans="1:13" x14ac:dyDescent="0.2">
      <c r="A279" s="431" t="s">
        <v>1241</v>
      </c>
      <c r="B279" s="431">
        <v>1737949</v>
      </c>
      <c r="C279" s="431" t="s">
        <v>159</v>
      </c>
      <c r="D279" s="431" t="s">
        <v>160</v>
      </c>
      <c r="E279" s="431" t="s">
        <v>161</v>
      </c>
      <c r="F279" s="431" t="s">
        <v>1240</v>
      </c>
      <c r="G279" s="431" t="s">
        <v>175</v>
      </c>
      <c r="H279" s="431"/>
      <c r="I279" s="431"/>
      <c r="J279" s="431"/>
      <c r="K279" s="431"/>
      <c r="L279" s="431" t="s">
        <v>594</v>
      </c>
      <c r="M279" s="431" t="s">
        <v>1242</v>
      </c>
    </row>
    <row r="280" spans="1:13" x14ac:dyDescent="0.2">
      <c r="A280" s="431" t="s">
        <v>1241</v>
      </c>
      <c r="B280" s="431">
        <v>1737949</v>
      </c>
      <c r="C280" s="431" t="s">
        <v>159</v>
      </c>
      <c r="D280" s="431" t="s">
        <v>160</v>
      </c>
      <c r="E280" s="431" t="s">
        <v>161</v>
      </c>
      <c r="F280" s="431" t="s">
        <v>1240</v>
      </c>
      <c r="G280" s="431" t="s">
        <v>175</v>
      </c>
      <c r="H280" s="431"/>
      <c r="I280" s="431"/>
      <c r="J280" s="431"/>
      <c r="K280" s="431"/>
      <c r="L280" s="431" t="s">
        <v>594</v>
      </c>
      <c r="M280" s="431" t="s">
        <v>1242</v>
      </c>
    </row>
    <row r="281" spans="1:13" x14ac:dyDescent="0.2">
      <c r="A281" s="431" t="s">
        <v>1241</v>
      </c>
      <c r="B281" s="431">
        <v>1737949</v>
      </c>
      <c r="C281" s="431" t="s">
        <v>159</v>
      </c>
      <c r="D281" s="431" t="s">
        <v>160</v>
      </c>
      <c r="E281" s="431" t="s">
        <v>161</v>
      </c>
      <c r="F281" s="431" t="s">
        <v>1240</v>
      </c>
      <c r="G281" s="431" t="s">
        <v>175</v>
      </c>
      <c r="H281" s="431"/>
      <c r="I281" s="431"/>
      <c r="J281" s="431"/>
      <c r="K281" s="431"/>
      <c r="L281" s="431" t="s">
        <v>594</v>
      </c>
      <c r="M281" s="431" t="s">
        <v>1242</v>
      </c>
    </row>
    <row r="282" spans="1:13" x14ac:dyDescent="0.2">
      <c r="A282" s="431" t="s">
        <v>1241</v>
      </c>
      <c r="B282" s="431">
        <v>1737949</v>
      </c>
      <c r="C282" s="431" t="s">
        <v>159</v>
      </c>
      <c r="D282" s="431" t="s">
        <v>160</v>
      </c>
      <c r="E282" s="431" t="s">
        <v>161</v>
      </c>
      <c r="F282" s="431" t="s">
        <v>1240</v>
      </c>
      <c r="G282" s="431" t="s">
        <v>175</v>
      </c>
      <c r="H282" s="431"/>
      <c r="I282" s="431"/>
      <c r="J282" s="431"/>
      <c r="K282" s="431"/>
      <c r="L282" s="431" t="s">
        <v>594</v>
      </c>
      <c r="M282" s="431" t="s">
        <v>1242</v>
      </c>
    </row>
    <row r="283" spans="1:13" x14ac:dyDescent="0.2">
      <c r="A283" s="431" t="s">
        <v>1241</v>
      </c>
      <c r="B283" s="431">
        <v>1737949</v>
      </c>
      <c r="C283" s="431" t="s">
        <v>159</v>
      </c>
      <c r="D283" s="431" t="s">
        <v>160</v>
      </c>
      <c r="E283" s="431" t="s">
        <v>161</v>
      </c>
      <c r="F283" s="431" t="s">
        <v>1240</v>
      </c>
      <c r="G283" s="431" t="s">
        <v>175</v>
      </c>
      <c r="H283" s="431"/>
      <c r="I283" s="431"/>
      <c r="J283" s="431"/>
      <c r="K283" s="431"/>
      <c r="L283" s="431" t="s">
        <v>594</v>
      </c>
      <c r="M283" s="431" t="s">
        <v>1242</v>
      </c>
    </row>
    <row r="284" spans="1:13" x14ac:dyDescent="0.2">
      <c r="A284" s="431" t="s">
        <v>1241</v>
      </c>
      <c r="B284" s="431">
        <v>1737949</v>
      </c>
      <c r="C284" s="431" t="s">
        <v>159</v>
      </c>
      <c r="D284" s="431" t="s">
        <v>160</v>
      </c>
      <c r="E284" s="431" t="s">
        <v>161</v>
      </c>
      <c r="F284" s="431" t="s">
        <v>1240</v>
      </c>
      <c r="G284" s="431" t="s">
        <v>175</v>
      </c>
      <c r="H284" s="431"/>
      <c r="I284" s="431"/>
      <c r="J284" s="431"/>
      <c r="K284" s="431"/>
      <c r="L284" s="431" t="s">
        <v>594</v>
      </c>
      <c r="M284" s="431" t="s">
        <v>1242</v>
      </c>
    </row>
    <row r="285" spans="1:13" x14ac:dyDescent="0.2">
      <c r="A285" s="431" t="s">
        <v>1241</v>
      </c>
      <c r="B285" s="431">
        <v>1737949</v>
      </c>
      <c r="C285" s="431" t="s">
        <v>159</v>
      </c>
      <c r="D285" s="431" t="s">
        <v>160</v>
      </c>
      <c r="E285" s="431" t="s">
        <v>161</v>
      </c>
      <c r="F285" s="431" t="s">
        <v>1240</v>
      </c>
      <c r="G285" s="431" t="s">
        <v>175</v>
      </c>
      <c r="H285" s="431"/>
      <c r="I285" s="431"/>
      <c r="J285" s="431"/>
      <c r="K285" s="431"/>
      <c r="L285" s="431" t="s">
        <v>594</v>
      </c>
      <c r="M285" s="431" t="s">
        <v>1242</v>
      </c>
    </row>
    <row r="286" spans="1:13" x14ac:dyDescent="0.2">
      <c r="A286" s="431" t="s">
        <v>1241</v>
      </c>
      <c r="B286" s="431">
        <v>1737949</v>
      </c>
      <c r="C286" s="431" t="s">
        <v>159</v>
      </c>
      <c r="D286" s="431" t="s">
        <v>160</v>
      </c>
      <c r="E286" s="431" t="s">
        <v>161</v>
      </c>
      <c r="F286" s="431" t="s">
        <v>1240</v>
      </c>
      <c r="G286" s="431" t="s">
        <v>175</v>
      </c>
      <c r="H286" s="431"/>
      <c r="I286" s="431"/>
      <c r="J286" s="431"/>
      <c r="K286" s="431"/>
      <c r="L286" s="431" t="s">
        <v>594</v>
      </c>
      <c r="M286" s="431" t="s">
        <v>1242</v>
      </c>
    </row>
    <row r="287" spans="1:13" x14ac:dyDescent="0.2">
      <c r="A287" s="431" t="s">
        <v>1241</v>
      </c>
      <c r="B287" s="431">
        <v>1737949</v>
      </c>
      <c r="C287" s="431" t="s">
        <v>159</v>
      </c>
      <c r="D287" s="431" t="s">
        <v>160</v>
      </c>
      <c r="E287" s="431" t="s">
        <v>161</v>
      </c>
      <c r="F287" s="431" t="s">
        <v>1240</v>
      </c>
      <c r="G287" s="431" t="s">
        <v>175</v>
      </c>
      <c r="H287" s="431"/>
      <c r="I287" s="431"/>
      <c r="J287" s="431"/>
      <c r="K287" s="431"/>
      <c r="L287" s="431" t="s">
        <v>594</v>
      </c>
      <c r="M287" s="431" t="s">
        <v>1242</v>
      </c>
    </row>
    <row r="288" spans="1:13" x14ac:dyDescent="0.2">
      <c r="A288" s="431" t="s">
        <v>1241</v>
      </c>
      <c r="B288" s="431">
        <v>1737949</v>
      </c>
      <c r="C288" s="431" t="s">
        <v>159</v>
      </c>
      <c r="D288" s="431" t="s">
        <v>160</v>
      </c>
      <c r="E288" s="431" t="s">
        <v>161</v>
      </c>
      <c r="F288" s="431" t="s">
        <v>1240</v>
      </c>
      <c r="G288" s="431" t="s">
        <v>175</v>
      </c>
      <c r="H288" s="431"/>
      <c r="I288" s="431"/>
      <c r="J288" s="431"/>
      <c r="K288" s="431"/>
      <c r="L288" s="431" t="s">
        <v>594</v>
      </c>
      <c r="M288" s="431" t="s">
        <v>1242</v>
      </c>
    </row>
    <row r="289" spans="1:13" x14ac:dyDescent="0.2">
      <c r="A289" s="431" t="s">
        <v>1241</v>
      </c>
      <c r="B289" s="431">
        <v>1737949</v>
      </c>
      <c r="C289" s="431" t="s">
        <v>159</v>
      </c>
      <c r="D289" s="431" t="s">
        <v>160</v>
      </c>
      <c r="E289" s="431" t="s">
        <v>161</v>
      </c>
      <c r="F289" s="431" t="s">
        <v>1240</v>
      </c>
      <c r="G289" s="431" t="s">
        <v>175</v>
      </c>
      <c r="H289" s="431"/>
      <c r="I289" s="431"/>
      <c r="J289" s="431"/>
      <c r="K289" s="431"/>
      <c r="L289" s="431" t="s">
        <v>594</v>
      </c>
      <c r="M289" s="431" t="s">
        <v>1242</v>
      </c>
    </row>
    <row r="290" spans="1:13" x14ac:dyDescent="0.2">
      <c r="A290" s="431" t="s">
        <v>1241</v>
      </c>
      <c r="B290" s="431">
        <v>1737949</v>
      </c>
      <c r="C290" s="431" t="s">
        <v>159</v>
      </c>
      <c r="D290" s="431" t="s">
        <v>160</v>
      </c>
      <c r="E290" s="431" t="s">
        <v>161</v>
      </c>
      <c r="F290" s="431" t="s">
        <v>1240</v>
      </c>
      <c r="G290" s="431" t="s">
        <v>175</v>
      </c>
      <c r="H290" s="431"/>
      <c r="I290" s="431"/>
      <c r="J290" s="431"/>
      <c r="K290" s="431"/>
      <c r="L290" s="431" t="s">
        <v>594</v>
      </c>
      <c r="M290" s="431" t="s">
        <v>1242</v>
      </c>
    </row>
    <row r="291" spans="1:13" x14ac:dyDescent="0.2">
      <c r="A291" s="431" t="s">
        <v>1241</v>
      </c>
      <c r="B291" s="431">
        <v>1737949</v>
      </c>
      <c r="C291" s="431" t="s">
        <v>159</v>
      </c>
      <c r="D291" s="431" t="s">
        <v>160</v>
      </c>
      <c r="E291" s="431" t="s">
        <v>161</v>
      </c>
      <c r="F291" s="431" t="s">
        <v>1240</v>
      </c>
      <c r="G291" s="431" t="s">
        <v>175</v>
      </c>
      <c r="H291" s="431"/>
      <c r="I291" s="431"/>
      <c r="J291" s="431"/>
      <c r="K291" s="431"/>
      <c r="L291" s="431" t="s">
        <v>594</v>
      </c>
      <c r="M291" s="431" t="s">
        <v>1242</v>
      </c>
    </row>
    <row r="292" spans="1:13" x14ac:dyDescent="0.2">
      <c r="A292" s="431" t="s">
        <v>1241</v>
      </c>
      <c r="B292" s="431">
        <v>1737949</v>
      </c>
      <c r="C292" s="431" t="s">
        <v>159</v>
      </c>
      <c r="D292" s="431" t="s">
        <v>160</v>
      </c>
      <c r="E292" s="431" t="s">
        <v>161</v>
      </c>
      <c r="F292" s="431" t="s">
        <v>1240</v>
      </c>
      <c r="G292" s="431" t="s">
        <v>175</v>
      </c>
      <c r="H292" s="431"/>
      <c r="I292" s="431"/>
      <c r="J292" s="431"/>
      <c r="K292" s="431"/>
      <c r="L292" s="431" t="s">
        <v>594</v>
      </c>
      <c r="M292" s="431" t="s">
        <v>1242</v>
      </c>
    </row>
    <row r="293" spans="1:13" x14ac:dyDescent="0.2">
      <c r="A293" s="431" t="s">
        <v>1241</v>
      </c>
      <c r="B293" s="431">
        <v>1737949</v>
      </c>
      <c r="C293" s="431" t="s">
        <v>159</v>
      </c>
      <c r="D293" s="431" t="s">
        <v>160</v>
      </c>
      <c r="E293" s="431" t="s">
        <v>161</v>
      </c>
      <c r="F293" s="431" t="s">
        <v>1240</v>
      </c>
      <c r="G293" s="431" t="s">
        <v>175</v>
      </c>
      <c r="H293" s="431"/>
      <c r="I293" s="431"/>
      <c r="J293" s="431"/>
      <c r="K293" s="431"/>
      <c r="L293" s="431" t="s">
        <v>594</v>
      </c>
      <c r="M293" s="431" t="s">
        <v>1242</v>
      </c>
    </row>
    <row r="294" spans="1:13" x14ac:dyDescent="0.2">
      <c r="A294" s="431" t="s">
        <v>1241</v>
      </c>
      <c r="B294" s="431">
        <v>1737949</v>
      </c>
      <c r="C294" s="431" t="s">
        <v>159</v>
      </c>
      <c r="D294" s="431" t="s">
        <v>160</v>
      </c>
      <c r="E294" s="431" t="s">
        <v>161</v>
      </c>
      <c r="F294" s="431" t="s">
        <v>1240</v>
      </c>
      <c r="G294" s="431" t="s">
        <v>175</v>
      </c>
      <c r="H294" s="431"/>
      <c r="I294" s="431"/>
      <c r="J294" s="431"/>
      <c r="K294" s="431"/>
      <c r="L294" s="431" t="s">
        <v>594</v>
      </c>
      <c r="M294" s="431" t="s">
        <v>1242</v>
      </c>
    </row>
    <row r="295" spans="1:13" x14ac:dyDescent="0.2">
      <c r="A295" s="431" t="s">
        <v>1241</v>
      </c>
      <c r="B295" s="431">
        <v>1737949</v>
      </c>
      <c r="C295" s="431" t="s">
        <v>159</v>
      </c>
      <c r="D295" s="431" t="s">
        <v>160</v>
      </c>
      <c r="E295" s="431" t="s">
        <v>161</v>
      </c>
      <c r="F295" s="431" t="s">
        <v>1240</v>
      </c>
      <c r="G295" s="431" t="s">
        <v>175</v>
      </c>
      <c r="H295" s="431"/>
      <c r="I295" s="431"/>
      <c r="J295" s="431"/>
      <c r="K295" s="431"/>
      <c r="L295" s="431" t="s">
        <v>594</v>
      </c>
      <c r="M295" s="431" t="s">
        <v>1242</v>
      </c>
    </row>
    <row r="296" spans="1:13" x14ac:dyDescent="0.2">
      <c r="A296" s="431" t="s">
        <v>1241</v>
      </c>
      <c r="B296" s="431">
        <v>1737949</v>
      </c>
      <c r="C296" s="431" t="s">
        <v>159</v>
      </c>
      <c r="D296" s="431" t="s">
        <v>160</v>
      </c>
      <c r="E296" s="431" t="s">
        <v>161</v>
      </c>
      <c r="F296" s="431" t="s">
        <v>1240</v>
      </c>
      <c r="G296" s="431" t="s">
        <v>175</v>
      </c>
      <c r="H296" s="431"/>
      <c r="I296" s="431"/>
      <c r="J296" s="431"/>
      <c r="K296" s="431"/>
      <c r="L296" s="431" t="s">
        <v>594</v>
      </c>
      <c r="M296" s="431" t="s">
        <v>1242</v>
      </c>
    </row>
    <row r="297" spans="1:13" x14ac:dyDescent="0.2">
      <c r="A297" s="431" t="s">
        <v>1241</v>
      </c>
      <c r="B297" s="431">
        <v>1737949</v>
      </c>
      <c r="C297" s="431" t="s">
        <v>159</v>
      </c>
      <c r="D297" s="431" t="s">
        <v>160</v>
      </c>
      <c r="E297" s="431" t="s">
        <v>161</v>
      </c>
      <c r="F297" s="431" t="s">
        <v>1240</v>
      </c>
      <c r="G297" s="431" t="s">
        <v>175</v>
      </c>
      <c r="H297" s="431"/>
      <c r="I297" s="431"/>
      <c r="J297" s="431"/>
      <c r="K297" s="431"/>
      <c r="L297" s="431" t="s">
        <v>594</v>
      </c>
      <c r="M297" s="431" t="s">
        <v>1242</v>
      </c>
    </row>
    <row r="298" spans="1:13" x14ac:dyDescent="0.2">
      <c r="A298" s="431" t="s">
        <v>1241</v>
      </c>
      <c r="B298" s="431">
        <v>1737949</v>
      </c>
      <c r="C298" s="431" t="s">
        <v>159</v>
      </c>
      <c r="D298" s="431" t="s">
        <v>160</v>
      </c>
      <c r="E298" s="431" t="s">
        <v>161</v>
      </c>
      <c r="F298" s="431" t="s">
        <v>1240</v>
      </c>
      <c r="G298" s="431" t="s">
        <v>175</v>
      </c>
      <c r="H298" s="431"/>
      <c r="I298" s="431"/>
      <c r="J298" s="431"/>
      <c r="K298" s="431"/>
      <c r="L298" s="431" t="s">
        <v>594</v>
      </c>
      <c r="M298" s="431" t="s">
        <v>1242</v>
      </c>
    </row>
    <row r="299" spans="1:13" x14ac:dyDescent="0.2">
      <c r="A299" s="431" t="s">
        <v>1241</v>
      </c>
      <c r="B299" s="431">
        <v>1737949</v>
      </c>
      <c r="C299" s="431" t="s">
        <v>159</v>
      </c>
      <c r="D299" s="431" t="s">
        <v>160</v>
      </c>
      <c r="E299" s="431" t="s">
        <v>161</v>
      </c>
      <c r="F299" s="431" t="s">
        <v>1240</v>
      </c>
      <c r="G299" s="431" t="s">
        <v>175</v>
      </c>
      <c r="H299" s="431"/>
      <c r="I299" s="431"/>
      <c r="J299" s="431"/>
      <c r="K299" s="431"/>
      <c r="L299" s="431" t="s">
        <v>594</v>
      </c>
      <c r="M299" s="431" t="s">
        <v>1242</v>
      </c>
    </row>
    <row r="300" spans="1:13" x14ac:dyDescent="0.2">
      <c r="A300" s="431" t="s">
        <v>1241</v>
      </c>
      <c r="B300" s="431">
        <v>1737949</v>
      </c>
      <c r="C300" s="431" t="s">
        <v>159</v>
      </c>
      <c r="D300" s="431" t="s">
        <v>160</v>
      </c>
      <c r="E300" s="431" t="s">
        <v>161</v>
      </c>
      <c r="F300" s="431" t="s">
        <v>1240</v>
      </c>
      <c r="G300" s="431" t="s">
        <v>175</v>
      </c>
      <c r="H300" s="431"/>
      <c r="I300" s="431"/>
      <c r="J300" s="431"/>
      <c r="K300" s="431"/>
      <c r="L300" s="431" t="s">
        <v>594</v>
      </c>
      <c r="M300" s="431" t="s">
        <v>1242</v>
      </c>
    </row>
    <row r="301" spans="1:13" x14ac:dyDescent="0.2">
      <c r="A301" s="431" t="s">
        <v>1241</v>
      </c>
      <c r="B301" s="431">
        <v>1737949</v>
      </c>
      <c r="C301" s="431" t="s">
        <v>159</v>
      </c>
      <c r="D301" s="431" t="s">
        <v>160</v>
      </c>
      <c r="E301" s="431" t="s">
        <v>161</v>
      </c>
      <c r="F301" s="431" t="s">
        <v>1240</v>
      </c>
      <c r="G301" s="431" t="s">
        <v>175</v>
      </c>
      <c r="H301" s="431"/>
      <c r="I301" s="431"/>
      <c r="J301" s="431"/>
      <c r="K301" s="431"/>
      <c r="L301" s="431" t="s">
        <v>594</v>
      </c>
      <c r="M301" s="431" t="s">
        <v>1242</v>
      </c>
    </row>
    <row r="302" spans="1:13" x14ac:dyDescent="0.2">
      <c r="A302" s="431" t="s">
        <v>1241</v>
      </c>
      <c r="B302" s="431">
        <v>1737949</v>
      </c>
      <c r="C302" s="431" t="s">
        <v>159</v>
      </c>
      <c r="D302" s="431" t="s">
        <v>160</v>
      </c>
      <c r="E302" s="431" t="s">
        <v>161</v>
      </c>
      <c r="F302" s="431" t="s">
        <v>1240</v>
      </c>
      <c r="G302" s="431" t="s">
        <v>175</v>
      </c>
      <c r="H302" s="431"/>
      <c r="I302" s="431"/>
      <c r="J302" s="431"/>
      <c r="K302" s="431"/>
      <c r="L302" s="431" t="s">
        <v>594</v>
      </c>
      <c r="M302" s="431" t="s">
        <v>1242</v>
      </c>
    </row>
    <row r="303" spans="1:13" x14ac:dyDescent="0.2">
      <c r="A303" s="431" t="s">
        <v>1241</v>
      </c>
      <c r="B303" s="431">
        <v>1737949</v>
      </c>
      <c r="C303" s="431" t="s">
        <v>159</v>
      </c>
      <c r="D303" s="431" t="s">
        <v>160</v>
      </c>
      <c r="E303" s="431" t="s">
        <v>161</v>
      </c>
      <c r="F303" s="431" t="s">
        <v>1240</v>
      </c>
      <c r="G303" s="431" t="s">
        <v>175</v>
      </c>
      <c r="H303" s="431"/>
      <c r="I303" s="431"/>
      <c r="J303" s="431"/>
      <c r="K303" s="431"/>
      <c r="L303" s="431" t="s">
        <v>594</v>
      </c>
      <c r="M303" s="431" t="s">
        <v>1242</v>
      </c>
    </row>
    <row r="304" spans="1:13" x14ac:dyDescent="0.2">
      <c r="A304" s="431" t="s">
        <v>1241</v>
      </c>
      <c r="B304" s="431">
        <v>1737949</v>
      </c>
      <c r="C304" s="431" t="s">
        <v>159</v>
      </c>
      <c r="D304" s="431" t="s">
        <v>160</v>
      </c>
      <c r="E304" s="431" t="s">
        <v>161</v>
      </c>
      <c r="F304" s="431" t="s">
        <v>1240</v>
      </c>
      <c r="G304" s="431" t="s">
        <v>175</v>
      </c>
      <c r="H304" s="431"/>
      <c r="I304" s="431"/>
      <c r="J304" s="431"/>
      <c r="K304" s="431"/>
      <c r="L304" s="431" t="s">
        <v>594</v>
      </c>
      <c r="M304" s="431" t="s">
        <v>1242</v>
      </c>
    </row>
    <row r="305" spans="1:13" x14ac:dyDescent="0.2">
      <c r="A305" s="431" t="s">
        <v>1241</v>
      </c>
      <c r="B305" s="431">
        <v>1737949</v>
      </c>
      <c r="C305" s="431" t="s">
        <v>159</v>
      </c>
      <c r="D305" s="431" t="s">
        <v>160</v>
      </c>
      <c r="E305" s="431" t="s">
        <v>161</v>
      </c>
      <c r="F305" s="431" t="s">
        <v>1240</v>
      </c>
      <c r="G305" s="431" t="s">
        <v>175</v>
      </c>
      <c r="H305" s="431"/>
      <c r="I305" s="431"/>
      <c r="J305" s="431"/>
      <c r="K305" s="431"/>
      <c r="L305" s="431" t="s">
        <v>594</v>
      </c>
      <c r="M305" s="431" t="s">
        <v>1242</v>
      </c>
    </row>
    <row r="306" spans="1:13" x14ac:dyDescent="0.2">
      <c r="A306" s="431" t="s">
        <v>1241</v>
      </c>
      <c r="B306" s="431">
        <v>1737949</v>
      </c>
      <c r="C306" s="431" t="s">
        <v>159</v>
      </c>
      <c r="D306" s="431" t="s">
        <v>160</v>
      </c>
      <c r="E306" s="431" t="s">
        <v>161</v>
      </c>
      <c r="F306" s="431" t="s">
        <v>1240</v>
      </c>
      <c r="G306" s="431" t="s">
        <v>175</v>
      </c>
      <c r="H306" s="431"/>
      <c r="I306" s="431"/>
      <c r="J306" s="431"/>
      <c r="K306" s="431"/>
      <c r="L306" s="431" t="s">
        <v>594</v>
      </c>
      <c r="M306" s="431" t="s">
        <v>1242</v>
      </c>
    </row>
    <row r="307" spans="1:13" x14ac:dyDescent="0.2">
      <c r="A307" s="431" t="s">
        <v>1241</v>
      </c>
      <c r="B307" s="431">
        <v>1737949</v>
      </c>
      <c r="C307" s="431" t="s">
        <v>159</v>
      </c>
      <c r="D307" s="431" t="s">
        <v>160</v>
      </c>
      <c r="E307" s="431" t="s">
        <v>161</v>
      </c>
      <c r="F307" s="431" t="s">
        <v>1240</v>
      </c>
      <c r="G307" s="431" t="s">
        <v>175</v>
      </c>
      <c r="H307" s="431"/>
      <c r="I307" s="431"/>
      <c r="J307" s="431"/>
      <c r="K307" s="431"/>
      <c r="L307" s="431" t="s">
        <v>594</v>
      </c>
      <c r="M307" s="431" t="s">
        <v>1242</v>
      </c>
    </row>
    <row r="308" spans="1:13" x14ac:dyDescent="0.2">
      <c r="A308" s="431" t="s">
        <v>1241</v>
      </c>
      <c r="B308" s="431">
        <v>1737949</v>
      </c>
      <c r="C308" s="431" t="s">
        <v>159</v>
      </c>
      <c r="D308" s="431" t="s">
        <v>160</v>
      </c>
      <c r="E308" s="431" t="s">
        <v>161</v>
      </c>
      <c r="F308" s="431" t="s">
        <v>1240</v>
      </c>
      <c r="G308" s="431" t="s">
        <v>175</v>
      </c>
      <c r="H308" s="431"/>
      <c r="I308" s="431"/>
      <c r="J308" s="431"/>
      <c r="K308" s="431"/>
      <c r="L308" s="431" t="s">
        <v>594</v>
      </c>
      <c r="M308" s="431" t="s">
        <v>1242</v>
      </c>
    </row>
    <row r="309" spans="1:13" x14ac:dyDescent="0.2">
      <c r="A309" s="431" t="s">
        <v>1241</v>
      </c>
      <c r="B309" s="431">
        <v>1737949</v>
      </c>
      <c r="C309" s="431" t="s">
        <v>159</v>
      </c>
      <c r="D309" s="431" t="s">
        <v>160</v>
      </c>
      <c r="E309" s="431" t="s">
        <v>161</v>
      </c>
      <c r="F309" s="431" t="s">
        <v>1240</v>
      </c>
      <c r="G309" s="431" t="s">
        <v>175</v>
      </c>
      <c r="H309" s="431"/>
      <c r="I309" s="431"/>
      <c r="J309" s="431"/>
      <c r="K309" s="431"/>
      <c r="L309" s="431" t="s">
        <v>594</v>
      </c>
      <c r="M309" s="431" t="s">
        <v>1242</v>
      </c>
    </row>
    <row r="310" spans="1:13" x14ac:dyDescent="0.2">
      <c r="A310" s="431" t="s">
        <v>1241</v>
      </c>
      <c r="B310" s="431">
        <v>1737949</v>
      </c>
      <c r="C310" s="431" t="s">
        <v>159</v>
      </c>
      <c r="D310" s="431" t="s">
        <v>160</v>
      </c>
      <c r="E310" s="431" t="s">
        <v>161</v>
      </c>
      <c r="F310" s="431" t="s">
        <v>1240</v>
      </c>
      <c r="G310" s="431" t="s">
        <v>175</v>
      </c>
      <c r="H310" s="431"/>
      <c r="I310" s="431"/>
      <c r="J310" s="431"/>
      <c r="K310" s="431"/>
      <c r="L310" s="431" t="s">
        <v>594</v>
      </c>
      <c r="M310" s="431" t="s">
        <v>1242</v>
      </c>
    </row>
    <row r="311" spans="1:13" x14ac:dyDescent="0.2">
      <c r="A311" s="431" t="s">
        <v>1241</v>
      </c>
      <c r="B311" s="431">
        <v>1737949</v>
      </c>
      <c r="C311" s="431" t="s">
        <v>159</v>
      </c>
      <c r="D311" s="431" t="s">
        <v>160</v>
      </c>
      <c r="E311" s="431" t="s">
        <v>161</v>
      </c>
      <c r="F311" s="431" t="s">
        <v>1240</v>
      </c>
      <c r="G311" s="431" t="s">
        <v>175</v>
      </c>
      <c r="H311" s="431"/>
      <c r="I311" s="431"/>
      <c r="J311" s="431"/>
      <c r="K311" s="431"/>
      <c r="L311" s="431" t="s">
        <v>594</v>
      </c>
      <c r="M311" s="431" t="s">
        <v>1242</v>
      </c>
    </row>
    <row r="312" spans="1:13" x14ac:dyDescent="0.2">
      <c r="A312" s="431" t="s">
        <v>1241</v>
      </c>
      <c r="B312" s="431">
        <v>1737949</v>
      </c>
      <c r="C312" s="431" t="s">
        <v>159</v>
      </c>
      <c r="D312" s="431" t="s">
        <v>160</v>
      </c>
      <c r="E312" s="431" t="s">
        <v>161</v>
      </c>
      <c r="F312" s="431" t="s">
        <v>1240</v>
      </c>
      <c r="G312" s="431" t="s">
        <v>175</v>
      </c>
      <c r="H312" s="431"/>
      <c r="I312" s="431"/>
      <c r="J312" s="431"/>
      <c r="K312" s="431"/>
      <c r="L312" s="431" t="s">
        <v>594</v>
      </c>
      <c r="M312" s="431" t="s">
        <v>1242</v>
      </c>
    </row>
    <row r="313" spans="1:13" x14ac:dyDescent="0.2">
      <c r="A313" s="431" t="s">
        <v>1241</v>
      </c>
      <c r="B313" s="431">
        <v>1737949</v>
      </c>
      <c r="C313" s="431" t="s">
        <v>159</v>
      </c>
      <c r="D313" s="431" t="s">
        <v>160</v>
      </c>
      <c r="E313" s="431" t="s">
        <v>161</v>
      </c>
      <c r="F313" s="431" t="s">
        <v>1240</v>
      </c>
      <c r="G313" s="431" t="s">
        <v>175</v>
      </c>
      <c r="H313" s="431"/>
      <c r="I313" s="431"/>
      <c r="J313" s="431"/>
      <c r="K313" s="431"/>
      <c r="L313" s="431" t="s">
        <v>594</v>
      </c>
      <c r="M313" s="431" t="s">
        <v>1242</v>
      </c>
    </row>
    <row r="314" spans="1:13" x14ac:dyDescent="0.2">
      <c r="A314" s="431" t="s">
        <v>1241</v>
      </c>
      <c r="B314" s="431">
        <v>1737949</v>
      </c>
      <c r="C314" s="431" t="s">
        <v>159</v>
      </c>
      <c r="D314" s="431" t="s">
        <v>160</v>
      </c>
      <c r="E314" s="431" t="s">
        <v>161</v>
      </c>
      <c r="F314" s="431" t="s">
        <v>1240</v>
      </c>
      <c r="G314" s="431" t="s">
        <v>175</v>
      </c>
      <c r="H314" s="431"/>
      <c r="I314" s="431"/>
      <c r="J314" s="431"/>
      <c r="K314" s="431"/>
      <c r="L314" s="431" t="s">
        <v>594</v>
      </c>
      <c r="M314" s="431" t="s">
        <v>1242</v>
      </c>
    </row>
    <row r="315" spans="1:13" x14ac:dyDescent="0.2">
      <c r="A315" s="431" t="s">
        <v>1241</v>
      </c>
      <c r="B315" s="431">
        <v>1737949</v>
      </c>
      <c r="C315" s="431" t="s">
        <v>159</v>
      </c>
      <c r="D315" s="431" t="s">
        <v>160</v>
      </c>
      <c r="E315" s="431" t="s">
        <v>161</v>
      </c>
      <c r="F315" s="431" t="s">
        <v>1240</v>
      </c>
      <c r="G315" s="431" t="s">
        <v>175</v>
      </c>
      <c r="H315" s="431"/>
      <c r="I315" s="431"/>
      <c r="J315" s="431"/>
      <c r="K315" s="431"/>
      <c r="L315" s="431" t="s">
        <v>594</v>
      </c>
      <c r="M315" s="431" t="s">
        <v>1242</v>
      </c>
    </row>
    <row r="316" spans="1:13" x14ac:dyDescent="0.2">
      <c r="A316" s="431" t="s">
        <v>1241</v>
      </c>
      <c r="B316" s="431">
        <v>1737949</v>
      </c>
      <c r="C316" s="431" t="s">
        <v>159</v>
      </c>
      <c r="D316" s="431" t="s">
        <v>160</v>
      </c>
      <c r="E316" s="431" t="s">
        <v>161</v>
      </c>
      <c r="F316" s="431" t="s">
        <v>1240</v>
      </c>
      <c r="G316" s="431" t="s">
        <v>175</v>
      </c>
      <c r="H316" s="431"/>
      <c r="I316" s="431"/>
      <c r="J316" s="431"/>
      <c r="K316" s="431"/>
      <c r="L316" s="431" t="s">
        <v>594</v>
      </c>
      <c r="M316" s="431" t="s">
        <v>1242</v>
      </c>
    </row>
    <row r="317" spans="1:13" x14ac:dyDescent="0.2">
      <c r="A317" s="431" t="s">
        <v>1241</v>
      </c>
      <c r="B317" s="431">
        <v>1737949</v>
      </c>
      <c r="C317" s="431" t="s">
        <v>159</v>
      </c>
      <c r="D317" s="431" t="s">
        <v>160</v>
      </c>
      <c r="E317" s="431" t="s">
        <v>161</v>
      </c>
      <c r="F317" s="431" t="s">
        <v>1240</v>
      </c>
      <c r="G317" s="431" t="s">
        <v>175</v>
      </c>
      <c r="H317" s="431"/>
      <c r="I317" s="431"/>
      <c r="J317" s="431"/>
      <c r="K317" s="431"/>
      <c r="L317" s="431" t="s">
        <v>594</v>
      </c>
      <c r="M317" s="431" t="s">
        <v>1242</v>
      </c>
    </row>
    <row r="318" spans="1:13" x14ac:dyDescent="0.2">
      <c r="A318" s="431" t="s">
        <v>1241</v>
      </c>
      <c r="B318" s="431">
        <v>1737949</v>
      </c>
      <c r="C318" s="431" t="s">
        <v>159</v>
      </c>
      <c r="D318" s="431" t="s">
        <v>160</v>
      </c>
      <c r="E318" s="431" t="s">
        <v>161</v>
      </c>
      <c r="F318" s="431" t="s">
        <v>1240</v>
      </c>
      <c r="G318" s="431" t="s">
        <v>175</v>
      </c>
      <c r="H318" s="431"/>
      <c r="I318" s="431"/>
      <c r="J318" s="431"/>
      <c r="K318" s="431"/>
      <c r="L318" s="431" t="s">
        <v>594</v>
      </c>
      <c r="M318" s="431" t="s">
        <v>1242</v>
      </c>
    </row>
    <row r="319" spans="1:13" x14ac:dyDescent="0.2">
      <c r="A319" s="431" t="s">
        <v>1241</v>
      </c>
      <c r="B319" s="431">
        <v>1737949</v>
      </c>
      <c r="C319" s="431" t="s">
        <v>159</v>
      </c>
      <c r="D319" s="431" t="s">
        <v>160</v>
      </c>
      <c r="E319" s="431" t="s">
        <v>161</v>
      </c>
      <c r="F319" s="431" t="s">
        <v>1240</v>
      </c>
      <c r="G319" s="431" t="s">
        <v>175</v>
      </c>
      <c r="H319" s="431"/>
      <c r="I319" s="431"/>
      <c r="J319" s="431"/>
      <c r="K319" s="431"/>
      <c r="L319" s="431" t="s">
        <v>594</v>
      </c>
      <c r="M319" s="431" t="s">
        <v>1242</v>
      </c>
    </row>
    <row r="320" spans="1:13" x14ac:dyDescent="0.2">
      <c r="A320" s="431" t="s">
        <v>1241</v>
      </c>
      <c r="B320" s="431">
        <v>1737949</v>
      </c>
      <c r="C320" s="431" t="s">
        <v>159</v>
      </c>
      <c r="D320" s="431" t="s">
        <v>160</v>
      </c>
      <c r="E320" s="431" t="s">
        <v>161</v>
      </c>
      <c r="F320" s="431" t="s">
        <v>1240</v>
      </c>
      <c r="G320" s="431" t="s">
        <v>175</v>
      </c>
      <c r="H320" s="431"/>
      <c r="I320" s="431"/>
      <c r="J320" s="431"/>
      <c r="K320" s="431"/>
      <c r="L320" s="431" t="s">
        <v>594</v>
      </c>
      <c r="M320" s="431" t="s">
        <v>1242</v>
      </c>
    </row>
    <row r="321" spans="1:13" x14ac:dyDescent="0.2">
      <c r="A321" s="431" t="s">
        <v>1241</v>
      </c>
      <c r="B321" s="431">
        <v>1737949</v>
      </c>
      <c r="C321" s="431" t="s">
        <v>159</v>
      </c>
      <c r="D321" s="431" t="s">
        <v>160</v>
      </c>
      <c r="E321" s="431" t="s">
        <v>161</v>
      </c>
      <c r="F321" s="431" t="s">
        <v>1240</v>
      </c>
      <c r="G321" s="431" t="s">
        <v>175</v>
      </c>
      <c r="H321" s="431"/>
      <c r="I321" s="431"/>
      <c r="J321" s="431"/>
      <c r="K321" s="431"/>
      <c r="L321" s="431" t="s">
        <v>594</v>
      </c>
      <c r="M321" s="431" t="s">
        <v>1242</v>
      </c>
    </row>
    <row r="322" spans="1:13" x14ac:dyDescent="0.2">
      <c r="A322" s="431" t="s">
        <v>1241</v>
      </c>
      <c r="B322" s="431">
        <v>1737949</v>
      </c>
      <c r="C322" s="431" t="s">
        <v>159</v>
      </c>
      <c r="D322" s="431" t="s">
        <v>160</v>
      </c>
      <c r="E322" s="431" t="s">
        <v>161</v>
      </c>
      <c r="F322" s="431" t="s">
        <v>1240</v>
      </c>
      <c r="G322" s="431" t="s">
        <v>175</v>
      </c>
      <c r="H322" s="431"/>
      <c r="I322" s="431"/>
      <c r="J322" s="431"/>
      <c r="K322" s="431"/>
      <c r="L322" s="431" t="s">
        <v>594</v>
      </c>
      <c r="M322" s="431" t="s">
        <v>1242</v>
      </c>
    </row>
    <row r="323" spans="1:13" x14ac:dyDescent="0.2">
      <c r="A323" s="431" t="s">
        <v>1241</v>
      </c>
      <c r="B323" s="431">
        <v>1737949</v>
      </c>
      <c r="C323" s="431" t="s">
        <v>159</v>
      </c>
      <c r="D323" s="431" t="s">
        <v>160</v>
      </c>
      <c r="E323" s="431" t="s">
        <v>161</v>
      </c>
      <c r="F323" s="431" t="s">
        <v>1240</v>
      </c>
      <c r="G323" s="431" t="s">
        <v>175</v>
      </c>
      <c r="H323" s="431"/>
      <c r="I323" s="431"/>
      <c r="J323" s="431"/>
      <c r="K323" s="431"/>
      <c r="L323" s="431" t="s">
        <v>594</v>
      </c>
      <c r="M323" s="431" t="s">
        <v>1242</v>
      </c>
    </row>
    <row r="324" spans="1:13" x14ac:dyDescent="0.2">
      <c r="A324" s="431" t="s">
        <v>1243</v>
      </c>
      <c r="B324" s="431">
        <v>1737953</v>
      </c>
      <c r="C324" s="431" t="s">
        <v>159</v>
      </c>
      <c r="D324" s="431" t="s">
        <v>160</v>
      </c>
      <c r="E324" s="431" t="s">
        <v>161</v>
      </c>
      <c r="F324" s="431" t="s">
        <v>1244</v>
      </c>
      <c r="G324" s="431" t="s">
        <v>175</v>
      </c>
      <c r="H324" s="431"/>
      <c r="I324" s="431"/>
      <c r="J324" s="431"/>
      <c r="K324" s="431"/>
      <c r="L324" s="431" t="s">
        <v>1149</v>
      </c>
      <c r="M324" s="431" t="s">
        <v>1245</v>
      </c>
    </row>
    <row r="325" spans="1:13" x14ac:dyDescent="0.2">
      <c r="A325" s="431" t="s">
        <v>1246</v>
      </c>
      <c r="B325" s="431">
        <v>1737954</v>
      </c>
      <c r="C325" s="431" t="s">
        <v>159</v>
      </c>
      <c r="D325" s="431" t="s">
        <v>160</v>
      </c>
      <c r="E325" s="431" t="s">
        <v>161</v>
      </c>
      <c r="F325" s="431" t="s">
        <v>679</v>
      </c>
      <c r="G325" s="431" t="s">
        <v>175</v>
      </c>
      <c r="H325" s="431"/>
      <c r="I325" s="431"/>
      <c r="J325" s="431"/>
      <c r="K325" s="431"/>
      <c r="L325" s="431" t="s">
        <v>1149</v>
      </c>
      <c r="M325" s="431" t="s">
        <v>1247</v>
      </c>
    </row>
    <row r="326" spans="1:13" x14ac:dyDescent="0.2">
      <c r="A326" s="431" t="s">
        <v>1246</v>
      </c>
      <c r="B326" s="431">
        <v>1737954</v>
      </c>
      <c r="C326" s="431" t="s">
        <v>159</v>
      </c>
      <c r="D326" s="431" t="s">
        <v>160</v>
      </c>
      <c r="E326" s="431" t="s">
        <v>161</v>
      </c>
      <c r="F326" s="431" t="s">
        <v>679</v>
      </c>
      <c r="G326" s="431" t="s">
        <v>175</v>
      </c>
      <c r="H326" s="431"/>
      <c r="I326" s="431"/>
      <c r="J326" s="431"/>
      <c r="K326" s="431"/>
      <c r="L326" s="431" t="s">
        <v>1149</v>
      </c>
      <c r="M326" s="431" t="s">
        <v>1247</v>
      </c>
    </row>
    <row r="327" spans="1:13" x14ac:dyDescent="0.2">
      <c r="A327" s="431" t="s">
        <v>1248</v>
      </c>
      <c r="B327" s="431">
        <v>1737957</v>
      </c>
      <c r="C327" s="431" t="s">
        <v>159</v>
      </c>
      <c r="D327" s="431" t="s">
        <v>160</v>
      </c>
      <c r="E327" s="431" t="s">
        <v>161</v>
      </c>
      <c r="F327" s="431" t="s">
        <v>1119</v>
      </c>
      <c r="G327" s="431" t="s">
        <v>175</v>
      </c>
      <c r="H327" s="431"/>
      <c r="I327" s="431"/>
      <c r="J327" s="431"/>
      <c r="K327" s="431"/>
      <c r="L327" s="431" t="s">
        <v>163</v>
      </c>
      <c r="M327" s="431" t="s">
        <v>1249</v>
      </c>
    </row>
    <row r="328" spans="1:13" x14ac:dyDescent="0.2">
      <c r="A328" s="431" t="s">
        <v>1250</v>
      </c>
      <c r="B328" s="431">
        <v>1737960</v>
      </c>
      <c r="C328" s="431" t="s">
        <v>159</v>
      </c>
      <c r="D328" s="431" t="s">
        <v>160</v>
      </c>
      <c r="E328" s="431" t="s">
        <v>161</v>
      </c>
      <c r="F328" s="431" t="s">
        <v>1251</v>
      </c>
      <c r="G328" s="431" t="s">
        <v>175</v>
      </c>
      <c r="H328" s="431"/>
      <c r="I328" s="431"/>
      <c r="J328" s="431"/>
      <c r="K328" s="431"/>
      <c r="L328" s="431" t="s">
        <v>473</v>
      </c>
      <c r="M328" s="431" t="s">
        <v>1252</v>
      </c>
    </row>
    <row r="329" spans="1:13" x14ac:dyDescent="0.2">
      <c r="A329" s="431" t="s">
        <v>1250</v>
      </c>
      <c r="B329" s="431">
        <v>1737960</v>
      </c>
      <c r="C329" s="431" t="s">
        <v>159</v>
      </c>
      <c r="D329" s="431" t="s">
        <v>160</v>
      </c>
      <c r="E329" s="431" t="s">
        <v>161</v>
      </c>
      <c r="F329" s="431" t="s">
        <v>1251</v>
      </c>
      <c r="G329" s="431" t="s">
        <v>175</v>
      </c>
      <c r="H329" s="431"/>
      <c r="I329" s="431"/>
      <c r="J329" s="431"/>
      <c r="K329" s="431"/>
      <c r="L329" s="431" t="s">
        <v>473</v>
      </c>
      <c r="M329" s="431" t="s">
        <v>1252</v>
      </c>
    </row>
    <row r="330" spans="1:13" x14ac:dyDescent="0.2">
      <c r="A330" s="431" t="s">
        <v>1250</v>
      </c>
      <c r="B330" s="431">
        <v>1737960</v>
      </c>
      <c r="C330" s="431" t="s">
        <v>159</v>
      </c>
      <c r="D330" s="431" t="s">
        <v>160</v>
      </c>
      <c r="E330" s="431" t="s">
        <v>161</v>
      </c>
      <c r="F330" s="431" t="s">
        <v>1253</v>
      </c>
      <c r="G330" s="431" t="s">
        <v>175</v>
      </c>
      <c r="H330" s="431"/>
      <c r="I330" s="431"/>
      <c r="J330" s="431"/>
      <c r="K330" s="431"/>
      <c r="L330" s="431" t="s">
        <v>473</v>
      </c>
      <c r="M330" s="431" t="s">
        <v>1252</v>
      </c>
    </row>
    <row r="331" spans="1:13" x14ac:dyDescent="0.2">
      <c r="A331" s="431" t="s">
        <v>1250</v>
      </c>
      <c r="B331" s="431">
        <v>1737960</v>
      </c>
      <c r="C331" s="431" t="s">
        <v>159</v>
      </c>
      <c r="D331" s="431" t="s">
        <v>160</v>
      </c>
      <c r="E331" s="431" t="s">
        <v>161</v>
      </c>
      <c r="F331" s="431" t="s">
        <v>1253</v>
      </c>
      <c r="G331" s="431" t="s">
        <v>175</v>
      </c>
      <c r="H331" s="431"/>
      <c r="I331" s="431"/>
      <c r="J331" s="431"/>
      <c r="K331" s="431"/>
      <c r="L331" s="431" t="s">
        <v>473</v>
      </c>
      <c r="M331" s="431" t="s">
        <v>1252</v>
      </c>
    </row>
    <row r="332" spans="1:13" x14ac:dyDescent="0.2">
      <c r="A332" s="431" t="s">
        <v>1250</v>
      </c>
      <c r="B332" s="431">
        <v>1737960</v>
      </c>
      <c r="C332" s="431" t="s">
        <v>159</v>
      </c>
      <c r="D332" s="431" t="s">
        <v>160</v>
      </c>
      <c r="E332" s="431" t="s">
        <v>161</v>
      </c>
      <c r="F332" s="431" t="s">
        <v>1253</v>
      </c>
      <c r="G332" s="431" t="s">
        <v>175</v>
      </c>
      <c r="H332" s="431"/>
      <c r="I332" s="431"/>
      <c r="J332" s="431"/>
      <c r="K332" s="431"/>
      <c r="L332" s="431" t="s">
        <v>473</v>
      </c>
      <c r="M332" s="431" t="s">
        <v>1252</v>
      </c>
    </row>
    <row r="333" spans="1:13" x14ac:dyDescent="0.2">
      <c r="A333" s="431" t="s">
        <v>1250</v>
      </c>
      <c r="B333" s="431">
        <v>1737960</v>
      </c>
      <c r="C333" s="431" t="s">
        <v>159</v>
      </c>
      <c r="D333" s="431" t="s">
        <v>160</v>
      </c>
      <c r="E333" s="431" t="s">
        <v>161</v>
      </c>
      <c r="F333" s="431" t="s">
        <v>1254</v>
      </c>
      <c r="G333" s="431" t="s">
        <v>175</v>
      </c>
      <c r="H333" s="431"/>
      <c r="I333" s="431"/>
      <c r="J333" s="431"/>
      <c r="K333" s="431"/>
      <c r="L333" s="431" t="s">
        <v>473</v>
      </c>
      <c r="M333" s="431" t="s">
        <v>1252</v>
      </c>
    </row>
    <row r="334" spans="1:13" x14ac:dyDescent="0.2">
      <c r="A334" s="431" t="s">
        <v>1255</v>
      </c>
      <c r="B334" s="431">
        <v>1737962</v>
      </c>
      <c r="C334" s="431" t="s">
        <v>159</v>
      </c>
      <c r="D334" s="431" t="s">
        <v>160</v>
      </c>
      <c r="E334" s="431" t="s">
        <v>161</v>
      </c>
      <c r="F334" s="431" t="s">
        <v>1244</v>
      </c>
      <c r="G334" s="431" t="s">
        <v>175</v>
      </c>
      <c r="H334" s="431"/>
      <c r="I334" s="431"/>
      <c r="J334" s="431"/>
      <c r="K334" s="431"/>
      <c r="L334" s="431" t="s">
        <v>1149</v>
      </c>
      <c r="M334" s="431" t="s">
        <v>1256</v>
      </c>
    </row>
    <row r="335" spans="1:13" x14ac:dyDescent="0.2">
      <c r="A335" s="431" t="s">
        <v>1257</v>
      </c>
      <c r="B335" s="431">
        <v>1737963</v>
      </c>
      <c r="C335" s="431" t="s">
        <v>170</v>
      </c>
      <c r="D335" s="431" t="s">
        <v>160</v>
      </c>
      <c r="E335" s="431" t="s">
        <v>161</v>
      </c>
      <c r="F335" s="431" t="s">
        <v>593</v>
      </c>
      <c r="G335" s="431" t="s">
        <v>175</v>
      </c>
      <c r="H335" s="431"/>
      <c r="I335" s="431"/>
      <c r="J335" s="431"/>
      <c r="K335" s="431"/>
      <c r="L335" s="431" t="s">
        <v>721</v>
      </c>
      <c r="M335" s="431" t="s">
        <v>1258</v>
      </c>
    </row>
    <row r="336" spans="1:13" x14ac:dyDescent="0.2">
      <c r="A336" s="431" t="s">
        <v>1257</v>
      </c>
      <c r="B336" s="431">
        <v>1737963</v>
      </c>
      <c r="C336" s="431" t="s">
        <v>170</v>
      </c>
      <c r="D336" s="431" t="s">
        <v>160</v>
      </c>
      <c r="E336" s="431" t="s">
        <v>161</v>
      </c>
      <c r="F336" s="431" t="s">
        <v>1233</v>
      </c>
      <c r="G336" s="431" t="s">
        <v>175</v>
      </c>
      <c r="H336" s="431"/>
      <c r="I336" s="431"/>
      <c r="J336" s="431"/>
      <c r="K336" s="431"/>
      <c r="L336" s="431" t="s">
        <v>721</v>
      </c>
      <c r="M336" s="431" t="s">
        <v>1258</v>
      </c>
    </row>
    <row r="337" spans="1:13" x14ac:dyDescent="0.2">
      <c r="A337" s="431" t="s">
        <v>1259</v>
      </c>
      <c r="B337" s="431">
        <v>1737965</v>
      </c>
      <c r="C337" s="431" t="s">
        <v>159</v>
      </c>
      <c r="D337" s="431" t="s">
        <v>160</v>
      </c>
      <c r="E337" s="431" t="s">
        <v>161</v>
      </c>
      <c r="F337" s="431" t="s">
        <v>1260</v>
      </c>
      <c r="G337" s="431" t="s">
        <v>175</v>
      </c>
      <c r="H337" s="431"/>
      <c r="I337" s="431"/>
      <c r="J337" s="431"/>
      <c r="K337" s="431"/>
      <c r="L337" s="431" t="s">
        <v>241</v>
      </c>
      <c r="M337" s="431" t="s">
        <v>1261</v>
      </c>
    </row>
    <row r="338" spans="1:13" x14ac:dyDescent="0.2">
      <c r="A338" s="431" t="s">
        <v>1262</v>
      </c>
      <c r="B338" s="431">
        <v>1737966</v>
      </c>
      <c r="C338" s="431" t="s">
        <v>159</v>
      </c>
      <c r="D338" s="431" t="s">
        <v>160</v>
      </c>
      <c r="E338" s="431" t="s">
        <v>161</v>
      </c>
      <c r="F338" s="431"/>
      <c r="G338" s="431" t="s">
        <v>175</v>
      </c>
      <c r="H338" s="431"/>
      <c r="I338" s="431"/>
      <c r="J338" s="431"/>
      <c r="K338" s="431"/>
      <c r="L338" s="431" t="s">
        <v>241</v>
      </c>
      <c r="M338" s="431" t="s">
        <v>1263</v>
      </c>
    </row>
    <row r="339" spans="1:13" x14ac:dyDescent="0.2">
      <c r="A339" s="431" t="s">
        <v>1264</v>
      </c>
      <c r="B339" s="431">
        <v>1737972</v>
      </c>
      <c r="C339" s="431" t="s">
        <v>159</v>
      </c>
      <c r="D339" s="431" t="s">
        <v>160</v>
      </c>
      <c r="E339" s="431" t="s">
        <v>161</v>
      </c>
      <c r="F339" s="431" t="s">
        <v>1265</v>
      </c>
      <c r="G339" s="431" t="s">
        <v>175</v>
      </c>
      <c r="H339" s="431"/>
      <c r="I339" s="431"/>
      <c r="J339" s="431"/>
      <c r="K339" s="431"/>
      <c r="L339" s="431" t="s">
        <v>241</v>
      </c>
      <c r="M339" s="431" t="s">
        <v>1266</v>
      </c>
    </row>
    <row r="340" spans="1:13" x14ac:dyDescent="0.2">
      <c r="A340" s="431" t="s">
        <v>1264</v>
      </c>
      <c r="B340" s="431">
        <v>1737972</v>
      </c>
      <c r="C340" s="431" t="s">
        <v>159</v>
      </c>
      <c r="D340" s="431" t="s">
        <v>160</v>
      </c>
      <c r="E340" s="431" t="s">
        <v>161</v>
      </c>
      <c r="F340" s="431" t="s">
        <v>1265</v>
      </c>
      <c r="G340" s="431" t="s">
        <v>175</v>
      </c>
      <c r="H340" s="431"/>
      <c r="I340" s="431"/>
      <c r="J340" s="431"/>
      <c r="K340" s="431"/>
      <c r="L340" s="431" t="s">
        <v>241</v>
      </c>
      <c r="M340" s="431" t="s">
        <v>1266</v>
      </c>
    </row>
  </sheetData>
  <autoFilter ref="A2:N2" xr:uid="{00000000-0009-0000-0000-000006000000}"/>
  <pageMargins left="0.75" right="0.75" top="1" bottom="1" header="0.4921259845" footer="0.4921259845"/>
  <pageSetup paperSize="9" orientation="portrait" r:id="rId1"/>
  <headerFooter alignWithMargins="0">
    <oddFooter>&amp;LE905722 rev xxx ver xxx&amp;R&amp;P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EC65E-3E4B-4FDA-9BE2-F5FEBC7481DE}">
  <sheetPr codeName="Feuil13"/>
  <dimension ref="A1:N2"/>
  <sheetViews>
    <sheetView showGridLines="0" zoomScale="85" zoomScaleNormal="85" workbookViewId="0">
      <pane ySplit="2" topLeftCell="A3" activePane="bottomLeft" state="frozen"/>
      <selection pane="bottomLeft" activeCell="M2" sqref="M2"/>
    </sheetView>
  </sheetViews>
  <sheetFormatPr defaultColWidth="11.42578125" defaultRowHeight="12.75" x14ac:dyDescent="0.2"/>
  <cols>
    <col min="1" max="1" width="11.42578125" style="177"/>
    <col min="2" max="2" width="0" style="167" hidden="1" customWidth="1"/>
    <col min="3" max="9" width="11.42578125" style="167"/>
    <col min="10" max="10" width="22.7109375" style="167" customWidth="1"/>
    <col min="11" max="11" width="11.42578125" style="181"/>
    <col min="12" max="16384" width="11.42578125" style="167"/>
  </cols>
  <sheetData>
    <row r="1" spans="1:14" ht="115.5" x14ac:dyDescent="0.2">
      <c r="A1" s="430" t="s">
        <v>155</v>
      </c>
      <c r="B1" s="430" t="s">
        <v>40</v>
      </c>
      <c r="C1" s="430" t="s">
        <v>141</v>
      </c>
      <c r="D1" s="430" t="s">
        <v>41</v>
      </c>
      <c r="E1" s="430" t="s">
        <v>42</v>
      </c>
      <c r="F1" s="430" t="s">
        <v>109</v>
      </c>
      <c r="G1" s="430" t="s">
        <v>43</v>
      </c>
      <c r="H1" s="430" t="s">
        <v>156</v>
      </c>
      <c r="I1" s="430" t="s">
        <v>45</v>
      </c>
      <c r="J1" s="430" t="s">
        <v>46</v>
      </c>
      <c r="K1" s="430" t="s">
        <v>47</v>
      </c>
      <c r="L1" s="430" t="s">
        <v>140</v>
      </c>
      <c r="M1" s="430" t="s">
        <v>157</v>
      </c>
      <c r="N1" s="190"/>
    </row>
    <row r="2" spans="1:14" x14ac:dyDescent="0.2">
      <c r="A2" s="431"/>
      <c r="B2" s="431"/>
      <c r="C2" s="431"/>
      <c r="D2" s="431"/>
      <c r="E2" s="431" t="s">
        <v>161</v>
      </c>
      <c r="F2" s="431"/>
      <c r="G2" s="431"/>
      <c r="H2" s="431"/>
      <c r="I2" s="431"/>
      <c r="J2" s="431"/>
      <c r="K2" s="431"/>
      <c r="L2" s="431"/>
      <c r="M2" s="431"/>
      <c r="N2" s="178"/>
    </row>
  </sheetData>
  <autoFilter ref="A2:N2" xr:uid="{00000000-0009-0000-0000-000006000000}"/>
  <pageMargins left="0.75" right="0.75" top="1" bottom="1" header="0.4921259845" footer="0.4921259845"/>
  <pageSetup paperSize="9" orientation="portrait" r:id="rId1"/>
  <headerFooter alignWithMargins="0">
    <oddFooter>&amp;LE905722 rev xxx ver xxx&amp;R&amp;P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46D03-F78A-4AA5-A714-DEF1548DD05D}">
  <sheetPr codeName="Feuil14"/>
  <dimension ref="A1:N2"/>
  <sheetViews>
    <sheetView showGridLines="0" tabSelected="1" zoomScale="85" zoomScaleNormal="85" workbookViewId="0">
      <pane ySplit="2" topLeftCell="A3" activePane="bottomLeft" state="frozen"/>
      <selection pane="bottomLeft" activeCell="L2" sqref="L2"/>
    </sheetView>
  </sheetViews>
  <sheetFormatPr defaultColWidth="11.42578125" defaultRowHeight="12.75" x14ac:dyDescent="0.2"/>
  <cols>
    <col min="1" max="1" width="11.42578125" style="177"/>
    <col min="2" max="2" width="0" style="167" hidden="1" customWidth="1"/>
    <col min="3" max="9" width="11.42578125" style="167"/>
    <col min="10" max="10" width="22.7109375" style="167" customWidth="1"/>
    <col min="11" max="11" width="11.42578125" style="181"/>
    <col min="12" max="16384" width="11.42578125" style="167"/>
  </cols>
  <sheetData>
    <row r="1" spans="1:14" ht="115.5" x14ac:dyDescent="0.2">
      <c r="A1" s="430" t="s">
        <v>155</v>
      </c>
      <c r="B1" s="430" t="s">
        <v>40</v>
      </c>
      <c r="C1" s="430" t="s">
        <v>141</v>
      </c>
      <c r="D1" s="430" t="s">
        <v>41</v>
      </c>
      <c r="E1" s="430" t="s">
        <v>42</v>
      </c>
      <c r="F1" s="430" t="s">
        <v>109</v>
      </c>
      <c r="G1" s="430" t="s">
        <v>43</v>
      </c>
      <c r="H1" s="430" t="s">
        <v>156</v>
      </c>
      <c r="I1" s="430" t="s">
        <v>45</v>
      </c>
      <c r="J1" s="430" t="s">
        <v>46</v>
      </c>
      <c r="K1" s="430" t="s">
        <v>47</v>
      </c>
      <c r="L1" s="430" t="s">
        <v>140</v>
      </c>
      <c r="M1" s="430" t="s">
        <v>157</v>
      </c>
      <c r="N1" s="190"/>
    </row>
    <row r="2" spans="1:14" x14ac:dyDescent="0.2">
      <c r="A2" s="431"/>
      <c r="B2" s="431"/>
      <c r="C2" s="431"/>
      <c r="D2" s="431"/>
      <c r="E2" s="431" t="s">
        <v>161</v>
      </c>
      <c r="F2" s="431"/>
      <c r="G2" s="431"/>
      <c r="H2" s="431"/>
      <c r="I2" s="431"/>
      <c r="J2" s="431"/>
      <c r="K2" s="431"/>
      <c r="L2" s="431"/>
      <c r="M2" s="431"/>
      <c r="N2" s="178"/>
    </row>
  </sheetData>
  <autoFilter ref="A2:N2" xr:uid="{00000000-0009-0000-0000-000006000000}"/>
  <pageMargins left="0.75" right="0.75" top="1" bottom="1" header="0.4921259845" footer="0.4921259845"/>
  <pageSetup paperSize="9" orientation="portrait" r:id="rId1"/>
  <headerFooter alignWithMargins="0">
    <oddFooter>&amp;LE905722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55</vt:i4>
      </vt:variant>
    </vt:vector>
  </HeadingPairs>
  <TitlesOfParts>
    <vt:vector size="71" baseType="lpstr">
      <vt:lpstr>FrontPage</vt:lpstr>
      <vt:lpstr>General info</vt:lpstr>
      <vt:lpstr>User Guide</vt:lpstr>
      <vt:lpstr>Statistics</vt:lpstr>
      <vt:lpstr>Requirement Status</vt:lpstr>
      <vt:lpstr>Req List Without Satisfies</vt:lpstr>
      <vt:lpstr>BS_7</vt:lpstr>
      <vt:lpstr>BSM_PS_RBTM_1</vt:lpstr>
      <vt:lpstr>BSM_SC_RBTM_2</vt:lpstr>
      <vt:lpstr>CAD_8</vt:lpstr>
      <vt:lpstr>CompReqSpec_1</vt:lpstr>
      <vt:lpstr>EE_3</vt:lpstr>
      <vt:lpstr>EMC_2</vt:lpstr>
      <vt:lpstr>SW_6</vt:lpstr>
      <vt:lpstr>Fl_10</vt:lpstr>
      <vt:lpstr>Lifetime_1</vt:lpstr>
      <vt:lpstr>CoveredByLowReq</vt:lpstr>
      <vt:lpstr>CoveredReq</vt:lpstr>
      <vt:lpstr>DesiredDiscipline</vt:lpstr>
      <vt:lpstr>Discipline</vt:lpstr>
      <vt:lpstr>FileName</vt:lpstr>
      <vt:lpstr>FunctReq</vt:lpstr>
      <vt:lpstr>ImplementedReq</vt:lpstr>
      <vt:lpstr>MXActual_state_Released</vt:lpstr>
      <vt:lpstr>MXAuthority</vt:lpstr>
      <vt:lpstr>MXCurrent.Localized</vt:lpstr>
      <vt:lpstr>MXName</vt:lpstr>
      <vt:lpstr>MXRevision</vt:lpstr>
      <vt:lpstr>MXTitle</vt:lpstr>
      <vt:lpstr>MXVersion</vt:lpstr>
      <vt:lpstr>NOKFunctReq</vt:lpstr>
      <vt:lpstr>NOKReq</vt:lpstr>
      <vt:lpstr>NonFunctReq</vt:lpstr>
      <vt:lpstr>OKFunctReq</vt:lpstr>
      <vt:lpstr>OKReq</vt:lpstr>
      <vt:lpstr>PartialOKFunctReq</vt:lpstr>
      <vt:lpstr>PartialOKReq</vt:lpstr>
      <vt:lpstr>PLMDocAuthor</vt:lpstr>
      <vt:lpstr>'Requirement Status'!Print_Area</vt:lpstr>
      <vt:lpstr>Statistics!Print_Area</vt:lpstr>
      <vt:lpstr>'User Guide'!Print_Area</vt:lpstr>
      <vt:lpstr>'General info'!Print_Titles</vt:lpstr>
      <vt:lpstr>'Requirement Status'!ReviewTable_LastLine</vt:lpstr>
      <vt:lpstr>BSM_PS_RBTM_1!START_REPORT</vt:lpstr>
      <vt:lpstr>BSM_SC_RBTM_2!START_REPORT</vt:lpstr>
      <vt:lpstr>CAD_8!START_REPORT</vt:lpstr>
      <vt:lpstr>CompReqSpec_1!START_REPORT</vt:lpstr>
      <vt:lpstr>EE_3!START_REPORT</vt:lpstr>
      <vt:lpstr>EMC_2!START_REPORT</vt:lpstr>
      <vt:lpstr>Fl_10!START_REPORT</vt:lpstr>
      <vt:lpstr>Lifetime_1!START_REPORT</vt:lpstr>
      <vt:lpstr>SW_6!START_REPORT</vt:lpstr>
      <vt:lpstr>START_REPORT</vt:lpstr>
      <vt:lpstr>SumForStatistics</vt:lpstr>
      <vt:lpstr>SWVersion</vt:lpstr>
      <vt:lpstr>TemplateRef</vt:lpstr>
      <vt:lpstr>TestedReq</vt:lpstr>
      <vt:lpstr>TitleCoveredByLowReqs</vt:lpstr>
      <vt:lpstr>TitleCoveredByTests</vt:lpstr>
      <vt:lpstr>TitleCumulatedNOK</vt:lpstr>
      <vt:lpstr>TitleCumulatedOK</vt:lpstr>
      <vt:lpstr>TitleCumulatedPartiallyOK</vt:lpstr>
      <vt:lpstr>TitleCumulatedTested</vt:lpstr>
      <vt:lpstr>TitleFnctCumulatedNOK</vt:lpstr>
      <vt:lpstr>TitleFnctCumulatedOK</vt:lpstr>
      <vt:lpstr>TitleFnctCumulatedPartiallyOK</vt:lpstr>
      <vt:lpstr>TitleImplemented</vt:lpstr>
      <vt:lpstr>'Requirement Status'!TitleModuleName</vt:lpstr>
      <vt:lpstr>TitleModuleName</vt:lpstr>
      <vt:lpstr>TitleReqNumber</vt:lpstr>
      <vt:lpstr>TitleTested</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Cyril Jouhanneau</dc:creator>
  <cp:lastModifiedBy>Lucian Ardeleanu</cp:lastModifiedBy>
  <cp:lastPrinted>2022-02-28T14:03:29Z</cp:lastPrinted>
  <dcterms:created xsi:type="dcterms:W3CDTF">2008-08-11T11:06:44Z</dcterms:created>
  <dcterms:modified xsi:type="dcterms:W3CDTF">2024-02-08T00:37:07Z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Released" linkTarget="MXActual_state_Released">
    <vt:lpwstr>TBD</vt:lpwstr>
  </property>
  <property fmtid="{D5CDD505-2E9C-101B-9397-08002B2CF9AE}" pid="6" name="MXActual_state_Superceded">
    <vt:lpwstr>N/A</vt:lpwstr>
  </property>
  <property fmtid="{D5CDD505-2E9C-101B-9397-08002B2CF9AE}" pid="7" name="MXalvApplicationVersion">
    <vt:lpwstr/>
  </property>
  <property fmtid="{D5CDD505-2E9C-101B-9397-08002B2CF9AE}" pid="8" name="MXalvChangeDescription">
    <vt:lpwstr>Document created</vt:lpwstr>
  </property>
  <property fmtid="{D5CDD505-2E9C-101B-9397-08002B2CF9AE}" pid="9" name="MXAuthority" linkTarget="MXAuthority">
    <vt:lpwstr>Process and method</vt:lpwstr>
  </property>
  <property fmtid="{D5CDD505-2E9C-101B-9397-08002B2CF9AE}" pid="10" name="MXAuthority_BusinessUnit">
    <vt:lpwstr/>
  </property>
  <property fmtid="{D5CDD505-2E9C-101B-9397-08002B2CF9AE}" pid="11" name="MXAuthority_Description">
    <vt:lpwstr>Process documents etc</vt:lpwstr>
  </property>
  <property fmtid="{D5CDD505-2E9C-101B-9397-08002B2CF9AE}" pid="12" name="MXAuthority_Owner">
    <vt:lpwstr>Marcus Klomark</vt:lpwstr>
  </property>
  <property fmtid="{D5CDD505-2E9C-101B-9397-08002B2CF9AE}" pid="13" name="MXAuthority_Program">
    <vt:lpwstr/>
  </property>
  <property fmtid="{D5CDD505-2E9C-101B-9397-08002B2CF9AE}" pid="14" name="MXCheckin Date">
    <vt:lpwstr>12/22/2010 8:58:03 AM</vt:lpwstr>
  </property>
  <property fmtid="{D5CDD505-2E9C-101B-9397-08002B2CF9AE}" pid="15" name="MXCheckin Reason">
    <vt:lpwstr>Revised by Johannes Kask</vt:lpwstr>
  </property>
  <property fmtid="{D5CDD505-2E9C-101B-9397-08002B2CF9AE}" pid="16" name="MXCheckin User" linkTarget="PLMDocAuthor">
    <vt:lpwstr>TBD</vt:lpwstr>
  </property>
  <property fmtid="{D5CDD505-2E9C-101B-9397-08002B2CF9AE}" pid="17" name="MXCurrent">
    <vt:lpwstr>Preliminary</vt:lpwstr>
  </property>
  <property fmtid="{D5CDD505-2E9C-101B-9397-08002B2CF9AE}" pid="18" name="MXCurrent.Localized" linkTarget="MXCurrent.Localized">
    <vt:lpwstr>Draft</vt:lpwstr>
  </property>
  <property fmtid="{D5CDD505-2E9C-101B-9397-08002B2CF9AE}" pid="19" name="MXDescription">
    <vt:lpwstr/>
  </property>
  <property fmtid="{D5CDD505-2E9C-101B-9397-08002B2CF9AE}" pid="20" name="MXDesignated User">
    <vt:lpwstr>Unassigned</vt:lpwstr>
  </property>
  <property fmtid="{D5CDD505-2E9C-101B-9397-08002B2CF9AE}" pid="21" name="MXEmail">
    <vt:lpwstr>johannes.kask@autoliv.com</vt:lpwstr>
  </property>
  <property fmtid="{D5CDD505-2E9C-101B-9397-08002B2CF9AE}" pid="22" name="MXFirstName">
    <vt:lpwstr>Johannes</vt:lpwstr>
  </property>
  <property fmtid="{D5CDD505-2E9C-101B-9397-08002B2CF9AE}" pid="23" name="MXIs Version Object">
    <vt:lpwstr>False</vt:lpwstr>
  </property>
  <property fmtid="{D5CDD505-2E9C-101B-9397-08002B2CF9AE}" pid="24" name="MXLanguage">
    <vt:lpwstr>English</vt:lpwstr>
  </property>
  <property fmtid="{D5CDD505-2E9C-101B-9397-08002B2CF9AE}" pid="25" name="MXLastName">
    <vt:lpwstr>Kask</vt:lpwstr>
  </property>
  <property fmtid="{D5CDD505-2E9C-101B-9397-08002B2CF9AE}" pid="26" name="MXLatestVersion">
    <vt:lpwstr>3</vt:lpwstr>
  </property>
  <property fmtid="{D5CDD505-2E9C-101B-9397-08002B2CF9AE}" pid="27" name="MXMiddleName">
    <vt:lpwstr/>
  </property>
  <property fmtid="{D5CDD505-2E9C-101B-9397-08002B2CF9AE}" pid="28" name="MXMove Files To Version">
    <vt:lpwstr>False</vt:lpwstr>
  </property>
  <property fmtid="{D5CDD505-2E9C-101B-9397-08002B2CF9AE}" pid="29" name="MXName" linkTarget="MXName">
    <vt:lpwstr>TBD</vt:lpwstr>
  </property>
  <property fmtid="{D5CDD505-2E9C-101B-9397-08002B2CF9AE}" pid="30" name="MXOriginator">
    <vt:lpwstr>Mats Sundin</vt:lpwstr>
  </property>
  <property fmtid="{D5CDD505-2E9C-101B-9397-08002B2CF9AE}" pid="31" name="MXPolicy" linkTarget="MXPolicy">
    <vt:lpwstr>#REF!</vt:lpwstr>
  </property>
  <property fmtid="{D5CDD505-2E9C-101B-9397-08002B2CF9AE}" pid="32" name="MXPolicy.Localized">
    <vt:lpwstr>NoReview Document</vt:lpwstr>
  </property>
  <property fmtid="{D5CDD505-2E9C-101B-9397-08002B2CF9AE}" pid="33" name="MXRevision" linkTarget="MXRevision">
    <vt:lpwstr>TBD</vt:lpwstr>
  </property>
  <property fmtid="{D5CDD505-2E9C-101B-9397-08002B2CF9AE}" pid="34" name="MXRoute_In-Work_date">
    <vt:lpwstr/>
  </property>
  <property fmtid="{D5CDD505-2E9C-101B-9397-08002B2CF9AE}" pid="35" name="MXRoute_In-Work_name">
    <vt:lpwstr/>
  </property>
  <property fmtid="{D5CDD505-2E9C-101B-9397-08002B2CF9AE}" pid="36" name="MXRoute_Released_date">
    <vt:lpwstr/>
  </property>
  <property fmtid="{D5CDD505-2E9C-101B-9397-08002B2CF9AE}" pid="37" name="MXRoute_Released_name">
    <vt:lpwstr/>
  </property>
  <property fmtid="{D5CDD505-2E9C-101B-9397-08002B2CF9AE}" pid="38" name="MXRoute_Superseded_date">
    <vt:lpwstr/>
  </property>
  <property fmtid="{D5CDD505-2E9C-101B-9397-08002B2CF9AE}" pid="39" name="MXRoute_Superseded_name">
    <vt:lpwstr/>
  </property>
  <property fmtid="{D5CDD505-2E9C-101B-9397-08002B2CF9AE}" pid="40" name="MXSignatures_state_Preliminary">
    <vt:lpwstr/>
  </property>
  <property fmtid="{D5CDD505-2E9C-101B-9397-08002B2CF9AE}" pid="41" name="MXSignatures_state_Released">
    <vt:lpwstr/>
  </property>
  <property fmtid="{D5CDD505-2E9C-101B-9397-08002B2CF9AE}" pid="42" name="MXSignatures_state_Superceded">
    <vt:lpwstr/>
  </property>
  <property fmtid="{D5CDD505-2E9C-101B-9397-08002B2CF9AE}" pid="43" name="MXSuspend Versioning">
    <vt:lpwstr>False</vt:lpwstr>
  </property>
  <property fmtid="{D5CDD505-2E9C-101B-9397-08002B2CF9AE}" pid="44" name="MXTitle" linkTarget="MXTitle">
    <vt:lpwstr>SW00TEM007 Generic Excel Template</vt:lpwstr>
  </property>
  <property fmtid="{D5CDD505-2E9C-101B-9397-08002B2CF9AE}" pid="45" name="MXType">
    <vt:lpwstr>alvProjectManagement</vt:lpwstr>
  </property>
  <property fmtid="{D5CDD505-2E9C-101B-9397-08002B2CF9AE}" pid="46" name="MXType.Localized" linkTarget="MXType.Localized">
    <vt:lpwstr>#REF!</vt:lpwstr>
  </property>
  <property fmtid="{D5CDD505-2E9C-101B-9397-08002B2CF9AE}" pid="47" name="MXUser">
    <vt:lpwstr>Johannes Kask</vt:lpwstr>
  </property>
  <property fmtid="{D5CDD505-2E9C-101B-9397-08002B2CF9AE}" pid="48" name="MXVersion" linkTarget="MXVersion">
    <vt:lpwstr>TBD</vt:lpwstr>
  </property>
  <property fmtid="{D5CDD505-2E9C-101B-9397-08002B2CF9AE}" pid="49" name="WorkbookGuid">
    <vt:lpwstr>6c6a6826-8cce-48f4-a2b6-5472b6769733</vt:lpwstr>
  </property>
</Properties>
</file>