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RBE\01_MKS\AUDI_TR6\Phase_01\View_Test\Tools\Reqtify\Workspace\_Full\doc_templates\"/>
    </mc:Choice>
  </mc:AlternateContent>
  <bookViews>
    <workbookView xWindow="0" yWindow="-120" windowWidth="23040" windowHeight="8880" tabRatio="787" activeTab="3"/>
  </bookViews>
  <sheets>
    <sheet name="FrontPage" sheetId="4" r:id="rId1"/>
    <sheet name="General info" sheetId="11" r:id="rId2"/>
    <sheet name="User Guide" sheetId="14" r:id="rId3"/>
    <sheet name="Statistics" sheetId="15" r:id="rId4"/>
    <sheet name="Requirement Status" sheetId="21" r:id="rId5"/>
    <sheet name="Req List Without Satisfie(s-d)" sheetId="34" r:id="rId6"/>
    <sheet name="Feuil1" sheetId="48" r:id="rId7"/>
    <sheet name="Styles" sheetId="19" r:id="rId8"/>
  </sheets>
  <externalReferences>
    <externalReference r:id="rId9"/>
    <externalReference r:id="rId10"/>
  </externalReferences>
  <definedNames>
    <definedName name="_xlnm._FilterDatabase" localSheetId="6" hidden="1">Feuil1!$A$2:$O$2</definedName>
    <definedName name="_xlnm._FilterDatabase" localSheetId="4" hidden="1">'Requirement Status'!$A$3:$E$3</definedName>
    <definedName name="_xlnm._FilterDatabase" localSheetId="3" hidden="1">Statistics!$A$4:$N$4</definedName>
    <definedName name="CoveredByLowReq">Statistics!$E$7</definedName>
    <definedName name="CoveredReq">Statistics!$F$7</definedName>
    <definedName name="DesiredDiscipline">Statistics!$B$1</definedName>
    <definedName name="Discipline">Statistics!$B$69</definedName>
    <definedName name="FileName">FrontPage!$AD$3</definedName>
    <definedName name="FunctReq">Statistics!$B$13</definedName>
    <definedName name="ImplementedReq">Statistics!$C$7</definedName>
    <definedName name="ListOfDisciplines">Statistics!$B$71:$Q$71</definedName>
    <definedName name="MXActual_state_Released">FrontPage!$AB$5</definedName>
    <definedName name="MXAuthority">FrontPage!$A$5</definedName>
    <definedName name="MXCurrent.Localized">FrontPage!$W$5</definedName>
    <definedName name="MXName">FrontPage!$A$7</definedName>
    <definedName name="MXRevision">FrontPage!$AB$7</definedName>
    <definedName name="MXTitle">FrontPage!$E$7</definedName>
    <definedName name="MXVersion">FrontPage!$AE$7</definedName>
    <definedName name="NOKFunctReq">Statistics!$N$7</definedName>
    <definedName name="NOKReq">Statistics!$K$7</definedName>
    <definedName name="NonFunctReq">Statistics!$B$14</definedName>
    <definedName name="OKFunctReq">Statistics!$L$7</definedName>
    <definedName name="OKReq">Statistics!$I$7</definedName>
    <definedName name="PartialOKFunctReq">Statistics!$M$7</definedName>
    <definedName name="PartialOKReq">Statistics!$J$7</definedName>
    <definedName name="PLMDocAuthor">FrontPage!$F$10</definedName>
    <definedName name="_xlnm.Print_Area" localSheetId="4">'Requirement Status'!$A$1:$M$4</definedName>
    <definedName name="_xlnm.Print_Area" localSheetId="2">'User Guide'!$A$1:$Q$15</definedName>
    <definedName name="_xlnm.Print_Titles" localSheetId="1">'General info'!$1:$10</definedName>
    <definedName name="ReviewTable_LastLine" localSheetId="4">'Requirement Status'!$7:$7</definedName>
    <definedName name="START_REPORT">Feuil1!$A$1</definedName>
    <definedName name="SumForStatistics">Statistics!$A$7</definedName>
    <definedName name="SWVersion">FrontPage!$O$24</definedName>
    <definedName name="TemplateRef">FrontPage!$W$7</definedName>
    <definedName name="TestedReq">Statistics!$G$7</definedName>
    <definedName name="TitleCoveredByLowReqs">Statistics!$E$4</definedName>
    <definedName name="TitleCoveredByTests">Statistics!$F$4</definedName>
    <definedName name="TitleCumulatedNOK">Statistics!$K$4</definedName>
    <definedName name="TitleCumulatedOK">Statistics!$I$4</definedName>
    <definedName name="TitleCumulatedPartiallyOK">Statistics!$J$4</definedName>
    <definedName name="TitleCumulatedTested">Statistics!$H$4</definedName>
    <definedName name="TitleFnctCumulatedNOK">Statistics!$N$4</definedName>
    <definedName name="TitleFnctCumulatedOK">Statistics!$L$4</definedName>
    <definedName name="TitleFnctCumulatedPartiallyOK">Statistics!$M$4</definedName>
    <definedName name="TitleImplemented">Statistics!$C$4</definedName>
    <definedName name="TitleImplementedBy">Statistics!$O$4</definedName>
    <definedName name="TitleListOfDisciplines">Statistics!$A$71</definedName>
    <definedName name="TitleModuleName" localSheetId="4">'Requirement Status'!$A$3</definedName>
    <definedName name="TitleModuleName">Statistics!$A$4</definedName>
    <definedName name="TitleReqNumber">Statistics!$B$4</definedName>
    <definedName name="TitleSatisfyingUpReq">Statistics!$D$4</definedName>
    <definedName name="TitleTested">Statistics!$G$4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3" i="15" l="1"/>
  <c r="B118" i="15" l="1"/>
  <c r="B93" i="15"/>
  <c r="B52" i="15"/>
  <c r="B92" i="15"/>
  <c r="B51" i="15"/>
  <c r="B117" i="15" l="1"/>
  <c r="B116" i="15"/>
  <c r="B32" i="15"/>
  <c r="B14" i="15"/>
  <c r="B13" i="15"/>
  <c r="O3" i="15" l="1"/>
  <c r="A5" i="4"/>
  <c r="E7" i="4"/>
  <c r="F10" i="4"/>
  <c r="AB7" i="4"/>
  <c r="AB5" i="4"/>
  <c r="AE7" i="4"/>
  <c r="A7" i="4"/>
  <c r="W5" i="4"/>
  <c r="W7" i="4"/>
  <c r="C3" i="15" l="1"/>
  <c r="A1" i="21" l="1"/>
  <c r="G1" i="21"/>
  <c r="B3" i="21"/>
  <c r="B4" i="21"/>
  <c r="C4" i="21"/>
  <c r="D4" i="21"/>
  <c r="E4" i="21"/>
  <c r="F4" i="21"/>
  <c r="G4" i="21"/>
  <c r="O1" i="15"/>
  <c r="L3" i="15"/>
  <c r="AD3" i="4"/>
  <c r="AD3" i="11" s="1"/>
  <c r="A23" i="4"/>
  <c r="H4" i="21" l="1"/>
</calcChain>
</file>

<file path=xl/comments1.xml><?xml version="1.0" encoding="utf-8"?>
<comments xmlns="http://schemas.openxmlformats.org/spreadsheetml/2006/main">
  <authors>
    <author>Cyril Jouhanneau</author>
  </authors>
  <commentList>
    <comment ref="W7" authorId="0" shapeId="0">
      <text>
        <r>
          <rPr>
            <sz val="9"/>
            <color indexed="81"/>
            <rFont val="Tahoma"/>
            <family val="2"/>
          </rPr>
          <t>Warning : this template is a draft, not release because it comes from Sharepoint
Please take the official document from the Project Master Document (PMD) : E4099778 in PLM</t>
        </r>
      </text>
    </comment>
  </commentList>
</comments>
</file>

<file path=xl/comments2.xml><?xml version="1.0" encoding="utf-8"?>
<comments xmlns="http://schemas.openxmlformats.org/spreadsheetml/2006/main">
  <authors>
    <author>Johannes Kask</author>
  </authors>
  <commentList>
    <comment ref="B15" authorId="0" shapeId="0">
      <text>
        <r>
          <rPr>
            <sz val="8"/>
            <color indexed="81"/>
            <rFont val="Tahoma"/>
            <family val="2"/>
          </rPr>
          <t>Insert name of tabs included in the document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 shapeId="0">
      <text>
        <r>
          <rPr>
            <sz val="8"/>
            <color indexed="81"/>
            <rFont val="Tahoma"/>
            <family val="2"/>
          </rPr>
          <t>Describe each Tab.</t>
        </r>
      </text>
    </comment>
    <comment ref="B26" authorId="0" shapeId="0">
      <text>
        <r>
          <rPr>
            <sz val="8"/>
            <color indexed="81"/>
            <rFont val="Tahoma"/>
            <family val="2"/>
          </rPr>
          <t>The revision number of the document 000, 001, 002 etc. No version number to be handled in the table.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E26" authorId="0" shapeId="0">
      <text>
        <r>
          <rPr>
            <sz val="8"/>
            <color indexed="81"/>
            <rFont val="Tahoma"/>
            <family val="2"/>
          </rPr>
          <t>Date when the Revision is released</t>
        </r>
      </text>
    </comment>
    <comment ref="I26" authorId="0" shapeId="0">
      <text>
        <r>
          <rPr>
            <sz val="8"/>
            <color indexed="81"/>
            <rFont val="Tahoma"/>
            <family val="2"/>
          </rPr>
          <t>Author of the document. Authors if several.</t>
        </r>
      </text>
    </comment>
    <comment ref="R26" authorId="0" shapeId="0">
      <text>
        <r>
          <rPr>
            <sz val="8"/>
            <color indexed="81"/>
            <rFont val="Tahoma"/>
            <family val="2"/>
          </rPr>
          <t>Description or comment on the version. E.g. updated after meeting etc.</t>
        </r>
      </text>
    </comment>
    <comment ref="B38" authorId="0" shapeId="0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38" authorId="0" shapeId="0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38" authorId="0" shapeId="0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  <comment ref="B44" authorId="0" shapeId="0">
      <text>
        <r>
          <rPr>
            <sz val="8"/>
            <color indexed="81"/>
            <rFont val="Tahoma"/>
            <family val="2"/>
          </rPr>
          <t>ID of possible reference documents. Any ID can be used, suggestion is [Int1], [Int2] etc. for internal references and [Ext1], [Ext2] etc. for external references</t>
        </r>
      </text>
    </comment>
    <comment ref="E44" authorId="0" shapeId="0">
      <text>
        <r>
          <rPr>
            <sz val="8"/>
            <color indexed="81"/>
            <rFont val="Tahoma"/>
            <family val="2"/>
          </rPr>
          <t>Title of reference documents.</t>
        </r>
      </text>
    </comment>
    <comment ref="Y44" authorId="0" shapeId="0">
      <text>
        <r>
          <rPr>
            <sz val="8"/>
            <color indexed="81"/>
            <rFont val="Tahoma"/>
            <family val="2"/>
          </rPr>
          <t>Reference number, e.g. E123456 and revision of the reference.</t>
        </r>
      </text>
    </comment>
  </commentList>
</comments>
</file>

<file path=xl/comments3.xml><?xml version="1.0" encoding="utf-8"?>
<comments xmlns="http://schemas.openxmlformats.org/spreadsheetml/2006/main">
  <authors>
    <author>Cyril Jouhanneau</author>
  </authors>
  <commentList>
    <comment ref="B1" authorId="0" shapeId="0">
      <text>
        <r>
          <rPr>
            <b/>
            <sz val="9"/>
            <color indexed="81"/>
            <rFont val="Tahoma"/>
            <family val="2"/>
          </rPr>
          <t>If the discipline is not displayed, add a new discipline in the list of discipline (ListOfDisciplines cells name)</t>
        </r>
      </text>
    </comment>
    <comment ref="B4" authorId="0" shapeId="0">
      <text>
        <r>
          <rPr>
            <sz val="9"/>
            <color indexed="81"/>
            <rFont val="Tahoma"/>
            <family val="2"/>
          </rPr>
          <t>number of requirements
corresponding to the number of Requirement Id listed in the first column of the module sheet different from "Not Applicable") / number of Functional Requirements only</t>
        </r>
      </text>
    </comment>
    <comment ref="C4" authorId="0" shapeId="0">
      <text>
        <r>
          <rPr>
            <sz val="9"/>
            <color indexed="81"/>
            <rFont val="Tahoma"/>
            <family val="2"/>
          </rPr>
          <t>number and % of Implemented Requirements (information provided by DOORS attribute)</t>
        </r>
      </text>
    </comment>
    <comment ref="D4" authorId="0" shapeId="0">
      <text>
        <r>
          <rPr>
            <sz val="9"/>
            <color indexed="81"/>
            <rFont val="Tahoma"/>
            <family val="2"/>
          </rPr>
          <t>number and % of requirements satisfying  an upper level requirement (upstream coverage requirement)</t>
        </r>
      </text>
    </comment>
    <comment ref="E4" authorId="0" shapeId="0">
      <text>
        <r>
          <rPr>
            <sz val="9"/>
            <color indexed="81"/>
            <rFont val="Tahoma"/>
            <family val="2"/>
          </rPr>
          <t>number and % of requirements satisfying  an upper level requirement (upstream coverage requirement)</t>
        </r>
      </text>
    </comment>
    <comment ref="F4" authorId="0" shapeId="0">
      <text>
        <r>
          <rPr>
            <sz val="9"/>
            <color indexed="81"/>
            <rFont val="Tahoma"/>
            <family val="2"/>
          </rPr>
          <t>number and % of  Requirements covered by a test scenario.</t>
        </r>
      </text>
    </comment>
    <comment ref="G4" authorId="0" shapeId="0">
      <text>
        <r>
          <rPr>
            <sz val="9"/>
            <color indexed="81"/>
            <rFont val="Tahoma"/>
            <family val="2"/>
          </rPr>
          <t>number and % of  Requirements  tested (OK, NOK or partially OK) only for this SyRM on this version</t>
        </r>
      </text>
    </comment>
    <comment ref="H4" authorId="0" shapeId="0">
      <text>
        <r>
          <rPr>
            <sz val="9"/>
            <color indexed="81"/>
            <rFont val="Tahoma"/>
            <family val="2"/>
          </rPr>
          <t>number and % of Requirements  tested on this version plus other previous versions (thanks to "import SyRM" button)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number and % of Requirements which have all its tests performed and successfully "OK" on this version plus other previous versions (thanks to "import PRM" button)</t>
        </r>
      </text>
    </comment>
    <comment ref="J4" authorId="0" shapeId="0">
      <text>
        <r>
          <rPr>
            <sz val="9"/>
            <color indexed="81"/>
            <rFont val="Tahoma"/>
            <family val="2"/>
          </rPr>
          <t xml:space="preserve">number and % of Requirements which have:
- no "NOK" test and 
- not all its tests "OK" (req not fully tested)
on this version plus the other previous versions (thanks to "import SyRM" button)
</t>
        </r>
      </text>
    </comment>
    <comment ref="K4" authorId="0" shapeId="0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SyRM" button)</t>
        </r>
      </text>
    </comment>
    <comment ref="L4" authorId="0" shapeId="0">
      <text>
        <r>
          <rPr>
            <sz val="9"/>
            <color indexed="81"/>
            <rFont val="Tahoma"/>
            <family val="2"/>
          </rPr>
          <t>number and % of Requirements which have all its test results "OK" on this version plus other previous versions (thanks to "import SyRM" button)</t>
        </r>
      </text>
    </comment>
    <comment ref="M4" authorId="0" shapeId="0">
      <text>
        <r>
          <rPr>
            <sz val="9"/>
            <color indexed="81"/>
            <rFont val="Tahoma"/>
            <family val="2"/>
          </rPr>
          <t>number and % of Requirements which have:
- no "NOK" test and
- not all its tests "OK" (req not fully tested)
on this version plus the other previous versions (thanks to "import SyRM" button)</t>
        </r>
      </text>
    </comment>
    <comment ref="N4" authorId="0" shapeId="0">
      <text>
        <r>
          <rPr>
            <sz val="9"/>
            <color indexed="81"/>
            <rFont val="Tahoma"/>
            <family val="2"/>
          </rPr>
          <t>number and % of Requirements which have one of its test results with "NOK" on this version plus other previous versions (thanks to "import SyRM" button)</t>
        </r>
      </text>
    </comment>
    <comment ref="O4" authorId="0" shapeId="0">
      <text>
        <r>
          <rPr>
            <sz val="9"/>
            <color indexed="81"/>
            <rFont val="Tahoma"/>
            <family val="2"/>
          </rPr>
          <t>number and % of Requirements Implemented By Architecture, Design Element</t>
        </r>
      </text>
    </comment>
    <comment ref="O71" authorId="0" shapeId="0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  <comment ref="A72" authorId="0" shapeId="0">
      <text>
        <r>
          <rPr>
            <b/>
            <sz val="9"/>
            <color indexed="81"/>
            <rFont val="Tahoma"/>
            <family val="2"/>
          </rPr>
          <t>Warning this cell is used by the VBA macro</t>
        </r>
      </text>
    </comment>
    <comment ref="A73" authorId="0" shapeId="0">
      <text>
        <r>
          <rPr>
            <b/>
            <sz val="9"/>
            <color indexed="81"/>
            <rFont val="Tahoma"/>
            <family val="2"/>
          </rPr>
          <t>Warning : this cell is used by VBA macro</t>
        </r>
      </text>
    </comment>
    <comment ref="A85" authorId="0" shapeId="0">
      <text>
        <r>
          <rPr>
            <b/>
            <sz val="9"/>
            <color indexed="81"/>
            <rFont val="Tahoma"/>
            <family val="2"/>
          </rPr>
          <t>This black cell is used to define the validation of desired discipline</t>
        </r>
      </text>
    </comment>
  </commentList>
</comments>
</file>

<file path=xl/sharedStrings.xml><?xml version="1.0" encoding="utf-8"?>
<sst xmlns="http://schemas.openxmlformats.org/spreadsheetml/2006/main" count="213" uniqueCount="186">
  <si>
    <t>Revision</t>
  </si>
  <si>
    <t>Project Number &amp; Name</t>
  </si>
  <si>
    <t>Document state</t>
  </si>
  <si>
    <t>Document id</t>
  </si>
  <si>
    <t>Document title</t>
  </si>
  <si>
    <t>Version</t>
  </si>
  <si>
    <t>Description/comment</t>
  </si>
  <si>
    <t>Tab</t>
  </si>
  <si>
    <t>ID</t>
  </si>
  <si>
    <t>Title</t>
  </si>
  <si>
    <t>Reference &amp; revision</t>
  </si>
  <si>
    <t>Date</t>
  </si>
  <si>
    <t>Author(s)</t>
  </si>
  <si>
    <t>Description/Comment</t>
  </si>
  <si>
    <t>Title: Name</t>
  </si>
  <si>
    <t>Template</t>
  </si>
  <si>
    <t>1. General Information</t>
  </si>
  <si>
    <t>1.1. Table of content</t>
  </si>
  <si>
    <t>1.3. Purpose and Scope</t>
  </si>
  <si>
    <t>1.4. References</t>
  </si>
  <si>
    <t>Date of release</t>
  </si>
  <si>
    <t>Author</t>
  </si>
  <si>
    <t>Review</t>
  </si>
  <si>
    <t>Approval</t>
  </si>
  <si>
    <t>Distribution</t>
  </si>
  <si>
    <t>Executive summary</t>
  </si>
  <si>
    <t>* Template history is found in the CM tool used for templates</t>
  </si>
  <si>
    <t>1.2. Revision History *</t>
  </si>
  <si>
    <t>1.4.1. Referenced documents</t>
  </si>
  <si>
    <t>1.4.2. Applicable documents</t>
  </si>
  <si>
    <t>Terminology</t>
  </si>
  <si>
    <t>1.5. Terminology and definitions</t>
  </si>
  <si>
    <t>2. Guide (help)</t>
  </si>
  <si>
    <t>Title:</t>
  </si>
  <si>
    <t>FrontPage</t>
  </si>
  <si>
    <t>General info</t>
  </si>
  <si>
    <t>This sheet : contains history, reference, purpose, scope, definition and guide</t>
  </si>
  <si>
    <t>The front page contains information about the document.
Note : the blue cells are automatically filled by PLM and/or formula</t>
  </si>
  <si>
    <t>1. HOW to use "Statistics" sheet...</t>
  </si>
  <si>
    <t>Status</t>
  </si>
  <si>
    <t>Type</t>
  </si>
  <si>
    <t>Implemented</t>
  </si>
  <si>
    <t>Discipline</t>
  </si>
  <si>
    <t>Test Id</t>
  </si>
  <si>
    <t>Result</t>
  </si>
  <si>
    <t>Justification</t>
  </si>
  <si>
    <t>Issue</t>
  </si>
  <si>
    <t>Comment</t>
  </si>
  <si>
    <t xml:space="preserve">Its associated Test number (extracted from  Integration/Verification tests) </t>
  </si>
  <si>
    <t>if a test result is "failed" (NOK) or not done then a justification must be given.</t>
  </si>
  <si>
    <t xml:space="preserve">if a test result is "failed" (NOK) or not done then an issue is needed </t>
  </si>
  <si>
    <t xml:space="preserve">if OK is extracted, the cell is green, the test is successfull. </t>
  </si>
  <si>
    <t xml:space="preserve"> </t>
  </si>
  <si>
    <t xml:space="preserve">if NOK is extracted, the cell is red, the test is failed. </t>
  </si>
  <si>
    <t xml:space="preserve">NA (Not Applicale) is extracted, the cell is gray, the test is counted with OK results for statistic . </t>
  </si>
  <si>
    <t>Module Name</t>
  </si>
  <si>
    <t>This document has been generated by Reqtify</t>
  </si>
  <si>
    <t>%endheader</t>
  </si>
  <si>
    <t>title</t>
  </si>
  <si>
    <t>PAGE BREAK</t>
  </si>
  <si>
    <t>sect1</t>
  </si>
  <si>
    <t>sect2</t>
  </si>
  <si>
    <t>sect3</t>
  </si>
  <si>
    <t>sect4</t>
  </si>
  <si>
    <t>sect5</t>
  </si>
  <si>
    <t>sect6</t>
  </si>
  <si>
    <t>sect7</t>
  </si>
  <si>
    <t>sect8</t>
  </si>
  <si>
    <t>sect9</t>
  </si>
  <si>
    <t>entry</t>
  </si>
  <si>
    <t>tableTitle</t>
  </si>
  <si>
    <t>para</t>
  </si>
  <si>
    <t>OK style</t>
  </si>
  <si>
    <t>NOK style</t>
  </si>
  <si>
    <t>Inconsistent style</t>
  </si>
  <si>
    <t>Without format but centered</t>
  </si>
  <si>
    <t>Tested previously</t>
  </si>
  <si>
    <t>CA (caution) style</t>
  </si>
  <si>
    <t>NA (not applicale) style</t>
  </si>
  <si>
    <t>Total</t>
  </si>
  <si>
    <t>for</t>
  </si>
  <si>
    <t>User Guide</t>
  </si>
  <si>
    <t>Explanation about this document</t>
  </si>
  <si>
    <t>Statistics</t>
  </si>
  <si>
    <t>Styles</t>
  </si>
  <si>
    <t>Styles for this document</t>
  </si>
  <si>
    <t>Other sheets…</t>
  </si>
  <si>
    <t>Automatic generated sheets</t>
  </si>
  <si>
    <t>Requirement Status</t>
  </si>
  <si>
    <t>See User Guide sheet</t>
  </si>
  <si>
    <t>THIS SHEET IS AUTOMATICALLY CLEARED AND FILLED BY THE COMMAND BUTTON :</t>
  </si>
  <si>
    <t>Total (in number)</t>
  </si>
  <si>
    <t>Total (in %)</t>
  </si>
  <si>
    <t>Tested</t>
  </si>
  <si>
    <t>Tested (cumulated)</t>
  </si>
  <si>
    <t>Functional requirements</t>
  </si>
  <si>
    <t>Non-functional requirements</t>
  </si>
  <si>
    <t>Tested OK (cumulated)</t>
  </si>
  <si>
    <t>Tested NOK (cumulated)</t>
  </si>
  <si>
    <t>Tested partially OK (cumulated)</t>
  </si>
  <si>
    <t>All requirements (cumulated)</t>
  </si>
  <si>
    <t>Not implemented</t>
  </si>
  <si>
    <t>Init</t>
  </si>
  <si>
    <t>Current release</t>
  </si>
  <si>
    <t>Not covered by a test</t>
  </si>
  <si>
    <t>Computed discipline</t>
  </si>
  <si>
    <t>SW</t>
  </si>
  <si>
    <t>HW</t>
  </si>
  <si>
    <t>Product</t>
  </si>
  <si>
    <t>List of disciplines</t>
  </si>
  <si>
    <t>All</t>
  </si>
  <si>
    <t>empty</t>
  </si>
  <si>
    <t>&lt;= do not change this cell which is filled automatically by the VBA macro</t>
  </si>
  <si>
    <t>SYS</t>
  </si>
  <si>
    <t>Algo</t>
  </si>
  <si>
    <t>Calib</t>
  </si>
  <si>
    <t>Mecha</t>
  </si>
  <si>
    <t>Quality</t>
  </si>
  <si>
    <t>tbd</t>
  </si>
  <si>
    <t>Parameters</t>
  </si>
  <si>
    <t>Feuil1</t>
  </si>
  <si>
    <t xml:space="preserve"> 0  /   0</t>
  </si>
  <si>
    <t>Covered by a test</t>
  </si>
  <si>
    <t>% Ready (Applicable)</t>
  </si>
  <si>
    <t>The purpose of this document is to have a summary about system requirements</t>
  </si>
  <si>
    <t>Summary about requirements coverages</t>
  </si>
  <si>
    <t>Summary about requirements reviews</t>
  </si>
  <si>
    <t xml:space="preserve">1. After having required the System Requirement Matrix through Reqtify project and waiting few minutes, a SyRM is ready to be opened but sheets are not correctly named (Feuil1, Feuil2,…). </t>
  </si>
  <si>
    <r>
      <t>2. You must click on button "</t>
    </r>
    <r>
      <rPr>
        <b/>
        <sz val="10"/>
        <rFont val="Arial"/>
        <family val="2"/>
      </rPr>
      <t>Update Statistics</t>
    </r>
    <r>
      <rPr>
        <sz val="10"/>
        <rFont val="Arial"/>
        <family val="2"/>
      </rPr>
      <t xml:space="preserve">"… A progress bar appears… All statistics are updated and every sheet is updated with the System module name (extracted from DOORS). </t>
    </r>
  </si>
  <si>
    <r>
      <rPr>
        <u/>
        <sz val="10"/>
        <rFont val="Arial"/>
        <family val="2"/>
      </rPr>
      <t>Remarks</t>
    </r>
    <r>
      <rPr>
        <sz val="10"/>
        <rFont val="Arial"/>
        <family val="2"/>
      </rPr>
      <t xml:space="preserve">: In the "Statistics" sheet,
</t>
    </r>
    <r>
      <rPr>
        <sz val="10"/>
        <rFont val="Arial"/>
        <family val="2"/>
      </rPr>
      <t xml:space="preserve">- ReqF corresponds to Functional requirement when a distinction is made between non-functional and functional requirement.
 </t>
    </r>
  </si>
  <si>
    <r>
      <t>3. You may click on button "</t>
    </r>
    <r>
      <rPr>
        <b/>
        <sz val="10"/>
        <rFont val="Arial"/>
        <family val="2"/>
      </rPr>
      <t>Import SyRM</t>
    </r>
    <r>
      <rPr>
        <sz val="10"/>
        <rFont val="Arial"/>
        <family val="2"/>
      </rPr>
      <t>"… Give the name of a previous SyRM… A progress bar appears… 
If some tests are not performed again on this version for this SyRM but available on a previous version of SyRM, this SyRM will be filled with the results found for the previous version of SyRM with the mention "</t>
    </r>
    <r>
      <rPr>
        <i/>
        <sz val="10"/>
        <rFont val="Arial"/>
        <family val="2"/>
      </rPr>
      <t>OK</t>
    </r>
    <r>
      <rPr>
        <sz val="10"/>
        <rFont val="Arial"/>
        <family val="2"/>
      </rPr>
      <t>" or "</t>
    </r>
    <r>
      <rPr>
        <i/>
        <sz val="10"/>
        <rFont val="Arial"/>
        <family val="2"/>
      </rPr>
      <t>NOK</t>
    </r>
    <r>
      <rPr>
        <sz val="10"/>
        <rFont val="Arial"/>
        <family val="2"/>
      </rPr>
      <t>" on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".
To have the correct "</t>
    </r>
    <r>
      <rPr>
        <i/>
        <sz val="10"/>
        <rFont val="Arial"/>
        <family val="2"/>
      </rPr>
      <t>version number</t>
    </r>
    <r>
      <rPr>
        <sz val="10"/>
        <rFont val="Arial"/>
        <family val="2"/>
      </rPr>
      <t>", don't forget to correctly inform the "</t>
    </r>
    <r>
      <rPr>
        <i/>
        <sz val="10"/>
        <rFont val="Arial"/>
        <family val="2"/>
      </rPr>
      <t>version</t>
    </r>
    <r>
      <rPr>
        <sz val="10"/>
        <rFont val="Arial"/>
        <family val="2"/>
      </rPr>
      <t>" in the title given by the "</t>
    </r>
    <r>
      <rPr>
        <i/>
        <sz val="10"/>
        <rFont val="Arial"/>
        <family val="2"/>
      </rPr>
      <t>1st page</t>
    </r>
    <r>
      <rPr>
        <sz val="10"/>
        <rFont val="Arial"/>
        <family val="2"/>
      </rPr>
      <t>" sheet.</t>
    </r>
  </si>
  <si>
    <t>2. HOW System module sheet is filled...</t>
  </si>
  <si>
    <r>
      <t xml:space="preserve">All the data used to fill these columns ("System requirement ID" to "Design requirement") are extracted from </t>
    </r>
    <r>
      <rPr>
        <b/>
        <u/>
        <sz val="10"/>
        <rFont val="Arial"/>
        <family val="2"/>
      </rPr>
      <t>DOORS</t>
    </r>
    <r>
      <rPr>
        <b/>
        <sz val="10"/>
        <rFont val="Arial"/>
        <family val="2"/>
      </rPr>
      <t xml:space="preserve"> (one sheet per System module)</t>
    </r>
  </si>
  <si>
    <t>System (SYS/SubSYS) Requirement Id</t>
  </si>
  <si>
    <t>Requirement Id</t>
  </si>
  <si>
    <t>Its (SYS/SubSYS)  ID Number 
(automatically extracted from DOORS)</t>
  </si>
  <si>
    <t>Its associated System ID Number (automatically extracted from DOORS)</t>
  </si>
  <si>
    <t>Its "_ReqStatus" (automatically extracted from DOORS)</t>
  </si>
  <si>
    <t xml:space="preserve">if the System Requirement is not approved then the cell is red. </t>
  </si>
  <si>
    <t>Its  "_Type" (automatically extracted from DOORS)</t>
  </si>
  <si>
    <t>Extracted from  tests results (SW  Integration followup, SW verification report, DVPR,...).</t>
  </si>
  <si>
    <t>To be clarified or improved</t>
  </si>
  <si>
    <t>In Review by Design Team</t>
  </si>
  <si>
    <t>In Review by Test Team</t>
  </si>
  <si>
    <t>Approved</t>
  </si>
  <si>
    <t>The SyRM lists every System requirements, extracted from System and/or Sub-System modules (under DOORS), which are:
- not obsolete,
- targeted,
- identified as Requirement.</t>
  </si>
  <si>
    <t xml:space="preserve">if CA (Caution) is extracted, the cell is orange, the test must be analyzed to decide if it is OK or NOK.  </t>
  </si>
  <si>
    <t>CA or NS is counted as empty result</t>
  </si>
  <si>
    <t xml:space="preserve">if NS (Not Started) is extracted, the cell is orange, is-it normal? NA or empty would be better? </t>
  </si>
  <si>
    <t>For every "Requirement" of the System (SYS/SubSYS) module which is:
- targeted and
- not obsolete ( "_ReqStatus) and,
- defined as Functional or Non-Functional (_Type),
 write …</t>
  </si>
  <si>
    <r>
      <t xml:space="preserve"> X</t>
    </r>
    <r>
      <rPr>
        <sz val="8"/>
        <rFont val="Arial"/>
        <family val="2"/>
      </rPr>
      <t xml:space="preserve"> 
if  implemented in Product version via _Implemented or AEEC_IntoAccountOn_&lt;ProjectName&gt;</t>
    </r>
  </si>
  <si>
    <t xml:space="preserve">The SyRM lists every requirements, extracted from System modules (under DOORS), which are:
- not obsolete ( "_ReqStatus" not "Obsolete") and,
- targeted according to an attribute containing Target and, 
- requirement only or Non-Functional or Functional requirement or requirement (_Type)  </t>
  </si>
  <si>
    <t>Requirement Number / ReqF Only</t>
  </si>
  <si>
    <t>Satisfied by</t>
  </si>
  <si>
    <t>Its associated low level requirement ID Number (automatically extracted from DOORS thanks to Satisfies links)</t>
  </si>
  <si>
    <t>Name of discipline in charge of the implementation of the requirement  (automatically extracted from DOORS)</t>
  </si>
  <si>
    <t>Requirement Description</t>
  </si>
  <si>
    <t>Satisfied by Requirement Description</t>
  </si>
  <si>
    <t>Implemented By</t>
  </si>
  <si>
    <t>Description of the Requirement in Column 2</t>
  </si>
  <si>
    <t>Description of the Requirement in column 6 "Satisfied By"  (link "Satisfies" in DOORS)</t>
  </si>
  <si>
    <t>Corresponds to "Implements" arrows</t>
  </si>
  <si>
    <t>extracted from DOORS</t>
  </si>
  <si>
    <t>Satisfying Upper level requirement</t>
  </si>
  <si>
    <t>Generate List of Requirements Without Satisfie(s-d)</t>
  </si>
  <si>
    <t>How the "Req List Without Satisfie(s-d)" sheet is filled</t>
  </si>
  <si>
    <t>The requirement line (from every module sheet) have to be copied and pasted in "Req List Without Satisfie(s-d)":</t>
  </si>
  <si>
    <t>- if no "satisfying upper level" requirement is present,</t>
  </si>
  <si>
    <t>- if no "satisfied by" requirement is present.</t>
  </si>
  <si>
    <t>4. You may click on button "Generate List of Requirements Without "Satisfie(s-d)" Requirement"… It displays all requirements without link to an upper or lower level requirement in a new Sheet
The requirement line (from every module sheet) have to be copied and pasted in "Req List Without Satisfie(s-d)":
- if no "satisfying upper level" requirement is present,
- if no "satisfied by" requirement is present.</t>
  </si>
  <si>
    <t>Req List Without Satisfie(s-d)</t>
  </si>
  <si>
    <t>List of requirements not satisfying an upper level requirement and/or not satisfied by a low level requirement (depends on Satisfies link in DOORS)</t>
  </si>
  <si>
    <r>
      <t xml:space="preserve">See </t>
    </r>
    <r>
      <rPr>
        <sz val="8"/>
        <color rgb="FF7030A0"/>
        <rFont val="Arial"/>
        <family val="2"/>
      </rPr>
      <t>PCIM</t>
    </r>
    <r>
      <rPr>
        <sz val="8"/>
        <rFont val="Arial"/>
        <family val="2"/>
      </rPr>
      <t xml:space="preserve"> for the roles and </t>
    </r>
    <r>
      <rPr>
        <sz val="8"/>
        <color rgb="FF7030A0"/>
        <rFont val="Arial"/>
        <family val="2"/>
      </rPr>
      <t xml:space="preserve">Project Members List </t>
    </r>
    <r>
      <rPr>
        <sz val="8"/>
        <rFont val="Arial"/>
        <family val="2"/>
      </rPr>
      <t>for the name of people</t>
    </r>
  </si>
  <si>
    <t>See PCIM for the roles and Project Members List for the name of people</t>
  </si>
  <si>
    <t>Satisfying Lower level requirement</t>
  </si>
  <si>
    <t>Functional / Non-functional requirements</t>
  </si>
  <si>
    <t>Implemented requirements</t>
  </si>
  <si>
    <t>Low level coverage</t>
  </si>
  <si>
    <t>Satisfied by a low level requirement</t>
  </si>
  <si>
    <t>Not satisfied by a low level requirement</t>
  </si>
  <si>
    <t>Test coverage</t>
  </si>
  <si>
    <t>Tests results</t>
  </si>
  <si>
    <t>Passed</t>
  </si>
  <si>
    <t>Failed</t>
  </si>
  <si>
    <t>Not Tested</t>
  </si>
  <si>
    <t>System Requirements Matrix (SysRM)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</si>
</sst>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409]d\-mmm\-yy;@"/>
  </numFmts>
  <fonts count="76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i/>
      <sz val="8"/>
      <name val="Arial"/>
      <family val="2"/>
    </font>
    <font>
      <b/>
      <i/>
      <sz val="14"/>
      <name val="Arial"/>
      <family val="2"/>
    </font>
    <font>
      <b/>
      <sz val="10"/>
      <color indexed="9"/>
      <name val="Arial"/>
      <family val="2"/>
    </font>
    <font>
      <i/>
      <sz val="10"/>
      <name val="Arial"/>
      <family val="2"/>
    </font>
    <font>
      <b/>
      <i/>
      <sz val="20"/>
      <name val="Arial"/>
      <family val="2"/>
    </font>
    <font>
      <b/>
      <i/>
      <sz val="10"/>
      <name val="Arial"/>
      <family val="2"/>
    </font>
    <font>
      <b/>
      <i/>
      <sz val="16"/>
      <name val="Arial"/>
      <family val="2"/>
    </font>
    <font>
      <sz val="8"/>
      <color indexed="81"/>
      <name val="Tahoma"/>
      <family val="2"/>
    </font>
    <font>
      <sz val="11"/>
      <color indexed="12"/>
      <name val="Times New Roman"/>
      <family val="1"/>
    </font>
    <font>
      <i/>
      <sz val="14"/>
      <name val="Arial"/>
      <family val="2"/>
    </font>
    <font>
      <i/>
      <sz val="8"/>
      <name val="Times New Roman"/>
      <family val="1"/>
    </font>
    <font>
      <sz val="8"/>
      <name val="Arial"/>
      <family val="2"/>
    </font>
    <font>
      <b/>
      <sz val="12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sz val="12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indexed="9"/>
      <name val="Calibri"/>
      <family val="2"/>
    </font>
    <font>
      <b/>
      <sz val="14"/>
      <name val="Arial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u/>
      <sz val="10"/>
      <color theme="10"/>
      <name val="Arial"/>
      <family val="2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sz val="11"/>
      <color rgb="FFFF0000"/>
      <name val="Calibri"/>
      <family val="2"/>
      <scheme val="minor"/>
    </font>
    <font>
      <i/>
      <sz val="8"/>
      <color rgb="FF0070C0"/>
      <name val="Arial"/>
      <family val="2"/>
    </font>
    <font>
      <b/>
      <sz val="20"/>
      <color rgb="FF000080"/>
      <name val="Arial"/>
      <family val="2"/>
    </font>
    <font>
      <sz val="10"/>
      <color rgb="FFC00000"/>
      <name val="Arial"/>
      <family val="2"/>
    </font>
    <font>
      <b/>
      <sz val="10"/>
      <color rgb="FFC00000"/>
      <name val="Arial"/>
      <family val="2"/>
    </font>
    <font>
      <i/>
      <sz val="8"/>
      <color rgb="FF000080"/>
      <name val="Arial"/>
      <family val="2"/>
    </font>
    <font>
      <b/>
      <sz val="12"/>
      <color rgb="FFFF0000"/>
      <name val="Arial"/>
      <family val="2"/>
    </font>
    <font>
      <b/>
      <u/>
      <sz val="10"/>
      <color theme="10"/>
      <name val="Arial"/>
      <family val="2"/>
    </font>
    <font>
      <sz val="11"/>
      <color theme="0"/>
      <name val="Arial"/>
      <family val="2"/>
    </font>
    <font>
      <sz val="14"/>
      <color rgb="FFFF0000"/>
      <name val="Calibri"/>
      <family val="2"/>
      <scheme val="minor"/>
    </font>
    <font>
      <sz val="22"/>
      <color rgb="FFFF0000"/>
      <name val="Arial"/>
      <family val="2"/>
    </font>
    <font>
      <b/>
      <sz val="11"/>
      <color theme="6" tint="-0.499984740745262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8"/>
      <color rgb="FFFF0000"/>
      <name val="Cambria"/>
      <family val="2"/>
      <scheme val="maj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rgb="FF3F3F76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2"/>
      <color theme="0"/>
      <name val="Arial"/>
      <family val="2"/>
    </font>
    <font>
      <b/>
      <sz val="10"/>
      <color rgb="FFFFFFFF"/>
      <name val="Arial"/>
      <family val="2"/>
    </font>
    <font>
      <sz val="10"/>
      <color rgb="FFFFFFFF"/>
      <name val="Arial"/>
      <family val="2"/>
    </font>
    <font>
      <b/>
      <i/>
      <sz val="10"/>
      <color rgb="FF000080"/>
      <name val="Arial"/>
      <family val="2"/>
    </font>
    <font>
      <b/>
      <sz val="8"/>
      <color theme="0"/>
      <name val="Arial"/>
      <family val="2"/>
    </font>
    <font>
      <b/>
      <sz val="20"/>
      <color rgb="FF3F3F76"/>
      <name val="Calibri"/>
      <family val="2"/>
      <scheme val="minor"/>
    </font>
    <font>
      <sz val="10"/>
      <color rgb="FF000080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2"/>
    </font>
    <font>
      <sz val="14"/>
      <name val="Arial"/>
      <family val="2"/>
    </font>
    <font>
      <u/>
      <sz val="14"/>
      <name val="Arial"/>
      <family val="2"/>
    </font>
    <font>
      <sz val="8"/>
      <color rgb="FF7030A0"/>
      <name val="Arial"/>
      <family val="2"/>
    </font>
    <font>
      <b/>
      <sz val="14"/>
      <color theme="1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65"/>
        <bgColor indexed="10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008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3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1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000080"/>
      </bottom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/>
      <top/>
      <bottom style="thin">
        <color theme="0"/>
      </bottom>
      <diagonal/>
    </border>
    <border>
      <left style="thick">
        <color theme="0"/>
      </left>
      <right style="thin">
        <color indexed="64"/>
      </right>
      <top style="thin">
        <color indexed="64"/>
      </top>
      <bottom/>
      <diagonal/>
    </border>
    <border>
      <left style="thick">
        <color theme="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ck">
        <color theme="0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8">
    <xf numFmtId="0" fontId="0" fillId="0" borderId="0"/>
    <xf numFmtId="0" fontId="31" fillId="17" borderId="0" applyNumberFormat="0" applyBorder="0" applyAlignment="0" applyProtection="0"/>
    <xf numFmtId="0" fontId="31" fillId="18" borderId="0" applyNumberFormat="0" applyBorder="0" applyAlignment="0" applyProtection="0"/>
    <xf numFmtId="0" fontId="31" fillId="19" borderId="0" applyNumberFormat="0" applyBorder="0" applyAlignment="0" applyProtection="0"/>
    <xf numFmtId="0" fontId="31" fillId="20" borderId="0" applyNumberFormat="0" applyBorder="0" applyAlignment="0" applyProtection="0"/>
    <xf numFmtId="0" fontId="31" fillId="21" borderId="0" applyNumberFormat="0" applyBorder="0" applyAlignment="0" applyProtection="0"/>
    <xf numFmtId="0" fontId="31" fillId="22" borderId="0" applyNumberFormat="0" applyBorder="0" applyAlignment="0" applyProtection="0"/>
    <xf numFmtId="0" fontId="31" fillId="23" borderId="0" applyNumberFormat="0" applyBorder="0" applyAlignment="0" applyProtection="0"/>
    <xf numFmtId="0" fontId="32" fillId="24" borderId="0" applyNumberFormat="0" applyBorder="0" applyAlignment="0" applyProtection="0"/>
    <xf numFmtId="0" fontId="32" fillId="25" borderId="0" applyNumberFormat="0" applyBorder="0" applyAlignment="0" applyProtection="0"/>
    <xf numFmtId="0" fontId="32" fillId="26" borderId="0" applyNumberFormat="0" applyBorder="0" applyAlignment="0" applyProtection="0"/>
    <xf numFmtId="0" fontId="32" fillId="27" borderId="0" applyNumberFormat="0" applyBorder="0" applyAlignment="0" applyProtection="0"/>
    <xf numFmtId="0" fontId="32" fillId="28" borderId="0" applyNumberFormat="0" applyBorder="0" applyAlignment="0" applyProtection="0"/>
    <xf numFmtId="0" fontId="32" fillId="29" borderId="0" applyNumberFormat="0" applyBorder="0" applyAlignment="0" applyProtection="0"/>
    <xf numFmtId="0" fontId="3" fillId="2" borderId="1">
      <alignment horizontal="center" vertical="center"/>
    </xf>
    <xf numFmtId="0" fontId="33" fillId="30" borderId="18" applyNumberFormat="0" applyAlignment="0" applyProtection="0"/>
    <xf numFmtId="0" fontId="34" fillId="30" borderId="18" applyNumberFormat="0" applyAlignment="0" applyProtection="0"/>
    <xf numFmtId="0" fontId="35" fillId="31" borderId="19" applyNumberFormat="0" applyAlignment="0" applyProtection="0"/>
    <xf numFmtId="0" fontId="2" fillId="0" borderId="1"/>
    <xf numFmtId="0" fontId="5" fillId="0" borderId="1"/>
    <xf numFmtId="0" fontId="5" fillId="0" borderId="1"/>
    <xf numFmtId="0" fontId="5" fillId="0" borderId="1"/>
    <xf numFmtId="0" fontId="5" fillId="0" borderId="1"/>
    <xf numFmtId="0" fontId="5" fillId="0" borderId="1"/>
    <xf numFmtId="0" fontId="26" fillId="0" borderId="1"/>
    <xf numFmtId="0" fontId="36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" fillId="3" borderId="1">
      <alignment horizontal="center"/>
    </xf>
    <xf numFmtId="0" fontId="5" fillId="3" borderId="1">
      <alignment horizontal="center"/>
    </xf>
    <xf numFmtId="0" fontId="5" fillId="3" borderId="1">
      <alignment horizontal="center"/>
    </xf>
    <xf numFmtId="0" fontId="5" fillId="3" borderId="1">
      <alignment horizontal="center"/>
    </xf>
    <xf numFmtId="0" fontId="37" fillId="32" borderId="18" applyNumberFormat="0" applyAlignment="0" applyProtection="0"/>
    <xf numFmtId="0" fontId="3" fillId="4" borderId="1">
      <alignment horizontal="center" vertical="center"/>
    </xf>
    <xf numFmtId="0" fontId="3" fillId="5" borderId="1">
      <alignment horizontal="center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10" fontId="23" fillId="0" borderId="0"/>
    <xf numFmtId="0" fontId="2" fillId="0" borderId="0"/>
    <xf numFmtId="0" fontId="3" fillId="6" borderId="1">
      <alignment horizontal="center"/>
    </xf>
    <xf numFmtId="0" fontId="39" fillId="30" borderId="20" applyNumberFormat="0" applyAlignment="0" applyProtection="0"/>
    <xf numFmtId="0" fontId="40" fillId="30" borderId="20" applyNumberFormat="0" applyAlignment="0" applyProtection="0"/>
    <xf numFmtId="0" fontId="5" fillId="0" borderId="0"/>
    <xf numFmtId="0" fontId="5" fillId="0" borderId="0"/>
    <xf numFmtId="10" fontId="2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19" fillId="0" borderId="0">
      <alignment horizontal="center"/>
    </xf>
    <xf numFmtId="0" fontId="19" fillId="0" borderId="1"/>
    <xf numFmtId="0" fontId="3" fillId="0" borderId="0"/>
    <xf numFmtId="0" fontId="20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2" fillId="0" borderId="0"/>
    <xf numFmtId="0" fontId="5" fillId="0" borderId="0"/>
    <xf numFmtId="0" fontId="5" fillId="0" borderId="0"/>
    <xf numFmtId="0" fontId="5" fillId="0" borderId="0"/>
    <xf numFmtId="0" fontId="3" fillId="0" borderId="1">
      <alignment horizontal="center" textRotation="60"/>
    </xf>
    <xf numFmtId="0" fontId="12" fillId="7" borderId="1">
      <alignment horizontal="center"/>
    </xf>
    <xf numFmtId="0" fontId="41" fillId="0" borderId="0" applyNumberFormat="0" applyFill="0" applyBorder="0" applyAlignment="0" applyProtection="0"/>
    <xf numFmtId="0" fontId="8" fillId="0" borderId="2"/>
    <xf numFmtId="0" fontId="42" fillId="0" borderId="0" applyNumberFormat="0" applyFill="0" applyBorder="0" applyAlignment="0" applyProtection="0"/>
    <xf numFmtId="49" fontId="2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5" fillId="0" borderId="1">
      <alignment horizontal="center"/>
    </xf>
    <xf numFmtId="0" fontId="26" fillId="0" borderId="1">
      <alignment horizontal="center"/>
    </xf>
  </cellStyleXfs>
  <cellXfs count="418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 applyProtection="1">
      <alignment vertical="center"/>
    </xf>
    <xf numFmtId="0" fontId="6" fillId="0" borderId="0" xfId="0" applyFont="1" applyFill="1" applyAlignment="1" applyProtection="1">
      <alignment vertical="center" wrapText="1"/>
    </xf>
    <xf numFmtId="164" fontId="6" fillId="0" borderId="0" xfId="0" applyNumberFormat="1" applyFont="1" applyFill="1" applyBorder="1" applyAlignment="1" applyProtection="1">
      <alignment horizontal="center" vertical="center" wrapText="1"/>
    </xf>
    <xf numFmtId="20" fontId="6" fillId="0" borderId="0" xfId="0" applyNumberFormat="1" applyFont="1" applyFill="1" applyBorder="1" applyAlignment="1" applyProtection="1">
      <alignment vertical="center" wrapText="1"/>
    </xf>
    <xf numFmtId="0" fontId="6" fillId="0" borderId="0" xfId="0" applyFont="1" applyFill="1" applyBorder="1" applyAlignment="1" applyProtection="1">
      <alignment horizontal="left" vertical="center" wrapText="1"/>
    </xf>
    <xf numFmtId="0" fontId="2" fillId="0" borderId="0" xfId="0" applyFont="1" applyFill="1" applyAlignment="1" applyProtection="1">
      <alignment vertical="center"/>
    </xf>
    <xf numFmtId="0" fontId="0" fillId="0" borderId="0" xfId="0" applyBorder="1" applyAlignment="1" applyProtection="1">
      <alignment vertical="center"/>
    </xf>
    <xf numFmtId="0" fontId="2" fillId="0" borderId="0" xfId="0" applyFont="1" applyFill="1" applyBorder="1" applyAlignment="1" applyProtection="1">
      <alignment vertical="center"/>
    </xf>
    <xf numFmtId="0" fontId="43" fillId="0" borderId="0" xfId="0" applyFont="1" applyFill="1" applyBorder="1" applyAlignment="1" applyProtection="1">
      <alignment horizontal="right" vertical="center"/>
    </xf>
    <xf numFmtId="0" fontId="7" fillId="0" borderId="0" xfId="0" applyFont="1" applyBorder="1" applyAlignment="1" applyProtection="1">
      <alignment horizontal="left" vertical="center" wrapText="1"/>
    </xf>
    <xf numFmtId="0" fontId="5" fillId="0" borderId="0" xfId="0" applyFont="1" applyFill="1" applyBorder="1" applyAlignment="1" applyProtection="1">
      <alignment vertical="center" shrinkToFit="1"/>
    </xf>
    <xf numFmtId="0" fontId="5" fillId="0" borderId="0" xfId="0" applyFont="1" applyBorder="1" applyAlignment="1" applyProtection="1">
      <alignment vertical="center" shrinkToFit="1"/>
    </xf>
    <xf numFmtId="0" fontId="5" fillId="0" borderId="0" xfId="0" applyFont="1" applyFill="1" applyAlignment="1" applyProtection="1">
      <alignment vertical="center" shrinkToFit="1"/>
    </xf>
    <xf numFmtId="0" fontId="5" fillId="0" borderId="0" xfId="0" applyFont="1" applyAlignment="1" applyProtection="1">
      <alignment vertical="center" shrinkToFit="1"/>
    </xf>
    <xf numFmtId="0" fontId="2" fillId="0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44" fillId="0" borderId="21" xfId="0" applyFont="1" applyBorder="1" applyAlignment="1" applyProtection="1">
      <alignment vertical="center"/>
      <protection locked="0"/>
    </xf>
    <xf numFmtId="0" fontId="0" fillId="0" borderId="21" xfId="0" applyBorder="1" applyAlignment="1" applyProtection="1">
      <alignment vertical="center"/>
      <protection locked="0"/>
    </xf>
    <xf numFmtId="0" fontId="13" fillId="0" borderId="0" xfId="0" applyFont="1" applyAlignment="1" applyProtection="1">
      <alignment horizontal="left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10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vertical="center"/>
      <protection locked="0"/>
    </xf>
    <xf numFmtId="49" fontId="17" fillId="0" borderId="0" xfId="0" applyNumberFormat="1" applyFont="1" applyFill="1" applyBorder="1" applyAlignment="1" applyProtection="1">
      <alignment horizontal="left" vertical="center"/>
      <protection locked="0"/>
    </xf>
    <xf numFmtId="49" fontId="5" fillId="0" borderId="0" xfId="0" applyNumberFormat="1" applyFont="1" applyFill="1" applyBorder="1" applyAlignment="1">
      <alignment horizontal="center" vertical="center" wrapText="1"/>
    </xf>
    <xf numFmtId="49" fontId="5" fillId="0" borderId="0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0" xfId="0" applyNumberFormat="1" applyFont="1" applyFill="1" applyBorder="1" applyAlignment="1">
      <alignment horizontal="left" vertical="center" wrapText="1"/>
    </xf>
    <xf numFmtId="49" fontId="15" fillId="0" borderId="0" xfId="0" applyNumberFormat="1" applyFont="1" applyFill="1" applyAlignment="1" applyProtection="1">
      <alignment vertical="center" wrapText="1"/>
      <protection locked="0"/>
    </xf>
    <xf numFmtId="14" fontId="0" fillId="0" borderId="0" xfId="0" applyNumberFormat="1" applyAlignment="1" applyProtection="1">
      <alignment vertical="center"/>
      <protection locked="0"/>
    </xf>
    <xf numFmtId="0" fontId="16" fillId="0" borderId="0" xfId="0" applyFont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 wrapText="1"/>
    </xf>
    <xf numFmtId="0" fontId="44" fillId="0" borderId="3" xfId="0" applyFont="1" applyBorder="1" applyAlignment="1" applyProtection="1">
      <alignment vertical="center"/>
      <protection locked="0"/>
    </xf>
    <xf numFmtId="49" fontId="5" fillId="0" borderId="3" xfId="0" applyNumberFormat="1" applyFont="1" applyFill="1" applyBorder="1" applyAlignment="1" applyProtection="1">
      <alignment horizontal="left" vertical="center" wrapText="1"/>
      <protection locked="0"/>
    </xf>
    <xf numFmtId="0" fontId="0" fillId="0" borderId="3" xfId="0" applyBorder="1" applyAlignment="1">
      <alignment horizontal="left" vertical="center" wrapText="1"/>
    </xf>
    <xf numFmtId="0" fontId="44" fillId="0" borderId="0" xfId="0" applyFont="1" applyBorder="1" applyAlignment="1" applyProtection="1">
      <alignment vertical="center"/>
      <protection locked="0"/>
    </xf>
    <xf numFmtId="49" fontId="5" fillId="0" borderId="0" xfId="0" applyNumberFormat="1" applyFont="1" applyFill="1" applyBorder="1" applyAlignment="1" applyProtection="1">
      <alignment horizontal="left" vertical="center"/>
      <protection locked="0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left" vertical="center"/>
      <protection locked="0"/>
    </xf>
    <xf numFmtId="49" fontId="5" fillId="0" borderId="0" xfId="0" applyNumberFormat="1" applyFont="1" applyFill="1" applyBorder="1" applyAlignment="1">
      <alignment vertical="center"/>
    </xf>
    <xf numFmtId="0" fontId="0" fillId="0" borderId="0" xfId="0" applyBorder="1" applyAlignment="1" applyProtection="1">
      <alignment vertical="center"/>
      <protection locked="0"/>
    </xf>
    <xf numFmtId="0" fontId="5" fillId="0" borderId="0" xfId="0" applyFont="1" applyFill="1" applyAlignment="1" applyProtection="1">
      <alignment vertical="center"/>
    </xf>
    <xf numFmtId="0" fontId="5" fillId="0" borderId="0" xfId="0" applyFont="1" applyAlignment="1" applyProtection="1">
      <alignment vertical="center"/>
    </xf>
    <xf numFmtId="0" fontId="12" fillId="0" borderId="0" xfId="0" applyFont="1" applyBorder="1" applyAlignment="1" applyProtection="1">
      <alignment horizontal="left" vertical="center" shrinkToFit="1"/>
    </xf>
    <xf numFmtId="0" fontId="3" fillId="0" borderId="0" xfId="0" applyFont="1" applyBorder="1" applyAlignment="1" applyProtection="1">
      <alignment horizontal="left" vertical="center" shrinkToFit="1"/>
    </xf>
    <xf numFmtId="0" fontId="5" fillId="0" borderId="0" xfId="0" applyFont="1" applyFill="1" applyAlignment="1" applyProtection="1">
      <alignment vertical="center" shrinkToFit="1"/>
      <protection locked="0"/>
    </xf>
    <xf numFmtId="0" fontId="5" fillId="0" borderId="0" xfId="0" applyFont="1" applyAlignment="1" applyProtection="1">
      <alignment vertical="center" shrinkToFit="1"/>
      <protection locked="0"/>
    </xf>
    <xf numFmtId="0" fontId="45" fillId="0" borderId="4" xfId="0" applyFont="1" applyFill="1" applyBorder="1" applyAlignment="1" applyProtection="1">
      <alignment horizontal="left" vertical="center" wrapText="1" shrinkToFit="1"/>
      <protection locked="0"/>
    </xf>
    <xf numFmtId="0" fontId="46" fillId="0" borderId="0" xfId="0" applyFont="1" applyFill="1" applyBorder="1" applyAlignment="1" applyProtection="1">
      <alignment horizontal="left" vertical="center" shrinkToFit="1"/>
      <protection locked="0"/>
    </xf>
    <xf numFmtId="0" fontId="45" fillId="0" borderId="0" xfId="0" applyFont="1" applyFill="1" applyBorder="1" applyAlignment="1" applyProtection="1">
      <alignment horizontal="left" vertical="center" wrapText="1" shrinkToFit="1"/>
      <protection locked="0"/>
    </xf>
    <xf numFmtId="0" fontId="46" fillId="0" borderId="5" xfId="0" applyFont="1" applyFill="1" applyBorder="1" applyAlignment="1" applyProtection="1">
      <alignment horizontal="left" vertical="center" shrinkToFit="1"/>
      <protection locked="0"/>
    </xf>
    <xf numFmtId="0" fontId="2" fillId="0" borderId="0" xfId="0" applyFont="1" applyFill="1" applyAlignment="1" applyProtection="1">
      <alignment vertical="center" shrinkToFit="1"/>
      <protection locked="0"/>
    </xf>
    <xf numFmtId="0" fontId="0" fillId="0" borderId="0" xfId="0" applyAlignment="1" applyProtection="1">
      <alignment vertical="center" shrinkToFit="1"/>
      <protection locked="0"/>
    </xf>
    <xf numFmtId="0" fontId="0" fillId="0" borderId="0" xfId="0" applyFill="1" applyAlignment="1" applyProtection="1">
      <alignment vertical="center"/>
      <protection locked="0"/>
    </xf>
    <xf numFmtId="0" fontId="11" fillId="0" borderId="0" xfId="0" applyFont="1" applyFill="1" applyAlignment="1" applyProtection="1">
      <alignment horizontal="center" vertical="center"/>
      <protection locked="0"/>
    </xf>
    <xf numFmtId="0" fontId="47" fillId="0" borderId="0" xfId="0" quotePrefix="1" applyFont="1" applyFill="1" applyBorder="1" applyAlignment="1" applyProtection="1">
      <alignment horizontal="right" vertical="center"/>
    </xf>
    <xf numFmtId="0" fontId="0" fillId="0" borderId="0" xfId="0" applyAlignment="1">
      <alignment horizontal="left" vertical="center"/>
    </xf>
    <xf numFmtId="0" fontId="18" fillId="0" borderId="0" xfId="0" applyFont="1" applyBorder="1" applyAlignment="1">
      <alignment horizontal="center" vertical="center" wrapText="1"/>
    </xf>
    <xf numFmtId="0" fontId="0" fillId="0" borderId="0" xfId="0" applyAlignment="1">
      <alignment horizontal="left" vertical="top"/>
    </xf>
    <xf numFmtId="0" fontId="0" fillId="0" borderId="0" xfId="0" applyBorder="1" applyAlignment="1">
      <alignment vertical="center" wrapText="1"/>
    </xf>
    <xf numFmtId="0" fontId="9" fillId="8" borderId="1" xfId="76" applyFont="1" applyFill="1">
      <alignment horizontal="center" textRotation="60"/>
    </xf>
    <xf numFmtId="49" fontId="22" fillId="9" borderId="0" xfId="0" applyNumberFormat="1" applyFont="1" applyFill="1" applyAlignment="1">
      <alignment horizontal="center" vertical="center" wrapText="1"/>
    </xf>
    <xf numFmtId="49" fontId="18" fillId="0" borderId="0" xfId="0" applyNumberFormat="1" applyFont="1" applyFill="1" applyAlignment="1">
      <alignment horizontal="center" vertical="center" wrapText="1"/>
    </xf>
    <xf numFmtId="49" fontId="22" fillId="5" borderId="0" xfId="0" applyNumberFormat="1" applyFont="1" applyFill="1" applyAlignment="1">
      <alignment horizontal="center" vertical="center" wrapText="1"/>
    </xf>
    <xf numFmtId="49" fontId="22" fillId="0" borderId="0" xfId="0" applyNumberFormat="1" applyFont="1" applyFill="1" applyAlignment="1">
      <alignment horizontal="center" vertical="center" wrapText="1"/>
    </xf>
    <xf numFmtId="49" fontId="22" fillId="10" borderId="0" xfId="0" applyNumberFormat="1" applyFont="1" applyFill="1" applyBorder="1" applyAlignment="1">
      <alignment horizontal="center" vertical="center" wrapText="1"/>
    </xf>
    <xf numFmtId="49" fontId="22" fillId="5" borderId="0" xfId="0" applyNumberFormat="1" applyFont="1" applyFill="1" applyBorder="1" applyAlignment="1">
      <alignment horizontal="center" vertical="center" wrapText="1"/>
    </xf>
    <xf numFmtId="0" fontId="22" fillId="2" borderId="0" xfId="14" applyFont="1" applyBorder="1" applyAlignment="1">
      <alignment horizontal="center" vertical="center" wrapText="1"/>
    </xf>
    <xf numFmtId="0" fontId="22" fillId="4" borderId="0" xfId="32" applyFont="1" applyBorder="1" applyAlignment="1">
      <alignment horizontal="center" vertical="center" wrapText="1"/>
    </xf>
    <xf numFmtId="0" fontId="8" fillId="0" borderId="2" xfId="79" applyFont="1" applyFill="1"/>
    <xf numFmtId="0" fontId="0" fillId="0" borderId="0" xfId="0" applyFill="1"/>
    <xf numFmtId="0" fontId="19" fillId="0" borderId="1" xfId="49"/>
    <xf numFmtId="0" fontId="3" fillId="0" borderId="0" xfId="50"/>
    <xf numFmtId="0" fontId="20" fillId="0" borderId="0" xfId="51"/>
    <xf numFmtId="0" fontId="2" fillId="0" borderId="0" xfId="52"/>
    <xf numFmtId="0" fontId="2" fillId="0" borderId="0" xfId="56"/>
    <xf numFmtId="0" fontId="2" fillId="0" borderId="0" xfId="60"/>
    <xf numFmtId="0" fontId="2" fillId="0" borderId="0" xfId="64"/>
    <xf numFmtId="0" fontId="2" fillId="0" borderId="0" xfId="68"/>
    <xf numFmtId="0" fontId="2" fillId="0" borderId="0" xfId="72"/>
    <xf numFmtId="0" fontId="2" fillId="0" borderId="1" xfId="18" applyFont="1"/>
    <xf numFmtId="49" fontId="2" fillId="0" borderId="1" xfId="81">
      <alignment horizontal="center"/>
    </xf>
    <xf numFmtId="0" fontId="3" fillId="6" borderId="1" xfId="41">
      <alignment horizontal="center"/>
    </xf>
    <xf numFmtId="0" fontId="3" fillId="5" borderId="1" xfId="33">
      <alignment horizontal="center"/>
    </xf>
    <xf numFmtId="0" fontId="2" fillId="3" borderId="1" xfId="27">
      <alignment horizontal="center"/>
    </xf>
    <xf numFmtId="0" fontId="12" fillId="7" borderId="1" xfId="77">
      <alignment horizontal="center"/>
    </xf>
    <xf numFmtId="0" fontId="3" fillId="2" borderId="1" xfId="14">
      <alignment horizontal="center" vertical="center"/>
    </xf>
    <xf numFmtId="0" fontId="3" fillId="4" borderId="1" xfId="32" applyFont="1">
      <alignment horizontal="center" vertical="center"/>
    </xf>
    <xf numFmtId="0" fontId="0" fillId="33" borderId="0" xfId="0" applyFill="1" applyAlignment="1">
      <alignment vertical="center"/>
    </xf>
    <xf numFmtId="0" fontId="19" fillId="33" borderId="0" xfId="0" applyFont="1" applyFill="1" applyAlignment="1">
      <alignment vertical="center" textRotation="60"/>
    </xf>
    <xf numFmtId="0" fontId="48" fillId="0" borderId="0" xfId="38" applyFont="1" applyBorder="1" applyAlignment="1">
      <alignment vertical="center" wrapText="1"/>
    </xf>
    <xf numFmtId="10" fontId="23" fillId="0" borderId="0" xfId="39"/>
    <xf numFmtId="10" fontId="19" fillId="0" borderId="0" xfId="39" applyFont="1" applyAlignment="1">
      <alignment textRotation="60"/>
    </xf>
    <xf numFmtId="10" fontId="23" fillId="0" borderId="0" xfId="39" applyAlignment="1">
      <alignment horizontal="center"/>
    </xf>
    <xf numFmtId="0" fontId="23" fillId="0" borderId="0" xfId="39" applyNumberFormat="1" applyAlignment="1">
      <alignment horizontal="center"/>
    </xf>
    <xf numFmtId="0" fontId="23" fillId="0" borderId="0" xfId="39" applyNumberFormat="1"/>
    <xf numFmtId="0" fontId="49" fillId="11" borderId="1" xfId="25" applyFont="1" applyFill="1" applyBorder="1" applyAlignment="1">
      <alignment horizontal="left" vertical="center"/>
    </xf>
    <xf numFmtId="10" fontId="50" fillId="34" borderId="0" xfId="39" applyFont="1" applyFill="1" applyAlignment="1">
      <alignment horizontal="left"/>
    </xf>
    <xf numFmtId="0" fontId="51" fillId="0" borderId="0" xfId="80" applyFont="1" applyBorder="1" applyAlignment="1">
      <alignment vertical="center" wrapText="1"/>
    </xf>
    <xf numFmtId="0" fontId="12" fillId="0" borderId="0" xfId="0" applyFont="1" applyAlignment="1" applyProtection="1">
      <alignment vertical="center"/>
      <protection locked="0"/>
    </xf>
    <xf numFmtId="0" fontId="11" fillId="0" borderId="0" xfId="0" applyFont="1" applyFill="1" applyAlignment="1" applyProtection="1">
      <alignment vertical="center" wrapText="1"/>
      <protection locked="0"/>
    </xf>
    <xf numFmtId="0" fontId="12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1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 wrapText="1"/>
    </xf>
    <xf numFmtId="0" fontId="12" fillId="0" borderId="0" xfId="0" applyFont="1" applyFill="1" applyAlignment="1" applyProtection="1">
      <alignment vertical="center"/>
      <protection locked="0"/>
    </xf>
    <xf numFmtId="0" fontId="41" fillId="7" borderId="6" xfId="78" applyFill="1" applyBorder="1" applyAlignment="1">
      <alignment vertical="center"/>
    </xf>
    <xf numFmtId="0" fontId="52" fillId="0" borderId="0" xfId="0" applyFont="1"/>
    <xf numFmtId="0" fontId="40" fillId="30" borderId="1" xfId="43" applyBorder="1" applyAlignment="1">
      <alignment horizontal="center" vertical="center" wrapText="1"/>
    </xf>
    <xf numFmtId="10" fontId="19" fillId="7" borderId="7" xfId="39" applyFont="1" applyFill="1" applyBorder="1" applyAlignment="1">
      <alignment horizontal="center" vertical="center"/>
    </xf>
    <xf numFmtId="10" fontId="19" fillId="7" borderId="7" xfId="39" applyFont="1" applyFill="1" applyBorder="1" applyAlignment="1">
      <alignment horizontal="center" vertical="center" wrapText="1"/>
    </xf>
    <xf numFmtId="10" fontId="24" fillId="7" borderId="7" xfId="39" applyFont="1" applyFill="1" applyBorder="1" applyAlignment="1">
      <alignment horizontal="center" vertical="center" wrapText="1"/>
    </xf>
    <xf numFmtId="0" fontId="3" fillId="33" borderId="0" xfId="0" applyFont="1" applyFill="1" applyAlignment="1">
      <alignment horizontal="center" vertical="center"/>
    </xf>
    <xf numFmtId="1" fontId="3" fillId="11" borderId="8" xfId="0" applyNumberFormat="1" applyFont="1" applyFill="1" applyBorder="1" applyAlignment="1">
      <alignment horizontal="center" vertical="center"/>
    </xf>
    <xf numFmtId="0" fontId="3" fillId="11" borderId="8" xfId="0" applyNumberFormat="1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/>
    </xf>
    <xf numFmtId="1" fontId="19" fillId="7" borderId="1" xfId="0" applyNumberFormat="1" applyFont="1" applyFill="1" applyBorder="1" applyAlignment="1">
      <alignment horizontal="center"/>
    </xf>
    <xf numFmtId="0" fontId="41" fillId="7" borderId="9" xfId="78" applyFill="1" applyBorder="1" applyAlignment="1">
      <alignment horizontal="center" vertical="center"/>
    </xf>
    <xf numFmtId="0" fontId="48" fillId="0" borderId="0" xfId="38" applyFont="1" applyBorder="1" applyAlignment="1">
      <alignment horizontal="center" vertical="center" wrapText="1"/>
    </xf>
    <xf numFmtId="10" fontId="23" fillId="0" borderId="0" xfId="39" applyAlignment="1">
      <alignment horizontal="center" vertical="center"/>
    </xf>
    <xf numFmtId="0" fontId="33" fillId="30" borderId="1" xfId="15" applyNumberFormat="1" applyFont="1" applyBorder="1" applyAlignment="1">
      <alignment horizontal="center" vertical="center"/>
    </xf>
    <xf numFmtId="0" fontId="23" fillId="0" borderId="0" xfId="39" applyNumberFormat="1" applyAlignment="1">
      <alignment horizontal="center" vertical="center"/>
    </xf>
    <xf numFmtId="0" fontId="23" fillId="11" borderId="1" xfId="39" applyNumberFormat="1" applyFill="1" applyBorder="1" applyAlignment="1">
      <alignment horizontal="center" vertical="center"/>
    </xf>
    <xf numFmtId="0" fontId="23" fillId="34" borderId="0" xfId="39" applyNumberFormat="1" applyFill="1" applyAlignment="1">
      <alignment horizontal="center" vertical="center"/>
    </xf>
    <xf numFmtId="10" fontId="23" fillId="34" borderId="0" xfId="39" applyNumberFormat="1" applyFill="1" applyAlignment="1">
      <alignment horizontal="center" vertical="center"/>
    </xf>
    <xf numFmtId="10" fontId="23" fillId="0" borderId="0" xfId="39" applyNumberFormat="1" applyAlignment="1">
      <alignment horizontal="center" vertical="center"/>
    </xf>
    <xf numFmtId="0" fontId="38" fillId="30" borderId="1" xfId="15" applyNumberFormat="1" applyFont="1" applyBorder="1" applyAlignment="1">
      <alignment horizontal="center" vertical="center"/>
    </xf>
    <xf numFmtId="0" fontId="38" fillId="30" borderId="6" xfId="15" applyNumberFormat="1" applyFont="1" applyBorder="1" applyAlignment="1">
      <alignment horizontal="center" vertical="center"/>
    </xf>
    <xf numFmtId="0" fontId="0" fillId="33" borderId="0" xfId="0" applyNumberFormat="1" applyFill="1" applyAlignment="1">
      <alignment vertical="center"/>
    </xf>
    <xf numFmtId="0" fontId="33" fillId="30" borderId="1" xfId="15" applyNumberFormat="1" applyBorder="1" applyAlignment="1">
      <alignment horizontal="center" vertical="center"/>
    </xf>
    <xf numFmtId="0" fontId="53" fillId="30" borderId="1" xfId="15" applyNumberFormat="1" applyFont="1" applyBorder="1" applyAlignment="1">
      <alignment horizontal="center" vertical="center"/>
    </xf>
    <xf numFmtId="0" fontId="31" fillId="23" borderId="1" xfId="7" applyNumberFormat="1" applyBorder="1" applyAlignment="1">
      <alignment horizontal="center" vertical="center" wrapText="1"/>
    </xf>
    <xf numFmtId="1" fontId="33" fillId="30" borderId="1" xfId="15" applyNumberFormat="1" applyBorder="1" applyAlignment="1">
      <alignment horizontal="center" vertical="center"/>
    </xf>
    <xf numFmtId="2" fontId="3" fillId="33" borderId="0" xfId="0" applyNumberFormat="1" applyFont="1" applyFill="1" applyAlignment="1">
      <alignment horizontal="center" vertical="center"/>
    </xf>
    <xf numFmtId="10" fontId="24" fillId="7" borderId="1" xfId="39" applyFont="1" applyFill="1" applyBorder="1" applyAlignment="1">
      <alignment horizontal="center" vertical="center" wrapText="1"/>
    </xf>
    <xf numFmtId="10" fontId="23" fillId="11" borderId="10" xfId="46" applyFont="1" applyFill="1" applyBorder="1" applyAlignment="1">
      <alignment horizontal="center" vertical="center"/>
    </xf>
    <xf numFmtId="10" fontId="23" fillId="11" borderId="1" xfId="46" applyFont="1" applyFill="1" applyBorder="1" applyAlignment="1">
      <alignment horizontal="center" vertical="center"/>
    </xf>
    <xf numFmtId="10" fontId="38" fillId="30" borderId="1" xfId="46" applyFont="1" applyFill="1" applyBorder="1" applyAlignment="1">
      <alignment horizontal="center" vertical="center"/>
    </xf>
    <xf numFmtId="0" fontId="0" fillId="0" borderId="0" xfId="0" applyNumberFormat="1" applyFill="1" applyAlignment="1">
      <alignment vertical="center"/>
    </xf>
    <xf numFmtId="0" fontId="41" fillId="36" borderId="22" xfId="78" applyNumberFormat="1" applyFill="1" applyBorder="1" applyAlignment="1">
      <alignment horizontal="left" vertical="center"/>
    </xf>
    <xf numFmtId="0" fontId="0" fillId="36" borderId="0" xfId="0" applyNumberFormat="1" applyFill="1" applyBorder="1" applyAlignment="1">
      <alignment horizontal="center" vertical="center"/>
    </xf>
    <xf numFmtId="0" fontId="55" fillId="36" borderId="22" xfId="78" applyNumberFormat="1" applyFont="1" applyFill="1" applyBorder="1" applyAlignment="1">
      <alignment horizontal="left" vertical="center"/>
    </xf>
    <xf numFmtId="0" fontId="0" fillId="36" borderId="22" xfId="0" applyNumberFormat="1" applyFill="1" applyBorder="1" applyAlignment="1">
      <alignment vertical="center"/>
    </xf>
    <xf numFmtId="0" fontId="0" fillId="36" borderId="0" xfId="0" applyNumberFormat="1" applyFill="1" applyBorder="1" applyAlignment="1">
      <alignment vertical="center"/>
    </xf>
    <xf numFmtId="0" fontId="41" fillId="35" borderId="24" xfId="78" applyFill="1" applyBorder="1" applyAlignment="1">
      <alignment vertical="center"/>
    </xf>
    <xf numFmtId="0" fontId="41" fillId="35" borderId="25" xfId="78" applyFill="1" applyBorder="1" applyAlignment="1">
      <alignment vertical="center"/>
    </xf>
    <xf numFmtId="0" fontId="24" fillId="35" borderId="22" xfId="0" applyNumberFormat="1" applyFont="1" applyFill="1" applyBorder="1" applyAlignment="1">
      <alignment horizontal="center" vertical="center" wrapText="1"/>
    </xf>
    <xf numFmtId="0" fontId="0" fillId="35" borderId="0" xfId="0" applyNumberFormat="1" applyFill="1" applyBorder="1" applyAlignment="1">
      <alignment horizontal="center" vertical="center"/>
    </xf>
    <xf numFmtId="0" fontId="41" fillId="35" borderId="0" xfId="78" applyFill="1" applyBorder="1" applyAlignment="1">
      <alignment vertical="center"/>
    </xf>
    <xf numFmtId="0" fontId="41" fillId="35" borderId="22" xfId="78" applyFill="1" applyBorder="1" applyAlignment="1">
      <alignment vertical="center"/>
    </xf>
    <xf numFmtId="0" fontId="24" fillId="35" borderId="22" xfId="0" applyNumberFormat="1" applyFont="1" applyFill="1" applyBorder="1" applyAlignment="1">
      <alignment horizontal="center" vertical="center"/>
    </xf>
    <xf numFmtId="0" fontId="0" fillId="33" borderId="22" xfId="0" applyFill="1" applyBorder="1" applyAlignment="1">
      <alignment horizontal="center" vertical="center"/>
    </xf>
    <xf numFmtId="1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center" vertical="center"/>
    </xf>
    <xf numFmtId="10" fontId="0" fillId="33" borderId="0" xfId="0" applyNumberFormat="1" applyFill="1" applyBorder="1" applyAlignment="1">
      <alignment horizontal="center" vertical="center"/>
    </xf>
    <xf numFmtId="0" fontId="0" fillId="33" borderId="0" xfId="0" applyNumberFormat="1" applyFill="1" applyBorder="1" applyAlignment="1">
      <alignment horizontal="right" vertical="center"/>
    </xf>
    <xf numFmtId="0" fontId="0" fillId="33" borderId="0" xfId="0" applyFill="1" applyBorder="1" applyAlignment="1">
      <alignment vertical="center"/>
    </xf>
    <xf numFmtId="0" fontId="0" fillId="33" borderId="0" xfId="0" applyFill="1" applyBorder="1" applyAlignment="1">
      <alignment horizontal="right" vertical="center"/>
    </xf>
    <xf numFmtId="0" fontId="0" fillId="33" borderId="27" xfId="0" applyFill="1" applyBorder="1" applyAlignment="1">
      <alignment vertical="center"/>
    </xf>
    <xf numFmtId="0" fontId="0" fillId="36" borderId="28" xfId="0" applyNumberFormat="1" applyFill="1" applyBorder="1" applyAlignment="1">
      <alignment vertical="center"/>
    </xf>
    <xf numFmtId="0" fontId="0" fillId="36" borderId="23" xfId="0" applyNumberFormat="1" applyFill="1" applyBorder="1" applyAlignment="1">
      <alignment vertical="center"/>
    </xf>
    <xf numFmtId="0" fontId="31" fillId="20" borderId="0" xfId="4" applyNumberFormat="1" applyBorder="1" applyAlignment="1">
      <alignment horizontal="left" vertical="center"/>
    </xf>
    <xf numFmtId="0" fontId="24" fillId="33" borderId="0" xfId="0" applyFont="1" applyFill="1" applyAlignment="1">
      <alignment vertical="center"/>
    </xf>
    <xf numFmtId="0" fontId="31" fillId="21" borderId="29" xfId="5" applyNumberFormat="1" applyBorder="1" applyAlignment="1">
      <alignment horizontal="right" vertical="center"/>
    </xf>
    <xf numFmtId="0" fontId="31" fillId="21" borderId="0" xfId="5" applyBorder="1" applyAlignment="1">
      <alignment horizontal="center" vertical="center"/>
    </xf>
    <xf numFmtId="1" fontId="31" fillId="21" borderId="23" xfId="5" applyNumberFormat="1" applyBorder="1" applyAlignment="1">
      <alignment horizontal="center" vertical="center"/>
    </xf>
    <xf numFmtId="0" fontId="31" fillId="21" borderId="23" xfId="5" applyNumberFormat="1" applyBorder="1" applyAlignment="1">
      <alignment horizontal="center" vertical="center"/>
    </xf>
    <xf numFmtId="10" fontId="31" fillId="21" borderId="23" xfId="5" applyNumberFormat="1" applyBorder="1" applyAlignment="1">
      <alignment horizontal="center" vertical="center"/>
    </xf>
    <xf numFmtId="0" fontId="31" fillId="21" borderId="23" xfId="5" applyNumberFormat="1" applyBorder="1" applyAlignment="1">
      <alignment horizontal="right" vertical="center"/>
    </xf>
    <xf numFmtId="0" fontId="31" fillId="21" borderId="23" xfId="5" applyBorder="1" applyAlignment="1">
      <alignment vertical="center"/>
    </xf>
    <xf numFmtId="0" fontId="31" fillId="21" borderId="23" xfId="5" applyBorder="1" applyAlignment="1">
      <alignment horizontal="right" vertical="center"/>
    </xf>
    <xf numFmtId="0" fontId="24" fillId="35" borderId="0" xfId="0" applyNumberFormat="1" applyFont="1" applyFill="1" applyBorder="1" applyAlignment="1">
      <alignment horizontal="center" vertical="center"/>
    </xf>
    <xf numFmtId="1" fontId="31" fillId="21" borderId="0" xfId="5" applyNumberFormat="1" applyBorder="1" applyAlignment="1">
      <alignment horizontal="center" vertical="center"/>
    </xf>
    <xf numFmtId="0" fontId="31" fillId="21" borderId="0" xfId="5" applyNumberFormat="1" applyBorder="1" applyAlignment="1">
      <alignment horizontal="center" vertical="center"/>
    </xf>
    <xf numFmtId="10" fontId="31" fillId="21" borderId="0" xfId="5" applyNumberFormat="1" applyBorder="1" applyAlignment="1">
      <alignment horizontal="center" vertical="center"/>
    </xf>
    <xf numFmtId="0" fontId="31" fillId="21" borderId="0" xfId="5" applyNumberFormat="1" applyBorder="1" applyAlignment="1">
      <alignment horizontal="right" vertical="center"/>
    </xf>
    <xf numFmtId="0" fontId="31" fillId="21" borderId="0" xfId="5" applyBorder="1" applyAlignment="1">
      <alignment vertical="center"/>
    </xf>
    <xf numFmtId="0" fontId="31" fillId="21" borderId="0" xfId="5" applyBorder="1" applyAlignment="1">
      <alignment horizontal="right" vertical="center"/>
    </xf>
    <xf numFmtId="0" fontId="31" fillId="21" borderId="23" xfId="5" applyBorder="1" applyAlignment="1">
      <alignment horizontal="center" vertical="center"/>
    </xf>
    <xf numFmtId="0" fontId="0" fillId="33" borderId="23" xfId="0" applyFill="1" applyBorder="1" applyAlignment="1">
      <alignment vertical="center"/>
    </xf>
    <xf numFmtId="0" fontId="41" fillId="20" borderId="22" xfId="78" applyNumberFormat="1" applyFill="1" applyBorder="1" applyAlignment="1">
      <alignment horizontal="left" vertical="center"/>
    </xf>
    <xf numFmtId="0" fontId="0" fillId="33" borderId="25" xfId="0" applyFill="1" applyBorder="1" applyAlignment="1">
      <alignment vertical="center"/>
    </xf>
    <xf numFmtId="0" fontId="3" fillId="13" borderId="10" xfId="0" applyFont="1" applyFill="1" applyBorder="1" applyAlignment="1">
      <alignment horizontal="center" vertical="center"/>
    </xf>
    <xf numFmtId="0" fontId="21" fillId="11" borderId="30" xfId="25" applyFont="1" applyFill="1" applyBorder="1" applyAlignment="1">
      <alignment horizontal="left" vertical="center"/>
    </xf>
    <xf numFmtId="1" fontId="2" fillId="11" borderId="7" xfId="0" applyNumberFormat="1" applyFont="1" applyFill="1" applyBorder="1" applyAlignment="1">
      <alignment horizontal="center" vertical="center"/>
    </xf>
    <xf numFmtId="0" fontId="2" fillId="11" borderId="7" xfId="0" applyNumberFormat="1" applyFont="1" applyFill="1" applyBorder="1" applyAlignment="1">
      <alignment horizontal="center" vertical="center"/>
    </xf>
    <xf numFmtId="10" fontId="2" fillId="11" borderId="7" xfId="0" applyNumberFormat="1" applyFont="1" applyFill="1" applyBorder="1" applyAlignment="1">
      <alignment horizontal="center" vertical="center"/>
    </xf>
    <xf numFmtId="0" fontId="2" fillId="12" borderId="7" xfId="0" applyFont="1" applyFill="1" applyBorder="1" applyAlignment="1">
      <alignment horizontal="center" vertical="center"/>
    </xf>
    <xf numFmtId="0" fontId="2" fillId="13" borderId="11" xfId="0" applyFont="1" applyFill="1" applyBorder="1" applyAlignment="1">
      <alignment horizontal="center" vertical="center"/>
    </xf>
    <xf numFmtId="2" fontId="56" fillId="29" borderId="1" xfId="13" applyNumberFormat="1" applyFont="1" applyBorder="1" applyAlignment="1">
      <alignment horizontal="center" vertical="center" wrapText="1"/>
    </xf>
    <xf numFmtId="0" fontId="57" fillId="21" borderId="22" xfId="5" applyFont="1" applyBorder="1" applyAlignment="1">
      <alignment horizontal="center" vertical="center"/>
    </xf>
    <xf numFmtId="0" fontId="57" fillId="21" borderId="0" xfId="5" applyFont="1" applyBorder="1" applyAlignment="1">
      <alignment horizontal="center" vertical="center"/>
    </xf>
    <xf numFmtId="0" fontId="57" fillId="29" borderId="26" xfId="13" applyFont="1" applyBorder="1" applyAlignment="1">
      <alignment horizontal="center" vertical="center" wrapText="1"/>
    </xf>
    <xf numFmtId="0" fontId="57" fillId="29" borderId="1" xfId="13" applyFont="1" applyBorder="1" applyAlignment="1">
      <alignment horizontal="center" vertical="center" wrapText="1"/>
    </xf>
    <xf numFmtId="0" fontId="57" fillId="29" borderId="31" xfId="13" applyFont="1" applyBorder="1" applyAlignment="1">
      <alignment horizontal="center" vertical="center" wrapText="1"/>
    </xf>
    <xf numFmtId="2" fontId="57" fillId="29" borderId="1" xfId="13" applyNumberFormat="1" applyFont="1" applyBorder="1" applyAlignment="1">
      <alignment horizontal="center" vertical="center" wrapText="1"/>
    </xf>
    <xf numFmtId="0" fontId="2" fillId="0" borderId="0" xfId="40"/>
    <xf numFmtId="0" fontId="2" fillId="13" borderId="7" xfId="0" applyFont="1" applyFill="1" applyBorder="1" applyAlignment="1">
      <alignment horizontal="center" vertical="center"/>
    </xf>
    <xf numFmtId="0" fontId="58" fillId="33" borderId="0" xfId="80" quotePrefix="1" applyFont="1" applyFill="1" applyAlignment="1">
      <alignment vertical="center"/>
    </xf>
    <xf numFmtId="10" fontId="31" fillId="17" borderId="0" xfId="1" applyNumberFormat="1" applyAlignment="1">
      <alignment horizontal="center" vertical="center"/>
    </xf>
    <xf numFmtId="0" fontId="31" fillId="17" borderId="0" xfId="1" applyNumberFormat="1" applyBorder="1" applyAlignment="1">
      <alignment horizontal="right" vertical="center"/>
    </xf>
    <xf numFmtId="0" fontId="41" fillId="18" borderId="22" xfId="78" applyNumberFormat="1" applyFill="1" applyBorder="1" applyAlignment="1">
      <alignment horizontal="left" vertical="center"/>
    </xf>
    <xf numFmtId="0" fontId="31" fillId="18" borderId="0" xfId="2" applyNumberFormat="1" applyBorder="1" applyAlignment="1">
      <alignment horizontal="left" vertical="center"/>
    </xf>
    <xf numFmtId="0" fontId="31" fillId="18" borderId="22" xfId="2" applyNumberFormat="1" applyBorder="1" applyAlignment="1">
      <alignment vertical="center"/>
    </xf>
    <xf numFmtId="0" fontId="31" fillId="18" borderId="0" xfId="2" applyNumberFormat="1" applyBorder="1" applyAlignment="1">
      <alignment vertical="center"/>
    </xf>
    <xf numFmtId="0" fontId="31" fillId="20" borderId="3" xfId="4" applyNumberFormat="1" applyBorder="1" applyAlignment="1">
      <alignment horizontal="left" vertical="center"/>
    </xf>
    <xf numFmtId="0" fontId="3" fillId="0" borderId="0" xfId="40" applyFont="1"/>
    <xf numFmtId="0" fontId="64" fillId="8" borderId="0" xfId="40" applyFont="1" applyFill="1"/>
    <xf numFmtId="0" fontId="65" fillId="8" borderId="0" xfId="40" applyFont="1" applyFill="1"/>
    <xf numFmtId="0" fontId="36" fillId="11" borderId="30" xfId="25" applyFill="1" applyBorder="1" applyAlignment="1">
      <alignment horizontal="left" vertical="center"/>
    </xf>
    <xf numFmtId="0" fontId="54" fillId="37" borderId="1" xfId="15" applyNumberFormat="1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 wrapText="1"/>
    </xf>
    <xf numFmtId="49" fontId="4" fillId="9" borderId="0" xfId="0" applyNumberFormat="1" applyFont="1" applyFill="1" applyAlignment="1">
      <alignment horizontal="center" vertical="center" wrapText="1"/>
    </xf>
    <xf numFmtId="49" fontId="4" fillId="0" borderId="0" xfId="0" applyNumberFormat="1" applyFont="1" applyAlignment="1">
      <alignment horizontal="center" vertical="center" wrapText="1"/>
    </xf>
    <xf numFmtId="0" fontId="2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Fill="1" applyBorder="1" applyAlignment="1" applyProtection="1">
      <alignment vertical="center"/>
      <protection locked="0"/>
    </xf>
    <xf numFmtId="0" fontId="5" fillId="0" borderId="0" xfId="0" applyFont="1" applyBorder="1" applyAlignment="1" applyProtection="1">
      <alignment vertical="center"/>
      <protection locked="0"/>
    </xf>
    <xf numFmtId="0" fontId="30" fillId="0" borderId="0" xfId="40" applyFont="1" applyAlignment="1">
      <alignment horizontal="centerContinuous" vertical="center"/>
    </xf>
    <xf numFmtId="0" fontId="57" fillId="24" borderId="1" xfId="8" applyFont="1" applyBorder="1" applyAlignment="1">
      <alignment horizontal="center" vertical="center" wrapText="1"/>
    </xf>
    <xf numFmtId="49" fontId="30" fillId="0" borderId="0" xfId="40" applyNumberFormat="1" applyFont="1" applyAlignment="1">
      <alignment horizontal="centerContinuous" vertical="center"/>
    </xf>
    <xf numFmtId="49" fontId="65" fillId="8" borderId="0" xfId="40" applyNumberFormat="1" applyFont="1" applyFill="1"/>
    <xf numFmtId="49" fontId="2" fillId="0" borderId="0" xfId="40" applyNumberFormat="1"/>
    <xf numFmtId="0" fontId="2" fillId="0" borderId="0" xfId="40" applyAlignment="1">
      <alignment horizontal="centerContinuous"/>
    </xf>
    <xf numFmtId="0" fontId="2" fillId="0" borderId="0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top" wrapText="1"/>
    </xf>
    <xf numFmtId="0" fontId="64" fillId="8" borderId="1" xfId="76" applyFont="1" applyFill="1">
      <alignment horizontal="center" textRotation="60"/>
    </xf>
    <xf numFmtId="0" fontId="22" fillId="0" borderId="0" xfId="14" applyFont="1" applyFill="1" applyBorder="1" applyAlignment="1">
      <alignment horizontal="center" vertical="center" wrapText="1"/>
    </xf>
    <xf numFmtId="0" fontId="4" fillId="0" borderId="0" xfId="0" applyFont="1" applyBorder="1" applyAlignment="1">
      <alignment horizontal="center" vertical="center" wrapText="1"/>
    </xf>
    <xf numFmtId="0" fontId="57" fillId="29" borderId="6" xfId="13" applyFont="1" applyBorder="1" applyAlignment="1">
      <alignment horizontal="center" vertical="top" wrapText="1"/>
    </xf>
    <xf numFmtId="0" fontId="72" fillId="0" borderId="0" xfId="0" applyFont="1"/>
    <xf numFmtId="0" fontId="73" fillId="0" borderId="0" xfId="0" applyFont="1"/>
    <xf numFmtId="0" fontId="20" fillId="0" borderId="0" xfId="0" applyFont="1"/>
    <xf numFmtId="0" fontId="40" fillId="30" borderId="1" xfId="43" applyNumberFormat="1" applyFont="1" applyBorder="1" applyAlignment="1">
      <alignment horizontal="center" vertical="center" wrapText="1"/>
    </xf>
    <xf numFmtId="0" fontId="0" fillId="0" borderId="0" xfId="0" applyNumberFormat="1" applyFill="1" applyBorder="1" applyAlignment="1">
      <alignment horizontal="center" vertical="center"/>
    </xf>
    <xf numFmtId="0" fontId="31" fillId="22" borderId="26" xfId="6" applyNumberFormat="1" applyBorder="1" applyAlignment="1">
      <alignment horizontal="left" vertical="center" wrapText="1"/>
    </xf>
    <xf numFmtId="0" fontId="0" fillId="0" borderId="0" xfId="0" applyNumberFormat="1" applyFill="1" applyBorder="1" applyAlignment="1">
      <alignment vertical="center"/>
    </xf>
    <xf numFmtId="0" fontId="0" fillId="0" borderId="23" xfId="0" applyNumberFormat="1" applyFill="1" applyBorder="1" applyAlignment="1">
      <alignment vertical="center"/>
    </xf>
    <xf numFmtId="0" fontId="41" fillId="43" borderId="25" xfId="78" applyNumberFormat="1" applyFill="1" applyBorder="1" applyAlignment="1">
      <alignment horizontal="left" vertical="center"/>
    </xf>
    <xf numFmtId="0" fontId="41" fillId="43" borderId="0" xfId="78" applyNumberFormat="1" applyFill="1" applyBorder="1" applyAlignment="1">
      <alignment horizontal="left" vertical="center"/>
    </xf>
    <xf numFmtId="0" fontId="0" fillId="43" borderId="0" xfId="0" applyNumberFormat="1" applyFill="1" applyBorder="1" applyAlignment="1">
      <alignment horizontal="center" vertical="center"/>
    </xf>
    <xf numFmtId="0" fontId="31" fillId="43" borderId="0" xfId="3" applyNumberFormat="1" applyFill="1" applyBorder="1" applyAlignment="1">
      <alignment horizontal="left" vertical="center"/>
    </xf>
    <xf numFmtId="0" fontId="31" fillId="43" borderId="0" xfId="3" applyNumberFormat="1" applyFill="1" applyBorder="1" applyAlignment="1">
      <alignment horizontal="center" vertical="center"/>
    </xf>
    <xf numFmtId="0" fontId="56" fillId="44" borderId="1" xfId="11" applyNumberFormat="1" applyFont="1" applyFill="1" applyBorder="1" applyAlignment="1">
      <alignment horizontal="left" vertical="center" wrapText="1"/>
    </xf>
    <xf numFmtId="0" fontId="33" fillId="0" borderId="1" xfId="15" applyNumberFormat="1" applyFill="1" applyBorder="1" applyAlignment="1">
      <alignment horizontal="center" vertical="center"/>
    </xf>
    <xf numFmtId="1" fontId="33" fillId="0" borderId="1" xfId="15" applyNumberFormat="1" applyFill="1" applyBorder="1" applyAlignment="1">
      <alignment horizontal="center" vertical="center"/>
    </xf>
    <xf numFmtId="0" fontId="41" fillId="43" borderId="22" xfId="78" applyNumberFormat="1" applyFill="1" applyBorder="1" applyAlignment="1">
      <alignment horizontal="left" vertical="center"/>
    </xf>
    <xf numFmtId="0" fontId="55" fillId="43" borderId="22" xfId="78" applyNumberFormat="1" applyFont="1" applyFill="1" applyBorder="1" applyAlignment="1">
      <alignment horizontal="left" vertical="center"/>
    </xf>
    <xf numFmtId="0" fontId="0" fillId="43" borderId="22" xfId="0" applyNumberFormat="1" applyFill="1" applyBorder="1" applyAlignment="1">
      <alignment vertical="center"/>
    </xf>
    <xf numFmtId="0" fontId="0" fillId="43" borderId="0" xfId="0" applyNumberFormat="1" applyFill="1" applyBorder="1" applyAlignment="1">
      <alignment vertical="center"/>
    </xf>
    <xf numFmtId="0" fontId="0" fillId="43" borderId="28" xfId="0" applyNumberFormat="1" applyFill="1" applyBorder="1" applyAlignment="1">
      <alignment vertical="center"/>
    </xf>
    <xf numFmtId="0" fontId="0" fillId="43" borderId="23" xfId="0" applyNumberFormat="1" applyFill="1" applyBorder="1" applyAlignment="1">
      <alignment vertical="center"/>
    </xf>
    <xf numFmtId="0" fontId="31" fillId="0" borderId="0" xfId="2" applyNumberFormat="1" applyFill="1" applyBorder="1" applyAlignment="1">
      <alignment horizontal="left" vertical="center"/>
    </xf>
    <xf numFmtId="0" fontId="31" fillId="0" borderId="0" xfId="2" applyNumberFormat="1" applyFill="1" applyBorder="1" applyAlignment="1">
      <alignment vertical="center"/>
    </xf>
    <xf numFmtId="0" fontId="56" fillId="26" borderId="1" xfId="10" applyNumberFormat="1" applyFont="1" applyBorder="1" applyAlignment="1">
      <alignment horizontal="left" vertical="center" wrapText="1"/>
    </xf>
    <xf numFmtId="0" fontId="41" fillId="45" borderId="24" xfId="78" applyNumberFormat="1" applyFill="1" applyBorder="1" applyAlignment="1">
      <alignment horizontal="left" vertical="center"/>
    </xf>
    <xf numFmtId="1" fontId="31" fillId="45" borderId="25" xfId="2" applyNumberFormat="1" applyFill="1" applyBorder="1" applyAlignment="1">
      <alignment horizontal="center" vertical="center"/>
    </xf>
    <xf numFmtId="0" fontId="31" fillId="45" borderId="25" xfId="2" applyNumberFormat="1" applyFill="1" applyBorder="1" applyAlignment="1">
      <alignment horizontal="center" vertical="center"/>
    </xf>
    <xf numFmtId="10" fontId="31" fillId="45" borderId="25" xfId="2" applyNumberFormat="1" applyFill="1" applyBorder="1" applyAlignment="1">
      <alignment horizontal="center" vertical="center"/>
    </xf>
    <xf numFmtId="0" fontId="31" fillId="45" borderId="25" xfId="2" applyNumberFormat="1" applyFill="1" applyBorder="1" applyAlignment="1">
      <alignment horizontal="right" vertical="center"/>
    </xf>
    <xf numFmtId="0" fontId="31" fillId="45" borderId="25" xfId="2" applyFill="1" applyBorder="1" applyAlignment="1">
      <alignment vertical="center"/>
    </xf>
    <xf numFmtId="0" fontId="31" fillId="45" borderId="25" xfId="2" applyFill="1" applyBorder="1" applyAlignment="1">
      <alignment horizontal="right" vertical="center"/>
    </xf>
    <xf numFmtId="0" fontId="31" fillId="45" borderId="22" xfId="2" applyFill="1" applyBorder="1" applyAlignment="1">
      <alignment horizontal="center" vertical="center"/>
    </xf>
    <xf numFmtId="1" fontId="31" fillId="45" borderId="0" xfId="2" applyNumberFormat="1" applyFill="1" applyBorder="1" applyAlignment="1">
      <alignment horizontal="center" vertical="center"/>
    </xf>
    <xf numFmtId="0" fontId="31" fillId="45" borderId="0" xfId="2" applyNumberFormat="1" applyFill="1" applyBorder="1" applyAlignment="1">
      <alignment horizontal="center" vertical="center"/>
    </xf>
    <xf numFmtId="10" fontId="31" fillId="45" borderId="0" xfId="2" applyNumberFormat="1" applyFill="1" applyBorder="1" applyAlignment="1">
      <alignment horizontal="center" vertical="center"/>
    </xf>
    <xf numFmtId="0" fontId="31" fillId="45" borderId="0" xfId="2" applyNumberFormat="1" applyFill="1" applyBorder="1" applyAlignment="1">
      <alignment horizontal="right" vertical="center"/>
    </xf>
    <xf numFmtId="0" fontId="31" fillId="45" borderId="0" xfId="2" applyFill="1" applyBorder="1" applyAlignment="1">
      <alignment vertical="center"/>
    </xf>
    <xf numFmtId="0" fontId="31" fillId="45" borderId="0" xfId="2" applyFill="1" applyBorder="1" applyAlignment="1">
      <alignment horizontal="right" vertical="center"/>
    </xf>
    <xf numFmtId="0" fontId="32" fillId="45" borderId="26" xfId="10" applyFill="1" applyBorder="1" applyAlignment="1">
      <alignment horizontal="center" vertical="center" wrapText="1"/>
    </xf>
    <xf numFmtId="0" fontId="39" fillId="0" borderId="20" xfId="42" applyFill="1" applyBorder="1" applyAlignment="1">
      <alignment horizontal="center" vertical="center"/>
    </xf>
    <xf numFmtId="0" fontId="42" fillId="45" borderId="0" xfId="80" applyNumberFormat="1" applyFill="1" applyBorder="1" applyAlignment="1">
      <alignment horizontal="left" vertical="center"/>
    </xf>
    <xf numFmtId="0" fontId="60" fillId="45" borderId="26" xfId="10" applyFont="1" applyFill="1" applyBorder="1" applyAlignment="1">
      <alignment horizontal="center" vertical="center" wrapText="1"/>
    </xf>
    <xf numFmtId="0" fontId="61" fillId="45" borderId="26" xfId="2" applyFont="1" applyFill="1" applyBorder="1" applyAlignment="1">
      <alignment horizontal="center" vertical="center" wrapText="1"/>
    </xf>
    <xf numFmtId="0" fontId="62" fillId="45" borderId="32" xfId="31" applyFont="1" applyFill="1" applyBorder="1" applyAlignment="1">
      <alignment horizontal="center" vertical="center" wrapText="1"/>
    </xf>
    <xf numFmtId="0" fontId="63" fillId="45" borderId="22" xfId="0" applyFont="1" applyFill="1" applyBorder="1" applyAlignment="1">
      <alignment vertical="center" wrapText="1"/>
    </xf>
    <xf numFmtId="0" fontId="31" fillId="45" borderId="28" xfId="2" applyFill="1" applyBorder="1" applyAlignment="1">
      <alignment horizontal="center" vertical="center"/>
    </xf>
    <xf numFmtId="1" fontId="31" fillId="45" borderId="23" xfId="2" applyNumberFormat="1" applyFill="1" applyBorder="1" applyAlignment="1">
      <alignment horizontal="center" vertical="center"/>
    </xf>
    <xf numFmtId="0" fontId="31" fillId="45" borderId="23" xfId="2" applyNumberFormat="1" applyFill="1" applyBorder="1" applyAlignment="1">
      <alignment horizontal="center" vertical="center"/>
    </xf>
    <xf numFmtId="10" fontId="31" fillId="45" borderId="23" xfId="2" applyNumberFormat="1" applyFill="1" applyBorder="1" applyAlignment="1">
      <alignment horizontal="center" vertical="center"/>
    </xf>
    <xf numFmtId="0" fontId="31" fillId="45" borderId="23" xfId="2" applyNumberFormat="1" applyFill="1" applyBorder="1" applyAlignment="1">
      <alignment horizontal="right" vertical="center"/>
    </xf>
    <xf numFmtId="0" fontId="31" fillId="45" borderId="23" xfId="2" applyFill="1" applyBorder="1" applyAlignment="1">
      <alignment vertical="center"/>
    </xf>
    <xf numFmtId="0" fontId="31" fillId="45" borderId="23" xfId="2" applyFill="1" applyBorder="1" applyAlignment="1">
      <alignment horizontal="right" vertical="center"/>
    </xf>
    <xf numFmtId="0" fontId="31" fillId="45" borderId="28" xfId="2" applyNumberFormat="1" applyFill="1" applyBorder="1" applyAlignment="1">
      <alignment vertical="center"/>
    </xf>
    <xf numFmtId="0" fontId="31" fillId="45" borderId="23" xfId="2" applyNumberFormat="1" applyFill="1" applyBorder="1" applyAlignment="1">
      <alignment vertical="center"/>
    </xf>
    <xf numFmtId="0" fontId="31" fillId="0" borderId="23" xfId="2" applyNumberFormat="1" applyFill="1" applyBorder="1" applyAlignment="1">
      <alignment vertical="center"/>
    </xf>
    <xf numFmtId="0" fontId="31" fillId="46" borderId="0" xfId="2" applyNumberFormat="1" applyFill="1" applyBorder="1" applyAlignment="1">
      <alignment horizontal="left" vertical="center"/>
    </xf>
    <xf numFmtId="0" fontId="31" fillId="46" borderId="0" xfId="2" applyNumberFormat="1" applyFill="1" applyBorder="1" applyAlignment="1">
      <alignment vertical="center"/>
    </xf>
    <xf numFmtId="0" fontId="56" fillId="28" borderId="1" xfId="12" applyNumberFormat="1" applyFont="1" applyBorder="1" applyAlignment="1">
      <alignment horizontal="left" vertical="center" wrapText="1"/>
    </xf>
    <xf numFmtId="0" fontId="31" fillId="46" borderId="22" xfId="2" applyNumberFormat="1" applyFill="1" applyBorder="1" applyAlignment="1">
      <alignment vertical="center"/>
    </xf>
    <xf numFmtId="0" fontId="31" fillId="46" borderId="28" xfId="2" applyNumberFormat="1" applyFill="1" applyBorder="1" applyAlignment="1">
      <alignment vertical="center"/>
    </xf>
    <xf numFmtId="0" fontId="31" fillId="46" borderId="23" xfId="2" applyNumberFormat="1" applyFill="1" applyBorder="1" applyAlignment="1">
      <alignment vertical="center"/>
    </xf>
    <xf numFmtId="0" fontId="41" fillId="0" borderId="25" xfId="78" applyFill="1" applyBorder="1" applyAlignment="1">
      <alignment vertical="center"/>
    </xf>
    <xf numFmtId="0" fontId="41" fillId="0" borderId="0" xfId="78" applyFill="1" applyBorder="1" applyAlignment="1">
      <alignment vertical="center"/>
    </xf>
    <xf numFmtId="0" fontId="0" fillId="0" borderId="0" xfId="0" applyNumberFormat="1" applyFill="1" applyBorder="1" applyAlignment="1">
      <alignment horizontal="right" vertical="center"/>
    </xf>
    <xf numFmtId="0" fontId="1" fillId="23" borderId="36" xfId="7" applyNumberFormat="1" applyFont="1" applyBorder="1" applyAlignment="1">
      <alignment horizontal="left" vertical="center" wrapText="1"/>
    </xf>
    <xf numFmtId="1" fontId="54" fillId="37" borderId="1" xfId="15" applyNumberFormat="1" applyFont="1" applyFill="1" applyBorder="1" applyAlignment="1">
      <alignment horizontal="center" vertical="center"/>
    </xf>
    <xf numFmtId="10" fontId="75" fillId="47" borderId="0" xfId="1" applyNumberFormat="1" applyFont="1" applyFill="1" applyBorder="1" applyAlignment="1">
      <alignment horizontal="center" vertical="center"/>
    </xf>
    <xf numFmtId="0" fontId="29" fillId="47" borderId="0" xfId="9" applyNumberFormat="1" applyFont="1" applyFill="1" applyBorder="1" applyAlignment="1" applyProtection="1">
      <alignment horizontal="center" vertical="center" wrapText="1"/>
      <protection locked="0"/>
    </xf>
    <xf numFmtId="0" fontId="59" fillId="47" borderId="0" xfId="31" applyNumberFormat="1" applyFont="1" applyFill="1" applyBorder="1" applyAlignment="1" applyProtection="1">
      <alignment horizontal="center" vertical="center" wrapText="1"/>
      <protection locked="0"/>
    </xf>
    <xf numFmtId="0" fontId="31" fillId="47" borderId="0" xfId="1" quotePrefix="1" applyNumberFormat="1" applyFill="1" applyBorder="1" applyAlignment="1">
      <alignment horizontal="center" vertical="center" wrapText="1"/>
    </xf>
    <xf numFmtId="0" fontId="31" fillId="47" borderId="0" xfId="1" applyFill="1" applyBorder="1" applyAlignment="1">
      <alignment horizontal="right" vertical="center"/>
    </xf>
    <xf numFmtId="0" fontId="24" fillId="47" borderId="0" xfId="0" applyFont="1" applyFill="1" applyAlignment="1">
      <alignment vertical="center"/>
    </xf>
    <xf numFmtId="10" fontId="31" fillId="47" borderId="0" xfId="1" applyNumberFormat="1" applyFill="1" applyAlignment="1">
      <alignment horizontal="center" vertical="center"/>
    </xf>
    <xf numFmtId="0" fontId="0" fillId="35" borderId="0" xfId="0" applyFill="1" applyAlignment="1">
      <alignment vertical="center"/>
    </xf>
    <xf numFmtId="0" fontId="19" fillId="35" borderId="0" xfId="0" applyFont="1" applyFill="1" applyAlignment="1">
      <alignment vertical="center" textRotation="60"/>
    </xf>
    <xf numFmtId="0" fontId="3" fillId="35" borderId="0" xfId="0" applyFont="1" applyFill="1" applyAlignment="1">
      <alignment horizontal="center" vertical="center"/>
    </xf>
    <xf numFmtId="2" fontId="3" fillId="35" borderId="0" xfId="0" applyNumberFormat="1" applyFont="1" applyFill="1" applyAlignment="1">
      <alignment horizontal="center" vertical="center"/>
    </xf>
    <xf numFmtId="0" fontId="2" fillId="0" borderId="13" xfId="0" applyFont="1" applyFill="1" applyBorder="1" applyAlignment="1" applyProtection="1">
      <alignment horizontal="center" vertical="top" wrapText="1" shrinkToFit="1"/>
      <protection locked="0"/>
    </xf>
    <xf numFmtId="0" fontId="2" fillId="0" borderId="3" xfId="0" applyFont="1" applyFill="1" applyBorder="1" applyAlignment="1" applyProtection="1">
      <alignment horizontal="center" vertical="top" wrapText="1" shrinkToFit="1"/>
      <protection locked="0"/>
    </xf>
    <xf numFmtId="0" fontId="2" fillId="0" borderId="14" xfId="0" applyFont="1" applyFill="1" applyBorder="1" applyAlignment="1" applyProtection="1">
      <alignment horizontal="center" vertical="top" wrapText="1" shrinkToFit="1"/>
      <protection locked="0"/>
    </xf>
    <xf numFmtId="0" fontId="7" fillId="0" borderId="15" xfId="0" applyFont="1" applyBorder="1" applyAlignment="1">
      <alignment horizontal="left" vertical="center" wrapText="1"/>
    </xf>
    <xf numFmtId="0" fontId="7" fillId="0" borderId="12" xfId="0" applyFont="1" applyBorder="1" applyAlignment="1">
      <alignment horizontal="left" vertical="center" wrapText="1"/>
    </xf>
    <xf numFmtId="0" fontId="7" fillId="0" borderId="16" xfId="0" applyFont="1" applyBorder="1" applyAlignment="1">
      <alignment horizontal="left" vertical="center" wrapText="1"/>
    </xf>
    <xf numFmtId="0" fontId="7" fillId="0" borderId="15" xfId="0" applyFont="1" applyBorder="1" applyAlignment="1">
      <alignment horizontal="left" vertical="center" shrinkToFit="1"/>
    </xf>
    <xf numFmtId="0" fontId="7" fillId="0" borderId="12" xfId="0" applyFont="1" applyBorder="1" applyAlignment="1">
      <alignment horizontal="left" vertical="center" shrinkToFit="1"/>
    </xf>
    <xf numFmtId="0" fontId="7" fillId="0" borderId="16" xfId="0" applyFont="1" applyBorder="1" applyAlignment="1">
      <alignment horizontal="left" vertical="center" shrinkToFit="1"/>
    </xf>
    <xf numFmtId="0" fontId="68" fillId="32" borderId="33" xfId="31" applyFont="1" applyBorder="1" applyAlignment="1">
      <alignment horizontal="center" vertical="center"/>
    </xf>
    <xf numFmtId="0" fontId="68" fillId="32" borderId="34" xfId="31" applyFont="1" applyBorder="1" applyAlignment="1">
      <alignment horizontal="center" vertical="center"/>
    </xf>
    <xf numFmtId="0" fontId="68" fillId="32" borderId="35" xfId="31" applyFont="1" applyBorder="1" applyAlignment="1">
      <alignment horizontal="center" vertical="center"/>
    </xf>
    <xf numFmtId="0" fontId="69" fillId="0" borderId="3" xfId="0" applyFont="1" applyBorder="1" applyAlignment="1" applyProtection="1">
      <alignment horizontal="left" vertical="top" wrapText="1" shrinkToFit="1"/>
      <protection locked="0"/>
    </xf>
    <xf numFmtId="0" fontId="69" fillId="0" borderId="14" xfId="0" applyFont="1" applyBorder="1" applyAlignment="1" applyProtection="1">
      <alignment horizontal="left" vertical="top" wrapText="1" shrinkToFit="1"/>
      <protection locked="0"/>
    </xf>
    <xf numFmtId="0" fontId="11" fillId="0" borderId="0" xfId="0" applyFont="1" applyFill="1" applyAlignment="1" applyProtection="1">
      <alignment horizontal="center" vertical="center" wrapText="1"/>
      <protection locked="0"/>
    </xf>
    <xf numFmtId="0" fontId="2" fillId="0" borderId="15" xfId="0" applyFont="1" applyFill="1" applyBorder="1" applyAlignment="1" applyProtection="1">
      <alignment horizontal="left" vertical="top" wrapText="1"/>
      <protection locked="0"/>
    </xf>
    <xf numFmtId="0" fontId="5" fillId="0" borderId="12" xfId="0" applyFont="1" applyFill="1" applyBorder="1" applyAlignment="1" applyProtection="1">
      <alignment horizontal="left" vertical="top" wrapText="1"/>
      <protection locked="0"/>
    </xf>
    <xf numFmtId="0" fontId="5" fillId="0" borderId="16" xfId="0" applyFont="1" applyFill="1" applyBorder="1" applyAlignment="1" applyProtection="1">
      <alignment horizontal="left" vertical="top" wrapText="1"/>
      <protection locked="0"/>
    </xf>
    <xf numFmtId="0" fontId="67" fillId="38" borderId="15" xfId="0" applyFont="1" applyFill="1" applyBorder="1" applyAlignment="1" applyProtection="1">
      <alignment horizontal="center" vertical="center" shrinkToFit="1"/>
      <protection locked="0"/>
    </xf>
    <xf numFmtId="0" fontId="67" fillId="38" borderId="12" xfId="0" applyFont="1" applyFill="1" applyBorder="1" applyAlignment="1" applyProtection="1">
      <alignment horizontal="center" vertical="center" shrinkToFit="1"/>
      <protection locked="0"/>
    </xf>
    <xf numFmtId="0" fontId="67" fillId="38" borderId="16" xfId="0" applyFont="1" applyFill="1" applyBorder="1" applyAlignment="1" applyProtection="1">
      <alignment horizontal="center" vertical="center" shrinkToFit="1"/>
      <protection locked="0"/>
    </xf>
    <xf numFmtId="0" fontId="67" fillId="38" borderId="4" xfId="0" applyFont="1" applyFill="1" applyBorder="1" applyAlignment="1" applyProtection="1">
      <alignment horizontal="center" vertical="center" shrinkToFit="1"/>
      <protection locked="0"/>
    </xf>
    <xf numFmtId="0" fontId="67" fillId="38" borderId="0" xfId="0" applyFont="1" applyFill="1" applyBorder="1" applyAlignment="1" applyProtection="1">
      <alignment horizontal="center" vertical="center" shrinkToFit="1"/>
      <protection locked="0"/>
    </xf>
    <xf numFmtId="0" fontId="67" fillId="38" borderId="5" xfId="0" applyFont="1" applyFill="1" applyBorder="1" applyAlignment="1" applyProtection="1">
      <alignment horizontal="center" vertical="center" shrinkToFit="1"/>
      <protection locked="0"/>
    </xf>
    <xf numFmtId="0" fontId="66" fillId="0" borderId="13" xfId="0" applyFont="1" applyBorder="1" applyAlignment="1" applyProtection="1">
      <alignment horizontal="left" vertical="center" shrinkToFit="1"/>
    </xf>
    <xf numFmtId="0" fontId="66" fillId="0" borderId="3" xfId="0" applyFont="1" applyBorder="1" applyAlignment="1" applyProtection="1">
      <alignment horizontal="left" vertical="center" shrinkToFit="1"/>
    </xf>
    <xf numFmtId="0" fontId="66" fillId="0" borderId="14" xfId="0" applyFont="1" applyBorder="1" applyAlignment="1" applyProtection="1">
      <alignment horizontal="left" vertical="center" shrinkToFit="1"/>
    </xf>
    <xf numFmtId="0" fontId="5" fillId="0" borderId="13" xfId="0" applyFont="1" applyFill="1" applyBorder="1" applyAlignment="1" applyProtection="1">
      <alignment horizontal="left" vertical="top"/>
      <protection locked="0"/>
    </xf>
    <xf numFmtId="0" fontId="5" fillId="0" borderId="3" xfId="0" applyFont="1" applyFill="1" applyBorder="1" applyAlignment="1" applyProtection="1">
      <alignment horizontal="left" vertical="top"/>
      <protection locked="0"/>
    </xf>
    <xf numFmtId="0" fontId="5" fillId="0" borderId="14" xfId="0" applyFont="1" applyFill="1" applyBorder="1" applyAlignment="1" applyProtection="1">
      <alignment horizontal="left" vertical="top"/>
      <protection locked="0"/>
    </xf>
    <xf numFmtId="0" fontId="4" fillId="0" borderId="3" xfId="0" applyFont="1" applyBorder="1" applyAlignment="1" applyProtection="1">
      <alignment horizontal="left" vertical="top" wrapText="1" shrinkToFit="1"/>
      <protection locked="0"/>
    </xf>
    <xf numFmtId="0" fontId="22" fillId="0" borderId="3" xfId="0" applyFont="1" applyBorder="1" applyAlignment="1" applyProtection="1">
      <alignment horizontal="left" vertical="top" shrinkToFit="1"/>
      <protection locked="0"/>
    </xf>
    <xf numFmtId="0" fontId="22" fillId="0" borderId="14" xfId="0" applyFont="1" applyBorder="1" applyAlignment="1" applyProtection="1">
      <alignment horizontal="left" vertical="top" shrinkToFit="1"/>
      <protection locked="0"/>
    </xf>
    <xf numFmtId="0" fontId="2" fillId="0" borderId="13" xfId="0" applyFont="1" applyBorder="1" applyAlignment="1" applyProtection="1">
      <alignment horizontal="right" vertical="top" wrapText="1" shrinkToFit="1"/>
      <protection locked="0"/>
    </xf>
    <xf numFmtId="0" fontId="2" fillId="0" borderId="3" xfId="0" applyFont="1" applyBorder="1" applyAlignment="1" applyProtection="1">
      <alignment horizontal="right" vertical="top" wrapText="1" shrinkToFit="1"/>
      <protection locked="0"/>
    </xf>
    <xf numFmtId="0" fontId="67" fillId="38" borderId="12" xfId="0" applyFont="1" applyFill="1" applyBorder="1" applyAlignment="1" applyProtection="1">
      <alignment horizontal="center" vertical="center" wrapText="1"/>
      <protection locked="0"/>
    </xf>
    <xf numFmtId="0" fontId="67" fillId="38" borderId="16" xfId="0" applyFont="1" applyFill="1" applyBorder="1" applyAlignment="1" applyProtection="1">
      <alignment horizontal="center" vertical="center" wrapText="1"/>
      <protection locked="0"/>
    </xf>
    <xf numFmtId="0" fontId="67" fillId="38" borderId="0" xfId="0" applyFont="1" applyFill="1" applyBorder="1" applyAlignment="1" applyProtection="1">
      <alignment horizontal="center" vertical="center" wrapText="1"/>
      <protection locked="0"/>
    </xf>
    <xf numFmtId="0" fontId="67" fillId="38" borderId="5" xfId="0" applyFont="1" applyFill="1" applyBorder="1" applyAlignment="1" applyProtection="1">
      <alignment horizontal="center" vertical="center" wrapText="1"/>
      <protection locked="0"/>
    </xf>
    <xf numFmtId="0" fontId="7" fillId="0" borderId="15" xfId="0" applyFont="1" applyBorder="1" applyAlignment="1" applyProtection="1">
      <alignment horizontal="left" vertical="center" wrapText="1"/>
    </xf>
    <xf numFmtId="0" fontId="7" fillId="0" borderId="12" xfId="0" applyFont="1" applyBorder="1" applyAlignment="1" applyProtection="1">
      <alignment horizontal="left" vertical="center" wrapText="1"/>
    </xf>
    <xf numFmtId="0" fontId="7" fillId="0" borderId="16" xfId="0" applyFont="1" applyBorder="1" applyAlignment="1" applyProtection="1">
      <alignment horizontal="left" vertical="center" wrapText="1"/>
    </xf>
    <xf numFmtId="0" fontId="7" fillId="0" borderId="15" xfId="0" applyFont="1" applyFill="1" applyBorder="1" applyAlignment="1" applyProtection="1">
      <alignment horizontal="left" vertical="center" shrinkToFit="1"/>
    </xf>
    <xf numFmtId="0" fontId="7" fillId="0" borderId="12" xfId="0" applyFont="1" applyFill="1" applyBorder="1" applyAlignment="1" applyProtection="1">
      <alignment horizontal="left" vertical="center" shrinkToFit="1"/>
    </xf>
    <xf numFmtId="0" fontId="7" fillId="0" borderId="16" xfId="0" applyFont="1" applyFill="1" applyBorder="1" applyAlignment="1" applyProtection="1">
      <alignment horizontal="left" vertical="center" shrinkToFit="1"/>
    </xf>
    <xf numFmtId="0" fontId="66" fillId="0" borderId="13" xfId="0" applyFont="1" applyBorder="1" applyAlignment="1">
      <alignment horizontal="left" vertical="center" shrinkToFit="1"/>
    </xf>
    <xf numFmtId="0" fontId="66" fillId="0" borderId="3" xfId="0" applyFont="1" applyBorder="1" applyAlignment="1">
      <alignment horizontal="left" vertical="center" shrinkToFit="1"/>
    </xf>
    <xf numFmtId="0" fontId="66" fillId="0" borderId="14" xfId="0" applyFont="1" applyBorder="1" applyAlignment="1">
      <alignment horizontal="left" vertical="center" shrinkToFit="1"/>
    </xf>
    <xf numFmtId="0" fontId="7" fillId="0" borderId="15" xfId="0" applyFont="1" applyBorder="1" applyAlignment="1" applyProtection="1">
      <alignment horizontal="left" vertical="center" shrinkToFit="1"/>
    </xf>
    <xf numFmtId="0" fontId="7" fillId="0" borderId="12" xfId="0" applyFont="1" applyBorder="1" applyAlignment="1" applyProtection="1">
      <alignment horizontal="left" vertical="center" shrinkToFit="1"/>
    </xf>
    <xf numFmtId="0" fontId="7" fillId="0" borderId="16" xfId="0" applyFont="1" applyBorder="1" applyAlignment="1" applyProtection="1">
      <alignment horizontal="left" vertical="center" shrinkToFit="1"/>
    </xf>
    <xf numFmtId="0" fontId="9" fillId="15" borderId="6" xfId="0" applyFont="1" applyFill="1" applyBorder="1" applyAlignment="1" applyProtection="1">
      <alignment horizontal="center" vertical="center" wrapText="1"/>
      <protection locked="0"/>
    </xf>
    <xf numFmtId="0" fontId="9" fillId="15" borderId="9" xfId="0" applyFont="1" applyFill="1" applyBorder="1" applyAlignment="1" applyProtection="1">
      <alignment horizontal="center" vertical="center" wrapText="1"/>
      <protection locked="0"/>
    </xf>
    <xf numFmtId="0" fontId="9" fillId="15" borderId="17" xfId="0" applyFont="1" applyFill="1" applyBorder="1" applyAlignment="1" applyProtection="1">
      <alignment horizontal="center" vertical="center" wrapText="1"/>
      <protection locked="0"/>
    </xf>
    <xf numFmtId="49" fontId="5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9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17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6" xfId="0" applyNumberFormat="1" applyFont="1" applyFill="1" applyBorder="1" applyAlignment="1" applyProtection="1">
      <alignment vertical="center" wrapText="1"/>
      <protection locked="0"/>
    </xf>
    <xf numFmtId="49" fontId="5" fillId="0" borderId="9" xfId="0" applyNumberFormat="1" applyFont="1" applyFill="1" applyBorder="1" applyAlignment="1" applyProtection="1">
      <alignment vertical="center" wrapText="1"/>
      <protection locked="0"/>
    </xf>
    <xf numFmtId="49" fontId="5" fillId="0" borderId="17" xfId="0" applyNumberFormat="1" applyFont="1" applyFill="1" applyBorder="1" applyAlignment="1" applyProtection="1">
      <alignment vertical="center" wrapText="1"/>
      <protection locked="0"/>
    </xf>
    <xf numFmtId="49" fontId="5" fillId="0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0" borderId="17" xfId="0" applyNumberFormat="1" applyFont="1" applyFill="1" applyBorder="1" applyAlignment="1" applyProtection="1">
      <alignment horizontal="center" vertical="center" wrapText="1"/>
      <protection locked="0"/>
    </xf>
    <xf numFmtId="49" fontId="15" fillId="0" borderId="0" xfId="0" applyNumberFormat="1" applyFont="1" applyFill="1" applyAlignment="1" applyProtection="1">
      <alignment horizontal="left" vertical="center" wrapText="1"/>
      <protection locked="0"/>
    </xf>
    <xf numFmtId="0" fontId="7" fillId="0" borderId="0" xfId="0" applyFont="1" applyFill="1" applyBorder="1" applyAlignment="1" applyProtection="1">
      <alignment horizontal="left" vertical="center" shrinkToFit="1"/>
    </xf>
    <xf numFmtId="0" fontId="66" fillId="0" borderId="0" xfId="0" applyFont="1" applyBorder="1" applyAlignment="1" applyProtection="1">
      <alignment horizontal="left" vertical="center" shrinkToFit="1"/>
    </xf>
    <xf numFmtId="0" fontId="7" fillId="16" borderId="0" xfId="0" applyFont="1" applyFill="1" applyBorder="1" applyAlignment="1" applyProtection="1">
      <alignment horizontal="left" vertical="center" wrapText="1"/>
    </xf>
    <xf numFmtId="0" fontId="66" fillId="16" borderId="0" xfId="0" applyFont="1" applyFill="1" applyBorder="1" applyAlignment="1" applyProtection="1">
      <alignment horizontal="left" vertical="center" shrinkToFit="1"/>
    </xf>
    <xf numFmtId="0" fontId="7" fillId="16" borderId="0" xfId="0" applyFont="1" applyFill="1" applyBorder="1" applyAlignment="1" applyProtection="1">
      <alignment horizontal="left" vertical="center" shrinkToFit="1"/>
    </xf>
    <xf numFmtId="0" fontId="7" fillId="0" borderId="0" xfId="0" applyFont="1" applyBorder="1" applyAlignment="1" applyProtection="1">
      <alignment horizontal="left" vertical="center" shrinkToFit="1"/>
    </xf>
    <xf numFmtId="49" fontId="5" fillId="41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1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41" borderId="17" xfId="0" applyNumberFormat="1" applyFont="1" applyFill="1" applyBorder="1" applyAlignment="1" applyProtection="1">
      <alignment horizontal="center" vertical="center" wrapText="1"/>
      <protection locked="0"/>
    </xf>
    <xf numFmtId="0" fontId="12" fillId="16" borderId="0" xfId="0" applyFont="1" applyFill="1" applyBorder="1" applyAlignment="1" applyProtection="1">
      <alignment horizontal="left" vertical="center" shrinkToFit="1"/>
    </xf>
    <xf numFmtId="0" fontId="36" fillId="0" borderId="0" xfId="25" applyBorder="1" applyAlignment="1">
      <alignment horizontal="center" vertical="center"/>
    </xf>
    <xf numFmtId="49" fontId="2" fillId="39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39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39" borderId="17" xfId="0" applyNumberFormat="1" applyFont="1" applyFill="1" applyBorder="1" applyAlignment="1" applyProtection="1">
      <alignment horizontal="center" vertical="center" wrapText="1"/>
      <protection locked="0"/>
    </xf>
    <xf numFmtId="49" fontId="2" fillId="0" borderId="6" xfId="0" applyNumberFormat="1" applyFont="1" applyFill="1" applyBorder="1" applyAlignment="1" applyProtection="1">
      <alignment horizontal="left" vertical="center" wrapText="1"/>
      <protection locked="0"/>
    </xf>
    <xf numFmtId="49" fontId="5" fillId="40" borderId="6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9" xfId="0" applyNumberFormat="1" applyFont="1" applyFill="1" applyBorder="1" applyAlignment="1" applyProtection="1">
      <alignment horizontal="center" vertical="center" wrapText="1"/>
      <protection locked="0"/>
    </xf>
    <xf numFmtId="49" fontId="5" fillId="40" borderId="17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6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17" xfId="0" applyBorder="1" applyAlignment="1">
      <alignment horizontal="left" vertical="center" wrapText="1"/>
    </xf>
    <xf numFmtId="0" fontId="70" fillId="42" borderId="6" xfId="0" applyFont="1" applyFill="1" applyBorder="1" applyAlignment="1">
      <alignment horizontal="center" vertical="center" wrapText="1"/>
    </xf>
    <xf numFmtId="0" fontId="70" fillId="42" borderId="9" xfId="0" applyFont="1" applyFill="1" applyBorder="1" applyAlignment="1">
      <alignment horizontal="center" vertical="center" wrapText="1"/>
    </xf>
    <xf numFmtId="0" fontId="70" fillId="42" borderId="17" xfId="0" applyFont="1" applyFill="1" applyBorder="1" applyAlignment="1">
      <alignment horizontal="center" vertical="center" wrapText="1"/>
    </xf>
    <xf numFmtId="49" fontId="5" fillId="39" borderId="6" xfId="0" applyNumberFormat="1" applyFont="1" applyFill="1" applyBorder="1" applyAlignment="1" applyProtection="1">
      <alignment horizontal="center" vertical="center" wrapText="1"/>
      <protection locked="0"/>
    </xf>
    <xf numFmtId="0" fontId="41" fillId="14" borderId="0" xfId="78" applyFill="1" applyBorder="1" applyAlignment="1">
      <alignment horizontal="center"/>
    </xf>
    <xf numFmtId="0" fontId="3" fillId="9" borderId="3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center" wrapText="1"/>
    </xf>
    <xf numFmtId="0" fontId="2" fillId="0" borderId="0" xfId="0" applyFont="1" applyAlignment="1">
      <alignment vertical="center" wrapText="1"/>
    </xf>
    <xf numFmtId="0" fontId="5" fillId="0" borderId="0" xfId="0" applyFont="1" applyAlignment="1">
      <alignment vertical="center" wrapText="1"/>
    </xf>
    <xf numFmtId="49" fontId="22" fillId="9" borderId="3" xfId="0" applyNumberFormat="1" applyFont="1" applyFill="1" applyBorder="1" applyAlignment="1">
      <alignment horizontal="center" vertical="center" wrapText="1"/>
    </xf>
    <xf numFmtId="0" fontId="29" fillId="25" borderId="6" xfId="9" applyNumberFormat="1" applyFont="1" applyBorder="1" applyAlignment="1" applyProtection="1">
      <alignment horizontal="center" vertical="center" wrapText="1"/>
      <protection locked="0"/>
    </xf>
    <xf numFmtId="0" fontId="29" fillId="25" borderId="17" xfId="9" applyNumberFormat="1" applyFont="1" applyBorder="1" applyAlignment="1" applyProtection="1">
      <alignment horizontal="center" vertical="center" wrapText="1"/>
      <protection locked="0"/>
    </xf>
    <xf numFmtId="0" fontId="57" fillId="24" borderId="1" xfId="8" applyFont="1" applyBorder="1" applyAlignment="1">
      <alignment horizontal="center" vertical="center" wrapText="1"/>
    </xf>
    <xf numFmtId="0" fontId="57" fillId="29" borderId="6" xfId="13" applyFont="1" applyBorder="1" applyAlignment="1">
      <alignment horizontal="center" vertical="center" wrapText="1"/>
    </xf>
    <xf numFmtId="0" fontId="57" fillId="29" borderId="9" xfId="13" applyFont="1" applyBorder="1" applyAlignment="1">
      <alignment horizontal="center" vertical="center" wrapText="1"/>
    </xf>
    <xf numFmtId="0" fontId="57" fillId="29" borderId="17" xfId="13" applyFont="1" applyBorder="1" applyAlignment="1">
      <alignment horizontal="center" vertical="center" wrapText="1"/>
    </xf>
    <xf numFmtId="10" fontId="3" fillId="11" borderId="1" xfId="0" applyNumberFormat="1" applyFont="1" applyFill="1" applyBorder="1" applyAlignment="1">
      <alignment horizontal="center" vertical="center"/>
    </xf>
    <xf numFmtId="10" fontId="3" fillId="12" borderId="1" xfId="0" applyNumberFormat="1" applyFont="1" applyFill="1" applyBorder="1" applyAlignment="1">
      <alignment horizontal="center" vertical="center"/>
    </xf>
    <xf numFmtId="10" fontId="3" fillId="13" borderId="1" xfId="0" applyNumberFormat="1" applyFont="1" applyFill="1" applyBorder="1" applyAlignment="1">
      <alignment horizontal="center" vertical="center"/>
    </xf>
  </cellXfs>
  <cellStyles count="88">
    <cellStyle name="20% - Accent1" xfId="1" builtinId="30"/>
    <cellStyle name="20% - Accent2" xfId="2" builtinId="34"/>
    <cellStyle name="20% - Accent3" xfId="3" builtinId="38"/>
    <cellStyle name="20% - Accent5" xfId="4" builtinId="46"/>
    <cellStyle name="20% - Accent6" xfId="5" builtinId="50"/>
    <cellStyle name="40% - Accent4" xfId="6" builtinId="43"/>
    <cellStyle name="40% - Accent6" xfId="7" builtinId="51"/>
    <cellStyle name="60% - Accent6" xfId="8" builtinId="52"/>
    <cellStyle name="Accent1" xfId="9" builtinId="29"/>
    <cellStyle name="Accent2" xfId="10" builtinId="33"/>
    <cellStyle name="Accent3" xfId="11" builtinId="37"/>
    <cellStyle name="Accent5" xfId="12" builtinId="45"/>
    <cellStyle name="Accent6" xfId="13" builtinId="49"/>
    <cellStyle name="CA style" xfId="14"/>
    <cellStyle name="Calculation" xfId="15" builtinId="22"/>
    <cellStyle name="Calculation 2" xfId="16"/>
    <cellStyle name="Check Cell 2" xfId="17"/>
    <cellStyle name="entry" xfId="18"/>
    <cellStyle name="entry 2" xfId="19"/>
    <cellStyle name="entry 2 2" xfId="20"/>
    <cellStyle name="entry 3" xfId="21"/>
    <cellStyle name="entry 3 2" xfId="22"/>
    <cellStyle name="entry 4" xfId="23"/>
    <cellStyle name="entry 5" xfId="24"/>
    <cellStyle name="Hyperlink" xfId="25" builtinId="8"/>
    <cellStyle name="Hyperlink 2" xfId="26"/>
    <cellStyle name="Inconsistent style" xfId="27"/>
    <cellStyle name="Inconsistent style 2" xfId="28"/>
    <cellStyle name="Inconsistent style 2 2" xfId="29"/>
    <cellStyle name="Inconsistent style 3" xfId="30"/>
    <cellStyle name="Input" xfId="31" builtinId="20"/>
    <cellStyle name="NA style" xfId="32"/>
    <cellStyle name="NOK style" xfId="33"/>
    <cellStyle name="Normal" xfId="0" builtinId="0"/>
    <cellStyle name="Normal 2" xfId="34"/>
    <cellStyle name="Normal 2 2" xfId="35"/>
    <cellStyle name="Normal 3" xfId="36"/>
    <cellStyle name="Normal 3 2" xfId="37"/>
    <cellStyle name="Normal 4" xfId="38"/>
    <cellStyle name="Normal 5" xfId="39"/>
    <cellStyle name="Normal 6" xfId="40"/>
    <cellStyle name="OK style" xfId="41"/>
    <cellStyle name="Output" xfId="42" builtinId="21"/>
    <cellStyle name="Output 2" xfId="43"/>
    <cellStyle name="para" xfId="44"/>
    <cellStyle name="para 2" xfId="45"/>
    <cellStyle name="Percent" xfId="46" builtinId="5" customBuiltin="1"/>
    <cellStyle name="Percent 2" xfId="47"/>
    <cellStyle name="sect" xfId="48"/>
    <cellStyle name="sect1" xfId="49"/>
    <cellStyle name="sect2" xfId="50"/>
    <cellStyle name="sect3" xfId="51"/>
    <cellStyle name="sect4" xfId="52"/>
    <cellStyle name="sect4 2" xfId="53"/>
    <cellStyle name="sect4 2 2" xfId="54"/>
    <cellStyle name="sect4 3" xfId="55"/>
    <cellStyle name="sect5" xfId="56"/>
    <cellStyle name="sect5 2" xfId="57"/>
    <cellStyle name="sect5 2 2" xfId="58"/>
    <cellStyle name="sect5 3" xfId="59"/>
    <cellStyle name="sect6" xfId="60"/>
    <cellStyle name="sect6 2" xfId="61"/>
    <cellStyle name="sect6 2 2" xfId="62"/>
    <cellStyle name="sect6 3" xfId="63"/>
    <cellStyle name="sect7" xfId="64"/>
    <cellStyle name="sect7 2" xfId="65"/>
    <cellStyle name="sect7 2 2" xfId="66"/>
    <cellStyle name="sect7 3" xfId="67"/>
    <cellStyle name="sect8" xfId="68"/>
    <cellStyle name="sect8 2" xfId="69"/>
    <cellStyle name="sect8 2 2" xfId="70"/>
    <cellStyle name="sect8 3" xfId="71"/>
    <cellStyle name="sect9" xfId="72"/>
    <cellStyle name="sect9 2" xfId="73"/>
    <cellStyle name="sect9 2 2" xfId="74"/>
    <cellStyle name="sect9 3" xfId="75"/>
    <cellStyle name="tableTitle" xfId="76"/>
    <cellStyle name="Tested Previously" xfId="77"/>
    <cellStyle name="Title" xfId="78" builtinId="15"/>
    <cellStyle name="title 2" xfId="79"/>
    <cellStyle name="Warning Text" xfId="80" builtinId="11"/>
    <cellStyle name="Without format but centered" xfId="81"/>
    <cellStyle name="Without format but centered 2" xfId="82"/>
    <cellStyle name="Without format but centered 2 2" xfId="83"/>
    <cellStyle name="Without format but centered 3" xfId="84"/>
    <cellStyle name="Without format but centered 3 2" xfId="85"/>
    <cellStyle name="Without format but centered 4" xfId="86"/>
    <cellStyle name="Without format but centered 5" xfId="87"/>
  </cellStyles>
  <dxfs count="4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tx>
            <c:strRef>
              <c:f>Statistics!$B$55</c:f>
              <c:strCache>
                <c:ptCount val="1"/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83D-4D6A-A164-66E1A17B76F1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83D-4D6A-A164-66E1A17B76F1}"/>
              </c:ext>
            </c:extLst>
          </c:dPt>
          <c:dPt>
            <c:idx val="2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83D-4D6A-A164-66E1A17B76F1}"/>
              </c:ext>
            </c:extLst>
          </c:dPt>
          <c:dPt>
            <c:idx val="3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83D-4D6A-A164-66E1A17B76F1}"/>
              </c:ext>
            </c:extLst>
          </c:dPt>
          <c:dPt>
            <c:idx val="4"/>
            <c:bubble3D val="0"/>
            <c:spPr>
              <a:solidFill>
                <a:schemeClr val="accent6">
                  <a:lumMod val="50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83D-4D6A-A164-66E1A17B76F1}"/>
              </c:ext>
            </c:extLst>
          </c:dPt>
          <c:dPt>
            <c:idx val="5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83D-4D6A-A164-66E1A17B76F1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numRef>
              <c:f>Statistics!$A$56:$A$61</c:f>
              <c:numCache>
                <c:formatCode>General</c:formatCode>
                <c:ptCount val="6"/>
              </c:numCache>
            </c:numRef>
          </c:cat>
          <c:val>
            <c:numRef>
              <c:f>Statistics!$B$56:$B$61</c:f>
              <c:numCache>
                <c:formatCode>General</c:formatCode>
                <c:ptCount val="6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383D-4D6A-A164-66E1A17B76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67561010180989955"/>
          <c:y val="7.8338112360232429E-2"/>
          <c:w val="0.30936054780861888"/>
          <c:h val="0.85695780801966226"/>
        </c:manualLayout>
      </c:layout>
      <c:overlay val="0"/>
      <c:txPr>
        <a:bodyPr/>
        <a:lstStyle/>
        <a:p>
          <a:pPr>
            <a:defRPr sz="2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alpha val="0"/>
      </a:schemeClr>
    </a:solidFill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1"/>
          <c:order val="0"/>
          <c:tx>
            <c:strRef>
              <c:f>Statistics!$A$11</c:f>
              <c:strCache>
                <c:ptCount val="1"/>
                <c:pt idx="0">
                  <c:v>Functional / Non-functional requirements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Statistics!$A$13:$A$14</c:f>
              <c:strCache>
                <c:ptCount val="2"/>
                <c:pt idx="0">
                  <c:v>Functional requirements</c:v>
                </c:pt>
                <c:pt idx="1">
                  <c:v>Non-functional requirements</c:v>
                </c:pt>
              </c:strCache>
            </c:strRef>
          </c:cat>
          <c:val>
            <c:numRef>
              <c:f>Statistics!$B$13:$B$14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2B70-4B23-9FEF-00F5695F1D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91133720250209349"/>
          <c:w val="0.54851521219422039"/>
          <c:h val="5.5240337604858206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pieChart>
        <c:varyColors val="1"/>
        <c:ser>
          <c:idx val="0"/>
          <c:order val="0"/>
          <c:tx>
            <c:strRef>
              <c:f>Statistics!$A$30</c:f>
              <c:strCache>
                <c:ptCount val="1"/>
                <c:pt idx="0">
                  <c:v>Implemented requirements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Statistics!$A$32:$A$33</c:f>
              <c:strCache>
                <c:ptCount val="2"/>
                <c:pt idx="0">
                  <c:v>Implemented</c:v>
                </c:pt>
                <c:pt idx="1">
                  <c:v>Not implemented</c:v>
                </c:pt>
              </c:strCache>
            </c:strRef>
          </c:cat>
          <c:val>
            <c:numRef>
              <c:f>Statistics!$B$32:$B$33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90390998919252741"/>
          <c:w val="0.37899259407860642"/>
          <c:h val="6.7152827487473157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30314794160243713"/>
          <c:y val="0.1187427189916768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Statistics!$A$49</c:f>
              <c:strCache>
                <c:ptCount val="1"/>
                <c:pt idx="0">
                  <c:v>Low level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Statistics!$A$51:$A$52</c:f>
              <c:strCache>
                <c:ptCount val="2"/>
                <c:pt idx="0">
                  <c:v>Satisfied by a low level requirement</c:v>
                </c:pt>
                <c:pt idx="1">
                  <c:v>Not satisfied by a low level requirement</c:v>
                </c:pt>
              </c:strCache>
            </c:strRef>
          </c:cat>
          <c:val>
            <c:numRef>
              <c:f>Statistics!$B$51:$B$52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444922827159973"/>
          <c:w val="0.54851521219422039"/>
          <c:h val="0.12208525739095445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31160460122188749"/>
          <c:y val="0.1133076794168645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Statistics!$A$90</c:f>
              <c:strCache>
                <c:ptCount val="1"/>
                <c:pt idx="0">
                  <c:v>Test coverage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Statistics!$A$92:$A$93</c:f>
              <c:strCache>
                <c:ptCount val="2"/>
                <c:pt idx="0">
                  <c:v>Covered by a test</c:v>
                </c:pt>
                <c:pt idx="1">
                  <c:v>Not covered by a test</c:v>
                </c:pt>
              </c:strCache>
            </c:strRef>
          </c:cat>
          <c:val>
            <c:numRef>
              <c:f>Statistics!$B$92:$B$93</c:f>
              <c:numCache>
                <c:formatCode>0</c:formatCode>
                <c:ptCount val="2"/>
                <c:pt idx="0" formatCode="General">
                  <c:v>0</c:v>
                </c:pt>
                <c:pt idx="1">
                  <c:v>0</c:v>
                </c:pt>
              </c:numCache>
            </c:numRef>
          </c:val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8430685975314327"/>
          <c:w val="0.45686373949019082"/>
          <c:h val="6.5451402149365762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31160460122188749"/>
          <c:y val="0.11330767941686455"/>
          <c:w val="0.40638910622430124"/>
          <c:h val="0.71383707384170558"/>
        </c:manualLayout>
      </c:layout>
      <c:pieChart>
        <c:varyColors val="1"/>
        <c:ser>
          <c:idx val="0"/>
          <c:order val="0"/>
          <c:tx>
            <c:strRef>
              <c:f>Statistics!$A$109</c:f>
              <c:strCache>
                <c:ptCount val="1"/>
                <c:pt idx="0">
                  <c:v>Tests results</c:v>
                </c:pt>
              </c:strCache>
            </c:strRef>
          </c:tx>
          <c:dPt>
            <c:idx val="0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solidFill>
                <a:srgbClr val="0070C0"/>
              </a:solidFill>
            </c:spPr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Statistics!$A$116:$A$118</c:f>
              <c:strCache>
                <c:ptCount val="3"/>
                <c:pt idx="0">
                  <c:v>Passed</c:v>
                </c:pt>
                <c:pt idx="1">
                  <c:v>Failed</c:v>
                </c:pt>
                <c:pt idx="2">
                  <c:v>Not Tested</c:v>
                </c:pt>
              </c:strCache>
            </c:strRef>
          </c:cat>
          <c:val>
            <c:numRef>
              <c:f>Statistics!$B$116:$B$118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 formatCode="0">
                  <c:v>0</c:v>
                </c:pt>
              </c:numCache>
            </c:numRef>
          </c:val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b"/>
      <c:layout>
        <c:manualLayout>
          <c:xMode val="edge"/>
          <c:yMode val="edge"/>
          <c:x val="0.22785316729025892"/>
          <c:y val="0.88430685975314327"/>
          <c:w val="0.33508119549572435"/>
          <c:h val="6.2080861665156452E-2"/>
        </c:manualLayout>
      </c:layout>
      <c:overlay val="0"/>
      <c:spPr>
        <a:solidFill>
          <a:schemeClr val="lt1">
            <a:alpha val="78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1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090483636150796"/>
          <c:y val="6.7854113655640372E-3"/>
          <c:w val="0.27405561780423754"/>
          <c:h val="0.94636699940066549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tx1">
                  <a:lumMod val="65000"/>
                  <a:lumOff val="3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FCA-461D-85FE-EB00B2BC4B79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FCA-461D-85FE-EB00B2BC4B7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FCA-461D-85FE-EB00B2BC4B79}"/>
              </c:ext>
            </c:extLst>
          </c:dPt>
          <c:dPt>
            <c:idx val="3"/>
            <c:bubble3D val="0"/>
            <c:explosion val="3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FCA-461D-85FE-EB00B2BC4B79}"/>
              </c:ext>
            </c:extLst>
          </c:dPt>
          <c:dPt>
            <c:idx val="4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8-9FCA-461D-85FE-EB00B2BC4B79}"/>
              </c:ext>
            </c:extLst>
          </c:dPt>
          <c:dLbls>
            <c:dLbl>
              <c:idx val="0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1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2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dLbl>
              <c:idx val="4"/>
              <c:spPr/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endParaRPr lang="en-US"/>
              </a:p>
            </c:txPr>
            <c:dLblPos val="bestFit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cat>
            <c:strRef>
              <c:f>'Requirement Status'!$C$3:$G$3</c:f>
              <c:strCache>
                <c:ptCount val="5"/>
                <c:pt idx="0">
                  <c:v>Init</c:v>
                </c:pt>
                <c:pt idx="1">
                  <c:v>To be clarified or improved</c:v>
                </c:pt>
                <c:pt idx="2">
                  <c:v>In Review by Design Team</c:v>
                </c:pt>
                <c:pt idx="3">
                  <c:v>In Review by Test Team</c:v>
                </c:pt>
                <c:pt idx="4">
                  <c:v>Approved</c:v>
                </c:pt>
              </c:strCache>
            </c:strRef>
          </c:cat>
          <c:val>
            <c:numRef>
              <c:f>'Requirement Status'!$C$4:$G$4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9FCA-461D-85FE-EB00B2BC4B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1347007993863787"/>
          <c:y val="6.2516791700250075E-3"/>
          <c:w val="0.27740900538117674"/>
          <c:h val="0.97174861016388703"/>
        </c:manualLayout>
      </c:layout>
      <c:overlay val="0"/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481" name="Picture 12">
          <a:extLst>
            <a:ext uri="{FF2B5EF4-FFF2-40B4-BE49-F238E27FC236}">
              <a16:creationId xmlns="" xmlns:a16="http://schemas.microsoft.com/office/drawing/2014/main" id="{00000000-0008-0000-0000-0000C9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482" name="Picture 13">
          <a:extLst>
            <a:ext uri="{FF2B5EF4-FFF2-40B4-BE49-F238E27FC236}">
              <a16:creationId xmlns="" xmlns:a16="http://schemas.microsoft.com/office/drawing/2014/main" id="{00000000-0008-0000-0000-0000CA05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123825</xdr:colOff>
      <xdr:row>2</xdr:row>
      <xdr:rowOff>142875</xdr:rowOff>
    </xdr:to>
    <xdr:pic>
      <xdr:nvPicPr>
        <xdr:cNvPr id="15835" name="Picture 1">
          <a:extLst>
            <a:ext uri="{FF2B5EF4-FFF2-40B4-BE49-F238E27FC236}">
              <a16:creationId xmlns="" xmlns:a16="http://schemas.microsoft.com/office/drawing/2014/main" id="{00000000-0008-0000-0100-0000DB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1457325" cy="466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30</xdr:col>
      <xdr:colOff>28575</xdr:colOff>
      <xdr:row>0</xdr:row>
      <xdr:rowOff>0</xdr:rowOff>
    </xdr:from>
    <xdr:to>
      <xdr:col>32</xdr:col>
      <xdr:colOff>171450</xdr:colOff>
      <xdr:row>2</xdr:row>
      <xdr:rowOff>133350</xdr:rowOff>
    </xdr:to>
    <xdr:pic>
      <xdr:nvPicPr>
        <xdr:cNvPr id="15836" name="Picture 2">
          <a:extLst>
            <a:ext uri="{FF2B5EF4-FFF2-40B4-BE49-F238E27FC236}">
              <a16:creationId xmlns="" xmlns:a16="http://schemas.microsoft.com/office/drawing/2014/main" id="{00000000-0008-0000-0100-0000DC3D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43575" y="0"/>
          <a:ext cx="52387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0</xdr:row>
          <xdr:rowOff>114300</xdr:rowOff>
        </xdr:from>
        <xdr:to>
          <xdr:col>2</xdr:col>
          <xdr:colOff>457200</xdr:colOff>
          <xdr:row>0</xdr:row>
          <xdr:rowOff>476250</xdr:rowOff>
        </xdr:to>
        <xdr:sp macro="" textlink="">
          <xdr:nvSpPr>
            <xdr:cNvPr id="19457" name="UpdateStatisticsButton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=""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495300</xdr:colOff>
          <xdr:row>0</xdr:row>
          <xdr:rowOff>114300</xdr:rowOff>
        </xdr:from>
        <xdr:to>
          <xdr:col>3</xdr:col>
          <xdr:colOff>923925</xdr:colOff>
          <xdr:row>0</xdr:row>
          <xdr:rowOff>476250</xdr:rowOff>
        </xdr:to>
        <xdr:sp macro="" textlink="">
          <xdr:nvSpPr>
            <xdr:cNvPr id="19458" name="ImportSyRMButton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=""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962025</xdr:colOff>
          <xdr:row>0</xdr:row>
          <xdr:rowOff>114300</xdr:rowOff>
        </xdr:from>
        <xdr:to>
          <xdr:col>5</xdr:col>
          <xdr:colOff>457200</xdr:colOff>
          <xdr:row>0</xdr:row>
          <xdr:rowOff>457200</xdr:rowOff>
        </xdr:to>
        <xdr:sp macro="" textlink="">
          <xdr:nvSpPr>
            <xdr:cNvPr id="19459" name="Button 3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=""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List of Requirements Without Satisfie(s-d)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257175</xdr:colOff>
      <xdr:row>50</xdr:row>
      <xdr:rowOff>85725</xdr:rowOff>
    </xdr:from>
    <xdr:to>
      <xdr:col>8</xdr:col>
      <xdr:colOff>1057275</xdr:colOff>
      <xdr:row>64</xdr:row>
      <xdr:rowOff>104775</xdr:rowOff>
    </xdr:to>
    <xdr:graphicFrame macro="">
      <xdr:nvGraphicFramePr>
        <xdr:cNvPr id="20391" name="Chart 1">
          <a:extLst>
            <a:ext uri="{FF2B5EF4-FFF2-40B4-BE49-F238E27FC236}">
              <a16:creationId xmlns="" xmlns:a16="http://schemas.microsoft.com/office/drawing/2014/main" id="{00000000-0008-0000-0300-0000A74F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215900</xdr:colOff>
      <xdr:row>10</xdr:row>
      <xdr:rowOff>139700</xdr:rowOff>
    </xdr:from>
    <xdr:to>
      <xdr:col>10</xdr:col>
      <xdr:colOff>685800</xdr:colOff>
      <xdr:row>28</xdr:row>
      <xdr:rowOff>28956</xdr:rowOff>
    </xdr:to>
    <xdr:graphicFrame macro="">
      <xdr:nvGraphicFramePr>
        <xdr:cNvPr id="16" name="Chart 8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228600</xdr:colOff>
      <xdr:row>29</xdr:row>
      <xdr:rowOff>127000</xdr:rowOff>
    </xdr:from>
    <xdr:to>
      <xdr:col>10</xdr:col>
      <xdr:colOff>673100</xdr:colOff>
      <xdr:row>47</xdr:row>
      <xdr:rowOff>79756</xdr:rowOff>
    </xdr:to>
    <xdr:graphicFrame macro="">
      <xdr:nvGraphicFramePr>
        <xdr:cNvPr id="17" name="Chart 8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</xdr:col>
      <xdr:colOff>254000</xdr:colOff>
      <xdr:row>48</xdr:row>
      <xdr:rowOff>88900</xdr:rowOff>
    </xdr:from>
    <xdr:to>
      <xdr:col>10</xdr:col>
      <xdr:colOff>698500</xdr:colOff>
      <xdr:row>65</xdr:row>
      <xdr:rowOff>88900</xdr:rowOff>
    </xdr:to>
    <xdr:graphicFrame macro="">
      <xdr:nvGraphicFramePr>
        <xdr:cNvPr id="18" name="Chart 8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266700</xdr:colOff>
      <xdr:row>89</xdr:row>
      <xdr:rowOff>63500</xdr:rowOff>
    </xdr:from>
    <xdr:to>
      <xdr:col>10</xdr:col>
      <xdr:colOff>723900</xdr:colOff>
      <xdr:row>107</xdr:row>
      <xdr:rowOff>41656</xdr:rowOff>
    </xdr:to>
    <xdr:graphicFrame macro="">
      <xdr:nvGraphicFramePr>
        <xdr:cNvPr id="19" name="Chart 8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</xdr:col>
      <xdr:colOff>355600</xdr:colOff>
      <xdr:row>108</xdr:row>
      <xdr:rowOff>88900</xdr:rowOff>
    </xdr:from>
    <xdr:to>
      <xdr:col>10</xdr:col>
      <xdr:colOff>723900</xdr:colOff>
      <xdr:row>122</xdr:row>
      <xdr:rowOff>155956</xdr:rowOff>
    </xdr:to>
    <xdr:graphicFrame macro="">
      <xdr:nvGraphicFramePr>
        <xdr:cNvPr id="20" name="Chart 8">
          <a:extLst>
            <a:ext uri="{FF2B5EF4-FFF2-40B4-BE49-F238E27FC236}">
              <a16:creationId xmlns:a16="http://schemas.microsoft.com/office/drawing/2014/main" xmlns="" id="{00000000-0008-0000-03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257175</xdr:colOff>
      <xdr:row>1</xdr:row>
      <xdr:rowOff>161925</xdr:rowOff>
    </xdr:from>
    <xdr:to>
      <xdr:col>4</xdr:col>
      <xdr:colOff>28575</xdr:colOff>
      <xdr:row>1</xdr:row>
      <xdr:rowOff>2581275</xdr:rowOff>
    </xdr:to>
    <xdr:graphicFrame macro="">
      <xdr:nvGraphicFramePr>
        <xdr:cNvPr id="20687" name="Chart 1">
          <a:extLst>
            <a:ext uri="{FF2B5EF4-FFF2-40B4-BE49-F238E27FC236}">
              <a16:creationId xmlns="" xmlns:a16="http://schemas.microsoft.com/office/drawing/2014/main" id="{00000000-0008-0000-0400-0000CF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isabela.pachiu\AppData\Roaming\Microsoft\AddIns\alvDocProp.xla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PRM_TR6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VersionInfo"/>
      <sheetName val="alvDocProp"/>
    </sheetNames>
    <definedNames>
      <definedName name="alvDocProperty"/>
    </defined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Page"/>
      <sheetName val="General info"/>
      <sheetName val="User Guide"/>
      <sheetName val="Statistics"/>
      <sheetName val="Requirement Status"/>
      <sheetName val="Req List Without Satisfies"/>
      <sheetName val="Feuil1"/>
      <sheetName val="Styles"/>
    </sheetNames>
    <sheetDataSet>
      <sheetData sheetId="0" refreshError="1"/>
      <sheetData sheetId="1" refreshError="1"/>
      <sheetData sheetId="2" refreshError="1"/>
      <sheetData sheetId="3">
        <row r="11">
          <cell r="A11" t="str">
            <v>Functional / Non-functional requirements</v>
          </cell>
        </row>
        <row r="13">
          <cell r="H13">
            <v>0</v>
          </cell>
          <cell r="I13">
            <v>0</v>
          </cell>
        </row>
        <row r="14">
          <cell r="H14">
            <v>0</v>
          </cell>
          <cell r="I14">
            <v>0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4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Relationship Id="rId9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BH116"/>
  <sheetViews>
    <sheetView showGridLines="0" zoomScaleNormal="100" workbookViewId="0">
      <selection activeCell="A13" sqref="A13:AG13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59" t="str">
        <f ca="1">MID(CELL("filename"),FIND("[",CELL("filename"))+1,FIND("]",CELL("filename"))-FIND("[",CELL("filename"))-1)</f>
        <v>SyRM_TR6.xlsm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359" t="s">
        <v>1</v>
      </c>
      <c r="B4" s="360"/>
      <c r="C4" s="360"/>
      <c r="D4" s="360"/>
      <c r="E4" s="360"/>
      <c r="F4" s="360"/>
      <c r="G4" s="360"/>
      <c r="H4" s="360"/>
      <c r="I4" s="360"/>
      <c r="J4" s="360"/>
      <c r="K4" s="360"/>
      <c r="L4" s="360"/>
      <c r="M4" s="360"/>
      <c r="N4" s="360"/>
      <c r="O4" s="360"/>
      <c r="P4" s="360"/>
      <c r="Q4" s="360"/>
      <c r="R4" s="360"/>
      <c r="S4" s="360"/>
      <c r="T4" s="360"/>
      <c r="U4" s="360"/>
      <c r="V4" s="361"/>
      <c r="W4" s="350" t="s">
        <v>2</v>
      </c>
      <c r="X4" s="351"/>
      <c r="Y4" s="351"/>
      <c r="Z4" s="351"/>
      <c r="AA4" s="352"/>
      <c r="AB4" s="353" t="s">
        <v>20</v>
      </c>
      <c r="AC4" s="354"/>
      <c r="AD4" s="354"/>
      <c r="AE4" s="354"/>
      <c r="AF4" s="354"/>
      <c r="AG4" s="355"/>
      <c r="AH4" s="11"/>
      <c r="AI4" s="11"/>
      <c r="AJ4" s="11"/>
      <c r="AK4" s="9"/>
    </row>
    <row r="5" spans="1:37" s="13" customFormat="1" ht="12.75" customHeight="1" x14ac:dyDescent="0.2">
      <c r="A5" s="335" t="str">
        <f ca="1" xml:space="preserve"> IFERROR(IF([1]!alvDocProperty("MXAuthority")="","Process and method",[1]!alvDocProperty("MXAuthority")),"Process and method")</f>
        <v>Process and method</v>
      </c>
      <c r="B5" s="336"/>
      <c r="C5" s="336"/>
      <c r="D5" s="336"/>
      <c r="E5" s="336"/>
      <c r="F5" s="336"/>
      <c r="G5" s="336"/>
      <c r="H5" s="336"/>
      <c r="I5" s="336"/>
      <c r="J5" s="336"/>
      <c r="K5" s="336"/>
      <c r="L5" s="336"/>
      <c r="M5" s="336"/>
      <c r="N5" s="336"/>
      <c r="O5" s="336"/>
      <c r="P5" s="336"/>
      <c r="Q5" s="336"/>
      <c r="R5" s="336"/>
      <c r="S5" s="336"/>
      <c r="T5" s="336"/>
      <c r="U5" s="336"/>
      <c r="V5" s="337"/>
      <c r="W5" s="335" t="str">
        <f ca="1" xml:space="preserve"> IFERROR(IF([1]!alvDocProperty("MXCurrent.Localized")="","Draft",[1]!alvDocProperty("MXCurrent.Localized")),"Draft")</f>
        <v>Draft</v>
      </c>
      <c r="X5" s="336"/>
      <c r="Y5" s="336"/>
      <c r="Z5" s="336"/>
      <c r="AA5" s="337"/>
      <c r="AB5" s="335" t="str">
        <f ca="1" xml:space="preserve"> IFERROR(IF([1]!alvDocProperty("MXActual_state_Released")="","TBD",[1]!alvDocProperty("MXActual_state_Released")),"TBD")</f>
        <v>TBD</v>
      </c>
      <c r="AC5" s="336"/>
      <c r="AD5" s="336"/>
      <c r="AE5" s="336"/>
      <c r="AF5" s="336"/>
      <c r="AG5" s="337"/>
      <c r="AH5" s="12"/>
      <c r="AI5" s="12"/>
      <c r="AJ5" s="12"/>
      <c r="AK5" s="12"/>
    </row>
    <row r="6" spans="1:37" s="46" customFormat="1" ht="11.1" customHeight="1" x14ac:dyDescent="0.2">
      <c r="A6" s="350" t="s">
        <v>3</v>
      </c>
      <c r="B6" s="351"/>
      <c r="C6" s="351"/>
      <c r="D6" s="352"/>
      <c r="E6" s="350" t="s">
        <v>4</v>
      </c>
      <c r="F6" s="351"/>
      <c r="G6" s="351"/>
      <c r="H6" s="351"/>
      <c r="I6" s="351"/>
      <c r="J6" s="351"/>
      <c r="K6" s="351"/>
      <c r="L6" s="351"/>
      <c r="M6" s="351"/>
      <c r="N6" s="351"/>
      <c r="O6" s="351"/>
      <c r="P6" s="351"/>
      <c r="Q6" s="351"/>
      <c r="R6" s="351"/>
      <c r="S6" s="351"/>
      <c r="T6" s="351"/>
      <c r="U6" s="351"/>
      <c r="V6" s="352"/>
      <c r="W6" s="317" t="s">
        <v>15</v>
      </c>
      <c r="X6" s="318"/>
      <c r="Y6" s="318"/>
      <c r="Z6" s="318"/>
      <c r="AA6" s="319"/>
      <c r="AB6" s="314" t="s">
        <v>0</v>
      </c>
      <c r="AC6" s="315"/>
      <c r="AD6" s="316"/>
      <c r="AE6" s="314" t="s">
        <v>5</v>
      </c>
      <c r="AF6" s="315"/>
      <c r="AG6" s="316"/>
      <c r="AH6" s="45"/>
      <c r="AI6" s="45"/>
      <c r="AJ6" s="45"/>
      <c r="AK6" s="45"/>
    </row>
    <row r="7" spans="1:37" s="15" customFormat="1" ht="28.5" customHeight="1" x14ac:dyDescent="0.2">
      <c r="A7" s="335" t="str">
        <f ca="1" xml:space="preserve"> IFERROR(IF([1]!alvDocProperty("MXName")="","TBD",[1]!alvDocProperty("MXName")),"TBD")</f>
        <v>TBD</v>
      </c>
      <c r="B7" s="336"/>
      <c r="C7" s="336"/>
      <c r="D7" s="337"/>
      <c r="E7" s="335" t="str">
        <f ca="1" xml:space="preserve"> IFERROR(IF([1]!alvDocProperty("MXTitle")="","SW00TEM007 Generic Excel Template",[1]!alvDocProperty("MXTitle")),"SW00TEM007 Generic Excel Template")</f>
        <v>SW00TEM007 Generic Excel Template</v>
      </c>
      <c r="F7" s="336"/>
      <c r="G7" s="336"/>
      <c r="H7" s="336"/>
      <c r="I7" s="336"/>
      <c r="J7" s="336"/>
      <c r="K7" s="336"/>
      <c r="L7" s="336"/>
      <c r="M7" s="336"/>
      <c r="N7" s="336"/>
      <c r="O7" s="336"/>
      <c r="P7" s="336"/>
      <c r="Q7" s="336"/>
      <c r="R7" s="336"/>
      <c r="S7" s="336"/>
      <c r="T7" s="336"/>
      <c r="U7" s="336"/>
      <c r="V7" s="337"/>
      <c r="W7" s="356" t="str">
        <f ca="1" xml:space="preserve"> IFERROR(IF([1]!alvDocProperty("MXDocTemplate_Name")="","AEF1126",[1]!alvDocProperty("MXDocTemplate_Name")),"AEF1126")</f>
        <v>AEF1126</v>
      </c>
      <c r="X7" s="357"/>
      <c r="Y7" s="357"/>
      <c r="Z7" s="357"/>
      <c r="AA7" s="358"/>
      <c r="AB7" s="356" t="str">
        <f ca="1" xml:space="preserve"> IFERROR(IF([1]!alvDocProperty("MXRevision")="","TBD",[1]!alvDocProperty("MXRevision")),"TBD")</f>
        <v>TBD</v>
      </c>
      <c r="AC7" s="357"/>
      <c r="AD7" s="358"/>
      <c r="AE7" s="356" t="str">
        <f ca="1" xml:space="preserve"> IFERROR(IF([1]!alvDocProperty("MXVersion")="","TBD",[1]!alvDocProperty("MXVersion")),"TBD")</f>
        <v>TBD</v>
      </c>
      <c r="AF7" s="357"/>
      <c r="AG7" s="358"/>
      <c r="AH7" s="14"/>
      <c r="AI7" s="14"/>
      <c r="AJ7" s="14"/>
      <c r="AK7" s="14"/>
    </row>
    <row r="8" spans="1:37" s="13" customFormat="1" x14ac:dyDescent="0.2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8"/>
      <c r="X8" s="48"/>
      <c r="Y8" s="48"/>
      <c r="Z8" s="48"/>
      <c r="AA8" s="48"/>
      <c r="AB8" s="47"/>
      <c r="AC8" s="47"/>
      <c r="AD8" s="47"/>
      <c r="AE8" s="47"/>
      <c r="AF8" s="47"/>
      <c r="AG8" s="47"/>
      <c r="AH8" s="12"/>
      <c r="AI8" s="12"/>
      <c r="AJ8" s="12"/>
      <c r="AK8" s="12"/>
    </row>
    <row r="9" spans="1:37" ht="11.1" customHeight="1" x14ac:dyDescent="0.2">
      <c r="A9" s="332" t="s">
        <v>21</v>
      </c>
      <c r="B9" s="333"/>
      <c r="C9" s="333"/>
      <c r="D9" s="333"/>
      <c r="E9" s="333"/>
      <c r="F9" s="333"/>
      <c r="G9" s="333"/>
      <c r="H9" s="333"/>
      <c r="I9" s="333"/>
      <c r="J9" s="333"/>
      <c r="K9" s="334"/>
      <c r="L9" s="332" t="s">
        <v>22</v>
      </c>
      <c r="M9" s="333"/>
      <c r="N9" s="333"/>
      <c r="O9" s="333"/>
      <c r="P9" s="333"/>
      <c r="Q9" s="333"/>
      <c r="R9" s="333"/>
      <c r="S9" s="333"/>
      <c r="T9" s="333"/>
      <c r="U9" s="333"/>
      <c r="V9" s="334"/>
      <c r="W9" s="332" t="s">
        <v>23</v>
      </c>
      <c r="X9" s="333"/>
      <c r="Y9" s="333"/>
      <c r="Z9" s="333"/>
      <c r="AA9" s="333"/>
      <c r="AB9" s="333"/>
      <c r="AC9" s="333"/>
      <c r="AD9" s="333"/>
      <c r="AE9" s="333"/>
      <c r="AF9" s="333"/>
      <c r="AG9" s="334"/>
      <c r="AH9" s="16"/>
      <c r="AI9" s="16"/>
    </row>
    <row r="10" spans="1:37" s="50" customFormat="1" ht="28.5" customHeight="1" x14ac:dyDescent="0.2">
      <c r="A10" s="344" t="s">
        <v>33</v>
      </c>
      <c r="B10" s="345"/>
      <c r="C10" s="345"/>
      <c r="D10" s="345"/>
      <c r="E10" s="345"/>
      <c r="F10" s="323" t="str">
        <f ca="1" xml:space="preserve"> IFERROR(IF([1]!alvDocProperty("MXUser")="","TBD",[1]!alvDocProperty("MXUser")),"TBD")</f>
        <v>TBD</v>
      </c>
      <c r="G10" s="323"/>
      <c r="H10" s="323"/>
      <c r="I10" s="323"/>
      <c r="J10" s="323"/>
      <c r="K10" s="324"/>
      <c r="L10" s="341" t="s">
        <v>172</v>
      </c>
      <c r="M10" s="342"/>
      <c r="N10" s="342"/>
      <c r="O10" s="342"/>
      <c r="P10" s="342"/>
      <c r="Q10" s="342"/>
      <c r="R10" s="342"/>
      <c r="S10" s="342"/>
      <c r="T10" s="342"/>
      <c r="U10" s="342"/>
      <c r="V10" s="343"/>
      <c r="W10" s="341" t="s">
        <v>172</v>
      </c>
      <c r="X10" s="342"/>
      <c r="Y10" s="342"/>
      <c r="Z10" s="342"/>
      <c r="AA10" s="342"/>
      <c r="AB10" s="342"/>
      <c r="AC10" s="342"/>
      <c r="AD10" s="342"/>
      <c r="AE10" s="342"/>
      <c r="AF10" s="342"/>
      <c r="AG10" s="343"/>
      <c r="AH10" s="49"/>
      <c r="AI10" s="49"/>
    </row>
    <row r="11" spans="1:37" s="56" customFormat="1" ht="4.5" customHeight="1" x14ac:dyDescent="0.2">
      <c r="A11" s="51"/>
      <c r="B11" s="52"/>
      <c r="C11" s="52"/>
      <c r="D11" s="52"/>
      <c r="E11" s="52"/>
      <c r="F11" s="52"/>
      <c r="G11" s="52"/>
      <c r="H11" s="52"/>
      <c r="I11" s="52"/>
      <c r="J11" s="52"/>
      <c r="K11" s="52"/>
      <c r="L11" s="53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3"/>
      <c r="X11" s="52"/>
      <c r="Y11" s="52"/>
      <c r="Z11" s="52"/>
      <c r="AA11" s="52"/>
      <c r="AB11" s="52"/>
      <c r="AC11" s="52"/>
      <c r="AD11" s="52"/>
      <c r="AE11" s="52"/>
      <c r="AF11" s="52"/>
      <c r="AG11" s="54"/>
      <c r="AH11" s="55"/>
      <c r="AI11" s="55"/>
    </row>
    <row r="12" spans="1:37" s="57" customFormat="1" ht="11.1" customHeight="1" x14ac:dyDescent="0.2">
      <c r="A12" s="329" t="s">
        <v>24</v>
      </c>
      <c r="B12" s="330"/>
      <c r="C12" s="330"/>
      <c r="D12" s="330"/>
      <c r="E12" s="330"/>
      <c r="F12" s="330"/>
      <c r="G12" s="330"/>
      <c r="H12" s="330"/>
      <c r="I12" s="330"/>
      <c r="J12" s="330"/>
      <c r="K12" s="330"/>
      <c r="L12" s="330"/>
      <c r="M12" s="330"/>
      <c r="N12" s="330"/>
      <c r="O12" s="330"/>
      <c r="P12" s="330"/>
      <c r="Q12" s="330"/>
      <c r="R12" s="330"/>
      <c r="S12" s="330"/>
      <c r="T12" s="330"/>
      <c r="U12" s="330"/>
      <c r="V12" s="330"/>
      <c r="W12" s="330"/>
      <c r="X12" s="330"/>
      <c r="Y12" s="330"/>
      <c r="Z12" s="330"/>
      <c r="AA12" s="330"/>
      <c r="AB12" s="330"/>
      <c r="AC12" s="330"/>
      <c r="AD12" s="330"/>
      <c r="AE12" s="330"/>
      <c r="AF12" s="330"/>
      <c r="AG12" s="331"/>
      <c r="AH12" s="16"/>
      <c r="AI12" s="16"/>
      <c r="AJ12" s="16"/>
      <c r="AK12" s="16"/>
    </row>
    <row r="13" spans="1:37" s="50" customFormat="1" ht="28.5" customHeight="1" x14ac:dyDescent="0.2">
      <c r="A13" s="311" t="s">
        <v>173</v>
      </c>
      <c r="B13" s="312"/>
      <c r="C13" s="312"/>
      <c r="D13" s="312"/>
      <c r="E13" s="312"/>
      <c r="F13" s="312"/>
      <c r="G13" s="312"/>
      <c r="H13" s="312"/>
      <c r="I13" s="312"/>
      <c r="J13" s="312"/>
      <c r="K13" s="312"/>
      <c r="L13" s="312"/>
      <c r="M13" s="312"/>
      <c r="N13" s="312"/>
      <c r="O13" s="312"/>
      <c r="P13" s="312"/>
      <c r="Q13" s="312"/>
      <c r="R13" s="312"/>
      <c r="S13" s="312"/>
      <c r="T13" s="312"/>
      <c r="U13" s="312"/>
      <c r="V13" s="312"/>
      <c r="W13" s="312"/>
      <c r="X13" s="312"/>
      <c r="Y13" s="312"/>
      <c r="Z13" s="312"/>
      <c r="AA13" s="312"/>
      <c r="AB13" s="312"/>
      <c r="AC13" s="312"/>
      <c r="AD13" s="312"/>
      <c r="AE13" s="312"/>
      <c r="AF13" s="312"/>
      <c r="AG13" s="313"/>
      <c r="AH13" s="49"/>
      <c r="AI13" s="49"/>
      <c r="AJ13" s="49"/>
      <c r="AK13" s="49"/>
    </row>
    <row r="14" spans="1:37" s="56" customFormat="1" ht="4.5" customHeight="1" x14ac:dyDescent="0.2">
      <c r="A14" s="53"/>
      <c r="B14" s="52"/>
      <c r="C14" s="52"/>
      <c r="D14" s="52"/>
      <c r="E14" s="52"/>
      <c r="F14" s="52"/>
      <c r="G14" s="52"/>
      <c r="H14" s="52"/>
      <c r="I14" s="52"/>
      <c r="J14" s="52"/>
      <c r="K14" s="52"/>
      <c r="L14" s="53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3"/>
      <c r="X14" s="52"/>
      <c r="Y14" s="52"/>
      <c r="Z14" s="52"/>
      <c r="AA14" s="52"/>
      <c r="AB14" s="52"/>
      <c r="AC14" s="52"/>
      <c r="AD14" s="52"/>
      <c r="AE14" s="52"/>
      <c r="AF14" s="52"/>
      <c r="AG14" s="52"/>
      <c r="AH14" s="55"/>
      <c r="AI14" s="55"/>
    </row>
    <row r="15" spans="1:37" s="19" customFormat="1" ht="73.5" customHeight="1" x14ac:dyDescent="0.2">
      <c r="A15" s="346" t="s">
        <v>25</v>
      </c>
      <c r="B15" s="346"/>
      <c r="C15" s="346"/>
      <c r="D15" s="347"/>
      <c r="E15" s="326" t="s">
        <v>145</v>
      </c>
      <c r="F15" s="327"/>
      <c r="G15" s="327"/>
      <c r="H15" s="327"/>
      <c r="I15" s="327"/>
      <c r="J15" s="327"/>
      <c r="K15" s="327"/>
      <c r="L15" s="327"/>
      <c r="M15" s="327"/>
      <c r="N15" s="327"/>
      <c r="O15" s="327"/>
      <c r="P15" s="327"/>
      <c r="Q15" s="327"/>
      <c r="R15" s="327"/>
      <c r="S15" s="327"/>
      <c r="T15" s="327"/>
      <c r="U15" s="327"/>
      <c r="V15" s="327"/>
      <c r="W15" s="327"/>
      <c r="X15" s="327"/>
      <c r="Y15" s="327"/>
      <c r="Z15" s="327"/>
      <c r="AA15" s="327"/>
      <c r="AB15" s="327"/>
      <c r="AC15" s="327"/>
      <c r="AD15" s="327"/>
      <c r="AE15" s="327"/>
      <c r="AF15" s="327"/>
      <c r="AG15" s="328"/>
      <c r="AH15" s="18"/>
      <c r="AI15" s="18"/>
      <c r="AJ15" s="18"/>
      <c r="AK15" s="18"/>
    </row>
    <row r="16" spans="1:37" s="19" customFormat="1" ht="37.5" customHeight="1" x14ac:dyDescent="0.2">
      <c r="A16" s="348"/>
      <c r="B16" s="348"/>
      <c r="C16" s="348"/>
      <c r="D16" s="349"/>
      <c r="E16" s="338"/>
      <c r="F16" s="339"/>
      <c r="G16" s="339"/>
      <c r="H16" s="339"/>
      <c r="I16" s="339"/>
      <c r="J16" s="339"/>
      <c r="K16" s="339"/>
      <c r="L16" s="339"/>
      <c r="M16" s="339"/>
      <c r="N16" s="339"/>
      <c r="O16" s="339"/>
      <c r="P16" s="339"/>
      <c r="Q16" s="339"/>
      <c r="R16" s="339"/>
      <c r="S16" s="339"/>
      <c r="T16" s="339"/>
      <c r="U16" s="339"/>
      <c r="V16" s="339"/>
      <c r="W16" s="339"/>
      <c r="X16" s="339"/>
      <c r="Y16" s="339"/>
      <c r="Z16" s="339"/>
      <c r="AA16" s="339"/>
      <c r="AB16" s="339"/>
      <c r="AC16" s="339"/>
      <c r="AD16" s="339"/>
      <c r="AE16" s="339"/>
      <c r="AF16" s="339"/>
      <c r="AG16" s="340"/>
      <c r="AH16" s="18"/>
      <c r="AI16" s="18"/>
      <c r="AJ16" s="18"/>
      <c r="AK16" s="18"/>
    </row>
    <row r="17" spans="1:37" s="19" customFormat="1" x14ac:dyDescent="0.2"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</row>
    <row r="18" spans="1:37" s="19" customFormat="1" x14ac:dyDescent="0.2"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</row>
    <row r="19" spans="1:37" s="19" customFormat="1" x14ac:dyDescent="0.2"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</row>
    <row r="20" spans="1:37" s="19" customFormat="1" x14ac:dyDescent="0.2">
      <c r="C20" s="18"/>
      <c r="D20" s="18"/>
      <c r="E20" s="18"/>
      <c r="F20" s="18"/>
      <c r="G20" s="18"/>
      <c r="H20" s="18"/>
      <c r="I20" s="18"/>
      <c r="J20" s="18"/>
      <c r="K20" s="18"/>
      <c r="L20" s="18"/>
      <c r="M20" s="18"/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</row>
    <row r="21" spans="1:37" s="19" customFormat="1" ht="15.75" customHeight="1" x14ac:dyDescent="0.2"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5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</row>
    <row r="22" spans="1:37" s="19" customFormat="1" ht="12" customHeight="1" x14ac:dyDescent="0.2">
      <c r="C22" s="18"/>
      <c r="D22" s="18"/>
      <c r="E22" s="18"/>
      <c r="F22" s="18"/>
      <c r="G22" s="18"/>
      <c r="H22" s="18"/>
      <c r="I22" s="18"/>
      <c r="J22" s="18"/>
      <c r="K22" s="18"/>
      <c r="L22" s="18"/>
      <c r="M22" s="18"/>
      <c r="N22" s="18"/>
      <c r="O22" s="18"/>
      <c r="P22" s="18"/>
      <c r="Q22" s="5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</row>
    <row r="23" spans="1:37" s="19" customFormat="1" ht="60" customHeight="1" x14ac:dyDescent="0.2">
      <c r="A23" s="325" t="str">
        <f ca="1">MXTitle</f>
        <v>SW00TEM007 Generic Excel Template</v>
      </c>
      <c r="B23" s="325"/>
      <c r="C23" s="325"/>
      <c r="D23" s="325"/>
      <c r="E23" s="325"/>
      <c r="F23" s="325"/>
      <c r="G23" s="325"/>
      <c r="H23" s="325"/>
      <c r="I23" s="325"/>
      <c r="J23" s="325"/>
      <c r="K23" s="325"/>
      <c r="L23" s="325"/>
      <c r="M23" s="325"/>
      <c r="N23" s="325"/>
      <c r="O23" s="325"/>
      <c r="P23" s="325"/>
      <c r="Q23" s="325"/>
      <c r="R23" s="325"/>
      <c r="S23" s="325"/>
      <c r="T23" s="325"/>
      <c r="U23" s="325"/>
      <c r="V23" s="325"/>
      <c r="W23" s="325"/>
      <c r="X23" s="325"/>
      <c r="Y23" s="325"/>
      <c r="Z23" s="325"/>
      <c r="AA23" s="325"/>
      <c r="AB23" s="325"/>
      <c r="AC23" s="325"/>
      <c r="AD23" s="325"/>
      <c r="AE23" s="325"/>
      <c r="AF23" s="325"/>
      <c r="AG23" s="325"/>
      <c r="AH23" s="18"/>
      <c r="AI23" s="18"/>
      <c r="AJ23" s="18"/>
      <c r="AK23" s="18"/>
    </row>
    <row r="24" spans="1:37" s="103" customFormat="1" ht="26.25" x14ac:dyDescent="0.2">
      <c r="B24" s="104"/>
      <c r="C24" s="105"/>
      <c r="D24" s="105"/>
      <c r="E24" s="105"/>
      <c r="F24" s="105"/>
      <c r="G24" s="105"/>
      <c r="H24" s="105"/>
      <c r="I24" s="105"/>
      <c r="K24" s="106"/>
      <c r="L24" s="107" t="s">
        <v>80</v>
      </c>
      <c r="M24" s="108"/>
      <c r="N24" s="108"/>
      <c r="O24" s="320" t="s">
        <v>118</v>
      </c>
      <c r="P24" s="321"/>
      <c r="Q24" s="321"/>
      <c r="R24" s="321"/>
      <c r="S24" s="321"/>
      <c r="T24" s="321"/>
      <c r="U24" s="322"/>
      <c r="Z24" s="105"/>
      <c r="AA24" s="105"/>
      <c r="AB24" s="105"/>
      <c r="AC24" s="105"/>
      <c r="AD24" s="105"/>
      <c r="AE24" s="105"/>
      <c r="AF24" s="105"/>
      <c r="AG24" s="105"/>
      <c r="AH24" s="105"/>
      <c r="AI24" s="109"/>
      <c r="AJ24" s="109"/>
      <c r="AK24" s="109"/>
    </row>
    <row r="25" spans="1:37" s="19" customFormat="1" x14ac:dyDescent="0.2"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</row>
    <row r="26" spans="1:37" x14ac:dyDescent="0.2"/>
    <row r="27" spans="1:37" hidden="1" x14ac:dyDescent="0.2"/>
    <row r="28" spans="1:37" hidden="1" x14ac:dyDescent="0.2"/>
    <row r="29" spans="1:37" hidden="1" x14ac:dyDescent="0.2"/>
    <row r="30" spans="1:37" hidden="1" x14ac:dyDescent="0.2"/>
    <row r="31" spans="1:37" hidden="1" x14ac:dyDescent="0.2"/>
    <row r="32" spans="1:37" hidden="1" x14ac:dyDescent="0.2"/>
    <row r="33" hidden="1" x14ac:dyDescent="0.2"/>
    <row r="34" hidden="1" x14ac:dyDescent="0.2"/>
    <row r="35" hidden="1" x14ac:dyDescent="0.2"/>
    <row r="36" hidden="1" x14ac:dyDescent="0.2"/>
    <row r="37" hidden="1" x14ac:dyDescent="0.2"/>
    <row r="38" hidden="1" x14ac:dyDescent="0.2"/>
    <row r="39" hidden="1" x14ac:dyDescent="0.2"/>
    <row r="40" hidden="1" x14ac:dyDescent="0.2"/>
    <row r="41" hidden="1" x14ac:dyDescent="0.2"/>
    <row r="42" hidden="1" x14ac:dyDescent="0.2"/>
    <row r="43" hidden="1" x14ac:dyDescent="0.2"/>
    <row r="44" hidden="1" x14ac:dyDescent="0.2"/>
    <row r="45" hidden="1" x14ac:dyDescent="0.2"/>
    <row r="46" hidden="1" x14ac:dyDescent="0.2"/>
    <row r="47" hidden="1" x14ac:dyDescent="0.2"/>
    <row r="48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</sheetData>
  <sheetProtection formatCells="0" formatRows="0" insertColumns="0" insertRows="0" insertHyperlinks="0" deleteRows="0" selectLockedCells="1" sort="0" autoFilter="0" pivotTables="0"/>
  <dataConsolidate/>
  <mergeCells count="30">
    <mergeCell ref="AB5:AG5"/>
    <mergeCell ref="E6:V6"/>
    <mergeCell ref="W10:AG10"/>
    <mergeCell ref="AB4:AG4"/>
    <mergeCell ref="W5:AA5"/>
    <mergeCell ref="W4:AA4"/>
    <mergeCell ref="AE7:AG7"/>
    <mergeCell ref="AB7:AD7"/>
    <mergeCell ref="A4:V4"/>
    <mergeCell ref="A5:V5"/>
    <mergeCell ref="A6:D6"/>
    <mergeCell ref="W7:AA7"/>
    <mergeCell ref="W9:AG9"/>
    <mergeCell ref="E7:V7"/>
    <mergeCell ref="A13:AG13"/>
    <mergeCell ref="AE6:AG6"/>
    <mergeCell ref="AB6:AD6"/>
    <mergeCell ref="W6:AA6"/>
    <mergeCell ref="O24:U24"/>
    <mergeCell ref="F10:K10"/>
    <mergeCell ref="A23:AG23"/>
    <mergeCell ref="E15:AG15"/>
    <mergeCell ref="A12:AG12"/>
    <mergeCell ref="A9:K9"/>
    <mergeCell ref="A7:D7"/>
    <mergeCell ref="E16:AG16"/>
    <mergeCell ref="L9:V9"/>
    <mergeCell ref="L10:V10"/>
    <mergeCell ref="A10:E10"/>
    <mergeCell ref="A15:D16"/>
  </mergeCells>
  <phoneticPr fontId="4" type="noConversion"/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Reserved&amp;LExxxxxxx rev xxx ver xxx&amp;R&amp;P</oddFooter>
  </headerFooter>
  <ignoredErrors>
    <ignoredError sqref="A23 AH23:IV23" unlockedFormula="1"/>
    <ignoredError sqref="AD3" evalError="1"/>
  </ignoredErrors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9" tint="0.59999389629810485"/>
  </sheetPr>
  <dimension ref="A1:BH174"/>
  <sheetViews>
    <sheetView showGridLines="0" zoomScaleNormal="100" workbookViewId="0">
      <selection activeCell="G21" sqref="G21:AF21"/>
    </sheetView>
  </sheetViews>
  <sheetFormatPr defaultColWidth="0" defaultRowHeight="12.75" zeroHeight="1" x14ac:dyDescent="0.2"/>
  <cols>
    <col min="1" max="33" width="2.85546875" style="17" customWidth="1"/>
    <col min="34" max="34" width="1.28515625" style="17" customWidth="1"/>
    <col min="35" max="60" width="3.28515625" style="17" hidden="1" customWidth="1"/>
    <col min="61" max="16384" width="0" style="17" hidden="1"/>
  </cols>
  <sheetData>
    <row r="1" spans="1:37" s="2" customFormat="1" x14ac:dyDescent="0.2">
      <c r="C1" s="3"/>
      <c r="D1" s="3"/>
      <c r="E1" s="3"/>
      <c r="F1" s="3"/>
      <c r="G1" s="4"/>
      <c r="H1" s="5"/>
      <c r="I1" s="5"/>
      <c r="J1" s="5"/>
      <c r="K1" s="5"/>
      <c r="L1" s="5"/>
      <c r="M1" s="5"/>
      <c r="N1" s="5"/>
      <c r="O1" s="5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</row>
    <row r="2" spans="1:37" s="2" customFormat="1" x14ac:dyDescent="0.2"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</row>
    <row r="3" spans="1:37" s="8" customFormat="1" x14ac:dyDescent="0.2">
      <c r="C3" s="9"/>
      <c r="D3" s="9"/>
      <c r="E3" s="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10" t="str">
        <f ca="1">FileName</f>
        <v>SyRM_TR6.xlsm</v>
      </c>
      <c r="AE3" s="9"/>
      <c r="AF3" s="9"/>
      <c r="AG3" s="9"/>
      <c r="AH3" s="9"/>
      <c r="AI3" s="9"/>
      <c r="AJ3" s="9"/>
      <c r="AK3" s="9"/>
    </row>
    <row r="4" spans="1:37" s="8" customFormat="1" ht="11.1" customHeight="1" x14ac:dyDescent="0.2">
      <c r="A4" s="380"/>
      <c r="B4" s="380"/>
      <c r="C4" s="380"/>
      <c r="D4" s="380"/>
      <c r="E4" s="380"/>
      <c r="F4" s="380"/>
      <c r="G4" s="380"/>
      <c r="H4" s="380"/>
      <c r="I4" s="380"/>
      <c r="J4" s="380"/>
      <c r="K4" s="380"/>
      <c r="L4" s="380"/>
      <c r="M4" s="380"/>
      <c r="N4" s="380"/>
      <c r="O4" s="380"/>
      <c r="P4" s="380"/>
      <c r="Q4" s="380"/>
      <c r="R4" s="380"/>
      <c r="S4" s="380"/>
      <c r="T4" s="380"/>
      <c r="U4" s="380"/>
      <c r="V4" s="380"/>
      <c r="W4" s="377"/>
      <c r="X4" s="377"/>
      <c r="Y4" s="377"/>
      <c r="Z4" s="377"/>
      <c r="AA4" s="377"/>
      <c r="AB4" s="375"/>
      <c r="AC4" s="375"/>
      <c r="AD4" s="375"/>
      <c r="AE4" s="375"/>
      <c r="AF4" s="375"/>
      <c r="AG4" s="375"/>
      <c r="AH4" s="11"/>
      <c r="AI4" s="11"/>
      <c r="AJ4" s="11"/>
      <c r="AK4" s="9"/>
    </row>
    <row r="5" spans="1:37" s="13" customFormat="1" x14ac:dyDescent="0.2">
      <c r="A5" s="376"/>
      <c r="B5" s="376"/>
      <c r="C5" s="376"/>
      <c r="D5" s="376"/>
      <c r="E5" s="376"/>
      <c r="F5" s="376"/>
      <c r="G5" s="376"/>
      <c r="H5" s="376"/>
      <c r="I5" s="376"/>
      <c r="J5" s="376"/>
      <c r="K5" s="376"/>
      <c r="L5" s="376"/>
      <c r="M5" s="376"/>
      <c r="N5" s="376"/>
      <c r="O5" s="376"/>
      <c r="P5" s="376"/>
      <c r="Q5" s="376"/>
      <c r="R5" s="376"/>
      <c r="S5" s="376"/>
      <c r="T5" s="376"/>
      <c r="U5" s="376"/>
      <c r="V5" s="376"/>
      <c r="W5" s="378"/>
      <c r="X5" s="378"/>
      <c r="Y5" s="378"/>
      <c r="Z5" s="378"/>
      <c r="AA5" s="378"/>
      <c r="AB5" s="376"/>
      <c r="AC5" s="376"/>
      <c r="AD5" s="376"/>
      <c r="AE5" s="376"/>
      <c r="AF5" s="376"/>
      <c r="AG5" s="376"/>
      <c r="AH5" s="12"/>
      <c r="AI5" s="12"/>
      <c r="AJ5" s="12"/>
      <c r="AK5" s="12"/>
    </row>
    <row r="6" spans="1:37" s="8" customFormat="1" ht="11.1" customHeight="1" x14ac:dyDescent="0.2">
      <c r="A6" s="379"/>
      <c r="B6" s="379"/>
      <c r="C6" s="379"/>
      <c r="D6" s="379"/>
      <c r="E6" s="379"/>
      <c r="F6" s="379"/>
      <c r="G6" s="379"/>
      <c r="H6" s="379"/>
      <c r="I6" s="379"/>
      <c r="J6" s="379"/>
      <c r="K6" s="379"/>
      <c r="L6" s="379"/>
      <c r="M6" s="379"/>
      <c r="N6" s="379"/>
      <c r="O6" s="379"/>
      <c r="P6" s="379"/>
      <c r="Q6" s="379"/>
      <c r="R6" s="379"/>
      <c r="S6" s="379"/>
      <c r="T6" s="379"/>
      <c r="U6" s="379"/>
      <c r="V6" s="379"/>
      <c r="W6" s="380"/>
      <c r="X6" s="380"/>
      <c r="Y6" s="380"/>
      <c r="Z6" s="380"/>
      <c r="AA6" s="380"/>
      <c r="AB6" s="377"/>
      <c r="AC6" s="377"/>
      <c r="AD6" s="377"/>
      <c r="AE6" s="377"/>
      <c r="AF6" s="377"/>
      <c r="AG6" s="377"/>
      <c r="AH6" s="9"/>
      <c r="AI6" s="9"/>
      <c r="AJ6" s="9"/>
      <c r="AK6" s="9"/>
    </row>
    <row r="7" spans="1:37" s="13" customFormat="1" x14ac:dyDescent="0.2">
      <c r="A7" s="378"/>
      <c r="B7" s="378"/>
      <c r="C7" s="378"/>
      <c r="D7" s="378"/>
      <c r="E7" s="378"/>
      <c r="F7" s="378"/>
      <c r="G7" s="378"/>
      <c r="H7" s="378"/>
      <c r="I7" s="378"/>
      <c r="J7" s="378"/>
      <c r="K7" s="378"/>
      <c r="L7" s="378"/>
      <c r="M7" s="378"/>
      <c r="N7" s="378"/>
      <c r="O7" s="378"/>
      <c r="P7" s="378"/>
      <c r="Q7" s="378"/>
      <c r="R7" s="378"/>
      <c r="S7" s="378"/>
      <c r="T7" s="378"/>
      <c r="U7" s="378"/>
      <c r="V7" s="378"/>
      <c r="W7" s="378"/>
      <c r="X7" s="378"/>
      <c r="Y7" s="378"/>
      <c r="Z7" s="378"/>
      <c r="AA7" s="378"/>
      <c r="AB7" s="378"/>
      <c r="AC7" s="378"/>
      <c r="AD7" s="378"/>
      <c r="AE7" s="378"/>
      <c r="AF7" s="378"/>
      <c r="AG7" s="378"/>
      <c r="AH7" s="12"/>
      <c r="AI7" s="12"/>
      <c r="AJ7" s="12"/>
      <c r="AK7" s="12"/>
    </row>
    <row r="8" spans="1:37" s="44" customFormat="1" ht="11.1" customHeight="1" x14ac:dyDescent="0.2">
      <c r="A8" s="379"/>
      <c r="B8" s="379"/>
      <c r="C8" s="379"/>
      <c r="D8" s="379"/>
      <c r="E8" s="379"/>
      <c r="F8" s="379"/>
      <c r="G8" s="379"/>
      <c r="H8" s="379"/>
      <c r="I8" s="379"/>
      <c r="J8" s="379"/>
      <c r="K8" s="379"/>
      <c r="L8" s="379"/>
      <c r="M8" s="379"/>
      <c r="N8" s="379"/>
      <c r="O8" s="379"/>
      <c r="P8" s="379"/>
      <c r="Q8" s="379"/>
      <c r="R8" s="379"/>
      <c r="S8" s="379"/>
      <c r="T8" s="379"/>
      <c r="U8" s="379"/>
      <c r="V8" s="379"/>
      <c r="W8" s="379"/>
      <c r="X8" s="379"/>
      <c r="Y8" s="379"/>
      <c r="Z8" s="379"/>
      <c r="AA8" s="379"/>
      <c r="AB8" s="379"/>
      <c r="AC8" s="379"/>
      <c r="AD8" s="379"/>
      <c r="AE8" s="379"/>
      <c r="AF8" s="379"/>
      <c r="AG8" s="379"/>
      <c r="AH8" s="218"/>
      <c r="AI8" s="218"/>
      <c r="AJ8" s="218"/>
      <c r="AK8" s="218"/>
    </row>
    <row r="9" spans="1:37" s="220" customFormat="1" x14ac:dyDescent="0.2">
      <c r="A9" s="384"/>
      <c r="B9" s="384"/>
      <c r="C9" s="384"/>
      <c r="D9" s="384"/>
      <c r="E9" s="384"/>
      <c r="F9" s="384"/>
      <c r="G9" s="384"/>
      <c r="H9" s="384"/>
      <c r="I9" s="384"/>
      <c r="J9" s="384"/>
      <c r="K9" s="384"/>
      <c r="L9" s="384"/>
      <c r="M9" s="384"/>
      <c r="N9" s="384"/>
      <c r="O9" s="384"/>
      <c r="P9" s="384"/>
      <c r="Q9" s="384"/>
      <c r="R9" s="384"/>
      <c r="S9" s="384"/>
      <c r="T9" s="384"/>
      <c r="U9" s="384"/>
      <c r="V9" s="384"/>
      <c r="W9" s="384"/>
      <c r="X9" s="384"/>
      <c r="Y9" s="384"/>
      <c r="Z9" s="384"/>
      <c r="AA9" s="384"/>
      <c r="AB9" s="384"/>
      <c r="AC9" s="384"/>
      <c r="AD9" s="384"/>
      <c r="AE9" s="384"/>
      <c r="AF9" s="384"/>
      <c r="AG9" s="384"/>
      <c r="AH9" s="219"/>
      <c r="AI9" s="219"/>
      <c r="AJ9" s="219"/>
    </row>
    <row r="10" spans="1:37" x14ac:dyDescent="0.2"/>
    <row r="11" spans="1:37" x14ac:dyDescent="0.2"/>
    <row r="12" spans="1:37" ht="26.25" x14ac:dyDescent="0.2">
      <c r="B12" s="20" t="s">
        <v>16</v>
      </c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</row>
    <row r="13" spans="1:37" x14ac:dyDescent="0.2"/>
    <row r="14" spans="1:37" ht="20.25" x14ac:dyDescent="0.2">
      <c r="B14" s="22" t="s">
        <v>17</v>
      </c>
      <c r="C14" s="23"/>
    </row>
    <row r="15" spans="1:37" ht="12.75" customHeight="1" x14ac:dyDescent="0.2">
      <c r="B15" s="362" t="s">
        <v>7</v>
      </c>
      <c r="C15" s="363"/>
      <c r="D15" s="363"/>
      <c r="E15" s="363"/>
      <c r="F15" s="364"/>
      <c r="G15" s="362" t="s">
        <v>6</v>
      </c>
      <c r="H15" s="363"/>
      <c r="I15" s="363"/>
      <c r="J15" s="363"/>
      <c r="K15" s="363"/>
      <c r="L15" s="363"/>
      <c r="M15" s="363"/>
      <c r="N15" s="363"/>
      <c r="O15" s="363"/>
      <c r="P15" s="363"/>
      <c r="Q15" s="363"/>
      <c r="R15" s="363"/>
      <c r="S15" s="363"/>
      <c r="T15" s="363"/>
      <c r="U15" s="363"/>
      <c r="V15" s="363"/>
      <c r="W15" s="363"/>
      <c r="X15" s="363"/>
      <c r="Y15" s="363"/>
      <c r="Z15" s="363"/>
      <c r="AA15" s="363"/>
      <c r="AB15" s="363"/>
      <c r="AC15" s="363"/>
      <c r="AD15" s="363"/>
      <c r="AE15" s="363"/>
      <c r="AF15" s="364"/>
    </row>
    <row r="16" spans="1:37" ht="24" customHeight="1" x14ac:dyDescent="0.2">
      <c r="B16" s="381" t="s">
        <v>34</v>
      </c>
      <c r="C16" s="382"/>
      <c r="D16" s="382"/>
      <c r="E16" s="382"/>
      <c r="F16" s="383"/>
      <c r="G16" s="365" t="s">
        <v>37</v>
      </c>
      <c r="H16" s="366"/>
      <c r="I16" s="366"/>
      <c r="J16" s="366"/>
      <c r="K16" s="366"/>
      <c r="L16" s="366"/>
      <c r="M16" s="366"/>
      <c r="N16" s="366"/>
      <c r="O16" s="366"/>
      <c r="P16" s="366"/>
      <c r="Q16" s="366"/>
      <c r="R16" s="366"/>
      <c r="S16" s="366"/>
      <c r="T16" s="366"/>
      <c r="U16" s="366"/>
      <c r="V16" s="366"/>
      <c r="W16" s="366"/>
      <c r="X16" s="366"/>
      <c r="Y16" s="366"/>
      <c r="Z16" s="366"/>
      <c r="AA16" s="366"/>
      <c r="AB16" s="366"/>
      <c r="AC16" s="366"/>
      <c r="AD16" s="366"/>
      <c r="AE16" s="366"/>
      <c r="AF16" s="367"/>
    </row>
    <row r="17" spans="1:45" ht="24" customHeight="1" x14ac:dyDescent="0.2">
      <c r="B17" s="381" t="s">
        <v>35</v>
      </c>
      <c r="C17" s="382"/>
      <c r="D17" s="382"/>
      <c r="E17" s="382"/>
      <c r="F17" s="383"/>
      <c r="G17" s="365" t="s">
        <v>36</v>
      </c>
      <c r="H17" s="366"/>
      <c r="I17" s="366"/>
      <c r="J17" s="366"/>
      <c r="K17" s="366"/>
      <c r="L17" s="366"/>
      <c r="M17" s="366"/>
      <c r="N17" s="366"/>
      <c r="O17" s="366"/>
      <c r="P17" s="366"/>
      <c r="Q17" s="366"/>
      <c r="R17" s="366"/>
      <c r="S17" s="366"/>
      <c r="T17" s="366"/>
      <c r="U17" s="366"/>
      <c r="V17" s="366"/>
      <c r="W17" s="366"/>
      <c r="X17" s="366"/>
      <c r="Y17" s="366"/>
      <c r="Z17" s="366"/>
      <c r="AA17" s="366"/>
      <c r="AB17" s="366"/>
      <c r="AC17" s="366"/>
      <c r="AD17" s="366"/>
      <c r="AE17" s="366"/>
      <c r="AF17" s="367"/>
    </row>
    <row r="18" spans="1:45" ht="24" customHeight="1" x14ac:dyDescent="0.2">
      <c r="B18" s="381" t="s">
        <v>81</v>
      </c>
      <c r="C18" s="382"/>
      <c r="D18" s="382"/>
      <c r="E18" s="382"/>
      <c r="F18" s="383"/>
      <c r="G18" s="365" t="s">
        <v>82</v>
      </c>
      <c r="H18" s="366"/>
      <c r="I18" s="366"/>
      <c r="J18" s="366"/>
      <c r="K18" s="366"/>
      <c r="L18" s="366"/>
      <c r="M18" s="366"/>
      <c r="N18" s="366"/>
      <c r="O18" s="366"/>
      <c r="P18" s="366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7"/>
    </row>
    <row r="19" spans="1:45" ht="24" customHeight="1" x14ac:dyDescent="0.2">
      <c r="B19" s="399" t="s">
        <v>83</v>
      </c>
      <c r="C19" s="387"/>
      <c r="D19" s="387"/>
      <c r="E19" s="387"/>
      <c r="F19" s="388"/>
      <c r="G19" s="389" t="s">
        <v>125</v>
      </c>
      <c r="H19" s="366"/>
      <c r="I19" s="366"/>
      <c r="J19" s="366"/>
      <c r="K19" s="366"/>
      <c r="L19" s="366"/>
      <c r="M19" s="366"/>
      <c r="N19" s="366"/>
      <c r="O19" s="366"/>
      <c r="P19" s="366"/>
      <c r="Q19" s="366"/>
      <c r="R19" s="366"/>
      <c r="S19" s="366"/>
      <c r="T19" s="366"/>
      <c r="U19" s="366"/>
      <c r="V19" s="366"/>
      <c r="W19" s="366"/>
      <c r="X19" s="366"/>
      <c r="Y19" s="366"/>
      <c r="Z19" s="366"/>
      <c r="AA19" s="366"/>
      <c r="AB19" s="366"/>
      <c r="AC19" s="366"/>
      <c r="AD19" s="366"/>
      <c r="AE19" s="366"/>
      <c r="AF19" s="367"/>
      <c r="AS19" s="24"/>
    </row>
    <row r="20" spans="1:45" ht="24" customHeight="1" x14ac:dyDescent="0.2">
      <c r="B20" s="399" t="s">
        <v>88</v>
      </c>
      <c r="C20" s="387"/>
      <c r="D20" s="387"/>
      <c r="E20" s="387"/>
      <c r="F20" s="388"/>
      <c r="G20" s="389" t="s">
        <v>126</v>
      </c>
      <c r="H20" s="366"/>
      <c r="I20" s="366"/>
      <c r="J20" s="366"/>
      <c r="K20" s="366"/>
      <c r="L20" s="366"/>
      <c r="M20" s="366"/>
      <c r="N20" s="366"/>
      <c r="O20" s="366"/>
      <c r="P20" s="366"/>
      <c r="Q20" s="366"/>
      <c r="R20" s="366"/>
      <c r="S20" s="366"/>
      <c r="T20" s="366"/>
      <c r="U20" s="366"/>
      <c r="V20" s="366"/>
      <c r="W20" s="366"/>
      <c r="X20" s="366"/>
      <c r="Y20" s="366"/>
      <c r="Z20" s="366"/>
      <c r="AA20" s="366"/>
      <c r="AB20" s="366"/>
      <c r="AC20" s="366"/>
      <c r="AD20" s="366"/>
      <c r="AE20" s="366"/>
      <c r="AF20" s="367"/>
      <c r="AS20" s="24"/>
    </row>
    <row r="21" spans="1:45" ht="38.25" customHeight="1" x14ac:dyDescent="0.2">
      <c r="B21" s="386" t="s">
        <v>170</v>
      </c>
      <c r="C21" s="387"/>
      <c r="D21" s="387"/>
      <c r="E21" s="387"/>
      <c r="F21" s="388"/>
      <c r="G21" s="389" t="s">
        <v>171</v>
      </c>
      <c r="H21" s="366"/>
      <c r="I21" s="366"/>
      <c r="J21" s="366"/>
      <c r="K21" s="366"/>
      <c r="L21" s="366"/>
      <c r="M21" s="366"/>
      <c r="N21" s="366"/>
      <c r="O21" s="366"/>
      <c r="P21" s="366"/>
      <c r="Q21" s="366"/>
      <c r="R21" s="366"/>
      <c r="S21" s="366"/>
      <c r="T21" s="366"/>
      <c r="U21" s="366"/>
      <c r="V21" s="366"/>
      <c r="W21" s="366"/>
      <c r="X21" s="366"/>
      <c r="Y21" s="366"/>
      <c r="Z21" s="366"/>
      <c r="AA21" s="366"/>
      <c r="AB21" s="366"/>
      <c r="AC21" s="366"/>
      <c r="AD21" s="366"/>
      <c r="AE21" s="366"/>
      <c r="AF21" s="367"/>
      <c r="AS21" s="24"/>
    </row>
    <row r="22" spans="1:45" ht="24" customHeight="1" x14ac:dyDescent="0.2">
      <c r="B22" s="390" t="s">
        <v>84</v>
      </c>
      <c r="C22" s="391"/>
      <c r="D22" s="391"/>
      <c r="E22" s="391"/>
      <c r="F22" s="392"/>
      <c r="G22" s="365" t="s">
        <v>85</v>
      </c>
      <c r="H22" s="366"/>
      <c r="I22" s="366"/>
      <c r="J22" s="366"/>
      <c r="K22" s="366"/>
      <c r="L22" s="366"/>
      <c r="M22" s="366"/>
      <c r="N22" s="366"/>
      <c r="O22" s="366"/>
      <c r="P22" s="366"/>
      <c r="Q22" s="366"/>
      <c r="R22" s="366"/>
      <c r="S22" s="366"/>
      <c r="T22" s="366"/>
      <c r="U22" s="366"/>
      <c r="V22" s="366"/>
      <c r="W22" s="366"/>
      <c r="X22" s="366"/>
      <c r="Y22" s="366"/>
      <c r="Z22" s="366"/>
      <c r="AA22" s="366"/>
      <c r="AB22" s="366"/>
      <c r="AC22" s="366"/>
      <c r="AD22" s="366"/>
      <c r="AE22" s="366"/>
      <c r="AF22" s="367"/>
      <c r="AS22" s="24"/>
    </row>
    <row r="23" spans="1:45" ht="24" customHeight="1" x14ac:dyDescent="0.2">
      <c r="B23" s="390" t="s">
        <v>86</v>
      </c>
      <c r="C23" s="391"/>
      <c r="D23" s="391"/>
      <c r="E23" s="391"/>
      <c r="F23" s="392"/>
      <c r="G23" s="365" t="s">
        <v>87</v>
      </c>
      <c r="H23" s="366"/>
      <c r="I23" s="366"/>
      <c r="J23" s="366"/>
      <c r="K23" s="366"/>
      <c r="L23" s="366"/>
      <c r="M23" s="366"/>
      <c r="N23" s="366"/>
      <c r="O23" s="366"/>
      <c r="P23" s="366"/>
      <c r="Q23" s="366"/>
      <c r="R23" s="366"/>
      <c r="S23" s="366"/>
      <c r="T23" s="366"/>
      <c r="U23" s="366"/>
      <c r="V23" s="366"/>
      <c r="W23" s="366"/>
      <c r="X23" s="366"/>
      <c r="Y23" s="366"/>
      <c r="Z23" s="366"/>
      <c r="AA23" s="366"/>
      <c r="AB23" s="366"/>
      <c r="AC23" s="366"/>
      <c r="AD23" s="366"/>
      <c r="AE23" s="366"/>
      <c r="AF23" s="367"/>
      <c r="AS23" s="24"/>
    </row>
    <row r="24" spans="1:45" x14ac:dyDescent="0.2">
      <c r="C24" s="25"/>
      <c r="I24" s="26"/>
    </row>
    <row r="25" spans="1:45" ht="20.25" x14ac:dyDescent="0.2">
      <c r="A25" s="22"/>
      <c r="B25" s="22" t="s">
        <v>27</v>
      </c>
      <c r="C25" s="25"/>
      <c r="I25" s="26"/>
    </row>
    <row r="26" spans="1:45" ht="12.75" customHeight="1" x14ac:dyDescent="0.2">
      <c r="B26" s="362" t="s">
        <v>0</v>
      </c>
      <c r="C26" s="363"/>
      <c r="D26" s="364"/>
      <c r="E26" s="362" t="s">
        <v>11</v>
      </c>
      <c r="F26" s="363"/>
      <c r="G26" s="363"/>
      <c r="H26" s="364"/>
      <c r="I26" s="362" t="s">
        <v>12</v>
      </c>
      <c r="J26" s="363"/>
      <c r="K26" s="363"/>
      <c r="L26" s="363"/>
      <c r="M26" s="363"/>
      <c r="N26" s="363"/>
      <c r="O26" s="363"/>
      <c r="P26" s="363"/>
      <c r="Q26" s="364"/>
      <c r="R26" s="362" t="s">
        <v>13</v>
      </c>
      <c r="S26" s="363"/>
      <c r="T26" s="363"/>
      <c r="U26" s="363"/>
      <c r="V26" s="363"/>
      <c r="W26" s="363"/>
      <c r="X26" s="363"/>
      <c r="Y26" s="363"/>
      <c r="Z26" s="363"/>
      <c r="AA26" s="363"/>
      <c r="AB26" s="363"/>
      <c r="AC26" s="363"/>
      <c r="AD26" s="363"/>
      <c r="AE26" s="363"/>
      <c r="AF26" s="364"/>
    </row>
    <row r="27" spans="1:45" ht="12.75" customHeight="1" x14ac:dyDescent="0.2">
      <c r="B27" s="371"/>
      <c r="C27" s="372"/>
      <c r="D27" s="373"/>
      <c r="E27" s="365"/>
      <c r="F27" s="366"/>
      <c r="G27" s="366"/>
      <c r="H27" s="367"/>
      <c r="I27" s="365" t="s">
        <v>14</v>
      </c>
      <c r="J27" s="366"/>
      <c r="K27" s="366"/>
      <c r="L27" s="366"/>
      <c r="M27" s="366"/>
      <c r="N27" s="366"/>
      <c r="O27" s="366"/>
      <c r="P27" s="366"/>
      <c r="Q27" s="367"/>
      <c r="R27" s="365"/>
      <c r="S27" s="366"/>
      <c r="T27" s="366"/>
      <c r="U27" s="366"/>
      <c r="V27" s="366"/>
      <c r="W27" s="366"/>
      <c r="X27" s="366"/>
      <c r="Y27" s="366"/>
      <c r="Z27" s="366"/>
      <c r="AA27" s="366"/>
      <c r="AB27" s="366"/>
      <c r="AC27" s="366"/>
      <c r="AD27" s="366"/>
      <c r="AE27" s="366"/>
      <c r="AF27" s="367"/>
    </row>
    <row r="28" spans="1:45" x14ac:dyDescent="0.2">
      <c r="B28" s="371"/>
      <c r="C28" s="372"/>
      <c r="D28" s="373"/>
      <c r="E28" s="365"/>
      <c r="F28" s="366"/>
      <c r="G28" s="366"/>
      <c r="H28" s="367"/>
      <c r="I28" s="365"/>
      <c r="J28" s="366"/>
      <c r="K28" s="366"/>
      <c r="L28" s="366"/>
      <c r="M28" s="366"/>
      <c r="N28" s="366"/>
      <c r="O28" s="366"/>
      <c r="P28" s="366"/>
      <c r="Q28" s="367"/>
      <c r="R28" s="365"/>
      <c r="S28" s="366"/>
      <c r="T28" s="366"/>
      <c r="U28" s="366"/>
      <c r="V28" s="366"/>
      <c r="W28" s="366"/>
      <c r="X28" s="366"/>
      <c r="Y28" s="366"/>
      <c r="Z28" s="366"/>
      <c r="AA28" s="366"/>
      <c r="AB28" s="366"/>
      <c r="AC28" s="366"/>
      <c r="AD28" s="366"/>
      <c r="AE28" s="366"/>
      <c r="AF28" s="367"/>
    </row>
    <row r="29" spans="1:45" x14ac:dyDescent="0.2">
      <c r="B29" s="371"/>
      <c r="C29" s="372"/>
      <c r="D29" s="373"/>
      <c r="E29" s="365"/>
      <c r="F29" s="366"/>
      <c r="G29" s="366"/>
      <c r="H29" s="367"/>
      <c r="I29" s="365"/>
      <c r="J29" s="366"/>
      <c r="K29" s="366"/>
      <c r="L29" s="366"/>
      <c r="M29" s="366"/>
      <c r="N29" s="366"/>
      <c r="O29" s="366"/>
      <c r="P29" s="366"/>
      <c r="Q29" s="367"/>
      <c r="R29" s="365"/>
      <c r="S29" s="366"/>
      <c r="T29" s="366"/>
      <c r="U29" s="366"/>
      <c r="V29" s="366"/>
      <c r="W29" s="366"/>
      <c r="X29" s="366"/>
      <c r="Y29" s="366"/>
      <c r="Z29" s="366"/>
      <c r="AA29" s="366"/>
      <c r="AB29" s="366"/>
      <c r="AC29" s="366"/>
      <c r="AD29" s="366"/>
      <c r="AE29" s="366"/>
      <c r="AF29" s="367"/>
    </row>
    <row r="30" spans="1:45" x14ac:dyDescent="0.2">
      <c r="B30" s="371"/>
      <c r="C30" s="372"/>
      <c r="D30" s="373"/>
      <c r="E30" s="365"/>
      <c r="F30" s="366"/>
      <c r="G30" s="366"/>
      <c r="H30" s="367"/>
      <c r="I30" s="365"/>
      <c r="J30" s="366"/>
      <c r="K30" s="366"/>
      <c r="L30" s="366"/>
      <c r="M30" s="366"/>
      <c r="N30" s="366"/>
      <c r="O30" s="366"/>
      <c r="P30" s="366"/>
      <c r="Q30" s="367"/>
      <c r="R30" s="365"/>
      <c r="S30" s="366"/>
      <c r="T30" s="366"/>
      <c r="U30" s="366"/>
      <c r="V30" s="366"/>
      <c r="W30" s="366"/>
      <c r="X30" s="366"/>
      <c r="Y30" s="366"/>
      <c r="Z30" s="366"/>
      <c r="AA30" s="366"/>
      <c r="AB30" s="366"/>
      <c r="AC30" s="366"/>
      <c r="AD30" s="366"/>
      <c r="AE30" s="366"/>
      <c r="AF30" s="367"/>
    </row>
    <row r="31" spans="1:45" x14ac:dyDescent="0.2">
      <c r="B31" s="27" t="s">
        <v>26</v>
      </c>
      <c r="C31" s="28"/>
      <c r="D31" s="28"/>
      <c r="E31" s="29"/>
      <c r="F31" s="29"/>
      <c r="G31" s="29"/>
      <c r="H31" s="29"/>
      <c r="I31" s="29"/>
      <c r="J31" s="30"/>
      <c r="K31" s="30"/>
      <c r="L31" s="30"/>
      <c r="M31" s="30"/>
      <c r="N31" s="30"/>
      <c r="O31" s="30"/>
      <c r="P31" s="30"/>
      <c r="Q31" s="30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</row>
    <row r="32" spans="1:45" x14ac:dyDescent="0.2">
      <c r="C32" s="25"/>
      <c r="I32" s="26"/>
    </row>
    <row r="33" spans="2:33" ht="20.25" x14ac:dyDescent="0.2">
      <c r="B33" s="22" t="s">
        <v>18</v>
      </c>
      <c r="I33" s="26"/>
    </row>
    <row r="34" spans="2:33" ht="21.75" customHeight="1" x14ac:dyDescent="0.2">
      <c r="B34" s="374" t="s">
        <v>124</v>
      </c>
      <c r="C34" s="374"/>
      <c r="D34" s="374"/>
      <c r="E34" s="374"/>
      <c r="F34" s="374"/>
      <c r="G34" s="374"/>
      <c r="H34" s="374"/>
      <c r="I34" s="374"/>
      <c r="J34" s="374"/>
      <c r="K34" s="374"/>
      <c r="L34" s="374"/>
      <c r="M34" s="374"/>
      <c r="N34" s="374"/>
      <c r="O34" s="374"/>
      <c r="P34" s="374"/>
      <c r="Q34" s="374"/>
      <c r="R34" s="374"/>
      <c r="S34" s="374"/>
      <c r="T34" s="374"/>
      <c r="U34" s="374"/>
      <c r="V34" s="374"/>
      <c r="W34" s="374"/>
      <c r="X34" s="374"/>
      <c r="Y34" s="374"/>
      <c r="Z34" s="374"/>
      <c r="AA34" s="374"/>
      <c r="AB34" s="374"/>
      <c r="AC34" s="374"/>
      <c r="AD34" s="374"/>
      <c r="AE34" s="374"/>
      <c r="AF34" s="374"/>
      <c r="AG34" s="31"/>
    </row>
    <row r="35" spans="2:33" x14ac:dyDescent="0.2">
      <c r="J35" s="32"/>
    </row>
    <row r="36" spans="2:33" ht="20.25" x14ac:dyDescent="0.2">
      <c r="B36" s="22" t="s">
        <v>19</v>
      </c>
      <c r="C36" s="23"/>
      <c r="I36" s="26"/>
    </row>
    <row r="37" spans="2:33" ht="24.75" customHeight="1" x14ac:dyDescent="0.2">
      <c r="B37" s="33" t="s">
        <v>28</v>
      </c>
      <c r="C37" s="23"/>
      <c r="I37" s="26"/>
    </row>
    <row r="38" spans="2:33" ht="12.75" customHeight="1" x14ac:dyDescent="0.2">
      <c r="B38" s="362" t="s">
        <v>8</v>
      </c>
      <c r="C38" s="363"/>
      <c r="D38" s="364"/>
      <c r="E38" s="362" t="s">
        <v>9</v>
      </c>
      <c r="F38" s="363"/>
      <c r="G38" s="363"/>
      <c r="H38" s="363"/>
      <c r="I38" s="363"/>
      <c r="J38" s="363"/>
      <c r="K38" s="363"/>
      <c r="L38" s="363"/>
      <c r="M38" s="363"/>
      <c r="N38" s="363"/>
      <c r="O38" s="363"/>
      <c r="P38" s="363"/>
      <c r="Q38" s="363"/>
      <c r="R38" s="363"/>
      <c r="S38" s="363"/>
      <c r="T38" s="363"/>
      <c r="U38" s="363"/>
      <c r="V38" s="363"/>
      <c r="W38" s="363"/>
      <c r="X38" s="364"/>
      <c r="Y38" s="362" t="s">
        <v>10</v>
      </c>
      <c r="Z38" s="363"/>
      <c r="AA38" s="363"/>
      <c r="AB38" s="363"/>
      <c r="AC38" s="363"/>
      <c r="AD38" s="363"/>
      <c r="AE38" s="363"/>
      <c r="AF38" s="364"/>
    </row>
    <row r="39" spans="2:33" x14ac:dyDescent="0.2">
      <c r="B39" s="368"/>
      <c r="C39" s="369"/>
      <c r="D39" s="370"/>
      <c r="E39" s="365"/>
      <c r="F39" s="366"/>
      <c r="G39" s="366"/>
      <c r="H39" s="366"/>
      <c r="I39" s="366"/>
      <c r="J39" s="366"/>
      <c r="K39" s="366"/>
      <c r="L39" s="366"/>
      <c r="M39" s="366"/>
      <c r="N39" s="366"/>
      <c r="O39" s="366"/>
      <c r="P39" s="366"/>
      <c r="Q39" s="366"/>
      <c r="R39" s="366"/>
      <c r="S39" s="366"/>
      <c r="T39" s="366"/>
      <c r="U39" s="366"/>
      <c r="V39" s="366"/>
      <c r="W39" s="366"/>
      <c r="X39" s="367"/>
      <c r="Y39" s="365"/>
      <c r="Z39" s="366"/>
      <c r="AA39" s="366"/>
      <c r="AB39" s="366"/>
      <c r="AC39" s="366"/>
      <c r="AD39" s="366"/>
      <c r="AE39" s="366"/>
      <c r="AF39" s="367"/>
    </row>
    <row r="40" spans="2:33" x14ac:dyDescent="0.2">
      <c r="B40" s="368"/>
      <c r="C40" s="369"/>
      <c r="D40" s="370"/>
      <c r="E40" s="365"/>
      <c r="F40" s="366"/>
      <c r="G40" s="366"/>
      <c r="H40" s="366"/>
      <c r="I40" s="366"/>
      <c r="J40" s="366"/>
      <c r="K40" s="366"/>
      <c r="L40" s="366"/>
      <c r="M40" s="366"/>
      <c r="N40" s="366"/>
      <c r="O40" s="366"/>
      <c r="P40" s="366"/>
      <c r="Q40" s="366"/>
      <c r="R40" s="366"/>
      <c r="S40" s="366"/>
      <c r="T40" s="366"/>
      <c r="U40" s="366"/>
      <c r="V40" s="366"/>
      <c r="W40" s="366"/>
      <c r="X40" s="367"/>
      <c r="Y40" s="365"/>
      <c r="Z40" s="366"/>
      <c r="AA40" s="366"/>
      <c r="AB40" s="366"/>
      <c r="AC40" s="366"/>
      <c r="AD40" s="366"/>
      <c r="AE40" s="366"/>
      <c r="AF40" s="367"/>
    </row>
    <row r="41" spans="2:33" x14ac:dyDescent="0.2">
      <c r="B41" s="368"/>
      <c r="C41" s="369"/>
      <c r="D41" s="370"/>
      <c r="E41" s="365"/>
      <c r="F41" s="366"/>
      <c r="G41" s="366"/>
      <c r="H41" s="366"/>
      <c r="I41" s="366"/>
      <c r="J41" s="366"/>
      <c r="K41" s="366"/>
      <c r="L41" s="366"/>
      <c r="M41" s="366"/>
      <c r="N41" s="366"/>
      <c r="O41" s="366"/>
      <c r="P41" s="366"/>
      <c r="Q41" s="366"/>
      <c r="R41" s="366"/>
      <c r="S41" s="366"/>
      <c r="T41" s="366"/>
      <c r="U41" s="366"/>
      <c r="V41" s="366"/>
      <c r="W41" s="366"/>
      <c r="X41" s="367"/>
      <c r="Y41" s="365"/>
      <c r="Z41" s="366"/>
      <c r="AA41" s="366"/>
      <c r="AB41" s="366"/>
      <c r="AC41" s="366"/>
      <c r="AD41" s="366"/>
      <c r="AE41" s="366"/>
      <c r="AF41" s="367"/>
    </row>
    <row r="42" spans="2:33" x14ac:dyDescent="0.2">
      <c r="B42" s="368"/>
      <c r="C42" s="369"/>
      <c r="D42" s="370"/>
      <c r="E42" s="365"/>
      <c r="F42" s="366"/>
      <c r="G42" s="366"/>
      <c r="H42" s="366"/>
      <c r="I42" s="366"/>
      <c r="J42" s="366"/>
      <c r="K42" s="366"/>
      <c r="L42" s="366"/>
      <c r="M42" s="366"/>
      <c r="N42" s="366"/>
      <c r="O42" s="366"/>
      <c r="P42" s="366"/>
      <c r="Q42" s="366"/>
      <c r="R42" s="366"/>
      <c r="S42" s="366"/>
      <c r="T42" s="366"/>
      <c r="U42" s="366"/>
      <c r="V42" s="366"/>
      <c r="W42" s="366"/>
      <c r="X42" s="367"/>
      <c r="Y42" s="365"/>
      <c r="Z42" s="366"/>
      <c r="AA42" s="366"/>
      <c r="AB42" s="366"/>
      <c r="AC42" s="366"/>
      <c r="AD42" s="366"/>
      <c r="AE42" s="366"/>
      <c r="AF42" s="367"/>
    </row>
    <row r="43" spans="2:33" ht="24.75" customHeight="1" x14ac:dyDescent="0.2">
      <c r="B43" s="33" t="s">
        <v>29</v>
      </c>
      <c r="C43" s="23"/>
      <c r="I43" s="26"/>
    </row>
    <row r="44" spans="2:33" ht="12.75" customHeight="1" x14ac:dyDescent="0.2">
      <c r="B44" s="362" t="s">
        <v>8</v>
      </c>
      <c r="C44" s="363"/>
      <c r="D44" s="364"/>
      <c r="E44" s="362" t="s">
        <v>9</v>
      </c>
      <c r="F44" s="363"/>
      <c r="G44" s="363"/>
      <c r="H44" s="363"/>
      <c r="I44" s="363"/>
      <c r="J44" s="363"/>
      <c r="K44" s="363"/>
      <c r="L44" s="363"/>
      <c r="M44" s="363"/>
      <c r="N44" s="363"/>
      <c r="O44" s="363"/>
      <c r="P44" s="363"/>
      <c r="Q44" s="363"/>
      <c r="R44" s="363"/>
      <c r="S44" s="363"/>
      <c r="T44" s="363"/>
      <c r="U44" s="363"/>
      <c r="V44" s="363"/>
      <c r="W44" s="363"/>
      <c r="X44" s="364"/>
      <c r="Y44" s="362" t="s">
        <v>10</v>
      </c>
      <c r="Z44" s="363"/>
      <c r="AA44" s="363"/>
      <c r="AB44" s="363"/>
      <c r="AC44" s="363"/>
      <c r="AD44" s="363"/>
      <c r="AE44" s="363"/>
      <c r="AF44" s="364"/>
    </row>
    <row r="45" spans="2:33" x14ac:dyDescent="0.2">
      <c r="B45" s="368"/>
      <c r="C45" s="369"/>
      <c r="D45" s="370"/>
      <c r="E45" s="365"/>
      <c r="F45" s="366"/>
      <c r="G45" s="366"/>
      <c r="H45" s="366"/>
      <c r="I45" s="366"/>
      <c r="J45" s="366"/>
      <c r="K45" s="366"/>
      <c r="L45" s="366"/>
      <c r="M45" s="366"/>
      <c r="N45" s="366"/>
      <c r="O45" s="366"/>
      <c r="P45" s="366"/>
      <c r="Q45" s="366"/>
      <c r="R45" s="366"/>
      <c r="S45" s="366"/>
      <c r="T45" s="366"/>
      <c r="U45" s="366"/>
      <c r="V45" s="366"/>
      <c r="W45" s="366"/>
      <c r="X45" s="367"/>
      <c r="Y45" s="365"/>
      <c r="Z45" s="366"/>
      <c r="AA45" s="366"/>
      <c r="AB45" s="366"/>
      <c r="AC45" s="366"/>
      <c r="AD45" s="366"/>
      <c r="AE45" s="366"/>
      <c r="AF45" s="367"/>
    </row>
    <row r="46" spans="2:33" x14ac:dyDescent="0.2">
      <c r="B46" s="368"/>
      <c r="C46" s="369"/>
      <c r="D46" s="370"/>
      <c r="E46" s="365"/>
      <c r="F46" s="366"/>
      <c r="G46" s="366"/>
      <c r="H46" s="366"/>
      <c r="I46" s="366"/>
      <c r="J46" s="366"/>
      <c r="K46" s="366"/>
      <c r="L46" s="366"/>
      <c r="M46" s="366"/>
      <c r="N46" s="366"/>
      <c r="O46" s="366"/>
      <c r="P46" s="366"/>
      <c r="Q46" s="366"/>
      <c r="R46" s="366"/>
      <c r="S46" s="366"/>
      <c r="T46" s="366"/>
      <c r="U46" s="366"/>
      <c r="V46" s="366"/>
      <c r="W46" s="366"/>
      <c r="X46" s="367"/>
      <c r="Y46" s="365"/>
      <c r="Z46" s="366"/>
      <c r="AA46" s="366"/>
      <c r="AB46" s="366"/>
      <c r="AC46" s="366"/>
      <c r="AD46" s="366"/>
      <c r="AE46" s="366"/>
      <c r="AF46" s="367"/>
    </row>
    <row r="47" spans="2:33" x14ac:dyDescent="0.2">
      <c r="B47" s="368"/>
      <c r="C47" s="369"/>
      <c r="D47" s="370"/>
      <c r="E47" s="365"/>
      <c r="F47" s="366"/>
      <c r="G47" s="366"/>
      <c r="H47" s="366"/>
      <c r="I47" s="366"/>
      <c r="J47" s="366"/>
      <c r="K47" s="366"/>
      <c r="L47" s="366"/>
      <c r="M47" s="366"/>
      <c r="N47" s="366"/>
      <c r="O47" s="366"/>
      <c r="P47" s="366"/>
      <c r="Q47" s="366"/>
      <c r="R47" s="366"/>
      <c r="S47" s="366"/>
      <c r="T47" s="366"/>
      <c r="U47" s="366"/>
      <c r="V47" s="366"/>
      <c r="W47" s="366"/>
      <c r="X47" s="367"/>
      <c r="Y47" s="365"/>
      <c r="Z47" s="366"/>
      <c r="AA47" s="366"/>
      <c r="AB47" s="366"/>
      <c r="AC47" s="366"/>
      <c r="AD47" s="366"/>
      <c r="AE47" s="366"/>
      <c r="AF47" s="367"/>
    </row>
    <row r="48" spans="2:33" x14ac:dyDescent="0.2">
      <c r="B48" s="368"/>
      <c r="C48" s="369"/>
      <c r="D48" s="370"/>
      <c r="E48" s="365"/>
      <c r="F48" s="366"/>
      <c r="G48" s="366"/>
      <c r="H48" s="366"/>
      <c r="I48" s="366"/>
      <c r="J48" s="366"/>
      <c r="K48" s="366"/>
      <c r="L48" s="366"/>
      <c r="M48" s="366"/>
      <c r="N48" s="366"/>
      <c r="O48" s="366"/>
      <c r="P48" s="366"/>
      <c r="Q48" s="366"/>
      <c r="R48" s="366"/>
      <c r="S48" s="366"/>
      <c r="T48" s="366"/>
      <c r="U48" s="366"/>
      <c r="V48" s="366"/>
      <c r="W48" s="366"/>
      <c r="X48" s="367"/>
      <c r="Y48" s="365"/>
      <c r="Z48" s="366"/>
      <c r="AA48" s="366"/>
      <c r="AB48" s="366"/>
      <c r="AC48" s="366"/>
      <c r="AD48" s="366"/>
      <c r="AE48" s="366"/>
      <c r="AF48" s="367"/>
    </row>
    <row r="49" spans="2:32" x14ac:dyDescent="0.2">
      <c r="C49" s="25"/>
      <c r="I49" s="26"/>
    </row>
    <row r="50" spans="2:32" ht="20.25" x14ac:dyDescent="0.2">
      <c r="B50" s="22" t="s">
        <v>31</v>
      </c>
      <c r="C50" s="23"/>
      <c r="I50" s="26"/>
    </row>
    <row r="51" spans="2:32" ht="12.75" customHeight="1" x14ac:dyDescent="0.2">
      <c r="B51" s="362" t="s">
        <v>30</v>
      </c>
      <c r="C51" s="363"/>
      <c r="D51" s="363"/>
      <c r="E51" s="363"/>
      <c r="F51" s="363"/>
      <c r="G51" s="364"/>
      <c r="H51" s="396"/>
      <c r="I51" s="397"/>
      <c r="J51" s="397"/>
      <c r="K51" s="397"/>
      <c r="L51" s="397"/>
      <c r="M51" s="397"/>
      <c r="N51" s="397"/>
      <c r="O51" s="397"/>
      <c r="P51" s="397"/>
      <c r="Q51" s="397"/>
      <c r="R51" s="397"/>
      <c r="S51" s="397"/>
      <c r="T51" s="397"/>
      <c r="U51" s="397"/>
      <c r="V51" s="397"/>
      <c r="W51" s="397"/>
      <c r="X51" s="397"/>
      <c r="Y51" s="397"/>
      <c r="Z51" s="397"/>
      <c r="AA51" s="397"/>
      <c r="AB51" s="397"/>
      <c r="AC51" s="397"/>
      <c r="AD51" s="397"/>
      <c r="AE51" s="397"/>
      <c r="AF51" s="398"/>
    </row>
    <row r="52" spans="2:32" x14ac:dyDescent="0.2">
      <c r="B52" s="365"/>
      <c r="C52" s="366"/>
      <c r="D52" s="366"/>
      <c r="E52" s="366"/>
      <c r="F52" s="366"/>
      <c r="G52" s="367"/>
      <c r="H52" s="393"/>
      <c r="I52" s="394"/>
      <c r="J52" s="394"/>
      <c r="K52" s="394"/>
      <c r="L52" s="394"/>
      <c r="M52" s="394"/>
      <c r="N52" s="394"/>
      <c r="O52" s="394"/>
      <c r="P52" s="394"/>
      <c r="Q52" s="394"/>
      <c r="R52" s="394"/>
      <c r="S52" s="394"/>
      <c r="T52" s="394"/>
      <c r="U52" s="394"/>
      <c r="V52" s="394"/>
      <c r="W52" s="394"/>
      <c r="X52" s="394"/>
      <c r="Y52" s="394"/>
      <c r="Z52" s="394"/>
      <c r="AA52" s="394"/>
      <c r="AB52" s="394"/>
      <c r="AC52" s="394"/>
      <c r="AD52" s="394"/>
      <c r="AE52" s="394"/>
      <c r="AF52" s="395"/>
    </row>
    <row r="53" spans="2:32" x14ac:dyDescent="0.2">
      <c r="B53" s="365"/>
      <c r="C53" s="366"/>
      <c r="D53" s="366"/>
      <c r="E53" s="366"/>
      <c r="F53" s="366"/>
      <c r="G53" s="367"/>
      <c r="H53" s="393"/>
      <c r="I53" s="394"/>
      <c r="J53" s="394"/>
      <c r="K53" s="394"/>
      <c r="L53" s="394"/>
      <c r="M53" s="394"/>
      <c r="N53" s="394"/>
      <c r="O53" s="394"/>
      <c r="P53" s="394"/>
      <c r="Q53" s="394"/>
      <c r="R53" s="394"/>
      <c r="S53" s="394"/>
      <c r="T53" s="394"/>
      <c r="U53" s="394"/>
      <c r="V53" s="394"/>
      <c r="W53" s="394"/>
      <c r="X53" s="394"/>
      <c r="Y53" s="394"/>
      <c r="Z53" s="394"/>
      <c r="AA53" s="394"/>
      <c r="AB53" s="394"/>
      <c r="AC53" s="394"/>
      <c r="AD53" s="394"/>
      <c r="AE53" s="394"/>
      <c r="AF53" s="395"/>
    </row>
    <row r="54" spans="2:32" x14ac:dyDescent="0.2">
      <c r="B54" s="365"/>
      <c r="C54" s="366"/>
      <c r="D54" s="366"/>
      <c r="E54" s="366"/>
      <c r="F54" s="366"/>
      <c r="G54" s="367"/>
      <c r="H54" s="393"/>
      <c r="I54" s="394"/>
      <c r="J54" s="394"/>
      <c r="K54" s="394"/>
      <c r="L54" s="394"/>
      <c r="M54" s="394"/>
      <c r="N54" s="394"/>
      <c r="O54" s="394"/>
      <c r="P54" s="394"/>
      <c r="Q54" s="394"/>
      <c r="R54" s="394"/>
      <c r="S54" s="394"/>
      <c r="T54" s="394"/>
      <c r="U54" s="394"/>
      <c r="V54" s="394"/>
      <c r="W54" s="394"/>
      <c r="X54" s="394"/>
      <c r="Y54" s="394"/>
      <c r="Z54" s="394"/>
      <c r="AA54" s="394"/>
      <c r="AB54" s="394"/>
      <c r="AC54" s="394"/>
      <c r="AD54" s="394"/>
      <c r="AE54" s="394"/>
      <c r="AF54" s="395"/>
    </row>
    <row r="55" spans="2:32" x14ac:dyDescent="0.2">
      <c r="B55" s="365"/>
      <c r="C55" s="366"/>
      <c r="D55" s="366"/>
      <c r="E55" s="366"/>
      <c r="F55" s="366"/>
      <c r="G55" s="367"/>
      <c r="H55" s="393"/>
      <c r="I55" s="394"/>
      <c r="J55" s="394"/>
      <c r="K55" s="394"/>
      <c r="L55" s="394"/>
      <c r="M55" s="394"/>
      <c r="N55" s="394"/>
      <c r="O55" s="394"/>
      <c r="P55" s="394"/>
      <c r="Q55" s="394"/>
      <c r="R55" s="394"/>
      <c r="S55" s="394"/>
      <c r="T55" s="394"/>
      <c r="U55" s="394"/>
      <c r="V55" s="394"/>
      <c r="W55" s="394"/>
      <c r="X55" s="394"/>
      <c r="Y55" s="394"/>
      <c r="Z55" s="394"/>
      <c r="AA55" s="394"/>
      <c r="AB55" s="394"/>
      <c r="AC55" s="394"/>
      <c r="AD55" s="394"/>
      <c r="AE55" s="394"/>
      <c r="AF55" s="395"/>
    </row>
    <row r="56" spans="2:32" x14ac:dyDescent="0.2">
      <c r="B56" s="365"/>
      <c r="C56" s="366"/>
      <c r="D56" s="366"/>
      <c r="E56" s="366"/>
      <c r="F56" s="366"/>
      <c r="G56" s="367"/>
      <c r="H56" s="393"/>
      <c r="I56" s="394"/>
      <c r="J56" s="394"/>
      <c r="K56" s="394"/>
      <c r="L56" s="394"/>
      <c r="M56" s="394"/>
      <c r="N56" s="394"/>
      <c r="O56" s="394"/>
      <c r="P56" s="394"/>
      <c r="Q56" s="394"/>
      <c r="R56" s="394"/>
      <c r="S56" s="394"/>
      <c r="T56" s="394"/>
      <c r="U56" s="394"/>
      <c r="V56" s="394"/>
      <c r="W56" s="394"/>
      <c r="X56" s="394"/>
      <c r="Y56" s="394"/>
      <c r="Z56" s="394"/>
      <c r="AA56" s="394"/>
      <c r="AB56" s="394"/>
      <c r="AC56" s="394"/>
      <c r="AD56" s="394"/>
      <c r="AE56" s="394"/>
      <c r="AF56" s="395"/>
    </row>
    <row r="57" spans="2:32" x14ac:dyDescent="0.2">
      <c r="B57" s="29"/>
      <c r="C57" s="29"/>
      <c r="D57" s="29"/>
      <c r="E57" s="29"/>
      <c r="F57" s="29"/>
      <c r="G57" s="29"/>
      <c r="H57" s="34"/>
      <c r="I57" s="34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</row>
    <row r="58" spans="2:32" x14ac:dyDescent="0.2">
      <c r="B58" s="29"/>
      <c r="C58" s="29"/>
      <c r="D58" s="29"/>
      <c r="E58" s="29"/>
      <c r="F58" s="29"/>
      <c r="G58" s="29"/>
      <c r="H58" s="34"/>
      <c r="I58" s="34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</row>
    <row r="59" spans="2:32" ht="26.25" x14ac:dyDescent="0.2">
      <c r="B59" s="35" t="s">
        <v>32</v>
      </c>
      <c r="C59" s="36"/>
      <c r="D59" s="36"/>
      <c r="E59" s="36"/>
      <c r="F59" s="36"/>
      <c r="G59" s="36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</row>
    <row r="60" spans="2:32" ht="15.75" customHeight="1" x14ac:dyDescent="0.2">
      <c r="B60" s="38"/>
      <c r="C60" s="29"/>
      <c r="D60" s="29"/>
      <c r="E60" s="29"/>
      <c r="F60" s="29"/>
      <c r="G60" s="29"/>
      <c r="H60" s="34"/>
      <c r="I60" s="34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</row>
    <row r="61" spans="2:32" x14ac:dyDescent="0.2">
      <c r="B61" s="39"/>
      <c r="C61" s="39"/>
      <c r="D61" s="39"/>
      <c r="E61" s="39"/>
      <c r="F61" s="39"/>
      <c r="G61" s="39"/>
      <c r="H61" s="40"/>
      <c r="I61" s="40"/>
      <c r="J61" s="40"/>
      <c r="K61" s="40"/>
      <c r="L61" s="40"/>
      <c r="N61" s="385" t="s">
        <v>89</v>
      </c>
      <c r="O61" s="385"/>
      <c r="P61" s="385"/>
      <c r="Q61" s="385"/>
      <c r="R61" s="385"/>
      <c r="S61" s="385"/>
      <c r="T61" s="385"/>
      <c r="W61" s="40"/>
      <c r="X61" s="40"/>
      <c r="Y61" s="40"/>
      <c r="Z61" s="40"/>
      <c r="AA61" s="40"/>
      <c r="AB61" s="40"/>
      <c r="AC61" s="40"/>
      <c r="AD61" s="40"/>
      <c r="AE61" s="40"/>
      <c r="AF61" s="40"/>
    </row>
    <row r="62" spans="2:32" x14ac:dyDescent="0.2">
      <c r="B62" s="39"/>
      <c r="C62" s="39"/>
      <c r="D62" s="39"/>
      <c r="E62" s="39"/>
      <c r="F62" s="39"/>
      <c r="G62" s="39"/>
      <c r="H62" s="40"/>
      <c r="I62" s="40"/>
      <c r="J62" s="40"/>
      <c r="K62" s="40"/>
      <c r="L62" s="40"/>
      <c r="M62" s="40"/>
      <c r="N62" s="40"/>
      <c r="O62" s="40"/>
      <c r="P62" s="40"/>
      <c r="Q62" s="40"/>
      <c r="R62" s="40"/>
      <c r="S62" s="40"/>
      <c r="T62" s="40"/>
      <c r="U62" s="40"/>
      <c r="V62" s="40"/>
      <c r="W62" s="40"/>
      <c r="X62" s="40"/>
      <c r="Y62" s="40"/>
      <c r="Z62" s="40"/>
      <c r="AA62" s="40"/>
      <c r="AB62" s="40"/>
      <c r="AC62" s="40"/>
      <c r="AD62" s="40"/>
      <c r="AE62" s="40"/>
      <c r="AF62" s="40"/>
    </row>
    <row r="63" spans="2:32" x14ac:dyDescent="0.2">
      <c r="B63" s="39"/>
      <c r="C63" s="39"/>
      <c r="D63" s="39"/>
      <c r="E63" s="39"/>
      <c r="F63" s="39"/>
      <c r="G63" s="39"/>
      <c r="H63" s="40"/>
      <c r="I63" s="40"/>
      <c r="J63" s="40"/>
      <c r="K63" s="40"/>
      <c r="L63" s="40"/>
      <c r="M63" s="40"/>
      <c r="N63" s="40"/>
      <c r="O63" s="40"/>
      <c r="P63" s="40"/>
      <c r="Q63" s="40"/>
      <c r="R63" s="40"/>
      <c r="S63" s="40"/>
      <c r="T63" s="40"/>
      <c r="U63" s="40"/>
      <c r="V63" s="40"/>
      <c r="W63" s="40"/>
      <c r="X63" s="40"/>
      <c r="Y63" s="40"/>
      <c r="Z63" s="40"/>
      <c r="AA63" s="40"/>
      <c r="AB63" s="40"/>
      <c r="AC63" s="40"/>
      <c r="AD63" s="40"/>
      <c r="AE63" s="40"/>
      <c r="AF63" s="40"/>
    </row>
    <row r="64" spans="2:32" x14ac:dyDescent="0.2">
      <c r="B64" s="39"/>
      <c r="C64" s="39"/>
      <c r="D64" s="39"/>
      <c r="E64" s="39"/>
      <c r="F64" s="39"/>
      <c r="G64" s="39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</row>
    <row r="65" spans="2:34" hidden="1" x14ac:dyDescent="0.2">
      <c r="B65" s="39"/>
      <c r="C65" s="39"/>
      <c r="D65" s="39"/>
      <c r="E65" s="39"/>
      <c r="F65" s="39"/>
      <c r="G65" s="39"/>
      <c r="H65" s="40"/>
      <c r="I65" s="40"/>
      <c r="J65" s="40"/>
      <c r="K65" s="40"/>
      <c r="L65" s="40"/>
      <c r="M65" s="40"/>
      <c r="N65" s="40"/>
      <c r="O65" s="40"/>
      <c r="P65" s="40"/>
      <c r="Q65" s="40"/>
      <c r="R65" s="40"/>
      <c r="S65" s="40"/>
      <c r="T65" s="40"/>
      <c r="U65" s="40"/>
      <c r="V65" s="40"/>
      <c r="W65" s="40"/>
      <c r="X65" s="40"/>
      <c r="Y65" s="40"/>
      <c r="Z65" s="40"/>
      <c r="AA65" s="40"/>
      <c r="AB65" s="40"/>
      <c r="AC65" s="40"/>
      <c r="AD65" s="40"/>
      <c r="AE65" s="40"/>
      <c r="AF65" s="40"/>
    </row>
    <row r="66" spans="2:34" hidden="1" x14ac:dyDescent="0.2">
      <c r="B66" s="39"/>
      <c r="C66" s="39"/>
      <c r="D66" s="39"/>
      <c r="E66" s="39"/>
      <c r="F66" s="39"/>
      <c r="G66" s="39"/>
      <c r="H66" s="40"/>
      <c r="I66" s="40"/>
      <c r="J66" s="40"/>
      <c r="K66" s="40"/>
      <c r="L66" s="40"/>
      <c r="M66" s="40"/>
      <c r="N66" s="40"/>
      <c r="O66" s="40"/>
      <c r="P66" s="40"/>
      <c r="Q66" s="40"/>
      <c r="R66" s="40"/>
      <c r="S66" s="40"/>
      <c r="T66" s="40"/>
      <c r="U66" s="40"/>
      <c r="V66" s="40"/>
      <c r="W66" s="40"/>
      <c r="X66" s="40"/>
      <c r="Y66" s="40"/>
      <c r="Z66" s="40"/>
      <c r="AA66" s="40"/>
      <c r="AB66" s="40"/>
      <c r="AC66" s="40"/>
      <c r="AD66" s="40"/>
      <c r="AE66" s="40"/>
      <c r="AF66" s="40"/>
    </row>
    <row r="67" spans="2:34" hidden="1" x14ac:dyDescent="0.2">
      <c r="B67" s="39"/>
      <c r="C67" s="39"/>
      <c r="D67" s="39"/>
      <c r="E67" s="39"/>
      <c r="F67" s="39"/>
      <c r="G67" s="39"/>
      <c r="H67" s="40"/>
      <c r="I67" s="40"/>
      <c r="J67" s="40"/>
      <c r="K67" s="40"/>
      <c r="L67" s="40"/>
      <c r="M67" s="40"/>
      <c r="N67" s="40"/>
      <c r="O67" s="40"/>
      <c r="P67" s="40"/>
      <c r="Q67" s="40"/>
      <c r="R67" s="40"/>
      <c r="S67" s="40"/>
      <c r="T67" s="40"/>
      <c r="U67" s="40"/>
      <c r="V67" s="40"/>
      <c r="W67" s="40"/>
      <c r="X67" s="40"/>
      <c r="Y67" s="40"/>
      <c r="Z67" s="40"/>
      <c r="AA67" s="40"/>
      <c r="AB67" s="40"/>
      <c r="AC67" s="40"/>
      <c r="AD67" s="40"/>
      <c r="AE67" s="40"/>
      <c r="AF67" s="40"/>
    </row>
    <row r="68" spans="2:34" hidden="1" x14ac:dyDescent="0.2">
      <c r="B68" s="39"/>
      <c r="C68" s="39"/>
      <c r="D68" s="39"/>
      <c r="E68" s="39"/>
      <c r="F68" s="39"/>
      <c r="G68" s="39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</row>
    <row r="69" spans="2:34" hidden="1" x14ac:dyDescent="0.2">
      <c r="B69" s="39"/>
      <c r="C69" s="39"/>
      <c r="D69" s="39"/>
      <c r="E69" s="39"/>
      <c r="F69" s="39"/>
      <c r="G69" s="39"/>
      <c r="H69" s="40"/>
      <c r="I69" s="40"/>
      <c r="J69" s="40"/>
      <c r="K69" s="40"/>
      <c r="L69" s="40"/>
      <c r="M69" s="40"/>
      <c r="N69" s="40"/>
      <c r="O69" s="40"/>
      <c r="P69" s="40"/>
      <c r="Q69" s="40"/>
      <c r="R69" s="40"/>
      <c r="S69" s="40"/>
      <c r="T69" s="40"/>
      <c r="U69" s="40"/>
      <c r="V69" s="40"/>
      <c r="W69" s="40"/>
      <c r="X69" s="40"/>
      <c r="Y69" s="40"/>
      <c r="Z69" s="40"/>
      <c r="AA69" s="40"/>
      <c r="AB69" s="40"/>
      <c r="AC69" s="40"/>
      <c r="AD69" s="40"/>
      <c r="AE69" s="40"/>
      <c r="AF69" s="40"/>
    </row>
    <row r="70" spans="2:34" hidden="1" x14ac:dyDescent="0.2">
      <c r="B70" s="39"/>
      <c r="C70" s="39"/>
      <c r="D70" s="39"/>
      <c r="E70" s="39"/>
      <c r="F70" s="39"/>
      <c r="G70" s="39"/>
      <c r="H70" s="40"/>
      <c r="I70" s="40"/>
      <c r="J70" s="40"/>
      <c r="K70" s="40"/>
      <c r="L70" s="40"/>
      <c r="M70" s="40"/>
      <c r="N70" s="40"/>
      <c r="O70" s="40"/>
      <c r="P70" s="40"/>
      <c r="Q70" s="40"/>
      <c r="R70" s="40"/>
      <c r="S70" s="40"/>
      <c r="T70" s="40"/>
      <c r="U70" s="40"/>
      <c r="V70" s="40"/>
      <c r="W70" s="40"/>
      <c r="X70" s="40"/>
      <c r="Y70" s="40"/>
      <c r="Z70" s="40"/>
      <c r="AA70" s="40"/>
      <c r="AB70" s="40"/>
      <c r="AC70" s="40"/>
      <c r="AD70" s="40"/>
      <c r="AE70" s="40"/>
      <c r="AF70" s="40"/>
    </row>
    <row r="71" spans="2:34" hidden="1" x14ac:dyDescent="0.2">
      <c r="B71" s="39"/>
      <c r="C71" s="39"/>
      <c r="D71" s="39"/>
      <c r="E71" s="39"/>
      <c r="F71" s="39"/>
      <c r="G71" s="39"/>
      <c r="H71" s="40"/>
      <c r="I71" s="40"/>
      <c r="J71" s="40"/>
      <c r="K71" s="40"/>
      <c r="L71" s="40"/>
      <c r="M71" s="40"/>
      <c r="N71" s="40"/>
      <c r="O71" s="40"/>
      <c r="P71" s="40"/>
      <c r="Q71" s="40"/>
      <c r="R71" s="40"/>
      <c r="S71" s="40"/>
      <c r="T71" s="40"/>
      <c r="U71" s="40"/>
      <c r="V71" s="40"/>
      <c r="W71" s="40"/>
      <c r="X71" s="40"/>
      <c r="Y71" s="40"/>
      <c r="Z71" s="40"/>
      <c r="AA71" s="40"/>
      <c r="AB71" s="40"/>
      <c r="AC71" s="40"/>
      <c r="AD71" s="40"/>
      <c r="AE71" s="40"/>
      <c r="AF71" s="40"/>
    </row>
    <row r="72" spans="2:34" hidden="1" x14ac:dyDescent="0.2">
      <c r="B72" s="39"/>
      <c r="C72" s="39"/>
      <c r="D72" s="39"/>
      <c r="E72" s="39"/>
      <c r="F72" s="39"/>
      <c r="G72" s="39"/>
      <c r="H72" s="40"/>
      <c r="I72" s="40"/>
      <c r="J72" s="40"/>
      <c r="K72" s="40"/>
      <c r="L72" s="40"/>
      <c r="M72" s="40"/>
      <c r="N72" s="40"/>
      <c r="O72" s="40"/>
      <c r="P72" s="40"/>
      <c r="Q72" s="40"/>
      <c r="R72" s="40"/>
      <c r="S72" s="40"/>
      <c r="T72" s="40"/>
      <c r="U72" s="40"/>
      <c r="V72" s="40"/>
      <c r="W72" s="40"/>
      <c r="X72" s="40"/>
      <c r="Y72" s="40"/>
      <c r="Z72" s="40"/>
      <c r="AA72" s="40"/>
      <c r="AB72" s="40"/>
      <c r="AC72" s="40"/>
      <c r="AD72" s="40"/>
      <c r="AE72" s="40"/>
      <c r="AF72" s="40"/>
    </row>
    <row r="73" spans="2:34" hidden="1" x14ac:dyDescent="0.2">
      <c r="B73" s="39"/>
      <c r="C73" s="39"/>
      <c r="D73" s="39"/>
      <c r="E73" s="39"/>
      <c r="F73" s="39"/>
      <c r="G73" s="39"/>
      <c r="H73" s="40"/>
      <c r="I73" s="40"/>
      <c r="J73" s="40"/>
      <c r="K73" s="40"/>
      <c r="L73" s="40"/>
      <c r="M73" s="40"/>
      <c r="N73" s="40"/>
      <c r="O73" s="40"/>
      <c r="P73" s="40"/>
      <c r="Q73" s="40"/>
      <c r="R73" s="40"/>
      <c r="S73" s="40"/>
      <c r="T73" s="40"/>
      <c r="U73" s="40"/>
      <c r="V73" s="40"/>
      <c r="W73" s="40"/>
      <c r="X73" s="40"/>
      <c r="Y73" s="40"/>
      <c r="Z73" s="40"/>
      <c r="AA73" s="40"/>
      <c r="AB73" s="40"/>
      <c r="AC73" s="40"/>
      <c r="AD73" s="40"/>
      <c r="AE73" s="40"/>
      <c r="AF73" s="40"/>
    </row>
    <row r="74" spans="2:34" ht="12" hidden="1" customHeight="1" x14ac:dyDescent="0.2"/>
    <row r="75" spans="2:34" hidden="1" x14ac:dyDescent="0.2">
      <c r="F75" s="41"/>
      <c r="G75" s="41"/>
      <c r="H75" s="41"/>
      <c r="I75" s="41"/>
      <c r="J75" s="41"/>
      <c r="K75" s="41"/>
      <c r="L75" s="41"/>
      <c r="M75" s="41"/>
      <c r="N75" s="41"/>
      <c r="O75" s="41"/>
      <c r="P75" s="41"/>
      <c r="Q75" s="41"/>
      <c r="R75" s="41"/>
      <c r="S75" s="41"/>
      <c r="T75" s="41"/>
      <c r="U75" s="41"/>
      <c r="V75" s="41"/>
      <c r="W75" s="41"/>
      <c r="X75" s="41"/>
      <c r="Y75" s="41"/>
      <c r="Z75" s="41"/>
      <c r="AA75" s="41"/>
      <c r="AB75" s="41"/>
      <c r="AC75" s="41"/>
      <c r="AD75" s="41"/>
      <c r="AE75" s="41"/>
      <c r="AF75" s="41"/>
      <c r="AG75" s="41"/>
      <c r="AH75" s="41"/>
    </row>
    <row r="76" spans="2:34" ht="12.75" hidden="1" customHeight="1" x14ac:dyDescent="0.2">
      <c r="F76" s="41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  <c r="W76" s="42"/>
      <c r="X76" s="42"/>
      <c r="Y76" s="42"/>
      <c r="Z76" s="42"/>
      <c r="AA76" s="42"/>
      <c r="AB76" s="42"/>
      <c r="AC76" s="42"/>
      <c r="AD76" s="42"/>
      <c r="AE76" s="42"/>
      <c r="AF76" s="42"/>
      <c r="AG76" s="42"/>
      <c r="AH76" s="41"/>
    </row>
    <row r="77" spans="2:34" ht="12.75" hidden="1" customHeight="1" x14ac:dyDescent="0.2">
      <c r="F77" s="41"/>
      <c r="G77" s="39"/>
      <c r="H77" s="39"/>
      <c r="I77" s="39"/>
      <c r="J77" s="39"/>
      <c r="K77" s="39"/>
      <c r="L77" s="39"/>
      <c r="M77" s="39"/>
      <c r="N77" s="39"/>
      <c r="O77" s="39"/>
      <c r="P77" s="39"/>
      <c r="Q77" s="39"/>
      <c r="R77" s="39"/>
      <c r="S77" s="39"/>
      <c r="T77" s="39"/>
      <c r="U77" s="39"/>
      <c r="V77" s="39"/>
      <c r="W77" s="39"/>
      <c r="X77" s="39"/>
      <c r="Y77" s="39"/>
      <c r="Z77" s="39"/>
      <c r="AA77" s="39"/>
      <c r="AB77" s="39"/>
      <c r="AC77" s="39"/>
      <c r="AD77" s="39"/>
      <c r="AE77" s="39"/>
      <c r="AF77" s="39"/>
      <c r="AG77" s="39"/>
      <c r="AH77" s="41"/>
    </row>
    <row r="78" spans="2:34" hidden="1" x14ac:dyDescent="0.2">
      <c r="F78" s="41"/>
      <c r="G78" s="39"/>
      <c r="H78" s="39"/>
      <c r="I78" s="39"/>
      <c r="J78" s="39"/>
      <c r="K78" s="39"/>
      <c r="L78" s="39"/>
      <c r="M78" s="39"/>
      <c r="N78" s="39"/>
      <c r="O78" s="39"/>
      <c r="P78" s="39"/>
      <c r="Q78" s="39"/>
      <c r="R78" s="39"/>
      <c r="S78" s="39"/>
      <c r="T78" s="39"/>
      <c r="U78" s="39"/>
      <c r="V78" s="39"/>
      <c r="W78" s="39"/>
      <c r="X78" s="39"/>
      <c r="Y78" s="39"/>
      <c r="Z78" s="39"/>
      <c r="AA78" s="39"/>
      <c r="AB78" s="39"/>
      <c r="AC78" s="39"/>
      <c r="AD78" s="39"/>
      <c r="AE78" s="39"/>
      <c r="AF78" s="39"/>
      <c r="AG78" s="39"/>
      <c r="AH78" s="41"/>
    </row>
    <row r="79" spans="2:34" hidden="1" x14ac:dyDescent="0.2">
      <c r="F79" s="43"/>
      <c r="G79" s="43"/>
      <c r="H79" s="43"/>
      <c r="I79" s="43"/>
      <c r="J79" s="41"/>
      <c r="K79" s="41"/>
      <c r="L79" s="41"/>
      <c r="M79" s="41"/>
      <c r="N79" s="41"/>
      <c r="O79" s="41"/>
      <c r="P79" s="41"/>
      <c r="Q79" s="41"/>
      <c r="R79" s="41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  <c r="AG79" s="43"/>
      <c r="AH79" s="41"/>
    </row>
    <row r="80" spans="2:34" hidden="1" x14ac:dyDescent="0.2">
      <c r="F80" s="43"/>
      <c r="G80" s="43"/>
      <c r="H80" s="43"/>
      <c r="I80" s="43"/>
      <c r="J80" s="41"/>
      <c r="K80" s="41"/>
      <c r="L80" s="41"/>
      <c r="M80" s="41"/>
      <c r="N80" s="41"/>
      <c r="O80" s="41"/>
      <c r="P80" s="41"/>
      <c r="Q80" s="41"/>
      <c r="R80" s="41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  <c r="AG80" s="43"/>
      <c r="AH80" s="41"/>
    </row>
    <row r="81" spans="6:34" hidden="1" x14ac:dyDescent="0.2">
      <c r="F81" s="44"/>
      <c r="G81" s="44"/>
      <c r="H81" s="44"/>
      <c r="I81" s="44"/>
      <c r="J81" s="44"/>
      <c r="K81" s="44"/>
      <c r="R81" s="44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4"/>
    </row>
    <row r="82" spans="6:34" hidden="1" x14ac:dyDescent="0.2">
      <c r="R82" s="44"/>
      <c r="S82" s="44"/>
      <c r="T82" s="44"/>
      <c r="U82" s="44"/>
      <c r="V82" s="44"/>
      <c r="W82" s="44"/>
      <c r="X82" s="44"/>
      <c r="Y82" s="44"/>
      <c r="Z82" s="44"/>
      <c r="AA82" s="44"/>
      <c r="AB82" s="44"/>
      <c r="AC82" s="44"/>
      <c r="AD82" s="44"/>
      <c r="AE82" s="44"/>
      <c r="AF82" s="44"/>
      <c r="AG82" s="44"/>
      <c r="AH82" s="44"/>
    </row>
    <row r="83" spans="6:34" hidden="1" x14ac:dyDescent="0.2">
      <c r="R83" s="44"/>
      <c r="S83" s="44"/>
      <c r="T83" s="44"/>
      <c r="U83" s="44"/>
      <c r="V83" s="44"/>
      <c r="W83" s="44"/>
      <c r="X83" s="44"/>
      <c r="Y83" s="44"/>
      <c r="Z83" s="44"/>
      <c r="AA83" s="44"/>
      <c r="AB83" s="44"/>
      <c r="AC83" s="44"/>
      <c r="AD83" s="44"/>
      <c r="AE83" s="44"/>
      <c r="AF83" s="44"/>
      <c r="AG83" s="44"/>
      <c r="AH83" s="44"/>
    </row>
    <row r="84" spans="6:34" hidden="1" x14ac:dyDescent="0.2"/>
    <row r="85" spans="6:34" hidden="1" x14ac:dyDescent="0.2"/>
    <row r="86" spans="6:34" hidden="1" x14ac:dyDescent="0.2"/>
    <row r="87" spans="6:34" hidden="1" x14ac:dyDescent="0.2"/>
    <row r="88" spans="6:34" hidden="1" x14ac:dyDescent="0.2"/>
    <row r="89" spans="6:34" hidden="1" x14ac:dyDescent="0.2"/>
    <row r="90" spans="6:34" hidden="1" x14ac:dyDescent="0.2"/>
    <row r="91" spans="6:34" hidden="1" x14ac:dyDescent="0.2"/>
    <row r="92" spans="6:34" hidden="1" x14ac:dyDescent="0.2"/>
    <row r="93" spans="6:34" hidden="1" x14ac:dyDescent="0.2"/>
    <row r="94" spans="6:34" hidden="1" x14ac:dyDescent="0.2"/>
    <row r="95" spans="6:34" hidden="1" x14ac:dyDescent="0.2"/>
    <row r="96" spans="6:34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</sheetData>
  <sheetProtection formatCells="0" formatRows="0" insertColumns="0" insertRows="0" insertHyperlinks="0" deleteRows="0" selectLockedCells="1" sort="0" autoFilter="0" pivotTables="0"/>
  <mergeCells count="100">
    <mergeCell ref="H56:AF56"/>
    <mergeCell ref="B55:G55"/>
    <mergeCell ref="H55:AF55"/>
    <mergeCell ref="B54:G54"/>
    <mergeCell ref="B19:F19"/>
    <mergeCell ref="G19:AF19"/>
    <mergeCell ref="B20:F20"/>
    <mergeCell ref="G20:AF20"/>
    <mergeCell ref="Y47:AF47"/>
    <mergeCell ref="Y48:AF48"/>
    <mergeCell ref="B46:D46"/>
    <mergeCell ref="E47:X47"/>
    <mergeCell ref="B48:D48"/>
    <mergeCell ref="B45:D45"/>
    <mergeCell ref="B47:D47"/>
    <mergeCell ref="I30:Q30"/>
    <mergeCell ref="N61:T61"/>
    <mergeCell ref="B21:F21"/>
    <mergeCell ref="G21:AF21"/>
    <mergeCell ref="B22:F22"/>
    <mergeCell ref="G22:AF22"/>
    <mergeCell ref="B23:F23"/>
    <mergeCell ref="G23:AF23"/>
    <mergeCell ref="B53:G53"/>
    <mergeCell ref="H53:AF53"/>
    <mergeCell ref="B51:G51"/>
    <mergeCell ref="B56:G56"/>
    <mergeCell ref="H51:AF51"/>
    <mergeCell ref="H54:AF54"/>
    <mergeCell ref="B52:G52"/>
    <mergeCell ref="H52:AF52"/>
    <mergeCell ref="Y45:AF45"/>
    <mergeCell ref="B28:D28"/>
    <mergeCell ref="I28:Q28"/>
    <mergeCell ref="Y38:AF38"/>
    <mergeCell ref="B39:D39"/>
    <mergeCell ref="E39:X39"/>
    <mergeCell ref="Y39:AF39"/>
    <mergeCell ref="B15:F15"/>
    <mergeCell ref="B26:D26"/>
    <mergeCell ref="W7:AA7"/>
    <mergeCell ref="G15:AF15"/>
    <mergeCell ref="G16:AF16"/>
    <mergeCell ref="G17:AF17"/>
    <mergeCell ref="B16:F16"/>
    <mergeCell ref="I26:Q26"/>
    <mergeCell ref="R26:AF26"/>
    <mergeCell ref="E7:V7"/>
    <mergeCell ref="A9:AG9"/>
    <mergeCell ref="B17:F17"/>
    <mergeCell ref="E26:H26"/>
    <mergeCell ref="A7:D7"/>
    <mergeCell ref="B18:F18"/>
    <mergeCell ref="G18:AF18"/>
    <mergeCell ref="AB4:AG4"/>
    <mergeCell ref="AB5:AG5"/>
    <mergeCell ref="AE6:AG6"/>
    <mergeCell ref="AE7:AG7"/>
    <mergeCell ref="A8:AG8"/>
    <mergeCell ref="AB6:AD6"/>
    <mergeCell ref="AB7:AD7"/>
    <mergeCell ref="A4:V4"/>
    <mergeCell ref="A5:V5"/>
    <mergeCell ref="W4:AA4"/>
    <mergeCell ref="W5:AA5"/>
    <mergeCell ref="A6:D6"/>
    <mergeCell ref="W6:AA6"/>
    <mergeCell ref="E6:V6"/>
    <mergeCell ref="R27:AF27"/>
    <mergeCell ref="B38:D38"/>
    <mergeCell ref="E38:X38"/>
    <mergeCell ref="B27:D27"/>
    <mergeCell ref="I27:Q27"/>
    <mergeCell ref="E28:H28"/>
    <mergeCell ref="E30:H30"/>
    <mergeCell ref="I29:Q29"/>
    <mergeCell ref="R29:AF29"/>
    <mergeCell ref="B29:D29"/>
    <mergeCell ref="E29:H29"/>
    <mergeCell ref="E27:H27"/>
    <mergeCell ref="R28:AF28"/>
    <mergeCell ref="B34:AF34"/>
    <mergeCell ref="R30:AF30"/>
    <mergeCell ref="B30:D30"/>
    <mergeCell ref="Y40:AF40"/>
    <mergeCell ref="B42:D42"/>
    <mergeCell ref="E42:X42"/>
    <mergeCell ref="Y42:AF42"/>
    <mergeCell ref="B40:D40"/>
    <mergeCell ref="E40:X40"/>
    <mergeCell ref="E41:X41"/>
    <mergeCell ref="B44:D44"/>
    <mergeCell ref="Y46:AF46"/>
    <mergeCell ref="E46:X46"/>
    <mergeCell ref="E48:X48"/>
    <mergeCell ref="Y41:AF41"/>
    <mergeCell ref="B41:D41"/>
    <mergeCell ref="E44:X44"/>
    <mergeCell ref="E45:X45"/>
    <mergeCell ref="Y44:AF44"/>
  </mergeCells>
  <phoneticPr fontId="4" type="noConversion"/>
  <hyperlinks>
    <hyperlink ref="N61" location="'User Guide'!A1" display="See User Guide sheet"/>
  </hyperlinks>
  <pageMargins left="0.55118110236220474" right="0.35433070866141736" top="0.39370078740157483" bottom="0.39370078740157483" header="0.19685039370078741" footer="0.19685039370078741"/>
  <pageSetup paperSize="9" orientation="portrait" r:id="rId1"/>
  <headerFooter alignWithMargins="0">
    <oddFooter>&amp;C&amp;8Copyright Autoliv Inc., All Rights Reserved&amp;LExxxxxxx rev xxx ver xxx&amp;R&amp;P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tabColor theme="9" tint="0.59999389629810485"/>
  </sheetPr>
  <dimension ref="A1:Q24"/>
  <sheetViews>
    <sheetView zoomScale="80" zoomScaleNormal="80" zoomScaleSheetLayoutView="90" workbookViewId="0">
      <selection activeCell="A9" sqref="A9"/>
    </sheetView>
  </sheetViews>
  <sheetFormatPr defaultColWidth="0" defaultRowHeight="12.75" zeroHeight="1" x14ac:dyDescent="0.2"/>
  <cols>
    <col min="1" max="1" width="20.140625" customWidth="1"/>
    <col min="2" max="2" width="9.5703125" customWidth="1"/>
    <col min="3" max="3" width="16.28515625" customWidth="1"/>
    <col min="4" max="4" width="13.28515625" customWidth="1"/>
    <col min="5" max="5" width="12.7109375" customWidth="1"/>
    <col min="6" max="6" width="12.140625" customWidth="1"/>
    <col min="7" max="7" width="11.7109375" customWidth="1"/>
    <col min="8" max="8" width="14.5703125" customWidth="1"/>
    <col min="9" max="9" width="11.42578125" customWidth="1"/>
    <col min="10" max="10" width="33.42578125" customWidth="1"/>
    <col min="11" max="12" width="11.42578125" customWidth="1"/>
    <col min="13" max="16" width="12" customWidth="1"/>
    <col min="17" max="17" width="3.7109375" customWidth="1"/>
  </cols>
  <sheetData>
    <row r="1" spans="1:17" ht="22.5" x14ac:dyDescent="0.3">
      <c r="A1" s="400" t="s">
        <v>38</v>
      </c>
      <c r="B1" s="400"/>
      <c r="C1" s="400"/>
      <c r="D1" s="400"/>
      <c r="E1" s="400"/>
      <c r="F1" s="400"/>
      <c r="G1" s="400"/>
      <c r="H1" s="400"/>
      <c r="I1" s="400"/>
      <c r="J1" s="400"/>
      <c r="K1" s="400"/>
      <c r="L1" s="400"/>
      <c r="M1" s="400"/>
      <c r="N1" s="400"/>
      <c r="O1" s="400"/>
      <c r="P1" s="400"/>
      <c r="Q1" s="400"/>
    </row>
    <row r="2" spans="1:17" s="60" customFormat="1" ht="37.5" customHeight="1" x14ac:dyDescent="0.2">
      <c r="A2" s="402" t="s">
        <v>127</v>
      </c>
      <c r="B2" s="402"/>
      <c r="C2" s="402"/>
      <c r="D2" s="402"/>
      <c r="E2" s="402"/>
      <c r="F2" s="402"/>
      <c r="G2" s="402"/>
      <c r="H2" s="402"/>
      <c r="I2" s="402"/>
      <c r="J2" s="402"/>
      <c r="K2" s="402"/>
      <c r="L2" s="402"/>
      <c r="M2" s="402"/>
      <c r="N2" s="402"/>
      <c r="O2" s="402"/>
      <c r="P2" s="402"/>
      <c r="Q2" s="402"/>
    </row>
    <row r="3" spans="1:17" s="60" customFormat="1" ht="37.5" customHeight="1" x14ac:dyDescent="0.2">
      <c r="A3" s="402" t="s">
        <v>128</v>
      </c>
      <c r="B3" s="402"/>
      <c r="C3" s="402"/>
      <c r="D3" s="402"/>
      <c r="E3" s="402"/>
      <c r="F3" s="402"/>
      <c r="G3" s="402"/>
      <c r="H3" s="402"/>
      <c r="I3" s="402"/>
      <c r="J3" s="402"/>
      <c r="K3" s="402"/>
      <c r="L3" s="402"/>
      <c r="M3" s="402"/>
      <c r="N3" s="402"/>
      <c r="O3" s="402"/>
      <c r="P3" s="402"/>
      <c r="Q3" s="402"/>
    </row>
    <row r="4" spans="1:17" ht="90" customHeight="1" x14ac:dyDescent="0.2">
      <c r="A4" s="402" t="s">
        <v>151</v>
      </c>
      <c r="B4" s="402"/>
      <c r="C4" s="402"/>
      <c r="D4" s="402"/>
      <c r="E4" s="402"/>
      <c r="F4" s="402"/>
      <c r="G4" s="402"/>
      <c r="H4" s="402"/>
      <c r="I4" s="402"/>
      <c r="J4" s="402"/>
      <c r="K4" s="402"/>
      <c r="L4" s="402"/>
      <c r="M4" s="402"/>
      <c r="N4" s="227"/>
      <c r="O4" s="227"/>
      <c r="P4" s="227"/>
    </row>
    <row r="5" spans="1:17" s="62" customFormat="1" ht="53.25" customHeight="1" x14ac:dyDescent="0.2">
      <c r="A5" s="403" t="s">
        <v>129</v>
      </c>
      <c r="B5" s="404"/>
      <c r="C5" s="404"/>
      <c r="D5" s="404"/>
      <c r="E5" s="404"/>
      <c r="F5" s="404"/>
      <c r="G5" s="404"/>
      <c r="H5" s="404"/>
      <c r="I5" s="404"/>
      <c r="J5" s="404"/>
      <c r="K5" s="404"/>
      <c r="L5" s="404"/>
      <c r="M5" s="404"/>
      <c r="N5" s="228"/>
      <c r="O5" s="228"/>
      <c r="P5" s="228"/>
    </row>
    <row r="6" spans="1:17" ht="67.5" customHeight="1" x14ac:dyDescent="0.2">
      <c r="A6" s="405" t="s">
        <v>130</v>
      </c>
      <c r="B6" s="405"/>
      <c r="C6" s="405"/>
      <c r="D6" s="405"/>
      <c r="E6" s="405"/>
      <c r="F6" s="405"/>
      <c r="G6" s="405"/>
      <c r="H6" s="405"/>
      <c r="I6" s="405"/>
      <c r="J6" s="405"/>
      <c r="K6" s="405"/>
      <c r="L6" s="405"/>
      <c r="M6" s="405"/>
      <c r="N6" s="405"/>
      <c r="O6" s="405"/>
      <c r="P6" s="405"/>
      <c r="Q6" s="405"/>
    </row>
    <row r="7" spans="1:17" ht="63" customHeight="1" x14ac:dyDescent="0.2">
      <c r="A7" s="406" t="s">
        <v>169</v>
      </c>
      <c r="B7" s="407"/>
      <c r="C7" s="407"/>
      <c r="D7" s="407"/>
      <c r="E7" s="407"/>
      <c r="F7" s="407"/>
      <c r="G7" s="407"/>
      <c r="H7" s="407"/>
      <c r="I7" s="407"/>
      <c r="J7" s="407"/>
      <c r="K7" s="407"/>
      <c r="L7" s="407"/>
      <c r="M7" s="407"/>
      <c r="N7" s="407"/>
      <c r="O7" s="407"/>
      <c r="P7" s="407"/>
      <c r="Q7" s="407"/>
    </row>
    <row r="8" spans="1:17" ht="22.5" x14ac:dyDescent="0.3">
      <c r="A8" s="400" t="s">
        <v>131</v>
      </c>
      <c r="B8" s="400"/>
      <c r="C8" s="400"/>
      <c r="D8" s="400"/>
      <c r="E8" s="400"/>
      <c r="F8" s="400"/>
      <c r="G8" s="400"/>
      <c r="H8" s="400"/>
      <c r="I8" s="400"/>
      <c r="J8" s="400"/>
      <c r="K8" s="400"/>
      <c r="L8" s="400"/>
      <c r="M8" s="400"/>
      <c r="N8" s="400"/>
      <c r="O8" s="400"/>
      <c r="P8" s="400"/>
      <c r="Q8" s="400"/>
    </row>
    <row r="9" spans="1:17" s="1" customFormat="1" ht="74.25" customHeight="1" x14ac:dyDescent="0.2">
      <c r="B9" s="401" t="s">
        <v>132</v>
      </c>
      <c r="C9" s="401"/>
      <c r="D9" s="401"/>
      <c r="E9" s="401"/>
      <c r="F9" s="401"/>
      <c r="G9" s="401"/>
      <c r="H9" s="63"/>
      <c r="N9" s="408" t="s">
        <v>162</v>
      </c>
      <c r="O9" s="408"/>
    </row>
    <row r="10" spans="1:17" ht="166.5" x14ac:dyDescent="0.2">
      <c r="B10" s="64" t="s">
        <v>133</v>
      </c>
      <c r="C10" s="64" t="s">
        <v>134</v>
      </c>
      <c r="D10" s="64" t="s">
        <v>39</v>
      </c>
      <c r="E10" s="64" t="s">
        <v>40</v>
      </c>
      <c r="F10" s="64" t="s">
        <v>41</v>
      </c>
      <c r="G10" s="64" t="s">
        <v>153</v>
      </c>
      <c r="H10" s="64" t="s">
        <v>42</v>
      </c>
      <c r="I10" s="64" t="s">
        <v>43</v>
      </c>
      <c r="J10" s="64" t="s">
        <v>44</v>
      </c>
      <c r="K10" s="64" t="s">
        <v>45</v>
      </c>
      <c r="L10" s="64" t="s">
        <v>46</v>
      </c>
      <c r="M10" s="64" t="s">
        <v>47</v>
      </c>
      <c r="N10" s="229" t="s">
        <v>156</v>
      </c>
      <c r="O10" s="229" t="s">
        <v>157</v>
      </c>
      <c r="P10" s="229" t="s">
        <v>158</v>
      </c>
    </row>
    <row r="11" spans="1:17" s="1" customFormat="1" ht="173.25" customHeight="1" x14ac:dyDescent="0.2">
      <c r="A11" s="215" t="s">
        <v>149</v>
      </c>
      <c r="B11" s="216" t="s">
        <v>136</v>
      </c>
      <c r="C11" s="216" t="s">
        <v>135</v>
      </c>
      <c r="D11" s="216" t="s">
        <v>137</v>
      </c>
      <c r="E11" s="216" t="s">
        <v>139</v>
      </c>
      <c r="F11" s="65" t="s">
        <v>150</v>
      </c>
      <c r="G11" s="216" t="s">
        <v>154</v>
      </c>
      <c r="H11" s="216" t="s">
        <v>155</v>
      </c>
      <c r="I11" s="66" t="s">
        <v>48</v>
      </c>
      <c r="J11" s="217" t="s">
        <v>140</v>
      </c>
      <c r="K11" s="61" t="s">
        <v>49</v>
      </c>
      <c r="L11" s="61" t="s">
        <v>50</v>
      </c>
      <c r="M11"/>
      <c r="N11" s="216" t="s">
        <v>159</v>
      </c>
      <c r="O11" s="216" t="s">
        <v>160</v>
      </c>
      <c r="P11" s="231" t="s">
        <v>161</v>
      </c>
      <c r="Q11"/>
    </row>
    <row r="12" spans="1:17" ht="56.25" x14ac:dyDescent="0.2">
      <c r="D12" s="67" t="s">
        <v>138</v>
      </c>
      <c r="E12" s="68"/>
      <c r="J12" s="69" t="s">
        <v>51</v>
      </c>
      <c r="K12" s="68" t="s">
        <v>52</v>
      </c>
    </row>
    <row r="13" spans="1:17" ht="22.5" x14ac:dyDescent="0.2">
      <c r="J13" s="70" t="s">
        <v>53</v>
      </c>
      <c r="K13" s="68"/>
    </row>
    <row r="14" spans="1:17" ht="33.75" x14ac:dyDescent="0.2">
      <c r="J14" s="71" t="s">
        <v>146</v>
      </c>
      <c r="M14" s="71" t="s">
        <v>147</v>
      </c>
      <c r="N14" s="230"/>
      <c r="O14" s="230"/>
      <c r="P14" s="230"/>
    </row>
    <row r="15" spans="1:17" ht="33.75" x14ac:dyDescent="0.2">
      <c r="J15" s="72" t="s">
        <v>54</v>
      </c>
      <c r="N15" s="74"/>
      <c r="O15" s="74"/>
      <c r="P15" s="74"/>
    </row>
    <row r="16" spans="1:17" ht="33.75" x14ac:dyDescent="0.2">
      <c r="J16" s="71" t="s">
        <v>148</v>
      </c>
      <c r="M16" s="71" t="s">
        <v>147</v>
      </c>
      <c r="N16" s="230"/>
      <c r="O16" s="230"/>
      <c r="P16" s="230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</sheetData>
  <mergeCells count="10">
    <mergeCell ref="A8:Q8"/>
    <mergeCell ref="B9:G9"/>
    <mergeCell ref="A1:Q1"/>
    <mergeCell ref="A2:Q2"/>
    <mergeCell ref="A5:M5"/>
    <mergeCell ref="A6:Q6"/>
    <mergeCell ref="A7:Q7"/>
    <mergeCell ref="A4:M4"/>
    <mergeCell ref="A3:Q3"/>
    <mergeCell ref="N9:O9"/>
  </mergeCells>
  <pageMargins left="0.75" right="0.75" top="1" bottom="1" header="0.4921259845" footer="0.4921259845"/>
  <pageSetup paperSize="9" scale="51" orientation="portrait" r:id="rId1"/>
  <headerFooter alignWithMargins="0">
    <oddFooter>&amp;LExxxxxxx rev xxx ver xxx&amp;R&amp;P</oddFooter>
  </headerFooter>
  <rowBreaks count="1" manualBreakCount="1">
    <brk id="7" max="16383" man="1"/>
  </rowBreaks>
  <colBreaks count="1" manualBreakCount="1">
    <brk id="16" max="14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theme="4" tint="0.39997558519241921"/>
    <outlinePr summaryBelow="0"/>
  </sheetPr>
  <dimension ref="A1:XFC124"/>
  <sheetViews>
    <sheetView showGridLines="0" tabSelected="1" zoomScale="75" zoomScaleNormal="75" workbookViewId="0">
      <pane ySplit="4" topLeftCell="A5" activePane="bottomLeft" state="frozen"/>
      <selection pane="bottomLeft" activeCell="R19" sqref="R19"/>
    </sheetView>
  </sheetViews>
  <sheetFormatPr defaultColWidth="0" defaultRowHeight="12.75" zeroHeight="1" outlineLevelRow="1" x14ac:dyDescent="0.2"/>
  <cols>
    <col min="1" max="1" width="49.28515625" style="155" customWidth="1"/>
    <col min="2" max="2" width="15.5703125" style="156" customWidth="1"/>
    <col min="3" max="3" width="15.5703125" style="157" customWidth="1"/>
    <col min="4" max="4" width="17.85546875" style="157" customWidth="1"/>
    <col min="5" max="5" width="18.28515625" style="158" customWidth="1"/>
    <col min="6" max="7" width="15.5703125" style="159" customWidth="1"/>
    <col min="8" max="8" width="15.5703125" style="160" hidden="1" customWidth="1"/>
    <col min="9" max="9" width="15.5703125" style="161" customWidth="1"/>
    <col min="10" max="10" width="15.5703125" style="161" hidden="1" customWidth="1"/>
    <col min="11" max="11" width="15.5703125" style="161" customWidth="1"/>
    <col min="12" max="12" width="16.42578125" style="161" hidden="1" customWidth="1"/>
    <col min="13" max="13" width="18.42578125" style="160" hidden="1" customWidth="1"/>
    <col min="14" max="14" width="20" style="162" hidden="1" customWidth="1"/>
    <col min="15" max="15" width="20.5703125" style="157" customWidth="1"/>
    <col min="16" max="19" width="11.42578125" style="92" customWidth="1"/>
    <col min="20" max="20" width="95.5703125" style="92" customWidth="1"/>
    <col min="21" max="16383" width="0" style="92" hidden="1"/>
    <col min="16384" max="16384" width="71" style="92" hidden="1" customWidth="1"/>
  </cols>
  <sheetData>
    <row r="1" spans="1:34" s="166" customFormat="1" ht="40.5" customHeight="1" x14ac:dyDescent="0.2">
      <c r="A1" s="301"/>
      <c r="B1" s="302" t="s">
        <v>110</v>
      </c>
      <c r="C1" s="303"/>
      <c r="D1" s="303"/>
      <c r="E1" s="203"/>
      <c r="F1" s="204"/>
      <c r="G1" s="304"/>
      <c r="H1" s="304"/>
      <c r="I1" s="304"/>
      <c r="J1" s="305"/>
      <c r="K1" s="409" t="s">
        <v>103</v>
      </c>
      <c r="L1" s="410"/>
      <c r="M1" s="305"/>
      <c r="N1" s="306"/>
      <c r="O1" s="236" t="str">
        <f>SWVersion</f>
        <v>tbd</v>
      </c>
      <c r="P1" s="308"/>
      <c r="AH1" s="202"/>
    </row>
    <row r="2" spans="1:34" ht="18.75" x14ac:dyDescent="0.2">
      <c r="A2" s="300" t="s">
        <v>185</v>
      </c>
      <c r="B2" s="176"/>
      <c r="C2" s="167"/>
      <c r="D2" s="167"/>
      <c r="E2" s="167"/>
      <c r="F2" s="167"/>
      <c r="G2" s="167"/>
      <c r="H2" s="167"/>
      <c r="I2" s="167"/>
      <c r="J2" s="181"/>
      <c r="K2" s="181"/>
      <c r="L2" s="181"/>
      <c r="M2" s="181"/>
      <c r="N2" s="167"/>
      <c r="O2" s="167"/>
      <c r="P2" s="308"/>
    </row>
    <row r="3" spans="1:34" s="166" customFormat="1" ht="16.5" customHeight="1" outlineLevel="1" x14ac:dyDescent="0.2">
      <c r="A3" s="194"/>
      <c r="B3" s="195"/>
      <c r="C3" s="412" t="str">
        <f>Discipline  &amp; " requirements (functional and non functional)"</f>
        <v>All requirements (functional and non functional)</v>
      </c>
      <c r="D3" s="413"/>
      <c r="E3" s="413"/>
      <c r="F3" s="413"/>
      <c r="G3" s="413"/>
      <c r="H3" s="413"/>
      <c r="I3" s="413"/>
      <c r="J3" s="413"/>
      <c r="K3" s="414"/>
      <c r="L3" s="411" t="str">
        <f>Discipline&amp;" Functional requirements only"</f>
        <v>All Functional requirements only</v>
      </c>
      <c r="M3" s="411"/>
      <c r="N3" s="411"/>
      <c r="O3" s="232" t="str">
        <f>Discipline  &amp; " requirements (functional and non functional)"</f>
        <v>All requirements (functional and non functional)</v>
      </c>
      <c r="P3" s="308"/>
    </row>
    <row r="4" spans="1:34" s="93" customFormat="1" ht="99" customHeight="1" outlineLevel="1" x14ac:dyDescent="0.2">
      <c r="A4" s="196" t="s">
        <v>55</v>
      </c>
      <c r="B4" s="197" t="s">
        <v>152</v>
      </c>
      <c r="C4" s="197" t="s">
        <v>41</v>
      </c>
      <c r="D4" s="197" t="s">
        <v>163</v>
      </c>
      <c r="E4" s="197" t="s">
        <v>174</v>
      </c>
      <c r="F4" s="197" t="s">
        <v>122</v>
      </c>
      <c r="G4" s="197" t="s">
        <v>93</v>
      </c>
      <c r="H4" s="197" t="s">
        <v>94</v>
      </c>
      <c r="I4" s="197" t="s">
        <v>97</v>
      </c>
      <c r="J4" s="197" t="s">
        <v>99</v>
      </c>
      <c r="K4" s="197" t="s">
        <v>98</v>
      </c>
      <c r="L4" s="222" t="s">
        <v>97</v>
      </c>
      <c r="M4" s="222" t="s">
        <v>99</v>
      </c>
      <c r="N4" s="222" t="s">
        <v>98</v>
      </c>
      <c r="O4" s="197" t="s">
        <v>158</v>
      </c>
      <c r="P4" s="308"/>
    </row>
    <row r="5" spans="1:34" outlineLevel="1" x14ac:dyDescent="0.2">
      <c r="A5" s="213"/>
      <c r="B5" s="188"/>
      <c r="C5" s="189"/>
      <c r="D5" s="189"/>
      <c r="E5" s="189"/>
      <c r="F5" s="190"/>
      <c r="G5" s="189"/>
      <c r="H5" s="189"/>
      <c r="I5" s="191"/>
      <c r="J5" s="191"/>
      <c r="K5" s="191"/>
      <c r="L5" s="201"/>
      <c r="M5" s="201"/>
      <c r="N5" s="201"/>
      <c r="O5" s="189"/>
      <c r="P5" s="307"/>
    </row>
    <row r="6" spans="1:34" ht="13.5" outlineLevel="1" thickBot="1" x14ac:dyDescent="0.25">
      <c r="A6" s="187"/>
      <c r="B6" s="188"/>
      <c r="C6" s="189"/>
      <c r="D6" s="189"/>
      <c r="E6" s="189"/>
      <c r="F6" s="190"/>
      <c r="G6" s="189"/>
      <c r="H6" s="189"/>
      <c r="I6" s="191"/>
      <c r="J6" s="191"/>
      <c r="K6" s="191"/>
      <c r="L6" s="192"/>
      <c r="M6" s="192"/>
      <c r="N6" s="192"/>
      <c r="O6" s="189"/>
      <c r="P6" s="307"/>
    </row>
    <row r="7" spans="1:34" s="116" customFormat="1" ht="15.75" outlineLevel="1" x14ac:dyDescent="0.2">
      <c r="A7" s="198" t="s">
        <v>91</v>
      </c>
      <c r="B7" s="117" t="s">
        <v>121</v>
      </c>
      <c r="C7" s="118">
        <v>0</v>
      </c>
      <c r="D7" s="118">
        <v>0</v>
      </c>
      <c r="E7" s="118">
        <v>0</v>
      </c>
      <c r="F7" s="118">
        <v>0</v>
      </c>
      <c r="G7" s="118">
        <v>0</v>
      </c>
      <c r="H7" s="118">
        <v>0</v>
      </c>
      <c r="I7" s="119">
        <v>0</v>
      </c>
      <c r="J7" s="119">
        <v>0</v>
      </c>
      <c r="K7" s="119">
        <v>0</v>
      </c>
      <c r="L7" s="186">
        <v>0</v>
      </c>
      <c r="M7" s="186">
        <v>0</v>
      </c>
      <c r="N7" s="186">
        <v>0</v>
      </c>
      <c r="O7" s="118">
        <v>0</v>
      </c>
      <c r="P7" s="309"/>
    </row>
    <row r="8" spans="1:34" s="137" customFormat="1" ht="15.75" outlineLevel="1" x14ac:dyDescent="0.2">
      <c r="A8" s="199" t="s">
        <v>92</v>
      </c>
      <c r="B8" s="193"/>
      <c r="C8" s="415"/>
      <c r="D8" s="415"/>
      <c r="E8" s="415"/>
      <c r="F8" s="415"/>
      <c r="G8" s="415"/>
      <c r="H8" s="415"/>
      <c r="I8" s="416"/>
      <c r="J8" s="416"/>
      <c r="K8" s="416"/>
      <c r="L8" s="417"/>
      <c r="M8" s="417"/>
      <c r="N8" s="417"/>
      <c r="O8" s="415"/>
      <c r="P8" s="310"/>
    </row>
    <row r="9" spans="1:34" s="183" customFormat="1" ht="15.75" outlineLevel="1" thickBot="1" x14ac:dyDescent="0.25">
      <c r="A9" s="168"/>
      <c r="B9" s="176"/>
      <c r="C9" s="177"/>
      <c r="D9" s="177"/>
      <c r="E9" s="178"/>
      <c r="F9" s="179"/>
      <c r="G9" s="179"/>
      <c r="H9" s="180"/>
      <c r="I9" s="181"/>
      <c r="J9" s="181"/>
      <c r="K9" s="181"/>
      <c r="L9" s="181"/>
      <c r="M9" s="180"/>
      <c r="N9" s="181"/>
      <c r="O9" s="177"/>
      <c r="P9" s="177"/>
    </row>
    <row r="10" spans="1:34" s="185" customFormat="1" ht="16.5" outlineLevel="1" thickTop="1" thickBot="1" x14ac:dyDescent="0.25">
      <c r="A10" s="182"/>
      <c r="B10" s="169"/>
      <c r="C10" s="170"/>
      <c r="D10" s="170"/>
      <c r="E10" s="171"/>
      <c r="F10" s="172"/>
      <c r="G10" s="172"/>
      <c r="H10" s="173"/>
      <c r="I10" s="174"/>
      <c r="J10" s="174"/>
      <c r="K10" s="174"/>
      <c r="L10" s="174"/>
      <c r="M10" s="173"/>
      <c r="N10" s="174"/>
      <c r="O10" s="170"/>
      <c r="P10" s="170"/>
    </row>
    <row r="11" spans="1:34" s="142" customFormat="1" ht="23.25" thickTop="1" x14ac:dyDescent="0.2">
      <c r="A11" s="143" t="s">
        <v>175</v>
      </c>
      <c r="B11" s="144"/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144"/>
      <c r="N11" s="144"/>
      <c r="O11" s="144"/>
      <c r="P11" s="144"/>
      <c r="Q11" s="237"/>
      <c r="R11" s="237"/>
      <c r="S11" s="237"/>
      <c r="T11" s="237"/>
    </row>
    <row r="12" spans="1:34" s="142" customFormat="1" ht="22.5" outlineLevel="1" x14ac:dyDescent="0.2">
      <c r="A12" s="143"/>
      <c r="B12" s="144"/>
      <c r="C12" s="144"/>
      <c r="D12" s="144"/>
      <c r="E12" s="144"/>
      <c r="F12" s="144"/>
      <c r="G12" s="144"/>
      <c r="H12" s="144"/>
      <c r="I12" s="144"/>
      <c r="J12" s="144"/>
      <c r="K12" s="144"/>
      <c r="L12" s="144"/>
      <c r="M12" s="144"/>
      <c r="N12" s="144"/>
      <c r="O12" s="144"/>
      <c r="P12" s="144"/>
      <c r="Q12" s="237"/>
      <c r="R12" s="237"/>
      <c r="S12" s="237"/>
      <c r="T12" s="237"/>
    </row>
    <row r="13" spans="1:34" s="142" customFormat="1" ht="15" outlineLevel="1" x14ac:dyDescent="0.2">
      <c r="A13" s="238" t="s">
        <v>95</v>
      </c>
      <c r="B13" s="133">
        <f>INT(RIGHT(B7,FIND("/",B7)-2))</f>
        <v>0</v>
      </c>
      <c r="C13" s="144"/>
      <c r="D13" s="144"/>
      <c r="E13" s="144"/>
      <c r="F13" s="144"/>
      <c r="G13" s="144"/>
      <c r="H13" s="144"/>
      <c r="I13" s="144"/>
      <c r="J13" s="144"/>
      <c r="K13" s="144"/>
      <c r="L13" s="144"/>
      <c r="M13" s="144"/>
      <c r="N13" s="144"/>
      <c r="O13" s="144"/>
      <c r="P13" s="144"/>
      <c r="Q13" s="237"/>
      <c r="R13" s="237"/>
      <c r="S13" s="237"/>
      <c r="T13" s="237"/>
    </row>
    <row r="14" spans="1:34" s="142" customFormat="1" ht="15" outlineLevel="1" x14ac:dyDescent="0.2">
      <c r="A14" s="238" t="s">
        <v>96</v>
      </c>
      <c r="B14" s="136">
        <f>INT(LEFT(B7,FIND("/",B7)-2)) - INT(RIGHT(B7,FIND("/",B7)-2))</f>
        <v>0</v>
      </c>
      <c r="C14" s="144"/>
      <c r="D14" s="144"/>
      <c r="E14" s="144"/>
      <c r="F14" s="144"/>
      <c r="G14" s="144"/>
      <c r="H14" s="144"/>
      <c r="I14" s="144"/>
      <c r="J14" s="144"/>
      <c r="K14" s="144"/>
      <c r="L14" s="144"/>
      <c r="M14" s="144"/>
      <c r="N14" s="144"/>
      <c r="O14" s="144"/>
      <c r="P14" s="144"/>
      <c r="Q14" s="237"/>
      <c r="R14" s="237"/>
      <c r="S14" s="237"/>
      <c r="T14" s="237"/>
    </row>
    <row r="15" spans="1:34" s="142" customFormat="1" ht="22.5" outlineLevel="1" x14ac:dyDescent="0.2">
      <c r="A15" s="143"/>
      <c r="B15" s="144"/>
      <c r="C15" s="144"/>
      <c r="D15" s="144"/>
      <c r="E15" s="144"/>
      <c r="F15" s="144"/>
      <c r="G15" s="144"/>
      <c r="H15" s="144"/>
      <c r="I15" s="144"/>
      <c r="J15" s="144"/>
      <c r="K15" s="144"/>
      <c r="L15" s="144"/>
      <c r="M15" s="144"/>
      <c r="N15" s="144"/>
      <c r="O15" s="144"/>
      <c r="P15" s="144"/>
      <c r="Q15" s="237"/>
      <c r="R15" s="237"/>
      <c r="S15" s="237"/>
      <c r="T15" s="237"/>
    </row>
    <row r="16" spans="1:34" s="142" customFormat="1" ht="22.5" outlineLevel="1" x14ac:dyDescent="0.2">
      <c r="A16" s="145"/>
      <c r="B16" s="144"/>
      <c r="C16" s="144"/>
      <c r="D16" s="144"/>
      <c r="E16" s="144"/>
      <c r="F16" s="144"/>
      <c r="G16" s="144"/>
      <c r="H16" s="144"/>
      <c r="I16" s="144"/>
      <c r="J16" s="144"/>
      <c r="K16" s="144"/>
      <c r="L16" s="144"/>
      <c r="M16" s="144"/>
      <c r="N16" s="144"/>
      <c r="O16" s="144"/>
      <c r="P16" s="144"/>
      <c r="Q16" s="237"/>
      <c r="R16" s="237"/>
      <c r="S16" s="237"/>
      <c r="T16" s="237"/>
    </row>
    <row r="17" spans="1:20" s="142" customFormat="1" outlineLevel="1" x14ac:dyDescent="0.2">
      <c r="A17" s="146"/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  <c r="M17" s="147"/>
      <c r="N17" s="147"/>
      <c r="O17" s="147"/>
      <c r="P17" s="147"/>
      <c r="Q17" s="239"/>
      <c r="R17" s="239"/>
      <c r="S17" s="239"/>
      <c r="T17" s="239"/>
    </row>
    <row r="18" spans="1:20" s="142" customFormat="1" outlineLevel="1" x14ac:dyDescent="0.2">
      <c r="A18" s="146"/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  <c r="M18" s="147"/>
      <c r="N18" s="147"/>
      <c r="O18" s="147"/>
      <c r="P18" s="147"/>
      <c r="Q18" s="239"/>
      <c r="R18" s="239"/>
      <c r="S18" s="239"/>
      <c r="T18" s="239"/>
    </row>
    <row r="19" spans="1:20" s="142" customFormat="1" outlineLevel="1" x14ac:dyDescent="0.2">
      <c r="A19" s="146"/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  <c r="M19" s="147"/>
      <c r="N19" s="147"/>
      <c r="O19" s="147"/>
      <c r="P19" s="147"/>
      <c r="Q19" s="239"/>
      <c r="R19" s="239"/>
      <c r="S19" s="239"/>
      <c r="T19" s="239"/>
    </row>
    <row r="20" spans="1:20" s="142" customFormat="1" outlineLevel="1" x14ac:dyDescent="0.2">
      <c r="A20" s="146"/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  <c r="M20" s="147"/>
      <c r="N20" s="147"/>
      <c r="O20" s="147"/>
      <c r="P20" s="147"/>
      <c r="Q20" s="239"/>
      <c r="R20" s="239"/>
      <c r="S20" s="239"/>
      <c r="T20" s="239"/>
    </row>
    <row r="21" spans="1:20" s="142" customFormat="1" outlineLevel="1" x14ac:dyDescent="0.2">
      <c r="A21" s="146"/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  <c r="M21" s="147"/>
      <c r="N21" s="147"/>
      <c r="O21" s="147"/>
      <c r="P21" s="147"/>
      <c r="Q21" s="239"/>
      <c r="R21" s="239"/>
      <c r="S21" s="239"/>
      <c r="T21" s="239"/>
    </row>
    <row r="22" spans="1:20" s="142" customFormat="1" outlineLevel="1" x14ac:dyDescent="0.2">
      <c r="A22" s="146"/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  <c r="M22" s="147"/>
      <c r="N22" s="147"/>
      <c r="O22" s="147"/>
      <c r="P22" s="147"/>
      <c r="Q22" s="239"/>
      <c r="R22" s="239"/>
      <c r="S22" s="239"/>
      <c r="T22" s="239"/>
    </row>
    <row r="23" spans="1:20" s="142" customFormat="1" outlineLevel="1" x14ac:dyDescent="0.2">
      <c r="A23" s="146"/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  <c r="M23" s="147"/>
      <c r="N23" s="147"/>
      <c r="O23" s="147"/>
      <c r="P23" s="147"/>
      <c r="Q23" s="239"/>
      <c r="R23" s="239"/>
      <c r="S23" s="239"/>
      <c r="T23" s="239"/>
    </row>
    <row r="24" spans="1:20" s="142" customFormat="1" outlineLevel="1" x14ac:dyDescent="0.2">
      <c r="A24" s="146"/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  <c r="M24" s="147"/>
      <c r="N24" s="147"/>
      <c r="O24" s="147"/>
      <c r="P24" s="147"/>
      <c r="Q24" s="239"/>
      <c r="R24" s="239"/>
      <c r="S24" s="239"/>
      <c r="T24" s="239"/>
    </row>
    <row r="25" spans="1:20" s="142" customFormat="1" outlineLevel="1" x14ac:dyDescent="0.2">
      <c r="A25" s="146"/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  <c r="M25" s="147"/>
      <c r="N25" s="147"/>
      <c r="O25" s="147"/>
      <c r="P25" s="147"/>
      <c r="Q25" s="239"/>
      <c r="R25" s="239"/>
      <c r="S25" s="239"/>
      <c r="T25" s="239"/>
    </row>
    <row r="26" spans="1:20" s="142" customFormat="1" outlineLevel="1" x14ac:dyDescent="0.2">
      <c r="A26" s="146"/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  <c r="M26" s="147"/>
      <c r="N26" s="147"/>
      <c r="O26" s="147"/>
      <c r="P26" s="147"/>
      <c r="Q26" s="239"/>
      <c r="R26" s="239"/>
      <c r="S26" s="239"/>
      <c r="T26" s="239"/>
    </row>
    <row r="27" spans="1:20" s="142" customFormat="1" outlineLevel="1" x14ac:dyDescent="0.2">
      <c r="A27" s="146"/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  <c r="M27" s="147"/>
      <c r="N27" s="147"/>
      <c r="O27" s="147"/>
      <c r="P27" s="147"/>
      <c r="Q27" s="239"/>
      <c r="R27" s="239"/>
      <c r="S27" s="239"/>
      <c r="T27" s="239"/>
    </row>
    <row r="28" spans="1:20" s="142" customFormat="1" outlineLevel="1" x14ac:dyDescent="0.2">
      <c r="A28" s="146"/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  <c r="M28" s="147"/>
      <c r="N28" s="147"/>
      <c r="O28" s="147"/>
      <c r="P28" s="147"/>
      <c r="Q28" s="239"/>
      <c r="R28" s="239"/>
      <c r="S28" s="239"/>
      <c r="T28" s="239"/>
    </row>
    <row r="29" spans="1:20" s="142" customFormat="1" ht="13.5" outlineLevel="1" thickBot="1" x14ac:dyDescent="0.25">
      <c r="A29" s="163"/>
      <c r="B29" s="164"/>
      <c r="C29" s="164"/>
      <c r="D29" s="164"/>
      <c r="E29" s="164"/>
      <c r="F29" s="164"/>
      <c r="G29" s="164"/>
      <c r="H29" s="164"/>
      <c r="I29" s="164"/>
      <c r="J29" s="164"/>
      <c r="K29" s="164"/>
      <c r="L29" s="164"/>
      <c r="M29" s="164"/>
      <c r="N29" s="164"/>
      <c r="O29" s="164"/>
      <c r="P29" s="164"/>
      <c r="Q29" s="240"/>
      <c r="R29" s="240"/>
      <c r="S29" s="240"/>
      <c r="T29" s="240"/>
    </row>
    <row r="30" spans="1:20" s="142" customFormat="1" ht="26.25" customHeight="1" thickTop="1" x14ac:dyDescent="0.2">
      <c r="A30" s="241" t="s">
        <v>176</v>
      </c>
      <c r="B30" s="242"/>
      <c r="C30" s="243"/>
      <c r="D30" s="243"/>
      <c r="E30" s="243"/>
      <c r="F30" s="243"/>
      <c r="G30" s="243"/>
      <c r="H30" s="243"/>
      <c r="I30" s="243"/>
      <c r="J30" s="243"/>
      <c r="K30" s="243"/>
      <c r="L30" s="243"/>
      <c r="M30" s="243"/>
      <c r="N30" s="243"/>
      <c r="O30" s="243"/>
      <c r="P30" s="243"/>
      <c r="Q30" s="237"/>
      <c r="R30" s="237"/>
      <c r="S30" s="237"/>
      <c r="T30" s="237"/>
    </row>
    <row r="31" spans="1:20" s="142" customFormat="1" ht="15" outlineLevel="1" x14ac:dyDescent="0.2">
      <c r="A31" s="244"/>
      <c r="B31" s="245"/>
      <c r="C31" s="243"/>
      <c r="D31" s="243"/>
      <c r="E31" s="243"/>
      <c r="F31" s="243"/>
      <c r="G31" s="243"/>
      <c r="H31" s="243"/>
      <c r="I31" s="243"/>
      <c r="J31" s="243"/>
      <c r="K31" s="243"/>
      <c r="L31" s="243"/>
      <c r="M31" s="243"/>
      <c r="N31" s="243"/>
      <c r="O31" s="243"/>
      <c r="P31" s="243"/>
      <c r="Q31" s="237"/>
      <c r="R31" s="237"/>
      <c r="S31" s="237"/>
      <c r="T31" s="237"/>
    </row>
    <row r="32" spans="1:20" s="142" customFormat="1" ht="15" outlineLevel="1" x14ac:dyDescent="0.2">
      <c r="A32" s="246" t="s">
        <v>41</v>
      </c>
      <c r="B32" s="247">
        <f>ImplementedReq</f>
        <v>0</v>
      </c>
      <c r="C32" s="243"/>
      <c r="D32" s="243"/>
      <c r="E32" s="243"/>
      <c r="F32" s="243"/>
      <c r="G32" s="243"/>
      <c r="H32" s="243"/>
      <c r="I32" s="243"/>
      <c r="J32" s="243"/>
      <c r="K32" s="243"/>
      <c r="L32" s="243"/>
      <c r="M32" s="243"/>
      <c r="N32" s="243"/>
      <c r="O32" s="243"/>
      <c r="P32" s="243"/>
      <c r="Q32" s="237"/>
      <c r="R32" s="237"/>
      <c r="S32" s="237"/>
      <c r="T32" s="237"/>
    </row>
    <row r="33" spans="1:20" s="142" customFormat="1" ht="15" outlineLevel="1" x14ac:dyDescent="0.2">
      <c r="A33" s="246" t="s">
        <v>101</v>
      </c>
      <c r="B33" s="248">
        <f>INT(LEFT(B7,FIND("/",B7)-2))-ImplementedReq</f>
        <v>0</v>
      </c>
      <c r="C33" s="243"/>
      <c r="D33" s="243"/>
      <c r="E33" s="243"/>
      <c r="F33" s="243"/>
      <c r="G33" s="243"/>
      <c r="H33" s="243"/>
      <c r="I33" s="243"/>
      <c r="J33" s="243"/>
      <c r="K33" s="243"/>
      <c r="L33" s="243"/>
      <c r="M33" s="243"/>
      <c r="N33" s="243"/>
      <c r="O33" s="243"/>
      <c r="P33" s="243"/>
      <c r="Q33" s="237"/>
      <c r="R33" s="237"/>
      <c r="S33" s="237"/>
      <c r="T33" s="237"/>
    </row>
    <row r="34" spans="1:20" s="142" customFormat="1" ht="22.5" outlineLevel="1" x14ac:dyDescent="0.2">
      <c r="A34" s="249"/>
      <c r="B34" s="243"/>
      <c r="C34" s="243"/>
      <c r="D34" s="243"/>
      <c r="E34" s="243"/>
      <c r="F34" s="243"/>
      <c r="G34" s="243"/>
      <c r="H34" s="243"/>
      <c r="I34" s="243"/>
      <c r="J34" s="243"/>
      <c r="K34" s="243"/>
      <c r="L34" s="243"/>
      <c r="M34" s="243"/>
      <c r="N34" s="243"/>
      <c r="O34" s="243"/>
      <c r="P34" s="243"/>
      <c r="Q34" s="237"/>
      <c r="R34" s="237"/>
      <c r="S34" s="237"/>
      <c r="T34" s="237"/>
    </row>
    <row r="35" spans="1:20" s="142" customFormat="1" ht="22.5" outlineLevel="1" x14ac:dyDescent="0.2">
      <c r="A35" s="250"/>
      <c r="B35" s="243"/>
      <c r="C35" s="243"/>
      <c r="D35" s="243"/>
      <c r="E35" s="243"/>
      <c r="F35" s="243"/>
      <c r="G35" s="243"/>
      <c r="H35" s="243"/>
      <c r="I35" s="243"/>
      <c r="J35" s="243"/>
      <c r="K35" s="243"/>
      <c r="L35" s="243"/>
      <c r="M35" s="243"/>
      <c r="N35" s="243"/>
      <c r="O35" s="243"/>
      <c r="P35" s="243"/>
      <c r="Q35" s="237"/>
      <c r="R35" s="237"/>
      <c r="S35" s="237"/>
      <c r="T35" s="237"/>
    </row>
    <row r="36" spans="1:20" s="142" customFormat="1" outlineLevel="1" x14ac:dyDescent="0.2">
      <c r="A36" s="251"/>
      <c r="B36" s="252"/>
      <c r="C36" s="252"/>
      <c r="D36" s="252"/>
      <c r="E36" s="252"/>
      <c r="F36" s="252"/>
      <c r="G36" s="252"/>
      <c r="H36" s="252"/>
      <c r="I36" s="252"/>
      <c r="J36" s="252"/>
      <c r="K36" s="252"/>
      <c r="L36" s="252"/>
      <c r="M36" s="252"/>
      <c r="N36" s="252"/>
      <c r="O36" s="252"/>
      <c r="P36" s="252"/>
      <c r="Q36" s="239"/>
      <c r="R36" s="239"/>
      <c r="S36" s="239"/>
      <c r="T36" s="239"/>
    </row>
    <row r="37" spans="1:20" s="142" customFormat="1" outlineLevel="1" x14ac:dyDescent="0.2">
      <c r="A37" s="251"/>
      <c r="B37" s="252"/>
      <c r="C37" s="252"/>
      <c r="D37" s="252"/>
      <c r="E37" s="252"/>
      <c r="F37" s="252"/>
      <c r="G37" s="252"/>
      <c r="H37" s="252"/>
      <c r="I37" s="252"/>
      <c r="J37" s="252"/>
      <c r="K37" s="252"/>
      <c r="L37" s="252"/>
      <c r="M37" s="252"/>
      <c r="N37" s="252"/>
      <c r="O37" s="252"/>
      <c r="P37" s="252"/>
      <c r="Q37" s="239"/>
      <c r="R37" s="239"/>
      <c r="S37" s="239"/>
      <c r="T37" s="239"/>
    </row>
    <row r="38" spans="1:20" s="142" customFormat="1" outlineLevel="1" x14ac:dyDescent="0.2">
      <c r="A38" s="251"/>
      <c r="B38" s="252"/>
      <c r="C38" s="252"/>
      <c r="D38" s="252"/>
      <c r="E38" s="252"/>
      <c r="F38" s="252"/>
      <c r="G38" s="252"/>
      <c r="H38" s="252"/>
      <c r="I38" s="252"/>
      <c r="J38" s="252"/>
      <c r="K38" s="252"/>
      <c r="L38" s="252"/>
      <c r="M38" s="252"/>
      <c r="N38" s="252"/>
      <c r="O38" s="252"/>
      <c r="P38" s="252"/>
      <c r="Q38" s="239"/>
      <c r="R38" s="239"/>
      <c r="S38" s="239"/>
      <c r="T38" s="239"/>
    </row>
    <row r="39" spans="1:20" s="142" customFormat="1" outlineLevel="1" x14ac:dyDescent="0.2">
      <c r="A39" s="251"/>
      <c r="B39" s="252"/>
      <c r="C39" s="252"/>
      <c r="D39" s="252"/>
      <c r="E39" s="252"/>
      <c r="F39" s="252"/>
      <c r="G39" s="252"/>
      <c r="H39" s="252"/>
      <c r="I39" s="252"/>
      <c r="J39" s="252"/>
      <c r="K39" s="252"/>
      <c r="L39" s="252"/>
      <c r="M39" s="252"/>
      <c r="N39" s="252"/>
      <c r="O39" s="252"/>
      <c r="P39" s="252"/>
      <c r="Q39" s="239"/>
      <c r="R39" s="239"/>
      <c r="S39" s="239"/>
      <c r="T39" s="239"/>
    </row>
    <row r="40" spans="1:20" s="142" customFormat="1" outlineLevel="1" x14ac:dyDescent="0.2">
      <c r="A40" s="251"/>
      <c r="B40" s="252"/>
      <c r="C40" s="252"/>
      <c r="D40" s="252"/>
      <c r="E40" s="252"/>
      <c r="F40" s="252"/>
      <c r="G40" s="252"/>
      <c r="H40" s="252"/>
      <c r="I40" s="252"/>
      <c r="J40" s="252"/>
      <c r="K40" s="252"/>
      <c r="L40" s="252"/>
      <c r="M40" s="252"/>
      <c r="N40" s="252"/>
      <c r="O40" s="252"/>
      <c r="P40" s="252"/>
      <c r="Q40" s="239"/>
      <c r="R40" s="239"/>
      <c r="S40" s="239"/>
      <c r="T40" s="239"/>
    </row>
    <row r="41" spans="1:20" s="142" customFormat="1" outlineLevel="1" x14ac:dyDescent="0.2">
      <c r="A41" s="251"/>
      <c r="B41" s="252"/>
      <c r="C41" s="252"/>
      <c r="D41" s="252"/>
      <c r="E41" s="252"/>
      <c r="F41" s="252"/>
      <c r="G41" s="252"/>
      <c r="H41" s="252"/>
      <c r="I41" s="252"/>
      <c r="J41" s="252"/>
      <c r="K41" s="252"/>
      <c r="L41" s="252"/>
      <c r="M41" s="252"/>
      <c r="N41" s="252"/>
      <c r="O41" s="252"/>
      <c r="P41" s="252"/>
      <c r="Q41" s="239"/>
      <c r="R41" s="239"/>
      <c r="S41" s="239"/>
      <c r="T41" s="239"/>
    </row>
    <row r="42" spans="1:20" s="142" customFormat="1" outlineLevel="1" x14ac:dyDescent="0.2">
      <c r="A42" s="251"/>
      <c r="B42" s="252"/>
      <c r="C42" s="252"/>
      <c r="D42" s="252"/>
      <c r="E42" s="252"/>
      <c r="F42" s="252"/>
      <c r="G42" s="252"/>
      <c r="H42" s="252"/>
      <c r="I42" s="252"/>
      <c r="J42" s="252"/>
      <c r="K42" s="252"/>
      <c r="L42" s="252"/>
      <c r="M42" s="252"/>
      <c r="N42" s="252"/>
      <c r="O42" s="252"/>
      <c r="P42" s="252"/>
      <c r="Q42" s="239"/>
      <c r="R42" s="239"/>
      <c r="S42" s="239"/>
      <c r="T42" s="239"/>
    </row>
    <row r="43" spans="1:20" s="142" customFormat="1" outlineLevel="1" x14ac:dyDescent="0.2">
      <c r="A43" s="251"/>
      <c r="B43" s="252"/>
      <c r="C43" s="252"/>
      <c r="D43" s="252"/>
      <c r="E43" s="252"/>
      <c r="F43" s="252"/>
      <c r="G43" s="252"/>
      <c r="H43" s="252"/>
      <c r="I43" s="252"/>
      <c r="J43" s="252"/>
      <c r="K43" s="252"/>
      <c r="L43" s="252"/>
      <c r="M43" s="252"/>
      <c r="N43" s="252"/>
      <c r="O43" s="252"/>
      <c r="P43" s="252"/>
      <c r="Q43" s="239"/>
      <c r="R43" s="239"/>
      <c r="S43" s="239"/>
      <c r="T43" s="239"/>
    </row>
    <row r="44" spans="1:20" s="142" customFormat="1" outlineLevel="1" x14ac:dyDescent="0.2">
      <c r="A44" s="251"/>
      <c r="B44" s="252"/>
      <c r="C44" s="252"/>
      <c r="D44" s="252"/>
      <c r="E44" s="252"/>
      <c r="F44" s="252"/>
      <c r="G44" s="252"/>
      <c r="H44" s="252"/>
      <c r="I44" s="252"/>
      <c r="J44" s="252"/>
      <c r="K44" s="252"/>
      <c r="L44" s="252"/>
      <c r="M44" s="252"/>
      <c r="N44" s="252"/>
      <c r="O44" s="252"/>
      <c r="P44" s="252"/>
      <c r="Q44" s="239"/>
      <c r="R44" s="239"/>
      <c r="S44" s="239"/>
      <c r="T44" s="239"/>
    </row>
    <row r="45" spans="1:20" s="142" customFormat="1" outlineLevel="1" x14ac:dyDescent="0.2">
      <c r="A45" s="251"/>
      <c r="B45" s="252"/>
      <c r="C45" s="252"/>
      <c r="D45" s="252"/>
      <c r="E45" s="252"/>
      <c r="F45" s="252"/>
      <c r="G45" s="252"/>
      <c r="H45" s="252"/>
      <c r="I45" s="252"/>
      <c r="J45" s="252"/>
      <c r="K45" s="252"/>
      <c r="L45" s="252"/>
      <c r="M45" s="252"/>
      <c r="N45" s="252"/>
      <c r="O45" s="252"/>
      <c r="P45" s="252"/>
      <c r="Q45" s="239"/>
      <c r="R45" s="239"/>
      <c r="S45" s="239"/>
      <c r="T45" s="239"/>
    </row>
    <row r="46" spans="1:20" s="142" customFormat="1" outlineLevel="1" x14ac:dyDescent="0.2">
      <c r="A46" s="251"/>
      <c r="B46" s="252"/>
      <c r="C46" s="252"/>
      <c r="D46" s="252"/>
      <c r="E46" s="252"/>
      <c r="F46" s="252"/>
      <c r="G46" s="252"/>
      <c r="H46" s="252"/>
      <c r="I46" s="252"/>
      <c r="J46" s="252"/>
      <c r="K46" s="252"/>
      <c r="L46" s="252"/>
      <c r="M46" s="252"/>
      <c r="N46" s="252"/>
      <c r="O46" s="252"/>
      <c r="P46" s="252"/>
      <c r="Q46" s="239"/>
      <c r="R46" s="239"/>
      <c r="S46" s="239"/>
      <c r="T46" s="239"/>
    </row>
    <row r="47" spans="1:20" s="142" customFormat="1" outlineLevel="1" x14ac:dyDescent="0.2">
      <c r="A47" s="251"/>
      <c r="B47" s="252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2"/>
      <c r="P47" s="252"/>
      <c r="Q47" s="239"/>
      <c r="R47" s="239"/>
      <c r="S47" s="239"/>
      <c r="T47" s="239"/>
    </row>
    <row r="48" spans="1:20" s="142" customFormat="1" ht="13.5" outlineLevel="1" thickBot="1" x14ac:dyDescent="0.25">
      <c r="A48" s="253"/>
      <c r="B48" s="254"/>
      <c r="C48" s="254"/>
      <c r="D48" s="254"/>
      <c r="E48" s="254"/>
      <c r="F48" s="254"/>
      <c r="G48" s="254"/>
      <c r="H48" s="254"/>
      <c r="I48" s="254"/>
      <c r="J48" s="254"/>
      <c r="K48" s="254"/>
      <c r="L48" s="254"/>
      <c r="M48" s="254"/>
      <c r="N48" s="254"/>
      <c r="O48" s="254"/>
      <c r="P48" s="254"/>
      <c r="Q48" s="240"/>
      <c r="R48" s="240"/>
      <c r="S48" s="240"/>
      <c r="T48" s="240"/>
    </row>
    <row r="49" spans="1:20" s="142" customFormat="1" ht="23.25" thickTop="1" x14ac:dyDescent="0.2">
      <c r="A49" s="205" t="s">
        <v>177</v>
      </c>
      <c r="B49" s="206"/>
      <c r="C49" s="206"/>
      <c r="D49" s="206"/>
      <c r="E49" s="206"/>
      <c r="F49" s="206"/>
      <c r="G49" s="206"/>
      <c r="H49" s="206"/>
      <c r="I49" s="206"/>
      <c r="J49" s="206"/>
      <c r="K49" s="206"/>
      <c r="L49" s="206"/>
      <c r="M49" s="206"/>
      <c r="N49" s="206"/>
      <c r="O49" s="206"/>
      <c r="P49" s="206"/>
      <c r="Q49" s="255"/>
      <c r="R49" s="255"/>
      <c r="S49" s="255"/>
      <c r="T49" s="255"/>
    </row>
    <row r="50" spans="1:20" s="142" customFormat="1" ht="15" outlineLevel="1" x14ac:dyDescent="0.2">
      <c r="A50" s="207"/>
      <c r="B50" s="208"/>
      <c r="C50" s="208"/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56"/>
      <c r="R50" s="256"/>
      <c r="S50" s="256"/>
      <c r="T50" s="256"/>
    </row>
    <row r="51" spans="1:20" s="142" customFormat="1" ht="15" outlineLevel="1" x14ac:dyDescent="0.2">
      <c r="A51" s="257" t="s">
        <v>178</v>
      </c>
      <c r="B51" s="133">
        <f>CoveredByLowReq</f>
        <v>0</v>
      </c>
      <c r="C51" s="208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56"/>
      <c r="R51" s="256"/>
      <c r="S51" s="256"/>
      <c r="T51" s="256"/>
    </row>
    <row r="52" spans="1:20" s="142" customFormat="1" ht="15" outlineLevel="1" x14ac:dyDescent="0.2">
      <c r="A52" s="257" t="s">
        <v>179</v>
      </c>
      <c r="B52" s="136">
        <f>INT(LEFT(B7,FIND("/",B7)-2))-CoveredByLowReq</f>
        <v>0</v>
      </c>
      <c r="C52" s="208"/>
      <c r="D52" s="208"/>
      <c r="E52" s="208"/>
      <c r="F52" s="208"/>
      <c r="G52" s="208"/>
      <c r="H52" s="208"/>
      <c r="I52" s="208"/>
      <c r="J52" s="208"/>
      <c r="K52" s="208"/>
      <c r="L52" s="208"/>
      <c r="M52" s="208"/>
      <c r="N52" s="208"/>
      <c r="O52" s="208"/>
      <c r="P52" s="208"/>
      <c r="Q52" s="256"/>
      <c r="R52" s="256"/>
      <c r="S52" s="256"/>
      <c r="T52" s="256"/>
    </row>
    <row r="53" spans="1:20" s="142" customFormat="1" ht="15" outlineLevel="1" x14ac:dyDescent="0.2">
      <c r="A53" s="207"/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208"/>
      <c r="P53" s="208"/>
      <c r="Q53" s="256"/>
      <c r="R53" s="256"/>
      <c r="S53" s="256"/>
      <c r="T53" s="256"/>
    </row>
    <row r="54" spans="1:20" s="142" customFormat="1" ht="15" outlineLevel="1" x14ac:dyDescent="0.2">
      <c r="A54" s="207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56"/>
      <c r="R54" s="256"/>
      <c r="S54" s="256"/>
      <c r="T54" s="256"/>
    </row>
    <row r="55" spans="1:20" s="142" customFormat="1" ht="15" outlineLevel="1" x14ac:dyDescent="0.2">
      <c r="A55" s="207"/>
      <c r="B55" s="208"/>
      <c r="C55" s="208"/>
      <c r="D55" s="208"/>
      <c r="E55" s="208"/>
      <c r="F55" s="208"/>
      <c r="G55" s="208"/>
      <c r="H55" s="208"/>
      <c r="I55" s="208"/>
      <c r="J55" s="208"/>
      <c r="K55" s="208"/>
      <c r="L55" s="208"/>
      <c r="M55" s="208"/>
      <c r="N55" s="208"/>
      <c r="O55" s="208"/>
      <c r="P55" s="208"/>
      <c r="Q55" s="256"/>
      <c r="R55" s="256"/>
      <c r="S55" s="256"/>
      <c r="T55" s="256"/>
    </row>
    <row r="56" spans="1:20" s="142" customFormat="1" ht="27" customHeight="1" outlineLevel="1" x14ac:dyDescent="0.2">
      <c r="A56" s="207"/>
      <c r="B56" s="208"/>
      <c r="C56" s="208"/>
      <c r="D56" s="208"/>
      <c r="E56" s="208"/>
      <c r="F56" s="208"/>
      <c r="G56" s="208"/>
      <c r="H56" s="208"/>
      <c r="I56" s="208"/>
      <c r="J56" s="208"/>
      <c r="K56" s="208"/>
      <c r="L56" s="208"/>
      <c r="M56" s="208"/>
      <c r="N56" s="208"/>
      <c r="O56" s="208"/>
      <c r="P56" s="208"/>
      <c r="Q56" s="256"/>
      <c r="R56" s="256"/>
      <c r="S56" s="256"/>
      <c r="T56" s="256"/>
    </row>
    <row r="57" spans="1:20" s="142" customFormat="1" ht="15" outlineLevel="1" x14ac:dyDescent="0.2">
      <c r="A57" s="207"/>
      <c r="B57" s="208"/>
      <c r="C57" s="208"/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8"/>
      <c r="P57" s="208"/>
      <c r="Q57" s="256"/>
      <c r="R57" s="256"/>
      <c r="S57" s="256"/>
      <c r="T57" s="256"/>
    </row>
    <row r="58" spans="1:20" s="142" customFormat="1" ht="15" outlineLevel="1" x14ac:dyDescent="0.2">
      <c r="A58" s="207"/>
      <c r="B58" s="208"/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56"/>
      <c r="R58" s="256"/>
      <c r="S58" s="256"/>
      <c r="T58" s="256"/>
    </row>
    <row r="59" spans="1:20" s="142" customFormat="1" ht="15" outlineLevel="1" x14ac:dyDescent="0.2">
      <c r="A59" s="207"/>
      <c r="B59" s="208"/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56"/>
      <c r="R59" s="256"/>
      <c r="S59" s="256"/>
      <c r="T59" s="256"/>
    </row>
    <row r="60" spans="1:20" s="142" customFormat="1" ht="15" outlineLevel="1" x14ac:dyDescent="0.2">
      <c r="A60" s="207"/>
      <c r="B60" s="208"/>
      <c r="C60" s="208"/>
      <c r="D60" s="208"/>
      <c r="E60" s="208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56"/>
      <c r="R60" s="256"/>
      <c r="S60" s="256"/>
      <c r="T60" s="256"/>
    </row>
    <row r="61" spans="1:20" s="142" customFormat="1" ht="15" outlineLevel="1" x14ac:dyDescent="0.2">
      <c r="A61" s="207"/>
      <c r="B61" s="208"/>
      <c r="C61" s="208"/>
      <c r="D61" s="208"/>
      <c r="E61" s="208"/>
      <c r="F61" s="208"/>
      <c r="G61" s="208"/>
      <c r="H61" s="208"/>
      <c r="I61" s="208"/>
      <c r="J61" s="208"/>
      <c r="K61" s="208"/>
      <c r="L61" s="208"/>
      <c r="M61" s="208"/>
      <c r="N61" s="208"/>
      <c r="O61" s="208"/>
      <c r="P61" s="208"/>
      <c r="Q61" s="256"/>
      <c r="R61" s="256"/>
      <c r="S61" s="256"/>
      <c r="T61" s="256"/>
    </row>
    <row r="62" spans="1:20" s="142" customFormat="1" ht="15" outlineLevel="1" x14ac:dyDescent="0.2">
      <c r="A62" s="207"/>
      <c r="B62" s="208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56"/>
      <c r="R62" s="256"/>
      <c r="S62" s="256"/>
      <c r="T62" s="256"/>
    </row>
    <row r="63" spans="1:20" s="142" customFormat="1" ht="15" outlineLevel="1" x14ac:dyDescent="0.2">
      <c r="A63" s="207"/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8"/>
      <c r="Q63" s="256"/>
      <c r="R63" s="256"/>
      <c r="S63" s="256"/>
      <c r="T63" s="256"/>
    </row>
    <row r="64" spans="1:20" s="142" customFormat="1" ht="15" outlineLevel="1" x14ac:dyDescent="0.2">
      <c r="A64" s="207"/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8"/>
      <c r="P64" s="208"/>
      <c r="Q64" s="256"/>
      <c r="R64" s="256"/>
      <c r="S64" s="256"/>
      <c r="T64" s="256"/>
    </row>
    <row r="65" spans="1:20" s="142" customFormat="1" ht="15" outlineLevel="1" x14ac:dyDescent="0.2">
      <c r="A65" s="207"/>
      <c r="B65" s="208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56"/>
      <c r="R65" s="256"/>
      <c r="S65" s="256"/>
      <c r="T65" s="256"/>
    </row>
    <row r="66" spans="1:20" s="142" customFormat="1" ht="15.75" outlineLevel="1" thickBot="1" x14ac:dyDescent="0.25">
      <c r="A66" s="207"/>
      <c r="B66" s="208"/>
      <c r="C66" s="208"/>
      <c r="D66" s="208"/>
      <c r="E66" s="208"/>
      <c r="F66" s="208"/>
      <c r="G66" s="208"/>
      <c r="H66" s="208"/>
      <c r="I66" s="208"/>
      <c r="J66" s="208"/>
      <c r="K66" s="208"/>
      <c r="L66" s="208"/>
      <c r="M66" s="208"/>
      <c r="N66" s="208"/>
      <c r="O66" s="208"/>
      <c r="P66" s="208"/>
      <c r="Q66" s="256"/>
      <c r="R66" s="256"/>
      <c r="S66" s="256"/>
      <c r="T66" s="256"/>
    </row>
    <row r="67" spans="1:20" ht="23.25" collapsed="1" thickTop="1" x14ac:dyDescent="0.2">
      <c r="A67" s="258" t="s">
        <v>119</v>
      </c>
      <c r="B67" s="259"/>
      <c r="C67" s="260"/>
      <c r="D67" s="261"/>
      <c r="E67" s="262"/>
      <c r="F67" s="262"/>
      <c r="G67" s="263"/>
      <c r="H67" s="264"/>
      <c r="I67" s="264"/>
      <c r="J67" s="264"/>
      <c r="K67" s="264"/>
      <c r="L67" s="264"/>
      <c r="M67" s="264"/>
      <c r="N67" s="264"/>
      <c r="O67" s="264"/>
      <c r="P67" s="264"/>
    </row>
    <row r="68" spans="1:20" ht="15" hidden="1" outlineLevel="1" x14ac:dyDescent="0.2">
      <c r="A68" s="265"/>
      <c r="B68" s="266"/>
      <c r="C68" s="267"/>
      <c r="D68" s="268"/>
      <c r="E68" s="269"/>
      <c r="F68" s="269"/>
      <c r="G68" s="270"/>
      <c r="H68" s="271"/>
      <c r="I68" s="271"/>
      <c r="J68" s="271"/>
      <c r="K68" s="271"/>
      <c r="L68" s="271"/>
      <c r="M68" s="271"/>
      <c r="N68" s="271"/>
      <c r="O68" s="271"/>
      <c r="P68" s="271"/>
    </row>
    <row r="69" spans="1:20" ht="15" hidden="1" outlineLevel="1" x14ac:dyDescent="0.2">
      <c r="A69" s="272" t="s">
        <v>105</v>
      </c>
      <c r="B69" s="273" t="s">
        <v>110</v>
      </c>
      <c r="C69" s="274" t="s">
        <v>112</v>
      </c>
      <c r="D69" s="268"/>
      <c r="E69" s="269"/>
      <c r="F69" s="269"/>
      <c r="G69" s="270"/>
      <c r="H69" s="271"/>
      <c r="I69" s="271"/>
      <c r="J69" s="271"/>
      <c r="K69" s="271"/>
      <c r="L69" s="271"/>
      <c r="M69" s="271"/>
      <c r="N69" s="271"/>
      <c r="O69" s="271"/>
      <c r="P69" s="271"/>
    </row>
    <row r="70" spans="1:20" ht="15" hidden="1" outlineLevel="1" x14ac:dyDescent="0.2">
      <c r="A70" s="265"/>
      <c r="B70" s="266"/>
      <c r="C70" s="267"/>
      <c r="D70" s="268"/>
      <c r="E70" s="269"/>
      <c r="F70" s="269"/>
      <c r="G70" s="270"/>
      <c r="H70" s="271"/>
      <c r="I70" s="271"/>
      <c r="J70" s="271"/>
      <c r="K70" s="271"/>
      <c r="L70" s="271"/>
      <c r="M70" s="271"/>
      <c r="N70" s="271"/>
      <c r="O70" s="271"/>
      <c r="P70" s="271"/>
    </row>
    <row r="71" spans="1:20" ht="15.75" hidden="1" outlineLevel="1" x14ac:dyDescent="0.2">
      <c r="A71" s="275" t="s">
        <v>109</v>
      </c>
      <c r="B71" s="274"/>
      <c r="C71" s="269"/>
      <c r="D71" s="269"/>
      <c r="E71" s="269"/>
      <c r="F71" s="269"/>
      <c r="G71" s="270"/>
      <c r="H71" s="271"/>
      <c r="I71" s="271"/>
      <c r="J71" s="271"/>
      <c r="K71" s="271"/>
      <c r="L71" s="271"/>
      <c r="M71" s="271"/>
      <c r="N71" s="271"/>
      <c r="O71" s="271"/>
      <c r="P71" s="271"/>
    </row>
    <row r="72" spans="1:20" ht="15.75" hidden="1" outlineLevel="1" x14ac:dyDescent="0.2">
      <c r="A72" s="276" t="s">
        <v>110</v>
      </c>
      <c r="B72" s="266"/>
      <c r="C72" s="267"/>
      <c r="D72" s="268"/>
      <c r="E72" s="269"/>
      <c r="F72" s="269"/>
      <c r="G72" s="270"/>
      <c r="H72" s="271"/>
      <c r="I72" s="271"/>
      <c r="J72" s="271"/>
      <c r="K72" s="271"/>
      <c r="L72" s="271"/>
      <c r="M72" s="271"/>
      <c r="N72" s="271"/>
      <c r="O72" s="271"/>
      <c r="P72" s="271"/>
    </row>
    <row r="73" spans="1:20" ht="15.75" hidden="1" outlineLevel="1" x14ac:dyDescent="0.2">
      <c r="A73" s="276" t="s">
        <v>111</v>
      </c>
      <c r="B73" s="266"/>
      <c r="C73" s="267"/>
      <c r="D73" s="268"/>
      <c r="E73" s="269"/>
      <c r="F73" s="269"/>
      <c r="G73" s="270"/>
      <c r="H73" s="271"/>
      <c r="I73" s="271"/>
      <c r="J73" s="271"/>
      <c r="K73" s="271"/>
      <c r="L73" s="271"/>
      <c r="M73" s="271"/>
      <c r="N73" s="271"/>
      <c r="O73" s="271"/>
      <c r="P73" s="271"/>
    </row>
    <row r="74" spans="1:20" ht="15.75" hidden="1" outlineLevel="1" x14ac:dyDescent="0.2">
      <c r="A74" s="277" t="s">
        <v>106</v>
      </c>
      <c r="B74" s="266"/>
      <c r="C74" s="267"/>
      <c r="D74" s="268"/>
      <c r="E74" s="269"/>
      <c r="F74" s="269"/>
      <c r="G74" s="270"/>
      <c r="H74" s="271"/>
      <c r="I74" s="271"/>
      <c r="J74" s="271"/>
      <c r="K74" s="271"/>
      <c r="L74" s="271"/>
      <c r="M74" s="271"/>
      <c r="N74" s="271"/>
      <c r="O74" s="271"/>
      <c r="P74" s="271"/>
    </row>
    <row r="75" spans="1:20" ht="15.75" hidden="1" outlineLevel="1" x14ac:dyDescent="0.2">
      <c r="A75" s="277" t="s">
        <v>107</v>
      </c>
      <c r="B75" s="266"/>
      <c r="C75" s="267"/>
      <c r="D75" s="268"/>
      <c r="E75" s="269"/>
      <c r="F75" s="269"/>
      <c r="G75" s="270"/>
      <c r="H75" s="271"/>
      <c r="I75" s="271"/>
      <c r="J75" s="271"/>
      <c r="K75" s="271"/>
      <c r="L75" s="271"/>
      <c r="M75" s="271"/>
      <c r="N75" s="271"/>
      <c r="O75" s="271"/>
      <c r="P75" s="271"/>
    </row>
    <row r="76" spans="1:20" ht="15.75" hidden="1" outlineLevel="1" x14ac:dyDescent="0.2">
      <c r="A76" s="277" t="s">
        <v>113</v>
      </c>
      <c r="B76" s="266"/>
      <c r="C76" s="267"/>
      <c r="D76" s="268"/>
      <c r="E76" s="269"/>
      <c r="F76" s="269"/>
      <c r="G76" s="270"/>
      <c r="H76" s="271"/>
      <c r="I76" s="271"/>
      <c r="J76" s="271"/>
      <c r="K76" s="271"/>
      <c r="L76" s="271"/>
      <c r="M76" s="271"/>
      <c r="N76" s="271"/>
      <c r="O76" s="271"/>
      <c r="P76" s="271"/>
    </row>
    <row r="77" spans="1:20" ht="15.75" hidden="1" outlineLevel="1" x14ac:dyDescent="0.2">
      <c r="A77" s="277" t="s">
        <v>114</v>
      </c>
      <c r="B77" s="266"/>
      <c r="C77" s="267"/>
      <c r="D77" s="268"/>
      <c r="E77" s="269"/>
      <c r="F77" s="269"/>
      <c r="G77" s="270"/>
      <c r="H77" s="271"/>
      <c r="I77" s="271"/>
      <c r="J77" s="271"/>
      <c r="K77" s="271"/>
      <c r="L77" s="271"/>
      <c r="M77" s="271"/>
      <c r="N77" s="271"/>
      <c r="O77" s="271"/>
      <c r="P77" s="271"/>
    </row>
    <row r="78" spans="1:20" ht="15.75" hidden="1" outlineLevel="1" x14ac:dyDescent="0.2">
      <c r="A78" s="277" t="s">
        <v>115</v>
      </c>
      <c r="B78" s="266"/>
      <c r="C78" s="267"/>
      <c r="D78" s="268"/>
      <c r="E78" s="269"/>
      <c r="F78" s="269"/>
      <c r="G78" s="270"/>
      <c r="H78" s="271"/>
      <c r="I78" s="271"/>
      <c r="J78" s="271"/>
      <c r="K78" s="271"/>
      <c r="L78" s="271"/>
      <c r="M78" s="271"/>
      <c r="N78" s="271"/>
      <c r="O78" s="271"/>
      <c r="P78" s="271"/>
    </row>
    <row r="79" spans="1:20" ht="15.75" hidden="1" outlineLevel="1" x14ac:dyDescent="0.2">
      <c r="A79" s="277" t="s">
        <v>116</v>
      </c>
      <c r="B79" s="266"/>
      <c r="C79" s="267"/>
      <c r="D79" s="268"/>
      <c r="E79" s="269"/>
      <c r="F79" s="269"/>
      <c r="G79" s="270"/>
      <c r="H79" s="271"/>
      <c r="I79" s="271"/>
      <c r="J79" s="271"/>
      <c r="K79" s="271"/>
      <c r="L79" s="271"/>
      <c r="M79" s="271"/>
      <c r="N79" s="271"/>
      <c r="O79" s="271"/>
      <c r="P79" s="271"/>
    </row>
    <row r="80" spans="1:20" ht="15.75" hidden="1" outlineLevel="1" x14ac:dyDescent="0.2">
      <c r="A80" s="277" t="s">
        <v>108</v>
      </c>
      <c r="B80" s="266"/>
      <c r="C80" s="267"/>
      <c r="D80" s="268"/>
      <c r="E80" s="269"/>
      <c r="F80" s="269"/>
      <c r="G80" s="270"/>
      <c r="H80" s="271"/>
      <c r="I80" s="271"/>
      <c r="J80" s="271"/>
      <c r="K80" s="271"/>
      <c r="L80" s="271"/>
      <c r="M80" s="271"/>
      <c r="N80" s="271"/>
      <c r="O80" s="271"/>
      <c r="P80" s="271"/>
    </row>
    <row r="81" spans="1:20" ht="15.75" hidden="1" outlineLevel="1" x14ac:dyDescent="0.2">
      <c r="A81" s="277" t="s">
        <v>117</v>
      </c>
      <c r="B81" s="266"/>
      <c r="C81" s="267"/>
      <c r="D81" s="268"/>
      <c r="E81" s="269"/>
      <c r="F81" s="269"/>
      <c r="G81" s="270"/>
      <c r="H81" s="271"/>
      <c r="I81" s="271"/>
      <c r="J81" s="271"/>
      <c r="K81" s="271"/>
      <c r="L81" s="271"/>
      <c r="M81" s="271"/>
      <c r="N81" s="271"/>
      <c r="O81" s="271"/>
      <c r="P81" s="271"/>
    </row>
    <row r="82" spans="1:20" ht="15.75" hidden="1" outlineLevel="1" x14ac:dyDescent="0.2">
      <c r="A82" s="277"/>
      <c r="B82" s="266"/>
      <c r="C82" s="267"/>
      <c r="D82" s="268"/>
      <c r="E82" s="269"/>
      <c r="F82" s="269"/>
      <c r="G82" s="270"/>
      <c r="H82" s="271"/>
      <c r="I82" s="271"/>
      <c r="J82" s="271"/>
      <c r="K82" s="271"/>
      <c r="L82" s="271"/>
      <c r="M82" s="271"/>
      <c r="N82" s="271"/>
      <c r="O82" s="271"/>
      <c r="P82" s="271"/>
    </row>
    <row r="83" spans="1:20" ht="15.75" hidden="1" outlineLevel="1" x14ac:dyDescent="0.2">
      <c r="A83" s="277"/>
      <c r="B83" s="266"/>
      <c r="C83" s="267"/>
      <c r="D83" s="268"/>
      <c r="E83" s="269"/>
      <c r="F83" s="269"/>
      <c r="G83" s="270"/>
      <c r="H83" s="271"/>
      <c r="I83" s="271"/>
      <c r="J83" s="271"/>
      <c r="K83" s="271"/>
      <c r="L83" s="271"/>
      <c r="M83" s="271"/>
      <c r="N83" s="271"/>
      <c r="O83" s="271"/>
      <c r="P83" s="271"/>
    </row>
    <row r="84" spans="1:20" ht="15.75" hidden="1" outlineLevel="1" x14ac:dyDescent="0.2">
      <c r="A84" s="277"/>
      <c r="B84" s="266"/>
      <c r="C84" s="267"/>
      <c r="D84" s="268"/>
      <c r="E84" s="269"/>
      <c r="F84" s="269"/>
      <c r="G84" s="270"/>
      <c r="H84" s="271"/>
      <c r="I84" s="271"/>
      <c r="J84" s="271"/>
      <c r="K84" s="271"/>
      <c r="L84" s="271"/>
      <c r="M84" s="271"/>
      <c r="N84" s="271"/>
      <c r="O84" s="271"/>
      <c r="P84" s="271"/>
    </row>
    <row r="85" spans="1:20" ht="15" hidden="1" outlineLevel="1" x14ac:dyDescent="0.2">
      <c r="A85" s="278"/>
      <c r="B85" s="266"/>
      <c r="C85" s="267"/>
      <c r="D85" s="268"/>
      <c r="E85" s="269"/>
      <c r="F85" s="269"/>
      <c r="G85" s="270"/>
      <c r="H85" s="271"/>
      <c r="I85" s="271"/>
      <c r="J85" s="271"/>
      <c r="K85" s="271"/>
      <c r="L85" s="271"/>
      <c r="M85" s="271"/>
      <c r="N85" s="271"/>
      <c r="O85" s="271"/>
      <c r="P85" s="271"/>
    </row>
    <row r="86" spans="1:20" ht="15" hidden="1" outlineLevel="1" x14ac:dyDescent="0.2">
      <c r="A86" s="265"/>
      <c r="B86" s="266"/>
      <c r="C86" s="267"/>
      <c r="D86" s="268"/>
      <c r="E86" s="269"/>
      <c r="F86" s="269"/>
      <c r="G86" s="270"/>
      <c r="H86" s="271"/>
      <c r="I86" s="271"/>
      <c r="J86" s="271"/>
      <c r="K86" s="271"/>
      <c r="L86" s="271"/>
      <c r="M86" s="271"/>
      <c r="N86" s="271"/>
      <c r="O86" s="271"/>
      <c r="P86" s="271"/>
    </row>
    <row r="87" spans="1:20" ht="15" hidden="1" outlineLevel="1" x14ac:dyDescent="0.2">
      <c r="A87" s="265"/>
      <c r="B87" s="266"/>
      <c r="C87" s="267"/>
      <c r="D87" s="268"/>
      <c r="E87" s="269"/>
      <c r="F87" s="269"/>
      <c r="G87" s="270"/>
      <c r="H87" s="271"/>
      <c r="I87" s="271"/>
      <c r="J87" s="271"/>
      <c r="K87" s="271"/>
      <c r="L87" s="271"/>
      <c r="M87" s="271"/>
      <c r="N87" s="271"/>
      <c r="O87" s="271"/>
      <c r="P87" s="271"/>
    </row>
    <row r="88" spans="1:20" ht="15.75" hidden="1" outlineLevel="1" thickBot="1" x14ac:dyDescent="0.25">
      <c r="A88" s="279"/>
      <c r="B88" s="280"/>
      <c r="C88" s="281"/>
      <c r="D88" s="282"/>
      <c r="E88" s="283"/>
      <c r="F88" s="283"/>
      <c r="G88" s="284"/>
      <c r="H88" s="285"/>
      <c r="I88" s="285"/>
      <c r="J88" s="285"/>
      <c r="K88" s="285"/>
      <c r="L88" s="285"/>
      <c r="M88" s="285"/>
      <c r="N88" s="285"/>
      <c r="O88" s="285"/>
      <c r="P88" s="285"/>
    </row>
    <row r="89" spans="1:20" s="142" customFormat="1" ht="15.75" hidden="1" outlineLevel="1" thickBot="1" x14ac:dyDescent="0.25">
      <c r="A89" s="286"/>
      <c r="B89" s="287"/>
      <c r="C89" s="287"/>
      <c r="D89" s="287"/>
      <c r="E89" s="287"/>
      <c r="F89" s="287"/>
      <c r="G89" s="287"/>
      <c r="H89" s="287"/>
      <c r="I89" s="287"/>
      <c r="J89" s="287"/>
      <c r="K89" s="287"/>
      <c r="L89" s="287"/>
      <c r="M89" s="287"/>
      <c r="N89" s="287"/>
      <c r="O89" s="287"/>
      <c r="P89" s="287"/>
      <c r="Q89" s="288"/>
      <c r="R89" s="288"/>
      <c r="S89" s="288"/>
      <c r="T89" s="288"/>
    </row>
    <row r="90" spans="1:20" s="142" customFormat="1" ht="22.5" x14ac:dyDescent="0.2">
      <c r="A90" s="184" t="s">
        <v>180</v>
      </c>
      <c r="B90" s="165"/>
      <c r="C90" s="165"/>
      <c r="D90" s="289"/>
      <c r="E90" s="289"/>
      <c r="F90" s="289"/>
      <c r="G90" s="289"/>
      <c r="H90" s="289"/>
      <c r="I90" s="289"/>
      <c r="J90" s="289"/>
      <c r="K90" s="289"/>
      <c r="L90" s="289"/>
      <c r="M90" s="289"/>
      <c r="N90" s="289"/>
      <c r="O90" s="289"/>
      <c r="P90" s="289"/>
      <c r="Q90" s="255"/>
      <c r="R90" s="255"/>
      <c r="S90" s="255"/>
      <c r="T90" s="255"/>
    </row>
    <row r="91" spans="1:20" s="142" customFormat="1" ht="15" outlineLevel="1" x14ac:dyDescent="0.2">
      <c r="A91" s="209"/>
      <c r="B91" s="165"/>
      <c r="C91" s="165"/>
      <c r="D91" s="290"/>
      <c r="E91" s="290"/>
      <c r="F91" s="290"/>
      <c r="G91" s="290"/>
      <c r="H91" s="290"/>
      <c r="I91" s="290"/>
      <c r="J91" s="290"/>
      <c r="K91" s="290"/>
      <c r="L91" s="290"/>
      <c r="M91" s="290"/>
      <c r="N91" s="290"/>
      <c r="O91" s="290"/>
      <c r="P91" s="290"/>
      <c r="Q91" s="256"/>
      <c r="R91" s="256"/>
      <c r="S91" s="256"/>
      <c r="T91" s="256"/>
    </row>
    <row r="92" spans="1:20" s="142" customFormat="1" ht="15" outlineLevel="1" x14ac:dyDescent="0.2">
      <c r="A92" s="291" t="s">
        <v>122</v>
      </c>
      <c r="B92" s="133">
        <f>CoveredReq</f>
        <v>0</v>
      </c>
      <c r="C92" s="165"/>
      <c r="D92" s="290"/>
      <c r="E92" s="290"/>
      <c r="F92" s="290"/>
      <c r="G92" s="290"/>
      <c r="H92" s="290"/>
      <c r="I92" s="290"/>
      <c r="J92" s="290"/>
      <c r="K92" s="290"/>
      <c r="L92" s="290"/>
      <c r="M92" s="290"/>
      <c r="N92" s="290"/>
      <c r="O92" s="290"/>
      <c r="P92" s="290"/>
      <c r="Q92" s="256"/>
      <c r="R92" s="256"/>
      <c r="S92" s="256"/>
      <c r="T92" s="256"/>
    </row>
    <row r="93" spans="1:20" s="142" customFormat="1" ht="15" outlineLevel="1" x14ac:dyDescent="0.2">
      <c r="A93" s="291" t="s">
        <v>104</v>
      </c>
      <c r="B93" s="136">
        <f>INT(LEFT(B7,FIND("/",B7)-2))-CoveredReq</f>
        <v>0</v>
      </c>
      <c r="C93" s="165"/>
      <c r="D93" s="290"/>
      <c r="E93" s="290"/>
      <c r="F93" s="290"/>
      <c r="G93" s="290"/>
      <c r="H93" s="290"/>
      <c r="I93" s="290"/>
      <c r="J93" s="290"/>
      <c r="K93" s="290"/>
      <c r="L93" s="290"/>
      <c r="M93" s="290"/>
      <c r="N93" s="290"/>
      <c r="O93" s="290"/>
      <c r="P93" s="290"/>
      <c r="Q93" s="256"/>
      <c r="R93" s="256"/>
      <c r="S93" s="256"/>
      <c r="T93" s="256"/>
    </row>
    <row r="94" spans="1:20" s="142" customFormat="1" ht="15" outlineLevel="1" x14ac:dyDescent="0.2">
      <c r="A94" s="292"/>
      <c r="B94" s="290"/>
      <c r="C94" s="165"/>
      <c r="D94" s="290"/>
      <c r="E94" s="290"/>
      <c r="F94" s="290"/>
      <c r="G94" s="290"/>
      <c r="H94" s="290"/>
      <c r="I94" s="290"/>
      <c r="J94" s="290"/>
      <c r="K94" s="290"/>
      <c r="L94" s="290"/>
      <c r="M94" s="290"/>
      <c r="N94" s="290"/>
      <c r="O94" s="290"/>
      <c r="P94" s="290"/>
      <c r="Q94" s="256"/>
      <c r="R94" s="256"/>
      <c r="S94" s="256"/>
      <c r="T94" s="256"/>
    </row>
    <row r="95" spans="1:20" s="142" customFormat="1" ht="15" outlineLevel="1" x14ac:dyDescent="0.2">
      <c r="A95" s="292"/>
      <c r="B95" s="290"/>
      <c r="C95" s="165"/>
      <c r="D95" s="290"/>
      <c r="E95" s="290"/>
      <c r="F95" s="290"/>
      <c r="G95" s="290"/>
      <c r="H95" s="290"/>
      <c r="I95" s="290"/>
      <c r="J95" s="290"/>
      <c r="K95" s="290"/>
      <c r="L95" s="290"/>
      <c r="M95" s="290"/>
      <c r="N95" s="290"/>
      <c r="O95" s="290"/>
      <c r="P95" s="290"/>
      <c r="Q95" s="256"/>
      <c r="R95" s="256"/>
      <c r="S95" s="256"/>
      <c r="T95" s="256"/>
    </row>
    <row r="96" spans="1:20" s="142" customFormat="1" ht="15" outlineLevel="1" x14ac:dyDescent="0.2">
      <c r="A96" s="292"/>
      <c r="B96" s="290"/>
      <c r="C96" s="165"/>
      <c r="D96" s="290"/>
      <c r="E96" s="290"/>
      <c r="F96" s="290"/>
      <c r="G96" s="290"/>
      <c r="H96" s="290"/>
      <c r="I96" s="290"/>
      <c r="J96" s="290"/>
      <c r="K96" s="290"/>
      <c r="L96" s="290"/>
      <c r="M96" s="290"/>
      <c r="N96" s="290"/>
      <c r="O96" s="290"/>
      <c r="P96" s="290"/>
      <c r="Q96" s="256"/>
      <c r="R96" s="256"/>
      <c r="S96" s="256"/>
      <c r="T96" s="256"/>
    </row>
    <row r="97" spans="1:20" s="142" customFormat="1" ht="15" outlineLevel="1" x14ac:dyDescent="0.2">
      <c r="A97" s="292"/>
      <c r="B97" s="290"/>
      <c r="C97" s="290"/>
      <c r="D97" s="290"/>
      <c r="E97" s="290"/>
      <c r="F97" s="290"/>
      <c r="G97" s="290"/>
      <c r="H97" s="290"/>
      <c r="I97" s="290"/>
      <c r="J97" s="290"/>
      <c r="K97" s="290"/>
      <c r="L97" s="290"/>
      <c r="M97" s="290"/>
      <c r="N97" s="290"/>
      <c r="O97" s="290"/>
      <c r="P97" s="290"/>
      <c r="Q97" s="256"/>
      <c r="R97" s="256"/>
      <c r="S97" s="256"/>
      <c r="T97" s="256"/>
    </row>
    <row r="98" spans="1:20" s="142" customFormat="1" ht="15" outlineLevel="1" x14ac:dyDescent="0.2">
      <c r="A98" s="292"/>
      <c r="B98" s="290"/>
      <c r="C98" s="290"/>
      <c r="D98" s="290"/>
      <c r="E98" s="290"/>
      <c r="F98" s="290"/>
      <c r="G98" s="290"/>
      <c r="H98" s="290"/>
      <c r="I98" s="290"/>
      <c r="J98" s="290"/>
      <c r="K98" s="290"/>
      <c r="L98" s="290"/>
      <c r="M98" s="290"/>
      <c r="N98" s="290"/>
      <c r="O98" s="290"/>
      <c r="P98" s="290"/>
      <c r="Q98" s="256"/>
      <c r="R98" s="256"/>
      <c r="S98" s="256"/>
      <c r="T98" s="256"/>
    </row>
    <row r="99" spans="1:20" s="142" customFormat="1" ht="15" outlineLevel="1" x14ac:dyDescent="0.2">
      <c r="A99" s="292"/>
      <c r="B99" s="290"/>
      <c r="C99" s="290"/>
      <c r="D99" s="290"/>
      <c r="E99" s="290"/>
      <c r="F99" s="290"/>
      <c r="G99" s="290"/>
      <c r="H99" s="290"/>
      <c r="I99" s="290"/>
      <c r="J99" s="290"/>
      <c r="K99" s="290"/>
      <c r="L99" s="290"/>
      <c r="M99" s="290"/>
      <c r="N99" s="290"/>
      <c r="O99" s="290"/>
      <c r="P99" s="290"/>
      <c r="Q99" s="256"/>
      <c r="R99" s="256"/>
      <c r="S99" s="256"/>
      <c r="T99" s="256"/>
    </row>
    <row r="100" spans="1:20" s="142" customFormat="1" ht="15" outlineLevel="1" x14ac:dyDescent="0.2">
      <c r="A100" s="292"/>
      <c r="B100" s="290"/>
      <c r="C100" s="290"/>
      <c r="D100" s="290"/>
      <c r="E100" s="290"/>
      <c r="F100" s="290"/>
      <c r="G100" s="290"/>
      <c r="H100" s="290"/>
      <c r="I100" s="290"/>
      <c r="J100" s="290"/>
      <c r="K100" s="290"/>
      <c r="L100" s="290"/>
      <c r="M100" s="290"/>
      <c r="N100" s="290"/>
      <c r="O100" s="290"/>
      <c r="P100" s="290"/>
      <c r="Q100" s="256"/>
      <c r="R100" s="256"/>
      <c r="S100" s="256"/>
      <c r="T100" s="256"/>
    </row>
    <row r="101" spans="1:20" s="142" customFormat="1" ht="15" outlineLevel="1" x14ac:dyDescent="0.2">
      <c r="A101" s="292"/>
      <c r="B101" s="290"/>
      <c r="C101" s="290"/>
      <c r="D101" s="290"/>
      <c r="E101" s="290"/>
      <c r="F101" s="290"/>
      <c r="G101" s="290"/>
      <c r="H101" s="290"/>
      <c r="I101" s="290"/>
      <c r="J101" s="290"/>
      <c r="K101" s="290"/>
      <c r="L101" s="290"/>
      <c r="M101" s="290"/>
      <c r="N101" s="290"/>
      <c r="O101" s="290"/>
      <c r="P101" s="290"/>
      <c r="Q101" s="256"/>
      <c r="R101" s="256"/>
      <c r="S101" s="256"/>
      <c r="T101" s="256"/>
    </row>
    <row r="102" spans="1:20" s="142" customFormat="1" ht="15" outlineLevel="1" x14ac:dyDescent="0.2">
      <c r="A102" s="292"/>
      <c r="B102" s="290"/>
      <c r="C102" s="290"/>
      <c r="D102" s="290"/>
      <c r="E102" s="290"/>
      <c r="F102" s="290"/>
      <c r="G102" s="290"/>
      <c r="H102" s="290"/>
      <c r="I102" s="290"/>
      <c r="J102" s="290"/>
      <c r="K102" s="290"/>
      <c r="L102" s="290"/>
      <c r="M102" s="290"/>
      <c r="N102" s="290"/>
      <c r="O102" s="290"/>
      <c r="P102" s="290"/>
      <c r="Q102" s="256"/>
      <c r="R102" s="256"/>
      <c r="S102" s="256"/>
      <c r="T102" s="256"/>
    </row>
    <row r="103" spans="1:20" s="142" customFormat="1" ht="15" outlineLevel="1" x14ac:dyDescent="0.2">
      <c r="A103" s="292"/>
      <c r="B103" s="290"/>
      <c r="C103" s="290"/>
      <c r="D103" s="290"/>
      <c r="E103" s="290"/>
      <c r="F103" s="290"/>
      <c r="G103" s="290"/>
      <c r="H103" s="290"/>
      <c r="I103" s="290"/>
      <c r="J103" s="290"/>
      <c r="K103" s="290"/>
      <c r="L103" s="290"/>
      <c r="M103" s="290"/>
      <c r="N103" s="290"/>
      <c r="O103" s="290"/>
      <c r="P103" s="290"/>
      <c r="Q103" s="256"/>
      <c r="R103" s="256"/>
      <c r="S103" s="256"/>
      <c r="T103" s="256"/>
    </row>
    <row r="104" spans="1:20" s="142" customFormat="1" ht="15" outlineLevel="1" x14ac:dyDescent="0.2">
      <c r="A104" s="292"/>
      <c r="B104" s="290"/>
      <c r="C104" s="290"/>
      <c r="D104" s="290"/>
      <c r="E104" s="290"/>
      <c r="F104" s="290"/>
      <c r="G104" s="290"/>
      <c r="H104" s="290"/>
      <c r="I104" s="290"/>
      <c r="J104" s="290"/>
      <c r="K104" s="290"/>
      <c r="L104" s="290"/>
      <c r="M104" s="290"/>
      <c r="N104" s="290"/>
      <c r="O104" s="290"/>
      <c r="P104" s="290"/>
      <c r="Q104" s="256"/>
      <c r="R104" s="256"/>
      <c r="S104" s="256"/>
      <c r="T104" s="256"/>
    </row>
    <row r="105" spans="1:20" s="142" customFormat="1" ht="15" outlineLevel="1" x14ac:dyDescent="0.2">
      <c r="A105" s="292"/>
      <c r="B105" s="290"/>
      <c r="C105" s="290"/>
      <c r="D105" s="290"/>
      <c r="E105" s="290"/>
      <c r="F105" s="290"/>
      <c r="G105" s="290"/>
      <c r="H105" s="290"/>
      <c r="I105" s="290"/>
      <c r="J105" s="290"/>
      <c r="K105" s="290"/>
      <c r="L105" s="290"/>
      <c r="M105" s="290"/>
      <c r="N105" s="290"/>
      <c r="O105" s="290"/>
      <c r="P105" s="290"/>
      <c r="Q105" s="256"/>
      <c r="R105" s="256"/>
      <c r="S105" s="256"/>
      <c r="T105" s="256"/>
    </row>
    <row r="106" spans="1:20" s="142" customFormat="1" ht="15" outlineLevel="1" x14ac:dyDescent="0.2">
      <c r="A106" s="292"/>
      <c r="B106" s="290"/>
      <c r="C106" s="290"/>
      <c r="D106" s="290"/>
      <c r="E106" s="290"/>
      <c r="F106" s="290"/>
      <c r="G106" s="290"/>
      <c r="H106" s="290"/>
      <c r="I106" s="290"/>
      <c r="J106" s="290"/>
      <c r="K106" s="290"/>
      <c r="L106" s="290"/>
      <c r="M106" s="290"/>
      <c r="N106" s="290"/>
      <c r="O106" s="290"/>
      <c r="P106" s="290"/>
      <c r="Q106" s="256"/>
      <c r="R106" s="256"/>
      <c r="S106" s="256"/>
      <c r="T106" s="256"/>
    </row>
    <row r="107" spans="1:20" s="142" customFormat="1" ht="15" outlineLevel="1" x14ac:dyDescent="0.2">
      <c r="A107" s="292"/>
      <c r="B107" s="290"/>
      <c r="C107" s="290"/>
      <c r="D107" s="290"/>
      <c r="E107" s="290"/>
      <c r="F107" s="290"/>
      <c r="G107" s="290"/>
      <c r="H107" s="290"/>
      <c r="I107" s="290"/>
      <c r="J107" s="290"/>
      <c r="K107" s="290"/>
      <c r="L107" s="290"/>
      <c r="M107" s="290"/>
      <c r="N107" s="290"/>
      <c r="O107" s="290"/>
      <c r="P107" s="290"/>
      <c r="Q107" s="256"/>
      <c r="R107" s="256"/>
      <c r="S107" s="256"/>
      <c r="T107" s="256"/>
    </row>
    <row r="108" spans="1:20" s="142" customFormat="1" ht="15.75" outlineLevel="1" thickBot="1" x14ac:dyDescent="0.25">
      <c r="A108" s="293"/>
      <c r="B108" s="294"/>
      <c r="C108" s="294"/>
      <c r="D108" s="294"/>
      <c r="E108" s="294"/>
      <c r="F108" s="294"/>
      <c r="G108" s="294"/>
      <c r="H108" s="294"/>
      <c r="I108" s="294"/>
      <c r="J108" s="294"/>
      <c r="K108" s="294"/>
      <c r="L108" s="294"/>
      <c r="M108" s="294"/>
      <c r="N108" s="294"/>
      <c r="O108" s="294"/>
      <c r="P108" s="294"/>
      <c r="Q108" s="288"/>
      <c r="R108" s="288"/>
      <c r="S108" s="288"/>
      <c r="T108" s="288"/>
    </row>
    <row r="109" spans="1:20" s="132" customFormat="1" ht="23.25" thickTop="1" x14ac:dyDescent="0.2">
      <c r="A109" s="148" t="s">
        <v>181</v>
      </c>
      <c r="B109" s="149"/>
      <c r="C109" s="149"/>
      <c r="D109" s="149"/>
      <c r="E109" s="149"/>
      <c r="F109" s="149"/>
      <c r="G109" s="149"/>
      <c r="H109" s="149"/>
      <c r="I109" s="149"/>
      <c r="J109" s="149"/>
      <c r="K109" s="149"/>
      <c r="L109" s="149"/>
      <c r="M109" s="149"/>
      <c r="N109" s="149"/>
      <c r="O109" s="149"/>
      <c r="P109" s="149"/>
      <c r="Q109" s="295"/>
      <c r="R109" s="295"/>
      <c r="S109" s="295"/>
      <c r="T109" s="295"/>
    </row>
    <row r="110" spans="1:20" s="132" customFormat="1" ht="22.5" outlineLevel="1" x14ac:dyDescent="0.2">
      <c r="A110" s="150"/>
      <c r="B110" s="151"/>
      <c r="C110" s="151"/>
      <c r="D110" s="152"/>
      <c r="E110" s="152"/>
      <c r="F110" s="152"/>
      <c r="G110" s="152"/>
      <c r="H110" s="152"/>
      <c r="I110" s="152"/>
      <c r="J110" s="152"/>
      <c r="K110" s="152"/>
      <c r="L110" s="152"/>
      <c r="M110" s="152"/>
      <c r="N110" s="152"/>
      <c r="O110" s="152"/>
      <c r="P110" s="152"/>
      <c r="Q110" s="296"/>
      <c r="R110" s="296"/>
      <c r="S110" s="296"/>
      <c r="T110" s="237"/>
    </row>
    <row r="111" spans="1:20" s="132" customFormat="1" ht="15" outlineLevel="1" x14ac:dyDescent="0.2">
      <c r="A111" s="150"/>
      <c r="B111" s="151"/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237"/>
      <c r="R111" s="237"/>
      <c r="S111" s="237"/>
      <c r="T111" s="297"/>
    </row>
    <row r="112" spans="1:20" s="132" customFormat="1" ht="15" outlineLevel="1" x14ac:dyDescent="0.2">
      <c r="A112" s="150"/>
      <c r="B112" s="151"/>
      <c r="C112" s="151"/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237"/>
      <c r="R112" s="237"/>
      <c r="S112" s="237"/>
      <c r="T112" s="297"/>
    </row>
    <row r="113" spans="1:20" s="132" customFormat="1" ht="15" outlineLevel="1" x14ac:dyDescent="0.2">
      <c r="A113" s="150"/>
      <c r="B113" s="151"/>
      <c r="C113" s="151"/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237"/>
      <c r="R113" s="237"/>
      <c r="S113" s="237"/>
      <c r="T113" s="297"/>
    </row>
    <row r="114" spans="1:20" s="132" customFormat="1" ht="15" outlineLevel="1" x14ac:dyDescent="0.2">
      <c r="A114" s="150"/>
      <c r="B114" s="151"/>
      <c r="C114" s="151"/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237"/>
      <c r="R114" s="237"/>
      <c r="S114" s="237"/>
      <c r="T114" s="297"/>
    </row>
    <row r="115" spans="1:20" s="132" customFormat="1" ht="45" outlineLevel="1" x14ac:dyDescent="0.2">
      <c r="A115" s="153"/>
      <c r="B115" s="135" t="s">
        <v>100</v>
      </c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237"/>
      <c r="R115" s="237"/>
      <c r="S115" s="237"/>
      <c r="T115" s="297"/>
    </row>
    <row r="116" spans="1:20" s="132" customFormat="1" ht="15" outlineLevel="1" x14ac:dyDescent="0.2">
      <c r="A116" s="298" t="s">
        <v>182</v>
      </c>
      <c r="B116" s="134">
        <f>OKReq</f>
        <v>0</v>
      </c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237"/>
      <c r="R116" s="237"/>
      <c r="S116" s="237"/>
      <c r="T116" s="297"/>
    </row>
    <row r="117" spans="1:20" s="132" customFormat="1" ht="15" outlineLevel="1" x14ac:dyDescent="0.2">
      <c r="A117" s="298" t="s">
        <v>183</v>
      </c>
      <c r="B117" s="214">
        <f>NOKReq</f>
        <v>0</v>
      </c>
      <c r="C117" s="151"/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237"/>
      <c r="R117" s="237"/>
      <c r="S117" s="237"/>
      <c r="T117" s="297"/>
    </row>
    <row r="118" spans="1:20" s="132" customFormat="1" ht="15" outlineLevel="1" x14ac:dyDescent="0.2">
      <c r="A118" s="298" t="s">
        <v>184</v>
      </c>
      <c r="B118" s="299">
        <f>INT(LEFT(B7,FIND("/",B7)-2))-OKReq-NOKReq</f>
        <v>0</v>
      </c>
      <c r="C118" s="151"/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237"/>
      <c r="R118" s="237"/>
      <c r="S118" s="237"/>
      <c r="T118" s="297"/>
    </row>
    <row r="119" spans="1:20" s="132" customFormat="1" ht="15" outlineLevel="1" x14ac:dyDescent="0.2">
      <c r="A119" s="154"/>
      <c r="B119" s="151"/>
      <c r="C119" s="151"/>
      <c r="D119" s="151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237"/>
      <c r="R119" s="237"/>
      <c r="S119" s="237"/>
      <c r="T119" s="297"/>
    </row>
    <row r="120" spans="1:20" s="132" customFormat="1" ht="15" outlineLevel="1" x14ac:dyDescent="0.2">
      <c r="A120" s="154"/>
      <c r="B120" s="151"/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237"/>
      <c r="R120" s="237"/>
      <c r="S120" s="237"/>
      <c r="T120" s="297"/>
    </row>
    <row r="121" spans="1:20" s="132" customFormat="1" ht="45" customHeight="1" outlineLevel="1" x14ac:dyDescent="0.2">
      <c r="A121" s="154"/>
      <c r="B121" s="151"/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237"/>
      <c r="R121" s="237"/>
      <c r="S121" s="237"/>
      <c r="T121" s="297"/>
    </row>
    <row r="122" spans="1:20" s="132" customFormat="1" ht="15" outlineLevel="1" x14ac:dyDescent="0.2">
      <c r="A122" s="154"/>
      <c r="B122" s="151"/>
      <c r="C122" s="151"/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237"/>
      <c r="R122" s="237"/>
      <c r="S122" s="237"/>
      <c r="T122" s="297"/>
    </row>
    <row r="123" spans="1:20" s="132" customFormat="1" ht="15" outlineLevel="1" x14ac:dyDescent="0.2">
      <c r="A123" s="175"/>
      <c r="B123" s="151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237"/>
      <c r="R123" s="237"/>
      <c r="S123" s="237"/>
      <c r="T123" s="297"/>
    </row>
    <row r="124" spans="1:20" x14ac:dyDescent="0.2">
      <c r="D124" s="158"/>
      <c r="E124" s="159"/>
      <c r="G124" s="160"/>
      <c r="H124" s="161"/>
      <c r="L124" s="160"/>
      <c r="M124" s="162"/>
      <c r="N124" s="92"/>
      <c r="O124" s="92"/>
    </row>
  </sheetData>
  <mergeCells count="3">
    <mergeCell ref="K1:L1"/>
    <mergeCell ref="L3:N3"/>
    <mergeCell ref="C3:K3"/>
  </mergeCells>
  <conditionalFormatting sqref="O1">
    <cfRule type="cellIs" dxfId="3" priority="1" stopIfTrue="1" operator="equal">
      <formula>"tbd"</formula>
    </cfRule>
  </conditionalFormatting>
  <dataValidations disablePrompts="1" count="1">
    <dataValidation type="list" allowBlank="1" showInputMessage="1" showErrorMessage="1" sqref="B1">
      <formula1>$A$72:$A$85</formula1>
    </dataValidation>
  </dataValidations>
  <pageMargins left="0.75" right="0.75" top="1" bottom="1" header="0.4921259845" footer="0.4921259845"/>
  <pageSetup scale="23" orientation="portrait" r:id="rId1"/>
  <headerFooter alignWithMargins="0">
    <oddFooter>&amp;LExxxxxxx rev xxx ver xxx&amp;R&amp;P</oddFooter>
  </headerFooter>
  <drawing r:id="rId2"/>
  <legacyDrawing r:id="rId3"/>
  <controls>
    <mc:AlternateContent xmlns:mc="http://schemas.openxmlformats.org/markup-compatibility/2006">
      <mc:Choice Requires="x14">
        <control shapeId="19458" r:id="rId4" name="ImportSyRMButton">
          <controlPr defaultSize="0" autoLine="0" r:id="rId5">
            <anchor moveWithCells="1">
              <from>
                <xdr:col>2</xdr:col>
                <xdr:colOff>495300</xdr:colOff>
                <xdr:row>0</xdr:row>
                <xdr:rowOff>114300</xdr:rowOff>
              </from>
              <to>
                <xdr:col>3</xdr:col>
                <xdr:colOff>923925</xdr:colOff>
                <xdr:row>0</xdr:row>
                <xdr:rowOff>476250</xdr:rowOff>
              </to>
            </anchor>
          </controlPr>
        </control>
      </mc:Choice>
      <mc:Fallback>
        <control shapeId="19458" r:id="rId4" name="ImportSyRMButton"/>
      </mc:Fallback>
    </mc:AlternateContent>
    <mc:AlternateContent xmlns:mc="http://schemas.openxmlformats.org/markup-compatibility/2006">
      <mc:Choice Requires="x14">
        <control shapeId="19457" r:id="rId6" name="UpdateStatisticsButton">
          <controlPr defaultSize="0" autoLine="0" r:id="rId7">
            <anchor moveWithCells="1">
              <from>
                <xdr:col>1</xdr:col>
                <xdr:colOff>28575</xdr:colOff>
                <xdr:row>0</xdr:row>
                <xdr:rowOff>114300</xdr:rowOff>
              </from>
              <to>
                <xdr:col>2</xdr:col>
                <xdr:colOff>457200</xdr:colOff>
                <xdr:row>0</xdr:row>
                <xdr:rowOff>476250</xdr:rowOff>
              </to>
            </anchor>
          </controlPr>
        </control>
      </mc:Choice>
      <mc:Fallback>
        <control shapeId="19457" r:id="rId6" name="UpdateStatisticsButton"/>
      </mc:Fallback>
    </mc:AlternateContent>
    <mc:AlternateContent xmlns:mc="http://schemas.openxmlformats.org/markup-compatibility/2006">
      <mc:Choice Requires="x14">
        <control shapeId="19459" r:id="rId8" name="Button 3">
          <controlPr defaultSize="0" print="0" autoFill="0" autoPict="0" macro="[0]!Feuil1.NOK_List_Click">
            <anchor moveWithCells="1">
              <from>
                <xdr:col>3</xdr:col>
                <xdr:colOff>962025</xdr:colOff>
                <xdr:row>0</xdr:row>
                <xdr:rowOff>114300</xdr:rowOff>
              </from>
              <to>
                <xdr:col>5</xdr:col>
                <xdr:colOff>457200</xdr:colOff>
                <xdr:row>0</xdr:row>
                <xdr:rowOff>457200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0">
    <tabColor theme="4" tint="0.39997558519241921"/>
  </sheetPr>
  <dimension ref="A1:IU799"/>
  <sheetViews>
    <sheetView showGridLines="0" zoomScale="90" zoomScaleNormal="90" workbookViewId="0">
      <pane ySplit="4" topLeftCell="A5" activePane="bottomLeft" state="frozen"/>
      <selection activeCell="B1" sqref="B1"/>
      <selection pane="bottomLeft" activeCell="A3" sqref="A3"/>
    </sheetView>
  </sheetViews>
  <sheetFormatPr defaultColWidth="0" defaultRowHeight="14.25" zeroHeight="1" x14ac:dyDescent="0.2"/>
  <cols>
    <col min="1" max="1" width="79.7109375" style="97" customWidth="1"/>
    <col min="2" max="6" width="16.28515625" style="125" customWidth="1"/>
    <col min="7" max="7" width="16.28515625" style="129" customWidth="1"/>
    <col min="8" max="8" width="16.28515625" style="125" customWidth="1"/>
    <col min="9" max="9" width="30.28515625" style="99" hidden="1" customWidth="1"/>
    <col min="10" max="10" width="62.7109375" style="99" hidden="1" customWidth="1"/>
    <col min="11" max="11" width="12.85546875" style="99" hidden="1" customWidth="1"/>
    <col min="12" max="12" width="13.5703125" style="99" hidden="1" customWidth="1"/>
    <col min="13" max="14" width="12.85546875" style="99" hidden="1" customWidth="1"/>
    <col min="15" max="15" width="11.42578125" style="99" hidden="1" customWidth="1"/>
    <col min="16" max="254" width="9.140625" style="99" hidden="1" customWidth="1"/>
    <col min="255" max="255" width="4.5703125" style="99" hidden="1" customWidth="1"/>
    <col min="256" max="16384" width="0" style="99" hidden="1"/>
  </cols>
  <sheetData>
    <row r="1" spans="1:15" s="95" customFormat="1" ht="22.5" customHeight="1" x14ac:dyDescent="0.2">
      <c r="A1" s="110" t="str">
        <f>"_ReqStatus attribute extracted from Sys modules for " &amp;Discipline&amp; " discipline(s)"</f>
        <v>_ReqStatus attribute extracted from Sys modules for All discipline(s)</v>
      </c>
      <c r="B1" s="121"/>
      <c r="C1" s="121"/>
      <c r="D1" s="121"/>
      <c r="E1" s="362" t="s">
        <v>103</v>
      </c>
      <c r="F1" s="364"/>
      <c r="G1" s="112" t="str">
        <f>SWVersion</f>
        <v>tbd</v>
      </c>
      <c r="I1" s="94"/>
      <c r="J1" s="94"/>
      <c r="K1" s="94"/>
      <c r="L1" s="94"/>
    </row>
    <row r="2" spans="1:15" s="95" customFormat="1" ht="207.75" customHeight="1" x14ac:dyDescent="0.2">
      <c r="A2" s="97"/>
      <c r="B2" s="123"/>
      <c r="C2" s="123"/>
      <c r="D2" s="123"/>
      <c r="E2" s="123"/>
      <c r="F2" s="123"/>
      <c r="G2" s="123"/>
      <c r="H2" s="122"/>
      <c r="I2" s="94"/>
      <c r="J2" s="94"/>
      <c r="K2" s="94"/>
      <c r="L2" s="94"/>
      <c r="M2" s="94"/>
      <c r="N2" s="94"/>
      <c r="O2" s="94"/>
    </row>
    <row r="3" spans="1:15" s="96" customFormat="1" ht="31.5" x14ac:dyDescent="0.2">
      <c r="A3" s="113" t="s">
        <v>55</v>
      </c>
      <c r="B3" s="114" t="str">
        <f>" Nb of "&amp;Discipline&amp;" requirements"</f>
        <v xml:space="preserve"> Nb of All requirements</v>
      </c>
      <c r="C3" s="115" t="s">
        <v>102</v>
      </c>
      <c r="D3" s="115" t="s">
        <v>141</v>
      </c>
      <c r="E3" s="115" t="s">
        <v>142</v>
      </c>
      <c r="F3" s="115" t="s">
        <v>143</v>
      </c>
      <c r="G3" s="115" t="s">
        <v>144</v>
      </c>
      <c r="H3" s="138" t="s">
        <v>123</v>
      </c>
      <c r="M3" s="102"/>
      <c r="N3" s="102"/>
      <c r="O3" s="102"/>
    </row>
    <row r="4" spans="1:15" ht="15.75" customHeight="1" x14ac:dyDescent="0.25">
      <c r="A4" s="120" t="s">
        <v>79</v>
      </c>
      <c r="B4" s="124">
        <f>SUM(B5:B6)</f>
        <v>0</v>
      </c>
      <c r="C4" s="130">
        <f>SUM(C5:C18)</f>
        <v>0</v>
      </c>
      <c r="D4" s="130">
        <f>SUM(D5:D18)</f>
        <v>0</v>
      </c>
      <c r="E4" s="130">
        <f>SUM(E5:E18)</f>
        <v>0</v>
      </c>
      <c r="F4" s="131">
        <f>SUM(F5:F18)</f>
        <v>0</v>
      </c>
      <c r="G4" s="131">
        <f>SUM(G5:G18)</f>
        <v>0</v>
      </c>
      <c r="H4" s="141" t="e">
        <f>(F4+G4)/B4</f>
        <v>#DIV/0!</v>
      </c>
      <c r="L4" s="98"/>
      <c r="M4" s="102"/>
      <c r="N4" s="102"/>
      <c r="O4" s="102"/>
    </row>
    <row r="5" spans="1:15" x14ac:dyDescent="0.2">
      <c r="A5" s="100"/>
      <c r="B5" s="126"/>
      <c r="C5" s="126"/>
      <c r="D5" s="126"/>
      <c r="E5" s="126"/>
      <c r="F5" s="126"/>
      <c r="G5" s="126"/>
      <c r="H5" s="139"/>
    </row>
    <row r="6" spans="1:15" x14ac:dyDescent="0.2">
      <c r="A6" s="100"/>
      <c r="B6" s="126"/>
      <c r="C6" s="126"/>
      <c r="D6" s="126"/>
      <c r="E6" s="126"/>
      <c r="F6" s="126"/>
      <c r="G6" s="126"/>
      <c r="H6" s="140"/>
    </row>
    <row r="7" spans="1:15" x14ac:dyDescent="0.2">
      <c r="A7" s="101"/>
      <c r="B7" s="127"/>
      <c r="C7" s="127"/>
      <c r="D7" s="127"/>
      <c r="E7" s="127"/>
      <c r="F7" s="127"/>
      <c r="G7" s="127"/>
      <c r="H7" s="128"/>
    </row>
    <row r="8" spans="1:15" hidden="1" x14ac:dyDescent="0.2"/>
    <row r="9" spans="1:15" hidden="1" x14ac:dyDescent="0.2"/>
    <row r="10" spans="1:15" hidden="1" x14ac:dyDescent="0.2"/>
    <row r="11" spans="1:15" hidden="1" x14ac:dyDescent="0.2"/>
    <row r="12" spans="1:15" hidden="1" x14ac:dyDescent="0.2"/>
    <row r="13" spans="1:15" hidden="1" x14ac:dyDescent="0.2"/>
    <row r="14" spans="1:15" hidden="1" x14ac:dyDescent="0.2"/>
    <row r="15" spans="1:15" hidden="1" x14ac:dyDescent="0.2"/>
    <row r="16" spans="1:15" hidden="1" x14ac:dyDescent="0.2"/>
    <row r="17" hidden="1" x14ac:dyDescent="0.2"/>
    <row r="18" hidden="1" x14ac:dyDescent="0.2"/>
    <row r="19" hidden="1" x14ac:dyDescent="0.2"/>
    <row r="20" hidden="1" x14ac:dyDescent="0.2"/>
    <row r="21" hidden="1" x14ac:dyDescent="0.2"/>
    <row r="22" hidden="1" x14ac:dyDescent="0.2"/>
    <row r="23" hidden="1" x14ac:dyDescent="0.2"/>
    <row r="24" hidden="1" x14ac:dyDescent="0.2"/>
    <row r="25" hidden="1" x14ac:dyDescent="0.2"/>
    <row r="26" hidden="1" x14ac:dyDescent="0.2"/>
    <row r="27" hidden="1" x14ac:dyDescent="0.2"/>
    <row r="28" hidden="1" x14ac:dyDescent="0.2"/>
    <row r="29" hidden="1" x14ac:dyDescent="0.2"/>
    <row r="30" hidden="1" x14ac:dyDescent="0.2"/>
    <row r="31" hidden="1" x14ac:dyDescent="0.2"/>
    <row r="32" hidden="1" x14ac:dyDescent="0.2"/>
    <row r="33" hidden="1" x14ac:dyDescent="0.2"/>
    <row r="34" hidden="1" x14ac:dyDescent="0.2"/>
    <row r="35" hidden="1" x14ac:dyDescent="0.2"/>
    <row r="36" hidden="1" x14ac:dyDescent="0.2"/>
    <row r="37" hidden="1" x14ac:dyDescent="0.2"/>
    <row r="38" hidden="1" x14ac:dyDescent="0.2"/>
    <row r="39" hidden="1" x14ac:dyDescent="0.2"/>
    <row r="40" hidden="1" x14ac:dyDescent="0.2"/>
    <row r="41" hidden="1" x14ac:dyDescent="0.2"/>
    <row r="42" hidden="1" x14ac:dyDescent="0.2"/>
    <row r="43" hidden="1" x14ac:dyDescent="0.2"/>
    <row r="44" hidden="1" x14ac:dyDescent="0.2"/>
    <row r="45" hidden="1" x14ac:dyDescent="0.2"/>
    <row r="46" hidden="1" x14ac:dyDescent="0.2"/>
    <row r="47" hidden="1" x14ac:dyDescent="0.2"/>
    <row r="48" hidden="1" x14ac:dyDescent="0.2"/>
    <row r="49" hidden="1" x14ac:dyDescent="0.2"/>
    <row r="50" hidden="1" x14ac:dyDescent="0.2"/>
    <row r="51" hidden="1" x14ac:dyDescent="0.2"/>
    <row r="52" hidden="1" x14ac:dyDescent="0.2"/>
    <row r="53" hidden="1" x14ac:dyDescent="0.2"/>
    <row r="54" hidden="1" x14ac:dyDescent="0.2"/>
    <row r="55" hidden="1" x14ac:dyDescent="0.2"/>
    <row r="56" hidden="1" x14ac:dyDescent="0.2"/>
    <row r="57" hidden="1" x14ac:dyDescent="0.2"/>
    <row r="58" hidden="1" x14ac:dyDescent="0.2"/>
    <row r="59" hidden="1" x14ac:dyDescent="0.2"/>
    <row r="60" hidden="1" x14ac:dyDescent="0.2"/>
    <row r="61" hidden="1" x14ac:dyDescent="0.2"/>
    <row r="62" hidden="1" x14ac:dyDescent="0.2"/>
    <row r="63" hidden="1" x14ac:dyDescent="0.2"/>
    <row r="6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  <row r="483" hidden="1" x14ac:dyDescent="0.2"/>
    <row r="484" hidden="1" x14ac:dyDescent="0.2"/>
    <row r="485" hidden="1" x14ac:dyDescent="0.2"/>
    <row r="486" hidden="1" x14ac:dyDescent="0.2"/>
    <row r="487" hidden="1" x14ac:dyDescent="0.2"/>
    <row r="488" hidden="1" x14ac:dyDescent="0.2"/>
    <row r="489" hidden="1" x14ac:dyDescent="0.2"/>
    <row r="490" hidden="1" x14ac:dyDescent="0.2"/>
    <row r="491" hidden="1" x14ac:dyDescent="0.2"/>
    <row r="492" hidden="1" x14ac:dyDescent="0.2"/>
    <row r="493" hidden="1" x14ac:dyDescent="0.2"/>
    <row r="494" hidden="1" x14ac:dyDescent="0.2"/>
    <row r="495" hidden="1" x14ac:dyDescent="0.2"/>
    <row r="496" hidden="1" x14ac:dyDescent="0.2"/>
    <row r="497" hidden="1" x14ac:dyDescent="0.2"/>
    <row r="498" hidden="1" x14ac:dyDescent="0.2"/>
    <row r="499" hidden="1" x14ac:dyDescent="0.2"/>
    <row r="500" hidden="1" x14ac:dyDescent="0.2"/>
    <row r="501" hidden="1" x14ac:dyDescent="0.2"/>
    <row r="502" hidden="1" x14ac:dyDescent="0.2"/>
    <row r="503" hidden="1" x14ac:dyDescent="0.2"/>
    <row r="504" hidden="1" x14ac:dyDescent="0.2"/>
    <row r="505" hidden="1" x14ac:dyDescent="0.2"/>
    <row r="506" hidden="1" x14ac:dyDescent="0.2"/>
    <row r="507" hidden="1" x14ac:dyDescent="0.2"/>
    <row r="508" hidden="1" x14ac:dyDescent="0.2"/>
    <row r="509" hidden="1" x14ac:dyDescent="0.2"/>
    <row r="510" hidden="1" x14ac:dyDescent="0.2"/>
    <row r="511" hidden="1" x14ac:dyDescent="0.2"/>
    <row r="512" hidden="1" x14ac:dyDescent="0.2"/>
    <row r="513" hidden="1" x14ac:dyDescent="0.2"/>
    <row r="514" hidden="1" x14ac:dyDescent="0.2"/>
    <row r="515" hidden="1" x14ac:dyDescent="0.2"/>
    <row r="516" hidden="1" x14ac:dyDescent="0.2"/>
    <row r="517" hidden="1" x14ac:dyDescent="0.2"/>
    <row r="518" hidden="1" x14ac:dyDescent="0.2"/>
    <row r="519" hidden="1" x14ac:dyDescent="0.2"/>
    <row r="520" hidden="1" x14ac:dyDescent="0.2"/>
    <row r="521" hidden="1" x14ac:dyDescent="0.2"/>
    <row r="522" hidden="1" x14ac:dyDescent="0.2"/>
    <row r="523" hidden="1" x14ac:dyDescent="0.2"/>
    <row r="524" hidden="1" x14ac:dyDescent="0.2"/>
    <row r="525" hidden="1" x14ac:dyDescent="0.2"/>
    <row r="526" hidden="1" x14ac:dyDescent="0.2"/>
    <row r="527" hidden="1" x14ac:dyDescent="0.2"/>
    <row r="528" hidden="1" x14ac:dyDescent="0.2"/>
    <row r="529" hidden="1" x14ac:dyDescent="0.2"/>
    <row r="530" hidden="1" x14ac:dyDescent="0.2"/>
    <row r="531" hidden="1" x14ac:dyDescent="0.2"/>
    <row r="532" hidden="1" x14ac:dyDescent="0.2"/>
    <row r="533" hidden="1" x14ac:dyDescent="0.2"/>
    <row r="534" hidden="1" x14ac:dyDescent="0.2"/>
    <row r="535" hidden="1" x14ac:dyDescent="0.2"/>
    <row r="536" hidden="1" x14ac:dyDescent="0.2"/>
    <row r="537" hidden="1" x14ac:dyDescent="0.2"/>
    <row r="538" hidden="1" x14ac:dyDescent="0.2"/>
    <row r="539" hidden="1" x14ac:dyDescent="0.2"/>
    <row r="540" hidden="1" x14ac:dyDescent="0.2"/>
    <row r="541" hidden="1" x14ac:dyDescent="0.2"/>
    <row r="542" hidden="1" x14ac:dyDescent="0.2"/>
    <row r="543" hidden="1" x14ac:dyDescent="0.2"/>
    <row r="544" hidden="1" x14ac:dyDescent="0.2"/>
    <row r="545" hidden="1" x14ac:dyDescent="0.2"/>
    <row r="546" hidden="1" x14ac:dyDescent="0.2"/>
    <row r="547" hidden="1" x14ac:dyDescent="0.2"/>
    <row r="548" hidden="1" x14ac:dyDescent="0.2"/>
    <row r="549" hidden="1" x14ac:dyDescent="0.2"/>
    <row r="550" hidden="1" x14ac:dyDescent="0.2"/>
    <row r="551" hidden="1" x14ac:dyDescent="0.2"/>
    <row r="552" hidden="1" x14ac:dyDescent="0.2"/>
    <row r="553" hidden="1" x14ac:dyDescent="0.2"/>
    <row r="554" hidden="1" x14ac:dyDescent="0.2"/>
    <row r="555" hidden="1" x14ac:dyDescent="0.2"/>
    <row r="556" hidden="1" x14ac:dyDescent="0.2"/>
    <row r="557" hidden="1" x14ac:dyDescent="0.2"/>
    <row r="558" hidden="1" x14ac:dyDescent="0.2"/>
    <row r="559" hidden="1" x14ac:dyDescent="0.2"/>
    <row r="560" hidden="1" x14ac:dyDescent="0.2"/>
    <row r="561" hidden="1" x14ac:dyDescent="0.2"/>
    <row r="562" hidden="1" x14ac:dyDescent="0.2"/>
    <row r="563" hidden="1" x14ac:dyDescent="0.2"/>
    <row r="564" hidden="1" x14ac:dyDescent="0.2"/>
    <row r="565" hidden="1" x14ac:dyDescent="0.2"/>
    <row r="566" hidden="1" x14ac:dyDescent="0.2"/>
    <row r="567" hidden="1" x14ac:dyDescent="0.2"/>
    <row r="568" hidden="1" x14ac:dyDescent="0.2"/>
    <row r="569" hidden="1" x14ac:dyDescent="0.2"/>
    <row r="570" hidden="1" x14ac:dyDescent="0.2"/>
    <row r="571" hidden="1" x14ac:dyDescent="0.2"/>
    <row r="572" hidden="1" x14ac:dyDescent="0.2"/>
    <row r="573" hidden="1" x14ac:dyDescent="0.2"/>
    <row r="574" hidden="1" x14ac:dyDescent="0.2"/>
    <row r="575" hidden="1" x14ac:dyDescent="0.2"/>
    <row r="576" hidden="1" x14ac:dyDescent="0.2"/>
    <row r="577" hidden="1" x14ac:dyDescent="0.2"/>
    <row r="578" hidden="1" x14ac:dyDescent="0.2"/>
    <row r="579" hidden="1" x14ac:dyDescent="0.2"/>
    <row r="580" hidden="1" x14ac:dyDescent="0.2"/>
    <row r="581" hidden="1" x14ac:dyDescent="0.2"/>
    <row r="582" hidden="1" x14ac:dyDescent="0.2"/>
    <row r="583" hidden="1" x14ac:dyDescent="0.2"/>
    <row r="584" hidden="1" x14ac:dyDescent="0.2"/>
    <row r="585" hidden="1" x14ac:dyDescent="0.2"/>
    <row r="586" hidden="1" x14ac:dyDescent="0.2"/>
    <row r="587" hidden="1" x14ac:dyDescent="0.2"/>
    <row r="588" hidden="1" x14ac:dyDescent="0.2"/>
    <row r="589" hidden="1" x14ac:dyDescent="0.2"/>
    <row r="590" hidden="1" x14ac:dyDescent="0.2"/>
    <row r="591" hidden="1" x14ac:dyDescent="0.2"/>
    <row r="592" hidden="1" x14ac:dyDescent="0.2"/>
    <row r="593" hidden="1" x14ac:dyDescent="0.2"/>
    <row r="594" hidden="1" x14ac:dyDescent="0.2"/>
    <row r="595" hidden="1" x14ac:dyDescent="0.2"/>
    <row r="596" hidden="1" x14ac:dyDescent="0.2"/>
    <row r="597" hidden="1" x14ac:dyDescent="0.2"/>
    <row r="598" hidden="1" x14ac:dyDescent="0.2"/>
    <row r="599" hidden="1" x14ac:dyDescent="0.2"/>
    <row r="600" hidden="1" x14ac:dyDescent="0.2"/>
    <row r="601" hidden="1" x14ac:dyDescent="0.2"/>
    <row r="602" hidden="1" x14ac:dyDescent="0.2"/>
    <row r="603" hidden="1" x14ac:dyDescent="0.2"/>
    <row r="604" hidden="1" x14ac:dyDescent="0.2"/>
    <row r="605" hidden="1" x14ac:dyDescent="0.2"/>
    <row r="606" hidden="1" x14ac:dyDescent="0.2"/>
    <row r="607" hidden="1" x14ac:dyDescent="0.2"/>
    <row r="608" hidden="1" x14ac:dyDescent="0.2"/>
    <row r="609" hidden="1" x14ac:dyDescent="0.2"/>
    <row r="610" hidden="1" x14ac:dyDescent="0.2"/>
    <row r="611" hidden="1" x14ac:dyDescent="0.2"/>
    <row r="612" hidden="1" x14ac:dyDescent="0.2"/>
    <row r="613" hidden="1" x14ac:dyDescent="0.2"/>
    <row r="614" hidden="1" x14ac:dyDescent="0.2"/>
    <row r="615" hidden="1" x14ac:dyDescent="0.2"/>
    <row r="616" hidden="1" x14ac:dyDescent="0.2"/>
    <row r="617" hidden="1" x14ac:dyDescent="0.2"/>
    <row r="618" hidden="1" x14ac:dyDescent="0.2"/>
    <row r="619" hidden="1" x14ac:dyDescent="0.2"/>
    <row r="620" hidden="1" x14ac:dyDescent="0.2"/>
    <row r="621" hidden="1" x14ac:dyDescent="0.2"/>
    <row r="622" hidden="1" x14ac:dyDescent="0.2"/>
    <row r="623" hidden="1" x14ac:dyDescent="0.2"/>
    <row r="624" hidden="1" x14ac:dyDescent="0.2"/>
    <row r="625" hidden="1" x14ac:dyDescent="0.2"/>
    <row r="626" hidden="1" x14ac:dyDescent="0.2"/>
    <row r="627" hidden="1" x14ac:dyDescent="0.2"/>
    <row r="628" hidden="1" x14ac:dyDescent="0.2"/>
    <row r="629" hidden="1" x14ac:dyDescent="0.2"/>
    <row r="630" hidden="1" x14ac:dyDescent="0.2"/>
    <row r="631" hidden="1" x14ac:dyDescent="0.2"/>
    <row r="632" hidden="1" x14ac:dyDescent="0.2"/>
    <row r="633" hidden="1" x14ac:dyDescent="0.2"/>
    <row r="634" hidden="1" x14ac:dyDescent="0.2"/>
    <row r="635" hidden="1" x14ac:dyDescent="0.2"/>
    <row r="636" hidden="1" x14ac:dyDescent="0.2"/>
    <row r="637" hidden="1" x14ac:dyDescent="0.2"/>
    <row r="638" hidden="1" x14ac:dyDescent="0.2"/>
    <row r="639" hidden="1" x14ac:dyDescent="0.2"/>
    <row r="640" hidden="1" x14ac:dyDescent="0.2"/>
    <row r="641" hidden="1" x14ac:dyDescent="0.2"/>
    <row r="642" hidden="1" x14ac:dyDescent="0.2"/>
    <row r="643" hidden="1" x14ac:dyDescent="0.2"/>
    <row r="644" hidden="1" x14ac:dyDescent="0.2"/>
    <row r="645" hidden="1" x14ac:dyDescent="0.2"/>
    <row r="646" hidden="1" x14ac:dyDescent="0.2"/>
    <row r="647" hidden="1" x14ac:dyDescent="0.2"/>
    <row r="648" hidden="1" x14ac:dyDescent="0.2"/>
    <row r="649" hidden="1" x14ac:dyDescent="0.2"/>
    <row r="650" hidden="1" x14ac:dyDescent="0.2"/>
    <row r="651" hidden="1" x14ac:dyDescent="0.2"/>
    <row r="652" hidden="1" x14ac:dyDescent="0.2"/>
    <row r="653" hidden="1" x14ac:dyDescent="0.2"/>
    <row r="654" hidden="1" x14ac:dyDescent="0.2"/>
    <row r="655" hidden="1" x14ac:dyDescent="0.2"/>
    <row r="656" hidden="1" x14ac:dyDescent="0.2"/>
    <row r="657" hidden="1" x14ac:dyDescent="0.2"/>
    <row r="658" hidden="1" x14ac:dyDescent="0.2"/>
    <row r="659" hidden="1" x14ac:dyDescent="0.2"/>
    <row r="660" hidden="1" x14ac:dyDescent="0.2"/>
    <row r="661" hidden="1" x14ac:dyDescent="0.2"/>
    <row r="662" hidden="1" x14ac:dyDescent="0.2"/>
    <row r="663" hidden="1" x14ac:dyDescent="0.2"/>
    <row r="664" hidden="1" x14ac:dyDescent="0.2"/>
    <row r="665" hidden="1" x14ac:dyDescent="0.2"/>
    <row r="666" hidden="1" x14ac:dyDescent="0.2"/>
    <row r="667" hidden="1" x14ac:dyDescent="0.2"/>
    <row r="668" hidden="1" x14ac:dyDescent="0.2"/>
    <row r="669" hidden="1" x14ac:dyDescent="0.2"/>
    <row r="670" hidden="1" x14ac:dyDescent="0.2"/>
    <row r="671" hidden="1" x14ac:dyDescent="0.2"/>
    <row r="672" hidden="1" x14ac:dyDescent="0.2"/>
    <row r="673" hidden="1" x14ac:dyDescent="0.2"/>
    <row r="674" hidden="1" x14ac:dyDescent="0.2"/>
    <row r="675" hidden="1" x14ac:dyDescent="0.2"/>
    <row r="676" hidden="1" x14ac:dyDescent="0.2"/>
    <row r="677" hidden="1" x14ac:dyDescent="0.2"/>
    <row r="678" hidden="1" x14ac:dyDescent="0.2"/>
    <row r="679" hidden="1" x14ac:dyDescent="0.2"/>
    <row r="680" hidden="1" x14ac:dyDescent="0.2"/>
    <row r="681" hidden="1" x14ac:dyDescent="0.2"/>
    <row r="682" hidden="1" x14ac:dyDescent="0.2"/>
    <row r="683" hidden="1" x14ac:dyDescent="0.2"/>
    <row r="684" hidden="1" x14ac:dyDescent="0.2"/>
    <row r="685" hidden="1" x14ac:dyDescent="0.2"/>
    <row r="686" hidden="1" x14ac:dyDescent="0.2"/>
    <row r="687" hidden="1" x14ac:dyDescent="0.2"/>
    <row r="688" hidden="1" x14ac:dyDescent="0.2"/>
    <row r="689" hidden="1" x14ac:dyDescent="0.2"/>
    <row r="690" hidden="1" x14ac:dyDescent="0.2"/>
    <row r="691" hidden="1" x14ac:dyDescent="0.2"/>
    <row r="692" hidden="1" x14ac:dyDescent="0.2"/>
    <row r="693" hidden="1" x14ac:dyDescent="0.2"/>
    <row r="694" hidden="1" x14ac:dyDescent="0.2"/>
    <row r="695" hidden="1" x14ac:dyDescent="0.2"/>
    <row r="696" hidden="1" x14ac:dyDescent="0.2"/>
    <row r="697" hidden="1" x14ac:dyDescent="0.2"/>
    <row r="698" hidden="1" x14ac:dyDescent="0.2"/>
    <row r="699" hidden="1" x14ac:dyDescent="0.2"/>
    <row r="700" hidden="1" x14ac:dyDescent="0.2"/>
    <row r="701" hidden="1" x14ac:dyDescent="0.2"/>
    <row r="702" hidden="1" x14ac:dyDescent="0.2"/>
    <row r="703" hidden="1" x14ac:dyDescent="0.2"/>
    <row r="704" hidden="1" x14ac:dyDescent="0.2"/>
    <row r="705" hidden="1" x14ac:dyDescent="0.2"/>
    <row r="706" hidden="1" x14ac:dyDescent="0.2"/>
    <row r="707" hidden="1" x14ac:dyDescent="0.2"/>
    <row r="708" hidden="1" x14ac:dyDescent="0.2"/>
    <row r="709" hidden="1" x14ac:dyDescent="0.2"/>
    <row r="710" hidden="1" x14ac:dyDescent="0.2"/>
    <row r="711" hidden="1" x14ac:dyDescent="0.2"/>
    <row r="712" hidden="1" x14ac:dyDescent="0.2"/>
    <row r="713" hidden="1" x14ac:dyDescent="0.2"/>
    <row r="714" hidden="1" x14ac:dyDescent="0.2"/>
    <row r="715" hidden="1" x14ac:dyDescent="0.2"/>
    <row r="716" hidden="1" x14ac:dyDescent="0.2"/>
    <row r="717" hidden="1" x14ac:dyDescent="0.2"/>
    <row r="718" hidden="1" x14ac:dyDescent="0.2"/>
    <row r="719" hidden="1" x14ac:dyDescent="0.2"/>
    <row r="720" hidden="1" x14ac:dyDescent="0.2"/>
    <row r="721" hidden="1" x14ac:dyDescent="0.2"/>
    <row r="722" hidden="1" x14ac:dyDescent="0.2"/>
    <row r="723" hidden="1" x14ac:dyDescent="0.2"/>
    <row r="724" hidden="1" x14ac:dyDescent="0.2"/>
    <row r="725" hidden="1" x14ac:dyDescent="0.2"/>
    <row r="726" hidden="1" x14ac:dyDescent="0.2"/>
    <row r="727" hidden="1" x14ac:dyDescent="0.2"/>
    <row r="728" hidden="1" x14ac:dyDescent="0.2"/>
    <row r="729" hidden="1" x14ac:dyDescent="0.2"/>
    <row r="730" hidden="1" x14ac:dyDescent="0.2"/>
    <row r="731" hidden="1" x14ac:dyDescent="0.2"/>
    <row r="732" hidden="1" x14ac:dyDescent="0.2"/>
    <row r="733" hidden="1" x14ac:dyDescent="0.2"/>
    <row r="734" hidden="1" x14ac:dyDescent="0.2"/>
    <row r="735" hidden="1" x14ac:dyDescent="0.2"/>
    <row r="736" hidden="1" x14ac:dyDescent="0.2"/>
    <row r="737" hidden="1" x14ac:dyDescent="0.2"/>
    <row r="738" hidden="1" x14ac:dyDescent="0.2"/>
    <row r="739" hidden="1" x14ac:dyDescent="0.2"/>
    <row r="740" hidden="1" x14ac:dyDescent="0.2"/>
    <row r="741" hidden="1" x14ac:dyDescent="0.2"/>
    <row r="742" hidden="1" x14ac:dyDescent="0.2"/>
    <row r="743" hidden="1" x14ac:dyDescent="0.2"/>
    <row r="744" hidden="1" x14ac:dyDescent="0.2"/>
    <row r="745" hidden="1" x14ac:dyDescent="0.2"/>
    <row r="746" hidden="1" x14ac:dyDescent="0.2"/>
    <row r="747" hidden="1" x14ac:dyDescent="0.2"/>
    <row r="748" hidden="1" x14ac:dyDescent="0.2"/>
    <row r="749" hidden="1" x14ac:dyDescent="0.2"/>
    <row r="750" hidden="1" x14ac:dyDescent="0.2"/>
    <row r="751" hidden="1" x14ac:dyDescent="0.2"/>
    <row r="752" hidden="1" x14ac:dyDescent="0.2"/>
    <row r="753" hidden="1" x14ac:dyDescent="0.2"/>
    <row r="754" hidden="1" x14ac:dyDescent="0.2"/>
    <row r="755" hidden="1" x14ac:dyDescent="0.2"/>
    <row r="756" hidden="1" x14ac:dyDescent="0.2"/>
    <row r="757" hidden="1" x14ac:dyDescent="0.2"/>
    <row r="758" hidden="1" x14ac:dyDescent="0.2"/>
    <row r="759" hidden="1" x14ac:dyDescent="0.2"/>
    <row r="760" hidden="1" x14ac:dyDescent="0.2"/>
    <row r="761" hidden="1" x14ac:dyDescent="0.2"/>
    <row r="762" hidden="1" x14ac:dyDescent="0.2"/>
    <row r="763" hidden="1" x14ac:dyDescent="0.2"/>
    <row r="764" hidden="1" x14ac:dyDescent="0.2"/>
    <row r="765" hidden="1" x14ac:dyDescent="0.2"/>
    <row r="766" hidden="1" x14ac:dyDescent="0.2"/>
    <row r="767" hidden="1" x14ac:dyDescent="0.2"/>
    <row r="768" hidden="1" x14ac:dyDescent="0.2"/>
    <row r="769" hidden="1" x14ac:dyDescent="0.2"/>
    <row r="770" hidden="1" x14ac:dyDescent="0.2"/>
    <row r="771" hidden="1" x14ac:dyDescent="0.2"/>
    <row r="772" hidden="1" x14ac:dyDescent="0.2"/>
    <row r="773" hidden="1" x14ac:dyDescent="0.2"/>
    <row r="774" hidden="1" x14ac:dyDescent="0.2"/>
    <row r="775" hidden="1" x14ac:dyDescent="0.2"/>
    <row r="776" hidden="1" x14ac:dyDescent="0.2"/>
    <row r="777" hidden="1" x14ac:dyDescent="0.2"/>
    <row r="778" hidden="1" x14ac:dyDescent="0.2"/>
    <row r="779" hidden="1" x14ac:dyDescent="0.2"/>
    <row r="780" hidden="1" x14ac:dyDescent="0.2"/>
    <row r="781" hidden="1" x14ac:dyDescent="0.2"/>
    <row r="782" hidden="1" x14ac:dyDescent="0.2"/>
    <row r="783" hidden="1" x14ac:dyDescent="0.2"/>
    <row r="784" hidden="1" x14ac:dyDescent="0.2"/>
    <row r="785" hidden="1" x14ac:dyDescent="0.2"/>
    <row r="786" hidden="1" x14ac:dyDescent="0.2"/>
    <row r="787" hidden="1" x14ac:dyDescent="0.2"/>
    <row r="788" hidden="1" x14ac:dyDescent="0.2"/>
    <row r="789" hidden="1" x14ac:dyDescent="0.2"/>
    <row r="790" hidden="1" x14ac:dyDescent="0.2"/>
    <row r="791" hidden="1" x14ac:dyDescent="0.2"/>
    <row r="792" hidden="1" x14ac:dyDescent="0.2"/>
    <row r="793" hidden="1" x14ac:dyDescent="0.2"/>
    <row r="794" hidden="1" x14ac:dyDescent="0.2"/>
    <row r="795" hidden="1" x14ac:dyDescent="0.2"/>
    <row r="796" hidden="1" x14ac:dyDescent="0.2"/>
    <row r="797" hidden="1" x14ac:dyDescent="0.2"/>
    <row r="798" hidden="1" x14ac:dyDescent="0.2"/>
    <row r="799" hidden="1" x14ac:dyDescent="0.2"/>
  </sheetData>
  <mergeCells count="1">
    <mergeCell ref="E1:F1"/>
  </mergeCells>
  <conditionalFormatting sqref="C4">
    <cfRule type="cellIs" dxfId="2" priority="3" stopIfTrue="1" operator="notEqual">
      <formula>0</formula>
    </cfRule>
  </conditionalFormatting>
  <conditionalFormatting sqref="D4">
    <cfRule type="cellIs" dxfId="1" priority="2" stopIfTrue="1" operator="notEqual">
      <formula>0</formula>
    </cfRule>
  </conditionalFormatting>
  <conditionalFormatting sqref="E4">
    <cfRule type="cellIs" dxfId="0" priority="1" stopIfTrue="1" operator="notEqual">
      <formula>0</formula>
    </cfRule>
  </conditionalFormatting>
  <pageMargins left="0.75" right="0.75" top="1" bottom="1" header="0.4921259845" footer="0.4921259845"/>
  <pageSetup scale="73" orientation="portrait" r:id="rId1"/>
  <headerFooter alignWithMargins="0">
    <oddFooter>&amp;LExxxxxxx rev xxx ver xxx&amp;R&amp;P</oddFooter>
  </headerFooter>
  <colBreaks count="1" manualBreakCount="1">
    <brk id="8" max="49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4" tint="0.39997558519241921"/>
  </sheetPr>
  <dimension ref="A3:H10"/>
  <sheetViews>
    <sheetView workbookViewId="0">
      <selection activeCell="D17" sqref="D17"/>
    </sheetView>
  </sheetViews>
  <sheetFormatPr defaultRowHeight="12.75" x14ac:dyDescent="0.2"/>
  <sheetData>
    <row r="3" spans="1:8" ht="27" x14ac:dyDescent="0.35">
      <c r="A3" s="111" t="s">
        <v>90</v>
      </c>
    </row>
    <row r="5" spans="1:8" ht="27" x14ac:dyDescent="0.35">
      <c r="E5" s="111" t="s">
        <v>164</v>
      </c>
    </row>
    <row r="7" spans="1:8" ht="18" x14ac:dyDescent="0.25">
      <c r="A7" s="234" t="s">
        <v>165</v>
      </c>
      <c r="B7" s="234"/>
      <c r="C7" s="234"/>
      <c r="D7" s="234"/>
      <c r="E7" s="234"/>
      <c r="F7" s="234"/>
      <c r="G7" s="234"/>
      <c r="H7" s="235"/>
    </row>
    <row r="8" spans="1:8" ht="18" x14ac:dyDescent="0.25">
      <c r="A8" s="233" t="s">
        <v>166</v>
      </c>
      <c r="B8" s="233"/>
      <c r="C8" s="233"/>
      <c r="D8" s="233"/>
      <c r="E8" s="233"/>
      <c r="F8" s="233"/>
      <c r="G8" s="233"/>
    </row>
    <row r="9" spans="1:8" ht="18" x14ac:dyDescent="0.25">
      <c r="A9" s="233" t="s">
        <v>167</v>
      </c>
      <c r="B9" s="233"/>
      <c r="C9" s="233"/>
      <c r="D9" s="233"/>
      <c r="E9" s="233"/>
      <c r="F9" s="233"/>
      <c r="G9" s="233"/>
    </row>
    <row r="10" spans="1:8" ht="18" x14ac:dyDescent="0.25">
      <c r="A10" s="233" t="s">
        <v>168</v>
      </c>
      <c r="B10" s="233"/>
      <c r="C10" s="233"/>
      <c r="D10" s="233"/>
      <c r="E10" s="233"/>
      <c r="F10" s="233"/>
      <c r="G10" s="233"/>
    </row>
  </sheetData>
  <pageMargins left="0.7" right="0.7" top="0.75" bottom="0.75" header="0.3" footer="0.3"/>
  <pageSetup paperSize="9" orientation="portrait" r:id="rId1"/>
  <headerFooter>
    <oddFooter>&amp;LExxxxxxx rev xxx ver xxx&amp;R&amp;P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O2"/>
  <sheetViews>
    <sheetView showGridLines="0" zoomScale="85" zoomScaleNormal="85" workbookViewId="0">
      <pane ySplit="2" topLeftCell="A3" activePane="bottomLeft" state="frozen"/>
      <selection pane="bottomLeft" sqref="A1:O1"/>
    </sheetView>
  </sheetViews>
  <sheetFormatPr defaultColWidth="11.42578125" defaultRowHeight="12.75" x14ac:dyDescent="0.2"/>
  <cols>
    <col min="1" max="1" width="11.42578125" style="210"/>
    <col min="2" max="9" width="11.42578125" style="200"/>
    <col min="10" max="10" width="22.7109375" style="200" customWidth="1"/>
    <col min="11" max="11" width="11.42578125" style="225"/>
    <col min="12" max="16384" width="11.42578125" style="200"/>
  </cols>
  <sheetData>
    <row r="1" spans="1:15" ht="18" x14ac:dyDescent="0.2">
      <c r="A1" s="221" t="s">
        <v>120</v>
      </c>
      <c r="B1" s="221"/>
      <c r="C1" s="221"/>
      <c r="D1" s="221"/>
      <c r="E1" s="221"/>
      <c r="F1" s="221"/>
      <c r="G1" s="221"/>
      <c r="H1" s="221"/>
      <c r="I1" s="221"/>
      <c r="J1" s="221"/>
      <c r="K1" s="223"/>
      <c r="L1" s="221"/>
      <c r="M1" s="226"/>
      <c r="N1" s="226"/>
      <c r="O1" s="226"/>
    </row>
    <row r="2" spans="1:15" x14ac:dyDescent="0.2">
      <c r="A2" s="211"/>
      <c r="B2" s="212"/>
      <c r="C2" s="212"/>
      <c r="D2" s="212"/>
      <c r="E2" s="212"/>
      <c r="F2" s="212"/>
      <c r="G2" s="212"/>
      <c r="H2" s="212"/>
      <c r="I2" s="212"/>
      <c r="J2" s="212"/>
      <c r="K2" s="224"/>
      <c r="L2" s="212"/>
      <c r="M2" s="212"/>
      <c r="N2" s="212"/>
      <c r="O2" s="212"/>
    </row>
  </sheetData>
  <autoFilter ref="A2:O2"/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23"/>
  <sheetViews>
    <sheetView workbookViewId="0">
      <selection activeCell="A20" sqref="A20"/>
    </sheetView>
  </sheetViews>
  <sheetFormatPr defaultColWidth="11.42578125" defaultRowHeight="12.75" x14ac:dyDescent="0.2"/>
  <cols>
    <col min="1" max="1" width="39.5703125" bestFit="1" customWidth="1"/>
  </cols>
  <sheetData>
    <row r="1" spans="1:2" x14ac:dyDescent="0.2">
      <c r="A1" t="s">
        <v>56</v>
      </c>
    </row>
    <row r="2" spans="1:2" x14ac:dyDescent="0.2">
      <c r="A2" t="s">
        <v>57</v>
      </c>
    </row>
    <row r="3" spans="1:2" s="74" customFormat="1" ht="19.5" thickBot="1" x14ac:dyDescent="0.35">
      <c r="A3" s="73" t="s">
        <v>58</v>
      </c>
      <c r="B3" s="74" t="s">
        <v>59</v>
      </c>
    </row>
    <row r="4" spans="1:2" s="74" customFormat="1" ht="16.5" thickTop="1" x14ac:dyDescent="0.25">
      <c r="A4" s="75" t="s">
        <v>60</v>
      </c>
      <c r="B4" s="74" t="s">
        <v>59</v>
      </c>
    </row>
    <row r="5" spans="1:2" x14ac:dyDescent="0.2">
      <c r="A5" s="76" t="s">
        <v>61</v>
      </c>
      <c r="B5" t="s">
        <v>59</v>
      </c>
    </row>
    <row r="6" spans="1:2" x14ac:dyDescent="0.2">
      <c r="A6" s="77" t="s">
        <v>62</v>
      </c>
      <c r="B6" t="s">
        <v>59</v>
      </c>
    </row>
    <row r="7" spans="1:2" x14ac:dyDescent="0.2">
      <c r="A7" s="78" t="s">
        <v>63</v>
      </c>
      <c r="B7" t="s">
        <v>59</v>
      </c>
    </row>
    <row r="8" spans="1:2" x14ac:dyDescent="0.2">
      <c r="A8" s="79" t="s">
        <v>64</v>
      </c>
      <c r="B8" t="s">
        <v>59</v>
      </c>
    </row>
    <row r="9" spans="1:2" x14ac:dyDescent="0.2">
      <c r="A9" s="80" t="s">
        <v>65</v>
      </c>
      <c r="B9" t="s">
        <v>59</v>
      </c>
    </row>
    <row r="10" spans="1:2" x14ac:dyDescent="0.2">
      <c r="A10" s="81" t="s">
        <v>66</v>
      </c>
      <c r="B10" t="s">
        <v>59</v>
      </c>
    </row>
    <row r="11" spans="1:2" x14ac:dyDescent="0.2">
      <c r="A11" s="82" t="s">
        <v>67</v>
      </c>
      <c r="B11" t="s">
        <v>59</v>
      </c>
    </row>
    <row r="12" spans="1:2" x14ac:dyDescent="0.2">
      <c r="A12" s="83" t="s">
        <v>68</v>
      </c>
      <c r="B12" t="s">
        <v>59</v>
      </c>
    </row>
    <row r="13" spans="1:2" x14ac:dyDescent="0.2">
      <c r="A13" s="84" t="s">
        <v>69</v>
      </c>
      <c r="B13" t="s">
        <v>59</v>
      </c>
    </row>
    <row r="14" spans="1:2" ht="48.75" x14ac:dyDescent="0.2">
      <c r="A14" s="64" t="s">
        <v>70</v>
      </c>
    </row>
    <row r="15" spans="1:2" x14ac:dyDescent="0.2">
      <c r="A15" s="85" t="s">
        <v>71</v>
      </c>
    </row>
    <row r="17" spans="1:1" x14ac:dyDescent="0.2">
      <c r="A17" s="86" t="s">
        <v>72</v>
      </c>
    </row>
    <row r="18" spans="1:1" x14ac:dyDescent="0.2">
      <c r="A18" s="87" t="s">
        <v>73</v>
      </c>
    </row>
    <row r="19" spans="1:1" x14ac:dyDescent="0.2">
      <c r="A19" s="88" t="s">
        <v>74</v>
      </c>
    </row>
    <row r="20" spans="1:1" x14ac:dyDescent="0.2">
      <c r="A20" s="85" t="s">
        <v>75</v>
      </c>
    </row>
    <row r="21" spans="1:1" x14ac:dyDescent="0.2">
      <c r="A21" s="89" t="s">
        <v>76</v>
      </c>
    </row>
    <row r="22" spans="1:1" x14ac:dyDescent="0.2">
      <c r="A22" s="90" t="s">
        <v>77</v>
      </c>
    </row>
    <row r="23" spans="1:1" x14ac:dyDescent="0.2">
      <c r="A23" s="91" t="s">
        <v>78</v>
      </c>
    </row>
  </sheetData>
  <pageMargins left="0.75" right="0.75" top="1" bottom="1" header="0.4921259845" footer="0.4921259845"/>
  <pageSetup paperSize="9" orientation="portrait" r:id="rId1"/>
  <headerFooter alignWithMargins="0">
    <oddFooter>&amp;LExxxxxxx rev xxx ver xxx&amp;R&amp;P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49</vt:i4>
      </vt:variant>
    </vt:vector>
  </HeadingPairs>
  <TitlesOfParts>
    <vt:vector size="57" baseType="lpstr">
      <vt:lpstr>FrontPage</vt:lpstr>
      <vt:lpstr>General info</vt:lpstr>
      <vt:lpstr>User Guide</vt:lpstr>
      <vt:lpstr>Statistics</vt:lpstr>
      <vt:lpstr>Requirement Status</vt:lpstr>
      <vt:lpstr>Req List Without Satisfie(s-d)</vt:lpstr>
      <vt:lpstr>Feuil1</vt:lpstr>
      <vt:lpstr>Styles</vt:lpstr>
      <vt:lpstr>CoveredByLowReq</vt:lpstr>
      <vt:lpstr>CoveredReq</vt:lpstr>
      <vt:lpstr>DesiredDiscipline</vt:lpstr>
      <vt:lpstr>Discipline</vt:lpstr>
      <vt:lpstr>FileName</vt:lpstr>
      <vt:lpstr>FunctReq</vt:lpstr>
      <vt:lpstr>ImplementedReq</vt:lpstr>
      <vt:lpstr>ListOfDisciplines</vt:lpstr>
      <vt:lpstr>MXActual_state_Released</vt:lpstr>
      <vt:lpstr>MXAuthority</vt:lpstr>
      <vt:lpstr>MXCurrent.Localized</vt:lpstr>
      <vt:lpstr>MXName</vt:lpstr>
      <vt:lpstr>MXRevision</vt:lpstr>
      <vt:lpstr>MXTitle</vt:lpstr>
      <vt:lpstr>MXVersion</vt:lpstr>
      <vt:lpstr>NOKFunctReq</vt:lpstr>
      <vt:lpstr>NOKReq</vt:lpstr>
      <vt:lpstr>NonFunctReq</vt:lpstr>
      <vt:lpstr>OKFunctReq</vt:lpstr>
      <vt:lpstr>OKReq</vt:lpstr>
      <vt:lpstr>PartialOKFunctReq</vt:lpstr>
      <vt:lpstr>PartialOKReq</vt:lpstr>
      <vt:lpstr>PLMDocAuthor</vt:lpstr>
      <vt:lpstr>'Requirement Status'!Print_Area</vt:lpstr>
      <vt:lpstr>'User Guide'!Print_Area</vt:lpstr>
      <vt:lpstr>'General info'!Print_Titles</vt:lpstr>
      <vt:lpstr>'Requirement Status'!ReviewTable_LastLine</vt:lpstr>
      <vt:lpstr>START_REPORT</vt:lpstr>
      <vt:lpstr>SumForStatistics</vt:lpstr>
      <vt:lpstr>SWVersion</vt:lpstr>
      <vt:lpstr>TemplateRef</vt:lpstr>
      <vt:lpstr>TestedReq</vt:lpstr>
      <vt:lpstr>TitleCoveredByLowReqs</vt:lpstr>
      <vt:lpstr>TitleCoveredByTests</vt:lpstr>
      <vt:lpstr>TitleCumulatedNOK</vt:lpstr>
      <vt:lpstr>TitleCumulatedOK</vt:lpstr>
      <vt:lpstr>TitleCumulatedPartiallyOK</vt:lpstr>
      <vt:lpstr>TitleCumulatedTested</vt:lpstr>
      <vt:lpstr>TitleFnctCumulatedNOK</vt:lpstr>
      <vt:lpstr>TitleFnctCumulatedOK</vt:lpstr>
      <vt:lpstr>TitleFnctCumulatedPartiallyOK</vt:lpstr>
      <vt:lpstr>TitleImplemented</vt:lpstr>
      <vt:lpstr>TitleImplementedBy</vt:lpstr>
      <vt:lpstr>TitleListOfDisciplines</vt:lpstr>
      <vt:lpstr>'Requirement Status'!TitleModuleName</vt:lpstr>
      <vt:lpstr>TitleModuleName</vt:lpstr>
      <vt:lpstr>TitleReqNumber</vt:lpstr>
      <vt:lpstr>TitleSatisfyingUpReq</vt:lpstr>
      <vt:lpstr>TitleTested</vt:lpstr>
    </vt:vector>
  </TitlesOfParts>
  <Company>Autoliv Electronics AB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Cyril Jouhanneau</dc:creator>
  <cp:lastModifiedBy>Isabela Pachiu</cp:lastModifiedBy>
  <cp:lastPrinted>2015-05-13T15:34:47Z</cp:lastPrinted>
  <dcterms:created xsi:type="dcterms:W3CDTF">2008-08-11T11:06:44Z</dcterms:created>
  <dcterms:modified xsi:type="dcterms:W3CDTF">2021-08-30T06:40:29Z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XAccess Type">
    <vt:lpwstr>Inherited</vt:lpwstr>
  </property>
  <property fmtid="{D5CDD505-2E9C-101B-9397-08002B2CF9AE}" pid="3" name="MXActiveVersion">
    <vt:lpwstr>3</vt:lpwstr>
  </property>
  <property fmtid="{D5CDD505-2E9C-101B-9397-08002B2CF9AE}" pid="4" name="MXActual_state_Preliminary">
    <vt:lpwstr>2010-09-22 12:26</vt:lpwstr>
  </property>
  <property fmtid="{D5CDD505-2E9C-101B-9397-08002B2CF9AE}" pid="5" name="MXActual_state_Released" linkTarget="MXActual_state_Released">
    <vt:lpwstr>TBD</vt:lpwstr>
  </property>
  <property fmtid="{D5CDD505-2E9C-101B-9397-08002B2CF9AE}" pid="6" name="MXActual_state_Superceded">
    <vt:lpwstr>N/A</vt:lpwstr>
  </property>
  <property fmtid="{D5CDD505-2E9C-101B-9397-08002B2CF9AE}" pid="7" name="MXalvApplicationVersion">
    <vt:lpwstr/>
  </property>
  <property fmtid="{D5CDD505-2E9C-101B-9397-08002B2CF9AE}" pid="8" name="MXalvChangeDescription">
    <vt:lpwstr>Document created</vt:lpwstr>
  </property>
  <property fmtid="{D5CDD505-2E9C-101B-9397-08002B2CF9AE}" pid="9" name="MXAuthority" linkTarget="MXAuthority">
    <vt:lpwstr>Process and method</vt:lpwstr>
  </property>
  <property fmtid="{D5CDD505-2E9C-101B-9397-08002B2CF9AE}" pid="10" name="MXAuthority_BusinessUnit">
    <vt:lpwstr/>
  </property>
  <property fmtid="{D5CDD505-2E9C-101B-9397-08002B2CF9AE}" pid="11" name="MXAuthority_Description">
    <vt:lpwstr>Process documents etc</vt:lpwstr>
  </property>
  <property fmtid="{D5CDD505-2E9C-101B-9397-08002B2CF9AE}" pid="12" name="MXAuthority_Owner">
    <vt:lpwstr>Marcus Klomark</vt:lpwstr>
  </property>
  <property fmtid="{D5CDD505-2E9C-101B-9397-08002B2CF9AE}" pid="13" name="MXAuthority_Program">
    <vt:lpwstr/>
  </property>
  <property fmtid="{D5CDD505-2E9C-101B-9397-08002B2CF9AE}" pid="14" name="MXCheckin Date">
    <vt:lpwstr>12/22/2010 8:58:03 AM</vt:lpwstr>
  </property>
  <property fmtid="{D5CDD505-2E9C-101B-9397-08002B2CF9AE}" pid="15" name="MXCheckin Reason">
    <vt:lpwstr>Revised by Johannes Kask</vt:lpwstr>
  </property>
  <property fmtid="{D5CDD505-2E9C-101B-9397-08002B2CF9AE}" pid="16" name="MXCheckin User" linkTarget="PLMDocAuthor">
    <vt:lpwstr>TBD</vt:lpwstr>
  </property>
  <property fmtid="{D5CDD505-2E9C-101B-9397-08002B2CF9AE}" pid="17" name="MXCurrent">
    <vt:lpwstr>Preliminary</vt:lpwstr>
  </property>
  <property fmtid="{D5CDD505-2E9C-101B-9397-08002B2CF9AE}" pid="18" name="MXCurrent.Localized" linkTarget="MXCurrent.Localized">
    <vt:lpwstr>Draft</vt:lpwstr>
  </property>
  <property fmtid="{D5CDD505-2E9C-101B-9397-08002B2CF9AE}" pid="19" name="MXDescription">
    <vt:lpwstr/>
  </property>
  <property fmtid="{D5CDD505-2E9C-101B-9397-08002B2CF9AE}" pid="20" name="MXDesignated User">
    <vt:lpwstr>Unassigned</vt:lpwstr>
  </property>
  <property fmtid="{D5CDD505-2E9C-101B-9397-08002B2CF9AE}" pid="21" name="MXEmail">
    <vt:lpwstr>johannes.kask@autoliv.com</vt:lpwstr>
  </property>
  <property fmtid="{D5CDD505-2E9C-101B-9397-08002B2CF9AE}" pid="22" name="MXFirstName">
    <vt:lpwstr>Johannes</vt:lpwstr>
  </property>
  <property fmtid="{D5CDD505-2E9C-101B-9397-08002B2CF9AE}" pid="23" name="MXIs Version Object">
    <vt:lpwstr>False</vt:lpwstr>
  </property>
  <property fmtid="{D5CDD505-2E9C-101B-9397-08002B2CF9AE}" pid="24" name="MXLanguage">
    <vt:lpwstr>English</vt:lpwstr>
  </property>
  <property fmtid="{D5CDD505-2E9C-101B-9397-08002B2CF9AE}" pid="25" name="MXLastName">
    <vt:lpwstr>Kask</vt:lpwstr>
  </property>
  <property fmtid="{D5CDD505-2E9C-101B-9397-08002B2CF9AE}" pid="26" name="MXLatestVersion">
    <vt:lpwstr>3</vt:lpwstr>
  </property>
  <property fmtid="{D5CDD505-2E9C-101B-9397-08002B2CF9AE}" pid="27" name="MXMiddleName">
    <vt:lpwstr/>
  </property>
  <property fmtid="{D5CDD505-2E9C-101B-9397-08002B2CF9AE}" pid="28" name="MXMove Files To Version">
    <vt:lpwstr>False</vt:lpwstr>
  </property>
  <property fmtid="{D5CDD505-2E9C-101B-9397-08002B2CF9AE}" pid="29" name="MXName" linkTarget="MXName">
    <vt:lpwstr>TBD</vt:lpwstr>
  </property>
  <property fmtid="{D5CDD505-2E9C-101B-9397-08002B2CF9AE}" pid="30" name="MXOriginator">
    <vt:lpwstr>Mats Sundin</vt:lpwstr>
  </property>
  <property fmtid="{D5CDD505-2E9C-101B-9397-08002B2CF9AE}" pid="31" name="MXPolicy" linkTarget="MXPolicy">
    <vt:lpwstr>#REF!</vt:lpwstr>
  </property>
  <property fmtid="{D5CDD505-2E9C-101B-9397-08002B2CF9AE}" pid="32" name="MXPolicy.Localized">
    <vt:lpwstr>NoReview Document</vt:lpwstr>
  </property>
  <property fmtid="{D5CDD505-2E9C-101B-9397-08002B2CF9AE}" pid="33" name="MXRevision" linkTarget="MXRevision">
    <vt:lpwstr>TBD</vt:lpwstr>
  </property>
  <property fmtid="{D5CDD505-2E9C-101B-9397-08002B2CF9AE}" pid="34" name="MXRoute_In-Work_date">
    <vt:lpwstr/>
  </property>
  <property fmtid="{D5CDD505-2E9C-101B-9397-08002B2CF9AE}" pid="35" name="MXRoute_In-Work_name">
    <vt:lpwstr/>
  </property>
  <property fmtid="{D5CDD505-2E9C-101B-9397-08002B2CF9AE}" pid="36" name="MXRoute_Released_date">
    <vt:lpwstr/>
  </property>
  <property fmtid="{D5CDD505-2E9C-101B-9397-08002B2CF9AE}" pid="37" name="MXRoute_Released_name">
    <vt:lpwstr/>
  </property>
  <property fmtid="{D5CDD505-2E9C-101B-9397-08002B2CF9AE}" pid="38" name="MXRoute_Superseded_date">
    <vt:lpwstr/>
  </property>
  <property fmtid="{D5CDD505-2E9C-101B-9397-08002B2CF9AE}" pid="39" name="MXRoute_Superseded_name">
    <vt:lpwstr/>
  </property>
  <property fmtid="{D5CDD505-2E9C-101B-9397-08002B2CF9AE}" pid="40" name="MXSignatures_state_Preliminary">
    <vt:lpwstr/>
  </property>
  <property fmtid="{D5CDD505-2E9C-101B-9397-08002B2CF9AE}" pid="41" name="MXSignatures_state_Released">
    <vt:lpwstr/>
  </property>
  <property fmtid="{D5CDD505-2E9C-101B-9397-08002B2CF9AE}" pid="42" name="MXSignatures_state_Superceded">
    <vt:lpwstr/>
  </property>
  <property fmtid="{D5CDD505-2E9C-101B-9397-08002B2CF9AE}" pid="43" name="MXSuspend Versioning">
    <vt:lpwstr>False</vt:lpwstr>
  </property>
  <property fmtid="{D5CDD505-2E9C-101B-9397-08002B2CF9AE}" pid="44" name="MXTitle" linkTarget="MXTitle">
    <vt:lpwstr>SW00TEM007 Generic Excel Template</vt:lpwstr>
  </property>
  <property fmtid="{D5CDD505-2E9C-101B-9397-08002B2CF9AE}" pid="45" name="MXType">
    <vt:lpwstr>alvProjectManagement</vt:lpwstr>
  </property>
  <property fmtid="{D5CDD505-2E9C-101B-9397-08002B2CF9AE}" pid="46" name="MXType.Localized" linkTarget="MXType.Localized">
    <vt:lpwstr>#REF!</vt:lpwstr>
  </property>
  <property fmtid="{D5CDD505-2E9C-101B-9397-08002B2CF9AE}" pid="47" name="MXUser">
    <vt:lpwstr>Johannes Kask</vt:lpwstr>
  </property>
  <property fmtid="{D5CDD505-2E9C-101B-9397-08002B2CF9AE}" pid="48" name="MXVersion" linkTarget="MXVersion">
    <vt:lpwstr>TBD</vt:lpwstr>
  </property>
</Properties>
</file>