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Data\SandBoxes\Reqtify2016_Project_Template\Project_Information\Coverage_Analysis\doc_templates\"/>
    </mc:Choice>
  </mc:AlternateContent>
  <xr:revisionPtr revIDLastSave="0" documentId="10_ncr:100000_{6BF9E4C0-3E5D-4075-A8D4-A99E2EB5E209}" xr6:coauthVersionLast="31" xr6:coauthVersionMax="31" xr10:uidLastSave="{00000000-0000-0000-0000-000000000000}"/>
  <bookViews>
    <workbookView xWindow="15240" yWindow="90" windowWidth="11355" windowHeight="8700" tabRatio="787" activeTab="3" xr2:uid="{00000000-000D-0000-FFFF-FFFF00000000}"/>
  </bookViews>
  <sheets>
    <sheet name="FrontPage" sheetId="4" r:id="rId1"/>
    <sheet name="General info" sheetId="11" r:id="rId2"/>
    <sheet name="User Guide" sheetId="14" r:id="rId3"/>
    <sheet name="Statistics" sheetId="15" r:id="rId4"/>
    <sheet name="Incomplete Arch. Elements List" sheetId="34" r:id="rId5"/>
    <sheet name="Arch. Elements Test Status" sheetId="49" r:id="rId6"/>
    <sheet name="Feuil1" sheetId="48" r:id="rId7"/>
    <sheet name="Styles" sheetId="19" r:id="rId8"/>
  </sheets>
  <externalReferences>
    <externalReference r:id="rId9"/>
    <externalReference r:id="rId10"/>
  </externalReferences>
  <definedNames>
    <definedName name="_xlnm._FilterDatabase" localSheetId="6" hidden="1">Feuil1!$A$2:$K$2</definedName>
    <definedName name="_xlnm._FilterDatabase" localSheetId="3" hidden="1">Statistics!$A$4:$K$4</definedName>
    <definedName name="Architecture_Implemented_by_Detailed_Design">Statistics!$G$11</definedName>
    <definedName name="CoveredByLowReq" localSheetId="5">[1]Statistics!$E$7</definedName>
    <definedName name="CoveredByLowReq">Statistics!$D$7</definedName>
    <definedName name="CoveredReq" localSheetId="5">[1]Statistics!$F$7</definedName>
    <definedName name="CoveredReq">Statistics!$F$7</definedName>
    <definedName name="DesiredDiscipline">Statistics!$B$1</definedName>
    <definedName name="Discipline">[1]Statistics!$B$69</definedName>
    <definedName name="FileName" localSheetId="5">[1]FrontPage!$AD$3</definedName>
    <definedName name="FileName">FrontPage!$AD$3</definedName>
    <definedName name="FunctReq">[1]Statistics!$B$13</definedName>
    <definedName name="ImplementedReq" localSheetId="5">[1]Statistics!$C$7</definedName>
    <definedName name="ImplementedReq">Statistics!$C$7</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 localSheetId="5">[1]FrontPage!$E$7</definedName>
    <definedName name="MXTitle">FrontPage!$E$7</definedName>
    <definedName name="MXVersion">FrontPage!$AE$7</definedName>
    <definedName name="NOKFunctReq">[1]Statistics!$N$7</definedName>
    <definedName name="NOKReq" localSheetId="5">[1]Statistics!$K$7</definedName>
    <definedName name="NOKReq">Statistics!$K$7</definedName>
    <definedName name="NonFunctReq">[1]Statistics!$B$14</definedName>
    <definedName name="OKFunctReq">[1]Statistics!$L$7</definedName>
    <definedName name="OKReq" localSheetId="5">[1]Statistics!$I$7</definedName>
    <definedName name="OKReq">Statistics!$I$7</definedName>
    <definedName name="PartialOKFunctReq">[1]Statistics!$M$7</definedName>
    <definedName name="PartialOKReq" localSheetId="5">[1]Statistics!$J$7</definedName>
    <definedName name="PartialOKReq">Statistics!$J$7</definedName>
    <definedName name="PLMDocAuthor">FrontPage!$F$10</definedName>
    <definedName name="_xlnm.Print_Area" localSheetId="2">'User Guide'!$A$1:$R$16</definedName>
    <definedName name="_xlnm.Print_Titles" localSheetId="1">'General info'!$1:$10</definedName>
    <definedName name="START_REPORT">Feuil1!$A$1</definedName>
    <definedName name="SumForStatistics">Statistics!$A$7</definedName>
    <definedName name="SWVersion" localSheetId="5">[1]FrontPage!$O$24</definedName>
    <definedName name="SWVersion">FrontPage!$O$24</definedName>
    <definedName name="TemplateRef">FrontPage!$W$7</definedName>
    <definedName name="TestedReq">Statistics!$G$7</definedName>
    <definedName name="TitleCoveredByTests">Statistics!$F$4</definedName>
    <definedName name="TitleCumulatedNOK">Statistics!$K$4</definedName>
    <definedName name="TitleCumulatedOK">Statistics!$I$4</definedName>
    <definedName name="TitleCumulatedPartiallyOK">Statistics!$J$4</definedName>
    <definedName name="TitleCumulatedTested">Statistics!$H$4</definedName>
    <definedName name="TitleImplemented">Statistics!$C$4</definedName>
    <definedName name="TitleImplementingUpReq">Statistics!$D$4</definedName>
    <definedName name="TitleModuleName">Statistics!$A$4</definedName>
    <definedName name="TitleReqNumber">Statistics!$B$4</definedName>
    <definedName name="TitleTested">Statistics!$G$4</definedName>
    <definedName name="TitleToBeTestedByIntegration">Statistics!$E$4</definedName>
    <definedName name="ToBeTestedByIntegrationReq">Statistics!$E$7</definedName>
  </definedNames>
  <calcPr calcId="179017"/>
</workbook>
</file>

<file path=xl/calcChain.xml><?xml version="1.0" encoding="utf-8"?>
<calcChain xmlns="http://schemas.openxmlformats.org/spreadsheetml/2006/main">
  <c r="B35" i="15" l="1"/>
  <c r="F10" i="4"/>
  <c r="W5" i="4"/>
  <c r="AE7" i="4"/>
  <c r="A7" i="4"/>
  <c r="AB7" i="4"/>
  <c r="A5" i="4"/>
  <c r="AB5" i="4"/>
  <c r="G11" i="15" l="1"/>
  <c r="A11" i="15" l="1"/>
  <c r="B36" i="15" l="1"/>
  <c r="I33" i="15" l="1"/>
  <c r="A2" i="15"/>
  <c r="A30" i="15"/>
  <c r="G30" i="15"/>
  <c r="A23" i="4" l="1"/>
  <c r="B13" i="15"/>
  <c r="B14" i="15" s="1"/>
  <c r="I32" i="15"/>
  <c r="I13" i="15"/>
  <c r="I14" i="15" s="1"/>
  <c r="B34" i="15"/>
  <c r="B33" i="15"/>
  <c r="B32" i="15"/>
  <c r="K1" i="15"/>
  <c r="AD3" i="4"/>
  <c r="AD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W7" authorId="0" shapeId="0" xr:uid="{00000000-0006-0000-0000-000001000000}">
      <text>
        <r>
          <rPr>
            <sz val="8"/>
            <color indexed="81"/>
            <rFont val="Tahoma"/>
            <family val="2"/>
          </rPr>
          <t>from e:/MKSProjects/Tools/AEEC/Reqtify_Project_Template/Project_Information/Coverage_Analysis/doc_templates/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5" authorId="0" shapeId="0" xr:uid="{00000000-0006-0000-0100-000003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5" authorId="0" shapeId="0" xr:uid="{00000000-0006-0000-0100-000004000000}">
      <text>
        <r>
          <rPr>
            <sz val="8"/>
            <color indexed="81"/>
            <rFont val="Tahoma"/>
            <family val="2"/>
          </rPr>
          <t>Date when the Revision is released</t>
        </r>
      </text>
    </comment>
    <comment ref="I25" authorId="0" shapeId="0" xr:uid="{00000000-0006-0000-0100-000005000000}">
      <text>
        <r>
          <rPr>
            <sz val="8"/>
            <color indexed="81"/>
            <rFont val="Tahoma"/>
            <family val="2"/>
          </rPr>
          <t>Author of the document. Authors if several.</t>
        </r>
      </text>
    </comment>
    <comment ref="R25" authorId="0" shapeId="0" xr:uid="{00000000-0006-0000-0100-000006000000}">
      <text>
        <r>
          <rPr>
            <sz val="8"/>
            <color indexed="81"/>
            <rFont val="Tahoma"/>
            <family val="2"/>
          </rPr>
          <t>Description or comment on the version. E.g. updated after meeting etc.</t>
        </r>
      </text>
    </comment>
    <comment ref="B37" authorId="0" shapeId="0" xr:uid="{00000000-0006-0000-0100-000007000000}">
      <text>
        <r>
          <rPr>
            <sz val="8"/>
            <color indexed="81"/>
            <rFont val="Tahoma"/>
            <family val="2"/>
          </rPr>
          <t>ID of possible reference documents. Any ID can be used, suggestion is [Int1], [Int2] etc. for internal references and [Ext1], [Ext2] etc. for external references</t>
        </r>
      </text>
    </comment>
    <comment ref="E37" authorId="0" shapeId="0" xr:uid="{00000000-0006-0000-0100-000008000000}">
      <text>
        <r>
          <rPr>
            <sz val="8"/>
            <color indexed="81"/>
            <rFont val="Tahoma"/>
            <family val="2"/>
          </rPr>
          <t>Title of reference documents.</t>
        </r>
      </text>
    </comment>
    <comment ref="Y37" authorId="0" shapeId="0" xr:uid="{00000000-0006-0000-0100-000009000000}">
      <text>
        <r>
          <rPr>
            <sz val="8"/>
            <color indexed="81"/>
            <rFont val="Tahoma"/>
            <family val="2"/>
          </rPr>
          <t>Reference number, e.g. E123456 and revision of the reference.</t>
        </r>
      </text>
    </comment>
    <comment ref="B43"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3" authorId="0" shapeId="0" xr:uid="{00000000-0006-0000-0100-00000B000000}">
      <text>
        <r>
          <rPr>
            <sz val="8"/>
            <color indexed="81"/>
            <rFont val="Tahoma"/>
            <family val="2"/>
          </rPr>
          <t>Title of reference documents.</t>
        </r>
      </text>
    </comment>
    <comment ref="Y43" authorId="0" shapeId="0" xr:uid="{00000000-0006-0000-0100-00000C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Francine Chambin</author>
  </authors>
  <commentList>
    <comment ref="B4" authorId="0" shapeId="0" xr:uid="{00000000-0006-0000-0300-000001000000}">
      <text>
        <r>
          <rPr>
            <sz val="9"/>
            <color indexed="81"/>
            <rFont val="Tahoma"/>
            <family val="2"/>
          </rPr>
          <t>number of architecture elements</t>
        </r>
      </text>
    </comment>
    <comment ref="C4" authorId="0" shapeId="0" xr:uid="{00000000-0006-0000-0300-000002000000}">
      <text>
        <r>
          <rPr>
            <sz val="9"/>
            <color indexed="81"/>
            <rFont val="Tahoma"/>
            <family val="2"/>
          </rPr>
          <t>number and % of Architecture Elements Implemented by a Lower Level (It may be DES requirements for System Architecture or Atomic Architectural Unit identifiers if not implicit).</t>
        </r>
      </text>
    </comment>
    <comment ref="D4" authorId="0" shapeId="0" xr:uid="{00000000-0006-0000-0300-000003000000}">
      <text>
        <r>
          <rPr>
            <sz val="9"/>
            <color indexed="81"/>
            <rFont val="Tahoma"/>
            <family val="2"/>
          </rPr>
          <t>number and % of Architecture Elements Implementing the upper level requirements (upstream coverage information)</t>
        </r>
      </text>
    </comment>
    <comment ref="E4" authorId="1" shapeId="0" xr:uid="{00000000-0006-0000-0300-000004000000}">
      <text>
        <r>
          <rPr>
            <sz val="9"/>
            <color indexed="81"/>
            <rFont val="Tahoma"/>
            <family val="2"/>
          </rPr>
          <t xml:space="preserve">number and % of  Architecture Element to be tested by integration.
</t>
        </r>
      </text>
    </comment>
    <comment ref="F4" authorId="0" shapeId="0" xr:uid="{00000000-0006-0000-0300-000005000000}">
      <text>
        <r>
          <rPr>
            <sz val="9"/>
            <color indexed="81"/>
            <rFont val="Tahoma"/>
            <family val="2"/>
          </rPr>
          <t>number and % of  Architecture Element covered by a test case.</t>
        </r>
      </text>
    </comment>
    <comment ref="G4" authorId="0" shapeId="0" xr:uid="{00000000-0006-0000-0300-000006000000}">
      <text>
        <r>
          <rPr>
            <sz val="9"/>
            <color indexed="81"/>
            <rFont val="Tahoma"/>
            <family val="2"/>
          </rPr>
          <t>number and % of  Architecture Elements  tested (OK, NOK or partially OK) only for this Matrix on this version</t>
        </r>
      </text>
    </comment>
    <comment ref="H4" authorId="0" shapeId="0" xr:uid="{00000000-0006-0000-0300-000007000000}">
      <text>
        <r>
          <rPr>
            <sz val="9"/>
            <color indexed="81"/>
            <rFont val="Tahoma"/>
            <family val="2"/>
          </rPr>
          <t>number and % of Elements  tested on this version plus other previous versions (thanks to "Import ArchM" button)</t>
        </r>
      </text>
    </comment>
    <comment ref="I4" authorId="0" shapeId="0" xr:uid="{00000000-0006-0000-0300-000008000000}">
      <text>
        <r>
          <rPr>
            <sz val="9"/>
            <color indexed="81"/>
            <rFont val="Tahoma"/>
            <family val="2"/>
          </rPr>
          <t>number and % of Elements which have all its tests performed and successfully "OK" on this version plus other previous versions (thanks to "Import ArchM" button)</t>
        </r>
      </text>
    </comment>
    <comment ref="J4" authorId="0" shapeId="0" xr:uid="{00000000-0006-0000-0300-000009000000}">
      <text>
        <r>
          <rPr>
            <sz val="9"/>
            <color indexed="81"/>
            <rFont val="Tahoma"/>
            <family val="2"/>
          </rPr>
          <t xml:space="preserve">number and % of Elements which have:
- no "NOK" test and 
- not all its tests "OK" (elements not fully tested)
on this version plus the other previous versions (thanks to "Import ArchM" button)
</t>
        </r>
      </text>
    </comment>
    <comment ref="K4" authorId="0" shapeId="0" xr:uid="{00000000-0006-0000-0300-00000A000000}">
      <text>
        <r>
          <rPr>
            <sz val="9"/>
            <color indexed="81"/>
            <rFont val="Tahoma"/>
            <family val="2"/>
          </rPr>
          <t>number and % of Elements which have one of its test results with "NOK" on this version plus other previous versions (thanks to "Import ArchM" button)</t>
        </r>
      </text>
    </comment>
  </commentList>
</comments>
</file>

<file path=xl/sharedStrings.xml><?xml version="1.0" encoding="utf-8"?>
<sst xmlns="http://schemas.openxmlformats.org/spreadsheetml/2006/main" count="176" uniqueCount="157">
  <si>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</si>
  <si>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</si>
  <si>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</si>
  <si>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</si>
  <si>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</si>
  <si>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</si>
  <si>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</si>
  <si>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</si>
  <si>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</si>
  <si>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</si>
  <si>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</si>
  <si>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</si>
  <si>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</si>
  <si>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</si>
  <si>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</si>
  <si>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</si>
  <si>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</si>
  <si>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</si>
  <si>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</si>
  <si>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</si>
  <si>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</si>
  <si>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</si>
  <si>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</si>
  <si>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</si>
  <si>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</si>
  <si>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Title1: Name1
Title4: Name4</t>
  </si>
  <si>
    <t>Title2: Name2
Title5: Name5</t>
  </si>
  <si>
    <t>Title3: Name3
Title6: Name6</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</si>
  <si>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</si>
  <si>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</si>
  <si>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</si>
  <si>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</si>
  <si>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</si>
  <si>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</si>
  <si>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</si>
  <si>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</si>
  <si>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</si>
  <si>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</si>
  <si>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</si>
  <si>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This sheet : contains history, reference, purpose, scope, definition and guide</t>
  </si>
  <si>
    <t>The front page contains information about the document.
Note : the blue cells are automatically filled by PLM and/or formula</t>
  </si>
  <si>
    <t>Title1: Name1
Title2: Name2</t>
  </si>
  <si>
    <t>1. HOW to use "Statistics" sheet...</t>
  </si>
  <si>
    <t>Implemented</t>
  </si>
  <si>
    <t>Test Id</t>
  </si>
  <si>
    <t>Result</t>
  </si>
  <si>
    <t>Justification</t>
  </si>
  <si>
    <t>Issue</t>
  </si>
  <si>
    <t>Comment</t>
  </si>
  <si>
    <t xml:space="preserve">if a test result is "failed" (NOK) or not done then an issue is needed </t>
  </si>
  <si>
    <t xml:space="preserve">if OK is extracted, the cell is green, the test is successfull. </t>
  </si>
  <si>
    <t xml:space="preserve"> </t>
  </si>
  <si>
    <t xml:space="preserve">if NOK is extracted, the cell is red, the test is failed. </t>
  </si>
  <si>
    <t>This document has been generated by Reqtify</t>
  </si>
  <si>
    <t>%endheader</t>
  </si>
  <si>
    <t>title</t>
  </si>
  <si>
    <t>PAGE BREAK</t>
  </si>
  <si>
    <t>sect1</t>
  </si>
  <si>
    <t>sect2</t>
  </si>
  <si>
    <t>sect3</t>
  </si>
  <si>
    <t>sect4</t>
  </si>
  <si>
    <t>sect5</t>
  </si>
  <si>
    <t>sect6</t>
  </si>
  <si>
    <t>sect7</t>
  </si>
  <si>
    <t>sect8</t>
  </si>
  <si>
    <t>sect9</t>
  </si>
  <si>
    <t>entry</t>
  </si>
  <si>
    <t>tableTitle</t>
  </si>
  <si>
    <t>para</t>
  </si>
  <si>
    <t>OK style</t>
  </si>
  <si>
    <t>NOK style</t>
  </si>
  <si>
    <t>Inconsistent style</t>
  </si>
  <si>
    <t>Without format but centered</t>
  </si>
  <si>
    <t>Tested previously</t>
  </si>
  <si>
    <t>CA (caution) style</t>
  </si>
  <si>
    <t>NA (not applicale) style</t>
  </si>
  <si>
    <t>for</t>
  </si>
  <si>
    <t>User Guide</t>
  </si>
  <si>
    <t>Explanation about this document</t>
  </si>
  <si>
    <t>Statistics</t>
  </si>
  <si>
    <t>Styles</t>
  </si>
  <si>
    <t>Styles for this document</t>
  </si>
  <si>
    <t>Other sheets…</t>
  </si>
  <si>
    <t>Automatic generated sheets</t>
  </si>
  <si>
    <t>The purpose of this document is to have a summary about customer requirements</t>
  </si>
  <si>
    <t>See User Guide sheet</t>
  </si>
  <si>
    <t>THIS SHEET IS AUTOMATICALLY CLEARED AND FILLED BY THE COMMAND BUTTON :</t>
  </si>
  <si>
    <t>Total (in number)</t>
  </si>
  <si>
    <t>Total (in %)</t>
  </si>
  <si>
    <t>Tested</t>
  </si>
  <si>
    <t>Tested (cumulated)</t>
  </si>
  <si>
    <t>Tested OK (cumulated)</t>
  </si>
  <si>
    <t>Tested NOK (cumulated)</t>
  </si>
  <si>
    <t>Tested partially OK (cumulated)</t>
  </si>
  <si>
    <t>OK</t>
  </si>
  <si>
    <t>Partially OK</t>
  </si>
  <si>
    <t>NOK</t>
  </si>
  <si>
    <r>
      <t xml:space="preserve">Not tested and </t>
    </r>
    <r>
      <rPr>
        <sz val="11"/>
        <color indexed="16"/>
        <rFont val="Calibri"/>
        <family val="2"/>
      </rPr>
      <t>not</t>
    </r>
    <r>
      <rPr>
        <sz val="11"/>
        <color indexed="8"/>
        <rFont val="Calibri"/>
        <family val="2"/>
      </rPr>
      <t xml:space="preserve"> covered by a test</t>
    </r>
  </si>
  <si>
    <t>Not tested and covered by a test</t>
  </si>
  <si>
    <t>Not implemented</t>
  </si>
  <si>
    <t>Current release</t>
  </si>
  <si>
    <t>Not covered by a test</t>
  </si>
  <si>
    <t>tbd</t>
  </si>
  <si>
    <t>Fully or partially covered by a test</t>
  </si>
  <si>
    <t>Feuil1</t>
  </si>
  <si>
    <t>Covered by a test</t>
  </si>
  <si>
    <t xml:space="preserve">if CA (Caution) is extracted, the cell is orange, the test must be analyzed to decide if it is OK or NOK.  </t>
  </si>
  <si>
    <t xml:space="preserve">if NS (Not Started) is extracted, the cell is orange, is-it normal? NA or empty would be better? </t>
  </si>
  <si>
    <t xml:space="preserve">NA (Not Applicale) is extracted, the cell is gray, the test is counted with OK results for statistic. </t>
  </si>
  <si>
    <t>if "In Progress" is extracted, the cell is orange.</t>
  </si>
  <si>
    <t>CA or NS or In Progress is counted as empty result</t>
  </si>
  <si>
    <t>Summary about requirements coverages</t>
  </si>
  <si>
    <t>Test File</t>
  </si>
  <si>
    <t>File Name</t>
  </si>
  <si>
    <t>Architecture Elements Number</t>
  </si>
  <si>
    <t>Implemented By</t>
  </si>
  <si>
    <t>ArchM.xlsm</t>
  </si>
  <si>
    <t>Implementing the upper level requirements</t>
  </si>
  <si>
    <t>Fully Implementing the Upper level requirements</t>
  </si>
  <si>
    <t>Not or partially Implementing the Upper level requirements</t>
  </si>
  <si>
    <t>Architecture Elements Tested (cumulated)</t>
  </si>
  <si>
    <t>Generate List of Incomplete Architecture Elements</t>
  </si>
  <si>
    <t xml:space="preserve">1. After having required the Architecture Matrix through Reqtify project and waiting few minutes, a ArchM report is ready to be opened but sheets are not correctly named (Feuil1, Feuil2,…). </t>
  </si>
  <si>
    <r>
      <t>2. You must click on button "</t>
    </r>
    <r>
      <rPr>
        <b/>
        <sz val="10"/>
        <rFont val="Arial"/>
        <family val="2"/>
      </rPr>
      <t>Update Statistics</t>
    </r>
    <r>
      <rPr>
        <sz val="10"/>
        <rFont val="Arial"/>
        <family val="2"/>
      </rPr>
      <t xml:space="preserve">"… A progress bar appears… All statistics are updated and every sheet (correponding to every Architecture file) is updated. </t>
    </r>
  </si>
  <si>
    <t>3. You may click on button "Import ArchM"… Give the name of a previous ArchM… A progress bar appears… 
If some tests are not performed again on this version for this ArchM but available on a previous version/ArchM, this ArchM will be filled with the results found for the previous version/ArchM with the mention "OK" or "NOK" on "version number".
To have the correct "version number", don't forget to correctly inform the "version" in the title given by the "1st page" sheet.</t>
  </si>
  <si>
    <t xml:space="preserve">
 </t>
  </si>
  <si>
    <t>The ArchM lists every architecture element extracted from Architecture file(s).</t>
  </si>
  <si>
    <t>HOW the "Incomplete Arch. Elements List" sheet is filled?</t>
  </si>
  <si>
    <t>The Architecture element will have to be copied and pasted in the "Incomplete Arch. Elements List" sheet:</t>
  </si>
  <si>
    <t xml:space="preserve">  - if no upper requirement is present (the corresponding cell will have the inconsistent style),</t>
  </si>
  <si>
    <t xml:space="preserve">  - if the architecture element is not implemented by Detailed Design (the corresponding cell will have the inconsistent style),</t>
  </si>
  <si>
    <t xml:space="preserve">  - if no test is present (the corresponding cell will have the inconsistent style).</t>
  </si>
  <si>
    <t>4. You may click on button "Generate List of Incomplete Architecture Elements"… It displays all "incomplete" Architecture elements in the "Incomplete Arch. Elements List" sheet.
The Architecture element will have to be copied and pasted in the "Incomplete Arch. Elements List" sheet:
  - if no upper requirement is present (the corresponding cell will have the inconsistent style),
  - if the architecture element is not implemented by Detailed Design (the corresponding cell will have the inconsistent style),
  - if no test is present (the corresponding cell will have the inconsistent style).</t>
  </si>
  <si>
    <t>Upstream Coverage Requirement Id</t>
  </si>
  <si>
    <t>"Implemented by" Description</t>
  </si>
  <si>
    <t>2. How every Architecture sheet is filled...</t>
  </si>
  <si>
    <t>For every Architecture element, write …</t>
  </si>
  <si>
    <t>The Architecture element Identifier</t>
  </si>
  <si>
    <t>Test results</t>
  </si>
  <si>
    <t xml:space="preserve">The Requirement Identifier implemented by the Architecture element </t>
  </si>
  <si>
    <t xml:space="preserve">Test Identifier testing  the Architecture element </t>
  </si>
  <si>
    <t>if a test result is "failed" (NOK) or not done then a justification is needed.</t>
  </si>
  <si>
    <t>Hyperlink to test file</t>
  </si>
  <si>
    <t>Architecture Id</t>
  </si>
  <si>
    <t>Architecture Description</t>
  </si>
  <si>
    <t>Description corresponding to the Identifier in column 3</t>
  </si>
  <si>
    <t>Description corresponding to the Identifier in column 2</t>
  </si>
  <si>
    <t>Incomplete Arch. Elements List</t>
  </si>
  <si>
    <t>List of "incomplete" Architecture elements (see "User Guide" tab)</t>
  </si>
  <si>
    <t>Identifier correponding to an implementation of the Architecture element (It may be DES requirements for System Architecture or Atomic Architectural Unit identifiers if not implicit)</t>
  </si>
  <si>
    <t>To Be Tested By Integration</t>
  </si>
  <si>
    <t>Integ?</t>
  </si>
  <si>
    <r>
      <rPr>
        <b/>
        <sz val="8"/>
        <rFont val="Arial"/>
        <family val="2"/>
      </rPr>
      <t>X</t>
    </r>
    <r>
      <rPr>
        <sz val="8"/>
        <rFont val="Arial"/>
        <family val="2"/>
      </rPr>
      <t xml:space="preserve"> 
if the Architecture element has to be integrated.</t>
    </r>
  </si>
  <si>
    <t>Architecture Matrix (ArchM)</t>
  </si>
  <si>
    <t>Be careful! Always generate this sheet after having updated "Statistics" sheet.</t>
  </si>
  <si>
    <t>Generate Architecture Elements Tests Status</t>
  </si>
  <si>
    <t>5. You may click on button "Generate Architecture Elements Tests Status"… It displays all Architecture Elements associated to their test result OK, NOK, partially OK, empty (= no result)  in a "Req Test Status" Sheet. You have also the information to know if the requirement is implemented by or not (=empty red cell) and if it is tested by a test specification (in case of no result it is useful).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</si>
</sst>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67" x14ac:knownFonts="1">
    <font>
      <sz val="10"/>
      <name val="Arial"/>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name val="Arial"/>
      <family val="2"/>
    </font>
    <font>
      <b/>
      <sz val="12"/>
      <name val="Arial"/>
      <family val="2"/>
    </font>
    <font>
      <u/>
      <sz val="10"/>
      <name val="Arial"/>
      <family val="2"/>
    </font>
    <font>
      <b/>
      <u/>
      <sz val="10"/>
      <name val="Arial"/>
      <family val="2"/>
    </font>
    <font>
      <b/>
      <sz val="8"/>
      <name val="Arial"/>
      <family val="2"/>
    </font>
    <font>
      <sz val="11"/>
      <name val="Arial"/>
      <family val="2"/>
    </font>
    <font>
      <sz val="12"/>
      <name val="Arial"/>
      <family val="2"/>
    </font>
    <font>
      <u/>
      <sz val="10"/>
      <color indexed="12"/>
      <name val="Arial"/>
      <family val="2"/>
    </font>
    <font>
      <sz val="10"/>
      <name val="Arial"/>
      <family val="2"/>
    </font>
    <font>
      <sz val="9"/>
      <color indexed="81"/>
      <name val="Tahoma"/>
      <family val="2"/>
    </font>
    <font>
      <sz val="11"/>
      <color indexed="8"/>
      <name val="Calibri"/>
      <family val="2"/>
    </font>
    <font>
      <sz val="11"/>
      <color indexed="16"/>
      <name val="Calibri"/>
      <family val="2"/>
    </font>
    <font>
      <b/>
      <sz val="14"/>
      <color indexed="9"/>
      <name val="Calibri"/>
      <family val="2"/>
    </font>
    <font>
      <b/>
      <sz val="14"/>
      <name val="Arial"/>
      <family val="2"/>
    </font>
    <font>
      <sz val="11"/>
      <color theme="1"/>
      <name val="Calibri"/>
      <family val="2"/>
      <scheme val="minor"/>
    </font>
    <font>
      <sz val="11"/>
      <color theme="0"/>
      <name val="Calibri"/>
      <family val="2"/>
      <scheme val="minor"/>
    </font>
    <font>
      <b/>
      <sz val="11"/>
      <color rgb="FFFA7D00"/>
      <name val="Calibri"/>
      <family val="2"/>
      <scheme val="minor"/>
    </font>
    <font>
      <b/>
      <sz val="12"/>
      <color rgb="FFFA7D00"/>
      <name val="Calibri"/>
      <family val="2"/>
      <scheme val="minor"/>
    </font>
    <font>
      <b/>
      <sz val="12"/>
      <color theme="0"/>
      <name val="Calibri"/>
      <family val="2"/>
      <scheme val="minor"/>
    </font>
    <font>
      <b/>
      <sz val="11"/>
      <color theme="3"/>
      <name val="Calibri"/>
      <family val="2"/>
      <scheme val="minor"/>
    </font>
    <font>
      <u/>
      <sz val="10"/>
      <color theme="10"/>
      <name val="Arial"/>
      <family val="2"/>
    </font>
    <font>
      <sz val="11"/>
      <color rgb="FF3F3F76"/>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22"/>
      <color rgb="FFFF0000"/>
      <name val="Arial"/>
      <family val="2"/>
    </font>
    <font>
      <b/>
      <sz val="11"/>
      <color theme="6" tint="-0.499984740745262"/>
      <name val="Calibri"/>
      <family val="2"/>
      <scheme val="minor"/>
    </font>
    <font>
      <b/>
      <sz val="11"/>
      <color theme="3" tint="-0.249977111117893"/>
      <name val="Calibri"/>
      <family val="2"/>
      <scheme val="minor"/>
    </font>
    <font>
      <b/>
      <sz val="11"/>
      <color theme="9" tint="-0.499984740745262"/>
      <name val="Calibri"/>
      <family val="2"/>
      <scheme val="minor"/>
    </font>
    <font>
      <b/>
      <sz val="11"/>
      <color rgb="FFFF0000"/>
      <name val="Calibri"/>
      <family val="2"/>
      <scheme val="minor"/>
    </font>
    <font>
      <b/>
      <sz val="12"/>
      <color theme="3"/>
      <name val="Calibri"/>
      <family val="2"/>
      <scheme val="minor"/>
    </font>
    <font>
      <sz val="11"/>
      <name val="Calibri"/>
      <family val="2"/>
      <scheme val="minor"/>
    </font>
    <font>
      <sz val="12"/>
      <name val="Calibri"/>
      <family val="2"/>
      <scheme val="minor"/>
    </font>
    <font>
      <sz val="12"/>
      <color rgb="FFFF0000"/>
      <name val="Calibri"/>
      <family val="2"/>
      <scheme val="minor"/>
    </font>
    <font>
      <b/>
      <sz val="10"/>
      <color rgb="FFFFFFFF"/>
      <name val="Arial"/>
      <family val="2"/>
    </font>
    <font>
      <sz val="10"/>
      <color rgb="FFFFFFFF"/>
      <name val="Arial"/>
      <family val="2"/>
    </font>
    <font>
      <b/>
      <sz val="8"/>
      <color theme="0"/>
      <name val="Arial"/>
      <family val="2"/>
    </font>
    <font>
      <b/>
      <i/>
      <sz val="10"/>
      <color rgb="FF000080"/>
      <name val="Arial"/>
      <family val="2"/>
    </font>
    <font>
      <b/>
      <sz val="20"/>
      <color rgb="FF3F3F76"/>
      <name val="Calibri"/>
      <family val="2"/>
      <scheme val="minor"/>
    </font>
    <font>
      <sz val="10"/>
      <color rgb="FF000080"/>
      <name val="Arial"/>
      <family val="2"/>
    </font>
    <font>
      <b/>
      <sz val="10"/>
      <color theme="0"/>
      <name val="Arial"/>
      <family val="2"/>
    </font>
    <font>
      <sz val="10"/>
      <color rgb="FF000000"/>
      <name val="Arial"/>
      <family val="2"/>
    </font>
    <font>
      <sz val="14"/>
      <name val="Arial"/>
      <family val="2"/>
    </font>
    <font>
      <u/>
      <sz val="14"/>
      <name val="Arial"/>
      <family val="2"/>
    </font>
  </fonts>
  <fills count="39">
    <fill>
      <patternFill patternType="none"/>
    </fill>
    <fill>
      <patternFill patternType="gray125"/>
    </fill>
    <fill>
      <patternFill patternType="solid">
        <fgColor indexed="51"/>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23"/>
        <bgColor indexed="64"/>
      </patternFill>
    </fill>
    <fill>
      <patternFill patternType="solid">
        <fgColor indexed="11"/>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8"/>
        <bgColor indexed="64"/>
      </patternFill>
    </fill>
    <fill>
      <patternFill patternType="solid">
        <fgColor indexed="65"/>
        <bgColor indexed="10"/>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8"/>
      </patternFill>
    </fill>
    <fill>
      <patternFill patternType="solid">
        <fgColor theme="9"/>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theme="9" tint="0.79998168889431442"/>
        <bgColor indexed="64"/>
      </patternFill>
    </fill>
    <fill>
      <patternFill patternType="solid">
        <fgColor rgb="FFEBF1DE"/>
        <bgColor indexed="64"/>
      </patternFill>
    </fill>
    <fill>
      <patternFill patternType="solid">
        <fgColor rgb="FFF2F2F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C99"/>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style="thick">
        <color theme="0"/>
      </left>
      <right/>
      <top/>
      <bottom/>
      <diagonal/>
    </border>
    <border>
      <left/>
      <right/>
      <top/>
      <bottom style="thick">
        <color theme="0"/>
      </bottom>
      <diagonal/>
    </border>
    <border>
      <left style="thick">
        <color theme="0"/>
      </left>
      <right/>
      <top style="thick">
        <color theme="0"/>
      </top>
      <bottom/>
      <diagonal/>
    </border>
    <border>
      <left/>
      <right/>
      <top style="thick">
        <color theme="0"/>
      </top>
      <bottom/>
      <diagonal/>
    </border>
    <border>
      <left style="thick">
        <color theme="0"/>
      </left>
      <right style="thin">
        <color indexed="64"/>
      </right>
      <top style="thin">
        <color indexed="64"/>
      </top>
      <bottom style="thin">
        <color indexed="64"/>
      </bottom>
      <diagonal/>
    </border>
    <border>
      <left/>
      <right style="thick">
        <color theme="0"/>
      </right>
      <top/>
      <bottom/>
      <diagonal/>
    </border>
    <border>
      <left style="thick">
        <color theme="0"/>
      </left>
      <right/>
      <top/>
      <bottom style="thick">
        <color theme="0"/>
      </bottom>
      <diagonal/>
    </border>
    <border>
      <left/>
      <right style="thick">
        <color theme="0"/>
      </right>
      <top/>
      <bottom style="thick">
        <color theme="0"/>
      </bottom>
      <diagonal/>
    </border>
    <border>
      <left/>
      <right/>
      <top/>
      <bottom style="thin">
        <color theme="0"/>
      </bottom>
      <diagonal/>
    </border>
    <border>
      <left style="thick">
        <color theme="0"/>
      </left>
      <right style="thin">
        <color indexed="64"/>
      </right>
      <top style="thin">
        <color indexed="64"/>
      </top>
      <bottom/>
      <diagonal/>
    </border>
    <border>
      <left style="thick">
        <color theme="0"/>
      </left>
      <right style="thin">
        <color indexed="64"/>
      </right>
      <top style="medium">
        <color indexed="64"/>
      </top>
      <bottom style="thin">
        <color indexed="64"/>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s>
  <cellStyleXfs count="86">
    <xf numFmtId="0" fontId="0" fillId="0" borderId="0"/>
    <xf numFmtId="0" fontId="32" fillId="15" borderId="0" applyNumberFormat="0" applyBorder="0" applyAlignment="0" applyProtection="0"/>
    <xf numFmtId="0" fontId="32" fillId="16" borderId="0" applyNumberFormat="0" applyBorder="0" applyAlignment="0" applyProtection="0"/>
    <xf numFmtId="0" fontId="32"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0" borderId="0" applyNumberFormat="0" applyBorder="0" applyAlignment="0" applyProtection="0"/>
    <xf numFmtId="0" fontId="33" fillId="21" borderId="0" applyNumberFormat="0" applyBorder="0" applyAlignment="0" applyProtection="0"/>
    <xf numFmtId="0" fontId="33" fillId="22" borderId="0" applyNumberFormat="0" applyBorder="0" applyAlignment="0" applyProtection="0"/>
    <xf numFmtId="0" fontId="33" fillId="23" borderId="0" applyNumberFormat="0" applyBorder="0" applyAlignment="0" applyProtection="0"/>
    <xf numFmtId="0" fontId="33" fillId="24" borderId="0" applyNumberFormat="0" applyBorder="0" applyAlignment="0" applyProtection="0"/>
    <xf numFmtId="0" fontId="33" fillId="25" borderId="0" applyNumberFormat="0" applyBorder="0" applyAlignment="0" applyProtection="0"/>
    <xf numFmtId="0" fontId="3" fillId="2" borderId="1">
      <alignment horizontal="center" vertical="center"/>
    </xf>
    <xf numFmtId="0" fontId="34" fillId="26" borderId="16" applyNumberFormat="0" applyAlignment="0" applyProtection="0"/>
    <xf numFmtId="0" fontId="35" fillId="26" borderId="16" applyNumberFormat="0" applyAlignment="0" applyProtection="0"/>
    <xf numFmtId="0" fontId="36" fillId="27" borderId="17" applyNumberFormat="0" applyAlignment="0" applyProtection="0"/>
    <xf numFmtId="0" fontId="2" fillId="0" borderId="1"/>
    <xf numFmtId="0" fontId="5" fillId="0" borderId="1"/>
    <xf numFmtId="0" fontId="5" fillId="0" borderId="1"/>
    <xf numFmtId="0" fontId="5" fillId="0" borderId="1"/>
    <xf numFmtId="0" fontId="5" fillId="0" borderId="1"/>
    <xf numFmtId="0" fontId="5" fillId="0" borderId="1"/>
    <xf numFmtId="0" fontId="26" fillId="0" borderId="1"/>
    <xf numFmtId="0" fontId="37" fillId="0" borderId="0" applyNumberFormat="0" applyFill="0" applyBorder="0" applyAlignment="0" applyProtection="0"/>
    <xf numFmtId="0" fontId="38" fillId="0" borderId="0" applyNumberFormat="0" applyFill="0" applyBorder="0" applyAlignment="0" applyProtection="0"/>
    <xf numFmtId="0" fontId="25" fillId="0" borderId="0" applyNumberFormat="0" applyFill="0" applyBorder="0" applyAlignment="0" applyProtection="0">
      <alignment vertical="top"/>
      <protection locked="0"/>
    </xf>
    <xf numFmtId="0" fontId="2" fillId="3" borderId="1">
      <alignment horizontal="center"/>
    </xf>
    <xf numFmtId="0" fontId="5" fillId="3" borderId="1">
      <alignment horizontal="center"/>
    </xf>
    <xf numFmtId="0" fontId="5" fillId="3" borderId="1">
      <alignment horizontal="center"/>
    </xf>
    <xf numFmtId="0" fontId="5" fillId="3" borderId="1">
      <alignment horizontal="center"/>
    </xf>
    <xf numFmtId="0" fontId="39" fillId="28" borderId="16" applyNumberFormat="0" applyAlignment="0" applyProtection="0"/>
    <xf numFmtId="0" fontId="3" fillId="4" borderId="1">
      <alignment horizontal="center" vertical="center"/>
    </xf>
    <xf numFmtId="0" fontId="3" fillId="5" borderId="1">
      <alignment horizontal="center"/>
    </xf>
    <xf numFmtId="0" fontId="5" fillId="0" borderId="0"/>
    <xf numFmtId="0" fontId="5" fillId="0" borderId="0"/>
    <xf numFmtId="0" fontId="5" fillId="0" borderId="0"/>
    <xf numFmtId="0" fontId="5" fillId="0" borderId="0"/>
    <xf numFmtId="0" fontId="5" fillId="0" borderId="0"/>
    <xf numFmtId="10" fontId="23" fillId="0" borderId="0"/>
    <xf numFmtId="0" fontId="2" fillId="0" borderId="0"/>
    <xf numFmtId="0" fontId="3" fillId="6" borderId="1">
      <alignment horizontal="center"/>
    </xf>
    <xf numFmtId="0" fontId="40" fillId="26" borderId="18" applyNumberFormat="0" applyAlignment="0" applyProtection="0"/>
    <xf numFmtId="0" fontId="5" fillId="0" borderId="0"/>
    <xf numFmtId="0" fontId="5" fillId="0" borderId="0"/>
    <xf numFmtId="10" fontId="2" fillId="0" borderId="0" applyFont="0" applyFill="0" applyBorder="0" applyAlignment="0" applyProtection="0"/>
    <xf numFmtId="9" fontId="5" fillId="0" borderId="0" applyFont="0" applyFill="0" applyBorder="0" applyAlignment="0" applyProtection="0"/>
    <xf numFmtId="0" fontId="19" fillId="0" borderId="0">
      <alignment horizontal="center"/>
    </xf>
    <xf numFmtId="0" fontId="19" fillId="0" borderId="1"/>
    <xf numFmtId="0" fontId="3" fillId="0" borderId="0"/>
    <xf numFmtId="0" fontId="20"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3" fillId="0" borderId="1">
      <alignment horizontal="center" textRotation="60"/>
    </xf>
    <xf numFmtId="0" fontId="12" fillId="7" borderId="1">
      <alignment horizontal="center"/>
    </xf>
    <xf numFmtId="0" fontId="41" fillId="0" borderId="0" applyNumberFormat="0" applyFill="0" applyBorder="0" applyAlignment="0" applyProtection="0"/>
    <xf numFmtId="0" fontId="8" fillId="0" borderId="2"/>
    <xf numFmtId="0" fontId="42" fillId="0" borderId="0" applyNumberFormat="0" applyFill="0" applyBorder="0" applyAlignment="0" applyProtection="0"/>
    <xf numFmtId="49" fontId="2" fillId="0" borderId="1">
      <alignment horizontal="center"/>
    </xf>
    <xf numFmtId="0" fontId="5" fillId="0" borderId="1">
      <alignment horizontal="center"/>
    </xf>
    <xf numFmtId="0" fontId="5" fillId="0" borderId="1">
      <alignment horizontal="center"/>
    </xf>
    <xf numFmtId="0" fontId="5" fillId="0" borderId="1">
      <alignment horizontal="center"/>
    </xf>
    <xf numFmtId="0" fontId="5" fillId="0" borderId="1">
      <alignment horizontal="center"/>
    </xf>
    <xf numFmtId="0" fontId="5" fillId="0" borderId="1">
      <alignment horizontal="center"/>
    </xf>
    <xf numFmtId="0" fontId="26" fillId="0" borderId="1">
      <alignment horizontal="center"/>
    </xf>
  </cellStyleXfs>
  <cellXfs count="323">
    <xf numFmtId="0" fontId="0" fillId="0" borderId="0" xfId="0"/>
    <xf numFmtId="0" fontId="0" fillId="0" borderId="0" xfId="0" applyAlignment="1">
      <alignment vertical="center"/>
    </xf>
    <xf numFmtId="0" fontId="0" fillId="0" borderId="0" xfId="0" applyAlignment="1" applyProtection="1">
      <alignment vertical="center"/>
    </xf>
    <xf numFmtId="0" fontId="6" fillId="0" borderId="0" xfId="0" applyFont="1" applyFill="1" applyAlignment="1" applyProtection="1">
      <alignment vertical="center" wrapText="1"/>
    </xf>
    <xf numFmtId="164" fontId="6" fillId="0" borderId="0" xfId="0" applyNumberFormat="1" applyFont="1" applyFill="1" applyBorder="1" applyAlignment="1" applyProtection="1">
      <alignment horizontal="center" vertical="center" wrapText="1"/>
    </xf>
    <xf numFmtId="20" fontId="6" fillId="0" borderId="0" xfId="0" applyNumberFormat="1" applyFont="1" applyFill="1" applyBorder="1" applyAlignment="1" applyProtection="1">
      <alignment vertical="center" wrapText="1"/>
    </xf>
    <xf numFmtId="0" fontId="6" fillId="0" borderId="0" xfId="0" applyFont="1" applyFill="1" applyBorder="1" applyAlignment="1" applyProtection="1">
      <alignment horizontal="left" vertical="center" wrapText="1"/>
    </xf>
    <xf numFmtId="0" fontId="2" fillId="0" borderId="0" xfId="0" applyFont="1" applyFill="1" applyAlignment="1" applyProtection="1">
      <alignment vertical="center"/>
    </xf>
    <xf numFmtId="0" fontId="0" fillId="0" borderId="0" xfId="0" applyBorder="1" applyAlignment="1" applyProtection="1">
      <alignment vertical="center"/>
    </xf>
    <xf numFmtId="0" fontId="2" fillId="0" borderId="0" xfId="0" applyFont="1" applyFill="1" applyBorder="1" applyAlignment="1" applyProtection="1">
      <alignment vertical="center"/>
    </xf>
    <xf numFmtId="0" fontId="43" fillId="0" borderId="0" xfId="0" applyFont="1" applyFill="1" applyBorder="1" applyAlignment="1" applyProtection="1">
      <alignment horizontal="right" vertical="center"/>
    </xf>
    <xf numFmtId="0" fontId="7" fillId="0" borderId="0" xfId="0" applyFont="1" applyBorder="1" applyAlignment="1" applyProtection="1">
      <alignment horizontal="left" vertical="center" wrapText="1"/>
    </xf>
    <xf numFmtId="0" fontId="5" fillId="0" borderId="0" xfId="0" applyFont="1" applyFill="1" applyBorder="1" applyAlignment="1" applyProtection="1">
      <alignment vertical="center" shrinkToFit="1"/>
    </xf>
    <xf numFmtId="0" fontId="5" fillId="0" borderId="0" xfId="0" applyFont="1" applyBorder="1" applyAlignment="1" applyProtection="1">
      <alignment vertical="center" shrinkToFit="1"/>
    </xf>
    <xf numFmtId="0" fontId="5" fillId="0" borderId="0" xfId="0" applyFont="1" applyFill="1" applyAlignment="1" applyProtection="1">
      <alignment vertical="center" shrinkToFit="1"/>
    </xf>
    <xf numFmtId="0" fontId="5" fillId="0" borderId="0" xfId="0" applyFont="1" applyAlignment="1" applyProtection="1">
      <alignment vertical="center" shrinkToFit="1"/>
    </xf>
    <xf numFmtId="0" fontId="2" fillId="0" borderId="0" xfId="0" applyFont="1" applyFill="1" applyAlignment="1" applyProtection="1">
      <alignment vertical="center"/>
      <protection locked="0"/>
    </xf>
    <xf numFmtId="0" fontId="0" fillId="0" borderId="0" xfId="0" applyAlignment="1" applyProtection="1">
      <alignment vertical="center"/>
      <protection locked="0"/>
    </xf>
    <xf numFmtId="0" fontId="5" fillId="0" borderId="0" xfId="0" applyFont="1" applyFill="1" applyAlignment="1" applyProtection="1">
      <alignment vertical="center"/>
      <protection locked="0"/>
    </xf>
    <xf numFmtId="0" fontId="5" fillId="0" borderId="0" xfId="0" applyFont="1" applyAlignment="1" applyProtection="1">
      <alignment vertical="center"/>
      <protection locked="0"/>
    </xf>
    <xf numFmtId="0" fontId="44" fillId="0" borderId="19" xfId="0" applyFont="1" applyBorder="1" applyAlignment="1" applyProtection="1">
      <alignment vertical="center"/>
      <protection locked="0"/>
    </xf>
    <xf numFmtId="0" fontId="0" fillId="0" borderId="19" xfId="0" applyBorder="1" applyAlignment="1" applyProtection="1">
      <alignment vertical="center"/>
      <protection locked="0"/>
    </xf>
    <xf numFmtId="0" fontId="13" fillId="0" borderId="0" xfId="0" applyFont="1" applyAlignment="1" applyProtection="1">
      <alignment horizontal="left" vertical="center"/>
      <protection locked="0"/>
    </xf>
    <xf numFmtId="0" fontId="8" fillId="0" borderId="0" xfId="0" applyFont="1" applyAlignment="1" applyProtection="1">
      <alignment horizontal="left" vertical="center"/>
      <protection locked="0"/>
    </xf>
    <xf numFmtId="0" fontId="5" fillId="0" borderId="0" xfId="0" applyFont="1" applyAlignment="1" applyProtection="1">
      <alignment horizontal="left" vertical="center"/>
      <protection locked="0"/>
    </xf>
    <xf numFmtId="0" fontId="10" fillId="0" borderId="0" xfId="0" applyFont="1" applyAlignment="1" applyProtection="1">
      <alignment vertical="center"/>
      <protection locked="0"/>
    </xf>
    <xf numFmtId="0" fontId="3" fillId="0" borderId="0" xfId="0" applyFont="1" applyAlignment="1" applyProtection="1">
      <alignment vertical="center"/>
      <protection locked="0"/>
    </xf>
    <xf numFmtId="49" fontId="17" fillId="0" borderId="0" xfId="0" applyNumberFormat="1" applyFont="1" applyFill="1" applyBorder="1" applyAlignment="1" applyProtection="1">
      <alignment horizontal="left" vertical="center"/>
      <protection locked="0"/>
    </xf>
    <xf numFmtId="49" fontId="5" fillId="0" borderId="0" xfId="0" applyNumberFormat="1" applyFont="1" applyFill="1" applyBorder="1" applyAlignment="1">
      <alignment horizontal="center" vertical="center" wrapText="1"/>
    </xf>
    <xf numFmtId="49" fontId="5" fillId="0" borderId="0" xfId="0" applyNumberFormat="1" applyFont="1" applyFill="1" applyBorder="1" applyAlignment="1" applyProtection="1">
      <alignment horizontal="left" vertical="center" wrapText="1"/>
      <protection locked="0"/>
    </xf>
    <xf numFmtId="49" fontId="5" fillId="0" borderId="0" xfId="0" applyNumberFormat="1" applyFont="1" applyFill="1" applyBorder="1" applyAlignment="1">
      <alignment horizontal="left" vertical="center" wrapText="1"/>
    </xf>
    <xf numFmtId="49" fontId="15"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6" fillId="0" borderId="0" xfId="0" applyFont="1" applyAlignment="1" applyProtection="1">
      <alignment horizontal="left" vertical="center"/>
      <protection locked="0"/>
    </xf>
    <xf numFmtId="0" fontId="0" fillId="0" borderId="0" xfId="0" applyBorder="1" applyAlignment="1">
      <alignment horizontal="left" vertical="center" wrapText="1"/>
    </xf>
    <xf numFmtId="0" fontId="44" fillId="0" borderId="3" xfId="0" applyFont="1" applyBorder="1" applyAlignment="1" applyProtection="1">
      <alignment vertical="center"/>
      <protection locked="0"/>
    </xf>
    <xf numFmtId="49" fontId="5"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4" fillId="0" borderId="0" xfId="0" applyFont="1" applyBorder="1" applyAlignment="1" applyProtection="1">
      <alignment vertical="center"/>
      <protection locked="0"/>
    </xf>
    <xf numFmtId="49" fontId="5"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5"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5" fillId="0" borderId="0" xfId="0" applyFont="1" applyFill="1" applyAlignment="1" applyProtection="1">
      <alignment vertical="center"/>
    </xf>
    <xf numFmtId="0" fontId="5" fillId="0" borderId="0" xfId="0" applyFont="1" applyAlignment="1" applyProtection="1">
      <alignment vertical="center"/>
    </xf>
    <xf numFmtId="0" fontId="12" fillId="0" borderId="0" xfId="0" applyFont="1" applyBorder="1" applyAlignment="1" applyProtection="1">
      <alignment horizontal="left" vertical="center" shrinkToFit="1"/>
    </xf>
    <xf numFmtId="0" fontId="3" fillId="0" borderId="0" xfId="0" applyFont="1" applyBorder="1" applyAlignment="1" applyProtection="1">
      <alignment horizontal="left" vertical="center" shrinkToFit="1"/>
    </xf>
    <xf numFmtId="0" fontId="5" fillId="0" borderId="0" xfId="0" applyFont="1" applyFill="1" applyAlignment="1" applyProtection="1">
      <alignment vertical="center" shrinkToFit="1"/>
      <protection locked="0"/>
    </xf>
    <xf numFmtId="0" fontId="5" fillId="0" borderId="0" xfId="0" applyFont="1" applyAlignment="1" applyProtection="1">
      <alignment vertical="center" shrinkToFit="1"/>
      <protection locked="0"/>
    </xf>
    <xf numFmtId="0" fontId="45" fillId="0" borderId="4" xfId="0" applyFont="1" applyFill="1" applyBorder="1" applyAlignment="1" applyProtection="1">
      <alignment horizontal="left" vertical="center" wrapText="1" shrinkToFit="1"/>
      <protection locked="0"/>
    </xf>
    <xf numFmtId="0" fontId="46" fillId="0" borderId="0" xfId="0" applyFont="1" applyFill="1" applyBorder="1" applyAlignment="1" applyProtection="1">
      <alignment horizontal="left" vertical="center" shrinkToFit="1"/>
      <protection locked="0"/>
    </xf>
    <xf numFmtId="0" fontId="45" fillId="0" borderId="0" xfId="0" applyFont="1" applyFill="1" applyBorder="1" applyAlignment="1" applyProtection="1">
      <alignment horizontal="left" vertical="center" wrapText="1" shrinkToFit="1"/>
      <protection locked="0"/>
    </xf>
    <xf numFmtId="0" fontId="46" fillId="0" borderId="5" xfId="0" applyFont="1" applyFill="1" applyBorder="1" applyAlignment="1" applyProtection="1">
      <alignment horizontal="left" vertical="center" shrinkToFit="1"/>
      <protection locked="0"/>
    </xf>
    <xf numFmtId="0" fontId="2"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1" fillId="0" borderId="0" xfId="0" applyFont="1" applyFill="1" applyAlignment="1" applyProtection="1">
      <alignment horizontal="center" vertical="center"/>
      <protection locked="0"/>
    </xf>
    <xf numFmtId="0" fontId="47" fillId="0" borderId="0" xfId="0" quotePrefix="1" applyFont="1" applyFill="1" applyBorder="1" applyAlignment="1" applyProtection="1">
      <alignment horizontal="right" vertical="center"/>
    </xf>
    <xf numFmtId="0" fontId="0" fillId="0" borderId="0" xfId="0" applyAlignment="1">
      <alignment horizontal="left" vertical="center"/>
    </xf>
    <xf numFmtId="0" fontId="18" fillId="0" borderId="0" xfId="0" applyFont="1" applyBorder="1" applyAlignment="1">
      <alignment horizontal="center" vertical="center" wrapText="1"/>
    </xf>
    <xf numFmtId="0" fontId="0" fillId="0" borderId="0" xfId="0" applyAlignment="1">
      <alignment horizontal="left" vertical="top"/>
    </xf>
    <xf numFmtId="0" fontId="0" fillId="0" borderId="0" xfId="0" applyBorder="1" applyAlignment="1">
      <alignment vertical="center" wrapText="1"/>
    </xf>
    <xf numFmtId="0" fontId="9" fillId="8" borderId="1" xfId="74" applyFont="1" applyFill="1">
      <alignment horizontal="center" textRotation="60"/>
    </xf>
    <xf numFmtId="49" fontId="22" fillId="0" borderId="0" xfId="0" applyNumberFormat="1" applyFont="1" applyFill="1" applyAlignment="1">
      <alignment horizontal="center" vertical="center" wrapText="1"/>
    </xf>
    <xf numFmtId="49" fontId="22" fillId="9" borderId="0" xfId="0" applyNumberFormat="1" applyFont="1" applyFill="1" applyBorder="1" applyAlignment="1">
      <alignment horizontal="center" vertical="center" wrapText="1"/>
    </xf>
    <xf numFmtId="49" fontId="22" fillId="5" borderId="0" xfId="0" applyNumberFormat="1" applyFont="1" applyFill="1" applyBorder="1" applyAlignment="1">
      <alignment horizontal="center" vertical="center" wrapText="1"/>
    </xf>
    <xf numFmtId="0" fontId="22" fillId="2" borderId="0" xfId="12" applyFont="1" applyBorder="1" applyAlignment="1">
      <alignment horizontal="center" vertical="center" wrapText="1"/>
    </xf>
    <xf numFmtId="0" fontId="22" fillId="4" borderId="0" xfId="31" applyFont="1" applyBorder="1" applyAlignment="1">
      <alignment horizontal="center" vertical="center" wrapText="1"/>
    </xf>
    <xf numFmtId="0" fontId="8" fillId="0" borderId="2" xfId="77" applyFont="1" applyFill="1"/>
    <xf numFmtId="0" fontId="0" fillId="0" borderId="0" xfId="0" applyFill="1"/>
    <xf numFmtId="0" fontId="19" fillId="0" borderId="1" xfId="47"/>
    <xf numFmtId="0" fontId="3" fillId="0" borderId="0" xfId="48"/>
    <xf numFmtId="0" fontId="20" fillId="0" borderId="0" xfId="49"/>
    <xf numFmtId="0" fontId="2" fillId="0" borderId="0" xfId="50"/>
    <xf numFmtId="0" fontId="2" fillId="0" borderId="0" xfId="54"/>
    <xf numFmtId="0" fontId="2" fillId="0" borderId="0" xfId="58"/>
    <xf numFmtId="0" fontId="2" fillId="0" borderId="0" xfId="62"/>
    <xf numFmtId="0" fontId="2" fillId="0" borderId="0" xfId="66"/>
    <xf numFmtId="0" fontId="2" fillId="0" borderId="0" xfId="70"/>
    <xf numFmtId="0" fontId="2" fillId="0" borderId="1" xfId="16" applyFont="1"/>
    <xf numFmtId="49" fontId="2" fillId="0" borderId="1" xfId="79">
      <alignment horizontal="center"/>
    </xf>
    <xf numFmtId="0" fontId="3" fillId="6" borderId="1" xfId="40">
      <alignment horizontal="center"/>
    </xf>
    <xf numFmtId="0" fontId="3" fillId="5" borderId="1" xfId="32">
      <alignment horizontal="center"/>
    </xf>
    <xf numFmtId="0" fontId="2" fillId="3" borderId="1" xfId="26">
      <alignment horizontal="center"/>
    </xf>
    <xf numFmtId="0" fontId="12" fillId="7" borderId="1" xfId="75">
      <alignment horizontal="center"/>
    </xf>
    <xf numFmtId="0" fontId="3" fillId="2" borderId="1" xfId="12">
      <alignment horizontal="center" vertical="center"/>
    </xf>
    <xf numFmtId="0" fontId="3" fillId="4" borderId="1" xfId="31" applyFont="1">
      <alignment horizontal="center" vertical="center"/>
    </xf>
    <xf numFmtId="0" fontId="0" fillId="29" borderId="0" xfId="0" applyFill="1" applyAlignment="1">
      <alignment vertical="center"/>
    </xf>
    <xf numFmtId="0" fontId="19" fillId="29" borderId="0" xfId="0" applyFont="1" applyFill="1" applyAlignment="1">
      <alignment vertical="center" textRotation="60"/>
    </xf>
    <xf numFmtId="0" fontId="12" fillId="0" borderId="0" xfId="0" applyFont="1" applyAlignment="1" applyProtection="1">
      <alignment vertical="center"/>
      <protection locked="0"/>
    </xf>
    <xf numFmtId="0" fontId="11" fillId="0" borderId="0" xfId="0" applyFont="1" applyFill="1" applyAlignment="1" applyProtection="1">
      <alignment vertical="center" wrapText="1"/>
      <protection locked="0"/>
    </xf>
    <xf numFmtId="0" fontId="12" fillId="0" borderId="0" xfId="0" applyFont="1" applyAlignment="1">
      <alignment vertical="center" wrapText="1"/>
    </xf>
    <xf numFmtId="0" fontId="11" fillId="0" borderId="0" xfId="0" applyFont="1" applyAlignment="1">
      <alignment vertical="center" wrapText="1"/>
    </xf>
    <xf numFmtId="0" fontId="11" fillId="0" borderId="0" xfId="0" applyFont="1" applyBorder="1" applyAlignment="1">
      <alignment vertical="center"/>
    </xf>
    <xf numFmtId="0" fontId="11" fillId="0" borderId="0" xfId="0" applyFont="1" applyBorder="1" applyAlignment="1">
      <alignment vertical="center" wrapText="1"/>
    </xf>
    <xf numFmtId="0" fontId="12" fillId="0" borderId="0" xfId="0" applyFont="1" applyFill="1" applyAlignment="1" applyProtection="1">
      <alignment vertical="center"/>
      <protection locked="0"/>
    </xf>
    <xf numFmtId="0" fontId="48" fillId="0" borderId="0" xfId="0" applyFont="1"/>
    <xf numFmtId="0" fontId="3" fillId="29" borderId="0" xfId="0" applyFont="1" applyFill="1" applyAlignment="1">
      <alignment horizontal="center" vertical="center"/>
    </xf>
    <xf numFmtId="1" fontId="3" fillId="10" borderId="8" xfId="0" applyNumberFormat="1" applyFont="1" applyFill="1" applyBorder="1" applyAlignment="1">
      <alignment horizontal="center" vertical="center"/>
    </xf>
    <xf numFmtId="0" fontId="3" fillId="10" borderId="8" xfId="0" applyNumberFormat="1" applyFont="1" applyFill="1" applyBorder="1" applyAlignment="1">
      <alignment horizontal="center" vertical="center"/>
    </xf>
    <xf numFmtId="0" fontId="3" fillId="11" borderId="8" xfId="0" applyFont="1" applyFill="1" applyBorder="1" applyAlignment="1">
      <alignment horizontal="center" vertical="center"/>
    </xf>
    <xf numFmtId="0" fontId="34" fillId="26" borderId="1" xfId="13" applyNumberFormat="1" applyBorder="1" applyAlignment="1">
      <alignment horizontal="center" vertical="center"/>
    </xf>
    <xf numFmtId="0" fontId="49" fillId="26" borderId="1" xfId="13" applyNumberFormat="1" applyFont="1" applyBorder="1" applyAlignment="1">
      <alignment horizontal="center" vertical="center"/>
    </xf>
    <xf numFmtId="0" fontId="50" fillId="26" borderId="1" xfId="13" applyNumberFormat="1" applyFont="1" applyBorder="1" applyAlignment="1">
      <alignment horizontal="center" vertical="center"/>
    </xf>
    <xf numFmtId="1" fontId="51" fillId="26" borderId="1" xfId="13" applyNumberFormat="1" applyFont="1" applyBorder="1" applyAlignment="1">
      <alignment horizontal="center" vertical="center"/>
    </xf>
    <xf numFmtId="1" fontId="34" fillId="26" borderId="1" xfId="13" applyNumberFormat="1" applyBorder="1" applyAlignment="1">
      <alignment horizontal="center" vertical="center"/>
    </xf>
    <xf numFmtId="2" fontId="3" fillId="29" borderId="0" xfId="0" applyNumberFormat="1" applyFont="1" applyFill="1" applyAlignment="1">
      <alignment horizontal="center" vertical="center"/>
    </xf>
    <xf numFmtId="0" fontId="0" fillId="0" borderId="0" xfId="0" applyNumberFormat="1" applyFill="1" applyAlignment="1">
      <alignment vertical="center"/>
    </xf>
    <xf numFmtId="0" fontId="32" fillId="17" borderId="0" xfId="3" applyNumberFormat="1" applyBorder="1" applyAlignment="1">
      <alignment horizontal="center" vertical="center"/>
    </xf>
    <xf numFmtId="0" fontId="32" fillId="31" borderId="0" xfId="3" applyNumberFormat="1" applyFill="1" applyBorder="1" applyAlignment="1">
      <alignment vertical="center"/>
    </xf>
    <xf numFmtId="0" fontId="32" fillId="17" borderId="0" xfId="3" applyNumberFormat="1" applyBorder="1" applyAlignment="1">
      <alignment vertical="center"/>
    </xf>
    <xf numFmtId="0" fontId="32" fillId="17" borderId="20" xfId="3" applyNumberFormat="1" applyBorder="1" applyAlignment="1">
      <alignment horizontal="left" vertical="center"/>
    </xf>
    <xf numFmtId="0" fontId="32" fillId="17" borderId="20" xfId="3" applyNumberFormat="1" applyBorder="1" applyAlignment="1">
      <alignment vertical="center"/>
    </xf>
    <xf numFmtId="0" fontId="32" fillId="17" borderId="21" xfId="3" applyNumberFormat="1" applyBorder="1" applyAlignment="1">
      <alignment horizontal="center" vertical="center"/>
    </xf>
    <xf numFmtId="0" fontId="41" fillId="30" borderId="22" xfId="76" applyFill="1" applyBorder="1" applyAlignment="1">
      <alignment vertical="center"/>
    </xf>
    <xf numFmtId="0" fontId="41" fillId="30" borderId="23" xfId="76" applyFill="1" applyBorder="1" applyAlignment="1">
      <alignment vertical="center"/>
    </xf>
    <xf numFmtId="0" fontId="0" fillId="30" borderId="0" xfId="0" applyNumberFormat="1" applyFill="1" applyBorder="1" applyAlignment="1">
      <alignment horizontal="center" vertical="center"/>
    </xf>
    <xf numFmtId="0" fontId="41" fillId="30" borderId="0" xfId="76" applyFill="1" applyBorder="1" applyAlignment="1">
      <alignment vertical="center"/>
    </xf>
    <xf numFmtId="0" fontId="53" fillId="30" borderId="0" xfId="23" applyNumberFormat="1" applyFont="1" applyFill="1" applyBorder="1" applyAlignment="1">
      <alignment horizontal="left" vertical="center"/>
    </xf>
    <xf numFmtId="0" fontId="0" fillId="30" borderId="0" xfId="0" applyNumberFormat="1" applyFill="1" applyBorder="1" applyAlignment="1">
      <alignment horizontal="right" vertical="center"/>
    </xf>
    <xf numFmtId="0" fontId="41" fillId="30" borderId="20" xfId="76" applyFill="1" applyBorder="1" applyAlignment="1">
      <alignment vertical="center"/>
    </xf>
    <xf numFmtId="0" fontId="32" fillId="20" borderId="24" xfId="6" applyNumberFormat="1" applyBorder="1" applyAlignment="1">
      <alignment horizontal="left" vertical="center" wrapText="1"/>
    </xf>
    <xf numFmtId="0" fontId="24" fillId="30" borderId="20" xfId="0" applyNumberFormat="1" applyFont="1" applyFill="1" applyBorder="1" applyAlignment="1">
      <alignment horizontal="center" vertical="center"/>
    </xf>
    <xf numFmtId="0" fontId="0" fillId="29" borderId="20" xfId="0" applyFill="1" applyBorder="1" applyAlignment="1">
      <alignment horizontal="center" vertical="center"/>
    </xf>
    <xf numFmtId="1" fontId="0" fillId="29" borderId="0" xfId="0" applyNumberFormat="1" applyFill="1" applyBorder="1" applyAlignment="1">
      <alignment horizontal="center" vertical="center"/>
    </xf>
    <xf numFmtId="0" fontId="0" fillId="29" borderId="0" xfId="0" applyNumberFormat="1" applyFill="1" applyBorder="1" applyAlignment="1">
      <alignment horizontal="center" vertical="center"/>
    </xf>
    <xf numFmtId="10" fontId="0" fillId="29" borderId="0" xfId="0" applyNumberFormat="1" applyFill="1" applyBorder="1" applyAlignment="1">
      <alignment horizontal="center" vertical="center"/>
    </xf>
    <xf numFmtId="0" fontId="0" fillId="29" borderId="0" xfId="0" applyNumberFormat="1" applyFill="1" applyBorder="1" applyAlignment="1">
      <alignment horizontal="right" vertical="center"/>
    </xf>
    <xf numFmtId="0" fontId="0" fillId="29" borderId="0" xfId="0" applyFill="1" applyBorder="1" applyAlignment="1">
      <alignment vertical="center"/>
    </xf>
    <xf numFmtId="0" fontId="0" fillId="29" borderId="0" xfId="0" applyFill="1" applyBorder="1" applyAlignment="1">
      <alignment horizontal="right" vertical="center"/>
    </xf>
    <xf numFmtId="0" fontId="0" fillId="29" borderId="25" xfId="0" applyFill="1" applyBorder="1" applyAlignment="1">
      <alignment vertical="center"/>
    </xf>
    <xf numFmtId="0" fontId="32" fillId="17" borderId="25" xfId="3" applyNumberFormat="1" applyBorder="1" applyAlignment="1">
      <alignment horizontal="left" vertical="center"/>
    </xf>
    <xf numFmtId="0" fontId="32" fillId="17" borderId="25" xfId="3" applyNumberFormat="1" applyBorder="1" applyAlignment="1">
      <alignment horizontal="center" vertical="center"/>
    </xf>
    <xf numFmtId="0" fontId="32" fillId="17" borderId="26" xfId="3" applyNumberFormat="1" applyBorder="1" applyAlignment="1">
      <alignment vertical="center"/>
    </xf>
    <xf numFmtId="0" fontId="32" fillId="17" borderId="21" xfId="3" applyNumberFormat="1" applyBorder="1" applyAlignment="1">
      <alignment vertical="center"/>
    </xf>
    <xf numFmtId="0" fontId="32" fillId="17" borderId="27" xfId="3" applyNumberFormat="1" applyBorder="1" applyAlignment="1">
      <alignment horizontal="center" vertical="center"/>
    </xf>
    <xf numFmtId="0" fontId="32" fillId="18" borderId="20" xfId="4" applyNumberFormat="1" applyBorder="1" applyAlignment="1">
      <alignment horizontal="left" vertical="center"/>
    </xf>
    <xf numFmtId="0" fontId="32" fillId="18" borderId="0" xfId="4" applyNumberFormat="1" applyBorder="1" applyAlignment="1">
      <alignment horizontal="left" vertical="center"/>
    </xf>
    <xf numFmtId="0" fontId="32" fillId="18" borderId="25" xfId="4" applyNumberFormat="1" applyBorder="1" applyAlignment="1">
      <alignment horizontal="left" vertical="center"/>
    </xf>
    <xf numFmtId="0" fontId="32" fillId="18" borderId="20" xfId="4" applyNumberFormat="1" applyBorder="1" applyAlignment="1">
      <alignment horizontal="right" vertical="center"/>
    </xf>
    <xf numFmtId="0" fontId="32" fillId="18" borderId="0" xfId="4" applyNumberFormat="1" applyBorder="1" applyAlignment="1">
      <alignment horizontal="right" vertical="center"/>
    </xf>
    <xf numFmtId="0" fontId="32" fillId="18" borderId="0" xfId="4" applyNumberFormat="1" applyBorder="1" applyAlignment="1">
      <alignment horizontal="center" vertical="center"/>
    </xf>
    <xf numFmtId="0" fontId="32" fillId="18" borderId="25" xfId="4" applyNumberFormat="1" applyBorder="1" applyAlignment="1">
      <alignment horizontal="right" vertical="center"/>
    </xf>
    <xf numFmtId="0" fontId="24" fillId="29" borderId="0" xfId="0" applyFont="1" applyFill="1" applyAlignment="1">
      <alignment vertical="center"/>
    </xf>
    <xf numFmtId="0" fontId="32" fillId="19" borderId="28" xfId="5" applyNumberFormat="1" applyBorder="1" applyAlignment="1">
      <alignment horizontal="right" vertical="center"/>
    </xf>
    <xf numFmtId="0" fontId="32" fillId="19" borderId="0" xfId="5" applyBorder="1" applyAlignment="1">
      <alignment horizontal="center" vertical="center"/>
    </xf>
    <xf numFmtId="1" fontId="32" fillId="19" borderId="21" xfId="5" applyNumberFormat="1" applyBorder="1" applyAlignment="1">
      <alignment horizontal="center" vertical="center"/>
    </xf>
    <xf numFmtId="0" fontId="32" fillId="19" borderId="21" xfId="5" applyNumberFormat="1" applyBorder="1" applyAlignment="1">
      <alignment horizontal="center" vertical="center"/>
    </xf>
    <xf numFmtId="10" fontId="32" fillId="19" borderId="21" xfId="5" applyNumberFormat="1" applyBorder="1" applyAlignment="1">
      <alignment horizontal="center" vertical="center"/>
    </xf>
    <xf numFmtId="0" fontId="32" fillId="19" borderId="21" xfId="5" applyNumberFormat="1" applyBorder="1" applyAlignment="1">
      <alignment horizontal="right" vertical="center"/>
    </xf>
    <xf numFmtId="0" fontId="32" fillId="19" borderId="21" xfId="5" applyBorder="1" applyAlignment="1">
      <alignment vertical="center"/>
    </xf>
    <xf numFmtId="0" fontId="32" fillId="19" borderId="21" xfId="5" applyBorder="1" applyAlignment="1">
      <alignment horizontal="right" vertical="center"/>
    </xf>
    <xf numFmtId="1" fontId="32" fillId="19" borderId="0" xfId="5" applyNumberFormat="1" applyBorder="1" applyAlignment="1">
      <alignment horizontal="center" vertical="center"/>
    </xf>
    <xf numFmtId="0" fontId="32" fillId="19" borderId="0" xfId="5" applyNumberFormat="1" applyBorder="1" applyAlignment="1">
      <alignment horizontal="center" vertical="center"/>
    </xf>
    <xf numFmtId="10" fontId="32" fillId="19" borderId="0" xfId="5" applyNumberFormat="1" applyBorder="1" applyAlignment="1">
      <alignment horizontal="center" vertical="center"/>
    </xf>
    <xf numFmtId="0" fontId="32" fillId="19" borderId="0" xfId="5" applyNumberFormat="1" applyBorder="1" applyAlignment="1">
      <alignment horizontal="right" vertical="center"/>
    </xf>
    <xf numFmtId="0" fontId="32" fillId="19" borderId="0" xfId="5" applyBorder="1" applyAlignment="1">
      <alignment vertical="center"/>
    </xf>
    <xf numFmtId="0" fontId="32" fillId="19" borderId="0" xfId="5" applyBorder="1" applyAlignment="1">
      <alignment horizontal="right" vertical="center"/>
    </xf>
    <xf numFmtId="0" fontId="32" fillId="19" borderId="21" xfId="5" applyBorder="1" applyAlignment="1">
      <alignment horizontal="center" vertical="center"/>
    </xf>
    <xf numFmtId="0" fontId="0" fillId="29" borderId="21" xfId="0" applyFill="1" applyBorder="1" applyAlignment="1">
      <alignment vertical="center"/>
    </xf>
    <xf numFmtId="0" fontId="41" fillId="17" borderId="20" xfId="76" applyNumberFormat="1" applyFill="1" applyBorder="1" applyAlignment="1">
      <alignment horizontal="left" vertical="center"/>
    </xf>
    <xf numFmtId="0" fontId="41" fillId="17" borderId="0" xfId="76" applyNumberFormat="1" applyFill="1" applyBorder="1" applyAlignment="1">
      <alignment horizontal="left" vertical="center"/>
    </xf>
    <xf numFmtId="0" fontId="41" fillId="18" borderId="20" xfId="76" applyNumberFormat="1" applyFill="1" applyBorder="1" applyAlignment="1">
      <alignment horizontal="left" vertical="center"/>
    </xf>
    <xf numFmtId="0" fontId="0" fillId="29" borderId="23" xfId="0" applyFill="1" applyBorder="1" applyAlignment="1">
      <alignment vertical="center"/>
    </xf>
    <xf numFmtId="0" fontId="21" fillId="10" borderId="29" xfId="24" applyFont="1" applyFill="1" applyBorder="1" applyAlignment="1">
      <alignment horizontal="left" vertical="center"/>
    </xf>
    <xf numFmtId="1" fontId="2" fillId="10" borderId="7" xfId="0" applyNumberFormat="1" applyFont="1" applyFill="1" applyBorder="1" applyAlignment="1">
      <alignment horizontal="center" vertical="center"/>
    </xf>
    <xf numFmtId="0" fontId="2" fillId="10" borderId="7" xfId="0" applyNumberFormat="1" applyFont="1" applyFill="1" applyBorder="1" applyAlignment="1">
      <alignment horizontal="center" vertical="center"/>
    </xf>
    <xf numFmtId="10" fontId="2" fillId="10" borderId="7" xfId="0" applyNumberFormat="1" applyFont="1" applyFill="1" applyBorder="1" applyAlignment="1">
      <alignment horizontal="center" vertical="center"/>
    </xf>
    <xf numFmtId="0" fontId="2" fillId="11" borderId="7" xfId="0" applyFont="1" applyFill="1" applyBorder="1" applyAlignment="1">
      <alignment horizontal="center" vertical="center"/>
    </xf>
    <xf numFmtId="2" fontId="54" fillId="25" borderId="1" xfId="11" applyNumberFormat="1" applyFont="1" applyBorder="1" applyAlignment="1">
      <alignment horizontal="center" vertical="center" wrapText="1"/>
    </xf>
    <xf numFmtId="0" fontId="55" fillId="19" borderId="20" xfId="5" applyFont="1" applyBorder="1" applyAlignment="1">
      <alignment horizontal="center" vertical="center"/>
    </xf>
    <xf numFmtId="0" fontId="55" fillId="19" borderId="0" xfId="5" applyFont="1" applyBorder="1" applyAlignment="1">
      <alignment horizontal="center" vertical="center"/>
    </xf>
    <xf numFmtId="0" fontId="55" fillId="25" borderId="24" xfId="11" applyFont="1" applyBorder="1" applyAlignment="1">
      <alignment horizontal="center" vertical="center" wrapText="1"/>
    </xf>
    <xf numFmtId="0" fontId="55" fillId="25" borderId="1" xfId="11" applyFont="1" applyBorder="1" applyAlignment="1">
      <alignment horizontal="center" vertical="center" wrapText="1"/>
    </xf>
    <xf numFmtId="0" fontId="55" fillId="25" borderId="30" xfId="11" applyFont="1" applyBorder="1" applyAlignment="1">
      <alignment horizontal="center" vertical="center" wrapText="1"/>
    </xf>
    <xf numFmtId="2" fontId="55" fillId="25" borderId="1" xfId="11" applyNumberFormat="1" applyFont="1" applyBorder="1" applyAlignment="1">
      <alignment horizontal="center" vertical="center" wrapText="1"/>
    </xf>
    <xf numFmtId="0" fontId="2" fillId="0" borderId="0" xfId="39"/>
    <xf numFmtId="0" fontId="41" fillId="19" borderId="20" xfId="76" applyFill="1" applyBorder="1" applyAlignment="1">
      <alignment horizontal="left" vertical="center"/>
    </xf>
    <xf numFmtId="0" fontId="56" fillId="29" borderId="0" xfId="78" quotePrefix="1" applyFont="1" applyFill="1" applyAlignment="1">
      <alignment vertical="center"/>
    </xf>
    <xf numFmtId="0" fontId="32" fillId="15" borderId="0" xfId="1" quotePrefix="1" applyNumberFormat="1" applyAlignment="1">
      <alignment horizontal="center" vertical="center" wrapText="1"/>
    </xf>
    <xf numFmtId="10" fontId="32" fillId="15" borderId="0" xfId="1" applyNumberFormat="1" applyAlignment="1">
      <alignment horizontal="center" vertical="center"/>
    </xf>
    <xf numFmtId="0" fontId="32" fillId="15" borderId="0" xfId="1" applyNumberFormat="1" applyBorder="1" applyAlignment="1">
      <alignment horizontal="right" vertical="center"/>
    </xf>
    <xf numFmtId="0" fontId="32" fillId="15" borderId="0" xfId="1" applyBorder="1" applyAlignment="1">
      <alignment vertical="center"/>
    </xf>
    <xf numFmtId="0" fontId="32" fillId="15" borderId="0" xfId="1" applyBorder="1" applyAlignment="1">
      <alignment horizontal="right" vertical="center"/>
    </xf>
    <xf numFmtId="0" fontId="32" fillId="17" borderId="0" xfId="3" applyNumberFormat="1" applyBorder="1" applyAlignment="1">
      <alignment horizontal="left" vertical="center"/>
    </xf>
    <xf numFmtId="0" fontId="54" fillId="23" borderId="1" xfId="9" applyNumberFormat="1" applyFont="1" applyBorder="1" applyAlignment="1">
      <alignment horizontal="center" vertical="center" wrapText="1"/>
    </xf>
    <xf numFmtId="0" fontId="41" fillId="16" borderId="20" xfId="76" applyNumberFormat="1" applyFill="1" applyBorder="1" applyAlignment="1">
      <alignment horizontal="left" vertical="center"/>
    </xf>
    <xf numFmtId="0" fontId="32" fillId="16" borderId="0" xfId="2" applyNumberFormat="1" applyBorder="1" applyAlignment="1">
      <alignment horizontal="left" vertical="center"/>
    </xf>
    <xf numFmtId="0" fontId="32" fillId="16" borderId="20" xfId="2" applyNumberFormat="1" applyBorder="1" applyAlignment="1">
      <alignment vertical="center"/>
    </xf>
    <xf numFmtId="0" fontId="32" fillId="16" borderId="0" xfId="2" applyNumberFormat="1" applyBorder="1" applyAlignment="1">
      <alignment vertical="center"/>
    </xf>
    <xf numFmtId="0" fontId="32" fillId="18" borderId="3" xfId="4" applyNumberFormat="1" applyBorder="1" applyAlignment="1">
      <alignment horizontal="left" vertical="center"/>
    </xf>
    <xf numFmtId="0" fontId="54" fillId="22" borderId="1" xfId="8" applyNumberFormat="1" applyFont="1" applyBorder="1" applyAlignment="1">
      <alignment horizontal="center" vertical="center" wrapText="1"/>
    </xf>
    <xf numFmtId="0" fontId="54" fillId="24" borderId="1" xfId="10" applyNumberFormat="1" applyFont="1" applyBorder="1" applyAlignment="1">
      <alignment horizontal="center" vertical="center" wrapText="1"/>
    </xf>
    <xf numFmtId="0" fontId="32" fillId="18" borderId="10" xfId="4" applyNumberFormat="1" applyBorder="1" applyAlignment="1">
      <alignment horizontal="left" vertical="center"/>
    </xf>
    <xf numFmtId="0" fontId="32" fillId="16" borderId="26" xfId="2" applyNumberFormat="1" applyBorder="1" applyAlignment="1">
      <alignment vertical="center"/>
    </xf>
    <xf numFmtId="0" fontId="32" fillId="16" borderId="21" xfId="2" applyNumberFormat="1" applyBorder="1" applyAlignment="1">
      <alignment vertical="center"/>
    </xf>
    <xf numFmtId="0" fontId="3" fillId="0" borderId="0" xfId="39" applyFont="1"/>
    <xf numFmtId="0" fontId="57" fillId="8" borderId="0" xfId="39" applyFont="1" applyFill="1"/>
    <xf numFmtId="0" fontId="58" fillId="8" borderId="0" xfId="39" applyFont="1" applyFill="1"/>
    <xf numFmtId="0" fontId="38" fillId="10" borderId="29" xfId="24" applyFill="1" applyBorder="1" applyAlignment="1">
      <alignment horizontal="left" vertical="center"/>
    </xf>
    <xf numFmtId="0" fontId="52" fillId="32" borderId="1" xfId="13" applyNumberFormat="1" applyFont="1" applyFill="1" applyBorder="1" applyAlignment="1">
      <alignment horizontal="center" vertical="center"/>
    </xf>
    <xf numFmtId="49" fontId="58" fillId="8" borderId="0" xfId="39" applyNumberFormat="1" applyFont="1" applyFill="1"/>
    <xf numFmtId="49" fontId="2" fillId="0" borderId="0" xfId="39" applyNumberFormat="1"/>
    <xf numFmtId="0" fontId="2" fillId="0" borderId="0" xfId="0"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0" fontId="5" fillId="0" borderId="0" xfId="0" applyFont="1" applyBorder="1" applyAlignment="1" applyProtection="1">
      <alignment vertical="center"/>
      <protection locked="0"/>
    </xf>
    <xf numFmtId="0" fontId="4" fillId="0" borderId="0" xfId="0" applyFont="1" applyFill="1" applyAlignment="1">
      <alignment vertical="center" wrapText="1"/>
    </xf>
    <xf numFmtId="49" fontId="4" fillId="0" borderId="0" xfId="0" applyNumberFormat="1" applyFont="1" applyFill="1" applyAlignment="1">
      <alignment horizontal="center" vertical="center" wrapText="1"/>
    </xf>
    <xf numFmtId="49" fontId="4" fillId="0" borderId="0" xfId="0" applyNumberFormat="1" applyFont="1" applyAlignment="1">
      <alignment horizontal="center" vertical="center" wrapText="1"/>
    </xf>
    <xf numFmtId="0" fontId="2" fillId="0" borderId="0" xfId="0" applyFont="1" applyBorder="1" applyAlignment="1">
      <alignment horizontal="left" vertical="center" wrapText="1"/>
    </xf>
    <xf numFmtId="0" fontId="5" fillId="0" borderId="0" xfId="0" applyFont="1" applyAlignment="1">
      <alignment horizontal="left" vertical="top" wrapText="1"/>
    </xf>
    <xf numFmtId="0" fontId="57" fillId="8" borderId="1" xfId="74" applyFont="1" applyFill="1">
      <alignment horizontal="center" textRotation="60"/>
    </xf>
    <xf numFmtId="0" fontId="22" fillId="0" borderId="0" xfId="12" applyFont="1" applyFill="1" applyBorder="1" applyAlignment="1">
      <alignment horizontal="center" vertical="center" wrapText="1"/>
    </xf>
    <xf numFmtId="0" fontId="1" fillId="20" borderId="1" xfId="6" applyNumberFormat="1" applyFont="1" applyBorder="1" applyAlignment="1">
      <alignment horizontal="center" vertical="center" wrapText="1"/>
    </xf>
    <xf numFmtId="1" fontId="34" fillId="32" borderId="1" xfId="13" applyNumberFormat="1" applyFill="1" applyBorder="1" applyAlignment="1">
      <alignment horizontal="center" vertical="center"/>
    </xf>
    <xf numFmtId="0" fontId="31" fillId="0" borderId="0" xfId="39" applyFont="1" applyAlignment="1">
      <alignment horizontal="centerContinuous" vertical="center"/>
    </xf>
    <xf numFmtId="0" fontId="24" fillId="0" borderId="0" xfId="0" applyFont="1"/>
    <xf numFmtId="0" fontId="65" fillId="0" borderId="0" xfId="0" applyFont="1"/>
    <xf numFmtId="0" fontId="65" fillId="0" borderId="0" xfId="0" applyFont="1" applyAlignment="1"/>
    <xf numFmtId="0" fontId="66" fillId="0" borderId="0" xfId="0" applyFont="1"/>
    <xf numFmtId="49" fontId="22" fillId="0" borderId="0" xfId="0" applyNumberFormat="1" applyFont="1" applyFill="1" applyBorder="1" applyAlignment="1">
      <alignment horizontal="center" vertical="center" wrapText="1"/>
    </xf>
    <xf numFmtId="0" fontId="4" fillId="0" borderId="0" xfId="0" applyFont="1" applyBorder="1" applyAlignment="1">
      <alignment horizontal="center" vertical="center" wrapText="1"/>
    </xf>
    <xf numFmtId="0" fontId="3" fillId="10" borderId="1" xfId="0" applyNumberFormat="1" applyFont="1" applyFill="1" applyBorder="1" applyAlignment="1">
      <alignment horizontal="center" vertical="center"/>
    </xf>
    <xf numFmtId="0" fontId="3" fillId="11" borderId="1" xfId="0" applyNumberFormat="1" applyFont="1" applyFill="1" applyBorder="1" applyAlignment="1">
      <alignment horizontal="center" vertical="center"/>
    </xf>
    <xf numFmtId="10" fontId="2" fillId="38" borderId="7" xfId="0" applyNumberFormat="1" applyFont="1" applyFill="1" applyBorder="1" applyAlignment="1">
      <alignment horizontal="center" vertical="center"/>
    </xf>
    <xf numFmtId="0" fontId="2" fillId="38" borderId="7" xfId="0" applyFont="1" applyFill="1" applyBorder="1" applyAlignment="1">
      <alignment horizontal="center" vertical="center"/>
    </xf>
    <xf numFmtId="0" fontId="3" fillId="38" borderId="8" xfId="0" applyFont="1" applyFill="1" applyBorder="1" applyAlignment="1">
      <alignment horizontal="center" vertical="center"/>
    </xf>
    <xf numFmtId="0" fontId="3" fillId="38" borderId="1" xfId="0" applyNumberFormat="1" applyFont="1" applyFill="1" applyBorder="1" applyAlignment="1">
      <alignment horizontal="center" vertical="center"/>
    </xf>
    <xf numFmtId="0" fontId="48" fillId="0" borderId="0" xfId="39" applyFont="1"/>
    <xf numFmtId="0" fontId="7" fillId="0" borderId="11" xfId="0" applyFont="1" applyBorder="1" applyAlignment="1" applyProtection="1">
      <alignment horizontal="left" vertical="center" shrinkToFit="1"/>
    </xf>
    <xf numFmtId="0" fontId="7" fillId="0" borderId="10" xfId="0" applyFont="1" applyBorder="1" applyAlignment="1" applyProtection="1">
      <alignment horizontal="left" vertical="center" shrinkToFit="1"/>
    </xf>
    <xf numFmtId="0" fontId="7" fillId="0" borderId="12" xfId="0" applyFont="1" applyBorder="1" applyAlignment="1" applyProtection="1">
      <alignment horizontal="left" vertical="center" shrinkToFit="1"/>
    </xf>
    <xf numFmtId="0" fontId="7" fillId="0" borderId="11" xfId="0" applyFont="1" applyFill="1" applyBorder="1" applyAlignment="1" applyProtection="1">
      <alignment horizontal="left" vertical="center" shrinkToFit="1"/>
    </xf>
    <xf numFmtId="0" fontId="7" fillId="0" borderId="10" xfId="0" applyFont="1" applyFill="1" applyBorder="1" applyAlignment="1" applyProtection="1">
      <alignment horizontal="left" vertical="center" shrinkToFit="1"/>
    </xf>
    <xf numFmtId="0" fontId="7" fillId="0" borderId="12" xfId="0" applyFont="1" applyFill="1" applyBorder="1" applyAlignment="1" applyProtection="1">
      <alignment horizontal="left" vertical="center" shrinkToFit="1"/>
    </xf>
    <xf numFmtId="0" fontId="60" fillId="0" borderId="13" xfId="0" applyFont="1" applyBorder="1" applyAlignment="1" applyProtection="1">
      <alignment horizontal="left" vertical="center" shrinkToFit="1"/>
    </xf>
    <xf numFmtId="0" fontId="60" fillId="0" borderId="3" xfId="0" applyFont="1" applyBorder="1" applyAlignment="1" applyProtection="1">
      <alignment horizontal="left" vertical="center" shrinkToFit="1"/>
    </xf>
    <xf numFmtId="0" fontId="60" fillId="0" borderId="14" xfId="0" applyFont="1" applyBorder="1" applyAlignment="1" applyProtection="1">
      <alignment horizontal="left" vertical="center" shrinkToFit="1"/>
    </xf>
    <xf numFmtId="0" fontId="7" fillId="0" borderId="11" xfId="0" applyFont="1" applyBorder="1" applyAlignment="1" applyProtection="1">
      <alignment horizontal="left" vertical="center" wrapText="1"/>
    </xf>
    <xf numFmtId="0" fontId="7" fillId="0" borderId="10" xfId="0" applyFont="1" applyBorder="1" applyAlignment="1" applyProtection="1">
      <alignment horizontal="left" vertical="center" wrapText="1"/>
    </xf>
    <xf numFmtId="0" fontId="7" fillId="0" borderId="12" xfId="0" applyFont="1" applyBorder="1" applyAlignment="1" applyProtection="1">
      <alignment horizontal="left" vertical="center" wrapText="1"/>
    </xf>
    <xf numFmtId="0" fontId="60" fillId="0" borderId="13" xfId="0" applyFont="1" applyBorder="1" applyAlignment="1" applyProtection="1">
      <alignment horizontal="left" vertical="center" wrapText="1" shrinkToFit="1"/>
    </xf>
    <xf numFmtId="0" fontId="59" fillId="33" borderId="4" xfId="0" applyFont="1" applyFill="1" applyBorder="1" applyAlignment="1" applyProtection="1">
      <alignment horizontal="center" vertical="center" shrinkToFit="1"/>
      <protection locked="0"/>
    </xf>
    <xf numFmtId="0" fontId="59" fillId="33" borderId="0" xfId="0" applyFont="1" applyFill="1" applyBorder="1" applyAlignment="1" applyProtection="1">
      <alignment horizontal="center" vertical="center" shrinkToFit="1"/>
      <protection locked="0"/>
    </xf>
    <xf numFmtId="0" fontId="59" fillId="33" borderId="5" xfId="0" applyFont="1" applyFill="1" applyBorder="1" applyAlignment="1" applyProtection="1">
      <alignment horizontal="center" vertical="center" shrinkToFit="1"/>
      <protection locked="0"/>
    </xf>
    <xf numFmtId="0" fontId="61" fillId="28" borderId="31" xfId="30" applyFont="1" applyBorder="1" applyAlignment="1">
      <alignment horizontal="center" vertical="center"/>
    </xf>
    <xf numFmtId="0" fontId="61" fillId="28" borderId="32" xfId="30" applyFont="1" applyBorder="1" applyAlignment="1">
      <alignment horizontal="center" vertical="center"/>
    </xf>
    <xf numFmtId="0" fontId="61" fillId="28" borderId="33" xfId="30" applyFont="1" applyBorder="1" applyAlignment="1">
      <alignment horizontal="center" vertical="center"/>
    </xf>
    <xf numFmtId="0" fontId="62" fillId="0" borderId="3" xfId="0" applyFont="1" applyFill="1" applyBorder="1" applyAlignment="1" applyProtection="1">
      <alignment horizontal="left" vertical="top" wrapText="1" shrinkToFit="1"/>
      <protection locked="0"/>
    </xf>
    <xf numFmtId="0" fontId="62" fillId="0" borderId="14" xfId="0" applyFont="1" applyFill="1" applyBorder="1" applyAlignment="1" applyProtection="1">
      <alignment horizontal="left" vertical="top" wrapText="1" shrinkToFit="1"/>
      <protection locked="0"/>
    </xf>
    <xf numFmtId="0" fontId="5" fillId="0" borderId="13" xfId="0" applyFont="1" applyFill="1" applyBorder="1" applyAlignment="1" applyProtection="1">
      <alignment horizontal="right" vertical="top" wrapText="1" shrinkToFit="1"/>
      <protection locked="0"/>
    </xf>
    <xf numFmtId="0" fontId="5" fillId="0" borderId="3" xfId="0" applyFont="1" applyFill="1" applyBorder="1" applyAlignment="1" applyProtection="1">
      <alignment horizontal="right" vertical="top" wrapText="1" shrinkToFit="1"/>
      <protection locked="0"/>
    </xf>
    <xf numFmtId="0" fontId="59" fillId="33" borderId="10" xfId="0" applyFont="1" applyFill="1" applyBorder="1" applyAlignment="1" applyProtection="1">
      <alignment horizontal="center" vertical="center" wrapText="1"/>
      <protection locked="0"/>
    </xf>
    <xf numFmtId="0" fontId="59" fillId="33" borderId="12" xfId="0" applyFont="1" applyFill="1" applyBorder="1" applyAlignment="1" applyProtection="1">
      <alignment horizontal="center" vertical="center" wrapText="1"/>
      <protection locked="0"/>
    </xf>
    <xf numFmtId="0" fontId="59" fillId="33" borderId="0" xfId="0" applyFont="1" applyFill="1" applyBorder="1" applyAlignment="1" applyProtection="1">
      <alignment horizontal="center" vertical="center" wrapText="1"/>
      <protection locked="0"/>
    </xf>
    <xf numFmtId="0" fontId="59" fillId="33" borderId="5" xfId="0" applyFont="1" applyFill="1" applyBorder="1" applyAlignment="1" applyProtection="1">
      <alignment horizontal="center" vertical="center" wrapText="1"/>
      <protection locked="0"/>
    </xf>
    <xf numFmtId="0" fontId="5" fillId="0" borderId="6" xfId="0" applyFont="1" applyFill="1" applyBorder="1" applyAlignment="1" applyProtection="1">
      <alignment horizontal="left" vertical="top" wrapText="1" shrinkToFit="1"/>
      <protection locked="0"/>
    </xf>
    <xf numFmtId="0" fontId="5" fillId="0" borderId="9" xfId="0" applyFont="1" applyFill="1" applyBorder="1" applyAlignment="1" applyProtection="1">
      <alignment horizontal="left" vertical="top" wrapText="1" shrinkToFit="1"/>
      <protection locked="0"/>
    </xf>
    <xf numFmtId="0" fontId="5" fillId="0" borderId="15" xfId="0" applyFont="1" applyFill="1" applyBorder="1" applyAlignment="1" applyProtection="1">
      <alignment horizontal="left" vertical="top" wrapText="1" shrinkToFit="1"/>
      <protection locked="0"/>
    </xf>
    <xf numFmtId="0" fontId="5" fillId="0" borderId="13" xfId="0" applyFont="1" applyFill="1" applyBorder="1" applyAlignment="1" applyProtection="1">
      <alignment horizontal="left" vertical="top" wrapText="1" shrinkToFit="1"/>
      <protection locked="0"/>
    </xf>
    <xf numFmtId="0" fontId="5" fillId="0" borderId="3" xfId="0" applyFont="1" applyFill="1" applyBorder="1" applyAlignment="1" applyProtection="1">
      <alignment horizontal="left" vertical="top" wrapText="1" shrinkToFit="1"/>
      <protection locked="0"/>
    </xf>
    <xf numFmtId="0" fontId="5" fillId="0" borderId="14" xfId="0" applyFont="1" applyFill="1" applyBorder="1" applyAlignment="1" applyProtection="1">
      <alignment horizontal="left" vertical="top" wrapText="1" shrinkToFit="1"/>
      <protection locked="0"/>
    </xf>
    <xf numFmtId="0" fontId="5" fillId="0" borderId="13" xfId="0" applyFont="1" applyFill="1" applyBorder="1" applyAlignment="1" applyProtection="1">
      <alignment horizontal="left" vertical="top"/>
      <protection locked="0"/>
    </xf>
    <xf numFmtId="0" fontId="5" fillId="0" borderId="3" xfId="0" applyFont="1" applyFill="1" applyBorder="1" applyAlignment="1" applyProtection="1">
      <alignment horizontal="left" vertical="top"/>
      <protection locked="0"/>
    </xf>
    <xf numFmtId="0" fontId="5" fillId="0" borderId="14" xfId="0" applyFont="1" applyFill="1" applyBorder="1" applyAlignment="1" applyProtection="1">
      <alignment horizontal="left" vertical="top"/>
      <protection locked="0"/>
    </xf>
    <xf numFmtId="0" fontId="11" fillId="0" borderId="0" xfId="0" applyFont="1" applyFill="1" applyAlignment="1" applyProtection="1">
      <alignment horizontal="center" vertical="center" wrapText="1"/>
      <protection locked="0"/>
    </xf>
    <xf numFmtId="0" fontId="2" fillId="0" borderId="11" xfId="0" applyFont="1" applyFill="1" applyBorder="1" applyAlignment="1" applyProtection="1">
      <alignment horizontal="left" vertical="top" wrapText="1"/>
      <protection locked="0"/>
    </xf>
    <xf numFmtId="0" fontId="5" fillId="0" borderId="10" xfId="0" applyFont="1" applyFill="1" applyBorder="1" applyAlignment="1" applyProtection="1">
      <alignment horizontal="left" vertical="top" wrapText="1"/>
      <protection locked="0"/>
    </xf>
    <xf numFmtId="0" fontId="5" fillId="0" borderId="12" xfId="0" applyFont="1" applyFill="1" applyBorder="1" applyAlignment="1" applyProtection="1">
      <alignment horizontal="left" vertical="top" wrapText="1"/>
      <protection locked="0"/>
    </xf>
    <xf numFmtId="0" fontId="59" fillId="33" borderId="11" xfId="0" applyFont="1" applyFill="1" applyBorder="1" applyAlignment="1" applyProtection="1">
      <alignment horizontal="center" vertical="center" shrinkToFit="1"/>
      <protection locked="0"/>
    </xf>
    <xf numFmtId="0" fontId="59" fillId="33" borderId="10" xfId="0" applyFont="1" applyFill="1" applyBorder="1" applyAlignment="1" applyProtection="1">
      <alignment horizontal="center" vertical="center" shrinkToFit="1"/>
      <protection locked="0"/>
    </xf>
    <xf numFmtId="0" fontId="59" fillId="33" borderId="12" xfId="0" applyFont="1" applyFill="1" applyBorder="1" applyAlignment="1" applyProtection="1">
      <alignment horizontal="center" vertical="center" shrinkToFit="1"/>
      <protection locked="0"/>
    </xf>
    <xf numFmtId="49" fontId="2" fillId="0" borderId="6" xfId="0" applyNumberFormat="1" applyFont="1" applyFill="1" applyBorder="1" applyAlignment="1" applyProtection="1">
      <alignment horizontal="left" vertical="center" wrapText="1"/>
      <protection locked="0"/>
    </xf>
    <xf numFmtId="49" fontId="5" fillId="0" borderId="9" xfId="0" applyNumberFormat="1" applyFont="1" applyFill="1" applyBorder="1" applyAlignment="1" applyProtection="1">
      <alignment horizontal="left" vertical="center" wrapText="1"/>
      <protection locked="0"/>
    </xf>
    <xf numFmtId="49" fontId="5" fillId="0" borderId="15" xfId="0" applyNumberFormat="1" applyFont="1" applyFill="1" applyBorder="1" applyAlignment="1" applyProtection="1">
      <alignment horizontal="left" vertical="center" wrapText="1"/>
      <protection locked="0"/>
    </xf>
    <xf numFmtId="0" fontId="38" fillId="0" borderId="0" xfId="24" applyBorder="1" applyAlignment="1">
      <alignment horizontal="center" vertical="center"/>
    </xf>
    <xf numFmtId="49" fontId="2" fillId="36" borderId="6" xfId="0" applyNumberFormat="1" applyFont="1" applyFill="1" applyBorder="1" applyAlignment="1" applyProtection="1">
      <alignment horizontal="center" vertical="center" wrapText="1"/>
      <protection locked="0"/>
    </xf>
    <xf numFmtId="49" fontId="5" fillId="36" borderId="9" xfId="0" applyNumberFormat="1" applyFont="1" applyFill="1" applyBorder="1" applyAlignment="1" applyProtection="1">
      <alignment horizontal="center" vertical="center" wrapText="1"/>
      <protection locked="0"/>
    </xf>
    <xf numFmtId="49" fontId="5" fillId="36" borderId="15" xfId="0" applyNumberFormat="1" applyFont="1" applyFill="1" applyBorder="1" applyAlignment="1" applyProtection="1">
      <alignment horizontal="center" vertical="center" wrapText="1"/>
      <protection locked="0"/>
    </xf>
    <xf numFmtId="49" fontId="5" fillId="37" borderId="6" xfId="0" applyNumberFormat="1" applyFont="1" applyFill="1" applyBorder="1" applyAlignment="1" applyProtection="1">
      <alignment horizontal="center" vertical="center" wrapText="1"/>
      <protection locked="0"/>
    </xf>
    <xf numFmtId="49" fontId="5" fillId="37" borderId="9" xfId="0" applyNumberFormat="1" applyFont="1" applyFill="1" applyBorder="1" applyAlignment="1" applyProtection="1">
      <alignment horizontal="center" vertical="center" wrapText="1"/>
      <protection locked="0"/>
    </xf>
    <xf numFmtId="49" fontId="5" fillId="37" borderId="15" xfId="0" applyNumberFormat="1" applyFont="1" applyFill="1" applyBorder="1" applyAlignment="1" applyProtection="1">
      <alignment horizontal="center" vertical="center" wrapText="1"/>
      <protection locked="0"/>
    </xf>
    <xf numFmtId="49" fontId="5" fillId="0" borderId="6" xfId="0" applyNumberFormat="1" applyFont="1" applyFill="1" applyBorder="1" applyAlignment="1" applyProtection="1">
      <alignment horizontal="left" vertical="center" wrapText="1"/>
      <protection locked="0"/>
    </xf>
    <xf numFmtId="0" fontId="0" fillId="0" borderId="6" xfId="0" applyBorder="1" applyAlignment="1">
      <alignment horizontal="left" vertical="center" wrapText="1"/>
    </xf>
    <xf numFmtId="0" fontId="0" fillId="0" borderId="9" xfId="0" applyBorder="1" applyAlignment="1">
      <alignment horizontal="left" vertical="center" wrapText="1"/>
    </xf>
    <xf numFmtId="0" fontId="0" fillId="0" borderId="15" xfId="0" applyBorder="1" applyAlignment="1">
      <alignment horizontal="left" vertical="center" wrapText="1"/>
    </xf>
    <xf numFmtId="0" fontId="9" fillId="13" borderId="6" xfId="0" applyFont="1" applyFill="1" applyBorder="1" applyAlignment="1" applyProtection="1">
      <alignment horizontal="center" vertical="center" wrapText="1"/>
      <protection locked="0"/>
    </xf>
    <xf numFmtId="0" fontId="9" fillId="13" borderId="9" xfId="0" applyFont="1" applyFill="1" applyBorder="1" applyAlignment="1" applyProtection="1">
      <alignment horizontal="center" vertical="center" wrapText="1"/>
      <protection locked="0"/>
    </xf>
    <xf numFmtId="0" fontId="9" fillId="13" borderId="15" xfId="0" applyFont="1" applyFill="1" applyBorder="1" applyAlignment="1" applyProtection="1">
      <alignment horizontal="center" vertical="center" wrapText="1"/>
      <protection locked="0"/>
    </xf>
    <xf numFmtId="0" fontId="63" fillId="35" borderId="6" xfId="0" applyFont="1" applyFill="1" applyBorder="1" applyAlignment="1">
      <alignment horizontal="center" vertical="center" wrapText="1"/>
    </xf>
    <xf numFmtId="0" fontId="63" fillId="35" borderId="9" xfId="0" applyFont="1" applyFill="1" applyBorder="1" applyAlignment="1">
      <alignment horizontal="center" vertical="center" wrapText="1"/>
    </xf>
    <xf numFmtId="0" fontId="63" fillId="35" borderId="15" xfId="0" applyFont="1" applyFill="1" applyBorder="1" applyAlignment="1">
      <alignment horizontal="center" vertical="center" wrapText="1"/>
    </xf>
    <xf numFmtId="49" fontId="15" fillId="0" borderId="0" xfId="0" applyNumberFormat="1" applyFont="1" applyFill="1" applyAlignment="1" applyProtection="1">
      <alignment horizontal="left" vertical="center" wrapText="1"/>
      <protection locked="0"/>
    </xf>
    <xf numFmtId="49" fontId="5" fillId="0" borderId="6" xfId="0" applyNumberFormat="1" applyFont="1" applyFill="1" applyBorder="1" applyAlignment="1" applyProtection="1">
      <alignment vertical="center" wrapText="1"/>
      <protection locked="0"/>
    </xf>
    <xf numFmtId="49" fontId="5" fillId="0" borderId="9" xfId="0" applyNumberFormat="1" applyFont="1" applyFill="1" applyBorder="1" applyAlignment="1" applyProtection="1">
      <alignment vertical="center" wrapText="1"/>
      <protection locked="0"/>
    </xf>
    <xf numFmtId="49" fontId="5" fillId="0" borderId="15" xfId="0" applyNumberFormat="1" applyFont="1" applyFill="1" applyBorder="1" applyAlignment="1" applyProtection="1">
      <alignment vertical="center" wrapText="1"/>
      <protection locked="0"/>
    </xf>
    <xf numFmtId="49" fontId="5" fillId="34" borderId="6" xfId="0" applyNumberFormat="1" applyFont="1" applyFill="1" applyBorder="1" applyAlignment="1" applyProtection="1">
      <alignment horizontal="center" vertical="center" wrapText="1"/>
      <protection locked="0"/>
    </xf>
    <xf numFmtId="49" fontId="5" fillId="34" borderId="9" xfId="0" applyNumberFormat="1" applyFont="1" applyFill="1" applyBorder="1" applyAlignment="1" applyProtection="1">
      <alignment horizontal="center" vertical="center" wrapText="1"/>
      <protection locked="0"/>
    </xf>
    <xf numFmtId="49" fontId="5" fillId="34" borderId="15" xfId="0" applyNumberFormat="1" applyFont="1" applyFill="1" applyBorder="1" applyAlignment="1" applyProtection="1">
      <alignment horizontal="center" vertical="center" wrapText="1"/>
      <protection locked="0"/>
    </xf>
    <xf numFmtId="49" fontId="5" fillId="36" borderId="6" xfId="0" applyNumberFormat="1" applyFont="1" applyFill="1" applyBorder="1" applyAlignment="1" applyProtection="1">
      <alignment horizontal="center" vertical="center" wrapText="1"/>
      <protection locked="0"/>
    </xf>
    <xf numFmtId="49" fontId="5" fillId="0" borderId="6" xfId="0" applyNumberFormat="1" applyFont="1" applyFill="1" applyBorder="1" applyAlignment="1" applyProtection="1">
      <alignment horizontal="center" vertical="center" wrapText="1"/>
      <protection locked="0"/>
    </xf>
    <xf numFmtId="49" fontId="5" fillId="0" borderId="9" xfId="0" applyNumberFormat="1" applyFont="1" applyFill="1" applyBorder="1" applyAlignment="1" applyProtection="1">
      <alignment horizontal="center" vertical="center" wrapText="1"/>
      <protection locked="0"/>
    </xf>
    <xf numFmtId="49" fontId="5" fillId="0" borderId="15" xfId="0" applyNumberFormat="1" applyFont="1" applyFill="1" applyBorder="1" applyAlignment="1" applyProtection="1">
      <alignment horizontal="center" vertical="center" wrapText="1"/>
      <protection locked="0"/>
    </xf>
    <xf numFmtId="0" fontId="60" fillId="14" borderId="0" xfId="0" applyFont="1" applyFill="1" applyBorder="1" applyAlignment="1" applyProtection="1">
      <alignment horizontal="left" vertical="center" shrinkToFit="1"/>
    </xf>
    <xf numFmtId="0" fontId="12" fillId="14" borderId="0" xfId="0" applyFont="1" applyFill="1" applyBorder="1" applyAlignment="1" applyProtection="1">
      <alignment horizontal="left" vertical="center" shrinkToFit="1"/>
    </xf>
    <xf numFmtId="0" fontId="7" fillId="14" borderId="0" xfId="0" applyFont="1" applyFill="1" applyBorder="1" applyAlignment="1" applyProtection="1">
      <alignment horizontal="left" vertical="center" shrinkToFit="1"/>
    </xf>
    <xf numFmtId="0" fontId="7" fillId="14" borderId="0" xfId="0" applyFont="1" applyFill="1" applyBorder="1" applyAlignment="1" applyProtection="1">
      <alignment horizontal="left" vertical="center" wrapText="1"/>
    </xf>
    <xf numFmtId="0" fontId="7" fillId="0" borderId="0" xfId="0" applyFont="1" applyBorder="1" applyAlignment="1" applyProtection="1">
      <alignment horizontal="left" vertical="center" shrinkToFit="1"/>
    </xf>
    <xf numFmtId="0" fontId="60" fillId="0" borderId="0" xfId="0" applyFont="1" applyBorder="1" applyAlignment="1" applyProtection="1">
      <alignment horizontal="left" vertical="center" shrinkToFit="1"/>
    </xf>
    <xf numFmtId="0" fontId="7" fillId="0" borderId="0" xfId="0" applyFont="1" applyFill="1" applyBorder="1" applyAlignment="1" applyProtection="1">
      <alignment horizontal="left" vertical="center" shrinkToFit="1"/>
    </xf>
    <xf numFmtId="0" fontId="41" fillId="12" borderId="0" xfId="76" applyFill="1" applyBorder="1" applyAlignment="1">
      <alignment horizontal="center"/>
    </xf>
    <xf numFmtId="0" fontId="3" fillId="0" borderId="3" xfId="0" applyFont="1" applyFill="1" applyBorder="1" applyAlignment="1">
      <alignment horizontal="center" vertical="center" wrapText="1"/>
    </xf>
    <xf numFmtId="0" fontId="2" fillId="0" borderId="0" xfId="0" applyFont="1" applyBorder="1" applyAlignment="1">
      <alignment horizontal="left" vertical="center" wrapText="1"/>
    </xf>
    <xf numFmtId="0" fontId="2" fillId="0" borderId="0" xfId="0" applyFont="1" applyAlignment="1">
      <alignment horizontal="left" vertical="top" wrapText="1"/>
    </xf>
    <xf numFmtId="0" fontId="5" fillId="0" borderId="0" xfId="0" applyFont="1" applyAlignment="1">
      <alignment horizontal="left" vertical="top" wrapText="1"/>
    </xf>
    <xf numFmtId="0" fontId="0" fillId="0" borderId="0" xfId="0" applyAlignment="1">
      <alignment vertical="center" wrapText="1"/>
    </xf>
    <xf numFmtId="0" fontId="2" fillId="0" borderId="0" xfId="0" applyFont="1" applyAlignment="1">
      <alignment vertical="center" wrapText="1"/>
    </xf>
    <xf numFmtId="0" fontId="5" fillId="0" borderId="0" xfId="0" applyFont="1" applyAlignment="1">
      <alignment vertical="center" wrapText="1"/>
    </xf>
    <xf numFmtId="0" fontId="40" fillId="26" borderId="1" xfId="41" applyNumberFormat="1" applyFont="1" applyBorder="1" applyAlignment="1">
      <alignment horizontal="center" vertical="center" wrapText="1"/>
    </xf>
    <xf numFmtId="0" fontId="30" fillId="21" borderId="6" xfId="7" applyNumberFormat="1" applyFont="1" applyBorder="1" applyAlignment="1" applyProtection="1">
      <alignment horizontal="center" vertical="center" wrapText="1"/>
      <protection locked="0"/>
    </xf>
    <xf numFmtId="0" fontId="30" fillId="21" borderId="15" xfId="7" applyNumberFormat="1" applyFont="1" applyBorder="1" applyAlignment="1" applyProtection="1">
      <alignment horizontal="center" vertical="center" wrapText="1"/>
      <protection locked="0"/>
    </xf>
  </cellXfs>
  <cellStyles count="86">
    <cellStyle name="20% - Accent1" xfId="1" builtinId="30"/>
    <cellStyle name="20% - Accent2" xfId="2" builtinId="34"/>
    <cellStyle name="20% - Accent3" xfId="3" builtinId="38"/>
    <cellStyle name="20% - Accent5" xfId="4" builtinId="46"/>
    <cellStyle name="20% - Accent6" xfId="5" builtinId="50"/>
    <cellStyle name="40% - Accent6" xfId="6" builtinId="51"/>
    <cellStyle name="Accent1" xfId="7" builtinId="29"/>
    <cellStyle name="Accent2" xfId="8" builtinId="33"/>
    <cellStyle name="Accent3" xfId="9" builtinId="37"/>
    <cellStyle name="Accent5" xfId="10" builtinId="45"/>
    <cellStyle name="Accent6" xfId="11" builtinId="49"/>
    <cellStyle name="CA style" xfId="12" xr:uid="{00000000-0005-0000-0000-00000B000000}"/>
    <cellStyle name="Calculation" xfId="13" builtinId="22"/>
    <cellStyle name="Calculation 2" xfId="14" xr:uid="{00000000-0005-0000-0000-00000D000000}"/>
    <cellStyle name="Check Cell 2" xfId="15" xr:uid="{00000000-0005-0000-0000-00000E000000}"/>
    <cellStyle name="entry" xfId="16" xr:uid="{00000000-0005-0000-0000-00000F000000}"/>
    <cellStyle name="entry 2" xfId="17" xr:uid="{00000000-0005-0000-0000-000010000000}"/>
    <cellStyle name="entry 2 2" xfId="18" xr:uid="{00000000-0005-0000-0000-000011000000}"/>
    <cellStyle name="entry 3" xfId="19" xr:uid="{00000000-0005-0000-0000-000012000000}"/>
    <cellStyle name="entry 3 2" xfId="20" xr:uid="{00000000-0005-0000-0000-000013000000}"/>
    <cellStyle name="entry 4" xfId="21" xr:uid="{00000000-0005-0000-0000-000014000000}"/>
    <cellStyle name="entry 5" xfId="22" xr:uid="{00000000-0005-0000-0000-000015000000}"/>
    <cellStyle name="Heading 4" xfId="23" builtinId="19"/>
    <cellStyle name="Hyperlink" xfId="24" builtinId="8"/>
    <cellStyle name="Hyperlink 2" xfId="25" xr:uid="{00000000-0005-0000-0000-000018000000}"/>
    <cellStyle name="Inconsistent style" xfId="26" xr:uid="{00000000-0005-0000-0000-000019000000}"/>
    <cellStyle name="Inconsistent style 2" xfId="27" xr:uid="{00000000-0005-0000-0000-00001A000000}"/>
    <cellStyle name="Inconsistent style 2 2" xfId="28" xr:uid="{00000000-0005-0000-0000-00001B000000}"/>
    <cellStyle name="Inconsistent style 3" xfId="29" xr:uid="{00000000-0005-0000-0000-00001C000000}"/>
    <cellStyle name="Input" xfId="30" builtinId="20"/>
    <cellStyle name="NA style" xfId="31" xr:uid="{00000000-0005-0000-0000-00001E000000}"/>
    <cellStyle name="NOK style" xfId="32" xr:uid="{00000000-0005-0000-0000-00001F000000}"/>
    <cellStyle name="Normal" xfId="0" builtinId="0"/>
    <cellStyle name="Normal 2" xfId="33" xr:uid="{00000000-0005-0000-0000-000021000000}"/>
    <cellStyle name="Normal 2 2" xfId="34" xr:uid="{00000000-0005-0000-0000-000022000000}"/>
    <cellStyle name="Normal 3" xfId="35" xr:uid="{00000000-0005-0000-0000-000023000000}"/>
    <cellStyle name="Normal 3 2" xfId="36" xr:uid="{00000000-0005-0000-0000-000024000000}"/>
    <cellStyle name="Normal 4" xfId="37" xr:uid="{00000000-0005-0000-0000-000025000000}"/>
    <cellStyle name="Normal 5" xfId="38" xr:uid="{00000000-0005-0000-0000-000026000000}"/>
    <cellStyle name="Normal 6" xfId="39" xr:uid="{00000000-0005-0000-0000-000027000000}"/>
    <cellStyle name="OK style" xfId="40" xr:uid="{00000000-0005-0000-0000-000028000000}"/>
    <cellStyle name="Output 2" xfId="41" xr:uid="{00000000-0005-0000-0000-000029000000}"/>
    <cellStyle name="para" xfId="42" xr:uid="{00000000-0005-0000-0000-00002A000000}"/>
    <cellStyle name="para 2" xfId="43" xr:uid="{00000000-0005-0000-0000-00002B000000}"/>
    <cellStyle name="Percent" xfId="44" builtinId="5" customBuiltin="1"/>
    <cellStyle name="Percent 2" xfId="45" xr:uid="{00000000-0005-0000-0000-00002D000000}"/>
    <cellStyle name="sect" xfId="46" xr:uid="{00000000-0005-0000-0000-00002E000000}"/>
    <cellStyle name="sect1" xfId="47" xr:uid="{00000000-0005-0000-0000-00002F000000}"/>
    <cellStyle name="sect2" xfId="48" xr:uid="{00000000-0005-0000-0000-000030000000}"/>
    <cellStyle name="sect3" xfId="49" xr:uid="{00000000-0005-0000-0000-000031000000}"/>
    <cellStyle name="sect4" xfId="50" xr:uid="{00000000-0005-0000-0000-000032000000}"/>
    <cellStyle name="sect4 2" xfId="51" xr:uid="{00000000-0005-0000-0000-000033000000}"/>
    <cellStyle name="sect4 2 2" xfId="52" xr:uid="{00000000-0005-0000-0000-000034000000}"/>
    <cellStyle name="sect4 3" xfId="53" xr:uid="{00000000-0005-0000-0000-000035000000}"/>
    <cellStyle name="sect5" xfId="54" xr:uid="{00000000-0005-0000-0000-000036000000}"/>
    <cellStyle name="sect5 2" xfId="55" xr:uid="{00000000-0005-0000-0000-000037000000}"/>
    <cellStyle name="sect5 2 2" xfId="56" xr:uid="{00000000-0005-0000-0000-000038000000}"/>
    <cellStyle name="sect5 3" xfId="57" xr:uid="{00000000-0005-0000-0000-000039000000}"/>
    <cellStyle name="sect6" xfId="58" xr:uid="{00000000-0005-0000-0000-00003A000000}"/>
    <cellStyle name="sect6 2" xfId="59" xr:uid="{00000000-0005-0000-0000-00003B000000}"/>
    <cellStyle name="sect6 2 2" xfId="60" xr:uid="{00000000-0005-0000-0000-00003C000000}"/>
    <cellStyle name="sect6 3" xfId="61" xr:uid="{00000000-0005-0000-0000-00003D000000}"/>
    <cellStyle name="sect7" xfId="62" xr:uid="{00000000-0005-0000-0000-00003E000000}"/>
    <cellStyle name="sect7 2" xfId="63" xr:uid="{00000000-0005-0000-0000-00003F000000}"/>
    <cellStyle name="sect7 2 2" xfId="64" xr:uid="{00000000-0005-0000-0000-000040000000}"/>
    <cellStyle name="sect7 3" xfId="65" xr:uid="{00000000-0005-0000-0000-000041000000}"/>
    <cellStyle name="sect8" xfId="66" xr:uid="{00000000-0005-0000-0000-000042000000}"/>
    <cellStyle name="sect8 2" xfId="67" xr:uid="{00000000-0005-0000-0000-000043000000}"/>
    <cellStyle name="sect8 2 2" xfId="68" xr:uid="{00000000-0005-0000-0000-000044000000}"/>
    <cellStyle name="sect8 3" xfId="69" xr:uid="{00000000-0005-0000-0000-000045000000}"/>
    <cellStyle name="sect9" xfId="70" xr:uid="{00000000-0005-0000-0000-000046000000}"/>
    <cellStyle name="sect9 2" xfId="71" xr:uid="{00000000-0005-0000-0000-000047000000}"/>
    <cellStyle name="sect9 2 2" xfId="72" xr:uid="{00000000-0005-0000-0000-000048000000}"/>
    <cellStyle name="sect9 3" xfId="73" xr:uid="{00000000-0005-0000-0000-000049000000}"/>
    <cellStyle name="tableTitle" xfId="74" xr:uid="{00000000-0005-0000-0000-00004A000000}"/>
    <cellStyle name="Tested Previously" xfId="75" xr:uid="{00000000-0005-0000-0000-00004B000000}"/>
    <cellStyle name="Title" xfId="76" builtinId="15"/>
    <cellStyle name="title 2" xfId="77" xr:uid="{00000000-0005-0000-0000-00004D000000}"/>
    <cellStyle name="Warning Text" xfId="78" builtinId="11"/>
    <cellStyle name="Without format but centered" xfId="79" xr:uid="{00000000-0005-0000-0000-00004F000000}"/>
    <cellStyle name="Without format but centered 2" xfId="80" xr:uid="{00000000-0005-0000-0000-000050000000}"/>
    <cellStyle name="Without format but centered 2 2" xfId="81" xr:uid="{00000000-0005-0000-0000-000051000000}"/>
    <cellStyle name="Without format but centered 3" xfId="82" xr:uid="{00000000-0005-0000-0000-000052000000}"/>
    <cellStyle name="Without format but centered 3 2" xfId="83" xr:uid="{00000000-0005-0000-0000-000053000000}"/>
    <cellStyle name="Without format but centered 4" xfId="84" xr:uid="{00000000-0005-0000-0000-000054000000}"/>
    <cellStyle name="Without format but centered 5" xfId="85" xr:uid="{00000000-0005-0000-0000-000055000000}"/>
  </cellStyles>
  <dxfs count="1">
    <dxf>
      <fill>
        <patternFill>
          <bgColor rgb="FFFF0000"/>
        </patternFill>
      </fill>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Statistics!$B$31</c:f>
              <c:strCache>
                <c:ptCount val="1"/>
                <c:pt idx="0">
                  <c:v>Architecture Elements Tested (cumulated)</c:v>
                </c:pt>
              </c:strCache>
            </c:strRef>
          </c:tx>
          <c:dPt>
            <c:idx val="0"/>
            <c:bubble3D val="0"/>
            <c:spPr>
              <a:solidFill>
                <a:srgbClr val="00B050"/>
              </a:solidFill>
            </c:spPr>
            <c:extLst>
              <c:ext xmlns:c16="http://schemas.microsoft.com/office/drawing/2014/chart" uri="{C3380CC4-5D6E-409C-BE32-E72D297353CC}">
                <c16:uniqueId val="{00000001-6A08-4DF1-B92E-6D2731DCE117}"/>
              </c:ext>
            </c:extLst>
          </c:dPt>
          <c:dPt>
            <c:idx val="1"/>
            <c:bubble3D val="0"/>
            <c:spPr>
              <a:solidFill>
                <a:srgbClr val="00B0F0"/>
              </a:solidFill>
            </c:spPr>
            <c:extLst>
              <c:ext xmlns:c16="http://schemas.microsoft.com/office/drawing/2014/chart" uri="{C3380CC4-5D6E-409C-BE32-E72D297353CC}">
                <c16:uniqueId val="{00000003-6A08-4DF1-B92E-6D2731DCE117}"/>
              </c:ext>
            </c:extLst>
          </c:dPt>
          <c:dPt>
            <c:idx val="2"/>
            <c:bubble3D val="0"/>
            <c:spPr>
              <a:solidFill>
                <a:srgbClr val="FF0000"/>
              </a:solidFill>
            </c:spPr>
            <c:extLst>
              <c:ext xmlns:c16="http://schemas.microsoft.com/office/drawing/2014/chart" uri="{C3380CC4-5D6E-409C-BE32-E72D297353CC}">
                <c16:uniqueId val="{00000005-6A08-4DF1-B92E-6D2731DCE117}"/>
              </c:ext>
            </c:extLst>
          </c:dPt>
          <c:dPt>
            <c:idx val="3"/>
            <c:bubble3D val="0"/>
            <c:spPr>
              <a:solidFill>
                <a:schemeClr val="accent6">
                  <a:lumMod val="75000"/>
                </a:schemeClr>
              </a:solidFill>
            </c:spPr>
            <c:extLst>
              <c:ext xmlns:c16="http://schemas.microsoft.com/office/drawing/2014/chart" uri="{C3380CC4-5D6E-409C-BE32-E72D297353CC}">
                <c16:uniqueId val="{00000007-6A08-4DF1-B92E-6D2731DCE117}"/>
              </c:ext>
            </c:extLst>
          </c:dPt>
          <c:dPt>
            <c:idx val="4"/>
            <c:bubble3D val="0"/>
            <c:spPr>
              <a:solidFill>
                <a:schemeClr val="accent6">
                  <a:lumMod val="50000"/>
                </a:schemeClr>
              </a:solidFill>
            </c:spPr>
            <c:extLst>
              <c:ext xmlns:c16="http://schemas.microsoft.com/office/drawing/2014/chart" uri="{C3380CC4-5D6E-409C-BE32-E72D297353CC}">
                <c16:uniqueId val="{00000009-6A08-4DF1-B92E-6D2731DCE117}"/>
              </c:ext>
            </c:extLst>
          </c:dPt>
          <c:dPt>
            <c:idx val="5"/>
            <c:bubble3D val="0"/>
            <c:spPr>
              <a:solidFill>
                <a:srgbClr val="FFFF00"/>
              </a:solidFill>
            </c:spPr>
            <c:extLst>
              <c:ext xmlns:c16="http://schemas.microsoft.com/office/drawing/2014/chart" uri="{C3380CC4-5D6E-409C-BE32-E72D297353CC}">
                <c16:uniqueId val="{0000000B-6A08-4DF1-B92E-6D2731DCE117}"/>
              </c:ext>
            </c:extLst>
          </c:dPt>
          <c:dLbls>
            <c:spPr>
              <a:noFill/>
              <a:ln w="25400">
                <a:noFill/>
              </a:ln>
            </c:spPr>
            <c:txPr>
              <a:bodyPr wrap="square" lIns="38100" tIns="19050" rIns="38100" bIns="19050" anchor="ctr">
                <a:spAutoFit/>
              </a:bodyPr>
              <a:lstStyle/>
              <a:p>
                <a:pPr>
                  <a:defRPr sz="1100" b="0" i="0" u="none" strike="noStrike" baseline="0">
                    <a:solidFill>
                      <a:srgbClr val="000000"/>
                    </a:solidFill>
                    <a:latin typeface="Calibri"/>
                    <a:ea typeface="Calibri"/>
                    <a:cs typeface="Calibri"/>
                  </a:defRPr>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Statistics!$A$32:$A$37</c:f>
              <c:strCache>
                <c:ptCount val="5"/>
                <c:pt idx="0">
                  <c:v>OK</c:v>
                </c:pt>
                <c:pt idx="1">
                  <c:v>Partially OK</c:v>
                </c:pt>
                <c:pt idx="2">
                  <c:v>NOK</c:v>
                </c:pt>
                <c:pt idx="3">
                  <c:v>Not tested and not covered by a test</c:v>
                </c:pt>
                <c:pt idx="4">
                  <c:v>Not tested and covered by a test</c:v>
                </c:pt>
              </c:strCache>
            </c:strRef>
          </c:cat>
          <c:val>
            <c:numRef>
              <c:f>Statistics!$B$32:$B$37</c:f>
              <c:numCache>
                <c:formatCode>General</c:formatCode>
                <c:ptCount val="6"/>
                <c:pt idx="0">
                  <c:v>0</c:v>
                </c:pt>
                <c:pt idx="1">
                  <c:v>0</c:v>
                </c:pt>
                <c:pt idx="2">
                  <c:v>0</c:v>
                </c:pt>
                <c:pt idx="3" formatCode="0">
                  <c:v>0</c:v>
                </c:pt>
                <c:pt idx="4" formatCode="0">
                  <c:v>0</c:v>
                </c:pt>
              </c:numCache>
            </c:numRef>
          </c:val>
          <c:extLst>
            <c:ext xmlns:c16="http://schemas.microsoft.com/office/drawing/2014/chart" uri="{C3380CC4-5D6E-409C-BE32-E72D297353CC}">
              <c16:uniqueId val="{0000000C-6A08-4DF1-B92E-6D2731DCE117}"/>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7561000820843331"/>
          <c:y val="7.8338112360232429E-2"/>
          <c:w val="0.309360451565176"/>
          <c:h val="0.85695780801966226"/>
        </c:manualLayout>
      </c:layout>
      <c:overlay val="0"/>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520030293243048"/>
          <c:y val="4.8364995267784837E-2"/>
          <c:w val="0.52820829784139778"/>
          <c:h val="0.91936140014645129"/>
        </c:manualLayout>
      </c:layout>
      <c:pieChart>
        <c:varyColors val="1"/>
        <c:ser>
          <c:idx val="0"/>
          <c:order val="0"/>
          <c:dPt>
            <c:idx val="0"/>
            <c:bubble3D val="0"/>
            <c:extLst>
              <c:ext xmlns:c16="http://schemas.microsoft.com/office/drawing/2014/chart" uri="{C3380CC4-5D6E-409C-BE32-E72D297353CC}">
                <c16:uniqueId val="{00000000-7B50-468D-AD83-A568EFB6D807}"/>
              </c:ext>
            </c:extLst>
          </c:dPt>
          <c:dPt>
            <c:idx val="1"/>
            <c:bubble3D val="0"/>
            <c:extLst>
              <c:ext xmlns:c16="http://schemas.microsoft.com/office/drawing/2014/chart" uri="{C3380CC4-5D6E-409C-BE32-E72D297353CC}">
                <c16:uniqueId val="{00000001-7B50-468D-AD83-A568EFB6D807}"/>
              </c:ext>
            </c:extLst>
          </c:dPt>
          <c:dLbls>
            <c:dLbl>
              <c:idx val="0"/>
              <c:layout>
                <c:manualLayout>
                  <c:x val="0.12688961956678493"/>
                  <c:y val="9.6359743040685224E-3"/>
                </c:manualLayout>
              </c:layout>
              <c:spPr/>
              <c:txPr>
                <a:bodyPr/>
                <a:lstStyle/>
                <a:p>
                  <a:pPr algn="ctr" rtl="0">
                    <a:defRPr sz="1100" b="0" i="0" u="none" strike="noStrike" baseline="0">
                      <a:solidFill>
                        <a:srgbClr val="000000"/>
                      </a:solidFill>
                      <a:latin typeface="Calibri"/>
                      <a:ea typeface="Calibri"/>
                      <a:cs typeface="Calibri"/>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7B50-468D-AD83-A568EFB6D807}"/>
                </c:ext>
              </c:extLst>
            </c:dLbl>
            <c:spPr>
              <a:noFill/>
              <a:ln w="25400">
                <a:noFill/>
              </a:ln>
            </c:spPr>
            <c:txPr>
              <a:bodyPr wrap="square" lIns="38100" tIns="19050" rIns="38100" bIns="19050" anchor="ctr">
                <a:spAutoFit/>
              </a:bodyPr>
              <a:lstStyle/>
              <a:p>
                <a:pPr algn="ctr" rtl="0">
                  <a:defRPr sz="1100" b="0" i="0" u="none" strike="noStrike" baseline="0">
                    <a:solidFill>
                      <a:srgbClr val="000000"/>
                    </a:solidFill>
                    <a:latin typeface="Calibri"/>
                    <a:ea typeface="Calibri"/>
                    <a:cs typeface="Calibri"/>
                  </a:defRPr>
                </a:pPr>
                <a:endParaRPr lang="en-US"/>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Statistics!$H$32:$H$33</c:f>
              <c:strCache>
                <c:ptCount val="2"/>
                <c:pt idx="0">
                  <c:v>Fully or partially covered by a test</c:v>
                </c:pt>
                <c:pt idx="1">
                  <c:v>Not covered by a test</c:v>
                </c:pt>
              </c:strCache>
            </c:strRef>
          </c:cat>
          <c:val>
            <c:numRef>
              <c:f>Statistics!$I$32:$I$33</c:f>
              <c:numCache>
                <c:formatCode>0</c:formatCode>
                <c:ptCount val="2"/>
                <c:pt idx="0" formatCode="General">
                  <c:v>0</c:v>
                </c:pt>
                <c:pt idx="1">
                  <c:v>0</c:v>
                </c:pt>
              </c:numCache>
            </c:numRef>
          </c:val>
          <c:extLst>
            <c:ext xmlns:c16="http://schemas.microsoft.com/office/drawing/2014/chart" uri="{C3380CC4-5D6E-409C-BE32-E72D297353CC}">
              <c16:uniqueId val="{00000002-7B50-468D-AD83-A568EFB6D807}"/>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759001101115659"/>
          <c:y val="4.8364963248773513E-2"/>
          <c:w val="0.52820829784139778"/>
          <c:h val="0.91936140014645129"/>
        </c:manualLayout>
      </c:layout>
      <c:pieChart>
        <c:varyColors val="1"/>
        <c:ser>
          <c:idx val="0"/>
          <c:order val="0"/>
          <c:dPt>
            <c:idx val="0"/>
            <c:bubble3D val="0"/>
            <c:extLst>
              <c:ext xmlns:c16="http://schemas.microsoft.com/office/drawing/2014/chart" uri="{C3380CC4-5D6E-409C-BE32-E72D297353CC}">
                <c16:uniqueId val="{00000000-4454-4616-91E9-47C6622D9E6B}"/>
              </c:ext>
            </c:extLst>
          </c:dPt>
          <c:dPt>
            <c:idx val="1"/>
            <c:bubble3D val="0"/>
            <c:extLst>
              <c:ext xmlns:c16="http://schemas.microsoft.com/office/drawing/2014/chart" uri="{C3380CC4-5D6E-409C-BE32-E72D297353CC}">
                <c16:uniqueId val="{00000001-4454-4616-91E9-47C6622D9E6B}"/>
              </c:ext>
            </c:extLst>
          </c:dPt>
          <c:dLbls>
            <c:dLbl>
              <c:idx val="0"/>
              <c:layout>
                <c:manualLayout>
                  <c:x val="0.12688961956678493"/>
                  <c:y val="9.6359743040685224E-3"/>
                </c:manualLayout>
              </c:layout>
              <c:spPr/>
              <c:txPr>
                <a:bodyPr/>
                <a:lstStyle/>
                <a:p>
                  <a:pPr algn="ctr" rtl="0">
                    <a:defRPr sz="1100" b="0" i="0" u="none" strike="noStrike" baseline="0">
                      <a:solidFill>
                        <a:srgbClr val="000000"/>
                      </a:solidFill>
                      <a:latin typeface="Calibri"/>
                      <a:ea typeface="Calibri"/>
                      <a:cs typeface="Calibri"/>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454-4616-91E9-47C6622D9E6B}"/>
                </c:ext>
              </c:extLst>
            </c:dLbl>
            <c:spPr>
              <a:noFill/>
              <a:ln w="25400">
                <a:noFill/>
              </a:ln>
            </c:spPr>
            <c:txPr>
              <a:bodyPr wrap="square" lIns="38100" tIns="19050" rIns="38100" bIns="19050" anchor="ctr">
                <a:spAutoFit/>
              </a:bodyPr>
              <a:lstStyle/>
              <a:p>
                <a:pPr algn="ctr" rtl="0">
                  <a:defRPr sz="1100" b="0" i="0" u="none" strike="noStrike" baseline="0">
                    <a:solidFill>
                      <a:srgbClr val="000000"/>
                    </a:solidFill>
                    <a:latin typeface="Calibri"/>
                    <a:ea typeface="Calibri"/>
                    <a:cs typeface="Calibri"/>
                  </a:defRPr>
                </a:pPr>
                <a:endParaRPr lang="en-US"/>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Statistics!$H$13:$H$14</c:f>
              <c:strCache>
                <c:ptCount val="2"/>
                <c:pt idx="0">
                  <c:v>Implemented</c:v>
                </c:pt>
                <c:pt idx="1">
                  <c:v>Not implemented</c:v>
                </c:pt>
              </c:strCache>
            </c:strRef>
          </c:cat>
          <c:val>
            <c:numRef>
              <c:f>Statistics!$I$13:$I$14</c:f>
              <c:numCache>
                <c:formatCode>0</c:formatCode>
                <c:ptCount val="2"/>
                <c:pt idx="0" formatCode="General">
                  <c:v>0</c:v>
                </c:pt>
                <c:pt idx="1">
                  <c:v>0</c:v>
                </c:pt>
              </c:numCache>
            </c:numRef>
          </c:val>
          <c:extLst>
            <c:ext xmlns:c16="http://schemas.microsoft.com/office/drawing/2014/chart" uri="{C3380CC4-5D6E-409C-BE32-E72D297353CC}">
              <c16:uniqueId val="{00000002-4454-4616-91E9-47C6622D9E6B}"/>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759001101115659"/>
          <c:y val="4.8364963248773513E-2"/>
          <c:w val="0.52820829784139778"/>
          <c:h val="0.91936140014645129"/>
        </c:manualLayout>
      </c:layout>
      <c:pieChart>
        <c:varyColors val="1"/>
        <c:ser>
          <c:idx val="0"/>
          <c:order val="0"/>
          <c:dPt>
            <c:idx val="0"/>
            <c:bubble3D val="0"/>
            <c:extLst>
              <c:ext xmlns:c16="http://schemas.microsoft.com/office/drawing/2014/chart" uri="{C3380CC4-5D6E-409C-BE32-E72D297353CC}">
                <c16:uniqueId val="{00000000-1A92-44DE-9793-9ED4366C6DB3}"/>
              </c:ext>
            </c:extLst>
          </c:dPt>
          <c:dPt>
            <c:idx val="1"/>
            <c:bubble3D val="0"/>
            <c:extLst>
              <c:ext xmlns:c16="http://schemas.microsoft.com/office/drawing/2014/chart" uri="{C3380CC4-5D6E-409C-BE32-E72D297353CC}">
                <c16:uniqueId val="{00000001-1A92-44DE-9793-9ED4366C6DB3}"/>
              </c:ext>
            </c:extLst>
          </c:dPt>
          <c:dLbls>
            <c:dLbl>
              <c:idx val="0"/>
              <c:layout>
                <c:manualLayout>
                  <c:x val="0.12688961956678493"/>
                  <c:y val="9.6359743040685224E-3"/>
                </c:manualLayout>
              </c:layout>
              <c:spPr/>
              <c:txPr>
                <a:bodyPr/>
                <a:lstStyle/>
                <a:p>
                  <a:pPr algn="ctr" rtl="0">
                    <a:defRPr sz="1100" b="0" i="0" u="none" strike="noStrike" baseline="0">
                      <a:solidFill>
                        <a:srgbClr val="000000"/>
                      </a:solidFill>
                      <a:latin typeface="Calibri"/>
                      <a:ea typeface="Calibri"/>
                      <a:cs typeface="Calibri"/>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1A92-44DE-9793-9ED4366C6DB3}"/>
                </c:ext>
              </c:extLst>
            </c:dLbl>
            <c:spPr>
              <a:noFill/>
              <a:ln w="25400">
                <a:noFill/>
              </a:ln>
            </c:spPr>
            <c:txPr>
              <a:bodyPr wrap="square" lIns="38100" tIns="19050" rIns="38100" bIns="19050" anchor="ctr">
                <a:spAutoFit/>
              </a:bodyPr>
              <a:lstStyle/>
              <a:p>
                <a:pPr algn="ctr" rtl="0">
                  <a:defRPr sz="1100" b="0" i="0" u="none" strike="noStrike" baseline="0">
                    <a:solidFill>
                      <a:srgbClr val="000000"/>
                    </a:solidFill>
                    <a:latin typeface="Calibri"/>
                    <a:ea typeface="Calibri"/>
                    <a:cs typeface="Calibri"/>
                  </a:defRPr>
                </a:pPr>
                <a:endParaRPr lang="en-US"/>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Statistics!$A$13:$A$14</c:f>
              <c:strCache>
                <c:ptCount val="2"/>
                <c:pt idx="0">
                  <c:v>Fully Implementing the Upper level requirements</c:v>
                </c:pt>
                <c:pt idx="1">
                  <c:v>Not or partially Implementing the Upper level requirements</c:v>
                </c:pt>
              </c:strCache>
            </c:strRef>
          </c:cat>
          <c:val>
            <c:numRef>
              <c:f>Statistics!$B$13:$B$14</c:f>
              <c:numCache>
                <c:formatCode>0</c:formatCode>
                <c:ptCount val="2"/>
                <c:pt idx="0" formatCode="General">
                  <c:v>0</c:v>
                </c:pt>
                <c:pt idx="1">
                  <c:v>0</c:v>
                </c:pt>
              </c:numCache>
            </c:numRef>
          </c:val>
          <c:extLst>
            <c:ext xmlns:c16="http://schemas.microsoft.com/office/drawing/2014/chart" uri="{C3380CC4-5D6E-409C-BE32-E72D297353CC}">
              <c16:uniqueId val="{00000002-1A92-44DE-9793-9ED4366C6DB3}"/>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9525</xdr:colOff>
      <xdr:row>2</xdr:row>
      <xdr:rowOff>152400</xdr:rowOff>
    </xdr:to>
    <xdr:pic>
      <xdr:nvPicPr>
        <xdr:cNvPr id="3" name="Image 3">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343025" cy="476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813" name="Picture 1">
          <a:extLst>
            <a:ext uri="{FF2B5EF4-FFF2-40B4-BE49-F238E27FC236}">
              <a16:creationId xmlns:a16="http://schemas.microsoft.com/office/drawing/2014/main" id="{00000000-0008-0000-0100-0000C53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814" name="Picture 2">
          <a:extLst>
            <a:ext uri="{FF2B5EF4-FFF2-40B4-BE49-F238E27FC236}">
              <a16:creationId xmlns:a16="http://schemas.microsoft.com/office/drawing/2014/main" id="{00000000-0008-0000-0100-0000C63D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333375</xdr:colOff>
          <xdr:row>0</xdr:row>
          <xdr:rowOff>28575</xdr:rowOff>
        </xdr:from>
        <xdr:to>
          <xdr:col>2</xdr:col>
          <xdr:colOff>685800</xdr:colOff>
          <xdr:row>0</xdr:row>
          <xdr:rowOff>466725</xdr:rowOff>
        </xdr:to>
        <xdr:sp macro="" textlink="">
          <xdr:nvSpPr>
            <xdr:cNvPr id="19457" name="UpdateStatisticsButton"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742950</xdr:colOff>
          <xdr:row>0</xdr:row>
          <xdr:rowOff>28575</xdr:rowOff>
        </xdr:from>
        <xdr:to>
          <xdr:col>3</xdr:col>
          <xdr:colOff>847725</xdr:colOff>
          <xdr:row>0</xdr:row>
          <xdr:rowOff>457200</xdr:rowOff>
        </xdr:to>
        <xdr:sp macro="" textlink="">
          <xdr:nvSpPr>
            <xdr:cNvPr id="19458" name="ImportArchMButton"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0</xdr:row>
          <xdr:rowOff>19050</xdr:rowOff>
        </xdr:from>
        <xdr:to>
          <xdr:col>5</xdr:col>
          <xdr:colOff>809625</xdr:colOff>
          <xdr:row>0</xdr:row>
          <xdr:rowOff>466725</xdr:rowOff>
        </xdr:to>
        <xdr:sp macro="" textlink="">
          <xdr:nvSpPr>
            <xdr:cNvPr id="19459" name="Button 3" descr="Generate List of Incomplete Architecture Elements" hidden="1">
              <a:extLst>
                <a:ext uri="{63B3BB69-23CF-44E3-9099-C40C66FF867C}">
                  <a14:compatExt spid="_x0000_s19459"/>
                </a:ext>
                <a:ext uri="{FF2B5EF4-FFF2-40B4-BE49-F238E27FC236}">
                  <a16:creationId xmlns:a16="http://schemas.microsoft.com/office/drawing/2014/main" id="{00000000-0008-0000-03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List of Incomplete Architecture Elements</a:t>
              </a:r>
            </a:p>
          </xdr:txBody>
        </xdr:sp>
        <xdr:clientData fPrintsWithSheet="0"/>
      </xdr:twoCellAnchor>
    </mc:Choice>
    <mc:Fallback/>
  </mc:AlternateContent>
  <xdr:twoCellAnchor>
    <xdr:from>
      <xdr:col>1</xdr:col>
      <xdr:colOff>180975</xdr:colOff>
      <xdr:row>36</xdr:row>
      <xdr:rowOff>60325</xdr:rowOff>
    </xdr:from>
    <xdr:to>
      <xdr:col>5</xdr:col>
      <xdr:colOff>962025</xdr:colOff>
      <xdr:row>47</xdr:row>
      <xdr:rowOff>104775</xdr:rowOff>
    </xdr:to>
    <xdr:graphicFrame macro="">
      <xdr:nvGraphicFramePr>
        <xdr:cNvPr id="20325" name="Chart 1">
          <a:extLst>
            <a:ext uri="{FF2B5EF4-FFF2-40B4-BE49-F238E27FC236}">
              <a16:creationId xmlns:a16="http://schemas.microsoft.com/office/drawing/2014/main" id="{00000000-0008-0000-0300-000065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593725</xdr:colOff>
      <xdr:row>34</xdr:row>
      <xdr:rowOff>6350</xdr:rowOff>
    </xdr:from>
    <xdr:to>
      <xdr:col>12</xdr:col>
      <xdr:colOff>917575</xdr:colOff>
      <xdr:row>47</xdr:row>
      <xdr:rowOff>79375</xdr:rowOff>
    </xdr:to>
    <xdr:graphicFrame macro="">
      <xdr:nvGraphicFramePr>
        <xdr:cNvPr id="20327" name="Chart 8">
          <a:extLst>
            <a:ext uri="{FF2B5EF4-FFF2-40B4-BE49-F238E27FC236}">
              <a16:creationId xmlns:a16="http://schemas.microsoft.com/office/drawing/2014/main" id="{00000000-0008-0000-0300-000067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600075</xdr:colOff>
      <xdr:row>14</xdr:row>
      <xdr:rowOff>161925</xdr:rowOff>
    </xdr:from>
    <xdr:to>
      <xdr:col>12</xdr:col>
      <xdr:colOff>923925</xdr:colOff>
      <xdr:row>28</xdr:row>
      <xdr:rowOff>60325</xdr:rowOff>
    </xdr:to>
    <xdr:graphicFrame macro="">
      <xdr:nvGraphicFramePr>
        <xdr:cNvPr id="20328" name="Chart 8">
          <a:extLst>
            <a:ext uri="{FF2B5EF4-FFF2-40B4-BE49-F238E27FC236}">
              <a16:creationId xmlns:a16="http://schemas.microsoft.com/office/drawing/2014/main" id="{00000000-0008-0000-0300-000068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581025</xdr:colOff>
      <xdr:row>14</xdr:row>
      <xdr:rowOff>146050</xdr:rowOff>
    </xdr:from>
    <xdr:to>
      <xdr:col>5</xdr:col>
      <xdr:colOff>908050</xdr:colOff>
      <xdr:row>28</xdr:row>
      <xdr:rowOff>41275</xdr:rowOff>
    </xdr:to>
    <xdr:graphicFrame macro="">
      <xdr:nvGraphicFramePr>
        <xdr:cNvPr id="20329" name="Chart 8">
          <a:extLst>
            <a:ext uri="{FF2B5EF4-FFF2-40B4-BE49-F238E27FC236}">
              <a16:creationId xmlns:a16="http://schemas.microsoft.com/office/drawing/2014/main" id="{00000000-0008-0000-0300-000069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6</xdr:col>
          <xdr:colOff>104775</xdr:colOff>
          <xdr:row>0</xdr:row>
          <xdr:rowOff>38100</xdr:rowOff>
        </xdr:from>
        <xdr:to>
          <xdr:col>7</xdr:col>
          <xdr:colOff>457200</xdr:colOff>
          <xdr:row>0</xdr:row>
          <xdr:rowOff>485775</xdr:rowOff>
        </xdr:to>
        <xdr:sp macro="" textlink="">
          <xdr:nvSpPr>
            <xdr:cNvPr id="19941" name="Button 485" descr="Generate Architecture Elements Test Status" hidden="1">
              <a:extLst>
                <a:ext uri="{63B3BB69-23CF-44E3-9099-C40C66FF867C}">
                  <a14:compatExt spid="_x0000_s19941"/>
                </a:ext>
                <a:ext uri="{FF2B5EF4-FFF2-40B4-BE49-F238E27FC236}">
                  <a16:creationId xmlns:a16="http://schemas.microsoft.com/office/drawing/2014/main" id="{00000000-0008-0000-0300-0000E54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Architecture Elements Test Status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yR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Francine.Chambin.CORP/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User Guide"/>
      <sheetName val="Statistics"/>
      <sheetName val="Requirement Status"/>
      <sheetName val="Req List Without Satisfie(s-d)"/>
      <sheetName val="Req Test Status"/>
      <sheetName val="Feuil1"/>
      <sheetName val="Styles"/>
    </sheetNames>
    <sheetDataSet>
      <sheetData sheetId="0">
        <row r="3">
          <cell r="AD3" t="str">
            <v>SyRM.xlsm</v>
          </cell>
        </row>
        <row r="7">
          <cell r="E7" t="str">
            <v>System Requirements Matrix (SyRM)</v>
          </cell>
        </row>
        <row r="24">
          <cell r="O24" t="str">
            <v>tbd</v>
          </cell>
        </row>
      </sheetData>
      <sheetData sheetId="1"/>
      <sheetData sheetId="2"/>
      <sheetData sheetId="3">
        <row r="7">
          <cell r="C7">
            <v>0</v>
          </cell>
          <cell r="E7">
            <v>0</v>
          </cell>
          <cell r="F7">
            <v>0</v>
          </cell>
          <cell r="I7">
            <v>0</v>
          </cell>
          <cell r="J7">
            <v>0</v>
          </cell>
          <cell r="K7">
            <v>0</v>
          </cell>
          <cell r="L7">
            <v>0</v>
          </cell>
          <cell r="M7">
            <v>0</v>
          </cell>
          <cell r="N7">
            <v>0</v>
          </cell>
        </row>
        <row r="13">
          <cell r="B13">
            <v>0</v>
          </cell>
        </row>
        <row r="14">
          <cell r="B14">
            <v>0</v>
          </cell>
        </row>
        <row r="69">
          <cell r="B69" t="str">
            <v>All</v>
          </cell>
        </row>
      </sheetData>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4.emf"/><Relationship Id="rId10" Type="http://schemas.openxmlformats.org/officeDocument/2006/relationships/comments" Target="../comments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116"/>
  <sheetViews>
    <sheetView showGridLines="0" zoomScaleNormal="100" workbookViewId="0">
      <selection activeCell="F10" sqref="F10:K10"/>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59" t="str">
        <f ca="1">MID(CELL("filename"),FIND("[",CELL("filename"))+1,FIND("]",CELL("filename"))-FIND("[",CELL("filename"))-1)</f>
        <v>ArchM.xlsm</v>
      </c>
      <c r="AE3" s="9"/>
      <c r="AF3" s="9"/>
      <c r="AG3" s="9"/>
      <c r="AH3" s="9"/>
      <c r="AI3" s="9"/>
      <c r="AJ3" s="9"/>
      <c r="AK3" s="9"/>
    </row>
    <row r="4" spans="1:37" s="8" customFormat="1" ht="11.1" customHeight="1" x14ac:dyDescent="0.2">
      <c r="A4" s="231" t="s">
        <v>1</v>
      </c>
      <c r="B4" s="232"/>
      <c r="C4" s="232"/>
      <c r="D4" s="232"/>
      <c r="E4" s="232"/>
      <c r="F4" s="232"/>
      <c r="G4" s="232"/>
      <c r="H4" s="232"/>
      <c r="I4" s="232"/>
      <c r="J4" s="232"/>
      <c r="K4" s="232"/>
      <c r="L4" s="232"/>
      <c r="M4" s="232"/>
      <c r="N4" s="232"/>
      <c r="O4" s="232"/>
      <c r="P4" s="232"/>
      <c r="Q4" s="232"/>
      <c r="R4" s="232"/>
      <c r="S4" s="232"/>
      <c r="T4" s="232"/>
      <c r="U4" s="232"/>
      <c r="V4" s="233"/>
      <c r="W4" s="240" t="s">
        <v>2</v>
      </c>
      <c r="X4" s="241"/>
      <c r="Y4" s="241"/>
      <c r="Z4" s="241"/>
      <c r="AA4" s="242"/>
      <c r="AB4" s="234" t="s">
        <v>20</v>
      </c>
      <c r="AC4" s="235"/>
      <c r="AD4" s="235"/>
      <c r="AE4" s="235"/>
      <c r="AF4" s="235"/>
      <c r="AG4" s="236"/>
      <c r="AH4" s="11"/>
      <c r="AI4" s="11"/>
      <c r="AJ4" s="11"/>
      <c r="AK4" s="9"/>
    </row>
    <row r="5" spans="1:37" s="13" customFormat="1" ht="12.75" customHeight="1" x14ac:dyDescent="0.2">
      <c r="A5" s="237" t="str">
        <f ca="1">[2]!alvDocProperty("MXAuthority")</f>
        <v>#NAME?</v>
      </c>
      <c r="B5" s="238"/>
      <c r="C5" s="238"/>
      <c r="D5" s="238"/>
      <c r="E5" s="238"/>
      <c r="F5" s="238"/>
      <c r="G5" s="238"/>
      <c r="H5" s="238"/>
      <c r="I5" s="238"/>
      <c r="J5" s="238"/>
      <c r="K5" s="238"/>
      <c r="L5" s="238"/>
      <c r="M5" s="238"/>
      <c r="N5" s="238"/>
      <c r="O5" s="238"/>
      <c r="P5" s="238"/>
      <c r="Q5" s="238"/>
      <c r="R5" s="238"/>
      <c r="S5" s="238"/>
      <c r="T5" s="238"/>
      <c r="U5" s="238"/>
      <c r="V5" s="239"/>
      <c r="W5" s="237" t="str">
        <f ca="1" xml:space="preserve"> [2]!alvDocProperty("MXCurrent.Localized")</f>
        <v>#NAME?</v>
      </c>
      <c r="X5" s="238"/>
      <c r="Y5" s="238"/>
      <c r="Z5" s="238"/>
      <c r="AA5" s="239"/>
      <c r="AB5" s="237" t="str">
        <f ca="1" xml:space="preserve"> [2]!alvDocProperty("MXActual_state_Released")</f>
        <v>#NAME?</v>
      </c>
      <c r="AC5" s="238"/>
      <c r="AD5" s="238"/>
      <c r="AE5" s="238"/>
      <c r="AF5" s="238"/>
      <c r="AG5" s="239"/>
      <c r="AH5" s="12"/>
      <c r="AI5" s="12"/>
      <c r="AJ5" s="12"/>
      <c r="AK5" s="12"/>
    </row>
    <row r="6" spans="1:37" s="46" customFormat="1" ht="11.1" customHeight="1" x14ac:dyDescent="0.2">
      <c r="A6" s="240" t="s">
        <v>3</v>
      </c>
      <c r="B6" s="241"/>
      <c r="C6" s="241"/>
      <c r="D6" s="242"/>
      <c r="E6" s="240" t="s">
        <v>4</v>
      </c>
      <c r="F6" s="241"/>
      <c r="G6" s="241"/>
      <c r="H6" s="241"/>
      <c r="I6" s="241"/>
      <c r="J6" s="241"/>
      <c r="K6" s="241"/>
      <c r="L6" s="241"/>
      <c r="M6" s="241"/>
      <c r="N6" s="241"/>
      <c r="O6" s="241"/>
      <c r="P6" s="241"/>
      <c r="Q6" s="241"/>
      <c r="R6" s="241"/>
      <c r="S6" s="241"/>
      <c r="T6" s="241"/>
      <c r="U6" s="241"/>
      <c r="V6" s="242"/>
      <c r="W6" s="231" t="s">
        <v>15</v>
      </c>
      <c r="X6" s="232"/>
      <c r="Y6" s="232"/>
      <c r="Z6" s="232"/>
      <c r="AA6" s="233"/>
      <c r="AB6" s="240" t="s">
        <v>0</v>
      </c>
      <c r="AC6" s="241"/>
      <c r="AD6" s="242"/>
      <c r="AE6" s="240" t="s">
        <v>5</v>
      </c>
      <c r="AF6" s="241"/>
      <c r="AG6" s="242"/>
      <c r="AH6" s="45"/>
      <c r="AI6" s="45"/>
      <c r="AJ6" s="45"/>
      <c r="AK6" s="45"/>
    </row>
    <row r="7" spans="1:37" s="15" customFormat="1" ht="28.5" customHeight="1" x14ac:dyDescent="0.2">
      <c r="A7" s="237" t="str">
        <f ca="1" xml:space="preserve"> [2]!alvDocProperty("MXName")</f>
        <v>#NAME?</v>
      </c>
      <c r="B7" s="238"/>
      <c r="C7" s="238"/>
      <c r="D7" s="239"/>
      <c r="E7" s="237" t="s">
        <v>153</v>
      </c>
      <c r="F7" s="238"/>
      <c r="G7" s="238"/>
      <c r="H7" s="238"/>
      <c r="I7" s="238"/>
      <c r="J7" s="238"/>
      <c r="K7" s="238"/>
      <c r="L7" s="238"/>
      <c r="M7" s="238"/>
      <c r="N7" s="238"/>
      <c r="O7" s="238"/>
      <c r="P7" s="238"/>
      <c r="Q7" s="238"/>
      <c r="R7" s="238"/>
      <c r="S7" s="238"/>
      <c r="T7" s="238"/>
      <c r="U7" s="238"/>
      <c r="V7" s="239"/>
      <c r="W7" s="243" t="s">
        <v>116</v>
      </c>
      <c r="X7" s="238"/>
      <c r="Y7" s="238"/>
      <c r="Z7" s="238"/>
      <c r="AA7" s="239"/>
      <c r="AB7" s="237" t="str">
        <f ca="1" xml:space="preserve"> [2]!alvDocProperty("MXRevision")</f>
        <v>#NAME?</v>
      </c>
      <c r="AC7" s="238"/>
      <c r="AD7" s="239"/>
      <c r="AE7" s="237" t="str">
        <f ca="1" xml:space="preserve"> [2]!alvDocProperty("MXVersion")</f>
        <v>#NAME?</v>
      </c>
      <c r="AF7" s="238"/>
      <c r="AG7" s="239"/>
      <c r="AH7" s="14"/>
      <c r="AI7" s="14"/>
      <c r="AJ7" s="14"/>
      <c r="AK7" s="14"/>
    </row>
    <row r="8" spans="1:37" s="13" customFormat="1" x14ac:dyDescent="0.2">
      <c r="A8" s="47"/>
      <c r="B8" s="47"/>
      <c r="C8" s="47"/>
      <c r="D8" s="47"/>
      <c r="E8" s="47"/>
      <c r="F8" s="47"/>
      <c r="G8" s="47"/>
      <c r="H8" s="47"/>
      <c r="I8" s="47"/>
      <c r="J8" s="47"/>
      <c r="K8" s="47"/>
      <c r="L8" s="47"/>
      <c r="M8" s="47"/>
      <c r="N8" s="47"/>
      <c r="O8" s="47"/>
      <c r="P8" s="47"/>
      <c r="Q8" s="47"/>
      <c r="R8" s="47"/>
      <c r="S8" s="47"/>
      <c r="T8" s="47"/>
      <c r="U8" s="47"/>
      <c r="V8" s="47"/>
      <c r="W8" s="48"/>
      <c r="X8" s="48"/>
      <c r="Y8" s="48"/>
      <c r="Z8" s="48"/>
      <c r="AA8" s="48"/>
      <c r="AB8" s="47"/>
      <c r="AC8" s="47"/>
      <c r="AD8" s="47"/>
      <c r="AE8" s="47"/>
      <c r="AF8" s="47"/>
      <c r="AG8" s="47"/>
      <c r="AH8" s="12"/>
      <c r="AI8" s="12"/>
      <c r="AJ8" s="12"/>
      <c r="AK8" s="12"/>
    </row>
    <row r="9" spans="1:37" ht="11.1" customHeight="1" x14ac:dyDescent="0.2">
      <c r="A9" s="244" t="s">
        <v>21</v>
      </c>
      <c r="B9" s="245"/>
      <c r="C9" s="245"/>
      <c r="D9" s="245"/>
      <c r="E9" s="245"/>
      <c r="F9" s="245"/>
      <c r="G9" s="245"/>
      <c r="H9" s="245"/>
      <c r="I9" s="245"/>
      <c r="J9" s="245"/>
      <c r="K9" s="246"/>
      <c r="L9" s="244" t="s">
        <v>22</v>
      </c>
      <c r="M9" s="245"/>
      <c r="N9" s="245"/>
      <c r="O9" s="245"/>
      <c r="P9" s="245"/>
      <c r="Q9" s="245"/>
      <c r="R9" s="245"/>
      <c r="S9" s="245"/>
      <c r="T9" s="245"/>
      <c r="U9" s="245"/>
      <c r="V9" s="246"/>
      <c r="W9" s="244" t="s">
        <v>23</v>
      </c>
      <c r="X9" s="245"/>
      <c r="Y9" s="245"/>
      <c r="Z9" s="245"/>
      <c r="AA9" s="245"/>
      <c r="AB9" s="245"/>
      <c r="AC9" s="245"/>
      <c r="AD9" s="245"/>
      <c r="AE9" s="245"/>
      <c r="AF9" s="245"/>
      <c r="AG9" s="246"/>
      <c r="AH9" s="16"/>
      <c r="AI9" s="16"/>
    </row>
    <row r="10" spans="1:37" s="50" customFormat="1" ht="28.5" customHeight="1" x14ac:dyDescent="0.2">
      <c r="A10" s="252" t="s">
        <v>36</v>
      </c>
      <c r="B10" s="253"/>
      <c r="C10" s="253"/>
      <c r="D10" s="253"/>
      <c r="E10" s="253"/>
      <c r="F10" s="250" t="str">
        <f ca="1" xml:space="preserve"> [2]!alvDocProperty("MXCheckin User")</f>
        <v>#NAME?</v>
      </c>
      <c r="G10" s="250"/>
      <c r="H10" s="250"/>
      <c r="I10" s="250"/>
      <c r="J10" s="250"/>
      <c r="K10" s="251"/>
      <c r="L10" s="261" t="s">
        <v>41</v>
      </c>
      <c r="M10" s="262"/>
      <c r="N10" s="262"/>
      <c r="O10" s="262"/>
      <c r="P10" s="262"/>
      <c r="Q10" s="262"/>
      <c r="R10" s="262"/>
      <c r="S10" s="262"/>
      <c r="T10" s="262"/>
      <c r="U10" s="262"/>
      <c r="V10" s="263"/>
      <c r="W10" s="261" t="s">
        <v>41</v>
      </c>
      <c r="X10" s="262"/>
      <c r="Y10" s="262"/>
      <c r="Z10" s="262"/>
      <c r="AA10" s="262"/>
      <c r="AB10" s="262"/>
      <c r="AC10" s="262"/>
      <c r="AD10" s="262"/>
      <c r="AE10" s="262"/>
      <c r="AF10" s="262"/>
      <c r="AG10" s="263"/>
      <c r="AH10" s="49"/>
      <c r="AI10" s="49"/>
    </row>
    <row r="11" spans="1:37" s="56" customFormat="1" ht="4.5" customHeight="1" x14ac:dyDescent="0.2">
      <c r="A11" s="51"/>
      <c r="B11" s="52"/>
      <c r="C11" s="52"/>
      <c r="D11" s="52"/>
      <c r="E11" s="52"/>
      <c r="F11" s="52"/>
      <c r="G11" s="52"/>
      <c r="H11" s="52"/>
      <c r="I11" s="52"/>
      <c r="J11" s="52"/>
      <c r="K11" s="52"/>
      <c r="L11" s="53"/>
      <c r="M11" s="52"/>
      <c r="N11" s="52"/>
      <c r="O11" s="52"/>
      <c r="P11" s="52"/>
      <c r="Q11" s="52"/>
      <c r="R11" s="52"/>
      <c r="S11" s="52"/>
      <c r="T11" s="52"/>
      <c r="U11" s="52"/>
      <c r="V11" s="52"/>
      <c r="W11" s="53"/>
      <c r="X11" s="52"/>
      <c r="Y11" s="52"/>
      <c r="Z11" s="52"/>
      <c r="AA11" s="52"/>
      <c r="AB11" s="52"/>
      <c r="AC11" s="52"/>
      <c r="AD11" s="52"/>
      <c r="AE11" s="52"/>
      <c r="AF11" s="52"/>
      <c r="AG11" s="54"/>
      <c r="AH11" s="55"/>
      <c r="AI11" s="55"/>
    </row>
    <row r="12" spans="1:37" s="57" customFormat="1" ht="11.1" customHeight="1" x14ac:dyDescent="0.2">
      <c r="A12" s="271" t="s">
        <v>24</v>
      </c>
      <c r="B12" s="272"/>
      <c r="C12" s="272"/>
      <c r="D12" s="272"/>
      <c r="E12" s="272"/>
      <c r="F12" s="272"/>
      <c r="G12" s="272"/>
      <c r="H12" s="272"/>
      <c r="I12" s="272"/>
      <c r="J12" s="272"/>
      <c r="K12" s="272"/>
      <c r="L12" s="272"/>
      <c r="M12" s="272"/>
      <c r="N12" s="272"/>
      <c r="O12" s="272"/>
      <c r="P12" s="272"/>
      <c r="Q12" s="272"/>
      <c r="R12" s="272"/>
      <c r="S12" s="272"/>
      <c r="T12" s="272"/>
      <c r="U12" s="272"/>
      <c r="V12" s="272"/>
      <c r="W12" s="272"/>
      <c r="X12" s="272"/>
      <c r="Y12" s="272"/>
      <c r="Z12" s="272"/>
      <c r="AA12" s="272"/>
      <c r="AB12" s="272"/>
      <c r="AC12" s="272"/>
      <c r="AD12" s="272"/>
      <c r="AE12" s="272"/>
      <c r="AF12" s="272"/>
      <c r="AG12" s="273"/>
      <c r="AH12" s="16"/>
      <c r="AI12" s="16"/>
      <c r="AJ12" s="16"/>
      <c r="AK12" s="16"/>
    </row>
    <row r="13" spans="1:37" s="50" customFormat="1" ht="28.5" customHeight="1" x14ac:dyDescent="0.2">
      <c r="A13" s="258" t="s">
        <v>25</v>
      </c>
      <c r="B13" s="259"/>
      <c r="C13" s="259"/>
      <c r="D13" s="259"/>
      <c r="E13" s="259"/>
      <c r="F13" s="259"/>
      <c r="G13" s="259"/>
      <c r="H13" s="259"/>
      <c r="I13" s="259"/>
      <c r="J13" s="259"/>
      <c r="K13" s="260"/>
      <c r="L13" s="261" t="s">
        <v>26</v>
      </c>
      <c r="M13" s="262"/>
      <c r="N13" s="262"/>
      <c r="O13" s="262"/>
      <c r="P13" s="262"/>
      <c r="Q13" s="262"/>
      <c r="R13" s="262"/>
      <c r="S13" s="262"/>
      <c r="T13" s="262"/>
      <c r="U13" s="262"/>
      <c r="V13" s="263"/>
      <c r="W13" s="258" t="s">
        <v>27</v>
      </c>
      <c r="X13" s="259"/>
      <c r="Y13" s="259"/>
      <c r="Z13" s="259"/>
      <c r="AA13" s="259"/>
      <c r="AB13" s="259"/>
      <c r="AC13" s="259"/>
      <c r="AD13" s="259"/>
      <c r="AE13" s="259"/>
      <c r="AF13" s="259"/>
      <c r="AG13" s="260"/>
      <c r="AH13" s="49"/>
      <c r="AI13" s="49"/>
      <c r="AJ13" s="49"/>
      <c r="AK13" s="49"/>
    </row>
    <row r="14" spans="1:37" s="56" customFormat="1" ht="4.5" customHeight="1" x14ac:dyDescent="0.2">
      <c r="A14" s="53"/>
      <c r="B14" s="52"/>
      <c r="C14" s="52"/>
      <c r="D14" s="52"/>
      <c r="E14" s="52"/>
      <c r="F14" s="52"/>
      <c r="G14" s="52"/>
      <c r="H14" s="52"/>
      <c r="I14" s="52"/>
      <c r="J14" s="52"/>
      <c r="K14" s="52"/>
      <c r="L14" s="53"/>
      <c r="M14" s="52"/>
      <c r="N14" s="52"/>
      <c r="O14" s="52"/>
      <c r="P14" s="52"/>
      <c r="Q14" s="52"/>
      <c r="R14" s="52"/>
      <c r="S14" s="52"/>
      <c r="T14" s="52"/>
      <c r="U14" s="52"/>
      <c r="V14" s="52"/>
      <c r="W14" s="53"/>
      <c r="X14" s="52"/>
      <c r="Y14" s="52"/>
      <c r="Z14" s="52"/>
      <c r="AA14" s="52"/>
      <c r="AB14" s="52"/>
      <c r="AC14" s="52"/>
      <c r="AD14" s="52"/>
      <c r="AE14" s="52"/>
      <c r="AF14" s="52"/>
      <c r="AG14" s="52"/>
      <c r="AH14" s="55"/>
      <c r="AI14" s="55"/>
    </row>
    <row r="15" spans="1:37" s="19" customFormat="1" ht="73.5" customHeight="1" x14ac:dyDescent="0.2">
      <c r="A15" s="254" t="s">
        <v>28</v>
      </c>
      <c r="B15" s="254"/>
      <c r="C15" s="254"/>
      <c r="D15" s="255"/>
      <c r="E15" s="268"/>
      <c r="F15" s="269"/>
      <c r="G15" s="269"/>
      <c r="H15" s="269"/>
      <c r="I15" s="269"/>
      <c r="J15" s="269"/>
      <c r="K15" s="269"/>
      <c r="L15" s="269"/>
      <c r="M15" s="269"/>
      <c r="N15" s="269"/>
      <c r="O15" s="269"/>
      <c r="P15" s="269"/>
      <c r="Q15" s="269"/>
      <c r="R15" s="269"/>
      <c r="S15" s="269"/>
      <c r="T15" s="269"/>
      <c r="U15" s="269"/>
      <c r="V15" s="269"/>
      <c r="W15" s="269"/>
      <c r="X15" s="269"/>
      <c r="Y15" s="269"/>
      <c r="Z15" s="269"/>
      <c r="AA15" s="269"/>
      <c r="AB15" s="269"/>
      <c r="AC15" s="269"/>
      <c r="AD15" s="269"/>
      <c r="AE15" s="269"/>
      <c r="AF15" s="269"/>
      <c r="AG15" s="270"/>
      <c r="AH15" s="18"/>
      <c r="AI15" s="18"/>
      <c r="AJ15" s="18"/>
      <c r="AK15" s="18"/>
    </row>
    <row r="16" spans="1:37" s="19" customFormat="1" ht="37.5" customHeight="1" x14ac:dyDescent="0.2">
      <c r="A16" s="256"/>
      <c r="B16" s="256"/>
      <c r="C16" s="256"/>
      <c r="D16" s="257"/>
      <c r="E16" s="264"/>
      <c r="F16" s="265"/>
      <c r="G16" s="265"/>
      <c r="H16" s="265"/>
      <c r="I16" s="265"/>
      <c r="J16" s="265"/>
      <c r="K16" s="265"/>
      <c r="L16" s="265"/>
      <c r="M16" s="265"/>
      <c r="N16" s="265"/>
      <c r="O16" s="265"/>
      <c r="P16" s="265"/>
      <c r="Q16" s="265"/>
      <c r="R16" s="265"/>
      <c r="S16" s="265"/>
      <c r="T16" s="265"/>
      <c r="U16" s="265"/>
      <c r="V16" s="265"/>
      <c r="W16" s="265"/>
      <c r="X16" s="265"/>
      <c r="Y16" s="265"/>
      <c r="Z16" s="265"/>
      <c r="AA16" s="265"/>
      <c r="AB16" s="265"/>
      <c r="AC16" s="265"/>
      <c r="AD16" s="265"/>
      <c r="AE16" s="265"/>
      <c r="AF16" s="265"/>
      <c r="AG16" s="266"/>
      <c r="AH16" s="18"/>
      <c r="AI16" s="18"/>
      <c r="AJ16" s="18"/>
      <c r="AK16" s="18"/>
    </row>
    <row r="17" spans="1:37" s="19" customFormat="1" x14ac:dyDescent="0.2">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row>
    <row r="18" spans="1:37" s="19" customFormat="1" x14ac:dyDescent="0.2">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row>
    <row r="19" spans="1:37" s="19" customFormat="1" x14ac:dyDescent="0.2">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row>
    <row r="20" spans="1:37" s="19" customFormat="1" x14ac:dyDescent="0.2">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row>
    <row r="21" spans="1:37" s="19" customFormat="1" ht="15.75" customHeight="1" x14ac:dyDescent="0.2">
      <c r="C21" s="18"/>
      <c r="D21" s="18"/>
      <c r="E21" s="18"/>
      <c r="F21" s="18"/>
      <c r="G21" s="18"/>
      <c r="H21" s="18"/>
      <c r="I21" s="18"/>
      <c r="J21" s="18"/>
      <c r="K21" s="18"/>
      <c r="L21" s="18"/>
      <c r="M21" s="18"/>
      <c r="N21" s="18"/>
      <c r="O21" s="18"/>
      <c r="P21" s="18"/>
      <c r="Q21" s="58"/>
      <c r="R21" s="18"/>
      <c r="S21" s="18"/>
      <c r="T21" s="18"/>
      <c r="U21" s="18"/>
      <c r="V21" s="18"/>
      <c r="W21" s="18"/>
      <c r="X21" s="18"/>
      <c r="Y21" s="18"/>
      <c r="Z21" s="18"/>
      <c r="AA21" s="18"/>
      <c r="AB21" s="18"/>
      <c r="AC21" s="18"/>
      <c r="AD21" s="18"/>
      <c r="AE21" s="18"/>
      <c r="AF21" s="18"/>
      <c r="AG21" s="18"/>
      <c r="AH21" s="18"/>
      <c r="AI21" s="18"/>
      <c r="AJ21" s="18"/>
      <c r="AK21" s="18"/>
    </row>
    <row r="22" spans="1:37" s="19" customFormat="1" ht="12" customHeight="1" x14ac:dyDescent="0.2">
      <c r="C22" s="18"/>
      <c r="D22" s="18"/>
      <c r="E22" s="18"/>
      <c r="F22" s="18"/>
      <c r="G22" s="18"/>
      <c r="H22" s="18"/>
      <c r="I22" s="18"/>
      <c r="J22" s="18"/>
      <c r="K22" s="18"/>
      <c r="L22" s="18"/>
      <c r="M22" s="18"/>
      <c r="N22" s="18"/>
      <c r="O22" s="18"/>
      <c r="P22" s="18"/>
      <c r="Q22" s="58"/>
      <c r="R22" s="18"/>
      <c r="S22" s="18"/>
      <c r="T22" s="18"/>
      <c r="U22" s="18"/>
      <c r="V22" s="18"/>
      <c r="W22" s="18"/>
      <c r="X22" s="18"/>
      <c r="Y22" s="18"/>
      <c r="Z22" s="18"/>
      <c r="AA22" s="18"/>
      <c r="AB22" s="18"/>
      <c r="AC22" s="18"/>
      <c r="AD22" s="18"/>
      <c r="AE22" s="18"/>
      <c r="AF22" s="18"/>
      <c r="AG22" s="18"/>
      <c r="AH22" s="18"/>
      <c r="AI22" s="18"/>
      <c r="AJ22" s="18"/>
      <c r="AK22" s="18"/>
    </row>
    <row r="23" spans="1:37" s="19" customFormat="1" ht="60" customHeight="1" x14ac:dyDescent="0.2">
      <c r="A23" s="267" t="str">
        <f>MXTitle</f>
        <v>Architecture Matrix (ArchM)</v>
      </c>
      <c r="B23" s="267"/>
      <c r="C23" s="267"/>
      <c r="D23" s="267"/>
      <c r="E23" s="267"/>
      <c r="F23" s="267"/>
      <c r="G23" s="267"/>
      <c r="H23" s="267"/>
      <c r="I23" s="267"/>
      <c r="J23" s="267"/>
      <c r="K23" s="267"/>
      <c r="L23" s="267"/>
      <c r="M23" s="267"/>
      <c r="N23" s="267"/>
      <c r="O23" s="267"/>
      <c r="P23" s="267"/>
      <c r="Q23" s="267"/>
      <c r="R23" s="267"/>
      <c r="S23" s="267"/>
      <c r="T23" s="267"/>
      <c r="U23" s="267"/>
      <c r="V23" s="267"/>
      <c r="W23" s="267"/>
      <c r="X23" s="267"/>
      <c r="Y23" s="267"/>
      <c r="Z23" s="267"/>
      <c r="AA23" s="267"/>
      <c r="AB23" s="267"/>
      <c r="AC23" s="267"/>
      <c r="AD23" s="267"/>
      <c r="AE23" s="267"/>
      <c r="AF23" s="267"/>
      <c r="AG23" s="267"/>
      <c r="AH23" s="18"/>
      <c r="AI23" s="18"/>
      <c r="AJ23" s="18"/>
      <c r="AK23" s="18"/>
    </row>
    <row r="24" spans="1:37" s="91" customFormat="1" ht="26.25" x14ac:dyDescent="0.2">
      <c r="B24" s="92"/>
      <c r="C24" s="93"/>
      <c r="D24" s="93"/>
      <c r="E24" s="93"/>
      <c r="F24" s="93"/>
      <c r="G24" s="93"/>
      <c r="H24" s="93"/>
      <c r="I24" s="93"/>
      <c r="K24" s="94"/>
      <c r="L24" s="95" t="s">
        <v>76</v>
      </c>
      <c r="M24" s="96"/>
      <c r="N24" s="96"/>
      <c r="O24" s="247" t="s">
        <v>102</v>
      </c>
      <c r="P24" s="248"/>
      <c r="Q24" s="248"/>
      <c r="R24" s="248"/>
      <c r="S24" s="248"/>
      <c r="T24" s="248"/>
      <c r="U24" s="249"/>
      <c r="Z24" s="93"/>
      <c r="AA24" s="93"/>
      <c r="AB24" s="93"/>
      <c r="AC24" s="93"/>
      <c r="AD24" s="93"/>
      <c r="AE24" s="93"/>
      <c r="AF24" s="93"/>
      <c r="AG24" s="93"/>
      <c r="AH24" s="93"/>
      <c r="AI24" s="97"/>
      <c r="AJ24" s="97"/>
      <c r="AK24" s="97"/>
    </row>
    <row r="25" spans="1:37" s="19" customFormat="1" x14ac:dyDescent="0.2">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row>
    <row r="26" spans="1:37" x14ac:dyDescent="0.2"/>
    <row r="27" spans="1:37" hidden="1" x14ac:dyDescent="0.2"/>
    <row r="28" spans="1:37" hidden="1" x14ac:dyDescent="0.2"/>
    <row r="29" spans="1:37" hidden="1" x14ac:dyDescent="0.2"/>
    <row r="30" spans="1:37" hidden="1" x14ac:dyDescent="0.2"/>
    <row r="31" spans="1:37" hidden="1" x14ac:dyDescent="0.2"/>
    <row r="32" spans="1:37"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sheetData>
  <sheetProtection formatCells="0" formatRows="0" insertColumns="0" insertRows="0" insertHyperlinks="0" deleteRows="0" selectLockedCells="1" sort="0" autoFilter="0" pivotTables="0"/>
  <dataConsolidate/>
  <mergeCells count="32">
    <mergeCell ref="W9:AG9"/>
    <mergeCell ref="O24:U24"/>
    <mergeCell ref="F10:K10"/>
    <mergeCell ref="A10:E10"/>
    <mergeCell ref="A15:D16"/>
    <mergeCell ref="A13:K13"/>
    <mergeCell ref="W13:AG13"/>
    <mergeCell ref="L13:V13"/>
    <mergeCell ref="W10:AG10"/>
    <mergeCell ref="E16:AG16"/>
    <mergeCell ref="A23:AG23"/>
    <mergeCell ref="E15:AG15"/>
    <mergeCell ref="A12:AG12"/>
    <mergeCell ref="L9:V9"/>
    <mergeCell ref="L10:V10"/>
    <mergeCell ref="A9:K9"/>
    <mergeCell ref="A4:V4"/>
    <mergeCell ref="AB4:AG4"/>
    <mergeCell ref="W5:AA5"/>
    <mergeCell ref="W4:AA4"/>
    <mergeCell ref="AE7:AG7"/>
    <mergeCell ref="AB7:AD7"/>
    <mergeCell ref="A5:V5"/>
    <mergeCell ref="A6:D6"/>
    <mergeCell ref="W7:AA7"/>
    <mergeCell ref="AB5:AG5"/>
    <mergeCell ref="E6:V6"/>
    <mergeCell ref="E7:V7"/>
    <mergeCell ref="AE6:AG6"/>
    <mergeCell ref="AB6:AD6"/>
    <mergeCell ref="W6:AA6"/>
    <mergeCell ref="A7:D7"/>
  </mergeCells>
  <phoneticPr fontId="4" type="noConversion"/>
  <pageMargins left="0.55118110236220497" right="0.35433070866141703" top="0.39370078740157499" bottom="0.39370078740157499" header="0.196850393700787" footer="0.196850393700787"/>
  <pageSetup paperSize="9" orientation="portrait" r:id="rId1"/>
  <headerFooter alignWithMargins="0">
    <oddFooter>&amp;C&amp;8Copyright Veoneer Inc., All Rights Reserved&amp;R&amp;P</oddFooter>
  </headerFooter>
  <ignoredErrors>
    <ignoredError sqref="AH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4"/>
  <sheetViews>
    <sheetView showGridLines="0" zoomScaleNormal="100" workbookViewId="0">
      <selection activeCell="A4" sqref="A4:V4"/>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10" t="str">
        <f ca="1">FileName</f>
        <v>ArchM.xlsm</v>
      </c>
      <c r="AE3" s="9"/>
      <c r="AF3" s="9"/>
      <c r="AG3" s="9"/>
      <c r="AH3" s="9"/>
      <c r="AI3" s="9"/>
      <c r="AJ3" s="9"/>
      <c r="AK3" s="9"/>
    </row>
    <row r="4" spans="1:37" s="8" customFormat="1" ht="11.1" customHeight="1" x14ac:dyDescent="0.2">
      <c r="A4" s="309"/>
      <c r="B4" s="309"/>
      <c r="C4" s="309"/>
      <c r="D4" s="309"/>
      <c r="E4" s="309"/>
      <c r="F4" s="309"/>
      <c r="G4" s="309"/>
      <c r="H4" s="309"/>
      <c r="I4" s="309"/>
      <c r="J4" s="309"/>
      <c r="K4" s="309"/>
      <c r="L4" s="309"/>
      <c r="M4" s="309"/>
      <c r="N4" s="309"/>
      <c r="O4" s="309"/>
      <c r="P4" s="309"/>
      <c r="Q4" s="309"/>
      <c r="R4" s="309"/>
      <c r="S4" s="309"/>
      <c r="T4" s="309"/>
      <c r="U4" s="309"/>
      <c r="V4" s="309"/>
      <c r="W4" s="308"/>
      <c r="X4" s="308"/>
      <c r="Y4" s="308"/>
      <c r="Z4" s="308"/>
      <c r="AA4" s="308"/>
      <c r="AB4" s="311"/>
      <c r="AC4" s="311"/>
      <c r="AD4" s="311"/>
      <c r="AE4" s="311"/>
      <c r="AF4" s="311"/>
      <c r="AG4" s="311"/>
      <c r="AH4" s="11"/>
      <c r="AI4" s="11"/>
      <c r="AJ4" s="11"/>
      <c r="AK4" s="9"/>
    </row>
    <row r="5" spans="1:37" s="13" customFormat="1" x14ac:dyDescent="0.2">
      <c r="A5" s="310"/>
      <c r="B5" s="310"/>
      <c r="C5" s="310"/>
      <c r="D5" s="310"/>
      <c r="E5" s="310"/>
      <c r="F5" s="310"/>
      <c r="G5" s="310"/>
      <c r="H5" s="310"/>
      <c r="I5" s="310"/>
      <c r="J5" s="310"/>
      <c r="K5" s="310"/>
      <c r="L5" s="310"/>
      <c r="M5" s="310"/>
      <c r="N5" s="310"/>
      <c r="O5" s="310"/>
      <c r="P5" s="310"/>
      <c r="Q5" s="310"/>
      <c r="R5" s="310"/>
      <c r="S5" s="310"/>
      <c r="T5" s="310"/>
      <c r="U5" s="310"/>
      <c r="V5" s="310"/>
      <c r="W5" s="305"/>
      <c r="X5" s="305"/>
      <c r="Y5" s="305"/>
      <c r="Z5" s="305"/>
      <c r="AA5" s="305"/>
      <c r="AB5" s="310"/>
      <c r="AC5" s="310"/>
      <c r="AD5" s="310"/>
      <c r="AE5" s="310"/>
      <c r="AF5" s="310"/>
      <c r="AG5" s="310"/>
      <c r="AH5" s="12"/>
      <c r="AI5" s="12"/>
      <c r="AJ5" s="12"/>
      <c r="AK5" s="12"/>
    </row>
    <row r="6" spans="1:37" s="8" customFormat="1" ht="11.1" customHeight="1" x14ac:dyDescent="0.2">
      <c r="A6" s="307"/>
      <c r="B6" s="307"/>
      <c r="C6" s="307"/>
      <c r="D6" s="307"/>
      <c r="E6" s="307"/>
      <c r="F6" s="307"/>
      <c r="G6" s="307"/>
      <c r="H6" s="307"/>
      <c r="I6" s="307"/>
      <c r="J6" s="307"/>
      <c r="K6" s="307"/>
      <c r="L6" s="307"/>
      <c r="M6" s="307"/>
      <c r="N6" s="307"/>
      <c r="O6" s="307"/>
      <c r="P6" s="307"/>
      <c r="Q6" s="307"/>
      <c r="R6" s="307"/>
      <c r="S6" s="307"/>
      <c r="T6" s="307"/>
      <c r="U6" s="307"/>
      <c r="V6" s="307"/>
      <c r="W6" s="309"/>
      <c r="X6" s="309"/>
      <c r="Y6" s="309"/>
      <c r="Z6" s="309"/>
      <c r="AA6" s="309"/>
      <c r="AB6" s="308"/>
      <c r="AC6" s="308"/>
      <c r="AD6" s="308"/>
      <c r="AE6" s="308"/>
      <c r="AF6" s="308"/>
      <c r="AG6" s="308"/>
      <c r="AH6" s="9"/>
      <c r="AI6" s="9"/>
      <c r="AJ6" s="9"/>
      <c r="AK6" s="9"/>
    </row>
    <row r="7" spans="1:37" s="13" customFormat="1" x14ac:dyDescent="0.2">
      <c r="A7" s="305"/>
      <c r="B7" s="305"/>
      <c r="C7" s="305"/>
      <c r="D7" s="305"/>
      <c r="E7" s="305"/>
      <c r="F7" s="305"/>
      <c r="G7" s="305"/>
      <c r="H7" s="305"/>
      <c r="I7" s="305"/>
      <c r="J7" s="305"/>
      <c r="K7" s="305"/>
      <c r="L7" s="305"/>
      <c r="M7" s="305"/>
      <c r="N7" s="305"/>
      <c r="O7" s="305"/>
      <c r="P7" s="305"/>
      <c r="Q7" s="305"/>
      <c r="R7" s="305"/>
      <c r="S7" s="305"/>
      <c r="T7" s="305"/>
      <c r="U7" s="305"/>
      <c r="V7" s="305"/>
      <c r="W7" s="305"/>
      <c r="X7" s="305"/>
      <c r="Y7" s="305"/>
      <c r="Z7" s="305"/>
      <c r="AA7" s="305"/>
      <c r="AB7" s="305"/>
      <c r="AC7" s="305"/>
      <c r="AD7" s="305"/>
      <c r="AE7" s="305"/>
      <c r="AF7" s="305"/>
      <c r="AG7" s="305"/>
      <c r="AH7" s="12"/>
      <c r="AI7" s="12"/>
      <c r="AJ7" s="12"/>
      <c r="AK7" s="12"/>
    </row>
    <row r="8" spans="1:37" s="44" customFormat="1" ht="11.1" customHeight="1" x14ac:dyDescent="0.2">
      <c r="A8" s="307"/>
      <c r="B8" s="307"/>
      <c r="C8" s="307"/>
      <c r="D8" s="307"/>
      <c r="E8" s="307"/>
      <c r="F8" s="307"/>
      <c r="G8" s="307"/>
      <c r="H8" s="307"/>
      <c r="I8" s="307"/>
      <c r="J8" s="307"/>
      <c r="K8" s="307"/>
      <c r="L8" s="307"/>
      <c r="M8" s="307"/>
      <c r="N8" s="307"/>
      <c r="O8" s="307"/>
      <c r="P8" s="307"/>
      <c r="Q8" s="307"/>
      <c r="R8" s="307"/>
      <c r="S8" s="307"/>
      <c r="T8" s="307"/>
      <c r="U8" s="307"/>
      <c r="V8" s="307"/>
      <c r="W8" s="307"/>
      <c r="X8" s="307"/>
      <c r="Y8" s="307"/>
      <c r="Z8" s="307"/>
      <c r="AA8" s="307"/>
      <c r="AB8" s="307"/>
      <c r="AC8" s="307"/>
      <c r="AD8" s="307"/>
      <c r="AE8" s="307"/>
      <c r="AF8" s="307"/>
      <c r="AG8" s="307"/>
      <c r="AH8" s="205"/>
      <c r="AI8" s="205"/>
      <c r="AJ8" s="205"/>
      <c r="AK8" s="205"/>
    </row>
    <row r="9" spans="1:37" s="207" customFormat="1" x14ac:dyDescent="0.2">
      <c r="A9" s="306"/>
      <c r="B9" s="306"/>
      <c r="C9" s="306"/>
      <c r="D9" s="306"/>
      <c r="E9" s="306"/>
      <c r="F9" s="306"/>
      <c r="G9" s="306"/>
      <c r="H9" s="306"/>
      <c r="I9" s="306"/>
      <c r="J9" s="306"/>
      <c r="K9" s="306"/>
      <c r="L9" s="306"/>
      <c r="M9" s="306"/>
      <c r="N9" s="306"/>
      <c r="O9" s="306"/>
      <c r="P9" s="306"/>
      <c r="Q9" s="306"/>
      <c r="R9" s="306"/>
      <c r="S9" s="306"/>
      <c r="T9" s="306"/>
      <c r="U9" s="306"/>
      <c r="V9" s="306"/>
      <c r="W9" s="306"/>
      <c r="X9" s="306"/>
      <c r="Y9" s="306"/>
      <c r="Z9" s="306"/>
      <c r="AA9" s="306"/>
      <c r="AB9" s="306"/>
      <c r="AC9" s="306"/>
      <c r="AD9" s="306"/>
      <c r="AE9" s="306"/>
      <c r="AF9" s="306"/>
      <c r="AG9" s="306"/>
      <c r="AH9" s="206"/>
      <c r="AI9" s="206"/>
      <c r="AJ9" s="206"/>
    </row>
    <row r="10" spans="1:37" x14ac:dyDescent="0.2"/>
    <row r="11" spans="1:37" x14ac:dyDescent="0.2"/>
    <row r="12" spans="1:37" ht="26.25" x14ac:dyDescent="0.2">
      <c r="B12" s="20" t="s">
        <v>16</v>
      </c>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row>
    <row r="13" spans="1:37" x14ac:dyDescent="0.2"/>
    <row r="14" spans="1:37" ht="20.25" x14ac:dyDescent="0.2">
      <c r="B14" s="22" t="s">
        <v>17</v>
      </c>
      <c r="C14" s="23"/>
    </row>
    <row r="15" spans="1:37" ht="12.75" customHeight="1" x14ac:dyDescent="0.2">
      <c r="B15" s="288" t="s">
        <v>7</v>
      </c>
      <c r="C15" s="289"/>
      <c r="D15" s="289"/>
      <c r="E15" s="289"/>
      <c r="F15" s="290"/>
      <c r="G15" s="288" t="s">
        <v>6</v>
      </c>
      <c r="H15" s="289"/>
      <c r="I15" s="289"/>
      <c r="J15" s="289"/>
      <c r="K15" s="289"/>
      <c r="L15" s="289"/>
      <c r="M15" s="289"/>
      <c r="N15" s="289"/>
      <c r="O15" s="289"/>
      <c r="P15" s="289"/>
      <c r="Q15" s="289"/>
      <c r="R15" s="289"/>
      <c r="S15" s="289"/>
      <c r="T15" s="289"/>
      <c r="U15" s="289"/>
      <c r="V15" s="289"/>
      <c r="W15" s="289"/>
      <c r="X15" s="289"/>
      <c r="Y15" s="289"/>
      <c r="Z15" s="289"/>
      <c r="AA15" s="289"/>
      <c r="AB15" s="289"/>
      <c r="AC15" s="289"/>
      <c r="AD15" s="289"/>
      <c r="AE15" s="289"/>
      <c r="AF15" s="290"/>
    </row>
    <row r="16" spans="1:37" ht="24" customHeight="1" x14ac:dyDescent="0.2">
      <c r="B16" s="298" t="s">
        <v>37</v>
      </c>
      <c r="C16" s="299"/>
      <c r="D16" s="299"/>
      <c r="E16" s="299"/>
      <c r="F16" s="300"/>
      <c r="G16" s="284" t="s">
        <v>40</v>
      </c>
      <c r="H16" s="275"/>
      <c r="I16" s="275"/>
      <c r="J16" s="275"/>
      <c r="K16" s="275"/>
      <c r="L16" s="275"/>
      <c r="M16" s="275"/>
      <c r="N16" s="275"/>
      <c r="O16" s="275"/>
      <c r="P16" s="275"/>
      <c r="Q16" s="275"/>
      <c r="R16" s="275"/>
      <c r="S16" s="275"/>
      <c r="T16" s="275"/>
      <c r="U16" s="275"/>
      <c r="V16" s="275"/>
      <c r="W16" s="275"/>
      <c r="X16" s="275"/>
      <c r="Y16" s="275"/>
      <c r="Z16" s="275"/>
      <c r="AA16" s="275"/>
      <c r="AB16" s="275"/>
      <c r="AC16" s="275"/>
      <c r="AD16" s="275"/>
      <c r="AE16" s="275"/>
      <c r="AF16" s="276"/>
    </row>
    <row r="17" spans="1:45" ht="24" customHeight="1" x14ac:dyDescent="0.2">
      <c r="B17" s="298" t="s">
        <v>38</v>
      </c>
      <c r="C17" s="299"/>
      <c r="D17" s="299"/>
      <c r="E17" s="299"/>
      <c r="F17" s="300"/>
      <c r="G17" s="284" t="s">
        <v>39</v>
      </c>
      <c r="H17" s="275"/>
      <c r="I17" s="275"/>
      <c r="J17" s="275"/>
      <c r="K17" s="275"/>
      <c r="L17" s="275"/>
      <c r="M17" s="275"/>
      <c r="N17" s="275"/>
      <c r="O17" s="275"/>
      <c r="P17" s="275"/>
      <c r="Q17" s="275"/>
      <c r="R17" s="275"/>
      <c r="S17" s="275"/>
      <c r="T17" s="275"/>
      <c r="U17" s="275"/>
      <c r="V17" s="275"/>
      <c r="W17" s="275"/>
      <c r="X17" s="275"/>
      <c r="Y17" s="275"/>
      <c r="Z17" s="275"/>
      <c r="AA17" s="275"/>
      <c r="AB17" s="275"/>
      <c r="AC17" s="275"/>
      <c r="AD17" s="275"/>
      <c r="AE17" s="275"/>
      <c r="AF17" s="276"/>
    </row>
    <row r="18" spans="1:45" ht="24" customHeight="1" x14ac:dyDescent="0.2">
      <c r="B18" s="298" t="s">
        <v>77</v>
      </c>
      <c r="C18" s="299"/>
      <c r="D18" s="299"/>
      <c r="E18" s="299"/>
      <c r="F18" s="300"/>
      <c r="G18" s="284" t="s">
        <v>78</v>
      </c>
      <c r="H18" s="275"/>
      <c r="I18" s="275"/>
      <c r="J18" s="275"/>
      <c r="K18" s="275"/>
      <c r="L18" s="275"/>
      <c r="M18" s="275"/>
      <c r="N18" s="275"/>
      <c r="O18" s="275"/>
      <c r="P18" s="275"/>
      <c r="Q18" s="275"/>
      <c r="R18" s="275"/>
      <c r="S18" s="275"/>
      <c r="T18" s="275"/>
      <c r="U18" s="275"/>
      <c r="V18" s="275"/>
      <c r="W18" s="275"/>
      <c r="X18" s="275"/>
      <c r="Y18" s="275"/>
      <c r="Z18" s="275"/>
      <c r="AA18" s="275"/>
      <c r="AB18" s="275"/>
      <c r="AC18" s="275"/>
      <c r="AD18" s="275"/>
      <c r="AE18" s="275"/>
      <c r="AF18" s="276"/>
    </row>
    <row r="19" spans="1:45" ht="24" customHeight="1" x14ac:dyDescent="0.2">
      <c r="B19" s="301" t="s">
        <v>79</v>
      </c>
      <c r="C19" s="279"/>
      <c r="D19" s="279"/>
      <c r="E19" s="279"/>
      <c r="F19" s="280"/>
      <c r="G19" s="274" t="s">
        <v>111</v>
      </c>
      <c r="H19" s="275"/>
      <c r="I19" s="275"/>
      <c r="J19" s="275"/>
      <c r="K19" s="275"/>
      <c r="L19" s="275"/>
      <c r="M19" s="275"/>
      <c r="N19" s="275"/>
      <c r="O19" s="275"/>
      <c r="P19" s="275"/>
      <c r="Q19" s="275"/>
      <c r="R19" s="275"/>
      <c r="S19" s="275"/>
      <c r="T19" s="275"/>
      <c r="U19" s="275"/>
      <c r="V19" s="275"/>
      <c r="W19" s="275"/>
      <c r="X19" s="275"/>
      <c r="Y19" s="275"/>
      <c r="Z19" s="275"/>
      <c r="AA19" s="275"/>
      <c r="AB19" s="275"/>
      <c r="AC19" s="275"/>
      <c r="AD19" s="275"/>
      <c r="AE19" s="275"/>
      <c r="AF19" s="276"/>
      <c r="AS19" s="24"/>
    </row>
    <row r="20" spans="1:45" ht="38.25" customHeight="1" x14ac:dyDescent="0.2">
      <c r="B20" s="278" t="s">
        <v>147</v>
      </c>
      <c r="C20" s="279"/>
      <c r="D20" s="279"/>
      <c r="E20" s="279"/>
      <c r="F20" s="280"/>
      <c r="G20" s="274" t="s">
        <v>148</v>
      </c>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6"/>
      <c r="AS20" s="24"/>
    </row>
    <row r="21" spans="1:45" ht="24" customHeight="1" x14ac:dyDescent="0.2">
      <c r="B21" s="281" t="s">
        <v>80</v>
      </c>
      <c r="C21" s="282"/>
      <c r="D21" s="282"/>
      <c r="E21" s="282"/>
      <c r="F21" s="283"/>
      <c r="G21" s="284" t="s">
        <v>81</v>
      </c>
      <c r="H21" s="275"/>
      <c r="I21" s="275"/>
      <c r="J21" s="275"/>
      <c r="K21" s="275"/>
      <c r="L21" s="275"/>
      <c r="M21" s="275"/>
      <c r="N21" s="275"/>
      <c r="O21" s="275"/>
      <c r="P21" s="275"/>
      <c r="Q21" s="275"/>
      <c r="R21" s="275"/>
      <c r="S21" s="275"/>
      <c r="T21" s="275"/>
      <c r="U21" s="275"/>
      <c r="V21" s="275"/>
      <c r="W21" s="275"/>
      <c r="X21" s="275"/>
      <c r="Y21" s="275"/>
      <c r="Z21" s="275"/>
      <c r="AA21" s="275"/>
      <c r="AB21" s="275"/>
      <c r="AC21" s="275"/>
      <c r="AD21" s="275"/>
      <c r="AE21" s="275"/>
      <c r="AF21" s="276"/>
      <c r="AS21" s="24"/>
    </row>
    <row r="22" spans="1:45" ht="24" customHeight="1" x14ac:dyDescent="0.2">
      <c r="B22" s="281" t="s">
        <v>82</v>
      </c>
      <c r="C22" s="282"/>
      <c r="D22" s="282"/>
      <c r="E22" s="282"/>
      <c r="F22" s="283"/>
      <c r="G22" s="284" t="s">
        <v>83</v>
      </c>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6"/>
      <c r="AS22" s="24"/>
    </row>
    <row r="23" spans="1:45" x14ac:dyDescent="0.2">
      <c r="C23" s="25"/>
      <c r="I23" s="26"/>
    </row>
    <row r="24" spans="1:45" ht="20.25" x14ac:dyDescent="0.2">
      <c r="A24" s="22"/>
      <c r="B24" s="22" t="s">
        <v>30</v>
      </c>
      <c r="C24" s="25"/>
      <c r="I24" s="26"/>
    </row>
    <row r="25" spans="1:45" ht="12.75" customHeight="1" x14ac:dyDescent="0.2">
      <c r="B25" s="288" t="s">
        <v>0</v>
      </c>
      <c r="C25" s="289"/>
      <c r="D25" s="290"/>
      <c r="E25" s="288" t="s">
        <v>11</v>
      </c>
      <c r="F25" s="289"/>
      <c r="G25" s="289"/>
      <c r="H25" s="290"/>
      <c r="I25" s="288" t="s">
        <v>12</v>
      </c>
      <c r="J25" s="289"/>
      <c r="K25" s="289"/>
      <c r="L25" s="289"/>
      <c r="M25" s="289"/>
      <c r="N25" s="289"/>
      <c r="O25" s="289"/>
      <c r="P25" s="289"/>
      <c r="Q25" s="290"/>
      <c r="R25" s="288" t="s">
        <v>13</v>
      </c>
      <c r="S25" s="289"/>
      <c r="T25" s="289"/>
      <c r="U25" s="289"/>
      <c r="V25" s="289"/>
      <c r="W25" s="289"/>
      <c r="X25" s="289"/>
      <c r="Y25" s="289"/>
      <c r="Z25" s="289"/>
      <c r="AA25" s="289"/>
      <c r="AB25" s="289"/>
      <c r="AC25" s="289"/>
      <c r="AD25" s="289"/>
      <c r="AE25" s="289"/>
      <c r="AF25" s="290"/>
    </row>
    <row r="26" spans="1:45" ht="12.75" customHeight="1" x14ac:dyDescent="0.2">
      <c r="B26" s="302"/>
      <c r="C26" s="303"/>
      <c r="D26" s="304"/>
      <c r="E26" s="284"/>
      <c r="F26" s="275"/>
      <c r="G26" s="275"/>
      <c r="H26" s="276"/>
      <c r="I26" s="284" t="s">
        <v>14</v>
      </c>
      <c r="J26" s="275"/>
      <c r="K26" s="275"/>
      <c r="L26" s="275"/>
      <c r="M26" s="275"/>
      <c r="N26" s="275"/>
      <c r="O26" s="275"/>
      <c r="P26" s="275"/>
      <c r="Q26" s="276"/>
      <c r="R26" s="284"/>
      <c r="S26" s="275"/>
      <c r="T26" s="275"/>
      <c r="U26" s="275"/>
      <c r="V26" s="275"/>
      <c r="W26" s="275"/>
      <c r="X26" s="275"/>
      <c r="Y26" s="275"/>
      <c r="Z26" s="275"/>
      <c r="AA26" s="275"/>
      <c r="AB26" s="275"/>
      <c r="AC26" s="275"/>
      <c r="AD26" s="275"/>
      <c r="AE26" s="275"/>
      <c r="AF26" s="276"/>
    </row>
    <row r="27" spans="1:45" x14ac:dyDescent="0.2">
      <c r="B27" s="302"/>
      <c r="C27" s="303"/>
      <c r="D27" s="304"/>
      <c r="E27" s="284"/>
      <c r="F27" s="275"/>
      <c r="G27" s="275"/>
      <c r="H27" s="276"/>
      <c r="I27" s="284"/>
      <c r="J27" s="275"/>
      <c r="K27" s="275"/>
      <c r="L27" s="275"/>
      <c r="M27" s="275"/>
      <c r="N27" s="275"/>
      <c r="O27" s="275"/>
      <c r="P27" s="275"/>
      <c r="Q27" s="276"/>
      <c r="R27" s="284"/>
      <c r="S27" s="275"/>
      <c r="T27" s="275"/>
      <c r="U27" s="275"/>
      <c r="V27" s="275"/>
      <c r="W27" s="275"/>
      <c r="X27" s="275"/>
      <c r="Y27" s="275"/>
      <c r="Z27" s="275"/>
      <c r="AA27" s="275"/>
      <c r="AB27" s="275"/>
      <c r="AC27" s="275"/>
      <c r="AD27" s="275"/>
      <c r="AE27" s="275"/>
      <c r="AF27" s="276"/>
    </row>
    <row r="28" spans="1:45" x14ac:dyDescent="0.2">
      <c r="B28" s="302"/>
      <c r="C28" s="303"/>
      <c r="D28" s="304"/>
      <c r="E28" s="284"/>
      <c r="F28" s="275"/>
      <c r="G28" s="275"/>
      <c r="H28" s="276"/>
      <c r="I28" s="284"/>
      <c r="J28" s="275"/>
      <c r="K28" s="275"/>
      <c r="L28" s="275"/>
      <c r="M28" s="275"/>
      <c r="N28" s="275"/>
      <c r="O28" s="275"/>
      <c r="P28" s="275"/>
      <c r="Q28" s="276"/>
      <c r="R28" s="284"/>
      <c r="S28" s="275"/>
      <c r="T28" s="275"/>
      <c r="U28" s="275"/>
      <c r="V28" s="275"/>
      <c r="W28" s="275"/>
      <c r="X28" s="275"/>
      <c r="Y28" s="275"/>
      <c r="Z28" s="275"/>
      <c r="AA28" s="275"/>
      <c r="AB28" s="275"/>
      <c r="AC28" s="275"/>
      <c r="AD28" s="275"/>
      <c r="AE28" s="275"/>
      <c r="AF28" s="276"/>
    </row>
    <row r="29" spans="1:45" x14ac:dyDescent="0.2">
      <c r="B29" s="302"/>
      <c r="C29" s="303"/>
      <c r="D29" s="304"/>
      <c r="E29" s="284"/>
      <c r="F29" s="275"/>
      <c r="G29" s="275"/>
      <c r="H29" s="276"/>
      <c r="I29" s="284"/>
      <c r="J29" s="275"/>
      <c r="K29" s="275"/>
      <c r="L29" s="275"/>
      <c r="M29" s="275"/>
      <c r="N29" s="275"/>
      <c r="O29" s="275"/>
      <c r="P29" s="275"/>
      <c r="Q29" s="276"/>
      <c r="R29" s="284"/>
      <c r="S29" s="275"/>
      <c r="T29" s="275"/>
      <c r="U29" s="275"/>
      <c r="V29" s="275"/>
      <c r="W29" s="275"/>
      <c r="X29" s="275"/>
      <c r="Y29" s="275"/>
      <c r="Z29" s="275"/>
      <c r="AA29" s="275"/>
      <c r="AB29" s="275"/>
      <c r="AC29" s="275"/>
      <c r="AD29" s="275"/>
      <c r="AE29" s="275"/>
      <c r="AF29" s="276"/>
    </row>
    <row r="30" spans="1:45" x14ac:dyDescent="0.2">
      <c r="B30" s="27" t="s">
        <v>29</v>
      </c>
      <c r="C30" s="28"/>
      <c r="D30" s="28"/>
      <c r="E30" s="29"/>
      <c r="F30" s="29"/>
      <c r="G30" s="29"/>
      <c r="H30" s="29"/>
      <c r="I30" s="29"/>
      <c r="J30" s="30"/>
      <c r="K30" s="30"/>
      <c r="L30" s="30"/>
      <c r="M30" s="30"/>
      <c r="N30" s="30"/>
      <c r="O30" s="30"/>
      <c r="P30" s="30"/>
      <c r="Q30" s="30"/>
      <c r="R30" s="29"/>
      <c r="S30" s="29"/>
      <c r="T30" s="29"/>
      <c r="U30" s="29"/>
      <c r="V30" s="29"/>
      <c r="W30" s="29"/>
      <c r="X30" s="29"/>
      <c r="Y30" s="29"/>
      <c r="Z30" s="29"/>
      <c r="AA30" s="29"/>
      <c r="AB30" s="29"/>
      <c r="AC30" s="29"/>
      <c r="AD30" s="29"/>
      <c r="AE30" s="29"/>
      <c r="AF30" s="29"/>
    </row>
    <row r="31" spans="1:45" x14ac:dyDescent="0.2">
      <c r="C31" s="25"/>
      <c r="I31" s="26"/>
    </row>
    <row r="32" spans="1:45" ht="20.25" x14ac:dyDescent="0.2">
      <c r="B32" s="22" t="s">
        <v>18</v>
      </c>
      <c r="I32" s="26"/>
    </row>
    <row r="33" spans="2:33" ht="21.75" customHeight="1" x14ac:dyDescent="0.2">
      <c r="B33" s="294" t="s">
        <v>84</v>
      </c>
      <c r="C33" s="294"/>
      <c r="D33" s="294"/>
      <c r="E33" s="294"/>
      <c r="F33" s="294"/>
      <c r="G33" s="294"/>
      <c r="H33" s="294"/>
      <c r="I33" s="294"/>
      <c r="J33" s="294"/>
      <c r="K33" s="294"/>
      <c r="L33" s="294"/>
      <c r="M33" s="294"/>
      <c r="N33" s="294"/>
      <c r="O33" s="294"/>
      <c r="P33" s="294"/>
      <c r="Q33" s="294"/>
      <c r="R33" s="294"/>
      <c r="S33" s="294"/>
      <c r="T33" s="294"/>
      <c r="U33" s="294"/>
      <c r="V33" s="294"/>
      <c r="W33" s="294"/>
      <c r="X33" s="294"/>
      <c r="Y33" s="294"/>
      <c r="Z33" s="294"/>
      <c r="AA33" s="294"/>
      <c r="AB33" s="294"/>
      <c r="AC33" s="294"/>
      <c r="AD33" s="294"/>
      <c r="AE33" s="294"/>
      <c r="AF33" s="294"/>
      <c r="AG33" s="31"/>
    </row>
    <row r="34" spans="2:33" x14ac:dyDescent="0.2">
      <c r="J34" s="32"/>
    </row>
    <row r="35" spans="2:33" ht="20.25" x14ac:dyDescent="0.2">
      <c r="B35" s="22" t="s">
        <v>19</v>
      </c>
      <c r="C35" s="23"/>
      <c r="I35" s="26"/>
    </row>
    <row r="36" spans="2:33" ht="24.75" customHeight="1" x14ac:dyDescent="0.2">
      <c r="B36" s="33" t="s">
        <v>31</v>
      </c>
      <c r="C36" s="23"/>
      <c r="I36" s="26"/>
    </row>
    <row r="37" spans="2:33" ht="12.75" customHeight="1" x14ac:dyDescent="0.2">
      <c r="B37" s="288" t="s">
        <v>8</v>
      </c>
      <c r="C37" s="289"/>
      <c r="D37" s="290"/>
      <c r="E37" s="288" t="s">
        <v>9</v>
      </c>
      <c r="F37" s="289"/>
      <c r="G37" s="289"/>
      <c r="H37" s="289"/>
      <c r="I37" s="289"/>
      <c r="J37" s="289"/>
      <c r="K37" s="289"/>
      <c r="L37" s="289"/>
      <c r="M37" s="289"/>
      <c r="N37" s="289"/>
      <c r="O37" s="289"/>
      <c r="P37" s="289"/>
      <c r="Q37" s="289"/>
      <c r="R37" s="289"/>
      <c r="S37" s="289"/>
      <c r="T37" s="289"/>
      <c r="U37" s="289"/>
      <c r="V37" s="289"/>
      <c r="W37" s="289"/>
      <c r="X37" s="290"/>
      <c r="Y37" s="288" t="s">
        <v>10</v>
      </c>
      <c r="Z37" s="289"/>
      <c r="AA37" s="289"/>
      <c r="AB37" s="289"/>
      <c r="AC37" s="289"/>
      <c r="AD37" s="289"/>
      <c r="AE37" s="289"/>
      <c r="AF37" s="290"/>
    </row>
    <row r="38" spans="2:33" x14ac:dyDescent="0.2">
      <c r="B38" s="295"/>
      <c r="C38" s="296"/>
      <c r="D38" s="297"/>
      <c r="E38" s="284"/>
      <c r="F38" s="275"/>
      <c r="G38" s="275"/>
      <c r="H38" s="275"/>
      <c r="I38" s="275"/>
      <c r="J38" s="275"/>
      <c r="K38" s="275"/>
      <c r="L38" s="275"/>
      <c r="M38" s="275"/>
      <c r="N38" s="275"/>
      <c r="O38" s="275"/>
      <c r="P38" s="275"/>
      <c r="Q38" s="275"/>
      <c r="R38" s="275"/>
      <c r="S38" s="275"/>
      <c r="T38" s="275"/>
      <c r="U38" s="275"/>
      <c r="V38" s="275"/>
      <c r="W38" s="275"/>
      <c r="X38" s="276"/>
      <c r="Y38" s="284"/>
      <c r="Z38" s="275"/>
      <c r="AA38" s="275"/>
      <c r="AB38" s="275"/>
      <c r="AC38" s="275"/>
      <c r="AD38" s="275"/>
      <c r="AE38" s="275"/>
      <c r="AF38" s="276"/>
    </row>
    <row r="39" spans="2:33" x14ac:dyDescent="0.2">
      <c r="B39" s="295"/>
      <c r="C39" s="296"/>
      <c r="D39" s="297"/>
      <c r="E39" s="284"/>
      <c r="F39" s="275"/>
      <c r="G39" s="275"/>
      <c r="H39" s="275"/>
      <c r="I39" s="275"/>
      <c r="J39" s="275"/>
      <c r="K39" s="275"/>
      <c r="L39" s="275"/>
      <c r="M39" s="275"/>
      <c r="N39" s="275"/>
      <c r="O39" s="275"/>
      <c r="P39" s="275"/>
      <c r="Q39" s="275"/>
      <c r="R39" s="275"/>
      <c r="S39" s="275"/>
      <c r="T39" s="275"/>
      <c r="U39" s="275"/>
      <c r="V39" s="275"/>
      <c r="W39" s="275"/>
      <c r="X39" s="276"/>
      <c r="Y39" s="284"/>
      <c r="Z39" s="275"/>
      <c r="AA39" s="275"/>
      <c r="AB39" s="275"/>
      <c r="AC39" s="275"/>
      <c r="AD39" s="275"/>
      <c r="AE39" s="275"/>
      <c r="AF39" s="276"/>
    </row>
    <row r="40" spans="2:33" x14ac:dyDescent="0.2">
      <c r="B40" s="295"/>
      <c r="C40" s="296"/>
      <c r="D40" s="297"/>
      <c r="E40" s="284"/>
      <c r="F40" s="275"/>
      <c r="G40" s="275"/>
      <c r="H40" s="275"/>
      <c r="I40" s="275"/>
      <c r="J40" s="275"/>
      <c r="K40" s="275"/>
      <c r="L40" s="275"/>
      <c r="M40" s="275"/>
      <c r="N40" s="275"/>
      <c r="O40" s="275"/>
      <c r="P40" s="275"/>
      <c r="Q40" s="275"/>
      <c r="R40" s="275"/>
      <c r="S40" s="275"/>
      <c r="T40" s="275"/>
      <c r="U40" s="275"/>
      <c r="V40" s="275"/>
      <c r="W40" s="275"/>
      <c r="X40" s="276"/>
      <c r="Y40" s="284"/>
      <c r="Z40" s="275"/>
      <c r="AA40" s="275"/>
      <c r="AB40" s="275"/>
      <c r="AC40" s="275"/>
      <c r="AD40" s="275"/>
      <c r="AE40" s="275"/>
      <c r="AF40" s="276"/>
    </row>
    <row r="41" spans="2:33" x14ac:dyDescent="0.2">
      <c r="B41" s="295"/>
      <c r="C41" s="296"/>
      <c r="D41" s="297"/>
      <c r="E41" s="284"/>
      <c r="F41" s="275"/>
      <c r="G41" s="275"/>
      <c r="H41" s="275"/>
      <c r="I41" s="275"/>
      <c r="J41" s="275"/>
      <c r="K41" s="275"/>
      <c r="L41" s="275"/>
      <c r="M41" s="275"/>
      <c r="N41" s="275"/>
      <c r="O41" s="275"/>
      <c r="P41" s="275"/>
      <c r="Q41" s="275"/>
      <c r="R41" s="275"/>
      <c r="S41" s="275"/>
      <c r="T41" s="275"/>
      <c r="U41" s="275"/>
      <c r="V41" s="275"/>
      <c r="W41" s="275"/>
      <c r="X41" s="276"/>
      <c r="Y41" s="284"/>
      <c r="Z41" s="275"/>
      <c r="AA41" s="275"/>
      <c r="AB41" s="275"/>
      <c r="AC41" s="275"/>
      <c r="AD41" s="275"/>
      <c r="AE41" s="275"/>
      <c r="AF41" s="276"/>
    </row>
    <row r="42" spans="2:33" ht="24.75" customHeight="1" x14ac:dyDescent="0.2">
      <c r="B42" s="33" t="s">
        <v>32</v>
      </c>
      <c r="C42" s="23"/>
      <c r="I42" s="26"/>
    </row>
    <row r="43" spans="2:33" ht="12.75" customHeight="1" x14ac:dyDescent="0.2">
      <c r="B43" s="288" t="s">
        <v>8</v>
      </c>
      <c r="C43" s="289"/>
      <c r="D43" s="290"/>
      <c r="E43" s="288" t="s">
        <v>9</v>
      </c>
      <c r="F43" s="289"/>
      <c r="G43" s="289"/>
      <c r="H43" s="289"/>
      <c r="I43" s="289"/>
      <c r="J43" s="289"/>
      <c r="K43" s="289"/>
      <c r="L43" s="289"/>
      <c r="M43" s="289"/>
      <c r="N43" s="289"/>
      <c r="O43" s="289"/>
      <c r="P43" s="289"/>
      <c r="Q43" s="289"/>
      <c r="R43" s="289"/>
      <c r="S43" s="289"/>
      <c r="T43" s="289"/>
      <c r="U43" s="289"/>
      <c r="V43" s="289"/>
      <c r="W43" s="289"/>
      <c r="X43" s="290"/>
      <c r="Y43" s="288" t="s">
        <v>10</v>
      </c>
      <c r="Z43" s="289"/>
      <c r="AA43" s="289"/>
      <c r="AB43" s="289"/>
      <c r="AC43" s="289"/>
      <c r="AD43" s="289"/>
      <c r="AE43" s="289"/>
      <c r="AF43" s="290"/>
    </row>
    <row r="44" spans="2:33" x14ac:dyDescent="0.2">
      <c r="B44" s="295"/>
      <c r="C44" s="296"/>
      <c r="D44" s="297"/>
      <c r="E44" s="284"/>
      <c r="F44" s="275"/>
      <c r="G44" s="275"/>
      <c r="H44" s="275"/>
      <c r="I44" s="275"/>
      <c r="J44" s="275"/>
      <c r="K44" s="275"/>
      <c r="L44" s="275"/>
      <c r="M44" s="275"/>
      <c r="N44" s="275"/>
      <c r="O44" s="275"/>
      <c r="P44" s="275"/>
      <c r="Q44" s="275"/>
      <c r="R44" s="275"/>
      <c r="S44" s="275"/>
      <c r="T44" s="275"/>
      <c r="U44" s="275"/>
      <c r="V44" s="275"/>
      <c r="W44" s="275"/>
      <c r="X44" s="276"/>
      <c r="Y44" s="284"/>
      <c r="Z44" s="275"/>
      <c r="AA44" s="275"/>
      <c r="AB44" s="275"/>
      <c r="AC44" s="275"/>
      <c r="AD44" s="275"/>
      <c r="AE44" s="275"/>
      <c r="AF44" s="276"/>
    </row>
    <row r="45" spans="2:33" x14ac:dyDescent="0.2">
      <c r="B45" s="295"/>
      <c r="C45" s="296"/>
      <c r="D45" s="297"/>
      <c r="E45" s="284"/>
      <c r="F45" s="275"/>
      <c r="G45" s="275"/>
      <c r="H45" s="275"/>
      <c r="I45" s="275"/>
      <c r="J45" s="275"/>
      <c r="K45" s="275"/>
      <c r="L45" s="275"/>
      <c r="M45" s="275"/>
      <c r="N45" s="275"/>
      <c r="O45" s="275"/>
      <c r="P45" s="275"/>
      <c r="Q45" s="275"/>
      <c r="R45" s="275"/>
      <c r="S45" s="275"/>
      <c r="T45" s="275"/>
      <c r="U45" s="275"/>
      <c r="V45" s="275"/>
      <c r="W45" s="275"/>
      <c r="X45" s="276"/>
      <c r="Y45" s="284"/>
      <c r="Z45" s="275"/>
      <c r="AA45" s="275"/>
      <c r="AB45" s="275"/>
      <c r="AC45" s="275"/>
      <c r="AD45" s="275"/>
      <c r="AE45" s="275"/>
      <c r="AF45" s="276"/>
    </row>
    <row r="46" spans="2:33" x14ac:dyDescent="0.2">
      <c r="B46" s="295"/>
      <c r="C46" s="296"/>
      <c r="D46" s="297"/>
      <c r="E46" s="284"/>
      <c r="F46" s="275"/>
      <c r="G46" s="275"/>
      <c r="H46" s="275"/>
      <c r="I46" s="275"/>
      <c r="J46" s="275"/>
      <c r="K46" s="275"/>
      <c r="L46" s="275"/>
      <c r="M46" s="275"/>
      <c r="N46" s="275"/>
      <c r="O46" s="275"/>
      <c r="P46" s="275"/>
      <c r="Q46" s="275"/>
      <c r="R46" s="275"/>
      <c r="S46" s="275"/>
      <c r="T46" s="275"/>
      <c r="U46" s="275"/>
      <c r="V46" s="275"/>
      <c r="W46" s="275"/>
      <c r="X46" s="276"/>
      <c r="Y46" s="284"/>
      <c r="Z46" s="275"/>
      <c r="AA46" s="275"/>
      <c r="AB46" s="275"/>
      <c r="AC46" s="275"/>
      <c r="AD46" s="275"/>
      <c r="AE46" s="275"/>
      <c r="AF46" s="276"/>
    </row>
    <row r="47" spans="2:33" x14ac:dyDescent="0.2">
      <c r="B47" s="295"/>
      <c r="C47" s="296"/>
      <c r="D47" s="297"/>
      <c r="E47" s="284"/>
      <c r="F47" s="275"/>
      <c r="G47" s="275"/>
      <c r="H47" s="275"/>
      <c r="I47" s="275"/>
      <c r="J47" s="275"/>
      <c r="K47" s="275"/>
      <c r="L47" s="275"/>
      <c r="M47" s="275"/>
      <c r="N47" s="275"/>
      <c r="O47" s="275"/>
      <c r="P47" s="275"/>
      <c r="Q47" s="275"/>
      <c r="R47" s="275"/>
      <c r="S47" s="275"/>
      <c r="T47" s="275"/>
      <c r="U47" s="275"/>
      <c r="V47" s="275"/>
      <c r="W47" s="275"/>
      <c r="X47" s="276"/>
      <c r="Y47" s="284"/>
      <c r="Z47" s="275"/>
      <c r="AA47" s="275"/>
      <c r="AB47" s="275"/>
      <c r="AC47" s="275"/>
      <c r="AD47" s="275"/>
      <c r="AE47" s="275"/>
      <c r="AF47" s="276"/>
    </row>
    <row r="48" spans="2:33" x14ac:dyDescent="0.2">
      <c r="C48" s="25"/>
      <c r="I48" s="26"/>
    </row>
    <row r="49" spans="2:32" ht="20.25" x14ac:dyDescent="0.2">
      <c r="B49" s="22" t="s">
        <v>34</v>
      </c>
      <c r="C49" s="23"/>
      <c r="I49" s="26"/>
    </row>
    <row r="50" spans="2:32" ht="12.75" customHeight="1" x14ac:dyDescent="0.2">
      <c r="B50" s="288" t="s">
        <v>33</v>
      </c>
      <c r="C50" s="289"/>
      <c r="D50" s="289"/>
      <c r="E50" s="289"/>
      <c r="F50" s="289"/>
      <c r="G50" s="290"/>
      <c r="H50" s="291"/>
      <c r="I50" s="292"/>
      <c r="J50" s="292"/>
      <c r="K50" s="292"/>
      <c r="L50" s="292"/>
      <c r="M50" s="292"/>
      <c r="N50" s="292"/>
      <c r="O50" s="292"/>
      <c r="P50" s="292"/>
      <c r="Q50" s="292"/>
      <c r="R50" s="292"/>
      <c r="S50" s="292"/>
      <c r="T50" s="292"/>
      <c r="U50" s="292"/>
      <c r="V50" s="292"/>
      <c r="W50" s="292"/>
      <c r="X50" s="292"/>
      <c r="Y50" s="292"/>
      <c r="Z50" s="292"/>
      <c r="AA50" s="292"/>
      <c r="AB50" s="292"/>
      <c r="AC50" s="292"/>
      <c r="AD50" s="292"/>
      <c r="AE50" s="292"/>
      <c r="AF50" s="293"/>
    </row>
    <row r="51" spans="2:32" x14ac:dyDescent="0.2">
      <c r="B51" s="284"/>
      <c r="C51" s="275"/>
      <c r="D51" s="275"/>
      <c r="E51" s="275"/>
      <c r="F51" s="275"/>
      <c r="G51" s="276"/>
      <c r="H51" s="285"/>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7"/>
    </row>
    <row r="52" spans="2:32" x14ac:dyDescent="0.2">
      <c r="B52" s="284"/>
      <c r="C52" s="275"/>
      <c r="D52" s="275"/>
      <c r="E52" s="275"/>
      <c r="F52" s="275"/>
      <c r="G52" s="276"/>
      <c r="H52" s="285"/>
      <c r="I52" s="286"/>
      <c r="J52" s="286"/>
      <c r="K52" s="286"/>
      <c r="L52" s="286"/>
      <c r="M52" s="286"/>
      <c r="N52" s="286"/>
      <c r="O52" s="286"/>
      <c r="P52" s="286"/>
      <c r="Q52" s="286"/>
      <c r="R52" s="286"/>
      <c r="S52" s="286"/>
      <c r="T52" s="286"/>
      <c r="U52" s="286"/>
      <c r="V52" s="286"/>
      <c r="W52" s="286"/>
      <c r="X52" s="286"/>
      <c r="Y52" s="286"/>
      <c r="Z52" s="286"/>
      <c r="AA52" s="286"/>
      <c r="AB52" s="286"/>
      <c r="AC52" s="286"/>
      <c r="AD52" s="286"/>
      <c r="AE52" s="286"/>
      <c r="AF52" s="287"/>
    </row>
    <row r="53" spans="2:32" x14ac:dyDescent="0.2">
      <c r="B53" s="284"/>
      <c r="C53" s="275"/>
      <c r="D53" s="275"/>
      <c r="E53" s="275"/>
      <c r="F53" s="275"/>
      <c r="G53" s="276"/>
      <c r="H53" s="285"/>
      <c r="I53" s="286"/>
      <c r="J53" s="286"/>
      <c r="K53" s="286"/>
      <c r="L53" s="286"/>
      <c r="M53" s="286"/>
      <c r="N53" s="286"/>
      <c r="O53" s="286"/>
      <c r="P53" s="286"/>
      <c r="Q53" s="286"/>
      <c r="R53" s="286"/>
      <c r="S53" s="286"/>
      <c r="T53" s="286"/>
      <c r="U53" s="286"/>
      <c r="V53" s="286"/>
      <c r="W53" s="286"/>
      <c r="X53" s="286"/>
      <c r="Y53" s="286"/>
      <c r="Z53" s="286"/>
      <c r="AA53" s="286"/>
      <c r="AB53" s="286"/>
      <c r="AC53" s="286"/>
      <c r="AD53" s="286"/>
      <c r="AE53" s="286"/>
      <c r="AF53" s="287"/>
    </row>
    <row r="54" spans="2:32" x14ac:dyDescent="0.2">
      <c r="B54" s="284"/>
      <c r="C54" s="275"/>
      <c r="D54" s="275"/>
      <c r="E54" s="275"/>
      <c r="F54" s="275"/>
      <c r="G54" s="276"/>
      <c r="H54" s="285"/>
      <c r="I54" s="286"/>
      <c r="J54" s="286"/>
      <c r="K54" s="286"/>
      <c r="L54" s="286"/>
      <c r="M54" s="286"/>
      <c r="N54" s="286"/>
      <c r="O54" s="286"/>
      <c r="P54" s="286"/>
      <c r="Q54" s="286"/>
      <c r="R54" s="286"/>
      <c r="S54" s="286"/>
      <c r="T54" s="286"/>
      <c r="U54" s="286"/>
      <c r="V54" s="286"/>
      <c r="W54" s="286"/>
      <c r="X54" s="286"/>
      <c r="Y54" s="286"/>
      <c r="Z54" s="286"/>
      <c r="AA54" s="286"/>
      <c r="AB54" s="286"/>
      <c r="AC54" s="286"/>
      <c r="AD54" s="286"/>
      <c r="AE54" s="286"/>
      <c r="AF54" s="287"/>
    </row>
    <row r="55" spans="2:32" x14ac:dyDescent="0.2">
      <c r="B55" s="284"/>
      <c r="C55" s="275"/>
      <c r="D55" s="275"/>
      <c r="E55" s="275"/>
      <c r="F55" s="275"/>
      <c r="G55" s="276"/>
      <c r="H55" s="285"/>
      <c r="I55" s="286"/>
      <c r="J55" s="286"/>
      <c r="K55" s="286"/>
      <c r="L55" s="286"/>
      <c r="M55" s="286"/>
      <c r="N55" s="286"/>
      <c r="O55" s="286"/>
      <c r="P55" s="286"/>
      <c r="Q55" s="286"/>
      <c r="R55" s="286"/>
      <c r="S55" s="286"/>
      <c r="T55" s="286"/>
      <c r="U55" s="286"/>
      <c r="V55" s="286"/>
      <c r="W55" s="286"/>
      <c r="X55" s="286"/>
      <c r="Y55" s="286"/>
      <c r="Z55" s="286"/>
      <c r="AA55" s="286"/>
      <c r="AB55" s="286"/>
      <c r="AC55" s="286"/>
      <c r="AD55" s="286"/>
      <c r="AE55" s="286"/>
      <c r="AF55" s="287"/>
    </row>
    <row r="56" spans="2:32" x14ac:dyDescent="0.2">
      <c r="B56" s="29"/>
      <c r="C56" s="29"/>
      <c r="D56" s="29"/>
      <c r="E56" s="29"/>
      <c r="F56" s="29"/>
      <c r="G56" s="29"/>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row>
    <row r="57" spans="2:32" x14ac:dyDescent="0.2">
      <c r="B57" s="29"/>
      <c r="C57" s="29"/>
      <c r="D57" s="29"/>
      <c r="E57" s="29"/>
      <c r="F57" s="29"/>
      <c r="G57" s="29"/>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row>
    <row r="58" spans="2:32" ht="26.25" x14ac:dyDescent="0.2">
      <c r="B58" s="35" t="s">
        <v>35</v>
      </c>
      <c r="C58" s="36"/>
      <c r="D58" s="36"/>
      <c r="E58" s="36"/>
      <c r="F58" s="36"/>
      <c r="G58" s="36"/>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row>
    <row r="59" spans="2:32" ht="15.75" customHeight="1" x14ac:dyDescent="0.2">
      <c r="B59" s="38"/>
      <c r="C59" s="29"/>
      <c r="D59" s="29"/>
      <c r="E59" s="29"/>
      <c r="F59" s="29"/>
      <c r="G59" s="29"/>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row>
    <row r="60" spans="2:32" x14ac:dyDescent="0.2">
      <c r="B60" s="39"/>
      <c r="C60" s="39"/>
      <c r="D60" s="39"/>
      <c r="E60" s="39"/>
      <c r="F60" s="39"/>
      <c r="G60" s="39"/>
      <c r="H60" s="40"/>
      <c r="I60" s="40"/>
      <c r="J60" s="40"/>
      <c r="K60" s="40"/>
      <c r="L60" s="40"/>
      <c r="N60" s="277" t="s">
        <v>85</v>
      </c>
      <c r="O60" s="277"/>
      <c r="P60" s="277"/>
      <c r="Q60" s="277"/>
      <c r="R60" s="277"/>
      <c r="S60" s="277"/>
      <c r="T60" s="277"/>
      <c r="W60" s="40"/>
      <c r="X60" s="40"/>
      <c r="Y60" s="40"/>
      <c r="Z60" s="40"/>
      <c r="AA60" s="40"/>
      <c r="AB60" s="40"/>
      <c r="AC60" s="40"/>
      <c r="AD60" s="40"/>
      <c r="AE60" s="40"/>
      <c r="AF60" s="40"/>
    </row>
    <row r="61" spans="2:32" x14ac:dyDescent="0.2">
      <c r="B61" s="39"/>
      <c r="C61" s="39"/>
      <c r="D61" s="39"/>
      <c r="E61" s="39"/>
      <c r="F61" s="39"/>
      <c r="G61" s="39"/>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row>
    <row r="62" spans="2:32" x14ac:dyDescent="0.2">
      <c r="B62" s="39"/>
      <c r="C62" s="39"/>
      <c r="D62" s="39"/>
      <c r="E62" s="39"/>
      <c r="F62" s="39"/>
      <c r="G62" s="39"/>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row>
    <row r="63" spans="2:32" x14ac:dyDescent="0.2">
      <c r="B63" s="39"/>
      <c r="C63" s="39"/>
      <c r="D63" s="39"/>
      <c r="E63" s="39"/>
      <c r="F63" s="39"/>
      <c r="G63" s="39"/>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row>
    <row r="64" spans="2:32" hidden="1" x14ac:dyDescent="0.2">
      <c r="B64" s="39"/>
      <c r="C64" s="39"/>
      <c r="D64" s="39"/>
      <c r="E64" s="39"/>
      <c r="F64" s="39"/>
      <c r="G64" s="39"/>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row>
    <row r="65" spans="2:34" hidden="1" x14ac:dyDescent="0.2">
      <c r="B65" s="39"/>
      <c r="C65" s="39"/>
      <c r="D65" s="39"/>
      <c r="E65" s="39"/>
      <c r="F65" s="39"/>
      <c r="G65" s="39"/>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row>
    <row r="66" spans="2:34" hidden="1" x14ac:dyDescent="0.2">
      <c r="B66" s="39"/>
      <c r="C66" s="39"/>
      <c r="D66" s="39"/>
      <c r="E66" s="39"/>
      <c r="F66" s="39"/>
      <c r="G66" s="39"/>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row>
    <row r="67" spans="2:34" hidden="1" x14ac:dyDescent="0.2">
      <c r="B67" s="39"/>
      <c r="C67" s="39"/>
      <c r="D67" s="39"/>
      <c r="E67" s="39"/>
      <c r="F67" s="39"/>
      <c r="G67" s="39"/>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row>
    <row r="68" spans="2:34" hidden="1" x14ac:dyDescent="0.2">
      <c r="B68" s="39"/>
      <c r="C68" s="39"/>
      <c r="D68" s="39"/>
      <c r="E68" s="39"/>
      <c r="F68" s="39"/>
      <c r="G68" s="39"/>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row>
    <row r="69" spans="2:34" hidden="1" x14ac:dyDescent="0.2">
      <c r="B69" s="39"/>
      <c r="C69" s="39"/>
      <c r="D69" s="39"/>
      <c r="E69" s="39"/>
      <c r="F69" s="39"/>
      <c r="G69" s="39"/>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row>
    <row r="70" spans="2:34" hidden="1" x14ac:dyDescent="0.2">
      <c r="B70" s="39"/>
      <c r="C70" s="39"/>
      <c r="D70" s="39"/>
      <c r="E70" s="39"/>
      <c r="F70" s="39"/>
      <c r="G70" s="39"/>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row>
    <row r="71" spans="2:34" hidden="1" x14ac:dyDescent="0.2">
      <c r="B71" s="39"/>
      <c r="C71" s="39"/>
      <c r="D71" s="39"/>
      <c r="E71" s="39"/>
      <c r="F71" s="39"/>
      <c r="G71" s="39"/>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row>
    <row r="72" spans="2:34" hidden="1" x14ac:dyDescent="0.2">
      <c r="B72" s="39"/>
      <c r="C72" s="39"/>
      <c r="D72" s="39"/>
      <c r="E72" s="39"/>
      <c r="F72" s="39"/>
      <c r="G72" s="39"/>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row>
    <row r="73" spans="2:34" ht="12" hidden="1" customHeight="1" x14ac:dyDescent="0.2"/>
    <row r="74" spans="2:34" hidden="1" x14ac:dyDescent="0.2">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row>
    <row r="75" spans="2:34" ht="12.75" hidden="1" customHeight="1" x14ac:dyDescent="0.2">
      <c r="F75" s="41"/>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1"/>
    </row>
    <row r="76" spans="2:34" ht="12.75" hidden="1" customHeight="1" x14ac:dyDescent="0.2">
      <c r="F76" s="41"/>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41"/>
    </row>
    <row r="77" spans="2:34" hidden="1" x14ac:dyDescent="0.2">
      <c r="F77" s="41"/>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41"/>
    </row>
    <row r="78" spans="2:34" hidden="1" x14ac:dyDescent="0.2">
      <c r="F78" s="43"/>
      <c r="G78" s="43"/>
      <c r="H78" s="43"/>
      <c r="I78" s="43"/>
      <c r="J78" s="41"/>
      <c r="K78" s="41"/>
      <c r="L78" s="41"/>
      <c r="M78" s="41"/>
      <c r="N78" s="41"/>
      <c r="O78" s="41"/>
      <c r="P78" s="41"/>
      <c r="Q78" s="41"/>
      <c r="R78" s="41"/>
      <c r="S78" s="43"/>
      <c r="T78" s="43"/>
      <c r="U78" s="43"/>
      <c r="V78" s="43"/>
      <c r="W78" s="43"/>
      <c r="X78" s="43"/>
      <c r="Y78" s="43"/>
      <c r="Z78" s="43"/>
      <c r="AA78" s="43"/>
      <c r="AB78" s="43"/>
      <c r="AC78" s="43"/>
      <c r="AD78" s="43"/>
      <c r="AE78" s="43"/>
      <c r="AF78" s="43"/>
      <c r="AG78" s="43"/>
      <c r="AH78" s="41"/>
    </row>
    <row r="79" spans="2:34" hidden="1" x14ac:dyDescent="0.2">
      <c r="F79" s="43"/>
      <c r="G79" s="43"/>
      <c r="H79" s="43"/>
      <c r="I79" s="43"/>
      <c r="J79" s="41"/>
      <c r="K79" s="41"/>
      <c r="L79" s="41"/>
      <c r="M79" s="41"/>
      <c r="N79" s="41"/>
      <c r="O79" s="41"/>
      <c r="P79" s="41"/>
      <c r="Q79" s="41"/>
      <c r="R79" s="41"/>
      <c r="S79" s="43"/>
      <c r="T79" s="43"/>
      <c r="U79" s="43"/>
      <c r="V79" s="43"/>
      <c r="W79" s="43"/>
      <c r="X79" s="43"/>
      <c r="Y79" s="43"/>
      <c r="Z79" s="43"/>
      <c r="AA79" s="43"/>
      <c r="AB79" s="43"/>
      <c r="AC79" s="43"/>
      <c r="AD79" s="43"/>
      <c r="AE79" s="43"/>
      <c r="AF79" s="43"/>
      <c r="AG79" s="43"/>
      <c r="AH79" s="41"/>
    </row>
    <row r="80" spans="2:34" hidden="1" x14ac:dyDescent="0.2">
      <c r="F80" s="44"/>
      <c r="G80" s="44"/>
      <c r="H80" s="44"/>
      <c r="I80" s="44"/>
      <c r="J80" s="44"/>
      <c r="K80" s="44"/>
      <c r="R80" s="44"/>
      <c r="S80" s="43"/>
      <c r="T80" s="43"/>
      <c r="U80" s="43"/>
      <c r="V80" s="43"/>
      <c r="W80" s="43"/>
      <c r="X80" s="43"/>
      <c r="Y80" s="43"/>
      <c r="Z80" s="43"/>
      <c r="AA80" s="43"/>
      <c r="AB80" s="43"/>
      <c r="AC80" s="43"/>
      <c r="AD80" s="43"/>
      <c r="AE80" s="43"/>
      <c r="AF80" s="43"/>
      <c r="AG80" s="43"/>
      <c r="AH80" s="44"/>
    </row>
    <row r="81" spans="18:34" hidden="1" x14ac:dyDescent="0.2">
      <c r="R81" s="44"/>
      <c r="S81" s="44"/>
      <c r="T81" s="44"/>
      <c r="U81" s="44"/>
      <c r="V81" s="44"/>
      <c r="W81" s="44"/>
      <c r="X81" s="44"/>
      <c r="Y81" s="44"/>
      <c r="Z81" s="44"/>
      <c r="AA81" s="44"/>
      <c r="AB81" s="44"/>
      <c r="AC81" s="44"/>
      <c r="AD81" s="44"/>
      <c r="AE81" s="44"/>
      <c r="AF81" s="44"/>
      <c r="AG81" s="44"/>
      <c r="AH81" s="44"/>
    </row>
    <row r="82" spans="18:34" hidden="1" x14ac:dyDescent="0.2">
      <c r="R82" s="44"/>
      <c r="S82" s="44"/>
      <c r="T82" s="44"/>
      <c r="U82" s="44"/>
      <c r="V82" s="44"/>
      <c r="W82" s="44"/>
      <c r="X82" s="44"/>
      <c r="Y82" s="44"/>
      <c r="Z82" s="44"/>
      <c r="AA82" s="44"/>
      <c r="AB82" s="44"/>
      <c r="AC82" s="44"/>
      <c r="AD82" s="44"/>
      <c r="AE82" s="44"/>
      <c r="AF82" s="44"/>
      <c r="AG82" s="44"/>
      <c r="AH82" s="44"/>
    </row>
    <row r="83" spans="18:34" hidden="1" x14ac:dyDescent="0.2"/>
    <row r="84" spans="18:34" hidden="1" x14ac:dyDescent="0.2"/>
    <row r="85" spans="18:34" hidden="1" x14ac:dyDescent="0.2"/>
    <row r="86" spans="18:34" hidden="1" x14ac:dyDescent="0.2"/>
    <row r="87" spans="18:34" hidden="1" x14ac:dyDescent="0.2"/>
    <row r="88" spans="18:34" hidden="1" x14ac:dyDescent="0.2"/>
    <row r="89" spans="18:34" hidden="1" x14ac:dyDescent="0.2"/>
    <row r="90" spans="18:34" hidden="1" x14ac:dyDescent="0.2"/>
    <row r="91" spans="18:34" hidden="1" x14ac:dyDescent="0.2"/>
    <row r="92" spans="18:34" hidden="1" x14ac:dyDescent="0.2"/>
    <row r="93" spans="18:34" hidden="1" x14ac:dyDescent="0.2"/>
    <row r="94" spans="18:34" hidden="1" x14ac:dyDescent="0.2"/>
    <row r="95" spans="18:34" hidden="1" x14ac:dyDescent="0.2"/>
    <row r="96" spans="18:34"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x14ac:dyDescent="0.2"/>
  </sheetData>
  <sheetProtection formatCells="0" formatRows="0" insertColumns="0" insertRows="0" insertHyperlinks="0" deleteRows="0" selectLockedCells="1" sort="0" autoFilter="0" pivotTables="0"/>
  <mergeCells count="98">
    <mergeCell ref="E41:X41"/>
    <mergeCell ref="Y41:AF41"/>
    <mergeCell ref="B47:D47"/>
    <mergeCell ref="B44:D44"/>
    <mergeCell ref="B46:D46"/>
    <mergeCell ref="B43:D43"/>
    <mergeCell ref="Y45:AF45"/>
    <mergeCell ref="E45:X45"/>
    <mergeCell ref="E47:X47"/>
    <mergeCell ref="E46:X46"/>
    <mergeCell ref="Y44:AF44"/>
    <mergeCell ref="Y46:AF46"/>
    <mergeCell ref="Y47:AF47"/>
    <mergeCell ref="E43:X43"/>
    <mergeCell ref="E44:X44"/>
    <mergeCell ref="B29:D29"/>
    <mergeCell ref="I29:Q29"/>
    <mergeCell ref="B27:D27"/>
    <mergeCell ref="I27:Q27"/>
    <mergeCell ref="B28:D28"/>
    <mergeCell ref="E28:H28"/>
    <mergeCell ref="I26:Q26"/>
    <mergeCell ref="E27:H27"/>
    <mergeCell ref="E29:H29"/>
    <mergeCell ref="I28:Q28"/>
    <mergeCell ref="R28:AF28"/>
    <mergeCell ref="E26:H26"/>
    <mergeCell ref="AB6:AD6"/>
    <mergeCell ref="AB7:AD7"/>
    <mergeCell ref="A4:V4"/>
    <mergeCell ref="A5:V5"/>
    <mergeCell ref="W4:AA4"/>
    <mergeCell ref="W5:AA5"/>
    <mergeCell ref="A6:D6"/>
    <mergeCell ref="W6:AA6"/>
    <mergeCell ref="E6:V6"/>
    <mergeCell ref="AB4:AG4"/>
    <mergeCell ref="AB5:AG5"/>
    <mergeCell ref="AE6:AG6"/>
    <mergeCell ref="AE7:AG7"/>
    <mergeCell ref="W7:AA7"/>
    <mergeCell ref="G15:AF15"/>
    <mergeCell ref="G16:AF16"/>
    <mergeCell ref="G17:AF17"/>
    <mergeCell ref="B16:F16"/>
    <mergeCell ref="E7:V7"/>
    <mergeCell ref="B17:F17"/>
    <mergeCell ref="A7:D7"/>
    <mergeCell ref="A9:AG9"/>
    <mergeCell ref="A8:AG8"/>
    <mergeCell ref="B39:D39"/>
    <mergeCell ref="E39:X39"/>
    <mergeCell ref="E40:X40"/>
    <mergeCell ref="B41:D41"/>
    <mergeCell ref="B15:F15"/>
    <mergeCell ref="B25:D25"/>
    <mergeCell ref="I25:Q25"/>
    <mergeCell ref="R25:AF25"/>
    <mergeCell ref="E25:H25"/>
    <mergeCell ref="B18:F18"/>
    <mergeCell ref="G18:AF18"/>
    <mergeCell ref="B19:F19"/>
    <mergeCell ref="R26:AF26"/>
    <mergeCell ref="B37:D37"/>
    <mergeCell ref="E37:X37"/>
    <mergeCell ref="B26:D26"/>
    <mergeCell ref="B53:G53"/>
    <mergeCell ref="H53:AF53"/>
    <mergeCell ref="B51:G51"/>
    <mergeCell ref="H51:AF51"/>
    <mergeCell ref="R27:AF27"/>
    <mergeCell ref="B33:AF33"/>
    <mergeCell ref="Y43:AF43"/>
    <mergeCell ref="R29:AF29"/>
    <mergeCell ref="B45:D45"/>
    <mergeCell ref="Y40:AF40"/>
    <mergeCell ref="B40:D40"/>
    <mergeCell ref="Y38:AF38"/>
    <mergeCell ref="Y39:AF39"/>
    <mergeCell ref="Y37:AF37"/>
    <mergeCell ref="B38:D38"/>
    <mergeCell ref="E38:X38"/>
    <mergeCell ref="G19:AF19"/>
    <mergeCell ref="N60:T60"/>
    <mergeCell ref="B20:F20"/>
    <mergeCell ref="G20:AF20"/>
    <mergeCell ref="B21:F21"/>
    <mergeCell ref="G21:AF21"/>
    <mergeCell ref="B22:F22"/>
    <mergeCell ref="G22:AF22"/>
    <mergeCell ref="B52:G52"/>
    <mergeCell ref="H52:AF52"/>
    <mergeCell ref="B50:G50"/>
    <mergeCell ref="B55:G55"/>
    <mergeCell ref="H50:AF50"/>
    <mergeCell ref="H55:AF55"/>
    <mergeCell ref="B54:G54"/>
    <mergeCell ref="H54:AF54"/>
  </mergeCells>
  <phoneticPr fontId="4" type="noConversion"/>
  <hyperlinks>
    <hyperlink ref="N60" location="'User Guide'!A1" display="See User Guide sheet" xr:uid="{00000000-0004-0000-0100-000000000000}"/>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theme="9" tint="0.59999389629810485"/>
  </sheetPr>
  <dimension ref="A1:S25"/>
  <sheetViews>
    <sheetView zoomScale="80" zoomScaleNormal="80" zoomScaleSheetLayoutView="90" workbookViewId="0">
      <selection activeCell="A8" sqref="A8:R8"/>
    </sheetView>
  </sheetViews>
  <sheetFormatPr defaultColWidth="0" defaultRowHeight="12.75" zeroHeight="1" x14ac:dyDescent="0.2"/>
  <cols>
    <col min="1" max="1" width="24.85546875" bestFit="1" customWidth="1"/>
    <col min="2" max="2" width="13.85546875" bestFit="1" customWidth="1"/>
    <col min="3" max="3" width="15" customWidth="1"/>
    <col min="4" max="4" width="13.7109375" bestFit="1" customWidth="1"/>
    <col min="5" max="5" width="19.5703125" bestFit="1" customWidth="1"/>
    <col min="6" max="6" width="34.5703125" customWidth="1"/>
    <col min="7" max="8" width="13.5703125" bestFit="1" customWidth="1"/>
    <col min="9" max="9" width="23.5703125" customWidth="1"/>
    <col min="10" max="10" width="15.85546875" bestFit="1" customWidth="1"/>
    <col min="11" max="11" width="12.140625" bestFit="1" customWidth="1"/>
    <col min="12" max="12" width="13.85546875" bestFit="1" customWidth="1"/>
    <col min="13" max="13" width="12.140625" bestFit="1" customWidth="1"/>
    <col min="14" max="17" width="15" customWidth="1"/>
    <col min="18" max="18" width="11.28515625" customWidth="1"/>
  </cols>
  <sheetData>
    <row r="1" spans="1:19" ht="22.5" x14ac:dyDescent="0.3">
      <c r="A1" s="312" t="s">
        <v>42</v>
      </c>
      <c r="B1" s="312"/>
      <c r="C1" s="312"/>
      <c r="D1" s="312"/>
      <c r="E1" s="312"/>
      <c r="F1" s="312"/>
      <c r="G1" s="312"/>
      <c r="H1" s="312"/>
      <c r="I1" s="312"/>
      <c r="J1" s="312"/>
      <c r="K1" s="312"/>
      <c r="L1" s="312"/>
      <c r="M1" s="312"/>
      <c r="N1" s="312"/>
      <c r="O1" s="312"/>
      <c r="P1" s="312"/>
      <c r="Q1" s="312"/>
      <c r="R1" s="312"/>
    </row>
    <row r="2" spans="1:19" s="60" customFormat="1" ht="37.5" customHeight="1" x14ac:dyDescent="0.2">
      <c r="A2" s="314" t="s">
        <v>122</v>
      </c>
      <c r="B2" s="314"/>
      <c r="C2" s="314"/>
      <c r="D2" s="314"/>
      <c r="E2" s="314"/>
      <c r="F2" s="314"/>
      <c r="G2" s="314"/>
      <c r="H2" s="314"/>
      <c r="I2" s="314"/>
      <c r="J2" s="314"/>
      <c r="K2" s="314"/>
      <c r="L2" s="314"/>
      <c r="M2" s="314"/>
      <c r="N2" s="314"/>
      <c r="O2" s="314"/>
      <c r="P2" s="314"/>
      <c r="Q2" s="314"/>
      <c r="R2" s="314"/>
    </row>
    <row r="3" spans="1:19" s="60" customFormat="1" ht="37.5" customHeight="1" x14ac:dyDescent="0.2">
      <c r="A3" s="314" t="s">
        <v>123</v>
      </c>
      <c r="B3" s="314"/>
      <c r="C3" s="314"/>
      <c r="D3" s="314"/>
      <c r="E3" s="314"/>
      <c r="F3" s="314"/>
      <c r="G3" s="314"/>
      <c r="H3" s="314"/>
      <c r="I3" s="314"/>
      <c r="J3" s="314"/>
      <c r="K3" s="314"/>
      <c r="L3" s="314"/>
      <c r="M3" s="314"/>
      <c r="N3" s="314"/>
      <c r="O3" s="314"/>
      <c r="P3" s="314"/>
      <c r="Q3" s="314"/>
      <c r="R3" s="314"/>
    </row>
    <row r="4" spans="1:19" x14ac:dyDescent="0.2">
      <c r="A4" s="314" t="s">
        <v>126</v>
      </c>
      <c r="B4" s="314"/>
      <c r="C4" s="314"/>
      <c r="D4" s="314"/>
      <c r="E4" s="314"/>
      <c r="F4" s="314"/>
      <c r="G4" s="314"/>
      <c r="H4" s="314"/>
      <c r="I4" s="314"/>
      <c r="J4" s="314"/>
      <c r="K4" s="314"/>
      <c r="L4" s="314"/>
      <c r="M4" s="314"/>
      <c r="N4" s="211"/>
      <c r="O4" s="211"/>
      <c r="P4" s="211"/>
      <c r="Q4" s="211"/>
    </row>
    <row r="5" spans="1:19" s="62" customFormat="1" x14ac:dyDescent="0.2">
      <c r="A5" s="315" t="s">
        <v>125</v>
      </c>
      <c r="B5" s="316"/>
      <c r="C5" s="316"/>
      <c r="D5" s="316"/>
      <c r="E5" s="316"/>
      <c r="F5" s="316"/>
      <c r="G5" s="316"/>
      <c r="H5" s="316"/>
      <c r="I5" s="316"/>
      <c r="J5" s="316"/>
      <c r="K5" s="316"/>
      <c r="L5" s="316"/>
      <c r="M5" s="316"/>
      <c r="N5" s="212"/>
      <c r="O5" s="212"/>
      <c r="P5" s="212"/>
      <c r="Q5" s="212"/>
    </row>
    <row r="6" spans="1:19" ht="67.5" customHeight="1" x14ac:dyDescent="0.2">
      <c r="A6" s="317" t="s">
        <v>124</v>
      </c>
      <c r="B6" s="317"/>
      <c r="C6" s="317"/>
      <c r="D6" s="317"/>
      <c r="E6" s="317"/>
      <c r="F6" s="317"/>
      <c r="G6" s="317"/>
      <c r="H6" s="317"/>
      <c r="I6" s="317"/>
      <c r="J6" s="317"/>
      <c r="K6" s="317"/>
      <c r="L6" s="317"/>
      <c r="M6" s="317"/>
      <c r="N6" s="317"/>
      <c r="O6" s="317"/>
      <c r="P6" s="317"/>
      <c r="Q6" s="317"/>
      <c r="R6" s="317"/>
    </row>
    <row r="7" spans="1:19" ht="67.5" customHeight="1" x14ac:dyDescent="0.2">
      <c r="A7" s="318" t="s">
        <v>132</v>
      </c>
      <c r="B7" s="319"/>
      <c r="C7" s="319"/>
      <c r="D7" s="319"/>
      <c r="E7" s="319"/>
      <c r="F7" s="319"/>
      <c r="G7" s="319"/>
      <c r="H7" s="319"/>
      <c r="I7" s="319"/>
      <c r="J7" s="319"/>
      <c r="K7" s="319"/>
      <c r="L7" s="319"/>
      <c r="M7" s="319"/>
      <c r="N7" s="319"/>
      <c r="O7" s="319"/>
      <c r="P7" s="319"/>
      <c r="Q7" s="319"/>
      <c r="R7" s="319"/>
    </row>
    <row r="8" spans="1:19" ht="42" customHeight="1" x14ac:dyDescent="0.2">
      <c r="A8" s="318" t="s">
        <v>156</v>
      </c>
      <c r="B8" s="319"/>
      <c r="C8" s="319"/>
      <c r="D8" s="319"/>
      <c r="E8" s="319"/>
      <c r="F8" s="319"/>
      <c r="G8" s="319"/>
      <c r="H8" s="319"/>
      <c r="I8" s="319"/>
      <c r="J8" s="319"/>
      <c r="K8" s="319"/>
      <c r="L8" s="319"/>
      <c r="M8" s="319"/>
      <c r="N8" s="319"/>
      <c r="O8" s="319"/>
      <c r="P8" s="319"/>
      <c r="Q8" s="319"/>
      <c r="R8" s="319"/>
    </row>
    <row r="9" spans="1:19" ht="22.5" x14ac:dyDescent="0.3">
      <c r="A9" s="312" t="s">
        <v>135</v>
      </c>
      <c r="B9" s="312"/>
      <c r="C9" s="312"/>
      <c r="D9" s="312"/>
      <c r="E9" s="312"/>
      <c r="F9" s="312"/>
      <c r="G9" s="312"/>
      <c r="H9" s="312"/>
      <c r="I9" s="312"/>
      <c r="J9" s="312"/>
      <c r="K9" s="312"/>
      <c r="L9" s="312"/>
      <c r="M9" s="312"/>
      <c r="N9" s="312"/>
      <c r="O9" s="312"/>
      <c r="P9" s="312"/>
      <c r="Q9" s="312"/>
      <c r="R9" s="312"/>
    </row>
    <row r="10" spans="1:19" s="1" customFormat="1" x14ac:dyDescent="0.2">
      <c r="B10" s="313"/>
      <c r="C10" s="313"/>
      <c r="D10" s="313"/>
      <c r="E10" s="313"/>
      <c r="F10" s="313"/>
      <c r="G10" s="313"/>
      <c r="H10" s="63"/>
      <c r="N10" s="222"/>
      <c r="O10" s="222"/>
      <c r="P10" s="222"/>
      <c r="Q10" s="222"/>
    </row>
    <row r="11" spans="1:19" ht="157.5" x14ac:dyDescent="0.2">
      <c r="B11" s="213" t="s">
        <v>133</v>
      </c>
      <c r="C11" s="213" t="s">
        <v>143</v>
      </c>
      <c r="D11" s="213" t="s">
        <v>115</v>
      </c>
      <c r="E11" s="213" t="s">
        <v>151</v>
      </c>
      <c r="F11" s="213" t="s">
        <v>44</v>
      </c>
      <c r="G11" s="213" t="s">
        <v>45</v>
      </c>
      <c r="H11" s="213" t="s">
        <v>46</v>
      </c>
      <c r="I11" s="213" t="s">
        <v>47</v>
      </c>
      <c r="J11" s="213" t="s">
        <v>48</v>
      </c>
      <c r="K11" s="213" t="s">
        <v>112</v>
      </c>
      <c r="L11" s="213" t="s">
        <v>144</v>
      </c>
      <c r="M11" s="213" t="s">
        <v>134</v>
      </c>
    </row>
    <row r="12" spans="1:19" s="1" customFormat="1" ht="146.25" x14ac:dyDescent="0.2">
      <c r="A12" s="208" t="s">
        <v>136</v>
      </c>
      <c r="B12" s="209" t="s">
        <v>139</v>
      </c>
      <c r="C12" s="209" t="s">
        <v>137</v>
      </c>
      <c r="D12" s="209" t="s">
        <v>149</v>
      </c>
      <c r="E12" s="209" t="s">
        <v>152</v>
      </c>
      <c r="F12" s="209" t="s">
        <v>140</v>
      </c>
      <c r="G12" s="210" t="s">
        <v>138</v>
      </c>
      <c r="H12" s="223" t="s">
        <v>141</v>
      </c>
      <c r="I12" s="61" t="s">
        <v>49</v>
      </c>
      <c r="J12"/>
      <c r="K12" s="223" t="s">
        <v>142</v>
      </c>
      <c r="L12" s="209" t="s">
        <v>146</v>
      </c>
      <c r="M12" s="209" t="s">
        <v>145</v>
      </c>
      <c r="N12" s="209"/>
      <c r="O12" s="209"/>
      <c r="P12" s="209"/>
      <c r="Q12" s="209"/>
      <c r="R12" s="209"/>
      <c r="S12"/>
    </row>
    <row r="13" spans="1:19" ht="22.5" x14ac:dyDescent="0.2">
      <c r="D13" s="65"/>
      <c r="E13" s="65"/>
      <c r="F13" s="66" t="s">
        <v>50</v>
      </c>
      <c r="G13" s="65" t="s">
        <v>51</v>
      </c>
    </row>
    <row r="14" spans="1:19" ht="22.5" x14ac:dyDescent="0.2">
      <c r="F14" s="67" t="s">
        <v>52</v>
      </c>
      <c r="G14" s="65"/>
    </row>
    <row r="15" spans="1:19" ht="33.75" x14ac:dyDescent="0.2">
      <c r="F15" s="68" t="s">
        <v>106</v>
      </c>
      <c r="I15" s="68" t="s">
        <v>110</v>
      </c>
      <c r="N15" s="214"/>
      <c r="O15" s="214"/>
      <c r="P15" s="214"/>
      <c r="Q15" s="214"/>
    </row>
    <row r="16" spans="1:19" ht="33.75" x14ac:dyDescent="0.2">
      <c r="F16" s="69" t="s">
        <v>108</v>
      </c>
      <c r="N16" s="71"/>
      <c r="O16" s="71"/>
      <c r="P16" s="71"/>
      <c r="Q16" s="71"/>
    </row>
    <row r="17" spans="6:17" ht="33.75" x14ac:dyDescent="0.2">
      <c r="F17" s="68" t="s">
        <v>107</v>
      </c>
      <c r="I17" s="68" t="s">
        <v>110</v>
      </c>
      <c r="N17" s="214"/>
      <c r="O17" s="214"/>
      <c r="P17" s="214"/>
      <c r="Q17" s="214"/>
    </row>
    <row r="18" spans="6:17" ht="22.5" x14ac:dyDescent="0.2">
      <c r="F18" s="68" t="s">
        <v>109</v>
      </c>
      <c r="I18" s="68" t="s">
        <v>110</v>
      </c>
      <c r="N18" s="214"/>
      <c r="O18" s="214"/>
      <c r="P18" s="214"/>
      <c r="Q18" s="214"/>
    </row>
    <row r="19" spans="6:17" x14ac:dyDescent="0.2"/>
    <row r="20" spans="6:17" x14ac:dyDescent="0.2"/>
    <row r="21" spans="6:17" x14ac:dyDescent="0.2"/>
    <row r="22" spans="6:17" x14ac:dyDescent="0.2"/>
    <row r="23" spans="6:17" x14ac:dyDescent="0.2"/>
    <row r="24" spans="6:17" x14ac:dyDescent="0.2"/>
    <row r="25" spans="6:17" x14ac:dyDescent="0.2"/>
  </sheetData>
  <mergeCells count="10">
    <mergeCell ref="A9:R9"/>
    <mergeCell ref="B10:G10"/>
    <mergeCell ref="A1:R1"/>
    <mergeCell ref="A2:R2"/>
    <mergeCell ref="A5:M5"/>
    <mergeCell ref="A6:R6"/>
    <mergeCell ref="A8:R8"/>
    <mergeCell ref="A4:M4"/>
    <mergeCell ref="A3:R3"/>
    <mergeCell ref="A7:R7"/>
  </mergeCells>
  <pageMargins left="0.75" right="0.75" top="1" bottom="1" header="0.4921259845" footer="0.4921259845"/>
  <pageSetup paperSize="9" scale="51" orientation="portrait" r:id="rId1"/>
  <headerFooter alignWithMargins="0">
    <oddFooter>&amp;LE905722 rev xxx ver xxx&amp;R&amp;P</oddFooter>
  </headerFooter>
  <rowBreaks count="1" manualBreakCount="1">
    <brk id="8" max="16383" man="1"/>
  </rowBreaks>
  <colBreaks count="1" manualBreakCount="1">
    <brk id="17" max="14"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theme="4" tint="0.39997558519241921"/>
    <outlinePr summaryBelow="0"/>
  </sheetPr>
  <dimension ref="A1:AF123"/>
  <sheetViews>
    <sheetView showGridLines="0" tabSelected="1" zoomScale="75" zoomScaleNormal="75" workbookViewId="0">
      <pane ySplit="4" topLeftCell="A5" activePane="bottomLeft" state="frozen"/>
      <selection pane="bottomLeft" activeCell="K1" sqref="K1:L1"/>
    </sheetView>
  </sheetViews>
  <sheetFormatPr defaultColWidth="0" defaultRowHeight="12.75" zeroHeight="1" outlineLevelRow="1" x14ac:dyDescent="0.2"/>
  <cols>
    <col min="1" max="1" width="42.42578125" style="125" customWidth="1"/>
    <col min="2" max="2" width="15.5703125" style="126" customWidth="1"/>
    <col min="3" max="3" width="15.5703125" style="127" customWidth="1"/>
    <col min="4" max="4" width="15.5703125" style="128" customWidth="1"/>
    <col min="5" max="6" width="15.5703125" style="129" customWidth="1"/>
    <col min="7" max="7" width="15.5703125" style="130" customWidth="1"/>
    <col min="8" max="11" width="15.5703125" style="131" customWidth="1"/>
    <col min="12" max="12" width="15.5703125" style="130" customWidth="1"/>
    <col min="13" max="13" width="15.5703125" style="132" customWidth="1"/>
    <col min="14" max="18" width="11.42578125" style="89" customWidth="1"/>
    <col min="19" max="16384" width="0" style="89" hidden="1"/>
  </cols>
  <sheetData>
    <row r="1" spans="1:32" s="145" customFormat="1" ht="40.5" customHeight="1" x14ac:dyDescent="0.2">
      <c r="A1" s="181"/>
      <c r="B1" s="181"/>
      <c r="C1" s="181"/>
      <c r="D1" s="182"/>
      <c r="E1" s="183"/>
      <c r="F1" s="183"/>
      <c r="G1" s="184"/>
      <c r="H1" s="185"/>
      <c r="I1" s="321" t="s">
        <v>100</v>
      </c>
      <c r="J1" s="322"/>
      <c r="K1" s="320" t="str">
        <f>SWVersion</f>
        <v>tbd</v>
      </c>
      <c r="L1" s="320"/>
      <c r="M1" s="182"/>
      <c r="AF1" s="180"/>
    </row>
    <row r="2" spans="1:32" ht="22.5" x14ac:dyDescent="0.2">
      <c r="A2" s="179" t="str">
        <f>"Metrics "</f>
        <v xml:space="preserve">Metrics </v>
      </c>
      <c r="B2" s="154"/>
      <c r="C2" s="154"/>
      <c r="D2" s="154"/>
      <c r="E2" s="154"/>
      <c r="F2" s="154"/>
      <c r="G2" s="154"/>
      <c r="H2" s="154"/>
      <c r="I2" s="154"/>
      <c r="J2" s="154"/>
      <c r="K2" s="154"/>
      <c r="L2" s="154"/>
      <c r="M2" s="154"/>
    </row>
    <row r="3" spans="1:32" s="145" customFormat="1" ht="15.75" customHeight="1" outlineLevel="1" x14ac:dyDescent="0.2">
      <c r="A3" s="172"/>
      <c r="B3" s="173"/>
      <c r="C3" s="146"/>
      <c r="D3" s="146"/>
      <c r="E3" s="146"/>
      <c r="F3" s="146"/>
      <c r="G3" s="146"/>
      <c r="H3" s="146"/>
      <c r="I3" s="146"/>
      <c r="J3" s="146"/>
      <c r="K3" s="157"/>
      <c r="L3" s="157"/>
      <c r="M3" s="154"/>
    </row>
    <row r="4" spans="1:32" s="90" customFormat="1" ht="99" customHeight="1" outlineLevel="1" x14ac:dyDescent="0.2">
      <c r="A4" s="174" t="s">
        <v>113</v>
      </c>
      <c r="B4" s="175" t="s">
        <v>114</v>
      </c>
      <c r="C4" s="175" t="s">
        <v>115</v>
      </c>
      <c r="D4" s="175" t="s">
        <v>117</v>
      </c>
      <c r="E4" s="175" t="s">
        <v>150</v>
      </c>
      <c r="F4" s="175" t="s">
        <v>105</v>
      </c>
      <c r="G4" s="175" t="s">
        <v>89</v>
      </c>
      <c r="H4" s="175" t="s">
        <v>90</v>
      </c>
      <c r="I4" s="175" t="s">
        <v>91</v>
      </c>
      <c r="J4" s="175" t="s">
        <v>93</v>
      </c>
      <c r="K4" s="175" t="s">
        <v>92</v>
      </c>
      <c r="L4" s="154"/>
      <c r="M4" s="154"/>
    </row>
    <row r="5" spans="1:32" ht="15" outlineLevel="1" x14ac:dyDescent="0.2">
      <c r="A5" s="201"/>
      <c r="B5" s="167"/>
      <c r="C5" s="168"/>
      <c r="D5" s="168"/>
      <c r="E5" s="227"/>
      <c r="F5" s="226"/>
      <c r="G5" s="168"/>
      <c r="H5" s="168"/>
      <c r="I5" s="170"/>
      <c r="J5" s="170"/>
      <c r="K5" s="170"/>
      <c r="L5" s="154"/>
      <c r="M5" s="154"/>
    </row>
    <row r="6" spans="1:32" ht="15.75" outlineLevel="1" thickBot="1" x14ac:dyDescent="0.25">
      <c r="A6" s="166"/>
      <c r="B6" s="167"/>
      <c r="C6" s="168"/>
      <c r="D6" s="168"/>
      <c r="E6" s="227"/>
      <c r="F6" s="169"/>
      <c r="G6" s="168"/>
      <c r="H6" s="168"/>
      <c r="I6" s="170"/>
      <c r="J6" s="170"/>
      <c r="K6" s="170"/>
      <c r="L6" s="154"/>
      <c r="M6" s="154"/>
    </row>
    <row r="7" spans="1:32" s="99" customFormat="1" ht="15.75" outlineLevel="1" x14ac:dyDescent="0.2">
      <c r="A7" s="176" t="s">
        <v>87</v>
      </c>
      <c r="B7" s="100">
        <v>0</v>
      </c>
      <c r="C7" s="101">
        <v>0</v>
      </c>
      <c r="D7" s="101">
        <v>0</v>
      </c>
      <c r="E7" s="228">
        <v>0</v>
      </c>
      <c r="F7" s="101">
        <v>0</v>
      </c>
      <c r="G7" s="101">
        <v>0</v>
      </c>
      <c r="H7" s="101">
        <v>0</v>
      </c>
      <c r="I7" s="102">
        <v>0</v>
      </c>
      <c r="J7" s="102">
        <v>0</v>
      </c>
      <c r="K7" s="102">
        <v>0</v>
      </c>
      <c r="L7" s="154"/>
      <c r="M7" s="154"/>
    </row>
    <row r="8" spans="1:32" s="108" customFormat="1" ht="15.75" outlineLevel="1" x14ac:dyDescent="0.2">
      <c r="A8" s="177" t="s">
        <v>88</v>
      </c>
      <c r="B8" s="171"/>
      <c r="C8" s="224"/>
      <c r="D8" s="224"/>
      <c r="E8" s="229"/>
      <c r="F8" s="224"/>
      <c r="G8" s="224"/>
      <c r="H8" s="224"/>
      <c r="I8" s="225"/>
      <c r="J8" s="225"/>
      <c r="K8" s="225"/>
      <c r="L8" s="154"/>
      <c r="M8" s="154"/>
    </row>
    <row r="9" spans="1:32" s="161" customFormat="1" ht="15.75" outlineLevel="1" thickBot="1" x14ac:dyDescent="0.25">
      <c r="A9" s="147"/>
      <c r="B9" s="154"/>
      <c r="C9" s="155"/>
      <c r="D9" s="156"/>
      <c r="E9" s="157"/>
      <c r="F9" s="157"/>
      <c r="G9" s="158"/>
      <c r="H9" s="159"/>
      <c r="I9" s="159"/>
      <c r="J9" s="159"/>
      <c r="K9" s="159"/>
      <c r="L9" s="158"/>
      <c r="M9" s="154"/>
    </row>
    <row r="10" spans="1:32" s="165" customFormat="1" ht="16.5" outlineLevel="1" thickTop="1" thickBot="1" x14ac:dyDescent="0.25">
      <c r="A10" s="160"/>
      <c r="B10" s="148"/>
      <c r="C10" s="149"/>
      <c r="D10" s="150"/>
      <c r="E10" s="151"/>
      <c r="F10" s="151"/>
      <c r="G10" s="152"/>
      <c r="H10" s="153"/>
      <c r="I10" s="153"/>
      <c r="J10" s="153"/>
      <c r="K10" s="153"/>
      <c r="L10" s="152"/>
      <c r="M10" s="153"/>
    </row>
    <row r="11" spans="1:32" s="109" customFormat="1" ht="23.25" thickTop="1" x14ac:dyDescent="0.2">
      <c r="A11" s="188" t="str">
        <f>"Architecture elements implementing the upper level requirements"</f>
        <v>Architecture elements implementing the upper level requirements</v>
      </c>
      <c r="B11" s="189"/>
      <c r="C11" s="189"/>
      <c r="D11" s="189"/>
      <c r="E11" s="189"/>
      <c r="F11" s="189"/>
      <c r="G11" s="162" t="str">
        <f>"Architecture elements 'implemented by'"</f>
        <v>Architecture elements 'implemented by'</v>
      </c>
      <c r="H11" s="163"/>
      <c r="I11" s="163"/>
      <c r="J11" s="110"/>
      <c r="K11" s="110"/>
      <c r="L11" s="110"/>
      <c r="M11" s="133"/>
    </row>
    <row r="12" spans="1:32" s="109" customFormat="1" ht="15" outlineLevel="1" x14ac:dyDescent="0.2">
      <c r="A12" s="190"/>
      <c r="B12" s="191"/>
      <c r="C12" s="191"/>
      <c r="D12" s="191"/>
      <c r="E12" s="191"/>
      <c r="F12" s="191"/>
      <c r="G12" s="113"/>
      <c r="H12" s="186"/>
      <c r="I12" s="110"/>
      <c r="J12" s="110"/>
      <c r="K12" s="110"/>
      <c r="L12" s="110"/>
      <c r="M12" s="133"/>
    </row>
    <row r="13" spans="1:32" s="109" customFormat="1" ht="30" outlineLevel="1" x14ac:dyDescent="0.2">
      <c r="A13" s="193" t="s">
        <v>118</v>
      </c>
      <c r="B13" s="103">
        <f>CoveredByLowReq</f>
        <v>0</v>
      </c>
      <c r="C13" s="191"/>
      <c r="D13" s="191"/>
      <c r="E13" s="191"/>
      <c r="F13" s="191"/>
      <c r="G13" s="113"/>
      <c r="H13" s="187" t="s">
        <v>43</v>
      </c>
      <c r="I13" s="103">
        <f>ImplementedReq</f>
        <v>0</v>
      </c>
      <c r="J13" s="110"/>
      <c r="K13" s="110"/>
      <c r="L13" s="110"/>
      <c r="M13" s="133"/>
    </row>
    <row r="14" spans="1:32" s="109" customFormat="1" ht="30" outlineLevel="1" x14ac:dyDescent="0.2">
      <c r="A14" s="193" t="s">
        <v>119</v>
      </c>
      <c r="B14" s="107">
        <f>B7-B13</f>
        <v>0</v>
      </c>
      <c r="C14" s="191"/>
      <c r="D14" s="191"/>
      <c r="E14" s="191"/>
      <c r="F14" s="191"/>
      <c r="G14" s="113"/>
      <c r="H14" s="187" t="s">
        <v>99</v>
      </c>
      <c r="I14" s="107">
        <f>B7-I13</f>
        <v>0</v>
      </c>
      <c r="J14" s="110"/>
      <c r="K14" s="110"/>
      <c r="L14" s="110"/>
      <c r="M14" s="133"/>
    </row>
    <row r="15" spans="1:32" s="109" customFormat="1" ht="15" outlineLevel="1" x14ac:dyDescent="0.2">
      <c r="A15" s="190"/>
      <c r="B15" s="191"/>
      <c r="C15" s="191"/>
      <c r="D15" s="191"/>
      <c r="E15" s="191"/>
      <c r="F15" s="191"/>
      <c r="G15" s="113"/>
      <c r="H15" s="186"/>
      <c r="I15" s="110"/>
      <c r="J15" s="110"/>
      <c r="K15" s="110"/>
      <c r="L15" s="110"/>
      <c r="M15" s="133"/>
    </row>
    <row r="16" spans="1:32" s="109" customFormat="1" ht="15" outlineLevel="1" x14ac:dyDescent="0.2">
      <c r="A16" s="190"/>
      <c r="B16" s="191"/>
      <c r="C16" s="191"/>
      <c r="D16" s="191"/>
      <c r="E16" s="191"/>
      <c r="F16" s="191"/>
      <c r="G16" s="113"/>
      <c r="H16" s="186"/>
      <c r="I16" s="110"/>
      <c r="J16" s="110"/>
      <c r="K16" s="110"/>
      <c r="L16" s="110"/>
      <c r="M16" s="133"/>
    </row>
    <row r="17" spans="1:14" s="109" customFormat="1" ht="15" outlineLevel="1" x14ac:dyDescent="0.2">
      <c r="A17" s="190"/>
      <c r="B17" s="191"/>
      <c r="C17" s="191"/>
      <c r="D17" s="191"/>
      <c r="E17" s="191"/>
      <c r="F17" s="191"/>
      <c r="G17" s="114"/>
      <c r="H17" s="112"/>
      <c r="I17" s="111"/>
      <c r="J17" s="110"/>
      <c r="K17" s="110"/>
      <c r="L17" s="110"/>
      <c r="M17" s="134"/>
    </row>
    <row r="18" spans="1:14" s="109" customFormat="1" ht="15" outlineLevel="1" x14ac:dyDescent="0.2">
      <c r="A18" s="190"/>
      <c r="B18" s="191"/>
      <c r="C18" s="191"/>
      <c r="D18" s="191"/>
      <c r="E18" s="191"/>
      <c r="F18" s="191"/>
      <c r="G18" s="114"/>
      <c r="H18" s="112"/>
      <c r="I18" s="111"/>
      <c r="J18" s="110"/>
      <c r="K18" s="110"/>
      <c r="L18" s="110"/>
      <c r="M18" s="134"/>
    </row>
    <row r="19" spans="1:14" s="109" customFormat="1" ht="15" outlineLevel="1" x14ac:dyDescent="0.2">
      <c r="A19" s="190"/>
      <c r="B19" s="191"/>
      <c r="C19" s="191"/>
      <c r="D19" s="191"/>
      <c r="E19" s="191"/>
      <c r="F19" s="191"/>
      <c r="G19" s="114"/>
      <c r="H19" s="112"/>
      <c r="I19" s="111"/>
      <c r="J19" s="110"/>
      <c r="K19" s="110"/>
      <c r="L19" s="110"/>
      <c r="M19" s="134"/>
    </row>
    <row r="20" spans="1:14" s="109" customFormat="1" ht="15" outlineLevel="1" x14ac:dyDescent="0.2">
      <c r="A20" s="190"/>
      <c r="B20" s="191"/>
      <c r="C20" s="191"/>
      <c r="D20" s="191"/>
      <c r="E20" s="191"/>
      <c r="F20" s="191"/>
      <c r="G20" s="114"/>
      <c r="H20" s="112"/>
      <c r="I20" s="111"/>
      <c r="J20" s="110"/>
      <c r="K20" s="110"/>
      <c r="L20" s="110"/>
      <c r="M20" s="134"/>
    </row>
    <row r="21" spans="1:14" s="109" customFormat="1" ht="15" outlineLevel="1" x14ac:dyDescent="0.2">
      <c r="A21" s="190"/>
      <c r="B21" s="191"/>
      <c r="C21" s="191"/>
      <c r="D21" s="191"/>
      <c r="E21" s="191"/>
      <c r="F21" s="191"/>
      <c r="G21" s="114"/>
      <c r="H21" s="112"/>
      <c r="I21" s="111"/>
      <c r="J21" s="110"/>
      <c r="K21" s="110"/>
      <c r="L21" s="110"/>
      <c r="M21" s="134"/>
    </row>
    <row r="22" spans="1:14" s="109" customFormat="1" ht="15" outlineLevel="1" x14ac:dyDescent="0.2">
      <c r="A22" s="190"/>
      <c r="B22" s="191"/>
      <c r="C22" s="191"/>
      <c r="D22" s="191"/>
      <c r="E22" s="191"/>
      <c r="F22" s="191"/>
      <c r="G22" s="114"/>
      <c r="H22" s="112"/>
      <c r="I22" s="111"/>
      <c r="J22" s="110"/>
      <c r="K22" s="110"/>
      <c r="L22" s="110"/>
      <c r="M22" s="134"/>
    </row>
    <row r="23" spans="1:14" s="109" customFormat="1" ht="15" outlineLevel="1" x14ac:dyDescent="0.2">
      <c r="A23" s="190"/>
      <c r="B23" s="191"/>
      <c r="C23" s="191"/>
      <c r="D23" s="191"/>
      <c r="E23" s="191"/>
      <c r="F23" s="191"/>
      <c r="G23" s="114"/>
      <c r="H23" s="112"/>
      <c r="I23" s="112"/>
      <c r="J23" s="110"/>
      <c r="K23" s="110"/>
      <c r="L23" s="110"/>
      <c r="M23" s="134"/>
    </row>
    <row r="24" spans="1:14" s="109" customFormat="1" ht="15" outlineLevel="1" x14ac:dyDescent="0.2">
      <c r="A24" s="190"/>
      <c r="B24" s="191"/>
      <c r="C24" s="191"/>
      <c r="D24" s="191"/>
      <c r="E24" s="191"/>
      <c r="F24" s="191"/>
      <c r="G24" s="114"/>
      <c r="H24" s="112"/>
      <c r="I24" s="112"/>
      <c r="J24" s="110"/>
      <c r="K24" s="110"/>
      <c r="L24" s="110"/>
      <c r="M24" s="134"/>
    </row>
    <row r="25" spans="1:14" s="109" customFormat="1" ht="15" outlineLevel="1" x14ac:dyDescent="0.2">
      <c r="A25" s="190"/>
      <c r="B25" s="191"/>
      <c r="C25" s="191"/>
      <c r="D25" s="191"/>
      <c r="E25" s="191"/>
      <c r="F25" s="191"/>
      <c r="G25" s="114"/>
      <c r="H25" s="112"/>
      <c r="I25" s="112"/>
      <c r="J25" s="110"/>
      <c r="K25" s="110"/>
      <c r="L25" s="110"/>
      <c r="M25" s="134"/>
    </row>
    <row r="26" spans="1:14" s="109" customFormat="1" ht="15" outlineLevel="1" x14ac:dyDescent="0.2">
      <c r="A26" s="190"/>
      <c r="B26" s="191"/>
      <c r="C26" s="191"/>
      <c r="D26" s="191"/>
      <c r="E26" s="191"/>
      <c r="F26" s="191"/>
      <c r="G26" s="114"/>
      <c r="H26" s="112"/>
      <c r="I26" s="112"/>
      <c r="J26" s="110"/>
      <c r="K26" s="110"/>
      <c r="L26" s="110"/>
      <c r="M26" s="134"/>
    </row>
    <row r="27" spans="1:14" s="109" customFormat="1" ht="15" outlineLevel="1" x14ac:dyDescent="0.2">
      <c r="A27" s="190"/>
      <c r="B27" s="191"/>
      <c r="C27" s="191"/>
      <c r="D27" s="191"/>
      <c r="E27" s="191"/>
      <c r="F27" s="191"/>
      <c r="G27" s="114"/>
      <c r="H27" s="112"/>
      <c r="I27" s="112"/>
      <c r="J27" s="110"/>
      <c r="K27" s="110"/>
      <c r="L27" s="110"/>
      <c r="M27" s="134"/>
    </row>
    <row r="28" spans="1:14" s="109" customFormat="1" ht="15" outlineLevel="1" x14ac:dyDescent="0.2">
      <c r="A28" s="190"/>
      <c r="B28" s="191"/>
      <c r="C28" s="191"/>
      <c r="D28" s="191"/>
      <c r="E28" s="191"/>
      <c r="F28" s="191"/>
      <c r="G28" s="114"/>
      <c r="H28" s="112"/>
      <c r="I28" s="112"/>
      <c r="J28" s="110"/>
      <c r="K28" s="110"/>
      <c r="L28" s="110"/>
      <c r="M28" s="134"/>
    </row>
    <row r="29" spans="1:14" s="109" customFormat="1" ht="15.75" outlineLevel="1" thickBot="1" x14ac:dyDescent="0.25">
      <c r="A29" s="196"/>
      <c r="B29" s="197"/>
      <c r="C29" s="197"/>
      <c r="D29" s="197"/>
      <c r="E29" s="197"/>
      <c r="F29" s="197"/>
      <c r="G29" s="135"/>
      <c r="H29" s="136"/>
      <c r="I29" s="136"/>
      <c r="J29" s="115"/>
      <c r="K29" s="115"/>
      <c r="L29" s="115"/>
      <c r="M29" s="137"/>
    </row>
    <row r="30" spans="1:14" s="109" customFormat="1" ht="23.25" thickTop="1" x14ac:dyDescent="0.2">
      <c r="A30" s="116" t="str">
        <f>"Tests results"</f>
        <v>Tests results</v>
      </c>
      <c r="B30" s="117"/>
      <c r="C30" s="117"/>
      <c r="D30" s="117"/>
      <c r="E30" s="117"/>
      <c r="F30" s="117"/>
      <c r="G30" s="164" t="str">
        <f>"Test coverage"</f>
        <v>Test coverage</v>
      </c>
      <c r="H30" s="139"/>
      <c r="I30" s="139"/>
      <c r="J30" s="139"/>
      <c r="K30" s="139"/>
      <c r="L30" s="139"/>
      <c r="M30" s="140"/>
      <c r="N30" s="89"/>
    </row>
    <row r="31" spans="1:14" s="109" customFormat="1" ht="60" outlineLevel="1" x14ac:dyDescent="0.2">
      <c r="A31" s="122"/>
      <c r="B31" s="215" t="s">
        <v>120</v>
      </c>
      <c r="C31" s="118"/>
      <c r="D31" s="119"/>
      <c r="E31" s="119"/>
      <c r="F31" s="119"/>
      <c r="G31" s="138"/>
      <c r="H31" s="192"/>
      <c r="I31" s="139"/>
      <c r="J31" s="139"/>
      <c r="K31" s="139"/>
      <c r="L31" s="139"/>
      <c r="M31" s="140"/>
      <c r="N31" s="89"/>
    </row>
    <row r="32" spans="1:14" s="109" customFormat="1" ht="45" outlineLevel="1" x14ac:dyDescent="0.2">
      <c r="A32" s="123" t="s">
        <v>94</v>
      </c>
      <c r="B32" s="104">
        <f>OKReq</f>
        <v>0</v>
      </c>
      <c r="C32" s="118"/>
      <c r="D32" s="118"/>
      <c r="E32" s="120"/>
      <c r="F32" s="121"/>
      <c r="G32" s="138"/>
      <c r="H32" s="194" t="s">
        <v>103</v>
      </c>
      <c r="I32" s="103">
        <f>CoveredReq</f>
        <v>0</v>
      </c>
      <c r="J32" s="139"/>
      <c r="K32" s="139"/>
      <c r="L32" s="139"/>
      <c r="M32" s="140"/>
      <c r="N32" s="89"/>
    </row>
    <row r="33" spans="1:14" s="109" customFormat="1" ht="30" outlineLevel="1" x14ac:dyDescent="0.2">
      <c r="A33" s="123" t="s">
        <v>95</v>
      </c>
      <c r="B33" s="105">
        <f>PartialOKReq</f>
        <v>0</v>
      </c>
      <c r="C33" s="118"/>
      <c r="D33" s="118"/>
      <c r="E33" s="120"/>
      <c r="F33" s="121"/>
      <c r="G33" s="138"/>
      <c r="H33" s="194" t="s">
        <v>101</v>
      </c>
      <c r="I33" s="107">
        <f>B7-CoveredReq</f>
        <v>0</v>
      </c>
      <c r="J33" s="139"/>
      <c r="K33" s="139"/>
      <c r="L33" s="139"/>
      <c r="M33" s="140"/>
      <c r="N33" s="89"/>
    </row>
    <row r="34" spans="1:14" s="109" customFormat="1" ht="15.75" outlineLevel="1" x14ac:dyDescent="0.2">
      <c r="A34" s="123" t="s">
        <v>96</v>
      </c>
      <c r="B34" s="202">
        <f>NOKReq</f>
        <v>0</v>
      </c>
      <c r="C34" s="118"/>
      <c r="D34" s="118"/>
      <c r="E34" s="120"/>
      <c r="F34" s="121"/>
      <c r="G34" s="138"/>
      <c r="H34" s="195"/>
      <c r="I34" s="139"/>
      <c r="J34" s="139"/>
      <c r="K34" s="139"/>
      <c r="L34" s="139"/>
      <c r="M34" s="140"/>
      <c r="N34" s="89"/>
    </row>
    <row r="35" spans="1:14" s="109" customFormat="1" ht="15.75" outlineLevel="1" x14ac:dyDescent="0.2">
      <c r="A35" s="123" t="s">
        <v>97</v>
      </c>
      <c r="B35" s="216">
        <f>E7-CoveredReq</f>
        <v>0</v>
      </c>
      <c r="C35" s="118"/>
      <c r="D35" s="118"/>
      <c r="E35" s="120"/>
      <c r="F35" s="121"/>
      <c r="G35" s="138"/>
      <c r="H35" s="139"/>
      <c r="I35" s="139"/>
      <c r="J35" s="139"/>
      <c r="K35" s="139"/>
      <c r="L35" s="139"/>
      <c r="M35" s="140"/>
      <c r="N35" s="89"/>
    </row>
    <row r="36" spans="1:14" s="109" customFormat="1" ht="15" outlineLevel="1" x14ac:dyDescent="0.2">
      <c r="A36" s="123" t="s">
        <v>98</v>
      </c>
      <c r="B36" s="106">
        <f>CoveredReq-TestedReq</f>
        <v>0</v>
      </c>
      <c r="C36" s="118"/>
      <c r="D36" s="118"/>
      <c r="E36" s="118"/>
      <c r="F36" s="121"/>
      <c r="G36" s="141"/>
      <c r="H36" s="142"/>
      <c r="I36" s="142"/>
      <c r="J36" s="142"/>
      <c r="K36" s="143"/>
      <c r="L36" s="142"/>
      <c r="M36" s="144"/>
      <c r="N36" s="89"/>
    </row>
    <row r="37" spans="1:14" s="109" customFormat="1" ht="15" outlineLevel="1" x14ac:dyDescent="0.2">
      <c r="A37" s="124"/>
      <c r="B37" s="118"/>
      <c r="C37" s="118"/>
      <c r="D37" s="118"/>
      <c r="E37" s="118"/>
      <c r="F37" s="121"/>
      <c r="G37" s="141"/>
      <c r="H37" s="142"/>
      <c r="I37" s="142"/>
      <c r="J37" s="142"/>
      <c r="K37" s="143"/>
      <c r="L37" s="142"/>
      <c r="M37" s="144"/>
      <c r="N37" s="89"/>
    </row>
    <row r="38" spans="1:14" s="109" customFormat="1" ht="15" outlineLevel="1" x14ac:dyDescent="0.2">
      <c r="A38" s="124"/>
      <c r="B38" s="118"/>
      <c r="C38" s="118"/>
      <c r="D38" s="118"/>
      <c r="E38" s="118"/>
      <c r="F38" s="121"/>
      <c r="G38" s="141"/>
      <c r="H38" s="142"/>
      <c r="I38" s="142"/>
      <c r="J38" s="142"/>
      <c r="K38" s="143"/>
      <c r="L38" s="142"/>
      <c r="M38" s="144"/>
      <c r="N38" s="89"/>
    </row>
    <row r="39" spans="1:14" s="109" customFormat="1" ht="15" outlineLevel="1" x14ac:dyDescent="0.2">
      <c r="A39" s="124"/>
      <c r="B39" s="118"/>
      <c r="C39" s="118"/>
      <c r="D39" s="118"/>
      <c r="E39" s="118"/>
      <c r="F39" s="121"/>
      <c r="G39" s="141"/>
      <c r="H39" s="142"/>
      <c r="I39" s="142"/>
      <c r="J39" s="142"/>
      <c r="K39" s="143"/>
      <c r="L39" s="142"/>
      <c r="M39" s="144"/>
      <c r="N39" s="89"/>
    </row>
    <row r="40" spans="1:14" s="109" customFormat="1" ht="15" outlineLevel="1" x14ac:dyDescent="0.2">
      <c r="A40" s="124"/>
      <c r="B40" s="118"/>
      <c r="C40" s="118"/>
      <c r="D40" s="118"/>
      <c r="E40" s="118"/>
      <c r="F40" s="121"/>
      <c r="G40" s="141"/>
      <c r="H40" s="142"/>
      <c r="I40" s="142"/>
      <c r="J40" s="142"/>
      <c r="K40" s="143"/>
      <c r="L40" s="142"/>
      <c r="M40" s="144"/>
      <c r="N40" s="89"/>
    </row>
    <row r="41" spans="1:14" s="109" customFormat="1" ht="15" outlineLevel="1" x14ac:dyDescent="0.2">
      <c r="A41" s="124"/>
      <c r="B41" s="118"/>
      <c r="C41" s="118"/>
      <c r="D41" s="118"/>
      <c r="E41" s="118"/>
      <c r="F41" s="121"/>
      <c r="G41" s="141"/>
      <c r="H41" s="142"/>
      <c r="I41" s="142"/>
      <c r="J41" s="142"/>
      <c r="K41" s="143"/>
      <c r="L41" s="142"/>
      <c r="M41" s="144"/>
      <c r="N41" s="89"/>
    </row>
    <row r="42" spans="1:14" s="109" customFormat="1" ht="15" outlineLevel="1" x14ac:dyDescent="0.2">
      <c r="A42" s="124"/>
      <c r="B42" s="118"/>
      <c r="C42" s="118"/>
      <c r="D42" s="118"/>
      <c r="E42" s="118"/>
      <c r="F42" s="121"/>
      <c r="G42" s="141"/>
      <c r="H42" s="142"/>
      <c r="I42" s="142"/>
      <c r="J42" s="142"/>
      <c r="K42" s="143"/>
      <c r="L42" s="142"/>
      <c r="M42" s="144"/>
      <c r="N42" s="89"/>
    </row>
    <row r="43" spans="1:14" s="109" customFormat="1" ht="15" outlineLevel="1" x14ac:dyDescent="0.2">
      <c r="A43" s="124"/>
      <c r="B43" s="118"/>
      <c r="C43" s="118"/>
      <c r="D43" s="118"/>
      <c r="E43" s="118"/>
      <c r="F43" s="121"/>
      <c r="G43" s="141"/>
      <c r="H43" s="142"/>
      <c r="I43" s="142"/>
      <c r="J43" s="142"/>
      <c r="K43" s="143"/>
      <c r="L43" s="142"/>
      <c r="M43" s="144"/>
      <c r="N43" s="89"/>
    </row>
    <row r="44" spans="1:14" s="109" customFormat="1" ht="15" outlineLevel="1" x14ac:dyDescent="0.2">
      <c r="A44" s="124"/>
      <c r="B44" s="118"/>
      <c r="C44" s="118"/>
      <c r="D44" s="118"/>
      <c r="E44" s="118"/>
      <c r="F44" s="121"/>
      <c r="G44" s="141"/>
      <c r="H44" s="142"/>
      <c r="I44" s="142"/>
      <c r="J44" s="142"/>
      <c r="K44" s="143"/>
      <c r="L44" s="142"/>
      <c r="M44" s="144"/>
      <c r="N44" s="89"/>
    </row>
    <row r="45" spans="1:14" s="109" customFormat="1" ht="15" outlineLevel="1" x14ac:dyDescent="0.2">
      <c r="A45" s="124"/>
      <c r="B45" s="118"/>
      <c r="C45" s="118"/>
      <c r="D45" s="118"/>
      <c r="E45" s="118"/>
      <c r="F45" s="121"/>
      <c r="G45" s="141"/>
      <c r="H45" s="142"/>
      <c r="I45" s="142"/>
      <c r="J45" s="142"/>
      <c r="K45" s="143"/>
      <c r="L45" s="142"/>
      <c r="M45" s="144"/>
      <c r="N45" s="89"/>
    </row>
    <row r="46" spans="1:14" s="109" customFormat="1" ht="15" outlineLevel="1" x14ac:dyDescent="0.2">
      <c r="A46" s="124"/>
      <c r="B46" s="118"/>
      <c r="C46" s="118"/>
      <c r="D46" s="118"/>
      <c r="E46" s="118"/>
      <c r="F46" s="121"/>
      <c r="G46" s="141"/>
      <c r="H46" s="142"/>
      <c r="I46" s="142"/>
      <c r="J46" s="142"/>
      <c r="K46" s="143"/>
      <c r="L46" s="142"/>
      <c r="M46" s="144"/>
      <c r="N46" s="89"/>
    </row>
    <row r="47" spans="1:14" s="109" customFormat="1" ht="15" outlineLevel="1" x14ac:dyDescent="0.2">
      <c r="A47" s="124"/>
      <c r="B47" s="118"/>
      <c r="C47" s="118"/>
      <c r="D47" s="118"/>
      <c r="E47" s="118"/>
      <c r="F47" s="121"/>
      <c r="G47" s="141"/>
      <c r="H47" s="142"/>
      <c r="I47" s="142"/>
      <c r="J47" s="142"/>
      <c r="K47" s="143"/>
      <c r="L47" s="142"/>
      <c r="M47" s="144"/>
      <c r="N47" s="89"/>
    </row>
    <row r="48" spans="1:14" ht="15" x14ac:dyDescent="0.2">
      <c r="A48" s="124"/>
      <c r="B48" s="118"/>
      <c r="C48" s="118"/>
      <c r="D48" s="118"/>
      <c r="E48" s="118"/>
      <c r="F48" s="121"/>
      <c r="G48" s="141"/>
      <c r="H48" s="142"/>
      <c r="I48" s="142"/>
      <c r="J48" s="142"/>
      <c r="K48" s="143"/>
      <c r="L48" s="142"/>
      <c r="M48" s="144"/>
    </row>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sheetData>
  <mergeCells count="2">
    <mergeCell ref="K1:L1"/>
    <mergeCell ref="I1:J1"/>
  </mergeCells>
  <conditionalFormatting sqref="K1">
    <cfRule type="cellIs" dxfId="0" priority="1" stopIfTrue="1" operator="equal">
      <formula>"tbd"</formula>
    </cfRule>
  </conditionalFormatting>
  <dataValidations count="1">
    <dataValidation type="list" allowBlank="1" showInputMessage="1" showErrorMessage="1" sqref="B1" xr:uid="{00000000-0002-0000-0300-000000000000}">
      <formula1>#REF!</formula1>
    </dataValidation>
  </dataValidations>
  <pageMargins left="0.75" right="0.75" top="1" bottom="1" header="0.4921259845" footer="0.4921259845"/>
  <pageSetup scale="38" orientation="portrait" r:id="rId1"/>
  <headerFooter alignWithMargins="0">
    <oddFooter>&amp;LE905722 rev xxx ver xxx&amp;R&amp;P</oddFooter>
  </headerFooter>
  <drawing r:id="rId2"/>
  <legacyDrawing r:id="rId3"/>
  <controls>
    <mc:AlternateContent xmlns:mc="http://schemas.openxmlformats.org/markup-compatibility/2006">
      <mc:Choice Requires="x14">
        <control shapeId="19458" r:id="rId4" name="ImportArchMButton">
          <controlPr defaultSize="0" autoLine="0" autoPict="0" r:id="rId5">
            <anchor moveWithCells="1">
              <from>
                <xdr:col>2</xdr:col>
                <xdr:colOff>742950</xdr:colOff>
                <xdr:row>0</xdr:row>
                <xdr:rowOff>28575</xdr:rowOff>
              </from>
              <to>
                <xdr:col>3</xdr:col>
                <xdr:colOff>847725</xdr:colOff>
                <xdr:row>0</xdr:row>
                <xdr:rowOff>457200</xdr:rowOff>
              </to>
            </anchor>
          </controlPr>
        </control>
      </mc:Choice>
      <mc:Fallback>
        <control shapeId="19458" r:id="rId4" name="ImportArchMButton"/>
      </mc:Fallback>
    </mc:AlternateContent>
    <mc:AlternateContent xmlns:mc="http://schemas.openxmlformats.org/markup-compatibility/2006">
      <mc:Choice Requires="x14">
        <control shapeId="19457" r:id="rId6" name="UpdateStatisticsButton">
          <controlPr defaultSize="0" autoLine="0" r:id="rId7">
            <anchor moveWithCells="1">
              <from>
                <xdr:col>1</xdr:col>
                <xdr:colOff>333375</xdr:colOff>
                <xdr:row>0</xdr:row>
                <xdr:rowOff>28575</xdr:rowOff>
              </from>
              <to>
                <xdr:col>2</xdr:col>
                <xdr:colOff>685800</xdr:colOff>
                <xdr:row>0</xdr:row>
                <xdr:rowOff>466725</xdr:rowOff>
              </to>
            </anchor>
          </controlPr>
        </control>
      </mc:Choice>
      <mc:Fallback>
        <control shapeId="19457" r:id="rId6" name="UpdateStatisticsButton"/>
      </mc:Fallback>
    </mc:AlternateContent>
    <mc:AlternateContent xmlns:mc="http://schemas.openxmlformats.org/markup-compatibility/2006">
      <mc:Choice Requires="x14">
        <control shapeId="19459" r:id="rId8" name="Button 3">
          <controlPr defaultSize="0" print="0" autoFill="0" autoPict="0" macro="[0]!Feuil1.NOK_List_Click" altText="Generate List of Incomplete Architecture Elements">
            <anchor moveWithCells="1">
              <from>
                <xdr:col>4</xdr:col>
                <xdr:colOff>142875</xdr:colOff>
                <xdr:row>0</xdr:row>
                <xdr:rowOff>19050</xdr:rowOff>
              </from>
              <to>
                <xdr:col>5</xdr:col>
                <xdr:colOff>809625</xdr:colOff>
                <xdr:row>0</xdr:row>
                <xdr:rowOff>466725</xdr:rowOff>
              </to>
            </anchor>
          </controlPr>
        </control>
      </mc:Choice>
    </mc:AlternateContent>
    <mc:AlternateContent xmlns:mc="http://schemas.openxmlformats.org/markup-compatibility/2006">
      <mc:Choice Requires="x14">
        <control shapeId="19941" r:id="rId9" name="Button 485">
          <controlPr defaultSize="0" print="0" autoFill="0" autoPict="0" macro="[0]!Feuil1.Req_Test_Status_Click" altText="Generate Architecture Elements Test Status">
            <anchor moveWithCells="1" sizeWithCells="1">
              <from>
                <xdr:col>6</xdr:col>
                <xdr:colOff>104775</xdr:colOff>
                <xdr:row>0</xdr:row>
                <xdr:rowOff>38100</xdr:rowOff>
              </from>
              <to>
                <xdr:col>7</xdr:col>
                <xdr:colOff>457200</xdr:colOff>
                <xdr:row>0</xdr:row>
                <xdr:rowOff>485775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39997558519241921"/>
  </sheetPr>
  <dimension ref="A3:R12"/>
  <sheetViews>
    <sheetView workbookViewId="0">
      <selection activeCell="A8" sqref="A8:A11"/>
    </sheetView>
  </sheetViews>
  <sheetFormatPr defaultRowHeight="12.75" x14ac:dyDescent="0.2"/>
  <sheetData>
    <row r="3" spans="1:18" ht="27" x14ac:dyDescent="0.35">
      <c r="A3" s="98" t="s">
        <v>86</v>
      </c>
    </row>
    <row r="5" spans="1:18" ht="27" x14ac:dyDescent="0.35">
      <c r="E5" s="98" t="s">
        <v>121</v>
      </c>
    </row>
    <row r="7" spans="1:18" ht="18" x14ac:dyDescent="0.25">
      <c r="A7" s="221" t="s">
        <v>127</v>
      </c>
      <c r="B7" s="219"/>
      <c r="C7" s="219"/>
      <c r="D7" s="219"/>
      <c r="E7" s="219"/>
      <c r="F7" s="219"/>
      <c r="G7" s="219"/>
      <c r="H7" s="219"/>
      <c r="I7" s="219"/>
      <c r="J7" s="219"/>
      <c r="K7" s="219"/>
      <c r="L7" s="219"/>
      <c r="M7" s="219"/>
      <c r="N7" s="219"/>
      <c r="O7" s="219"/>
      <c r="P7" s="219"/>
      <c r="Q7" s="219"/>
      <c r="R7" s="219"/>
    </row>
    <row r="8" spans="1:18" ht="18" x14ac:dyDescent="0.25">
      <c r="A8" s="220" t="s">
        <v>128</v>
      </c>
      <c r="B8" s="219"/>
      <c r="C8" s="219"/>
      <c r="D8" s="219"/>
      <c r="E8" s="219"/>
      <c r="F8" s="219"/>
      <c r="G8" s="219"/>
      <c r="H8" s="219"/>
      <c r="I8" s="219"/>
      <c r="J8" s="219"/>
      <c r="K8" s="219"/>
      <c r="L8" s="219"/>
      <c r="M8" s="219"/>
      <c r="N8" s="219"/>
      <c r="O8" s="219"/>
      <c r="P8" s="219"/>
      <c r="Q8" s="219"/>
      <c r="R8" s="219"/>
    </row>
    <row r="9" spans="1:18" ht="18" x14ac:dyDescent="0.25">
      <c r="A9" s="219" t="s">
        <v>129</v>
      </c>
      <c r="B9" s="219"/>
      <c r="C9" s="219"/>
      <c r="D9" s="219"/>
      <c r="E9" s="219"/>
      <c r="F9" s="219"/>
      <c r="G9" s="219"/>
      <c r="H9" s="219"/>
      <c r="I9" s="219"/>
      <c r="J9" s="219"/>
      <c r="K9" s="219"/>
      <c r="L9" s="219"/>
      <c r="M9" s="219"/>
      <c r="N9" s="219"/>
      <c r="O9" s="219"/>
      <c r="P9" s="219"/>
      <c r="Q9" s="219"/>
      <c r="R9" s="219"/>
    </row>
    <row r="10" spans="1:18" ht="18" x14ac:dyDescent="0.25">
      <c r="A10" s="219" t="s">
        <v>130</v>
      </c>
      <c r="B10" s="219"/>
      <c r="C10" s="219"/>
      <c r="D10" s="219"/>
      <c r="E10" s="219"/>
      <c r="F10" s="219"/>
      <c r="G10" s="219"/>
      <c r="H10" s="219"/>
      <c r="I10" s="219"/>
      <c r="J10" s="219"/>
      <c r="K10" s="219"/>
      <c r="L10" s="219"/>
      <c r="M10" s="219"/>
      <c r="N10" s="219"/>
      <c r="O10" s="219"/>
      <c r="P10" s="219"/>
      <c r="Q10" s="219"/>
      <c r="R10" s="219"/>
    </row>
    <row r="11" spans="1:18" ht="18" x14ac:dyDescent="0.25">
      <c r="A11" s="219" t="s">
        <v>131</v>
      </c>
      <c r="B11" s="219"/>
      <c r="C11" s="219"/>
      <c r="D11" s="219"/>
      <c r="E11" s="219"/>
      <c r="F11" s="219"/>
      <c r="G11" s="219"/>
      <c r="H11" s="219"/>
      <c r="I11" s="219"/>
      <c r="J11" s="219"/>
      <c r="K11" s="219"/>
      <c r="L11" s="219"/>
      <c r="M11" s="219"/>
      <c r="N11" s="219"/>
      <c r="O11" s="219"/>
      <c r="P11" s="219"/>
      <c r="Q11" s="219"/>
      <c r="R11" s="219"/>
    </row>
    <row r="12" spans="1:18" ht="15" x14ac:dyDescent="0.2">
      <c r="A12" s="218"/>
      <c r="B12" s="218"/>
      <c r="C12" s="218"/>
      <c r="D12" s="218"/>
      <c r="E12" s="218"/>
      <c r="F12" s="218"/>
      <c r="G12" s="218"/>
      <c r="H12" s="218"/>
      <c r="I12" s="218"/>
      <c r="J12" s="218"/>
      <c r="K12" s="218"/>
      <c r="L12" s="218"/>
      <c r="M12" s="218"/>
      <c r="N12" s="218"/>
    </row>
  </sheetData>
  <pageMargins left="0.7" right="0.7" top="0.75" bottom="0.75" header="0.3" footer="0.3"/>
  <pageSetup paperSize="9" orientation="portrait" r:id="rId1"/>
  <headerFooter>
    <oddFooter>&amp;LE905722 rev xxx ver xxx&amp;R&amp;P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14ABC-213F-41C3-B471-5392E2E573A3}">
  <sheetPr codeName="Sheet5">
    <tabColor theme="4" tint="0.39997558519241921"/>
  </sheetPr>
  <dimension ref="A3:E7"/>
  <sheetViews>
    <sheetView workbookViewId="0">
      <selection activeCell="K18" sqref="K18"/>
    </sheetView>
  </sheetViews>
  <sheetFormatPr defaultRowHeight="12.75" x14ac:dyDescent="0.2"/>
  <cols>
    <col min="1" max="16384" width="9.140625" style="178"/>
  </cols>
  <sheetData>
    <row r="3" spans="1:5" ht="27" x14ac:dyDescent="0.35">
      <c r="A3" s="230" t="s">
        <v>86</v>
      </c>
    </row>
    <row r="5" spans="1:5" ht="27" x14ac:dyDescent="0.35">
      <c r="E5" s="230" t="s">
        <v>155</v>
      </c>
    </row>
    <row r="7" spans="1:5" ht="27" x14ac:dyDescent="0.35">
      <c r="A7" s="230" t="s">
        <v>154</v>
      </c>
    </row>
  </sheetData>
  <pageMargins left="0.7" right="0.7" top="0.75" bottom="0.75" header="0.3" footer="0.3"/>
  <pageSetup paperSize="9" orientation="portrait" r:id="rId1"/>
  <headerFooter>
    <oddFooter>&amp;LE905722 rev xxx ver xxx&amp;R&amp;P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3"/>
  <dimension ref="A1:K2"/>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1.42578125" style="198"/>
    <col min="2" max="9" width="11.42578125" style="178"/>
    <col min="10" max="10" width="22.7109375" style="178" customWidth="1"/>
    <col min="11" max="11" width="11.42578125" style="204"/>
    <col min="12" max="16384" width="11.42578125" style="178"/>
  </cols>
  <sheetData>
    <row r="1" spans="1:11" ht="18" x14ac:dyDescent="0.2">
      <c r="A1" s="217" t="s">
        <v>104</v>
      </c>
      <c r="B1" s="217"/>
      <c r="C1" s="217"/>
      <c r="D1" s="217"/>
      <c r="E1" s="217"/>
      <c r="F1" s="217"/>
      <c r="G1" s="217"/>
      <c r="H1" s="217"/>
      <c r="I1" s="217"/>
      <c r="J1" s="217"/>
      <c r="K1" s="217"/>
    </row>
    <row r="2" spans="1:11" x14ac:dyDescent="0.2">
      <c r="A2" s="199"/>
      <c r="B2" s="200"/>
      <c r="C2" s="200"/>
      <c r="D2" s="200"/>
      <c r="E2" s="200"/>
      <c r="F2" s="200"/>
      <c r="G2" s="200"/>
      <c r="H2" s="200"/>
      <c r="I2" s="200"/>
      <c r="J2" s="200"/>
      <c r="K2" s="203"/>
    </row>
  </sheetData>
  <autoFilter ref="A2:K2" xr:uid="{00000000-0009-0000-0000-000005000000}"/>
  <pageMargins left="0.75" right="0.75" top="1" bottom="1" header="0.4921259845" footer="0.4921259845"/>
  <pageSetup paperSize="9" orientation="portrait" r:id="rId1"/>
  <headerFooter alignWithMargins="0">
    <oddFooter>&amp;LE905722 rev xxx ver xxx&amp;R&amp;P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dimension ref="A1:B23"/>
  <sheetViews>
    <sheetView topLeftCell="A7" workbookViewId="0">
      <selection activeCell="A20" sqref="A20"/>
    </sheetView>
  </sheetViews>
  <sheetFormatPr defaultColWidth="11.42578125" defaultRowHeight="12.75" x14ac:dyDescent="0.2"/>
  <cols>
    <col min="1" max="1" width="39.5703125" bestFit="1" customWidth="1"/>
  </cols>
  <sheetData>
    <row r="1" spans="1:2" x14ac:dyDescent="0.2">
      <c r="A1" t="s">
        <v>53</v>
      </c>
    </row>
    <row r="2" spans="1:2" x14ac:dyDescent="0.2">
      <c r="A2" t="s">
        <v>54</v>
      </c>
    </row>
    <row r="3" spans="1:2" s="71" customFormat="1" ht="19.5" thickBot="1" x14ac:dyDescent="0.35">
      <c r="A3" s="70" t="s">
        <v>55</v>
      </c>
      <c r="B3" s="71" t="s">
        <v>56</v>
      </c>
    </row>
    <row r="4" spans="1:2" s="71" customFormat="1" ht="16.5" thickTop="1" x14ac:dyDescent="0.25">
      <c r="A4" s="72" t="s">
        <v>57</v>
      </c>
      <c r="B4" s="71" t="s">
        <v>56</v>
      </c>
    </row>
    <row r="5" spans="1:2" x14ac:dyDescent="0.2">
      <c r="A5" s="73" t="s">
        <v>58</v>
      </c>
      <c r="B5" t="s">
        <v>56</v>
      </c>
    </row>
    <row r="6" spans="1:2" x14ac:dyDescent="0.2">
      <c r="A6" s="74" t="s">
        <v>59</v>
      </c>
      <c r="B6" t="s">
        <v>56</v>
      </c>
    </row>
    <row r="7" spans="1:2" x14ac:dyDescent="0.2">
      <c r="A7" s="75" t="s">
        <v>60</v>
      </c>
      <c r="B7" t="s">
        <v>56</v>
      </c>
    </row>
    <row r="8" spans="1:2" x14ac:dyDescent="0.2">
      <c r="A8" s="76" t="s">
        <v>61</v>
      </c>
      <c r="B8" t="s">
        <v>56</v>
      </c>
    </row>
    <row r="9" spans="1:2" x14ac:dyDescent="0.2">
      <c r="A9" s="77" t="s">
        <v>62</v>
      </c>
      <c r="B9" t="s">
        <v>56</v>
      </c>
    </row>
    <row r="10" spans="1:2" x14ac:dyDescent="0.2">
      <c r="A10" s="78" t="s">
        <v>63</v>
      </c>
      <c r="B10" t="s">
        <v>56</v>
      </c>
    </row>
    <row r="11" spans="1:2" x14ac:dyDescent="0.2">
      <c r="A11" s="79" t="s">
        <v>64</v>
      </c>
      <c r="B11" t="s">
        <v>56</v>
      </c>
    </row>
    <row r="12" spans="1:2" x14ac:dyDescent="0.2">
      <c r="A12" s="80" t="s">
        <v>65</v>
      </c>
      <c r="B12" t="s">
        <v>56</v>
      </c>
    </row>
    <row r="13" spans="1:2" x14ac:dyDescent="0.2">
      <c r="A13" s="81" t="s">
        <v>66</v>
      </c>
      <c r="B13" t="s">
        <v>56</v>
      </c>
    </row>
    <row r="14" spans="1:2" ht="48.75" x14ac:dyDescent="0.2">
      <c r="A14" s="64" t="s">
        <v>67</v>
      </c>
    </row>
    <row r="15" spans="1:2" x14ac:dyDescent="0.2">
      <c r="A15" s="82" t="s">
        <v>68</v>
      </c>
    </row>
    <row r="17" spans="1:1" x14ac:dyDescent="0.2">
      <c r="A17" s="83" t="s">
        <v>69</v>
      </c>
    </row>
    <row r="18" spans="1:1" x14ac:dyDescent="0.2">
      <c r="A18" s="84" t="s">
        <v>70</v>
      </c>
    </row>
    <row r="19" spans="1:1" x14ac:dyDescent="0.2">
      <c r="A19" s="85" t="s">
        <v>71</v>
      </c>
    </row>
    <row r="20" spans="1:1" x14ac:dyDescent="0.2">
      <c r="A20" s="82" t="s">
        <v>72</v>
      </c>
    </row>
    <row r="21" spans="1:1" x14ac:dyDescent="0.2">
      <c r="A21" s="86" t="s">
        <v>73</v>
      </c>
    </row>
    <row r="22" spans="1:1" x14ac:dyDescent="0.2">
      <c r="A22" s="87" t="s">
        <v>74</v>
      </c>
    </row>
    <row r="23" spans="1:1" x14ac:dyDescent="0.2">
      <c r="A23" s="88" t="s">
        <v>75</v>
      </c>
    </row>
  </sheetData>
  <pageMargins left="0.75" right="0.75" top="1" bottom="1" header="0.4921259845" footer="0.4921259845"/>
  <pageSetup paperSize="9" orientation="portrait" r:id="rId1"/>
  <headerFooter alignWithMargins="0">
    <oddFooter>&amp;LE905722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36</vt:i4>
      </vt:variant>
    </vt:vector>
  </HeadingPairs>
  <TitlesOfParts>
    <vt:vector size="44" baseType="lpstr">
      <vt:lpstr>FrontPage</vt:lpstr>
      <vt:lpstr>General info</vt:lpstr>
      <vt:lpstr>User Guide</vt:lpstr>
      <vt:lpstr>Statistics</vt:lpstr>
      <vt:lpstr>Incomplete Arch. Elements List</vt:lpstr>
      <vt:lpstr>Arch. Elements Test Status</vt:lpstr>
      <vt:lpstr>Feuil1</vt:lpstr>
      <vt:lpstr>Styles</vt:lpstr>
      <vt:lpstr>Architecture_Implemented_by_Detailed_Design</vt:lpstr>
      <vt:lpstr>CoveredByLowReq</vt:lpstr>
      <vt:lpstr>CoveredReq</vt:lpstr>
      <vt:lpstr>DesiredDiscipline</vt:lpstr>
      <vt:lpstr>FileName</vt:lpstr>
      <vt:lpstr>ImplementedReq</vt:lpstr>
      <vt:lpstr>MXActual_state_Released</vt:lpstr>
      <vt:lpstr>MXAuthority</vt:lpstr>
      <vt:lpstr>MXCurrent.Localized</vt:lpstr>
      <vt:lpstr>MXName</vt:lpstr>
      <vt:lpstr>MXRevision</vt:lpstr>
      <vt:lpstr>MXTitle</vt:lpstr>
      <vt:lpstr>MXVersion</vt:lpstr>
      <vt:lpstr>NOKReq</vt:lpstr>
      <vt:lpstr>OKReq</vt:lpstr>
      <vt:lpstr>PartialOKReq</vt:lpstr>
      <vt:lpstr>PLMDocAuthor</vt:lpstr>
      <vt:lpstr>'User Guide'!Print_Area</vt:lpstr>
      <vt:lpstr>'General info'!Print_Titles</vt:lpstr>
      <vt:lpstr>START_REPORT</vt:lpstr>
      <vt:lpstr>SumForStatistics</vt:lpstr>
      <vt:lpstr>SWVersion</vt:lpstr>
      <vt:lpstr>TemplateRef</vt:lpstr>
      <vt:lpstr>TestedReq</vt:lpstr>
      <vt:lpstr>TitleCoveredByTests</vt:lpstr>
      <vt:lpstr>TitleCumulatedNOK</vt:lpstr>
      <vt:lpstr>TitleCumulatedOK</vt:lpstr>
      <vt:lpstr>TitleCumulatedPartiallyOK</vt:lpstr>
      <vt:lpstr>TitleCumulatedTested</vt:lpstr>
      <vt:lpstr>TitleImplemented</vt:lpstr>
      <vt:lpstr>TitleImplementingUpReq</vt:lpstr>
      <vt:lpstr>TitleModuleName</vt:lpstr>
      <vt:lpstr>TitleReqNumber</vt:lpstr>
      <vt:lpstr>TitleTested</vt:lpstr>
      <vt:lpstr>TitleToBeTestedByIntegration</vt:lpstr>
      <vt:lpstr>ToBeTestedByIntegrationReq</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Francine Chambin</cp:lastModifiedBy>
  <cp:lastPrinted>2018-06-07T09:49:02Z</cp:lastPrinted>
  <dcterms:created xsi:type="dcterms:W3CDTF">2008-08-11T11:06:44Z</dcterms:created>
  <dcterms:modified xsi:type="dcterms:W3CDTF">2018-07-31T12:06:51Z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Released" linkTarget="MXActual_state_Released">
    <vt:lpwstr>#NAME?</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Document created</vt:lpwstr>
  </property>
  <property fmtid="{D5CDD505-2E9C-101B-9397-08002B2CF9AE}" pid="9" name="MXAuthority" linkTarget="MXAuthority">
    <vt:lpwstr>#NAME?</vt:lpwstr>
  </property>
  <property fmtid="{D5CDD505-2E9C-101B-9397-08002B2CF9AE}" pid="10" name="MXAuthority_BusinessUnit">
    <vt:lpwstr/>
  </property>
  <property fmtid="{D5CDD505-2E9C-101B-9397-08002B2CF9AE}" pid="11" name="MXAuthority_Description">
    <vt:lpwstr>Process documents etc</vt:lpwstr>
  </property>
  <property fmtid="{D5CDD505-2E9C-101B-9397-08002B2CF9AE}" pid="12" name="MXAuthority_Owner">
    <vt:lpwstr>Marcus Klomark</vt:lpwstr>
  </property>
  <property fmtid="{D5CDD505-2E9C-101B-9397-08002B2CF9AE}" pid="13" name="MXAuthority_Program">
    <vt:lpwstr/>
  </property>
  <property fmtid="{D5CDD505-2E9C-101B-9397-08002B2CF9AE}" pid="14" name="MXCheckin Date">
    <vt:lpwstr>12/22/2010 8:58:03 AM</vt:lpwstr>
  </property>
  <property fmtid="{D5CDD505-2E9C-101B-9397-08002B2CF9AE}" pid="15" name="MXCheckin Reason">
    <vt:lpwstr>Revised by Johannes Kask</vt:lpwstr>
  </property>
  <property fmtid="{D5CDD505-2E9C-101B-9397-08002B2CF9AE}" pid="16" name="MXCheckin User" linkTarget="PLMDocAuthor">
    <vt:lpwstr>#NAME?</vt:lpwstr>
  </property>
  <property fmtid="{D5CDD505-2E9C-101B-9397-08002B2CF9AE}" pid="17" name="MXCurrent">
    <vt:lpwstr>Preliminary</vt:lpwstr>
  </property>
  <property fmtid="{D5CDD505-2E9C-101B-9397-08002B2CF9AE}" pid="18" name="MXCurrent.Localized" linkTarget="MXCurrent.Localized">
    <vt:lpwstr>#NAME?</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johannes.kask@autoliv.com</vt:lpwstr>
  </property>
  <property fmtid="{D5CDD505-2E9C-101B-9397-08002B2CF9AE}" pid="22" name="MXFirstName">
    <vt:lpwstr>Johannes</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Kask</vt:lpwstr>
  </property>
  <property fmtid="{D5CDD505-2E9C-101B-9397-08002B2CF9AE}" pid="26" name="MXLatestVersion">
    <vt:lpwstr>3</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#NAME?</vt:lpwstr>
  </property>
  <property fmtid="{D5CDD505-2E9C-101B-9397-08002B2CF9AE}" pid="30" name="MXOriginator">
    <vt:lpwstr>Mats Sundin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#NAME?</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Architecture Matrix (ArchM)</vt:lpwstr>
  </property>
  <property fmtid="{D5CDD505-2E9C-101B-9397-08002B2CF9AE}" pid="45" name="MXType">
    <vt:lpwstr>alvProjectManagement</vt:lpwstr>
  </property>
  <property fmtid="{D5CDD505-2E9C-101B-9397-08002B2CF9AE}" pid="46" name="MXType.Localized" linkTarget="MXType.Localized">
    <vt:lpwstr>#REF!</vt:lpwstr>
  </property>
  <property fmtid="{D5CDD505-2E9C-101B-9397-08002B2CF9AE}" pid="47" name="MXUser">
    <vt:lpwstr>Johannes Kask</vt:lpwstr>
  </property>
  <property fmtid="{D5CDD505-2E9C-101B-9397-08002B2CF9AE}" pid="48" name="MXVersion" linkTarget="MXVersion">
    <vt:lpwstr>#NAME?</vt:lpwstr>
  </property>
</Properties>
</file>