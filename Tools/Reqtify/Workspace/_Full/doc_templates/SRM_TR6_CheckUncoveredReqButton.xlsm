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BE\01_MKS\AUDI_TR6\Phase_01\View_Test\Tools\Reqtify\Workspace\_Full\doc_templates\"/>
    </mc:Choice>
  </mc:AlternateContent>
  <bookViews>
    <workbookView xWindow="-28920" yWindow="-120" windowWidth="29040" windowHeight="15840" tabRatio="818" activeTab="3"/>
  </bookViews>
  <sheets>
    <sheet name="FrontPage" sheetId="4" r:id="rId1"/>
    <sheet name="General info" sheetId="11" r:id="rId2"/>
    <sheet name="User Guide" sheetId="15" r:id="rId3"/>
    <sheet name="Statistics" sheetId="16" r:id="rId4"/>
    <sheet name="Requirement Status" sheetId="17" r:id="rId5"/>
    <sheet name="Incomplete Req List" sheetId="18" r:id="rId6"/>
    <sheet name="Feuil1" sheetId="19" r:id="rId7"/>
    <sheet name="Styles" sheetId="20" r:id="rId8"/>
  </sheets>
  <externalReferences>
    <externalReference r:id="rId9"/>
  </externalReferences>
  <definedNames>
    <definedName name="_xlnm._FilterDatabase" localSheetId="4" hidden="1">'Requirement Status'!$A$3:$E$3</definedName>
    <definedName name="FileName">FrontPage!$AD$3</definedName>
    <definedName name="IntTests_ExistButNotTested">Statistics!$B$29</definedName>
    <definedName name="IntTests_NotExist">Statistics!$B$30</definedName>
    <definedName name="IntTests_Tested">Statistics!$B$28</definedName>
    <definedName name="MXActual_state_Released">FrontPage!$AB$5</definedName>
    <definedName name="MXAuthority">FrontPage!$A$5</definedName>
    <definedName name="MXCurrent.Localized">FrontPage!$W$5</definedName>
    <definedName name="MXName">FrontPage!$A$7</definedName>
    <definedName name="MXPolicy">FrontPage!#REF!</definedName>
    <definedName name="MXRevision">FrontPage!$AB$7</definedName>
    <definedName name="MXTitle">FrontPage!$E$7</definedName>
    <definedName name="MXType.Localized">FrontPage!#REF!</definedName>
    <definedName name="MXVersion">FrontPage!$AE$7</definedName>
    <definedName name="NbOfFunctionalReqs">Statistics!$B$19</definedName>
    <definedName name="NbOfNonFunctionalReqs">Statistics!$B$20</definedName>
    <definedName name="PLMDocAuthor">FrontPage!$F$10</definedName>
    <definedName name="_xlnm.Print_Area" localSheetId="4">'Requirement Status'!$A$1:$M$49</definedName>
    <definedName name="_xlnm.Print_Area" localSheetId="3">Statistics!$A$1:$S$55</definedName>
    <definedName name="_xlnm.Print_Titles" localSheetId="1">'General info'!$1:$10</definedName>
    <definedName name="ReqNotApproved">'Requirement Status'!$J$11</definedName>
    <definedName name="ReqNotReviewed">'Requirement Status'!$J$7</definedName>
    <definedName name="ReqStatus_LastTableRow">'Requirement Status'!$A$99</definedName>
    <definedName name="ReqTestedByIntCumulated">Statistics!$J$8</definedName>
    <definedName name="START_REPORT" localSheetId="4">[1]PRO_Apply_System_Strategy!#REF!</definedName>
    <definedName name="START_REPORT" localSheetId="2">#REF!</definedName>
    <definedName name="START_REPORT">Feuil1!$A$1</definedName>
    <definedName name="SumForStatistics">Statistics!$A$7</definedName>
    <definedName name="SWVersion">FrontPage!$O$24</definedName>
    <definedName name="TemplateRef">FrontPage!$W$7</definedName>
    <definedName name="TestsResults_NOK">Statistics!$B$48</definedName>
    <definedName name="TestsResults_NotTested">Statistics!$B$49</definedName>
    <definedName name="TestsResults_OK">Statistics!$B$46</definedName>
    <definedName name="TestsResults_PartiallyOK">Statistics!$B$47</definedName>
    <definedName name="TitleModuleName" localSheetId="4">'Requirement Status'!$A$3</definedName>
    <definedName name="TitleModuleName" localSheetId="3">Statistics!$A$4</definedName>
    <definedName name="VerifTests_ExistButNotTested">Statistics!$B$35</definedName>
    <definedName name="VerifTests_NotExist">Statistics!$B$36</definedName>
    <definedName name="VerifTests_Tested">Statistics!$B$34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64" i="16" l="1"/>
  <c r="C63" i="16"/>
  <c r="C61" i="16"/>
  <c r="C62" i="16"/>
  <c r="B14" i="16"/>
  <c r="B13" i="16" l="1"/>
  <c r="B12" i="16"/>
  <c r="T8" i="16" l="1"/>
  <c r="U8" i="16"/>
  <c r="V8" i="16"/>
  <c r="L27" i="16" l="1"/>
  <c r="K11" i="16"/>
  <c r="B20" i="16"/>
  <c r="B19" i="16"/>
  <c r="B8" i="16"/>
  <c r="S8" i="16"/>
  <c r="F8" i="16"/>
  <c r="B15" i="16" s="1"/>
  <c r="G8" i="16"/>
  <c r="C8" i="16"/>
  <c r="D39" i="16"/>
  <c r="D27" i="16"/>
  <c r="D11" i="16"/>
  <c r="R8" i="16"/>
  <c r="B35" i="16" s="1"/>
  <c r="Q8" i="16"/>
  <c r="B29" i="16" s="1"/>
  <c r="P8" i="16"/>
  <c r="B48" i="16" s="1"/>
  <c r="O8" i="16"/>
  <c r="B47" i="16" s="1"/>
  <c r="N8" i="16"/>
  <c r="B46" i="16" s="1"/>
  <c r="B50" i="16" s="1"/>
  <c r="L8" i="16"/>
  <c r="K8" i="16"/>
  <c r="B34" i="16" s="1"/>
  <c r="J8" i="16"/>
  <c r="B28" i="16" s="1"/>
  <c r="I8" i="16"/>
  <c r="H8" i="16"/>
  <c r="E8" i="16"/>
  <c r="D8" i="16"/>
  <c r="M8" i="16"/>
  <c r="C4" i="17"/>
  <c r="D4" i="17"/>
  <c r="E4" i="17"/>
  <c r="F4" i="17"/>
  <c r="B4" i="17"/>
  <c r="B1" i="16"/>
  <c r="C1" i="17"/>
  <c r="AD3" i="4"/>
  <c r="AD3" i="11" s="1"/>
  <c r="A23" i="4"/>
  <c r="J11" i="17" l="1"/>
  <c r="G4" i="17"/>
  <c r="B36" i="16"/>
  <c r="B62" i="16" s="1"/>
  <c r="B58" i="16"/>
  <c r="J10" i="17"/>
  <c r="J6" i="17"/>
  <c r="B60" i="16"/>
  <c r="C60" i="16"/>
  <c r="B59" i="16"/>
  <c r="B30" i="16"/>
  <c r="B61" i="16" s="1"/>
  <c r="B49" i="16"/>
  <c r="C59" i="16"/>
  <c r="J7" i="17"/>
  <c r="C58" i="16"/>
  <c r="B64" i="16" l="1"/>
  <c r="B63" i="16"/>
</calcChain>
</file>

<file path=xl/comments1.xml><?xml version="1.0" encoding="utf-8"?>
<comments xmlns="http://schemas.openxmlformats.org/spreadsheetml/2006/main">
  <authors>
    <author>Francine Chambin</author>
  </authors>
  <commentList>
    <comment ref="W7" authorId="0" shapeId="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authors>
    <author>Johannes Kask</author>
  </authors>
  <commentList>
    <comment ref="B15" authorId="0" shapeId="0">
      <text>
        <r>
          <rPr>
            <sz val="8"/>
            <color indexed="81"/>
            <rFont val="Tahoma"/>
            <family val="2"/>
          </rPr>
          <t>Insert name of tabs included in the document</t>
        </r>
        <r>
          <rPr>
            <sz val="8"/>
            <color indexed="81"/>
            <rFont val="Tahoma"/>
            <family val="2"/>
          </rPr>
          <t xml:space="preserve">
</t>
        </r>
      </text>
    </comment>
    <comment ref="G15" authorId="0" shapeId="0">
      <text>
        <r>
          <rPr>
            <sz val="8"/>
            <color indexed="81"/>
            <rFont val="Tahoma"/>
            <family val="2"/>
          </rPr>
          <t>Describe each Tab.</t>
        </r>
      </text>
    </comment>
    <comment ref="B26" authorId="0" shapeId="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text>
        <r>
          <rPr>
            <sz val="8"/>
            <color indexed="81"/>
            <rFont val="Tahoma"/>
            <family val="2"/>
          </rPr>
          <t>Date when the Revision is released</t>
        </r>
      </text>
    </comment>
    <comment ref="I26" authorId="0" shapeId="0">
      <text>
        <r>
          <rPr>
            <sz val="8"/>
            <color indexed="81"/>
            <rFont val="Tahoma"/>
            <family val="2"/>
          </rPr>
          <t>Author of the document. Authors if several.</t>
        </r>
      </text>
    </comment>
    <comment ref="R26" authorId="0" shapeId="0">
      <text>
        <r>
          <rPr>
            <sz val="8"/>
            <color indexed="81"/>
            <rFont val="Tahoma"/>
            <family val="2"/>
          </rPr>
          <t>Description or comment on the version. E.g. updated after meeting etc.</t>
        </r>
      </text>
    </comment>
    <comment ref="B38" authorId="0" shapeId="0">
      <text>
        <r>
          <rPr>
            <sz val="8"/>
            <color indexed="81"/>
            <rFont val="Tahoma"/>
            <family val="2"/>
          </rPr>
          <t>ID of possible reference documents. Any ID can be used, suggestion is [Int1], [Int2] etc. for internal references and [Ext1], [Ext2] etc. for external references</t>
        </r>
      </text>
    </comment>
    <comment ref="E38" authorId="0" shapeId="0">
      <text>
        <r>
          <rPr>
            <sz val="8"/>
            <color indexed="81"/>
            <rFont val="Tahoma"/>
            <family val="2"/>
          </rPr>
          <t>Title of reference documents.</t>
        </r>
      </text>
    </comment>
    <comment ref="Y38" authorId="0" shapeId="0">
      <text>
        <r>
          <rPr>
            <sz val="8"/>
            <color indexed="81"/>
            <rFont val="Tahoma"/>
            <family val="2"/>
          </rPr>
          <t>Reference number, e.g. E123456 and revision of the reference.</t>
        </r>
      </text>
    </comment>
    <comment ref="B44" authorId="0" shapeId="0">
      <text>
        <r>
          <rPr>
            <sz val="8"/>
            <color indexed="81"/>
            <rFont val="Tahoma"/>
            <family val="2"/>
          </rPr>
          <t>ID of possible reference documents. Any ID can be used, suggestion is [Int1], [Int2] etc. for internal references and [Ext1], [Ext2] etc. for external references</t>
        </r>
      </text>
    </comment>
    <comment ref="E44" authorId="0" shapeId="0">
      <text>
        <r>
          <rPr>
            <sz val="8"/>
            <color indexed="81"/>
            <rFont val="Tahoma"/>
            <family val="2"/>
          </rPr>
          <t>Title of reference documents.</t>
        </r>
      </text>
    </comment>
    <comment ref="Y44" authorId="0" shapeId="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authors>
    <author>Cyril Jouhanneau</author>
    <author>Francine.Chambin</author>
  </authors>
  <commentList>
    <comment ref="A4" authorId="0" shapeId="0">
      <text>
        <r>
          <rPr>
            <sz val="10"/>
            <color indexed="81"/>
            <rFont val="Tahoma"/>
            <family val="2"/>
          </rPr>
          <t>All requirements, extracted from the modules (in DOORS), which are:
- Software (Discipline = SW) and
- not obsolete ( "_ReqStatus" not "Obsolete") and,
- Functional or Non Functional and,
- targeted according to Target,
- really implemented in the Software version according to AEEC_IntoAccountOn_&lt;ProjectName&gt;.</t>
        </r>
      </text>
    </comment>
    <comment ref="B4" authorId="0" shapeId="0">
      <text>
        <r>
          <rPr>
            <sz val="10"/>
            <color indexed="81"/>
            <rFont val="Tahoma"/>
            <family val="2"/>
          </rPr>
          <t xml:space="preserve">Number of the requirements (functional and non), not obsolete,  targeted according to _Target
/ Number of SW Functional requirements Only (FO)
</t>
        </r>
      </text>
    </comment>
    <comment ref="C4" authorId="0" shapeId="0">
      <text>
        <r>
          <rPr>
            <sz val="10"/>
            <color indexed="81"/>
            <rFont val="Tahoma"/>
            <family val="2"/>
          </rPr>
          <t>According to "Req number" number and %  of requirements really implemented in the Software version within AEEC_IntoAccountOn_&lt;ProjectName&gt;</t>
        </r>
      </text>
    </comment>
    <comment ref="D4" authorId="0" shapeId="0">
      <text>
        <r>
          <rPr>
            <sz val="10"/>
            <color indexed="81"/>
            <rFont val="Tahoma"/>
            <family val="2"/>
          </rPr>
          <t>Number and % of requirements to be tested by Integration</t>
        </r>
      </text>
    </comment>
    <comment ref="E4" authorId="0" shapeId="0">
      <text>
        <r>
          <rPr>
            <sz val="10"/>
            <color indexed="81"/>
            <rFont val="Tahoma"/>
            <family val="2"/>
          </rPr>
          <t>Number and % of requirements to be tested by Verification</t>
        </r>
      </text>
    </comment>
    <comment ref="F4" authorId="0" shapeId="0">
      <text>
        <r>
          <rPr>
            <sz val="10"/>
            <color indexed="81"/>
            <rFont val="Tahoma"/>
            <family val="2"/>
          </rPr>
          <t xml:space="preserve">Requirements are not planned to be tested (neither by SW Integration nor SW Verification). 
</t>
        </r>
        <r>
          <rPr>
            <u/>
            <sz val="10"/>
            <color indexed="81"/>
            <rFont val="Tahoma"/>
            <family val="2"/>
          </rPr>
          <t xml:space="preserve">Why? Two reasons: </t>
        </r>
        <r>
          <rPr>
            <sz val="10"/>
            <color indexed="81"/>
            <rFont val="Tahoma"/>
            <family val="2"/>
          </rPr>
          <t xml:space="preserve">
- no cross  in Integ? Or Verif? Columns of module tab.
- if the requirement is not reviewed (that means ReqStatus = "Init" or "To be Improved" or in "Review by Design Team")</t>
        </r>
      </text>
    </comment>
    <comment ref="G4" authorId="0" shapeId="0">
      <text>
        <r>
          <rPr>
            <sz val="10"/>
            <color indexed="81"/>
            <rFont val="Tahoma"/>
            <family val="2"/>
          </rPr>
          <t xml:space="preserve">Requirements (in relation to the third column) really tested by Integration (i.e integration tests and reports done for requirements tested  OK or NOK)
Remark: Partially Ok requirement 
are not counted here.
</t>
        </r>
      </text>
    </comment>
    <comment ref="H4" authorId="0" shapeId="0">
      <text>
        <r>
          <rPr>
            <sz val="10"/>
            <color indexed="81"/>
            <rFont val="Tahoma"/>
            <family val="2"/>
          </rPr>
          <t xml:space="preserve">Requirements (in relation to the fourth column) really tested by  Verification (verification tests and reports done or requirements tested  OK or NOK)
Remark: Partially Ok requirement 
are not counted here.
</t>
        </r>
      </text>
    </comment>
    <comment ref="I4" authorId="0" shapeId="0">
      <text>
        <r>
          <rPr>
            <sz val="10"/>
            <color indexed="81"/>
            <rFont val="Tahoma"/>
            <family val="2"/>
          </rPr>
          <t xml:space="preserve">Number of requirements not tested (i.e requirement not  tested or partially tested) (neither by integration nor verification)
%  is in relation to the 2nd column with total of requirement like 6th column. </t>
        </r>
      </text>
    </comment>
    <comment ref="J4" authorId="0" shapeId="0">
      <text>
        <r>
          <rPr>
            <sz val="10"/>
            <color indexed="81"/>
            <rFont val="Tahoma"/>
            <family val="2"/>
          </rPr>
          <t>Requirements really tested by Integration (integration tests and reports done only for OK or NOK requirements)
Cumulated with SRM importation data</t>
        </r>
      </text>
    </comment>
    <comment ref="K4" authorId="0" shapeId="0">
      <text>
        <r>
          <rPr>
            <sz val="10"/>
            <color indexed="81"/>
            <rFont val="Tahoma"/>
            <family val="2"/>
          </rPr>
          <t>Requirements really tested by Verification (verification tests and reports done for OK and NOK requirements)
Cumulated with SRM importation data</t>
        </r>
      </text>
    </comment>
    <comment ref="L4" authorId="0" shapeId="0">
      <text>
        <r>
          <rPr>
            <sz val="10"/>
            <color indexed="81"/>
            <rFont val="Tahoma"/>
            <family val="2"/>
          </rPr>
          <t>Requirements not or not partially tested (neither by integration nor verification) 
Cumulated with SRM importation data</t>
        </r>
      </text>
    </comment>
    <comment ref="M4" authorId="0" shapeId="0">
      <text>
        <r>
          <rPr>
            <sz val="10"/>
            <color indexed="81"/>
            <rFont val="Tahoma"/>
            <family val="2"/>
          </rPr>
          <t xml:space="preserve">if a test result is "failed" (NOK) then an issue must be created.
</t>
        </r>
      </text>
    </comment>
    <comment ref="N4" authorId="0" shapeId="0">
      <text>
        <r>
          <rPr>
            <sz val="10"/>
            <color indexed="81"/>
            <rFont val="Tahoma"/>
            <family val="2"/>
          </rPr>
          <t>Requirements which have all its tests "OK"</t>
        </r>
      </text>
    </comment>
    <comment ref="O4" authorId="0" shapeId="0">
      <text>
        <r>
          <rPr>
            <sz val="10"/>
            <color indexed="81"/>
            <rFont val="Tahoma"/>
            <family val="2"/>
          </rPr>
          <t xml:space="preserve">Requirements which have :
- none "NOK" test
- not all its tests "OK" (req not fully tested)
</t>
        </r>
      </text>
    </comment>
    <comment ref="P4" authorId="0" shapeId="0">
      <text>
        <r>
          <rPr>
            <sz val="10"/>
            <color indexed="81"/>
            <rFont val="Tahoma"/>
            <family val="2"/>
          </rPr>
          <t xml:space="preserve">Requirements which have one of its tests "NOK"
</t>
        </r>
      </text>
    </comment>
    <comment ref="Q4" authorId="0" shapeId="0">
      <text>
        <r>
          <rPr>
            <sz val="10"/>
            <color indexed="81"/>
            <rFont val="Tahoma"/>
            <family val="2"/>
          </rPr>
          <t xml:space="preserve">Requirements covered by an Integration test but which are not performed yet
</t>
        </r>
      </text>
    </comment>
    <comment ref="R4" authorId="0" shapeId="0">
      <text>
        <r>
          <rPr>
            <sz val="10"/>
            <color indexed="81"/>
            <rFont val="Tahoma"/>
            <family val="2"/>
          </rPr>
          <t>Requirements covered by a Verification test but which is not performed yet</t>
        </r>
      </text>
    </comment>
    <comment ref="S4" authorId="1" shapeId="0">
      <text>
        <r>
          <rPr>
            <sz val="10"/>
            <color indexed="81"/>
            <rFont val="Tahoma"/>
            <family val="2"/>
          </rPr>
          <t>To know the requirements to be tested by the 2 teams (Integration and Verification)</t>
        </r>
      </text>
    </comment>
    <comment ref="T4" authorId="0" shapeId="0">
      <text>
        <r>
          <rPr>
            <sz val="9"/>
            <color indexed="81"/>
            <rFont val="Tahoma"/>
            <family val="2"/>
          </rPr>
          <t>number and % of requirements satisfying  an upper level requirement (upstream coverage requirement)</t>
        </r>
      </text>
    </comment>
    <comment ref="U4" authorId="0" shapeId="0">
      <text>
        <r>
          <rPr>
            <sz val="9"/>
            <color indexed="81"/>
            <rFont val="Tahoma"/>
            <family val="2"/>
          </rPr>
          <t>number and % of requirements satisfied by a lower level requirement (downstream coverage requirement)
Be careful:
- Not Applicable for SRM AAU (Software Requirement Matrix at Atomic Architectural Unit level)
- Not Applicable for SRM DES if no lower level (in case of no satisfies in DOORS from a lower level: AAU requirements in DOORS not used).</t>
        </r>
      </text>
    </comment>
    <comment ref="V4" authorId="0" shapeId="0">
      <text>
        <r>
          <rPr>
            <sz val="9"/>
            <color indexed="81"/>
            <rFont val="Tahoma"/>
            <family val="2"/>
          </rPr>
          <t>number and % of Requirements Implemented By Architecture, Design Element</t>
        </r>
      </text>
    </comment>
  </commentList>
</comments>
</file>

<file path=xl/comments4.xml><?xml version="1.0" encoding="utf-8"?>
<comments xmlns="http://schemas.openxmlformats.org/spreadsheetml/2006/main">
  <authors>
    <author>Cyril Jouhanneau</author>
  </authors>
  <commentList>
    <comment ref="J6" authorId="0" shapeId="0">
      <text>
        <r>
          <rPr>
            <sz val="9"/>
            <color indexed="81"/>
            <rFont val="Tahoma"/>
            <family val="2"/>
          </rPr>
          <t xml:space="preserve">Round down to % in order to avoid to put 100% if there are some remaining requirements </t>
        </r>
      </text>
    </comment>
    <comment ref="J10" authorId="0" shapeId="0">
      <text>
        <r>
          <rPr>
            <sz val="9"/>
            <color indexed="81"/>
            <rFont val="Tahoma"/>
            <family val="2"/>
          </rPr>
          <t>Round down to % in order to avoid to put 100% if there are some remaining requirements</t>
        </r>
      </text>
    </comment>
  </commentList>
</comments>
</file>

<file path=xl/sharedStrings.xml><?xml version="1.0" encoding="utf-8"?>
<sst xmlns="http://schemas.openxmlformats.org/spreadsheetml/2006/main" count="245" uniqueCount="210">
  <si>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</si>
  <si>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</si>
  <si>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</si>
  <si>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</si>
  <si>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</si>
  <si>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</si>
  <si>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</si>
  <si>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</si>
  <si>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</si>
  <si>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</si>
  <si>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</si>
  <si>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</si>
  <si>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</si>
  <si>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</si>
  <si>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</si>
  <si>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</si>
  <si>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</si>
  <si>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</si>
  <si>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</si>
  <si>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</si>
  <si>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</si>
  <si>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</si>
  <si>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</si>
  <si>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</si>
  <si>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</si>
  <si>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</si>
  <si>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</si>
  <si>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</si>
  <si>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</si>
  <si>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</si>
  <si>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</si>
  <si>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</si>
  <si>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</si>
  <si>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</si>
  <si>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</si>
  <si>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</si>
  <si>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</si>
  <si>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</si>
  <si>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</si>
  <si>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</si>
  <si>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</si>
  <si>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Title1: Name1
Title2: Name2</t>
  </si>
  <si>
    <t>1. HOW to use "Statistics" sheet...</t>
  </si>
  <si>
    <t>Module Name</t>
  </si>
  <si>
    <t>Created issue number</t>
  </si>
  <si>
    <t>if a test result is "failed" (NOK) then an issue must be created.</t>
  </si>
  <si>
    <r>
      <t>3. You may click on button "</t>
    </r>
    <r>
      <rPr>
        <b/>
        <sz val="10"/>
        <rFont val="Arial"/>
        <family val="2"/>
      </rPr>
      <t>Import SRM</t>
    </r>
    <r>
      <rPr>
        <sz val="11"/>
        <rFont val="Arial"/>
        <family val="2"/>
      </rPr>
      <t>"… Give the name of a previous SRM… A progress bar appears… 
If some tests are not performed again on this version for this SRM but available on a previous version/SRM, this SRM will be filled with the results found for the previous version/SRM with the mention "</t>
    </r>
    <r>
      <rPr>
        <i/>
        <sz val="10"/>
        <rFont val="Arial"/>
        <family val="2"/>
      </rPr>
      <t>OK</t>
    </r>
    <r>
      <rPr>
        <sz val="11"/>
        <rFont val="Arial"/>
        <family val="2"/>
      </rPr>
      <t>" or "</t>
    </r>
    <r>
      <rPr>
        <i/>
        <sz val="10"/>
        <rFont val="Arial"/>
        <family val="2"/>
      </rPr>
      <t>NOK</t>
    </r>
    <r>
      <rPr>
        <sz val="11"/>
        <rFont val="Arial"/>
        <family val="2"/>
      </rPr>
      <t>" on "</t>
    </r>
    <r>
      <rPr>
        <i/>
        <sz val="10"/>
        <rFont val="Arial"/>
        <family val="2"/>
      </rPr>
      <t>version number</t>
    </r>
    <r>
      <rPr>
        <sz val="11"/>
        <rFont val="Arial"/>
        <family val="2"/>
      </rPr>
      <t>".
To have the correct "</t>
    </r>
    <r>
      <rPr>
        <i/>
        <sz val="10"/>
        <rFont val="Arial"/>
        <family val="2"/>
      </rPr>
      <t>version number</t>
    </r>
    <r>
      <rPr>
        <sz val="11"/>
        <rFont val="Arial"/>
        <family val="2"/>
      </rPr>
      <t>", don't forget to correctly inform the "</t>
    </r>
    <r>
      <rPr>
        <i/>
        <sz val="10"/>
        <rFont val="Arial"/>
        <family val="2"/>
      </rPr>
      <t>SW version</t>
    </r>
    <r>
      <rPr>
        <sz val="11"/>
        <rFont val="Arial"/>
        <family val="2"/>
      </rPr>
      <t>" in the title given by the "</t>
    </r>
    <r>
      <rPr>
        <i/>
        <sz val="10"/>
        <rFont val="Arial"/>
        <family val="2"/>
      </rPr>
      <t>1st page</t>
    </r>
    <r>
      <rPr>
        <sz val="11"/>
        <rFont val="Arial"/>
        <family val="2"/>
      </rPr>
      <t>" sheet.</t>
    </r>
  </si>
  <si>
    <t xml:space="preserve"> Nb of requirements</t>
  </si>
  <si>
    <t>Init</t>
  </si>
  <si>
    <t>To_Be_clarified</t>
  </si>
  <si>
    <t>InReview_by_Design_Team</t>
  </si>
  <si>
    <t>InReview_by_Test_Team</t>
  </si>
  <si>
    <t>Approved</t>
  </si>
  <si>
    <t>Number of SW requirementswith _ReqStatus = "Init"</t>
  </si>
  <si>
    <t>Requirement</t>
  </si>
  <si>
    <t>Status</t>
  </si>
  <si>
    <t>Implemented ?</t>
  </si>
  <si>
    <t>Type</t>
  </si>
  <si>
    <t>Verif ?</t>
  </si>
  <si>
    <t>Integ ?</t>
  </si>
  <si>
    <t>Result</t>
  </si>
  <si>
    <t>Justification</t>
  </si>
  <si>
    <t>Issue</t>
  </si>
  <si>
    <t>Its ID Number (automatically extracted from DOORS)</t>
  </si>
  <si>
    <t>Its "_ReqStatus" (automatically extracted from DOORS)</t>
  </si>
  <si>
    <t>Value of "_Type"  (automatically extracted from DOORS)</t>
  </si>
  <si>
    <t>if a test result is "failed" (NOK) or not done then a justification must be given.</t>
  </si>
  <si>
    <t>To be clarified or improved</t>
  </si>
  <si>
    <t>In Review by Design Team</t>
  </si>
  <si>
    <t>In Review by Test Team</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</si>
  <si>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</si>
  <si>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</si>
  <si>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</si>
  <si>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</si>
  <si>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</si>
  <si>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</si>
  <si>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</si>
  <si>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</si>
  <si>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</si>
  <si>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</si>
  <si>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</si>
  <si>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</si>
  <si>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</si>
  <si>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</si>
  <si>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</si>
  <si>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</si>
  <si>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</si>
  <si>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</si>
  <si>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</si>
  <si>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</si>
  <si>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</si>
  <si>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for</t>
  </si>
  <si>
    <t>The purpose of this document is to have the summary about SW requirements</t>
  </si>
  <si>
    <t>User Guide</t>
  </si>
  <si>
    <t>Incomplete Req List</t>
  </si>
  <si>
    <t>Styles</t>
  </si>
  <si>
    <t>Other sheets…</t>
  </si>
  <si>
    <t>Automatic generated sheets</t>
  </si>
  <si>
    <t>Explanation about this document</t>
  </si>
  <si>
    <t>Statistics</t>
  </si>
  <si>
    <t>Styles for this document</t>
  </si>
  <si>
    <t>See User Guide sheet</t>
  </si>
  <si>
    <t>Progress :</t>
  </si>
  <si>
    <t>Remaining requirements</t>
  </si>
  <si>
    <t>Total</t>
  </si>
  <si>
    <t>M2 milestone target : all requirements are reviewed (approved state)</t>
  </si>
  <si>
    <t>tbd</t>
  </si>
  <si>
    <t>Req tested OK</t>
  </si>
  <si>
    <t>Req tested partially OK</t>
  </si>
  <si>
    <t>Check for total of requirements</t>
  </si>
  <si>
    <t>Req tested NOK</t>
  </si>
  <si>
    <t>GENERATE INCOMPLETE REQUIREMENTS LIST</t>
  </si>
  <si>
    <t>M1 milestone target : all requirements are reviewed by design team</t>
  </si>
  <si>
    <t>Functional requirements</t>
  </si>
  <si>
    <t>Checks</t>
  </si>
  <si>
    <t>All requirements are implemented</t>
  </si>
  <si>
    <t>All requirements are reviewed</t>
  </si>
  <si>
    <t>All requirements have a test target (TestScope attributs)</t>
  </si>
  <si>
    <t>Warning : information bellow this line are not taken into account for the Total computation</t>
  </si>
  <si>
    <t>Be carefull! 
"Statistics" tab doesn't take into account requirements with ReqStatus = "Init" or "To be Improved" or in "Review by Design Team"</t>
  </si>
  <si>
    <t>Requirements test plan</t>
  </si>
  <si>
    <t>Functional / Non-functional requirements</t>
  </si>
  <si>
    <t>Number of Requirements / Funtional requirements Only</t>
  </si>
  <si>
    <t>Non-functional requirements</t>
  </si>
  <si>
    <t>Tested as planned (NOK or OK)</t>
  </si>
  <si>
    <t>Not tested 
(i.e partially or not performed but test specification done)</t>
  </si>
  <si>
    <t>Not tested and test specifications not available</t>
  </si>
  <si>
    <t>Francine Chambin</t>
  </si>
  <si>
    <t>THIS SHEET IS AUTOMATICALLY CLEARED AND FILLED BY THE COMMAND BUTTON :</t>
  </si>
  <si>
    <t>Requirements tests results</t>
  </si>
  <si>
    <t>Req not tested (no result and maybe no test specification)</t>
  </si>
  <si>
    <t>Software Requirements Matrix</t>
  </si>
  <si>
    <t>OK</t>
  </si>
  <si>
    <t>Partially OK</t>
  </si>
  <si>
    <t>NOK</t>
  </si>
  <si>
    <t xml:space="preserve">Number (%) of requirements </t>
  </si>
  <si>
    <t>Implemented</t>
  </si>
  <si>
    <t>Not to be tested</t>
  </si>
  <si>
    <t>Not tested</t>
  </si>
  <si>
    <t>Not tested (cumulated)</t>
  </si>
  <si>
    <t/>
  </si>
  <si>
    <r>
      <t xml:space="preserve"> X</t>
    </r>
    <r>
      <rPr>
        <sz val="10"/>
        <rFont val="Arial"/>
        <family val="2"/>
      </rPr>
      <t xml:space="preserve"> 
if  implemented in the Software version via the attributes "_Implemented" or "AEEC_IntoAccountOn_&lt;ProjectName&gt;"</t>
    </r>
  </si>
  <si>
    <t>Summary about requirements coverages</t>
  </si>
  <si>
    <t>Summary about requirements reviews</t>
  </si>
  <si>
    <t>_ReqStatus attribute extracted from DOORS module</t>
  </si>
  <si>
    <t>Module name</t>
  </si>
  <si>
    <t xml:space="preserve">Not planned to be tested </t>
  </si>
  <si>
    <t>_ReqStatus attribute 
extracted from DOORS module</t>
  </si>
  <si>
    <t>The SRM lists the requirements, extracted from the modules (under DOORS), which are:
- Software (Discipline = SW) and,
- Functional or Non-Functional 
 (_Type or _ObjectType is "Functional_Requirement" or 
   "Non Functional_Requirement") and, 
- not obsolete ( "_ReqStatus" not "Obsolete") and,
- targeted according to the attribute containing Target</t>
  </si>
  <si>
    <t>Number of requirements, not obsolete,  targeted according to _Target</t>
  </si>
  <si>
    <t>Number of requirements with _ReqStatus = "Init"</t>
  </si>
  <si>
    <t>Number of requirements with _ReqStatus = "InReview_by_Design_Team"</t>
  </si>
  <si>
    <t>Number of requirements with _ReqStatus = "InReview_by_Test_Team"</t>
  </si>
  <si>
    <t>Number and % of requirements with _ReqStatus = "Approved"</t>
  </si>
  <si>
    <t>2. HOW "Requirement Status" sheet is filled...</t>
  </si>
  <si>
    <t>3. HOW the module sheet is filled...</t>
  </si>
  <si>
    <t>All the data used to fill these columns ("Requirement" to "Integ?") are extracted from the modules under DOORS (one sheet per module)</t>
  </si>
  <si>
    <t>For every "Requirement" which is:
- SoftWare (Discipline = SW) and,
- Functional or Non-Functional 
  (_Type or _ObjectType is "Functional_Requirement" or 
    "Non-Functional_Requirement") and,
- targeted  according to the attibute containing Target and,
- not obsolete ( "_ReqStatus" not "Obsolete"), 
write …</t>
  </si>
  <si>
    <t>Extracted from tests results (reports).</t>
  </si>
  <si>
    <t>Current release</t>
  </si>
  <si>
    <t>The SRM lists the requirements extracted from modules (in DOORS) thanks to the attributes which are:
- Software and
- not obsolete and,
- Functional or Non Functional and,
- targeted and,
- really implemented in the Software version.</t>
  </si>
  <si>
    <t>The SRM lists the requirements, extracted from modules (under DOORS), which are:
- Software (Discipline = SW) and,
- Functional or Non-Functional 
  (_Type or _ObjectType is "Functional_Requirement" or 
   "Non Functional_Requirement") and, 
- not obsolete ( "_ReqStatus" not "Obsolete") and,
- targeted according to the attribute containing Target</t>
  </si>
  <si>
    <t xml:space="preserve">1. After having required the SRM through Reqtify project and waiting few minutes, a SRM is ready to be opened but sheets are not correctly named (Feuil1, Feuil2,…). 
2. You must click on button "Update Statistics"… A progress bar appears… All statistics (including the metrics in "Requirement Status") are updated and every sheet is updated with the module name (extracted from DOORS).  Moreover when the status is In Review by Design team, Init or To be clarified, if there is a cross in verification or Integration tests it will be change by a O.  </t>
  </si>
  <si>
    <t>Requirement Status</t>
  </si>
  <si>
    <t>SRM.xlsm</t>
  </si>
  <si>
    <t>Comment</t>
  </si>
  <si>
    <t>Requirement Description</t>
  </si>
  <si>
    <t>Implemented By</t>
  </si>
  <si>
    <t xml:space="preserve">"Satisfies (Up Stream)" (SRM AAU) Or "Satisfied by" (SRM DES)
</t>
  </si>
  <si>
    <t>The data used to fill these columns are extracted from the modules under DOORS (one sheet per module)</t>
  </si>
  <si>
    <t xml:space="preserve">Contains the real value of "AEEC_TestScope_ProjectName_Version" (if exists else _TestType) attribute </t>
  </si>
  <si>
    <t>DOORS links</t>
  </si>
  <si>
    <t>Corresponds to "Satisfies" arrows:
- "Satisfies (Up Stream)" for SRM AAU or,
- "Satisfied by" (Down Stream for SRM DES)</t>
  </si>
  <si>
    <t>Satisfying Upper level requirement</t>
  </si>
  <si>
    <t>Number (%) of requirements 
Not Tested</t>
  </si>
  <si>
    <t>Number (%) of requirements
Tested</t>
  </si>
  <si>
    <t>How "Incomplete Req List" sheet is filled?</t>
  </si>
  <si>
    <t>The requirement (from every module sheet) have to be copied and pasted in "Incomplete Req List":</t>
  </si>
  <si>
    <t xml:space="preserve"> - if its test result is NOK without issue, </t>
  </si>
  <si>
    <t xml:space="preserve"> - if there is no test case</t>
  </si>
  <si>
    <r>
      <t>4. You may Click on "</t>
    </r>
    <r>
      <rPr>
        <b/>
        <sz val="10"/>
        <rFont val="Arial"/>
        <family val="2"/>
      </rPr>
      <t>Generate Incomplete Req List</t>
    </r>
    <r>
      <rPr>
        <sz val="11"/>
        <rFont val="Arial"/>
        <family val="2"/>
      </rPr>
      <t>"…. In the "</t>
    </r>
    <r>
      <rPr>
        <b/>
        <u/>
        <sz val="10"/>
        <rFont val="Arial"/>
        <family val="2"/>
      </rPr>
      <t xml:space="preserve">Incomplete Req List" sheet </t>
    </r>
    <r>
      <rPr>
        <sz val="11"/>
        <rFont val="Arial"/>
        <family val="2"/>
      </rPr>
      <t>display all Requirements:
- which have a NOK result with no issue, 
- without Integration or Verification Tests</t>
    </r>
  </si>
  <si>
    <t>Implemented by Architecture, Design (corresponds to "Implements" arrows)</t>
  </si>
  <si>
    <t>List of requirements not covered by a test case, or with no issue for a NOK result</t>
  </si>
  <si>
    <t>Total (in number)</t>
  </si>
  <si>
    <t>Satisfied by a Lower level requirement</t>
  </si>
  <si>
    <t>To be tested by SW Qualification WhiteBox</t>
  </si>
  <si>
    <t>To be tested by SW Qualification BlackBox</t>
  </si>
  <si>
    <t>Tested by  SW Qualification WhiteBox</t>
  </si>
  <si>
    <t>Tested by SW Qualification BlackBox</t>
  </si>
  <si>
    <t>Tested by  SW Qualification WhiteBox (cumulated)</t>
  </si>
  <si>
    <t>Tested by SW Qualification BlackBox (cumulated)</t>
  </si>
  <si>
    <t>But Covered by  SW Qualification WhiteBox tests cases</t>
  </si>
  <si>
    <t>But Covered by SW Qualification BlackBox tests cases</t>
  </si>
  <si>
    <t>To be tested by SW Qualification WhiteBox tests only</t>
  </si>
  <si>
    <t>To be tested by SW Qualification BlackBox tests only</t>
  </si>
  <si>
    <t>To be tested by both SW Qualification BlackBox and SW Qualification WhiteBox tests</t>
  </si>
  <si>
    <t>SW Qualification WhiteBox tests progress</t>
  </si>
  <si>
    <t>SW Qualification BlackBox tests progress</t>
  </si>
  <si>
    <r>
      <t xml:space="preserve"> X 
</t>
    </r>
    <r>
      <rPr>
        <sz val="10"/>
        <rFont val="Arial"/>
        <family val="2"/>
      </rPr>
      <t>if "AEEC_TestScope_ProjectName_Version" (if exists else _TestType) attribute contains "BlackBox".</t>
    </r>
  </si>
  <si>
    <r>
      <t xml:space="preserve"> X 
</t>
    </r>
    <r>
      <rPr>
        <sz val="10"/>
        <rFont val="Arial"/>
        <family val="2"/>
      </rPr>
      <t>if "AEEC_TestScope_ProjectName_Version"  (if exists else _TestType) attribute contains "WhiteBox" or "Reviews".</t>
    </r>
  </si>
  <si>
    <t>Extracted from BlackBox specifications.</t>
  </si>
  <si>
    <t>Extracted from SW BlackBox specifications.</t>
  </si>
  <si>
    <t>WhiteBox test</t>
  </si>
  <si>
    <t>BlackBox test</t>
  </si>
  <si>
    <t>Number (%) of requirements
not covered by a Test</t>
  </si>
  <si>
    <t>SW Qualification WhiteBox / SW Qualification BlackBox - Total</t>
  </si>
  <si>
    <t>All requirements are covered by aWhite Box test (according to Verification  scope)</t>
  </si>
  <si>
    <t>All requirements are covered by a Black Box (according to verification scope)</t>
  </si>
  <si>
    <t>All planned White Box tests are performed</t>
  </si>
  <si>
    <t>All planned Black Box tests are performed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</si>
</sst>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64" x14ac:knownFonts="1">
    <font>
      <sz val="1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b/>
      <sz val="24"/>
      <name val="Arial"/>
      <family val="2"/>
    </font>
    <font>
      <b/>
      <sz val="12"/>
      <name val="Arial"/>
      <family val="2"/>
    </font>
    <font>
      <b/>
      <u/>
      <sz val="10"/>
      <name val="Arial"/>
      <family val="2"/>
    </font>
    <font>
      <u/>
      <sz val="10"/>
      <name val="Arial"/>
      <family val="2"/>
    </font>
    <font>
      <sz val="12"/>
      <name val="Arial"/>
      <family val="2"/>
    </font>
    <font>
      <sz val="10"/>
      <name val="Arial"/>
      <family val="2"/>
    </font>
    <font>
      <sz val="10"/>
      <color indexed="81"/>
      <name val="Tahoma"/>
      <family val="2"/>
    </font>
    <font>
      <u/>
      <sz val="10"/>
      <color indexed="12"/>
      <name val="Arial"/>
      <family val="2"/>
    </font>
    <font>
      <u/>
      <sz val="10"/>
      <color indexed="81"/>
      <name val="Tahoma"/>
      <family val="2"/>
    </font>
    <font>
      <sz val="9"/>
      <color indexed="81"/>
      <name val="Tahoma"/>
      <family val="2"/>
    </font>
    <font>
      <sz val="11"/>
      <color theme="1"/>
      <name val="Calibri"/>
      <family val="2"/>
      <scheme val="minor"/>
    </font>
    <font>
      <b/>
      <sz val="12"/>
      <color rgb="FFFA7D00"/>
      <name val="Calibri"/>
      <family val="2"/>
      <scheme val="minor"/>
    </font>
    <font>
      <b/>
      <sz val="12"/>
      <color theme="0"/>
      <name val="Calibri"/>
      <family val="2"/>
      <scheme val="minor"/>
    </font>
    <font>
      <b/>
      <sz val="15"/>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i/>
      <sz val="12"/>
      <color rgb="FF000000"/>
      <name val="Arial"/>
      <family val="2"/>
    </font>
    <font>
      <b/>
      <sz val="11"/>
      <color rgb="FF3F3F3F"/>
      <name val="Calibri"/>
      <family val="2"/>
      <scheme val="minor"/>
    </font>
    <font>
      <b/>
      <u/>
      <sz val="10"/>
      <color theme="10"/>
      <name val="Arial"/>
      <family val="2"/>
    </font>
    <font>
      <sz val="22"/>
      <color rgb="FFFF0000"/>
      <name val="Arial"/>
      <family val="2"/>
    </font>
    <font>
      <sz val="11"/>
      <color theme="0"/>
      <name val="Arial"/>
      <family val="2"/>
    </font>
    <font>
      <b/>
      <sz val="12"/>
      <color theme="3"/>
      <name val="Calibri"/>
      <family val="2"/>
      <scheme val="minor"/>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b/>
      <sz val="12"/>
      <color rgb="FFFF0000"/>
      <name val="Arial"/>
      <family val="2"/>
    </font>
    <font>
      <sz val="14"/>
      <color rgb="FFFF0000"/>
      <name val="Calibri"/>
      <family val="2"/>
      <scheme val="minor"/>
    </font>
    <font>
      <sz val="11"/>
      <color rgb="FF000000"/>
      <name val="Arial"/>
      <family val="2"/>
    </font>
    <font>
      <b/>
      <sz val="10"/>
      <color rgb="FFFFFFFF"/>
      <name val="Arial"/>
      <family val="2"/>
    </font>
    <font>
      <sz val="14"/>
      <name val="Arial"/>
      <family val="2"/>
    </font>
    <font>
      <u/>
      <sz val="14"/>
      <name val="Arial"/>
      <family val="2"/>
    </font>
    <font>
      <b/>
      <sz val="10"/>
      <color rgb="FF3F3F3F"/>
      <name val="Arial"/>
      <family val="2"/>
    </font>
  </fonts>
  <fills count="38">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3"/>
        <bgColor indexed="64"/>
      </patternFill>
    </fill>
    <fill>
      <patternFill patternType="solid">
        <fgColor indexed="18"/>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65"/>
        <bgColor indexed="10"/>
      </patternFill>
    </fill>
    <fill>
      <patternFill patternType="solid">
        <fgColor indexed="22"/>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rgb="FFFFC000"/>
        <bgColor indexed="64"/>
      </patternFill>
    </fill>
    <fill>
      <patternFill patternType="solid">
        <fgColor theme="1"/>
        <bgColor indexed="64"/>
      </patternFill>
    </fill>
    <fill>
      <patternFill patternType="solid">
        <fgColor theme="7" tint="0.79998168889431442"/>
        <bgColor indexed="64"/>
      </patternFill>
    </fill>
    <fill>
      <patternFill patternType="solid">
        <fgColor rgb="FFE4DFEC"/>
        <bgColor indexed="64"/>
      </patternFill>
    </fill>
    <fill>
      <patternFill patternType="solid">
        <fgColor theme="8" tint="0.79998168889431442"/>
        <bgColor indexed="64"/>
      </patternFill>
    </fill>
    <fill>
      <patternFill patternType="solid">
        <fgColor rgb="FFDAEEF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rgb="FFCCFFCC"/>
        <bgColor indexed="64"/>
      </patternFill>
    </fill>
    <fill>
      <patternFill patternType="solid">
        <fgColor rgb="FFFFCC99"/>
        <bgColor indexed="64"/>
      </patternFill>
    </fill>
    <fill>
      <patternFill patternType="solid">
        <fgColor rgb="FFFFFFCC"/>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style="double">
        <color rgb="FF3F3F3F"/>
      </right>
      <top style="double">
        <color rgb="FF3F3F3F"/>
      </top>
      <bottom style="double">
        <color rgb="FF3F3F3F"/>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s>
  <cellStyleXfs count="69">
    <xf numFmtId="0" fontId="0" fillId="0" borderId="0"/>
    <xf numFmtId="0" fontId="31"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2" fillId="20" borderId="37" applyNumberFormat="0" applyAlignment="0" applyProtection="0"/>
    <xf numFmtId="0" fontId="33" fillId="21" borderId="38" applyNumberFormat="0" applyAlignment="0" applyProtection="0"/>
    <xf numFmtId="0" fontId="5" fillId="0" borderId="1"/>
    <xf numFmtId="0" fontId="8" fillId="0" borderId="1"/>
    <xf numFmtId="0" fontId="5" fillId="0" borderId="1"/>
    <xf numFmtId="0" fontId="26" fillId="0" borderId="1"/>
    <xf numFmtId="0" fontId="5" fillId="0" borderId="1"/>
    <xf numFmtId="0" fontId="34" fillId="0" borderId="39" applyNumberFormat="0" applyFill="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28" fillId="0" borderId="0" applyNumberFormat="0" applyFill="0" applyBorder="0" applyAlignment="0" applyProtection="0">
      <alignment vertical="top"/>
      <protection locked="0"/>
    </xf>
    <xf numFmtId="0" fontId="5" fillId="2" borderId="1">
      <alignment horizontal="center"/>
    </xf>
    <xf numFmtId="0" fontId="8" fillId="2" borderId="1">
      <alignment horizontal="center"/>
    </xf>
    <xf numFmtId="0" fontId="5" fillId="2" borderId="1">
      <alignment horizontal="center"/>
    </xf>
    <xf numFmtId="0" fontId="37" fillId="22" borderId="37" applyNumberFormat="0" applyAlignment="0" applyProtection="0"/>
    <xf numFmtId="0" fontId="6" fillId="3" borderId="1">
      <alignment horizontal="center"/>
    </xf>
    <xf numFmtId="0" fontId="8" fillId="0" borderId="0"/>
    <xf numFmtId="0" fontId="5" fillId="0" borderId="0"/>
    <xf numFmtId="0" fontId="26" fillId="0" borderId="0"/>
    <xf numFmtId="0" fontId="5" fillId="0" borderId="0"/>
    <xf numFmtId="0" fontId="5" fillId="0" borderId="0"/>
    <xf numFmtId="0" fontId="6" fillId="4" borderId="1">
      <alignment horizontal="center"/>
    </xf>
    <xf numFmtId="0" fontId="38" fillId="20" borderId="40" applyNumberFormat="0" applyAlignment="0" applyProtection="0"/>
    <xf numFmtId="0" fontId="8" fillId="0" borderId="0"/>
    <xf numFmtId="0" fontId="5" fillId="0" borderId="0"/>
    <xf numFmtId="9" fontId="5" fillId="0" borderId="0" applyFont="0" applyFill="0" applyBorder="0" applyAlignment="0" applyProtection="0"/>
    <xf numFmtId="0" fontId="22" fillId="0" borderId="0">
      <alignment horizontal="center"/>
    </xf>
    <xf numFmtId="0" fontId="22" fillId="0" borderId="1"/>
    <xf numFmtId="0" fontId="6" fillId="0" borderId="0"/>
    <xf numFmtId="0" fontId="24"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5" fillId="0" borderId="0"/>
    <xf numFmtId="0" fontId="8" fillId="0" borderId="0"/>
    <xf numFmtId="0" fontId="5" fillId="0" borderId="0"/>
    <xf numFmtId="0" fontId="6" fillId="0" borderId="1">
      <alignment horizontal="center" textRotation="60"/>
    </xf>
    <xf numFmtId="0" fontId="15" fillId="5" borderId="1">
      <alignment horizontal="center"/>
    </xf>
    <xf numFmtId="0" fontId="39" fillId="0" borderId="0" applyNumberFormat="0" applyFill="0" applyBorder="0" applyAlignment="0" applyProtection="0"/>
    <xf numFmtId="0" fontId="11" fillId="0" borderId="2"/>
    <xf numFmtId="0" fontId="40" fillId="0" borderId="0" applyNumberFormat="0" applyFill="0" applyBorder="0" applyAlignment="0" applyProtection="0"/>
    <xf numFmtId="49" fontId="5" fillId="0" borderId="1">
      <alignment horizontal="center"/>
    </xf>
    <xf numFmtId="0" fontId="8" fillId="0" borderId="1">
      <alignment horizontal="center"/>
    </xf>
    <xf numFmtId="0" fontId="5" fillId="0" borderId="1">
      <alignment horizontal="center"/>
    </xf>
    <xf numFmtId="0" fontId="26" fillId="0" borderId="1">
      <alignment horizontal="center"/>
    </xf>
    <xf numFmtId="0" fontId="5" fillId="0" borderId="1">
      <alignment horizontal="center"/>
    </xf>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cellStyleXfs>
  <cellXfs count="403">
    <xf numFmtId="0" fontId="0" fillId="0" borderId="0" xfId="0"/>
    <xf numFmtId="0" fontId="0" fillId="0" borderId="0" xfId="0" applyAlignment="1" applyProtection="1">
      <alignment vertical="center"/>
    </xf>
    <xf numFmtId="0" fontId="9" fillId="0" borderId="0" xfId="0" applyFont="1" applyFill="1" applyAlignment="1" applyProtection="1">
      <alignment vertical="center" wrapText="1"/>
    </xf>
    <xf numFmtId="164" fontId="9" fillId="0" borderId="0" xfId="0" applyNumberFormat="1" applyFont="1" applyFill="1" applyBorder="1" applyAlignment="1" applyProtection="1">
      <alignment horizontal="center" vertical="center" wrapText="1"/>
    </xf>
    <xf numFmtId="20" fontId="9" fillId="0" borderId="0" xfId="0" applyNumberFormat="1" applyFont="1" applyFill="1" applyBorder="1" applyAlignment="1" applyProtection="1">
      <alignment vertical="center" wrapText="1"/>
    </xf>
    <xf numFmtId="0" fontId="9" fillId="0" borderId="0" xfId="0" applyFont="1" applyFill="1" applyBorder="1" applyAlignment="1" applyProtection="1">
      <alignment horizontal="left" vertical="center" wrapText="1"/>
    </xf>
    <xf numFmtId="0" fontId="5" fillId="0" borderId="0" xfId="0" applyFont="1" applyFill="1" applyAlignment="1" applyProtection="1">
      <alignment vertical="center"/>
    </xf>
    <xf numFmtId="0" fontId="0" fillId="0" borderId="0" xfId="0" applyBorder="1" applyAlignment="1" applyProtection="1">
      <alignment vertical="center"/>
    </xf>
    <xf numFmtId="0" fontId="5" fillId="0" borderId="0" xfId="0" applyFont="1" applyFill="1" applyBorder="1" applyAlignment="1" applyProtection="1">
      <alignment vertical="center"/>
    </xf>
    <xf numFmtId="0" fontId="41" fillId="0" borderId="0" xfId="0" applyFont="1" applyFill="1" applyBorder="1" applyAlignment="1" applyProtection="1">
      <alignment horizontal="right" vertical="center"/>
    </xf>
    <xf numFmtId="0" fontId="10" fillId="0" borderId="0" xfId="0" applyFont="1" applyBorder="1" applyAlignment="1" applyProtection="1">
      <alignment horizontal="left" vertical="center" wrapText="1"/>
    </xf>
    <xf numFmtId="0" fontId="8" fillId="0" borderId="0" xfId="0" applyFont="1" applyFill="1" applyBorder="1" applyAlignment="1" applyProtection="1">
      <alignment vertical="center" shrinkToFit="1"/>
    </xf>
    <xf numFmtId="0" fontId="8" fillId="0" borderId="0" xfId="0" applyFont="1" applyBorder="1" applyAlignment="1" applyProtection="1">
      <alignment vertical="center" shrinkToFit="1"/>
    </xf>
    <xf numFmtId="0" fontId="8" fillId="0" borderId="0" xfId="0" applyFont="1" applyFill="1" applyAlignment="1" applyProtection="1">
      <alignment vertical="center" shrinkToFit="1"/>
    </xf>
    <xf numFmtId="0" fontId="8" fillId="0" borderId="0" xfId="0" applyFont="1" applyAlignment="1" applyProtection="1">
      <alignment vertical="center" shrinkToFit="1"/>
    </xf>
    <xf numFmtId="0" fontId="5" fillId="0" borderId="0" xfId="0" applyFont="1" applyFill="1" applyAlignment="1" applyProtection="1">
      <alignment vertical="center"/>
      <protection locked="0"/>
    </xf>
    <xf numFmtId="0" fontId="0" fillId="0" borderId="0" xfId="0" applyAlignment="1" applyProtection="1">
      <alignment vertical="center"/>
      <protection locked="0"/>
    </xf>
    <xf numFmtId="0" fontId="8" fillId="0" borderId="0" xfId="0" applyFont="1" applyFill="1" applyAlignment="1" applyProtection="1">
      <alignment vertical="center"/>
      <protection locked="0"/>
    </xf>
    <xf numFmtId="0" fontId="8" fillId="0" borderId="0" xfId="0" applyFont="1" applyAlignment="1" applyProtection="1">
      <alignment vertical="center"/>
      <protection locked="0"/>
    </xf>
    <xf numFmtId="0" fontId="42" fillId="0" borderId="41" xfId="0" applyFont="1" applyBorder="1" applyAlignment="1" applyProtection="1">
      <alignment vertical="center"/>
      <protection locked="0"/>
    </xf>
    <xf numFmtId="0" fontId="0" fillId="0" borderId="41" xfId="0" applyBorder="1" applyAlignment="1" applyProtection="1">
      <alignment vertical="center"/>
      <protection locked="0"/>
    </xf>
    <xf numFmtId="0" fontId="16" fillId="0" borderId="0" xfId="0" applyFont="1" applyAlignment="1" applyProtection="1">
      <alignment horizontal="left" vertical="center"/>
      <protection locked="0"/>
    </xf>
    <xf numFmtId="0" fontId="11"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13" fillId="0" borderId="0" xfId="0" applyFont="1" applyAlignment="1" applyProtection="1">
      <alignment vertical="center"/>
      <protection locked="0"/>
    </xf>
    <xf numFmtId="0" fontId="6" fillId="0" borderId="0" xfId="0" applyFont="1" applyAlignment="1" applyProtection="1">
      <alignment vertical="center"/>
      <protection locked="0"/>
    </xf>
    <xf numFmtId="49" fontId="20" fillId="0" borderId="0" xfId="0" applyNumberFormat="1" applyFont="1" applyFill="1" applyBorder="1" applyAlignment="1" applyProtection="1">
      <alignment horizontal="left" vertical="center"/>
      <protection locked="0"/>
    </xf>
    <xf numFmtId="49" fontId="8" fillId="0" borderId="0" xfId="0" applyNumberFormat="1" applyFont="1" applyFill="1" applyBorder="1" applyAlignment="1">
      <alignment horizontal="center" vertical="center" wrapText="1"/>
    </xf>
    <xf numFmtId="49" fontId="8" fillId="0" borderId="0" xfId="0" applyNumberFormat="1" applyFont="1" applyFill="1" applyBorder="1" applyAlignment="1" applyProtection="1">
      <alignment horizontal="left" vertical="center" wrapText="1"/>
      <protection locked="0"/>
    </xf>
    <xf numFmtId="49" fontId="8" fillId="0" borderId="0" xfId="0" applyNumberFormat="1" applyFont="1" applyFill="1" applyBorder="1" applyAlignment="1">
      <alignment horizontal="left" vertical="center" wrapText="1"/>
    </xf>
    <xf numFmtId="49" fontId="18"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9" fillId="0" borderId="0" xfId="0" applyFont="1" applyAlignment="1" applyProtection="1">
      <alignment horizontal="left" vertical="center"/>
      <protection locked="0"/>
    </xf>
    <xf numFmtId="0" fontId="0" fillId="0" borderId="0" xfId="0" applyBorder="1" applyAlignment="1">
      <alignment horizontal="left" vertical="center" wrapText="1"/>
    </xf>
    <xf numFmtId="0" fontId="42" fillId="0" borderId="3" xfId="0" applyFont="1" applyBorder="1" applyAlignment="1" applyProtection="1">
      <alignment vertical="center"/>
      <protection locked="0"/>
    </xf>
    <xf numFmtId="49" fontId="8"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2" fillId="0" borderId="0" xfId="0" applyFont="1" applyBorder="1" applyAlignment="1" applyProtection="1">
      <alignment vertical="center"/>
      <protection locked="0"/>
    </xf>
    <xf numFmtId="49" fontId="8"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8"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8" fillId="0" borderId="0" xfId="0" applyFont="1" applyFill="1" applyAlignment="1" applyProtection="1">
      <alignment vertical="center"/>
    </xf>
    <xf numFmtId="0" fontId="8" fillId="0" borderId="0" xfId="0" applyFont="1" applyAlignment="1" applyProtection="1">
      <alignment vertical="center"/>
    </xf>
    <xf numFmtId="0" fontId="15" fillId="0" borderId="0" xfId="0" applyFont="1" applyBorder="1" applyAlignment="1" applyProtection="1">
      <alignment horizontal="left" vertical="center" shrinkToFit="1"/>
    </xf>
    <xf numFmtId="0" fontId="6" fillId="0" borderId="0" xfId="0" applyFont="1" applyBorder="1" applyAlignment="1" applyProtection="1">
      <alignment horizontal="left" vertical="center" shrinkToFit="1"/>
    </xf>
    <xf numFmtId="0" fontId="8" fillId="0" borderId="0" xfId="0" applyFont="1" applyFill="1" applyAlignment="1" applyProtection="1">
      <alignment vertical="center" shrinkToFit="1"/>
      <protection locked="0"/>
    </xf>
    <xf numFmtId="0" fontId="8" fillId="0" borderId="0" xfId="0" applyFont="1" applyAlignment="1" applyProtection="1">
      <alignment vertical="center" shrinkToFit="1"/>
      <protection locked="0"/>
    </xf>
    <xf numFmtId="0" fontId="43" fillId="0" borderId="4" xfId="0" applyFont="1" applyFill="1" applyBorder="1" applyAlignment="1" applyProtection="1">
      <alignment horizontal="left" vertical="center" wrapText="1" shrinkToFit="1"/>
      <protection locked="0"/>
    </xf>
    <xf numFmtId="0" fontId="44" fillId="0" borderId="0" xfId="0" applyFont="1" applyFill="1" applyBorder="1" applyAlignment="1" applyProtection="1">
      <alignment horizontal="left" vertical="center" shrinkToFit="1"/>
      <protection locked="0"/>
    </xf>
    <xf numFmtId="0" fontId="43" fillId="0" borderId="0" xfId="0" applyFont="1" applyFill="1" applyBorder="1" applyAlignment="1" applyProtection="1">
      <alignment horizontal="left" vertical="center" wrapText="1" shrinkToFit="1"/>
      <protection locked="0"/>
    </xf>
    <xf numFmtId="0" fontId="44" fillId="0" borderId="5" xfId="0" applyFont="1" applyFill="1" applyBorder="1" applyAlignment="1" applyProtection="1">
      <alignment horizontal="left" vertical="center" shrinkToFit="1"/>
      <protection locked="0"/>
    </xf>
    <xf numFmtId="0" fontId="5"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4" fillId="0" borderId="0" xfId="0" applyFont="1" applyFill="1" applyAlignment="1" applyProtection="1">
      <alignment horizontal="center" vertical="center"/>
      <protection locked="0"/>
    </xf>
    <xf numFmtId="0" fontId="45" fillId="0" borderId="0" xfId="0" quotePrefix="1" applyFont="1" applyFill="1" applyBorder="1" applyAlignment="1" applyProtection="1">
      <alignment horizontal="right" vertical="center"/>
    </xf>
    <xf numFmtId="0" fontId="22" fillId="0" borderId="0" xfId="0" applyFont="1" applyAlignment="1">
      <alignment textRotation="60"/>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0" fontId="0" fillId="0" borderId="0" xfId="0" applyNumberFormat="1"/>
    <xf numFmtId="0" fontId="11" fillId="0" borderId="2" xfId="57" applyFont="1" applyFill="1"/>
    <xf numFmtId="0" fontId="0" fillId="0" borderId="0" xfId="0" applyFill="1"/>
    <xf numFmtId="0" fontId="22" fillId="0" borderId="1" xfId="33"/>
    <xf numFmtId="0" fontId="6" fillId="0" borderId="0" xfId="34"/>
    <xf numFmtId="0" fontId="24" fillId="0" borderId="0" xfId="35"/>
    <xf numFmtId="0" fontId="5" fillId="0" borderId="0" xfId="36"/>
    <xf numFmtId="0" fontId="5" fillId="0" borderId="0" xfId="39"/>
    <xf numFmtId="0" fontId="5" fillId="0" borderId="0" xfId="42"/>
    <xf numFmtId="0" fontId="5" fillId="0" borderId="0" xfId="45"/>
    <xf numFmtId="0" fontId="5" fillId="0" borderId="0" xfId="48"/>
    <xf numFmtId="0" fontId="5" fillId="0" borderId="0" xfId="51"/>
    <xf numFmtId="0" fontId="5" fillId="0" borderId="1" xfId="8" applyFont="1"/>
    <xf numFmtId="0" fontId="6" fillId="0" borderId="1" xfId="54">
      <alignment horizontal="center" textRotation="60"/>
    </xf>
    <xf numFmtId="0" fontId="8" fillId="0" borderId="0" xfId="29"/>
    <xf numFmtId="0" fontId="6" fillId="4" borderId="1" xfId="27">
      <alignment horizontal="center"/>
    </xf>
    <xf numFmtId="0" fontId="6" fillId="3" borderId="1" xfId="21">
      <alignment horizontal="center"/>
    </xf>
    <xf numFmtId="0" fontId="5" fillId="2" borderId="1" xfId="17" applyFont="1">
      <alignment horizontal="center"/>
    </xf>
    <xf numFmtId="49" fontId="5" fillId="0" borderId="1" xfId="59" applyFont="1">
      <alignment horizontal="center"/>
    </xf>
    <xf numFmtId="0" fontId="15" fillId="5" borderId="1" xfId="55">
      <alignment horizontal="center"/>
    </xf>
    <xf numFmtId="0" fontId="14" fillId="0" borderId="0" xfId="0" applyFont="1" applyFill="1" applyAlignment="1" applyProtection="1">
      <alignment vertical="center" wrapText="1"/>
      <protection locked="0"/>
    </xf>
    <xf numFmtId="0" fontId="15" fillId="0" borderId="0" xfId="0" applyFont="1" applyAlignment="1">
      <alignment vertical="center" wrapText="1"/>
    </xf>
    <xf numFmtId="0" fontId="14" fillId="0" borderId="0" xfId="0" applyFont="1" applyAlignment="1">
      <alignment vertical="center" wrapText="1"/>
    </xf>
    <xf numFmtId="0" fontId="15" fillId="0" borderId="0" xfId="0" applyFont="1" applyAlignment="1" applyProtection="1">
      <alignment vertical="center"/>
      <protection locked="0"/>
    </xf>
    <xf numFmtId="0" fontId="14" fillId="0" borderId="0" xfId="0" applyFont="1" applyBorder="1" applyAlignment="1">
      <alignment vertical="center"/>
    </xf>
    <xf numFmtId="0" fontId="15" fillId="0" borderId="0" xfId="0" applyFont="1" applyFill="1" applyAlignment="1" applyProtection="1">
      <alignment vertical="center"/>
      <protection locked="0"/>
    </xf>
    <xf numFmtId="0" fontId="14" fillId="0" borderId="0" xfId="0" applyFont="1" applyBorder="1" applyAlignment="1">
      <alignment vertical="center" wrapText="1"/>
    </xf>
    <xf numFmtId="0" fontId="46" fillId="23" borderId="0" xfId="0" applyFont="1" applyFill="1"/>
    <xf numFmtId="0" fontId="0" fillId="23" borderId="0" xfId="0" applyFill="1"/>
    <xf numFmtId="0" fontId="0" fillId="23" borderId="0" xfId="0" applyFill="1" applyAlignment="1">
      <alignment horizontal="left" vertical="center"/>
    </xf>
    <xf numFmtId="0" fontId="22" fillId="23" borderId="0" xfId="0" applyFont="1" applyFill="1" applyAlignment="1">
      <alignment textRotation="60"/>
    </xf>
    <xf numFmtId="0" fontId="0" fillId="23" borderId="0" xfId="0" applyFill="1" applyAlignment="1">
      <alignment vertical="center"/>
    </xf>
    <xf numFmtId="0" fontId="0" fillId="23" borderId="0" xfId="0" applyFill="1" applyAlignment="1">
      <alignment horizontal="center"/>
    </xf>
    <xf numFmtId="0" fontId="0" fillId="23" borderId="0" xfId="0" applyFill="1" applyAlignment="1">
      <alignment vertical="center" wrapText="1"/>
    </xf>
    <xf numFmtId="0" fontId="21" fillId="23" borderId="0" xfId="0" applyFont="1" applyFill="1" applyBorder="1" applyAlignment="1">
      <alignment horizontal="center"/>
    </xf>
    <xf numFmtId="0" fontId="8" fillId="23" borderId="0" xfId="0" applyFont="1" applyFill="1" applyAlignment="1">
      <alignment vertical="center" wrapText="1"/>
    </xf>
    <xf numFmtId="0" fontId="8" fillId="23" borderId="1" xfId="0" applyFont="1" applyFill="1" applyBorder="1" applyAlignment="1">
      <alignment horizontal="center" vertical="center" wrapText="1"/>
    </xf>
    <xf numFmtId="49" fontId="6" fillId="6" borderId="1" xfId="22" applyNumberFormat="1" applyFont="1" applyFill="1" applyBorder="1" applyAlignment="1">
      <alignment horizontal="center" vertical="center" wrapText="1"/>
    </xf>
    <xf numFmtId="49" fontId="8" fillId="6" borderId="1" xfId="22" applyNumberFormat="1" applyFont="1" applyFill="1" applyBorder="1" applyAlignment="1">
      <alignment horizontal="center" vertical="center" wrapText="1"/>
    </xf>
    <xf numFmtId="10" fontId="6" fillId="5" borderId="6" xfId="22" applyNumberFormat="1" applyFont="1" applyFill="1" applyBorder="1" applyAlignment="1">
      <alignment horizontal="center" textRotation="60" wrapText="1"/>
    </xf>
    <xf numFmtId="10" fontId="6" fillId="5" borderId="7" xfId="22" applyNumberFormat="1" applyFont="1" applyFill="1" applyBorder="1" applyAlignment="1">
      <alignment horizontal="center" textRotation="60" wrapText="1"/>
    </xf>
    <xf numFmtId="0" fontId="8" fillId="23" borderId="0" xfId="0" applyFont="1" applyFill="1" applyAlignment="1">
      <alignment vertical="center"/>
    </xf>
    <xf numFmtId="10" fontId="6" fillId="5" borderId="7" xfId="22" applyNumberFormat="1" applyFont="1" applyFill="1" applyBorder="1" applyAlignment="1">
      <alignment horizontal="center" textRotation="60"/>
    </xf>
    <xf numFmtId="1" fontId="6" fillId="5" borderId="7" xfId="22" applyNumberFormat="1" applyFont="1" applyFill="1" applyBorder="1" applyAlignment="1">
      <alignment horizontal="center" textRotation="60"/>
    </xf>
    <xf numFmtId="0" fontId="6" fillId="5" borderId="8" xfId="22" applyFont="1" applyFill="1" applyBorder="1" applyAlignment="1">
      <alignment horizontal="center" textRotation="60"/>
    </xf>
    <xf numFmtId="0" fontId="34" fillId="0" borderId="0" xfId="13" applyNumberFormat="1" applyBorder="1"/>
    <xf numFmtId="0" fontId="31" fillId="15" borderId="1" xfId="1" applyNumberFormat="1" applyBorder="1"/>
    <xf numFmtId="9" fontId="47" fillId="20" borderId="1" xfId="31" applyFont="1" applyFill="1" applyBorder="1" applyAlignment="1">
      <alignment horizontal="center"/>
    </xf>
    <xf numFmtId="0" fontId="38" fillId="20" borderId="1" xfId="28" applyNumberFormat="1" applyBorder="1" applyAlignment="1">
      <alignment horizontal="center"/>
    </xf>
    <xf numFmtId="0" fontId="5" fillId="0" borderId="0" xfId="0" applyNumberFormat="1" applyFont="1"/>
    <xf numFmtId="0" fontId="0" fillId="23" borderId="0" xfId="0" applyNumberFormat="1" applyFill="1" applyAlignment="1">
      <alignment horizontal="center" vertical="center"/>
    </xf>
    <xf numFmtId="0" fontId="0" fillId="23" borderId="0" xfId="0" applyNumberFormat="1" applyFill="1" applyAlignment="1">
      <alignment horizontal="right" vertical="center"/>
    </xf>
    <xf numFmtId="0" fontId="0" fillId="23" borderId="0" xfId="0" applyNumberFormat="1" applyFill="1" applyAlignment="1">
      <alignment vertical="center"/>
    </xf>
    <xf numFmtId="0" fontId="25" fillId="23" borderId="0" xfId="0" applyNumberFormat="1" applyFont="1" applyFill="1" applyAlignment="1">
      <alignment horizontal="center" vertical="center"/>
    </xf>
    <xf numFmtId="0" fontId="22" fillId="23" borderId="0" xfId="0" applyNumberFormat="1" applyFont="1" applyFill="1" applyAlignment="1">
      <alignment vertical="center" textRotation="60"/>
    </xf>
    <xf numFmtId="0" fontId="39" fillId="23" borderId="0" xfId="56" applyNumberFormat="1" applyFill="1" applyAlignment="1">
      <alignment vertical="center"/>
    </xf>
    <xf numFmtId="0" fontId="48" fillId="9" borderId="1" xfId="15" applyFont="1" applyFill="1" applyBorder="1" applyAlignment="1">
      <alignment horizontal="left" vertical="center"/>
    </xf>
    <xf numFmtId="0" fontId="0" fillId="9" borderId="1" xfId="0" applyNumberFormat="1" applyFill="1" applyBorder="1" applyAlignment="1">
      <alignment horizontal="center"/>
    </xf>
    <xf numFmtId="0" fontId="0" fillId="9" borderId="1" xfId="0" applyNumberFormat="1" applyFill="1" applyBorder="1"/>
    <xf numFmtId="10" fontId="0" fillId="9" borderId="1" xfId="0" applyNumberFormat="1" applyFill="1" applyBorder="1"/>
    <xf numFmtId="1" fontId="22" fillId="5" borderId="1" xfId="0" applyNumberFormat="1" applyFont="1" applyFill="1" applyBorder="1" applyAlignment="1">
      <alignment horizontal="center"/>
    </xf>
    <xf numFmtId="0" fontId="49" fillId="0" borderId="0" xfId="0" applyFont="1"/>
    <xf numFmtId="0" fontId="0" fillId="24" borderId="1" xfId="0" applyNumberFormat="1" applyFill="1" applyBorder="1" applyAlignment="1">
      <alignment horizontal="center" vertical="center"/>
    </xf>
    <xf numFmtId="0" fontId="0" fillId="23" borderId="0" xfId="0" applyFill="1" applyAlignment="1">
      <alignment vertical="center" wrapText="1"/>
    </xf>
    <xf numFmtId="0" fontId="8" fillId="23" borderId="0" xfId="0" applyFont="1" applyFill="1" applyAlignment="1">
      <alignment vertical="center" wrapText="1"/>
    </xf>
    <xf numFmtId="0" fontId="22" fillId="5" borderId="1" xfId="0" applyFont="1" applyFill="1" applyBorder="1" applyAlignment="1">
      <alignment horizontal="center" vertical="center"/>
    </xf>
    <xf numFmtId="0" fontId="0" fillId="25" borderId="0" xfId="0" applyNumberFormat="1" applyFill="1" applyAlignment="1">
      <alignment horizontal="center"/>
    </xf>
    <xf numFmtId="0" fontId="0" fillId="25" borderId="0" xfId="0" applyNumberFormat="1" applyFill="1"/>
    <xf numFmtId="10" fontId="0" fillId="25" borderId="0" xfId="0" applyNumberFormat="1" applyFill="1"/>
    <xf numFmtId="0" fontId="50" fillId="25" borderId="0" xfId="0" applyFont="1" applyFill="1" applyAlignment="1">
      <alignment horizontal="left"/>
    </xf>
    <xf numFmtId="0" fontId="5" fillId="23" borderId="0" xfId="0" applyFont="1" applyFill="1" applyBorder="1" applyAlignment="1">
      <alignment vertical="center" wrapText="1"/>
    </xf>
    <xf numFmtId="0" fontId="0" fillId="23" borderId="0" xfId="0" applyFont="1" applyFill="1" applyBorder="1" applyAlignment="1">
      <alignment horizontal="left" vertical="center" wrapText="1"/>
    </xf>
    <xf numFmtId="0" fontId="39" fillId="26" borderId="42" xfId="56" applyNumberFormat="1" applyFill="1" applyBorder="1" applyAlignment="1">
      <alignment horizontal="left" vertical="center"/>
    </xf>
    <xf numFmtId="0" fontId="0" fillId="26" borderId="43" xfId="0" applyNumberFormat="1" applyFill="1" applyBorder="1" applyAlignment="1">
      <alignment horizontal="center" vertical="center"/>
    </xf>
    <xf numFmtId="0" fontId="39" fillId="26" borderId="43" xfId="56" applyNumberFormat="1" applyFill="1" applyBorder="1" applyAlignment="1">
      <alignment horizontal="left" vertical="center"/>
    </xf>
    <xf numFmtId="0" fontId="0" fillId="26" borderId="43" xfId="0" applyNumberFormat="1" applyFill="1" applyBorder="1" applyAlignment="1">
      <alignment horizontal="right" vertical="center"/>
    </xf>
    <xf numFmtId="0" fontId="0" fillId="26" borderId="44" xfId="0" applyNumberFormat="1" applyFill="1" applyBorder="1" applyAlignment="1">
      <alignment horizontal="right" vertical="center"/>
    </xf>
    <xf numFmtId="0" fontId="31" fillId="17" borderId="45" xfId="3" applyNumberFormat="1" applyBorder="1" applyAlignment="1">
      <alignment horizontal="left" vertical="center" wrapText="1"/>
    </xf>
    <xf numFmtId="0" fontId="38" fillId="0" borderId="40" xfId="28" applyNumberFormat="1" applyFill="1" applyBorder="1" applyAlignment="1">
      <alignment horizontal="center" vertical="center"/>
    </xf>
    <xf numFmtId="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46" xfId="0" applyNumberFormat="1" applyFill="1" applyBorder="1" applyAlignment="1">
      <alignment horizontal="right" vertical="center"/>
    </xf>
    <xf numFmtId="0" fontId="38" fillId="0" borderId="40" xfId="28" applyNumberFormat="1" applyFont="1" applyFill="1" applyBorder="1" applyAlignment="1">
      <alignment horizontal="center" vertical="center" wrapText="1"/>
    </xf>
    <xf numFmtId="0" fontId="0" fillId="26" borderId="47" xfId="0" applyNumberFormat="1" applyFill="1" applyBorder="1" applyAlignment="1">
      <alignment vertical="center"/>
    </xf>
    <xf numFmtId="0" fontId="0" fillId="26" borderId="0" xfId="0" applyNumberFormat="1" applyFill="1" applyBorder="1" applyAlignment="1">
      <alignment vertical="center"/>
    </xf>
    <xf numFmtId="0" fontId="39" fillId="26" borderId="47" xfId="56" applyNumberFormat="1" applyFill="1" applyBorder="1" applyAlignment="1">
      <alignment horizontal="left" vertical="center"/>
    </xf>
    <xf numFmtId="0" fontId="25" fillId="26" borderId="47" xfId="0" applyNumberFormat="1" applyFont="1" applyFill="1" applyBorder="1" applyAlignment="1">
      <alignment horizontal="center" vertical="center" wrapText="1"/>
    </xf>
    <xf numFmtId="0" fontId="25" fillId="27" borderId="47" xfId="0" applyNumberFormat="1" applyFont="1" applyFill="1" applyBorder="1" applyAlignment="1">
      <alignment horizontal="center" vertical="center" wrapText="1"/>
    </xf>
    <xf numFmtId="0" fontId="25" fillId="27" borderId="48" xfId="0" applyNumberFormat="1" applyFont="1" applyFill="1" applyBorder="1" applyAlignment="1">
      <alignment horizontal="left" vertical="center"/>
    </xf>
    <xf numFmtId="0" fontId="0" fillId="26" borderId="49" xfId="0" applyNumberFormat="1" applyFill="1" applyBorder="1" applyAlignment="1">
      <alignment horizontal="center" vertical="center"/>
    </xf>
    <xf numFmtId="0" fontId="0" fillId="26" borderId="49" xfId="0" applyNumberFormat="1" applyFill="1" applyBorder="1" applyAlignment="1">
      <alignment horizontal="right" vertical="center"/>
    </xf>
    <xf numFmtId="0" fontId="0" fillId="26" borderId="50" xfId="0" applyNumberFormat="1" applyFill="1" applyBorder="1" applyAlignment="1">
      <alignment horizontal="right" vertical="center"/>
    </xf>
    <xf numFmtId="0" fontId="0" fillId="26" borderId="42" xfId="0" applyNumberFormat="1" applyFill="1" applyBorder="1" applyAlignment="1">
      <alignment vertical="center"/>
    </xf>
    <xf numFmtId="0" fontId="0" fillId="26" borderId="43" xfId="0" applyNumberFormat="1" applyFill="1" applyBorder="1" applyAlignment="1">
      <alignment vertical="center"/>
    </xf>
    <xf numFmtId="0" fontId="0" fillId="26" borderId="44" xfId="0" applyNumberFormat="1" applyFill="1" applyBorder="1" applyAlignment="1">
      <alignment vertical="center"/>
    </xf>
    <xf numFmtId="0" fontId="0" fillId="26" borderId="47" xfId="0" applyNumberFormat="1" applyFill="1" applyBorder="1" applyAlignment="1">
      <alignment horizontal="right" vertical="center"/>
    </xf>
    <xf numFmtId="0" fontId="0" fillId="26" borderId="46" xfId="0" applyNumberFormat="1" applyFill="1" applyBorder="1" applyAlignment="1">
      <alignment vertical="center"/>
    </xf>
    <xf numFmtId="0" fontId="0" fillId="26" borderId="48" xfId="0" applyNumberFormat="1" applyFill="1" applyBorder="1" applyAlignment="1">
      <alignment horizontal="right" vertical="center"/>
    </xf>
    <xf numFmtId="0" fontId="0" fillId="26" borderId="49" xfId="0" applyNumberFormat="1" applyFill="1" applyBorder="1" applyAlignment="1">
      <alignment vertical="center"/>
    </xf>
    <xf numFmtId="0" fontId="0" fillId="26" borderId="50" xfId="0" applyNumberFormat="1" applyFill="1" applyBorder="1" applyAlignment="1">
      <alignment vertical="center"/>
    </xf>
    <xf numFmtId="0" fontId="39" fillId="28" borderId="42" xfId="56" applyFill="1" applyBorder="1" applyAlignment="1">
      <alignment horizontal="right" vertical="center"/>
    </xf>
    <xf numFmtId="0" fontId="51" fillId="28" borderId="43" xfId="14" applyNumberFormat="1" applyFont="1" applyFill="1" applyBorder="1" applyAlignment="1">
      <alignment horizontal="left" vertical="center"/>
    </xf>
    <xf numFmtId="0" fontId="51" fillId="28" borderId="44" xfId="14" applyNumberFormat="1" applyFont="1" applyFill="1" applyBorder="1" applyAlignment="1">
      <alignment horizontal="left" vertical="center"/>
    </xf>
    <xf numFmtId="0" fontId="25" fillId="28" borderId="47" xfId="0" applyFont="1" applyFill="1" applyBorder="1" applyAlignment="1">
      <alignment vertical="center"/>
    </xf>
    <xf numFmtId="0" fontId="0" fillId="28" borderId="0" xfId="0" applyNumberFormat="1" applyFill="1" applyBorder="1" applyAlignment="1">
      <alignment horizontal="center" vertical="center"/>
    </xf>
    <xf numFmtId="0" fontId="0" fillId="28" borderId="46" xfId="0" applyNumberFormat="1" applyFill="1" applyBorder="1" applyAlignment="1">
      <alignment horizontal="center" vertical="center"/>
    </xf>
    <xf numFmtId="0" fontId="39" fillId="28" borderId="47" xfId="56" applyFill="1" applyBorder="1" applyAlignment="1">
      <alignment vertical="center"/>
    </xf>
    <xf numFmtId="0" fontId="39" fillId="28" borderId="0" xfId="56" applyFill="1" applyBorder="1" applyAlignment="1">
      <alignment vertical="center"/>
    </xf>
    <xf numFmtId="0" fontId="0" fillId="28" borderId="0" xfId="0" applyNumberFormat="1" applyFill="1" applyBorder="1" applyAlignment="1">
      <alignment horizontal="right" vertical="center"/>
    </xf>
    <xf numFmtId="0" fontId="0" fillId="28" borderId="46" xfId="0" applyNumberFormat="1" applyFill="1" applyBorder="1" applyAlignment="1">
      <alignment horizontal="right" vertical="center"/>
    </xf>
    <xf numFmtId="0" fontId="31" fillId="18" borderId="45" xfId="4" applyBorder="1" applyAlignment="1">
      <alignment vertical="center"/>
    </xf>
    <xf numFmtId="0" fontId="38" fillId="20" borderId="40" xfId="28" applyNumberFormat="1" applyFont="1" applyBorder="1" applyAlignment="1">
      <alignment horizontal="center" vertical="center"/>
    </xf>
    <xf numFmtId="0" fontId="31" fillId="18" borderId="45" xfId="4" applyBorder="1" applyAlignment="1">
      <alignment vertical="center" wrapText="1"/>
    </xf>
    <xf numFmtId="0" fontId="0" fillId="28" borderId="47" xfId="0" applyNumberFormat="1" applyFill="1" applyBorder="1" applyAlignment="1">
      <alignment horizontal="right" vertical="center"/>
    </xf>
    <xf numFmtId="0" fontId="25" fillId="29" borderId="47" xfId="0" applyNumberFormat="1" applyFont="1" applyFill="1" applyBorder="1" applyAlignment="1">
      <alignment horizontal="center" vertical="center" wrapText="1"/>
    </xf>
    <xf numFmtId="0" fontId="51" fillId="29" borderId="48" xfId="14" applyNumberFormat="1" applyFont="1" applyFill="1" applyBorder="1" applyAlignment="1">
      <alignment horizontal="left" vertical="center"/>
    </xf>
    <xf numFmtId="0" fontId="0" fillId="28" borderId="49" xfId="0" applyNumberFormat="1" applyFill="1" applyBorder="1" applyAlignment="1">
      <alignment horizontal="center" vertical="center"/>
    </xf>
    <xf numFmtId="0" fontId="0" fillId="28" borderId="49" xfId="0" applyNumberFormat="1" applyFill="1" applyBorder="1" applyAlignment="1">
      <alignment horizontal="right" vertical="center"/>
    </xf>
    <xf numFmtId="0" fontId="0" fillId="28" borderId="0" xfId="0" applyNumberFormat="1" applyFill="1" applyBorder="1" applyAlignment="1">
      <alignment vertical="center"/>
    </xf>
    <xf numFmtId="0" fontId="0" fillId="28" borderId="46" xfId="0" applyNumberFormat="1" applyFill="1" applyBorder="1" applyAlignment="1">
      <alignment vertical="center"/>
    </xf>
    <xf numFmtId="0" fontId="0" fillId="28" borderId="49" xfId="0" applyNumberFormat="1" applyFill="1" applyBorder="1" applyAlignment="1">
      <alignment vertical="center"/>
    </xf>
    <xf numFmtId="0" fontId="0" fillId="28" borderId="50" xfId="0" applyNumberFormat="1" applyFill="1" applyBorder="1" applyAlignment="1">
      <alignment vertical="center"/>
    </xf>
    <xf numFmtId="0" fontId="39" fillId="30" borderId="42" xfId="56" applyFill="1" applyBorder="1" applyAlignment="1">
      <alignment horizontal="right" vertical="center"/>
    </xf>
    <xf numFmtId="0" fontId="39" fillId="30" borderId="43" xfId="56" applyFill="1" applyBorder="1" applyAlignment="1">
      <alignment vertical="center"/>
    </xf>
    <xf numFmtId="0" fontId="39" fillId="30" borderId="44" xfId="56" applyFill="1" applyBorder="1" applyAlignment="1">
      <alignment vertical="center"/>
    </xf>
    <xf numFmtId="0" fontId="25" fillId="30" borderId="47" xfId="0" applyNumberFormat="1" applyFont="1" applyFill="1" applyBorder="1" applyAlignment="1">
      <alignment horizontal="center" vertical="center" wrapText="1"/>
    </xf>
    <xf numFmtId="0" fontId="0" fillId="30" borderId="0" xfId="0" applyNumberFormat="1" applyFill="1" applyBorder="1" applyAlignment="1">
      <alignment horizontal="center" vertical="center"/>
    </xf>
    <xf numFmtId="0" fontId="0" fillId="30" borderId="46" xfId="0" applyNumberFormat="1" applyFill="1" applyBorder="1" applyAlignment="1">
      <alignment horizontal="center" vertical="center"/>
    </xf>
    <xf numFmtId="0" fontId="51" fillId="30" borderId="0" xfId="14"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5" fillId="30" borderId="0" xfId="0" applyNumberFormat="1" applyFont="1" applyFill="1" applyBorder="1" applyAlignment="1">
      <alignment horizontal="left" vertical="center"/>
    </xf>
    <xf numFmtId="0" fontId="0" fillId="30" borderId="0" xfId="0" applyNumberFormat="1" applyFill="1" applyBorder="1" applyAlignment="1">
      <alignment vertical="center"/>
    </xf>
    <xf numFmtId="0" fontId="0" fillId="30" borderId="46" xfId="0" applyNumberFormat="1" applyFill="1" applyBorder="1" applyAlignment="1">
      <alignment vertical="center"/>
    </xf>
    <xf numFmtId="0" fontId="39" fillId="30" borderId="47" xfId="56" applyFill="1" applyBorder="1" applyAlignment="1">
      <alignment vertical="center"/>
    </xf>
    <xf numFmtId="0" fontId="31" fillId="19" borderId="45" xfId="5" applyNumberFormat="1" applyBorder="1" applyAlignment="1">
      <alignment horizontal="left" vertical="center" wrapText="1"/>
    </xf>
    <xf numFmtId="0" fontId="38" fillId="20" borderId="40" xfId="28" applyNumberFormat="1" applyBorder="1" applyAlignment="1">
      <alignment horizontal="center" vertical="center"/>
    </xf>
    <xf numFmtId="0" fontId="33" fillId="21" borderId="51" xfId="7" applyNumberFormat="1" applyFont="1" applyBorder="1" applyAlignment="1">
      <alignment horizontal="left" vertical="center" wrapText="1"/>
    </xf>
    <xf numFmtId="0" fontId="33" fillId="21" borderId="38" xfId="7" applyNumberFormat="1" applyBorder="1" applyAlignment="1">
      <alignment horizontal="center" vertical="center"/>
    </xf>
    <xf numFmtId="0" fontId="25" fillId="30" borderId="47" xfId="0" applyNumberFormat="1" applyFont="1" applyFill="1" applyBorder="1" applyAlignment="1">
      <alignment horizontal="center" vertical="center"/>
    </xf>
    <xf numFmtId="0" fontId="25" fillId="30" borderId="48" xfId="0" applyNumberFormat="1" applyFont="1" applyFill="1" applyBorder="1" applyAlignment="1">
      <alignment horizontal="center" vertical="center"/>
    </xf>
    <xf numFmtId="0" fontId="0" fillId="30" borderId="49" xfId="0" applyNumberFormat="1" applyFill="1" applyBorder="1" applyAlignment="1">
      <alignment horizontal="center" vertical="center"/>
    </xf>
    <xf numFmtId="0" fontId="0" fillId="30" borderId="49" xfId="0" applyNumberFormat="1" applyFill="1" applyBorder="1" applyAlignment="1">
      <alignment horizontal="right" vertical="center"/>
    </xf>
    <xf numFmtId="0" fontId="0" fillId="30" borderId="49" xfId="0" applyNumberFormat="1" applyFill="1" applyBorder="1" applyAlignment="1">
      <alignment vertical="center"/>
    </xf>
    <xf numFmtId="0" fontId="0" fillId="30" borderId="50" xfId="0" applyNumberFormat="1" applyFill="1" applyBorder="1" applyAlignment="1">
      <alignment vertical="center"/>
    </xf>
    <xf numFmtId="0" fontId="39" fillId="31" borderId="42" xfId="56" applyNumberFormat="1" applyFill="1" applyBorder="1" applyAlignment="1">
      <alignment horizontal="left" vertical="center"/>
    </xf>
    <xf numFmtId="0" fontId="0" fillId="31" borderId="43" xfId="0" applyNumberFormat="1" applyFill="1" applyBorder="1" applyAlignment="1">
      <alignment horizontal="center" vertical="center"/>
    </xf>
    <xf numFmtId="0" fontId="0" fillId="31" borderId="43" xfId="0" applyNumberFormat="1" applyFill="1" applyBorder="1" applyAlignment="1">
      <alignment horizontal="right" vertical="center"/>
    </xf>
    <xf numFmtId="0" fontId="0" fillId="31" borderId="43" xfId="0" applyNumberFormat="1" applyFill="1" applyBorder="1" applyAlignment="1">
      <alignment vertical="center"/>
    </xf>
    <xf numFmtId="0" fontId="0" fillId="31" borderId="44" xfId="0" applyNumberFormat="1" applyFill="1" applyBorder="1" applyAlignment="1">
      <alignment vertical="center"/>
    </xf>
    <xf numFmtId="0" fontId="39" fillId="31" borderId="47" xfId="56" applyNumberFormat="1" applyFill="1" applyBorder="1" applyAlignment="1">
      <alignment horizontal="left" vertical="center"/>
    </xf>
    <xf numFmtId="0" fontId="0" fillId="31" borderId="0" xfId="0" applyNumberFormat="1" applyFill="1" applyBorder="1" applyAlignment="1">
      <alignment horizontal="center" vertical="center"/>
    </xf>
    <xf numFmtId="0" fontId="0" fillId="31" borderId="0" xfId="0" applyNumberFormat="1" applyFill="1" applyBorder="1" applyAlignment="1">
      <alignment horizontal="right" vertical="center"/>
    </xf>
    <xf numFmtId="0" fontId="0" fillId="31" borderId="0" xfId="0" applyNumberFormat="1" applyFill="1" applyBorder="1" applyAlignment="1">
      <alignment vertical="center"/>
    </xf>
    <xf numFmtId="0" fontId="0" fillId="31" borderId="46" xfId="0" applyNumberFormat="1" applyFill="1" applyBorder="1" applyAlignment="1">
      <alignment vertical="center"/>
    </xf>
    <xf numFmtId="0" fontId="31" fillId="16" borderId="45" xfId="2" applyNumberFormat="1" applyBorder="1" applyAlignment="1">
      <alignment horizontal="left" vertical="center"/>
    </xf>
    <xf numFmtId="0" fontId="25" fillId="31" borderId="48" xfId="0" applyNumberFormat="1" applyFont="1" applyFill="1" applyBorder="1" applyAlignment="1">
      <alignment horizontal="center" vertical="center"/>
    </xf>
    <xf numFmtId="0" fontId="0" fillId="31" borderId="49" xfId="0" applyNumberFormat="1" applyFill="1" applyBorder="1" applyAlignment="1">
      <alignment horizontal="center" vertical="center"/>
    </xf>
    <xf numFmtId="0" fontId="0" fillId="31" borderId="49" xfId="0" applyNumberFormat="1" applyFill="1" applyBorder="1" applyAlignment="1">
      <alignment horizontal="right" vertical="center"/>
    </xf>
    <xf numFmtId="0" fontId="0" fillId="31" borderId="49" xfId="0" applyNumberFormat="1" applyFill="1" applyBorder="1" applyAlignment="1">
      <alignment vertical="center"/>
    </xf>
    <xf numFmtId="0" fontId="0" fillId="31" borderId="50" xfId="0" applyNumberFormat="1" applyFill="1" applyBorder="1" applyAlignment="1">
      <alignment vertical="center"/>
    </xf>
    <xf numFmtId="1" fontId="22" fillId="5" borderId="1" xfId="0" applyNumberFormat="1" applyFont="1" applyFill="1" applyBorder="1" applyAlignment="1">
      <alignment horizontal="center" textRotation="45"/>
    </xf>
    <xf numFmtId="10" fontId="22" fillId="5" borderId="1" xfId="0" applyNumberFormat="1" applyFont="1" applyFill="1" applyBorder="1" applyAlignment="1">
      <alignment horizontal="center" textRotation="45"/>
    </xf>
    <xf numFmtId="10" fontId="22" fillId="5" borderId="25" xfId="0" applyNumberFormat="1" applyFont="1" applyFill="1" applyBorder="1" applyAlignment="1">
      <alignment horizontal="center" textRotation="45" wrapText="1"/>
    </xf>
    <xf numFmtId="0" fontId="5" fillId="0" borderId="0" xfId="0" applyFont="1" applyFill="1" applyBorder="1" applyAlignment="1" applyProtection="1">
      <alignment vertical="center"/>
      <protection locked="0"/>
    </xf>
    <xf numFmtId="0" fontId="8" fillId="0" borderId="0" xfId="0" applyFont="1" applyFill="1" applyBorder="1" applyAlignment="1" applyProtection="1">
      <alignment vertical="center"/>
      <protection locked="0"/>
    </xf>
    <xf numFmtId="0" fontId="8" fillId="0" borderId="0" xfId="0" applyFont="1" applyBorder="1" applyAlignment="1" applyProtection="1">
      <alignment vertical="center"/>
      <protection locked="0"/>
    </xf>
    <xf numFmtId="49" fontId="5" fillId="23" borderId="1" xfId="0" applyNumberFormat="1" applyFont="1" applyFill="1" applyBorder="1" applyAlignment="1">
      <alignment horizontal="center" vertical="center" wrapText="1"/>
    </xf>
    <xf numFmtId="0" fontId="5" fillId="23" borderId="1" xfId="0" applyFont="1" applyFill="1" applyBorder="1" applyAlignment="1">
      <alignment horizontal="center" vertical="center" wrapText="1"/>
    </xf>
    <xf numFmtId="0" fontId="4" fillId="17" borderId="45" xfId="3" applyNumberFormat="1" applyFont="1" applyBorder="1" applyAlignment="1">
      <alignment horizontal="left" vertical="center" wrapText="1"/>
    </xf>
    <xf numFmtId="0" fontId="5" fillId="6" borderId="0" xfId="22" applyFont="1" applyFill="1" applyAlignment="1">
      <alignment vertical="center" wrapText="1"/>
    </xf>
    <xf numFmtId="0" fontId="5" fillId="23" borderId="1" xfId="0" applyFont="1" applyFill="1" applyBorder="1" applyAlignment="1">
      <alignment vertical="center" wrapText="1"/>
    </xf>
    <xf numFmtId="49" fontId="5" fillId="6" borderId="1" xfId="22" applyNumberFormat="1" applyFont="1" applyFill="1" applyBorder="1" applyAlignment="1">
      <alignment horizontal="center" vertical="center" wrapText="1"/>
    </xf>
    <xf numFmtId="0" fontId="60" fillId="7" borderId="1" xfId="54" applyFont="1" applyFill="1" applyBorder="1" applyAlignment="1">
      <alignment horizontal="center" textRotation="75" wrapText="1"/>
    </xf>
    <xf numFmtId="0" fontId="60" fillId="7" borderId="1" xfId="54" applyFont="1" applyFill="1" applyBorder="1" applyAlignment="1">
      <alignment horizontal="center" textRotation="75"/>
    </xf>
    <xf numFmtId="0" fontId="12" fillId="7" borderId="1" xfId="54" applyFont="1" applyFill="1" applyBorder="1" applyAlignment="1">
      <alignment horizontal="center" textRotation="75"/>
    </xf>
    <xf numFmtId="0" fontId="61" fillId="0" borderId="0" xfId="0" applyFont="1"/>
    <xf numFmtId="0" fontId="62" fillId="0" borderId="0" xfId="0" applyFont="1" applyAlignment="1"/>
    <xf numFmtId="0" fontId="5" fillId="23" borderId="0" xfId="0" applyNumberFormat="1" applyFont="1" applyFill="1" applyAlignment="1">
      <alignment horizontal="center" vertical="center"/>
    </xf>
    <xf numFmtId="0" fontId="12" fillId="8" borderId="9" xfId="0" applyNumberFormat="1" applyFont="1" applyFill="1" applyBorder="1" applyAlignment="1" applyProtection="1">
      <alignment horizontal="center" vertical="center" wrapText="1"/>
      <protection locked="0"/>
    </xf>
    <xf numFmtId="0" fontId="5" fillId="23" borderId="0" xfId="0" applyNumberFormat="1" applyFont="1" applyFill="1" applyAlignment="1">
      <alignment horizontal="right" vertical="center"/>
    </xf>
    <xf numFmtId="0" fontId="5" fillId="23" borderId="0" xfId="0" applyNumberFormat="1" applyFont="1" applyFill="1" applyAlignment="1">
      <alignment vertical="center"/>
    </xf>
    <xf numFmtId="0" fontId="6" fillId="12" borderId="23" xfId="22" applyNumberFormat="1" applyFont="1" applyFill="1" applyBorder="1" applyAlignment="1">
      <alignment horizontal="center" vertical="center" wrapText="1"/>
    </xf>
    <xf numFmtId="0" fontId="6" fillId="5" borderId="19" xfId="22" applyNumberFormat="1" applyFont="1" applyFill="1" applyBorder="1" applyAlignment="1">
      <alignment horizontal="center" vertical="center"/>
    </xf>
    <xf numFmtId="0" fontId="6" fillId="5" borderId="21" xfId="22" applyNumberFormat="1" applyFont="1" applyFill="1" applyBorder="1" applyAlignment="1">
      <alignment horizontal="center" vertical="center" textRotation="90" wrapText="1"/>
    </xf>
    <xf numFmtId="0" fontId="6" fillId="5" borderId="59" xfId="22" applyNumberFormat="1" applyFont="1" applyFill="1" applyBorder="1" applyAlignment="1">
      <alignment horizontal="center" vertical="center" wrapText="1"/>
    </xf>
    <xf numFmtId="0" fontId="6" fillId="5" borderId="58" xfId="22" applyNumberFormat="1" applyFont="1" applyFill="1" applyBorder="1" applyAlignment="1">
      <alignment horizontal="center" vertical="center" wrapText="1"/>
    </xf>
    <xf numFmtId="0" fontId="6" fillId="12" borderId="19" xfId="22" applyNumberFormat="1" applyFont="1" applyFill="1" applyBorder="1" applyAlignment="1">
      <alignment horizontal="center" vertical="center" wrapText="1"/>
    </xf>
    <xf numFmtId="0" fontId="6" fillId="12" borderId="21" xfId="22" applyNumberFormat="1" applyFont="1" applyFill="1" applyBorder="1" applyAlignment="1">
      <alignment horizontal="center" vertical="center" wrapText="1"/>
    </xf>
    <xf numFmtId="0" fontId="6" fillId="12" borderId="58" xfId="22" applyNumberFormat="1" applyFont="1" applyFill="1" applyBorder="1" applyAlignment="1">
      <alignment horizontal="center" vertical="center" wrapText="1"/>
    </xf>
    <xf numFmtId="0" fontId="6" fillId="12" borderId="35" xfId="22" applyNumberFormat="1" applyFont="1" applyFill="1" applyBorder="1" applyAlignment="1">
      <alignment horizontal="center" vertical="center" wrapText="1"/>
    </xf>
    <xf numFmtId="0" fontId="6" fillId="5" borderId="56" xfId="22" applyNumberFormat="1" applyFont="1" applyFill="1" applyBorder="1" applyAlignment="1">
      <alignment horizontal="center" vertical="center" wrapText="1"/>
    </xf>
    <xf numFmtId="0" fontId="6" fillId="5" borderId="24" xfId="22" applyNumberFormat="1" applyFont="1" applyFill="1" applyBorder="1" applyAlignment="1">
      <alignment horizontal="center" vertical="center" wrapText="1"/>
    </xf>
    <xf numFmtId="0" fontId="6" fillId="5" borderId="57" xfId="22" applyNumberFormat="1" applyFont="1" applyFill="1" applyBorder="1" applyAlignment="1">
      <alignment horizontal="center" vertical="center" wrapText="1"/>
    </xf>
    <xf numFmtId="0" fontId="48" fillId="9" borderId="17" xfId="15" applyNumberFormat="1" applyFont="1" applyFill="1" applyBorder="1" applyAlignment="1">
      <alignment horizontal="center" vertical="center"/>
    </xf>
    <xf numFmtId="0" fontId="5" fillId="9" borderId="10" xfId="0" applyNumberFormat="1" applyFont="1" applyFill="1" applyBorder="1" applyAlignment="1">
      <alignment horizontal="center" vertical="center"/>
    </xf>
    <xf numFmtId="0" fontId="5" fillId="10" borderId="10" xfId="0" applyNumberFormat="1" applyFont="1" applyFill="1" applyBorder="1" applyAlignment="1">
      <alignment horizontal="center" vertical="center"/>
    </xf>
    <xf numFmtId="0" fontId="5" fillId="11" borderId="10" xfId="0" applyNumberFormat="1" applyFont="1" applyFill="1" applyBorder="1" applyAlignment="1">
      <alignment horizontal="center" vertical="center"/>
    </xf>
    <xf numFmtId="0" fontId="5" fillId="6" borderId="11" xfId="0" applyNumberFormat="1" applyFont="1" applyFill="1" applyBorder="1" applyAlignment="1">
      <alignment horizontal="center" vertical="center"/>
    </xf>
    <xf numFmtId="0" fontId="5" fillId="9" borderId="17" xfId="0" applyNumberFormat="1" applyFont="1" applyFill="1" applyBorder="1" applyAlignment="1">
      <alignment horizontal="center" vertical="center"/>
    </xf>
    <xf numFmtId="0" fontId="5" fillId="9" borderId="11" xfId="0" applyNumberFormat="1" applyFont="1" applyFill="1" applyBorder="1" applyAlignment="1">
      <alignment horizontal="center" vertical="center"/>
    </xf>
    <xf numFmtId="0" fontId="5" fillId="10" borderId="5" xfId="0" applyNumberFormat="1" applyFont="1" applyFill="1" applyBorder="1" applyAlignment="1">
      <alignment horizontal="center" vertical="center"/>
    </xf>
    <xf numFmtId="0" fontId="5" fillId="11" borderId="11" xfId="0" applyNumberFormat="1" applyFont="1" applyFill="1" applyBorder="1" applyAlignment="1">
      <alignment horizontal="center" vertical="center"/>
    </xf>
    <xf numFmtId="0" fontId="5" fillId="9" borderId="33" xfId="0" applyNumberFormat="1" applyFont="1" applyFill="1" applyBorder="1" applyAlignment="1">
      <alignment horizontal="center" vertical="center"/>
    </xf>
    <xf numFmtId="0" fontId="5" fillId="9" borderId="8" xfId="0" applyNumberFormat="1" applyFont="1" applyFill="1" applyBorder="1" applyAlignment="1">
      <alignment horizontal="center" vertical="center"/>
    </xf>
    <xf numFmtId="0" fontId="5" fillId="9" borderId="7" xfId="0" applyNumberFormat="1" applyFont="1" applyFill="1" applyBorder="1" applyAlignment="1">
      <alignment horizontal="center" vertical="center"/>
    </xf>
    <xf numFmtId="0" fontId="5" fillId="9" borderId="6" xfId="0" applyNumberFormat="1" applyFont="1" applyFill="1" applyBorder="1" applyAlignment="1">
      <alignment horizontal="center" vertical="center"/>
    </xf>
    <xf numFmtId="0" fontId="5" fillId="35" borderId="10" xfId="0" applyNumberFormat="1" applyFont="1" applyFill="1" applyBorder="1" applyAlignment="1">
      <alignment horizontal="center" vertical="center"/>
    </xf>
    <xf numFmtId="0" fontId="5" fillId="9" borderId="60" xfId="0" applyNumberFormat="1" applyFont="1" applyFill="1" applyBorder="1" applyAlignment="1">
      <alignment horizontal="center" vertical="center"/>
    </xf>
    <xf numFmtId="0" fontId="5" fillId="9" borderId="61" xfId="0" applyNumberFormat="1" applyFont="1" applyFill="1" applyBorder="1" applyAlignment="1">
      <alignment horizontal="center" vertical="center"/>
    </xf>
    <xf numFmtId="0" fontId="5" fillId="9" borderId="57" xfId="0" applyNumberFormat="1" applyFont="1" applyFill="1" applyBorder="1" applyAlignment="1">
      <alignment horizontal="center" vertical="center"/>
    </xf>
    <xf numFmtId="0" fontId="6" fillId="5" borderId="12" xfId="22" applyNumberFormat="1" applyFont="1" applyFill="1" applyBorder="1" applyAlignment="1">
      <alignment horizontal="center" vertical="center"/>
    </xf>
    <xf numFmtId="0" fontId="6" fillId="36" borderId="13" xfId="0" applyNumberFormat="1" applyFont="1" applyFill="1" applyBorder="1" applyAlignment="1">
      <alignment horizontal="center" vertical="center"/>
    </xf>
    <xf numFmtId="0" fontId="6" fillId="9" borderId="13" xfId="0" applyNumberFormat="1" applyFont="1" applyFill="1" applyBorder="1" applyAlignment="1">
      <alignment horizontal="center" vertical="center"/>
    </xf>
    <xf numFmtId="0" fontId="6" fillId="10" borderId="13" xfId="0" applyNumberFormat="1" applyFont="1" applyFill="1" applyBorder="1" applyAlignment="1">
      <alignment horizontal="center" vertical="center"/>
    </xf>
    <xf numFmtId="0" fontId="6" fillId="11" borderId="13" xfId="0" applyNumberFormat="1" applyFont="1" applyFill="1" applyBorder="1" applyAlignment="1">
      <alignment horizontal="center" vertical="center"/>
    </xf>
    <xf numFmtId="0" fontId="6" fillId="37" borderId="13" xfId="0" applyNumberFormat="1" applyFont="1" applyFill="1" applyBorder="1" applyAlignment="1">
      <alignment horizontal="center" vertical="center"/>
    </xf>
    <xf numFmtId="0" fontId="6" fillId="6" borderId="14" xfId="0" applyNumberFormat="1" applyFont="1" applyFill="1" applyBorder="1" applyAlignment="1">
      <alignment horizontal="center" vertical="center"/>
    </xf>
    <xf numFmtId="0" fontId="6" fillId="9" borderId="12" xfId="0" applyNumberFormat="1" applyFont="1" applyFill="1" applyBorder="1" applyAlignment="1">
      <alignment horizontal="center" vertical="center"/>
    </xf>
    <xf numFmtId="0" fontId="6" fillId="9" borderId="14" xfId="0" applyNumberFormat="1" applyFont="1" applyFill="1" applyBorder="1" applyAlignment="1">
      <alignment horizontal="center" vertical="center"/>
    </xf>
    <xf numFmtId="0" fontId="6" fillId="10" borderId="12" xfId="0" applyNumberFormat="1" applyFont="1" applyFill="1" applyBorder="1" applyAlignment="1">
      <alignment horizontal="center" vertical="center"/>
    </xf>
    <xf numFmtId="0" fontId="6" fillId="11" borderId="14" xfId="0" applyNumberFormat="1" applyFont="1" applyFill="1" applyBorder="1" applyAlignment="1">
      <alignment horizontal="center" vertical="center"/>
    </xf>
    <xf numFmtId="0" fontId="5" fillId="5" borderId="15" xfId="22" applyNumberFormat="1" applyFont="1" applyFill="1" applyBorder="1" applyAlignment="1">
      <alignment horizontal="center" vertical="center"/>
    </xf>
    <xf numFmtId="0" fontId="5" fillId="36" borderId="16" xfId="6" applyNumberFormat="1" applyFont="1" applyFill="1" applyBorder="1" applyAlignment="1">
      <alignment horizontal="center" vertical="center"/>
    </xf>
    <xf numFmtId="0" fontId="5" fillId="35" borderId="16" xfId="6" applyNumberFormat="1" applyFont="1" applyFill="1" applyBorder="1" applyAlignment="1">
      <alignment horizontal="center" vertical="center"/>
    </xf>
    <xf numFmtId="0" fontId="5" fillId="20" borderId="16" xfId="6" applyNumberFormat="1" applyFont="1" applyBorder="1" applyAlignment="1">
      <alignment horizontal="center" vertical="center"/>
    </xf>
    <xf numFmtId="0" fontId="5" fillId="37" borderId="16" xfId="6" applyNumberFormat="1" applyFont="1" applyFill="1" applyBorder="1" applyAlignment="1">
      <alignment horizontal="center" vertical="center"/>
    </xf>
    <xf numFmtId="0" fontId="5" fillId="20" borderId="18" xfId="6" applyNumberFormat="1" applyFont="1" applyBorder="1" applyAlignment="1">
      <alignment horizontal="center" vertical="center"/>
    </xf>
    <xf numFmtId="0" fontId="5" fillId="36" borderId="15" xfId="6" applyNumberFormat="1" applyFont="1" applyFill="1" applyBorder="1" applyAlignment="1">
      <alignment horizontal="center" vertical="center"/>
    </xf>
    <xf numFmtId="0" fontId="5" fillId="36" borderId="18" xfId="6" applyNumberFormat="1" applyFont="1" applyFill="1" applyBorder="1" applyAlignment="1">
      <alignment horizontal="center" vertical="center"/>
    </xf>
    <xf numFmtId="0" fontId="5" fillId="35" borderId="62" xfId="6" applyNumberFormat="1" applyFont="1" applyFill="1" applyBorder="1" applyAlignment="1">
      <alignment horizontal="center" vertical="center"/>
    </xf>
    <xf numFmtId="0" fontId="5" fillId="37" borderId="18" xfId="6" applyNumberFormat="1" applyFont="1" applyFill="1" applyBorder="1" applyAlignment="1">
      <alignment horizontal="center" vertical="center"/>
    </xf>
    <xf numFmtId="0" fontId="5" fillId="36" borderId="53" xfId="6" applyNumberFormat="1" applyFont="1" applyFill="1" applyBorder="1" applyAlignment="1">
      <alignment horizontal="center" vertical="center"/>
    </xf>
    <xf numFmtId="0" fontId="5" fillId="36" borderId="20" xfId="6" applyNumberFormat="1" applyFont="1" applyFill="1" applyBorder="1" applyAlignment="1">
      <alignment horizontal="center" vertical="center"/>
    </xf>
    <xf numFmtId="0" fontId="2" fillId="17" borderId="45" xfId="3" applyNumberFormat="1" applyFont="1" applyBorder="1" applyAlignment="1">
      <alignment horizontal="left" vertical="center" wrapText="1"/>
    </xf>
    <xf numFmtId="0" fontId="1" fillId="16" borderId="45" xfId="2" applyNumberFormat="1" applyFont="1" applyBorder="1" applyAlignment="1">
      <alignment horizontal="left" vertical="center" wrapText="1"/>
    </xf>
    <xf numFmtId="0" fontId="1" fillId="16" borderId="45" xfId="2" applyNumberFormat="1" applyFont="1" applyBorder="1" applyAlignment="1">
      <alignment horizontal="left" vertical="center"/>
    </xf>
    <xf numFmtId="0" fontId="10" fillId="0" borderId="26" xfId="0" applyFont="1" applyBorder="1" applyAlignment="1" applyProtection="1">
      <alignment horizontal="left" vertical="center" shrinkToFit="1"/>
    </xf>
    <xf numFmtId="0" fontId="10" fillId="0" borderId="27" xfId="0" applyFont="1" applyBorder="1" applyAlignment="1" applyProtection="1">
      <alignment horizontal="left" vertical="center" shrinkToFit="1"/>
    </xf>
    <xf numFmtId="0" fontId="10" fillId="0" borderId="28" xfId="0" applyFont="1" applyBorder="1" applyAlignment="1" applyProtection="1">
      <alignment horizontal="left" vertical="center" shrinkToFit="1"/>
    </xf>
    <xf numFmtId="0" fontId="10" fillId="0" borderId="26" xfId="0" applyFont="1" applyFill="1" applyBorder="1" applyAlignment="1" applyProtection="1">
      <alignment horizontal="left" vertical="center" shrinkToFit="1"/>
    </xf>
    <xf numFmtId="0" fontId="10" fillId="0" borderId="27" xfId="0" applyFont="1" applyFill="1" applyBorder="1" applyAlignment="1" applyProtection="1">
      <alignment horizontal="left" vertical="center" shrinkToFit="1"/>
    </xf>
    <xf numFmtId="0" fontId="10" fillId="0" borderId="28" xfId="0" applyFont="1" applyFill="1" applyBorder="1" applyAlignment="1" applyProtection="1">
      <alignment horizontal="left" vertical="center" shrinkToFit="1"/>
    </xf>
    <xf numFmtId="0" fontId="53" fillId="0" borderId="29" xfId="0" applyFont="1" applyBorder="1" applyAlignment="1" applyProtection="1">
      <alignment horizontal="left" vertical="center" shrinkToFit="1"/>
    </xf>
    <xf numFmtId="0" fontId="53" fillId="0" borderId="3" xfId="0" applyFont="1" applyBorder="1" applyAlignment="1" applyProtection="1">
      <alignment horizontal="left" vertical="center" shrinkToFit="1"/>
    </xf>
    <xf numFmtId="0" fontId="53" fillId="0" borderId="30" xfId="0" applyFont="1" applyBorder="1" applyAlignment="1" applyProtection="1">
      <alignment horizontal="left" vertical="center" shrinkToFit="1"/>
    </xf>
    <xf numFmtId="0" fontId="10" fillId="0" borderId="26" xfId="0" applyFont="1" applyBorder="1" applyAlignment="1" applyProtection="1">
      <alignment horizontal="left" vertical="center" wrapText="1"/>
    </xf>
    <xf numFmtId="0" fontId="10" fillId="0" borderId="27" xfId="0" applyFont="1" applyBorder="1" applyAlignment="1" applyProtection="1">
      <alignment horizontal="left" vertical="center" wrapText="1"/>
    </xf>
    <xf numFmtId="0" fontId="10" fillId="0" borderId="28" xfId="0" applyFont="1" applyBorder="1" applyAlignment="1" applyProtection="1">
      <alignment horizontal="left" vertical="center" wrapText="1"/>
    </xf>
    <xf numFmtId="0" fontId="53" fillId="0" borderId="29" xfId="0" applyFont="1" applyBorder="1" applyAlignment="1" applyProtection="1">
      <alignment horizontal="left" vertical="center" wrapText="1" shrinkToFit="1"/>
    </xf>
    <xf numFmtId="0" fontId="52" fillId="32" borderId="4" xfId="0" applyFont="1" applyFill="1" applyBorder="1" applyAlignment="1" applyProtection="1">
      <alignment horizontal="center" vertical="center" shrinkToFit="1"/>
      <protection locked="0"/>
    </xf>
    <xf numFmtId="0" fontId="52" fillId="32" borderId="0" xfId="0" applyFont="1" applyFill="1" applyBorder="1" applyAlignment="1" applyProtection="1">
      <alignment horizontal="center" vertical="center" shrinkToFit="1"/>
      <protection locked="0"/>
    </xf>
    <xf numFmtId="0" fontId="52" fillId="32" borderId="5" xfId="0" applyFont="1" applyFill="1" applyBorder="1" applyAlignment="1" applyProtection="1">
      <alignment horizontal="center" vertical="center" shrinkToFit="1"/>
      <protection locked="0"/>
    </xf>
    <xf numFmtId="0" fontId="54" fillId="22" borderId="37" xfId="20" applyFont="1" applyAlignment="1">
      <alignment horizontal="center" vertical="center"/>
    </xf>
    <xf numFmtId="0" fontId="55" fillId="0" borderId="3" xfId="0" applyFont="1" applyFill="1" applyBorder="1" applyAlignment="1" applyProtection="1">
      <alignment horizontal="left" vertical="top" wrapText="1" shrinkToFit="1"/>
      <protection locked="0"/>
    </xf>
    <xf numFmtId="0" fontId="55" fillId="0" borderId="30" xfId="0" applyFont="1" applyFill="1" applyBorder="1" applyAlignment="1" applyProtection="1">
      <alignment horizontal="left" vertical="top" wrapText="1" shrinkToFit="1"/>
      <protection locked="0"/>
    </xf>
    <xf numFmtId="0" fontId="8" fillId="0" borderId="29" xfId="0" applyFont="1" applyFill="1" applyBorder="1" applyAlignment="1" applyProtection="1">
      <alignment horizontal="right" vertical="top" wrapText="1" shrinkToFit="1"/>
      <protection locked="0"/>
    </xf>
    <xf numFmtId="0" fontId="8" fillId="0" borderId="3" xfId="0" applyFont="1" applyFill="1" applyBorder="1" applyAlignment="1" applyProtection="1">
      <alignment horizontal="right" vertical="top" wrapText="1" shrinkToFit="1"/>
      <protection locked="0"/>
    </xf>
    <xf numFmtId="0" fontId="52" fillId="32" borderId="27" xfId="0" applyFont="1" applyFill="1" applyBorder="1" applyAlignment="1" applyProtection="1">
      <alignment horizontal="center" vertical="center" wrapText="1"/>
      <protection locked="0"/>
    </xf>
    <xf numFmtId="0" fontId="52" fillId="32" borderId="0" xfId="0" applyFont="1" applyFill="1" applyBorder="1" applyAlignment="1" applyProtection="1">
      <alignment horizontal="center" vertical="center" wrapText="1"/>
      <protection locked="0"/>
    </xf>
    <xf numFmtId="0" fontId="8" fillId="0" borderId="9" xfId="0" applyFont="1" applyFill="1" applyBorder="1" applyAlignment="1" applyProtection="1">
      <alignment horizontal="left" vertical="top" wrapText="1" shrinkToFit="1"/>
      <protection locked="0"/>
    </xf>
    <xf numFmtId="0" fontId="6" fillId="0" borderId="31" xfId="0" applyFont="1" applyFill="1" applyBorder="1" applyAlignment="1" applyProtection="1">
      <alignment horizontal="left" vertical="top" shrinkToFit="1"/>
      <protection locked="0"/>
    </xf>
    <xf numFmtId="0" fontId="6" fillId="0" borderId="32" xfId="0" applyFont="1" applyFill="1" applyBorder="1" applyAlignment="1" applyProtection="1">
      <alignment horizontal="left" vertical="top" shrinkToFit="1"/>
      <protection locked="0"/>
    </xf>
    <xf numFmtId="0" fontId="8" fillId="0" borderId="29" xfId="0" applyFont="1" applyFill="1" applyBorder="1" applyAlignment="1" applyProtection="1">
      <alignment horizontal="left" vertical="top" wrapText="1" shrinkToFit="1"/>
      <protection locked="0"/>
    </xf>
    <xf numFmtId="0" fontId="6" fillId="0" borderId="3" xfId="0" applyFont="1" applyFill="1" applyBorder="1" applyAlignment="1" applyProtection="1">
      <alignment horizontal="left" vertical="top" shrinkToFit="1"/>
      <protection locked="0"/>
    </xf>
    <xf numFmtId="0" fontId="6" fillId="0" borderId="30" xfId="0" applyFont="1" applyFill="1" applyBorder="1" applyAlignment="1" applyProtection="1">
      <alignment horizontal="left" vertical="top" shrinkToFit="1"/>
      <protection locked="0"/>
    </xf>
    <xf numFmtId="0" fontId="8" fillId="0" borderId="29" xfId="0" applyFont="1" applyFill="1" applyBorder="1" applyAlignment="1" applyProtection="1">
      <alignment horizontal="left" vertical="top"/>
      <protection locked="0"/>
    </xf>
    <xf numFmtId="0" fontId="8" fillId="0" borderId="3" xfId="0" applyFont="1" applyFill="1" applyBorder="1" applyAlignment="1" applyProtection="1">
      <alignment horizontal="left" vertical="top"/>
      <protection locked="0"/>
    </xf>
    <xf numFmtId="0" fontId="8" fillId="0" borderId="30" xfId="0" applyFont="1" applyFill="1" applyBorder="1" applyAlignment="1" applyProtection="1">
      <alignment horizontal="left" vertical="top"/>
      <protection locked="0"/>
    </xf>
    <xf numFmtId="0" fontId="14" fillId="0" borderId="0" xfId="0" applyFont="1" applyFill="1" applyAlignment="1" applyProtection="1">
      <alignment horizontal="center" vertical="center" wrapText="1"/>
      <protection locked="0"/>
    </xf>
    <xf numFmtId="0" fontId="0" fillId="0" borderId="0" xfId="0" applyAlignment="1">
      <alignment vertical="center" wrapText="1"/>
    </xf>
    <xf numFmtId="0" fontId="5" fillId="0" borderId="26" xfId="0" applyFont="1" applyFill="1" applyBorder="1" applyAlignment="1" applyProtection="1">
      <alignment horizontal="left" vertical="top" wrapText="1"/>
      <protection locked="0"/>
    </xf>
    <xf numFmtId="0" fontId="8" fillId="0" borderId="27" xfId="0" applyFont="1" applyFill="1" applyBorder="1" applyAlignment="1" applyProtection="1">
      <alignment horizontal="left" vertical="top"/>
      <protection locked="0"/>
    </xf>
    <xf numFmtId="0" fontId="8" fillId="0" borderId="28" xfId="0" applyFont="1" applyFill="1" applyBorder="1" applyAlignment="1" applyProtection="1">
      <alignment horizontal="left" vertical="top"/>
      <protection locked="0"/>
    </xf>
    <xf numFmtId="0" fontId="52" fillId="32" borderId="26" xfId="0" applyFont="1" applyFill="1" applyBorder="1" applyAlignment="1" applyProtection="1">
      <alignment horizontal="center" vertical="center" shrinkToFit="1"/>
      <protection locked="0"/>
    </xf>
    <xf numFmtId="0" fontId="52" fillId="32" borderId="27" xfId="0" applyFont="1" applyFill="1" applyBorder="1" applyAlignment="1" applyProtection="1">
      <alignment horizontal="center" vertical="center" shrinkToFit="1"/>
      <protection locked="0"/>
    </xf>
    <xf numFmtId="0" fontId="52" fillId="32" borderId="28" xfId="0" applyFont="1" applyFill="1" applyBorder="1" applyAlignment="1" applyProtection="1">
      <alignment horizontal="center" vertical="center" shrinkToFit="1"/>
      <protection locked="0"/>
    </xf>
    <xf numFmtId="0" fontId="8" fillId="0" borderId="3" xfId="0" applyFont="1" applyFill="1" applyBorder="1" applyAlignment="1" applyProtection="1">
      <alignment horizontal="left" vertical="top" wrapText="1" shrinkToFit="1"/>
      <protection locked="0"/>
    </xf>
    <xf numFmtId="49" fontId="8"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49" fontId="8" fillId="0" borderId="9" xfId="0" applyNumberFormat="1" applyFont="1" applyFill="1" applyBorder="1" applyAlignment="1" applyProtection="1">
      <alignment horizontal="left" vertical="center" wrapText="1"/>
      <protection locked="0"/>
    </xf>
    <xf numFmtId="49" fontId="8" fillId="0" borderId="31" xfId="0" applyNumberFormat="1" applyFont="1" applyFill="1" applyBorder="1" applyAlignment="1" applyProtection="1">
      <alignment horizontal="left" vertical="center" wrapText="1"/>
      <protection locked="0"/>
    </xf>
    <xf numFmtId="49" fontId="8" fillId="0" borderId="32" xfId="0" applyNumberFormat="1" applyFont="1" applyFill="1" applyBorder="1" applyAlignment="1" applyProtection="1">
      <alignment horizontal="left" vertical="center" wrapText="1"/>
      <protection locked="0"/>
    </xf>
    <xf numFmtId="0" fontId="12" fillId="8" borderId="1" xfId="0" applyFont="1" applyFill="1" applyBorder="1" applyAlignment="1" applyProtection="1">
      <alignment horizontal="center" vertical="center" wrapText="1"/>
      <protection locked="0"/>
    </xf>
    <xf numFmtId="49" fontId="8" fillId="0" borderId="1" xfId="0" applyNumberFormat="1" applyFont="1" applyFill="1" applyBorder="1" applyAlignment="1" applyProtection="1">
      <alignment vertical="center" wrapText="1"/>
      <protection locked="0"/>
    </xf>
    <xf numFmtId="0" fontId="0" fillId="0" borderId="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56" fillId="34" borderId="1" xfId="0" applyFont="1" applyFill="1" applyBorder="1" applyAlignment="1">
      <alignment horizontal="center" vertical="center" wrapText="1"/>
    </xf>
    <xf numFmtId="49" fontId="36" fillId="0" borderId="0" xfId="15" applyNumberFormat="1" applyFill="1" applyBorder="1" applyAlignment="1" applyProtection="1">
      <alignment horizontal="center" vertical="center"/>
      <protection locked="0"/>
    </xf>
    <xf numFmtId="49" fontId="8" fillId="0" borderId="1" xfId="0" applyNumberFormat="1" applyFont="1" applyFill="1" applyBorder="1" applyAlignment="1" applyProtection="1">
      <alignment horizontal="center" vertical="center" wrapText="1"/>
      <protection locked="0"/>
    </xf>
    <xf numFmtId="49" fontId="5" fillId="0" borderId="1" xfId="0" applyNumberFormat="1" applyFont="1" applyFill="1" applyBorder="1" applyAlignment="1" applyProtection="1">
      <alignment horizontal="left" vertical="center" wrapText="1"/>
      <protection locked="0"/>
    </xf>
    <xf numFmtId="49" fontId="8" fillId="33" borderId="1" xfId="0" applyNumberFormat="1" applyFont="1" applyFill="1" applyBorder="1" applyAlignment="1" applyProtection="1">
      <alignment horizontal="center" vertical="center" wrapText="1"/>
      <protection locked="0"/>
    </xf>
    <xf numFmtId="49" fontId="8" fillId="0" borderId="1" xfId="0" applyNumberFormat="1" applyFont="1" applyFill="1" applyBorder="1" applyAlignment="1">
      <alignment horizontal="center" vertical="center" wrapText="1"/>
    </xf>
    <xf numFmtId="49" fontId="8" fillId="0" borderId="1" xfId="0" applyNumberFormat="1" applyFont="1" applyFill="1" applyBorder="1" applyAlignment="1">
      <alignment horizontal="left" vertical="center" wrapText="1"/>
    </xf>
    <xf numFmtId="0" fontId="0" fillId="0" borderId="1" xfId="0" applyBorder="1" applyAlignment="1">
      <alignment horizontal="center" vertical="center" wrapText="1"/>
    </xf>
    <xf numFmtId="0" fontId="10" fillId="0" borderId="0" xfId="0" applyFont="1" applyFill="1" applyBorder="1" applyAlignment="1" applyProtection="1">
      <alignment horizontal="left" vertical="center" shrinkToFit="1"/>
    </xf>
    <xf numFmtId="0" fontId="53" fillId="0" borderId="0" xfId="0" applyFont="1" applyBorder="1" applyAlignment="1" applyProtection="1">
      <alignment horizontal="left" vertical="center" shrinkToFit="1"/>
    </xf>
    <xf numFmtId="0" fontId="10" fillId="13" borderId="0" xfId="0" applyFont="1" applyFill="1" applyBorder="1" applyAlignment="1" applyProtection="1">
      <alignment horizontal="left" vertical="center" wrapText="1"/>
    </xf>
    <xf numFmtId="0" fontId="53" fillId="13" borderId="0" xfId="0" applyFont="1" applyFill="1" applyBorder="1" applyAlignment="1" applyProtection="1">
      <alignment horizontal="left" vertical="center" shrinkToFit="1"/>
    </xf>
    <xf numFmtId="0" fontId="10" fillId="13" borderId="0" xfId="0" applyFont="1" applyFill="1" applyBorder="1" applyAlignment="1" applyProtection="1">
      <alignment horizontal="left" vertical="center" shrinkToFit="1"/>
    </xf>
    <xf numFmtId="0" fontId="10" fillId="0" borderId="0" xfId="0" applyFont="1" applyBorder="1" applyAlignment="1" applyProtection="1">
      <alignment horizontal="left" vertical="center" shrinkToFit="1"/>
    </xf>
    <xf numFmtId="0" fontId="0" fillId="8" borderId="1" xfId="0" applyFill="1" applyBorder="1" applyAlignment="1" applyProtection="1">
      <alignment horizontal="center" vertical="center" wrapText="1"/>
      <protection locked="0"/>
    </xf>
    <xf numFmtId="0" fontId="15" fillId="13" borderId="0" xfId="0" applyFont="1" applyFill="1" applyBorder="1" applyAlignment="1" applyProtection="1">
      <alignment horizontal="left" vertical="center" shrinkToFit="1"/>
    </xf>
    <xf numFmtId="49" fontId="5" fillId="0" borderId="1" xfId="0" applyNumberFormat="1" applyFont="1" applyFill="1" applyBorder="1" applyAlignment="1" applyProtection="1">
      <alignment horizontal="center" vertical="center" wrapText="1"/>
      <protection locked="0"/>
    </xf>
    <xf numFmtId="49" fontId="18" fillId="0" borderId="0" xfId="0" applyNumberFormat="1" applyFont="1" applyFill="1" applyAlignment="1" applyProtection="1">
      <alignment horizontal="left" vertical="center" wrapText="1"/>
      <protection locked="0"/>
    </xf>
    <xf numFmtId="0" fontId="6" fillId="6" borderId="0" xfId="22" applyFont="1" applyFill="1" applyBorder="1" applyAlignment="1">
      <alignment vertical="center" wrapText="1"/>
    </xf>
    <xf numFmtId="0" fontId="8" fillId="0" borderId="0" xfId="22" applyBorder="1" applyAlignment="1">
      <alignment vertical="center" wrapText="1"/>
    </xf>
    <xf numFmtId="0" fontId="0" fillId="23" borderId="0" xfId="0" applyFont="1" applyFill="1" applyBorder="1" applyAlignment="1">
      <alignment horizontal="left" vertical="center" wrapText="1"/>
    </xf>
    <xf numFmtId="0" fontId="42" fillId="0" borderId="0" xfId="0" applyFont="1" applyBorder="1" applyAlignment="1" applyProtection="1">
      <alignment horizontal="left" vertical="center"/>
      <protection locked="0"/>
    </xf>
    <xf numFmtId="0" fontId="5" fillId="23" borderId="0" xfId="0" applyFont="1" applyFill="1" applyBorder="1" applyAlignment="1">
      <alignment horizontal="left" vertical="center" wrapText="1"/>
    </xf>
    <xf numFmtId="0" fontId="8" fillId="23" borderId="0" xfId="0" applyFont="1" applyFill="1" applyBorder="1" applyAlignment="1">
      <alignment horizontal="left" vertical="center" wrapText="1"/>
    </xf>
    <xf numFmtId="10" fontId="22" fillId="14" borderId="33" xfId="22" applyNumberFormat="1" applyFont="1" applyFill="1" applyBorder="1" applyAlignment="1">
      <alignment horizontal="center" vertical="center" wrapText="1"/>
    </xf>
    <xf numFmtId="10" fontId="22" fillId="14" borderId="0" xfId="22" applyNumberFormat="1" applyFont="1" applyFill="1" applyBorder="1" applyAlignment="1">
      <alignment horizontal="center" vertical="center" wrapText="1"/>
    </xf>
    <xf numFmtId="10" fontId="22" fillId="14" borderId="34" xfId="22" applyNumberFormat="1" applyFont="1" applyFill="1" applyBorder="1" applyAlignment="1">
      <alignment horizontal="center" vertical="center" wrapText="1"/>
    </xf>
    <xf numFmtId="49" fontId="6" fillId="6" borderId="9" xfId="22" applyNumberFormat="1" applyFont="1" applyFill="1" applyBorder="1" applyAlignment="1">
      <alignment horizontal="center" vertical="center" wrapText="1"/>
    </xf>
    <xf numFmtId="49" fontId="6" fillId="6" borderId="32" xfId="22" applyNumberFormat="1" applyFont="1" applyFill="1" applyBorder="1" applyAlignment="1">
      <alignment horizontal="center" vertical="center" wrapText="1"/>
    </xf>
    <xf numFmtId="0" fontId="0" fillId="31" borderId="1" xfId="0" applyNumberFormat="1" applyFill="1" applyBorder="1" applyAlignment="1">
      <alignment horizontal="left" vertical="center"/>
    </xf>
    <xf numFmtId="0" fontId="63" fillId="20" borderId="9" xfId="28" applyNumberFormat="1" applyFont="1" applyBorder="1" applyAlignment="1">
      <alignment horizontal="center" vertical="center" wrapText="1"/>
    </xf>
    <xf numFmtId="0" fontId="63" fillId="20" borderId="32" xfId="28" applyNumberFormat="1" applyFont="1" applyBorder="1" applyAlignment="1">
      <alignment horizontal="center" vertical="center" wrapText="1"/>
    </xf>
    <xf numFmtId="0" fontId="0" fillId="31" borderId="9" xfId="0" applyNumberFormat="1" applyFill="1" applyBorder="1" applyAlignment="1">
      <alignment horizontal="left" vertical="center"/>
    </xf>
    <xf numFmtId="0" fontId="0" fillId="31" borderId="31" xfId="0" applyNumberFormat="1" applyFill="1" applyBorder="1" applyAlignment="1">
      <alignment horizontal="left" vertical="center"/>
    </xf>
    <xf numFmtId="0" fontId="0" fillId="31" borderId="32" xfId="0" applyNumberFormat="1" applyFill="1" applyBorder="1" applyAlignment="1">
      <alignment horizontal="left" vertical="center"/>
    </xf>
    <xf numFmtId="0" fontId="6" fillId="5" borderId="52" xfId="22" applyNumberFormat="1" applyFont="1" applyFill="1" applyBorder="1" applyAlignment="1">
      <alignment horizontal="center" vertical="center" wrapText="1"/>
    </xf>
    <xf numFmtId="0" fontId="6" fillId="5" borderId="54" xfId="22" applyNumberFormat="1" applyFont="1" applyFill="1" applyBorder="1" applyAlignment="1">
      <alignment horizontal="center" vertical="center" wrapText="1"/>
    </xf>
    <xf numFmtId="0" fontId="6" fillId="5" borderId="55" xfId="22" applyNumberFormat="1" applyFont="1" applyFill="1" applyBorder="1" applyAlignment="1">
      <alignment horizontal="center" vertical="center" wrapText="1"/>
    </xf>
    <xf numFmtId="0" fontId="6" fillId="12" borderId="35" xfId="22" applyNumberFormat="1" applyFont="1" applyFill="1" applyBorder="1" applyAlignment="1">
      <alignment horizontal="center" vertical="center" wrapText="1"/>
    </xf>
    <xf numFmtId="0" fontId="6" fillId="12" borderId="36" xfId="22" applyNumberFormat="1" applyFont="1" applyFill="1" applyBorder="1" applyAlignment="1">
      <alignment horizontal="center" vertical="center" wrapText="1"/>
    </xf>
    <xf numFmtId="0" fontId="6" fillId="12" borderId="22" xfId="22" applyNumberFormat="1" applyFont="1" applyFill="1" applyBorder="1" applyAlignment="1">
      <alignment horizontal="center" vertical="center" wrapText="1"/>
    </xf>
    <xf numFmtId="0" fontId="6" fillId="5" borderId="19" xfId="22" applyNumberFormat="1" applyFont="1" applyFill="1" applyBorder="1" applyAlignment="1">
      <alignment horizontal="center" vertical="center" wrapText="1"/>
    </xf>
    <xf numFmtId="0" fontId="6" fillId="5" borderId="21" xfId="22" applyNumberFormat="1" applyFont="1" applyFill="1" applyBorder="1" applyAlignment="1">
      <alignment horizontal="center" vertical="center" wrapText="1"/>
    </xf>
    <xf numFmtId="0" fontId="6" fillId="5" borderId="58" xfId="22" applyNumberFormat="1" applyFont="1" applyFill="1" applyBorder="1" applyAlignment="1">
      <alignment horizontal="center" vertical="center" wrapText="1"/>
    </xf>
    <xf numFmtId="10" fontId="22" fillId="14" borderId="9" xfId="0" applyNumberFormat="1" applyFont="1" applyFill="1" applyBorder="1" applyAlignment="1">
      <alignment horizontal="center" vertical="center" wrapText="1"/>
    </xf>
    <xf numFmtId="10" fontId="22" fillId="14" borderId="31" xfId="0" applyNumberFormat="1" applyFont="1" applyFill="1" applyBorder="1" applyAlignment="1">
      <alignment horizontal="center" vertical="center" wrapText="1"/>
    </xf>
    <xf numFmtId="10" fontId="22" fillId="14" borderId="32" xfId="0" applyNumberFormat="1" applyFont="1" applyFill="1" applyBorder="1" applyAlignment="1">
      <alignment horizontal="center" vertical="center" wrapText="1"/>
    </xf>
    <xf numFmtId="0" fontId="12" fillId="8" borderId="9" xfId="0" applyFont="1" applyFill="1" applyBorder="1" applyAlignment="1" applyProtection="1">
      <alignment horizontal="center" vertical="center" wrapText="1"/>
      <protection locked="0"/>
    </xf>
    <xf numFmtId="0" fontId="12" fillId="8" borderId="32" xfId="0" applyFont="1" applyFill="1" applyBorder="1" applyAlignment="1" applyProtection="1">
      <alignment horizontal="center" vertical="center" wrapText="1"/>
      <protection locked="0"/>
    </xf>
    <xf numFmtId="0" fontId="38" fillId="20" borderId="9" xfId="28" applyBorder="1" applyAlignment="1">
      <alignment horizontal="center" vertical="center" wrapText="1"/>
    </xf>
    <xf numFmtId="0" fontId="38" fillId="20" borderId="32" xfId="28" applyBorder="1" applyAlignment="1">
      <alignment horizontal="center" vertical="center" wrapText="1"/>
    </xf>
    <xf numFmtId="0" fontId="57" fillId="0" borderId="0" xfId="26" applyFont="1" applyBorder="1" applyAlignment="1">
      <alignment horizontal="left" vertical="center" wrapText="1" indent="2"/>
    </xf>
    <xf numFmtId="0" fontId="58" fillId="0" borderId="0" xfId="58" applyFont="1" applyBorder="1" applyAlignment="1">
      <alignment horizontal="left" vertical="center" wrapText="1" indent="2"/>
    </xf>
  </cellXfs>
  <cellStyles count="69">
    <cellStyle name="20% - Accent1" xfId="1" builtinId="30"/>
    <cellStyle name="20% - Accent1 2" xfId="64"/>
    <cellStyle name="40% - Accent3" xfId="2" builtinId="39"/>
    <cellStyle name="40% - Accent3 2" xfId="65"/>
    <cellStyle name="40% - Accent4" xfId="3" builtinId="43"/>
    <cellStyle name="40% - Accent4 2" xfId="66"/>
    <cellStyle name="40% - Accent5" xfId="4" builtinId="47"/>
    <cellStyle name="40% - Accent5 2" xfId="67"/>
    <cellStyle name="40% - Accent6" xfId="5" builtinId="51"/>
    <cellStyle name="40% - Accent6 2" xfId="68"/>
    <cellStyle name="Calculation" xfId="6" builtinId="22" customBuiltin="1"/>
    <cellStyle name="Check Cell" xfId="7" builtinId="23" customBuiltin="1"/>
    <cellStyle name="entry" xfId="8"/>
    <cellStyle name="entry 2" xfId="9"/>
    <cellStyle name="entry 2 2" xfId="10"/>
    <cellStyle name="entry 3" xfId="11"/>
    <cellStyle name="entry 3 2" xfId="12"/>
    <cellStyle name="Heading 1" xfId="13" builtinId="16"/>
    <cellStyle name="Heading 4" xfId="14" builtinId="19"/>
    <cellStyle name="Hyperlink" xfId="15" builtinId="8"/>
    <cellStyle name="Hyperlink 2" xfId="16"/>
    <cellStyle name="Inconsistent style" xfId="17"/>
    <cellStyle name="Inconsistent style 2" xfId="18"/>
    <cellStyle name="Inconsistent style 2 2" xfId="19"/>
    <cellStyle name="Input" xfId="20" builtinId="20"/>
    <cellStyle name="NOK style" xfId="21"/>
    <cellStyle name="Normal" xfId="0" builtinId="0" customBuiltin="1"/>
    <cellStyle name="Normal 2" xfId="22"/>
    <cellStyle name="Normal 2 2" xfId="23"/>
    <cellStyle name="Normal 3" xfId="24"/>
    <cellStyle name="Normal 3 2" xfId="25"/>
    <cellStyle name="Normal 4" xfId="26"/>
    <cellStyle name="OK style" xfId="27"/>
    <cellStyle name="Output" xfId="28" builtinId="21" customBuiltin="1"/>
    <cellStyle name="para" xfId="29"/>
    <cellStyle name="para 2" xfId="30"/>
    <cellStyle name="Percent" xfId="31" builtinId="5"/>
    <cellStyle name="sect" xfId="32"/>
    <cellStyle name="sect1" xfId="33"/>
    <cellStyle name="sect2" xfId="34"/>
    <cellStyle name="sect3" xfId="35"/>
    <cellStyle name="sect4" xfId="36"/>
    <cellStyle name="sect4 2" xfId="37"/>
    <cellStyle name="sect4 2 2" xfId="38"/>
    <cellStyle name="sect5" xfId="39"/>
    <cellStyle name="sect5 2" xfId="40"/>
    <cellStyle name="sect5 2 2" xfId="41"/>
    <cellStyle name="sect6" xfId="42"/>
    <cellStyle name="sect6 2" xfId="43"/>
    <cellStyle name="sect6 2 2" xfId="44"/>
    <cellStyle name="sect7" xfId="45"/>
    <cellStyle name="sect7 2" xfId="46"/>
    <cellStyle name="sect7 2 2" xfId="47"/>
    <cellStyle name="sect8" xfId="48"/>
    <cellStyle name="sect8 2" xfId="49"/>
    <cellStyle name="sect8 2 2" xfId="50"/>
    <cellStyle name="sect9" xfId="51"/>
    <cellStyle name="sect9 2" xfId="52"/>
    <cellStyle name="sect9 2 2" xfId="53"/>
    <cellStyle name="tableTitle" xfId="54"/>
    <cellStyle name="Tested Previously" xfId="55"/>
    <cellStyle name="Title" xfId="56" builtinId="15"/>
    <cellStyle name="title 2" xfId="57"/>
    <cellStyle name="Warning Text" xfId="58" builtinId="11"/>
    <cellStyle name="Without format but centered" xfId="59"/>
    <cellStyle name="Without format but centered 2" xfId="60"/>
    <cellStyle name="Without format but centered 2 2" xfId="61"/>
    <cellStyle name="Without format but centered 3" xfId="62"/>
    <cellStyle name="Without format but centered 3 2" xfId="63"/>
  </cellStyles>
  <dxfs count="9">
    <dxf>
      <font>
        <b/>
        <i val="0"/>
        <color rgb="FFFF0000"/>
      </font>
    </dxf>
    <dxf>
      <font>
        <b/>
        <i val="0"/>
        <color rgb="FFFF0000"/>
      </font>
    </dxf>
    <dxf>
      <font>
        <b/>
        <i val="0"/>
        <color rgb="FFFF0000"/>
      </font>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00B050"/>
        </patternFill>
      </fill>
    </dxf>
    <dxf>
      <fill>
        <patternFill>
          <bgColor rgb="FF00B050"/>
        </patternFill>
      </fill>
    </dxf>
  </dxfs>
  <tableStyles count="0" defaultTableStyle="TableStyleMedium2" defaultPivotStyle="PivotStyleLight16"/>
  <colors>
    <mruColors>
      <color rgb="FFFFFFCC"/>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00B050"/>
              </a:solidFill>
            </c:spPr>
            <c:extLst xmlns:c16r2="http://schemas.microsoft.com/office/drawing/2015/06/chart">
              <c:ext xmlns:c16="http://schemas.microsoft.com/office/drawing/2014/chart" uri="{C3380CC4-5D6E-409C-BE32-E72D297353CC}">
                <c16:uniqueId val="{00000001-F0E8-43FA-99AC-3CD10EF73C98}"/>
              </c:ext>
            </c:extLst>
          </c:dPt>
          <c:dPt>
            <c:idx val="1"/>
            <c:bubble3D val="0"/>
            <c:spPr>
              <a:solidFill>
                <a:srgbClr val="00B0F0"/>
              </a:solidFill>
            </c:spPr>
            <c:extLst xmlns:c16r2="http://schemas.microsoft.com/office/drawing/2015/06/chart">
              <c:ext xmlns:c16="http://schemas.microsoft.com/office/drawing/2014/chart" uri="{C3380CC4-5D6E-409C-BE32-E72D297353CC}">
                <c16:uniqueId val="{00000003-F0E8-43FA-99AC-3CD10EF73C98}"/>
              </c:ext>
            </c:extLst>
          </c:dPt>
          <c:dPt>
            <c:idx val="2"/>
            <c:bubble3D val="0"/>
            <c:spPr>
              <a:solidFill>
                <a:srgbClr val="FF0000"/>
              </a:solidFill>
            </c:spPr>
            <c:extLst xmlns:c16r2="http://schemas.microsoft.com/office/drawing/2015/06/chart">
              <c:ext xmlns:c16="http://schemas.microsoft.com/office/drawing/2014/chart" uri="{C3380CC4-5D6E-409C-BE32-E72D297353CC}">
                <c16:uniqueId val="{00000005-F0E8-43FA-99AC-3CD10EF73C98}"/>
              </c:ext>
            </c:extLst>
          </c:dPt>
          <c:dPt>
            <c:idx val="3"/>
            <c:bubble3D val="0"/>
            <c:spPr>
              <a:solidFill>
                <a:srgbClr val="FFFF00"/>
              </a:solidFill>
            </c:spPr>
            <c:extLst xmlns:c16r2="http://schemas.microsoft.com/office/drawing/2015/06/chart">
              <c:ext xmlns:c16="http://schemas.microsoft.com/office/drawing/2014/chart" uri="{C3380CC4-5D6E-409C-BE32-E72D297353CC}">
                <c16:uniqueId val="{00000007-F0E8-43FA-99AC-3CD10EF73C98}"/>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15:layout/>
              </c:ext>
            </c:extLst>
          </c:dLbls>
          <c:cat>
            <c:strRef>
              <c:f>Statistics!$A$46:$A$49</c:f>
              <c:strCache>
                <c:ptCount val="4"/>
                <c:pt idx="0">
                  <c:v>Req tested OK</c:v>
                </c:pt>
                <c:pt idx="1">
                  <c:v>Req tested partially OK</c:v>
                </c:pt>
                <c:pt idx="2">
                  <c:v>Req tested NOK</c:v>
                </c:pt>
                <c:pt idx="3">
                  <c:v>Req not tested (no result and maybe no test specification)</c:v>
                </c:pt>
              </c:strCache>
            </c:strRef>
          </c:cat>
          <c:val>
            <c:numRef>
              <c:f>Statistics!$B$46:$B$49</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8-F0E8-43FA-99AC-3CD10EF73C98}"/>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7560966819446078"/>
          <c:y val="7.8338582677165355E-2"/>
          <c:w val="0.30936059858189369"/>
          <c:h val="0.79663713910761158"/>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Statistics!$A$27</c:f>
              <c:strCache>
                <c:ptCount val="1"/>
                <c:pt idx="0">
                  <c:v>SW Qualification WhiteBox tests progress</c:v>
                </c:pt>
              </c:strCache>
            </c:strRef>
          </c:tx>
          <c:spPr>
            <a:solidFill>
              <a:srgbClr val="00B0F0"/>
            </a:solidFill>
          </c:spPr>
          <c:dPt>
            <c:idx val="0"/>
            <c:bubble3D val="0"/>
            <c:spPr>
              <a:solidFill>
                <a:srgbClr val="00B050"/>
              </a:solidFill>
            </c:spPr>
            <c:extLst xmlns:c16r2="http://schemas.microsoft.com/office/drawing/2015/06/chart">
              <c:ext xmlns:c16="http://schemas.microsoft.com/office/drawing/2014/chart" uri="{C3380CC4-5D6E-409C-BE32-E72D297353CC}">
                <c16:uniqueId val="{00000001-9118-4477-B17A-30A3DA18C9CA}"/>
              </c:ext>
            </c:extLst>
          </c:dPt>
          <c:dPt>
            <c:idx val="1"/>
            <c:bubble3D val="0"/>
            <c:spPr>
              <a:solidFill>
                <a:srgbClr val="0070C0"/>
              </a:solidFill>
            </c:spPr>
            <c:extLst xmlns:c16r2="http://schemas.microsoft.com/office/drawing/2015/06/chart">
              <c:ext xmlns:c16="http://schemas.microsoft.com/office/drawing/2014/chart" uri="{C3380CC4-5D6E-409C-BE32-E72D297353CC}">
                <c16:uniqueId val="{00000003-9118-4477-B17A-30A3DA18C9CA}"/>
              </c:ext>
            </c:extLst>
          </c:dPt>
          <c:dPt>
            <c:idx val="2"/>
            <c:bubble3D val="0"/>
            <c:spPr>
              <a:solidFill>
                <a:schemeClr val="accent6">
                  <a:lumMod val="75000"/>
                </a:schemeClr>
              </a:solidFill>
            </c:spPr>
            <c:extLst xmlns:c16r2="http://schemas.microsoft.com/office/drawing/2015/06/chart">
              <c:ext xmlns:c16="http://schemas.microsoft.com/office/drawing/2014/chart" uri="{C3380CC4-5D6E-409C-BE32-E72D297353CC}">
                <c16:uniqueId val="{00000005-9118-4477-B17A-30A3DA18C9CA}"/>
              </c:ext>
            </c:extLst>
          </c:dPt>
          <c:dLbls>
            <c:dLbl>
              <c:idx val="0"/>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dLbl>
            <c:dLbl>
              <c:idx val="1"/>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dLbl>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15:layout/>
              </c:ext>
            </c:extLst>
          </c:dLbls>
          <c:cat>
            <c:strRef>
              <c:f>Statistics!$A$28:$A$30</c:f>
              <c:strCache>
                <c:ptCount val="3"/>
                <c:pt idx="0">
                  <c:v>Tested as planned (NOK or OK)</c:v>
                </c:pt>
                <c:pt idx="1">
                  <c:v>Not tested 
(i.e partially or not performed but test specification done)</c:v>
                </c:pt>
                <c:pt idx="2">
                  <c:v>Not tested and test specifications not available</c:v>
                </c:pt>
              </c:strCache>
            </c:strRef>
          </c:cat>
          <c:val>
            <c:numRef>
              <c:f>Statistics!$B$28:$B$30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9118-4477-B17A-30A3DA18C9C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752367597885885"/>
          <c:y val="3.6199259339157949E-2"/>
          <c:w val="0.33971437816848238"/>
          <c:h val="0.9115783985905872"/>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03766863550563"/>
          <c:y val="0.10669551041636678"/>
          <c:w val="0.31962434716971044"/>
          <c:h val="0.78660897916726646"/>
        </c:manualLayout>
      </c:layout>
      <c:pieChart>
        <c:varyColors val="1"/>
        <c:ser>
          <c:idx val="0"/>
          <c:order val="0"/>
          <c:tx>
            <c:strRef>
              <c:f>Statistics!$A$11</c:f>
              <c:strCache>
                <c:ptCount val="1"/>
                <c:pt idx="0">
                  <c:v>Requirements test plan</c:v>
                </c:pt>
              </c:strCache>
            </c:strRef>
          </c:tx>
          <c:dPt>
            <c:idx val="0"/>
            <c:bubble3D val="0"/>
            <c:spPr>
              <a:solidFill>
                <a:srgbClr val="00B0F0"/>
              </a:solidFill>
            </c:spPr>
            <c:extLst xmlns:c16r2="http://schemas.microsoft.com/office/drawing/2015/06/chart">
              <c:ext xmlns:c16="http://schemas.microsoft.com/office/drawing/2014/chart" uri="{C3380CC4-5D6E-409C-BE32-E72D297353CC}">
                <c16:uniqueId val="{00000001-4916-427C-83B7-3B0984AA9EE5}"/>
              </c:ext>
            </c:extLst>
          </c:dPt>
          <c:dPt>
            <c:idx val="1"/>
            <c:bubble3D val="0"/>
            <c:spPr>
              <a:solidFill>
                <a:srgbClr val="7030A0"/>
              </a:solidFill>
            </c:spPr>
            <c:extLst xmlns:c16r2="http://schemas.microsoft.com/office/drawing/2015/06/chart">
              <c:ext xmlns:c16="http://schemas.microsoft.com/office/drawing/2014/chart" uri="{C3380CC4-5D6E-409C-BE32-E72D297353CC}">
                <c16:uniqueId val="{00000003-4916-427C-83B7-3B0984AA9EE5}"/>
              </c:ext>
            </c:extLst>
          </c:dPt>
          <c:dPt>
            <c:idx val="2"/>
            <c:bubble3D val="0"/>
            <c:spPr>
              <a:solidFill>
                <a:srgbClr val="00B050"/>
              </a:solidFill>
            </c:spPr>
            <c:extLst xmlns:c16r2="http://schemas.microsoft.com/office/drawing/2015/06/chart">
              <c:ext xmlns:c16="http://schemas.microsoft.com/office/drawing/2014/chart" uri="{C3380CC4-5D6E-409C-BE32-E72D297353CC}">
                <c16:uniqueId val="{00000005-4916-427C-83B7-3B0984AA9EE5}"/>
              </c:ext>
            </c:extLst>
          </c:dPt>
          <c:dPt>
            <c:idx val="3"/>
            <c:bubble3D val="0"/>
            <c:spPr>
              <a:solidFill>
                <a:srgbClr val="FF0000"/>
              </a:solidFill>
            </c:spPr>
            <c:extLst xmlns:c16r2="http://schemas.microsoft.com/office/drawing/2015/06/chart">
              <c:ext xmlns:c16="http://schemas.microsoft.com/office/drawing/2014/chart" uri="{C3380CC4-5D6E-409C-BE32-E72D297353CC}">
                <c16:uniqueId val="{00000007-4916-427C-83B7-3B0984AA9EE5}"/>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15:layout/>
              </c:ext>
            </c:extLst>
          </c:dLbls>
          <c:cat>
            <c:strRef>
              <c:f>Statistics!$A$12:$A$15</c:f>
              <c:strCache>
                <c:ptCount val="4"/>
                <c:pt idx="0">
                  <c:v>To be tested by SW Qualification WhiteBox tests only</c:v>
                </c:pt>
                <c:pt idx="1">
                  <c:v>To be tested by SW Qualification BlackBox tests only</c:v>
                </c:pt>
                <c:pt idx="2">
                  <c:v>To be tested by both SW Qualification BlackBox and SW Qualification WhiteBox tests</c:v>
                </c:pt>
                <c:pt idx="3">
                  <c:v>Not planned to be tested </c:v>
                </c:pt>
              </c:strCache>
            </c:strRef>
          </c:cat>
          <c:val>
            <c:numRef>
              <c:f>Statistics!$B$12:$B$15</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8-4916-427C-83B7-3B0984AA9EE5}"/>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2292844541973238"/>
          <c:y val="5.4128644878294316E-2"/>
          <c:w val="0.33655307430833437"/>
          <c:h val="0.91986732822780715"/>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00B0F0"/>
            </a:solidFill>
          </c:spPr>
          <c:dPt>
            <c:idx val="0"/>
            <c:bubble3D val="0"/>
            <c:spPr>
              <a:solidFill>
                <a:srgbClr val="00B050"/>
              </a:solidFill>
            </c:spPr>
            <c:extLst xmlns:c16r2="http://schemas.microsoft.com/office/drawing/2015/06/chart">
              <c:ext xmlns:c16="http://schemas.microsoft.com/office/drawing/2014/chart" uri="{C3380CC4-5D6E-409C-BE32-E72D297353CC}">
                <c16:uniqueId val="{00000001-3858-4DA3-A917-589BAD73F605}"/>
              </c:ext>
            </c:extLst>
          </c:dPt>
          <c:dPt>
            <c:idx val="1"/>
            <c:bubble3D val="0"/>
            <c:spPr>
              <a:solidFill>
                <a:srgbClr val="0070C0"/>
              </a:solidFill>
            </c:spPr>
            <c:extLst xmlns:c16r2="http://schemas.microsoft.com/office/drawing/2015/06/chart">
              <c:ext xmlns:c16="http://schemas.microsoft.com/office/drawing/2014/chart" uri="{C3380CC4-5D6E-409C-BE32-E72D297353CC}">
                <c16:uniqueId val="{00000003-3858-4DA3-A917-589BAD73F605}"/>
              </c:ext>
            </c:extLst>
          </c:dPt>
          <c:dPt>
            <c:idx val="2"/>
            <c:bubble3D val="0"/>
            <c:spPr>
              <a:solidFill>
                <a:schemeClr val="accent6">
                  <a:lumMod val="75000"/>
                </a:schemeClr>
              </a:solidFill>
            </c:spPr>
            <c:extLst xmlns:c16r2="http://schemas.microsoft.com/office/drawing/2015/06/chart">
              <c:ext xmlns:c16="http://schemas.microsoft.com/office/drawing/2014/chart" uri="{C3380CC4-5D6E-409C-BE32-E72D297353CC}">
                <c16:uniqueId val="{00000005-3858-4DA3-A917-589BAD73F605}"/>
              </c:ext>
            </c:extLst>
          </c:dPt>
          <c:dLbls>
            <c:dLbl>
              <c:idx val="0"/>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dLbl>
            <c:dLbl>
              <c:idx val="1"/>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dLbl>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15:layout/>
              </c:ext>
            </c:extLst>
          </c:dLbls>
          <c:cat>
            <c:strRef>
              <c:f>Statistics!$A$34:$A$36</c:f>
              <c:strCache>
                <c:ptCount val="3"/>
                <c:pt idx="0">
                  <c:v>Tested as planned (NOK or OK)</c:v>
                </c:pt>
                <c:pt idx="1">
                  <c:v>Not tested 
(i.e partially or not performed but test specification done)</c:v>
                </c:pt>
                <c:pt idx="2">
                  <c:v>Not tested and test specifications not available</c:v>
                </c:pt>
              </c:strCache>
            </c:strRef>
          </c:cat>
          <c:val>
            <c:numRef>
              <c:f>Statistics!$B$34:$B$36</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3858-4DA3-A917-589BAD73F605}"/>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Statistics!$A$19:$A$20</c:f>
              <c:strCache>
                <c:ptCount val="2"/>
                <c:pt idx="0">
                  <c:v>Functional requirements</c:v>
                </c:pt>
                <c:pt idx="1">
                  <c:v>Non-functional requirements</c:v>
                </c:pt>
              </c:strCache>
            </c:strRef>
          </c:tx>
          <c:dPt>
            <c:idx val="0"/>
            <c:bubble3D val="0"/>
            <c:extLst xmlns:c16r2="http://schemas.microsoft.com/office/drawing/2015/06/chart">
              <c:ext xmlns:c16="http://schemas.microsoft.com/office/drawing/2014/chart" uri="{C3380CC4-5D6E-409C-BE32-E72D297353CC}">
                <c16:uniqueId val="{00000000-7589-4BF0-B906-A12E25BA5DEA}"/>
              </c:ext>
            </c:extLst>
          </c:dPt>
          <c:dPt>
            <c:idx val="1"/>
            <c:bubble3D val="0"/>
            <c:extLst xmlns:c16r2="http://schemas.microsoft.com/office/drawing/2015/06/chart">
              <c:ext xmlns:c16="http://schemas.microsoft.com/office/drawing/2014/chart" uri="{C3380CC4-5D6E-409C-BE32-E72D297353CC}">
                <c16:uniqueId val="{00000001-7589-4BF0-B906-A12E25BA5DEA}"/>
              </c:ext>
            </c:extLst>
          </c:dPt>
          <c:dLbls>
            <c:spPr>
              <a:noFill/>
              <a:ln w="25400">
                <a:noFill/>
              </a:ln>
            </c:spPr>
            <c:txPr>
              <a:bodyPr wrap="square" lIns="38100" tIns="19050" rIns="38100" bIns="19050" anchor="ctr">
                <a:spAutoFit/>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15:layout/>
              </c:ext>
            </c:extLst>
          </c:dLbls>
          <c:cat>
            <c:strRef>
              <c:f>Statistics!$A$19:$A$20</c:f>
              <c:strCache>
                <c:ptCount val="2"/>
                <c:pt idx="0">
                  <c:v>Functional requirements</c:v>
                </c:pt>
                <c:pt idx="1">
                  <c:v>Non-functional requirements</c:v>
                </c:pt>
              </c:strCache>
            </c:strRef>
          </c:cat>
          <c:val>
            <c:numRef>
              <c:f>Statistics!$B$19:$B$20</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2-7589-4BF0-B906-A12E25BA5DE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182994171183154"/>
          <c:y val="0.17028691619027073"/>
          <c:w val="0.29564781675017893"/>
          <c:h val="0.39826987380002155"/>
        </c:manualLayout>
      </c:layout>
      <c:overlay val="0"/>
      <c:txPr>
        <a:bodyPr/>
        <a:lstStyle/>
        <a:p>
          <a:pPr>
            <a:defRPr sz="59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alpha val="0"/>
      </a:schemeClr>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FF0000"/>
              </a:solidFill>
            </c:spPr>
            <c:extLst xmlns:c16r2="http://schemas.microsoft.com/office/drawing/2015/06/chart">
              <c:ext xmlns:c16="http://schemas.microsoft.com/office/drawing/2014/chart" uri="{C3380CC4-5D6E-409C-BE32-E72D297353CC}">
                <c16:uniqueId val="{00000001-4114-4FDD-930F-E5E3D746FA73}"/>
              </c:ext>
            </c:extLst>
          </c:dPt>
          <c:dPt>
            <c:idx val="1"/>
            <c:bubble3D val="0"/>
            <c:spPr>
              <a:solidFill>
                <a:schemeClr val="accent6">
                  <a:lumMod val="75000"/>
                </a:schemeClr>
              </a:solidFill>
              <a:ln>
                <a:solidFill>
                  <a:schemeClr val="accent1"/>
                </a:solidFill>
              </a:ln>
            </c:spPr>
            <c:extLst xmlns:c16r2="http://schemas.microsoft.com/office/drawing/2015/06/chart">
              <c:ext xmlns:c16="http://schemas.microsoft.com/office/drawing/2014/chart" uri="{C3380CC4-5D6E-409C-BE32-E72D297353CC}">
                <c16:uniqueId val="{00000003-4114-4FDD-930F-E5E3D746FA73}"/>
              </c:ext>
            </c:extLst>
          </c:dPt>
          <c:dPt>
            <c:idx val="2"/>
            <c:bubble3D val="0"/>
            <c:spPr>
              <a:solidFill>
                <a:schemeClr val="accent4">
                  <a:lumMod val="75000"/>
                </a:schemeClr>
              </a:solidFill>
            </c:spPr>
            <c:extLst xmlns:c16r2="http://schemas.microsoft.com/office/drawing/2015/06/chart">
              <c:ext xmlns:c16="http://schemas.microsoft.com/office/drawing/2014/chart" uri="{C3380CC4-5D6E-409C-BE32-E72D297353CC}">
                <c16:uniqueId val="{00000005-4114-4FDD-930F-E5E3D746FA73}"/>
              </c:ext>
            </c:extLst>
          </c:dPt>
          <c:dPt>
            <c:idx val="3"/>
            <c:bubble3D val="0"/>
            <c:spPr>
              <a:solidFill>
                <a:srgbClr val="0070C0"/>
              </a:solidFill>
            </c:spPr>
            <c:extLst xmlns:c16r2="http://schemas.microsoft.com/office/drawing/2015/06/chart">
              <c:ext xmlns:c16="http://schemas.microsoft.com/office/drawing/2014/chart" uri="{C3380CC4-5D6E-409C-BE32-E72D297353CC}">
                <c16:uniqueId val="{00000007-4114-4FDD-930F-E5E3D746FA73}"/>
              </c:ext>
            </c:extLst>
          </c:dPt>
          <c:dPt>
            <c:idx val="4"/>
            <c:bubble3D val="0"/>
            <c:spPr>
              <a:solidFill>
                <a:srgbClr val="00B050"/>
              </a:solidFill>
            </c:spPr>
            <c:extLst xmlns:c16r2="http://schemas.microsoft.com/office/drawing/2015/06/chart">
              <c:ext xmlns:c16="http://schemas.microsoft.com/office/drawing/2014/chart" uri="{C3380CC4-5D6E-409C-BE32-E72D297353CC}">
                <c16:uniqueId val="{00000009-4114-4FDD-930F-E5E3D746FA73}"/>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'Requirement Status'!$C$3:$G$3</c:f>
              <c:strCache>
                <c:ptCount val="5"/>
                <c:pt idx="0">
                  <c:v>Init</c:v>
                </c:pt>
                <c:pt idx="1">
                  <c:v>To be clarified or improved</c:v>
                </c:pt>
                <c:pt idx="2">
                  <c:v>In Review by Design Team</c:v>
                </c:pt>
                <c:pt idx="3">
                  <c:v>In Review by Test Team</c:v>
                </c:pt>
                <c:pt idx="4">
                  <c:v>Approved</c:v>
                </c:pt>
              </c:strCache>
            </c:strRef>
          </c:cat>
          <c:val>
            <c:numRef>
              <c:f>'Requirement Status'!$C$4:$G$4</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A-4114-4FDD-930F-E5E3D746FA73}"/>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313841917301318"/>
          <c:y val="0.12394595120054437"/>
          <c:w val="0.34030592487414479"/>
          <c:h val="0.53056945659570331"/>
        </c:manualLayout>
      </c:layout>
      <c:overlay val="0"/>
      <c:txPr>
        <a:bodyPr/>
        <a:lstStyle/>
        <a:p>
          <a:pPr>
            <a:defRPr sz="5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840" name="Picture 12">
          <a:extLst>
            <a:ext uri="{FF2B5EF4-FFF2-40B4-BE49-F238E27FC236}">
              <a16:creationId xmlns="" xmlns:a16="http://schemas.microsoft.com/office/drawing/2014/main" id="{00000000-0008-0000-0000-0000300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841" name="Picture 13">
          <a:extLst>
            <a:ext uri="{FF2B5EF4-FFF2-40B4-BE49-F238E27FC236}">
              <a16:creationId xmlns="" xmlns:a16="http://schemas.microsoft.com/office/drawing/2014/main" id="{00000000-0008-0000-0000-00003107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6195" name="Picture 1">
          <a:extLst>
            <a:ext uri="{FF2B5EF4-FFF2-40B4-BE49-F238E27FC236}">
              <a16:creationId xmlns="" xmlns:a16="http://schemas.microsoft.com/office/drawing/2014/main" id="{00000000-0008-0000-0100-0000433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6196" name="Picture 2">
          <a:extLst>
            <a:ext uri="{FF2B5EF4-FFF2-40B4-BE49-F238E27FC236}">
              <a16:creationId xmlns="" xmlns:a16="http://schemas.microsoft.com/office/drawing/2014/main" id="{00000000-0008-0000-0100-0000443F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1</xdr:row>
          <xdr:rowOff>9525</xdr:rowOff>
        </xdr:from>
        <xdr:to>
          <xdr:col>4</xdr:col>
          <xdr:colOff>676275</xdr:colOff>
          <xdr:row>1</xdr:row>
          <xdr:rowOff>361950</xdr:rowOff>
        </xdr:to>
        <xdr:sp macro="" textlink="">
          <xdr:nvSpPr>
            <xdr:cNvPr id="20481" name="UpdateStatisticsButton" hidden="1">
              <a:extLst>
                <a:ext uri="{63B3BB69-23CF-44E3-9099-C40C66FF867C}">
                  <a14:compatExt spid="_x0000_s20481"/>
                </a:ext>
                <a:ext uri="{FF2B5EF4-FFF2-40B4-BE49-F238E27FC236}">
                  <a16:creationId xmlns="" xmlns:a16="http://schemas.microsoft.com/office/drawing/2014/main" id="{00000000-0008-0000-0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xdr:row>
          <xdr:rowOff>9525</xdr:rowOff>
        </xdr:from>
        <xdr:to>
          <xdr:col>6</xdr:col>
          <xdr:colOff>800100</xdr:colOff>
          <xdr:row>1</xdr:row>
          <xdr:rowOff>361950</xdr:rowOff>
        </xdr:to>
        <xdr:sp macro="" textlink="">
          <xdr:nvSpPr>
            <xdr:cNvPr id="20482" name="ImportSRM" hidden="1">
              <a:extLst>
                <a:ext uri="{63B3BB69-23CF-44E3-9099-C40C66FF867C}">
                  <a14:compatExt spid="_x0000_s20482"/>
                </a:ext>
                <a:ext uri="{FF2B5EF4-FFF2-40B4-BE49-F238E27FC236}">
                  <a16:creationId xmlns=""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xdr:row>
          <xdr:rowOff>0</xdr:rowOff>
        </xdr:from>
        <xdr:to>
          <xdr:col>9</xdr:col>
          <xdr:colOff>66675</xdr:colOff>
          <xdr:row>1</xdr:row>
          <xdr:rowOff>342900</xdr:rowOff>
        </xdr:to>
        <xdr:sp macro="" textlink="">
          <xdr:nvSpPr>
            <xdr:cNvPr id="20483" name="Button 3" hidden="1">
              <a:extLst>
                <a:ext uri="{63B3BB69-23CF-44E3-9099-C40C66FF867C}">
                  <a14:compatExt spid="_x0000_s20483"/>
                </a:ext>
                <a:ext uri="{FF2B5EF4-FFF2-40B4-BE49-F238E27FC236}">
                  <a16:creationId xmlns=""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Generate Incomplete Req List</a:t>
              </a:r>
            </a:p>
          </xdr:txBody>
        </xdr:sp>
        <xdr:clientData fPrintsWithSheet="0"/>
      </xdr:twoCellAnchor>
    </mc:Choice>
    <mc:Fallback/>
  </mc:AlternateContent>
  <xdr:twoCellAnchor>
    <xdr:from>
      <xdr:col>3</xdr:col>
      <xdr:colOff>161925</xdr:colOff>
      <xdr:row>39</xdr:row>
      <xdr:rowOff>114300</xdr:rowOff>
    </xdr:from>
    <xdr:to>
      <xdr:col>10</xdr:col>
      <xdr:colOff>85725</xdr:colOff>
      <xdr:row>54</xdr:row>
      <xdr:rowOff>85725</xdr:rowOff>
    </xdr:to>
    <xdr:graphicFrame macro="">
      <xdr:nvGraphicFramePr>
        <xdr:cNvPr id="1243607" name="Chart 1">
          <a:extLst>
            <a:ext uri="{FF2B5EF4-FFF2-40B4-BE49-F238E27FC236}">
              <a16:creationId xmlns="" xmlns:a16="http://schemas.microsoft.com/office/drawing/2014/main" id="{00000000-0008-0000-0300-0000D7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142875</xdr:colOff>
      <xdr:row>27</xdr:row>
      <xdr:rowOff>57150</xdr:rowOff>
    </xdr:from>
    <xdr:to>
      <xdr:col>9</xdr:col>
      <xdr:colOff>752475</xdr:colOff>
      <xdr:row>36</xdr:row>
      <xdr:rowOff>152400</xdr:rowOff>
    </xdr:to>
    <xdr:graphicFrame macro="">
      <xdr:nvGraphicFramePr>
        <xdr:cNvPr id="1243608" name="Chart 7">
          <a:extLst>
            <a:ext uri="{FF2B5EF4-FFF2-40B4-BE49-F238E27FC236}">
              <a16:creationId xmlns="" xmlns:a16="http://schemas.microsoft.com/office/drawing/2014/main" id="{00000000-0008-0000-0300-0000D8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133350</xdr:colOff>
      <xdr:row>11</xdr:row>
      <xdr:rowOff>123825</xdr:rowOff>
    </xdr:from>
    <xdr:to>
      <xdr:col>9</xdr:col>
      <xdr:colOff>762000</xdr:colOff>
      <xdr:row>23</xdr:row>
      <xdr:rowOff>114300</xdr:rowOff>
    </xdr:to>
    <xdr:graphicFrame macro="">
      <xdr:nvGraphicFramePr>
        <xdr:cNvPr id="1243609" name="Chart 8">
          <a:extLst>
            <a:ext uri="{FF2B5EF4-FFF2-40B4-BE49-F238E27FC236}">
              <a16:creationId xmlns="" xmlns:a16="http://schemas.microsoft.com/office/drawing/2014/main" id="{00000000-0008-0000-0300-0000D9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27</xdr:row>
      <xdr:rowOff>133350</xdr:rowOff>
    </xdr:from>
    <xdr:to>
      <xdr:col>14</xdr:col>
      <xdr:colOff>180975</xdr:colOff>
      <xdr:row>37</xdr:row>
      <xdr:rowOff>38100</xdr:rowOff>
    </xdr:to>
    <xdr:graphicFrame macro="">
      <xdr:nvGraphicFramePr>
        <xdr:cNvPr id="1243610" name="Chart 7">
          <a:extLst>
            <a:ext uri="{FF2B5EF4-FFF2-40B4-BE49-F238E27FC236}">
              <a16:creationId xmlns="" xmlns:a16="http://schemas.microsoft.com/office/drawing/2014/main" id="{00000000-0008-0000-0300-0000DA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409575</xdr:colOff>
      <xdr:row>11</xdr:row>
      <xdr:rowOff>76200</xdr:rowOff>
    </xdr:from>
    <xdr:to>
      <xdr:col>15</xdr:col>
      <xdr:colOff>685800</xdr:colOff>
      <xdr:row>23</xdr:row>
      <xdr:rowOff>66675</xdr:rowOff>
    </xdr:to>
    <xdr:graphicFrame macro="">
      <xdr:nvGraphicFramePr>
        <xdr:cNvPr id="1243611" name="Chart 8">
          <a:extLst>
            <a:ext uri="{FF2B5EF4-FFF2-40B4-BE49-F238E27FC236}">
              <a16:creationId xmlns="" xmlns:a16="http://schemas.microsoft.com/office/drawing/2014/main" id="{00000000-0008-0000-0300-0000DBF9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352425</xdr:colOff>
          <xdr:row>1</xdr:row>
          <xdr:rowOff>0</xdr:rowOff>
        </xdr:from>
        <xdr:to>
          <xdr:col>10</xdr:col>
          <xdr:colOff>771525</xdr:colOff>
          <xdr:row>1</xdr:row>
          <xdr:rowOff>323850</xdr:rowOff>
        </xdr:to>
        <xdr:sp macro="" textlink="">
          <xdr:nvSpPr>
            <xdr:cNvPr id="1243195" name="Button 1083" hidden="1">
              <a:extLst>
                <a:ext uri="{63B3BB69-23CF-44E3-9099-C40C66FF867C}">
                  <a14:compatExt spid="_x0000_s1243195"/>
                </a:ext>
                <a:ext uri="{FF2B5EF4-FFF2-40B4-BE49-F238E27FC236}">
                  <a16:creationId xmlns="" xmlns:a16="http://schemas.microsoft.com/office/drawing/2014/main" id="{00000000-0008-0000-0300-00003BF8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Check NOK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171450</xdr:colOff>
      <xdr:row>1</xdr:row>
      <xdr:rowOff>180975</xdr:rowOff>
    </xdr:from>
    <xdr:to>
      <xdr:col>12</xdr:col>
      <xdr:colOff>180975</xdr:colOff>
      <xdr:row>3</xdr:row>
      <xdr:rowOff>66675</xdr:rowOff>
    </xdr:to>
    <xdr:graphicFrame macro="">
      <xdr:nvGraphicFramePr>
        <xdr:cNvPr id="22852" name="Chart 1">
          <a:extLst>
            <a:ext uri="{FF2B5EF4-FFF2-40B4-BE49-F238E27FC236}">
              <a16:creationId xmlns="" xmlns:a16="http://schemas.microsoft.com/office/drawing/2014/main" id="{00000000-0008-0000-0400-0000445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ata\MKS_Projects\RCM_RC7_Volvo_Y555\Project_Information\Coverage_Analysis\SRM_2010.08.09_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 Page"/>
      <sheetName val="Statistics"/>
      <sheetName val="Req Status"/>
      <sheetName val="PRO_Apply_System_Strategy"/>
      <sheetName val="PRO_Supply_Power_Component"/>
      <sheetName val="PRO_To_Manage_Reset"/>
      <sheetName val="PRO_Acquire_Kinematics_For_IMU"/>
      <sheetName val="PRO_Acquire_Kinematics_For_Rest"/>
      <sheetName val="PRO_Acquire_Occupant_State"/>
      <sheetName val="PRO_Calibrate_IMU"/>
      <sheetName val="PRO_Compute_System_Information"/>
      <sheetName val="PRO_ENS_Management"/>
      <sheetName val="PRO_Manage_Crash_Situation"/>
      <sheetName val="PRO_Manage_Int_Ext_Protocol"/>
      <sheetName val="PRO_Manage_Prog_Bootloader"/>
      <sheetName val="PRO_Protect_Fasten_Electronic"/>
      <sheetName val="PRO_Receive_Signals"/>
      <sheetName val="PRO_Transmit_IMU_Data"/>
      <sheetName val="PRO_Transmit_Signals"/>
      <sheetName val="PRO_Error_Handler"/>
      <sheetName val="PRO_Manage_CAN_Communication"/>
      <sheetName val="PRO_Check_Internal_Functions"/>
      <sheetName val="PRO_Car_Configuration"/>
      <sheetName val="PRO_Manage_Recording"/>
      <sheetName val="PRO_MCU"/>
      <sheetName val="PRO_OWS_Data_Management"/>
      <sheetName val="PRO_To_Drive_IL_Lamp_Output"/>
      <sheetName val="PRO_To_Manage_IL_Lamp"/>
      <sheetName val="PRO_RIL_Management"/>
      <sheetName val="PRO_Door_Slam_Manager"/>
      <sheetName val="PRO_Driver_Information_Manager"/>
      <sheetName val="PRO_ALIS_Y555"/>
      <sheetName val="PRO_DTC_Specification"/>
      <sheetName val="PRO_LISA2_RECS_Y555"/>
      <sheetName val="PRO_ALIS_1.X"/>
      <sheetName val="PRO_AROSA_2.7"/>
      <sheetName val="PRO_LISA2_REC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BH116"/>
  <sheetViews>
    <sheetView showGridLines="0" topLeftCell="A25" zoomScaleNormal="100" workbookViewId="0">
      <selection activeCell="E15" sqref="E15:AG15"/>
    </sheetView>
  </sheetViews>
  <sheetFormatPr defaultColWidth="0" defaultRowHeight="14.25" zeroHeight="1" x14ac:dyDescent="0.2"/>
  <cols>
    <col min="1" max="33" width="2.75" style="16" customWidth="1"/>
    <col min="34" max="34" width="1.25" style="16" customWidth="1"/>
    <col min="35" max="60" width="3.1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SRM_TR6_CheckUncoveredReqButton.xlsm</v>
      </c>
      <c r="AE3" s="8"/>
      <c r="AF3" s="8"/>
      <c r="AG3" s="8"/>
      <c r="AH3" s="8"/>
      <c r="AI3" s="8"/>
      <c r="AJ3" s="8"/>
      <c r="AK3" s="8"/>
    </row>
    <row r="4" spans="1:37" s="7" customFormat="1" ht="11.1" customHeight="1" x14ac:dyDescent="0.2">
      <c r="A4" s="299" t="s">
        <v>1</v>
      </c>
      <c r="B4" s="300"/>
      <c r="C4" s="300"/>
      <c r="D4" s="300"/>
      <c r="E4" s="300"/>
      <c r="F4" s="300"/>
      <c r="G4" s="300"/>
      <c r="H4" s="300"/>
      <c r="I4" s="300"/>
      <c r="J4" s="300"/>
      <c r="K4" s="300"/>
      <c r="L4" s="300"/>
      <c r="M4" s="300"/>
      <c r="N4" s="300"/>
      <c r="O4" s="300"/>
      <c r="P4" s="300"/>
      <c r="Q4" s="300"/>
      <c r="R4" s="300"/>
      <c r="S4" s="300"/>
      <c r="T4" s="300"/>
      <c r="U4" s="300"/>
      <c r="V4" s="301"/>
      <c r="W4" s="308" t="s">
        <v>2</v>
      </c>
      <c r="X4" s="309"/>
      <c r="Y4" s="309"/>
      <c r="Z4" s="309"/>
      <c r="AA4" s="310"/>
      <c r="AB4" s="302" t="s">
        <v>20</v>
      </c>
      <c r="AC4" s="303"/>
      <c r="AD4" s="303"/>
      <c r="AE4" s="303"/>
      <c r="AF4" s="303"/>
      <c r="AG4" s="304"/>
      <c r="AH4" s="10"/>
      <c r="AI4" s="10"/>
      <c r="AJ4" s="10"/>
      <c r="AK4" s="8"/>
    </row>
    <row r="5" spans="1:37" s="12" customFormat="1" ht="12.75" customHeight="1" x14ac:dyDescent="0.2">
      <c r="A5" s="305" t="s">
        <v>140</v>
      </c>
      <c r="B5" s="306"/>
      <c r="C5" s="306"/>
      <c r="D5" s="306"/>
      <c r="E5" s="306"/>
      <c r="F5" s="306"/>
      <c r="G5" s="306"/>
      <c r="H5" s="306"/>
      <c r="I5" s="306"/>
      <c r="J5" s="306"/>
      <c r="K5" s="306"/>
      <c r="L5" s="306"/>
      <c r="M5" s="306"/>
      <c r="N5" s="306"/>
      <c r="O5" s="306"/>
      <c r="P5" s="306"/>
      <c r="Q5" s="306"/>
      <c r="R5" s="306"/>
      <c r="S5" s="306"/>
      <c r="T5" s="306"/>
      <c r="U5" s="306"/>
      <c r="V5" s="307"/>
      <c r="W5" s="305" t="s">
        <v>140</v>
      </c>
      <c r="X5" s="306"/>
      <c r="Y5" s="306"/>
      <c r="Z5" s="306"/>
      <c r="AA5" s="307"/>
      <c r="AB5" s="305" t="s">
        <v>140</v>
      </c>
      <c r="AC5" s="306"/>
      <c r="AD5" s="306"/>
      <c r="AE5" s="306"/>
      <c r="AF5" s="306"/>
      <c r="AG5" s="307"/>
      <c r="AH5" s="11"/>
      <c r="AI5" s="11"/>
      <c r="AJ5" s="11"/>
      <c r="AK5" s="11"/>
    </row>
    <row r="6" spans="1:37" s="45" customFormat="1" ht="11.1" customHeight="1" x14ac:dyDescent="0.2">
      <c r="A6" s="308" t="s">
        <v>3</v>
      </c>
      <c r="B6" s="309"/>
      <c r="C6" s="309"/>
      <c r="D6" s="310"/>
      <c r="E6" s="308" t="s">
        <v>4</v>
      </c>
      <c r="F6" s="309"/>
      <c r="G6" s="309"/>
      <c r="H6" s="309"/>
      <c r="I6" s="309"/>
      <c r="J6" s="309"/>
      <c r="K6" s="309"/>
      <c r="L6" s="309"/>
      <c r="M6" s="309"/>
      <c r="N6" s="309"/>
      <c r="O6" s="309"/>
      <c r="P6" s="309"/>
      <c r="Q6" s="309"/>
      <c r="R6" s="309"/>
      <c r="S6" s="309"/>
      <c r="T6" s="309"/>
      <c r="U6" s="309"/>
      <c r="V6" s="310"/>
      <c r="W6" s="299" t="s">
        <v>15</v>
      </c>
      <c r="X6" s="300"/>
      <c r="Y6" s="300"/>
      <c r="Z6" s="300"/>
      <c r="AA6" s="301"/>
      <c r="AB6" s="308" t="s">
        <v>0</v>
      </c>
      <c r="AC6" s="309"/>
      <c r="AD6" s="310"/>
      <c r="AE6" s="308" t="s">
        <v>5</v>
      </c>
      <c r="AF6" s="309"/>
      <c r="AG6" s="310"/>
      <c r="AH6" s="44"/>
      <c r="AI6" s="44"/>
      <c r="AJ6" s="44"/>
      <c r="AK6" s="44"/>
    </row>
    <row r="7" spans="1:37" s="14" customFormat="1" ht="12.75" customHeight="1" x14ac:dyDescent="0.2">
      <c r="A7" s="305" t="s">
        <v>140</v>
      </c>
      <c r="B7" s="306"/>
      <c r="C7" s="306"/>
      <c r="D7" s="307"/>
      <c r="E7" s="305" t="s">
        <v>131</v>
      </c>
      <c r="F7" s="306"/>
      <c r="G7" s="306"/>
      <c r="H7" s="306"/>
      <c r="I7" s="306"/>
      <c r="J7" s="306"/>
      <c r="K7" s="306"/>
      <c r="L7" s="306"/>
      <c r="M7" s="306"/>
      <c r="N7" s="306"/>
      <c r="O7" s="306"/>
      <c r="P7" s="306"/>
      <c r="Q7" s="306"/>
      <c r="R7" s="306"/>
      <c r="S7" s="306"/>
      <c r="T7" s="306"/>
      <c r="U7" s="306"/>
      <c r="V7" s="307"/>
      <c r="W7" s="311" t="s">
        <v>164</v>
      </c>
      <c r="X7" s="306"/>
      <c r="Y7" s="306"/>
      <c r="Z7" s="306"/>
      <c r="AA7" s="307"/>
      <c r="AB7" s="305" t="s">
        <v>140</v>
      </c>
      <c r="AC7" s="306"/>
      <c r="AD7" s="307"/>
      <c r="AE7" s="305" t="s">
        <v>140</v>
      </c>
      <c r="AF7" s="306"/>
      <c r="AG7" s="307"/>
      <c r="AH7" s="13"/>
      <c r="AI7" s="13"/>
      <c r="AJ7" s="13"/>
      <c r="AK7" s="13"/>
    </row>
    <row r="8" spans="1:37" s="12" customFormat="1" ht="12.75"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312" t="s">
        <v>21</v>
      </c>
      <c r="B9" s="313"/>
      <c r="C9" s="313"/>
      <c r="D9" s="313"/>
      <c r="E9" s="313"/>
      <c r="F9" s="313"/>
      <c r="G9" s="313"/>
      <c r="H9" s="313"/>
      <c r="I9" s="313"/>
      <c r="J9" s="313"/>
      <c r="K9" s="314"/>
      <c r="L9" s="312" t="s">
        <v>22</v>
      </c>
      <c r="M9" s="313"/>
      <c r="N9" s="313"/>
      <c r="O9" s="313"/>
      <c r="P9" s="313"/>
      <c r="Q9" s="313"/>
      <c r="R9" s="313"/>
      <c r="S9" s="313"/>
      <c r="T9" s="313"/>
      <c r="U9" s="313"/>
      <c r="V9" s="314"/>
      <c r="W9" s="312" t="s">
        <v>23</v>
      </c>
      <c r="X9" s="313"/>
      <c r="Y9" s="313"/>
      <c r="Z9" s="313"/>
      <c r="AA9" s="313"/>
      <c r="AB9" s="313"/>
      <c r="AC9" s="313"/>
      <c r="AD9" s="313"/>
      <c r="AE9" s="313"/>
      <c r="AF9" s="313"/>
      <c r="AG9" s="314"/>
      <c r="AH9" s="15"/>
      <c r="AI9" s="15"/>
    </row>
    <row r="10" spans="1:37" s="49" customFormat="1" ht="28.5" customHeight="1" x14ac:dyDescent="0.2">
      <c r="A10" s="318" t="s">
        <v>36</v>
      </c>
      <c r="B10" s="319"/>
      <c r="C10" s="319"/>
      <c r="D10" s="319"/>
      <c r="E10" s="319"/>
      <c r="F10" s="316" t="s">
        <v>127</v>
      </c>
      <c r="G10" s="316"/>
      <c r="H10" s="316"/>
      <c r="I10" s="316"/>
      <c r="J10" s="316"/>
      <c r="K10" s="317"/>
      <c r="L10" s="339" t="s">
        <v>41</v>
      </c>
      <c r="M10" s="326"/>
      <c r="N10" s="326"/>
      <c r="O10" s="326"/>
      <c r="P10" s="326"/>
      <c r="Q10" s="326"/>
      <c r="R10" s="326"/>
      <c r="S10" s="326"/>
      <c r="T10" s="326"/>
      <c r="U10" s="326"/>
      <c r="V10" s="327"/>
      <c r="W10" s="325" t="s">
        <v>41</v>
      </c>
      <c r="X10" s="326"/>
      <c r="Y10" s="326"/>
      <c r="Z10" s="326"/>
      <c r="AA10" s="326"/>
      <c r="AB10" s="326"/>
      <c r="AC10" s="326"/>
      <c r="AD10" s="326"/>
      <c r="AE10" s="326"/>
      <c r="AF10" s="326"/>
      <c r="AG10" s="327"/>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336" t="s">
        <v>24</v>
      </c>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c r="AE12" s="337"/>
      <c r="AF12" s="337"/>
      <c r="AG12" s="338"/>
      <c r="AH12" s="15"/>
      <c r="AI12" s="15"/>
      <c r="AJ12" s="15"/>
      <c r="AK12" s="15"/>
    </row>
    <row r="13" spans="1:37" s="49" customFormat="1" ht="28.5" customHeight="1" x14ac:dyDescent="0.2">
      <c r="A13" s="322" t="s">
        <v>25</v>
      </c>
      <c r="B13" s="323"/>
      <c r="C13" s="323"/>
      <c r="D13" s="323"/>
      <c r="E13" s="323"/>
      <c r="F13" s="323"/>
      <c r="G13" s="323"/>
      <c r="H13" s="323"/>
      <c r="I13" s="323"/>
      <c r="J13" s="323"/>
      <c r="K13" s="324"/>
      <c r="L13" s="325" t="s">
        <v>26</v>
      </c>
      <c r="M13" s="326"/>
      <c r="N13" s="326"/>
      <c r="O13" s="326"/>
      <c r="P13" s="326"/>
      <c r="Q13" s="326"/>
      <c r="R13" s="326"/>
      <c r="S13" s="326"/>
      <c r="T13" s="326"/>
      <c r="U13" s="326"/>
      <c r="V13" s="327"/>
      <c r="W13" s="322" t="s">
        <v>27</v>
      </c>
      <c r="X13" s="323"/>
      <c r="Y13" s="323"/>
      <c r="Z13" s="323"/>
      <c r="AA13" s="323"/>
      <c r="AB13" s="323"/>
      <c r="AC13" s="323"/>
      <c r="AD13" s="323"/>
      <c r="AE13" s="323"/>
      <c r="AF13" s="323"/>
      <c r="AG13" s="324"/>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99.75" customHeight="1" x14ac:dyDescent="0.2">
      <c r="A15" s="320" t="s">
        <v>28</v>
      </c>
      <c r="B15" s="320"/>
      <c r="C15" s="320"/>
      <c r="D15" s="320"/>
      <c r="E15" s="333" t="s">
        <v>160</v>
      </c>
      <c r="F15" s="334"/>
      <c r="G15" s="334"/>
      <c r="H15" s="334"/>
      <c r="I15" s="334"/>
      <c r="J15" s="334"/>
      <c r="K15" s="334"/>
      <c r="L15" s="334"/>
      <c r="M15" s="334"/>
      <c r="N15" s="334"/>
      <c r="O15" s="334"/>
      <c r="P15" s="334"/>
      <c r="Q15" s="334"/>
      <c r="R15" s="334"/>
      <c r="S15" s="334"/>
      <c r="T15" s="334"/>
      <c r="U15" s="334"/>
      <c r="V15" s="334"/>
      <c r="W15" s="334"/>
      <c r="X15" s="334"/>
      <c r="Y15" s="334"/>
      <c r="Z15" s="334"/>
      <c r="AA15" s="334"/>
      <c r="AB15" s="334"/>
      <c r="AC15" s="334"/>
      <c r="AD15" s="334"/>
      <c r="AE15" s="334"/>
      <c r="AF15" s="334"/>
      <c r="AG15" s="335"/>
      <c r="AH15" s="17"/>
      <c r="AI15" s="17"/>
      <c r="AJ15" s="17"/>
      <c r="AK15" s="17"/>
    </row>
    <row r="16" spans="1:37" s="18" customFormat="1" ht="37.5" customHeight="1" x14ac:dyDescent="0.2">
      <c r="A16" s="321"/>
      <c r="B16" s="321"/>
      <c r="C16" s="321"/>
      <c r="D16" s="321"/>
      <c r="E16" s="328"/>
      <c r="F16" s="329"/>
      <c r="G16" s="329"/>
      <c r="H16" s="329"/>
      <c r="I16" s="329"/>
      <c r="J16" s="329"/>
      <c r="K16" s="329"/>
      <c r="L16" s="329"/>
      <c r="M16" s="329"/>
      <c r="N16" s="329"/>
      <c r="O16" s="329"/>
      <c r="P16" s="329"/>
      <c r="Q16" s="329"/>
      <c r="R16" s="329"/>
      <c r="S16" s="329"/>
      <c r="T16" s="329"/>
      <c r="U16" s="329"/>
      <c r="V16" s="329"/>
      <c r="W16" s="329"/>
      <c r="X16" s="329"/>
      <c r="Y16" s="329"/>
      <c r="Z16" s="329"/>
      <c r="AA16" s="329"/>
      <c r="AB16" s="329"/>
      <c r="AC16" s="329"/>
      <c r="AD16" s="329"/>
      <c r="AE16" s="329"/>
      <c r="AF16" s="329"/>
      <c r="AG16" s="330"/>
      <c r="AH16" s="17"/>
      <c r="AI16" s="17"/>
      <c r="AJ16" s="17"/>
      <c r="AK16" s="17"/>
    </row>
    <row r="17" spans="1:37" s="18" customFormat="1" ht="12.75"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ht="12.75"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ht="12.75"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ht="12.75"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26.25" customHeight="1" x14ac:dyDescent="0.2">
      <c r="A23" s="331" t="str">
        <f>MXTitle</f>
        <v>Software Requirements Matrix</v>
      </c>
      <c r="B23" s="332"/>
      <c r="C23" s="332"/>
      <c r="D23" s="332"/>
      <c r="E23" s="332"/>
      <c r="F23" s="332"/>
      <c r="G23" s="332"/>
      <c r="H23" s="332"/>
      <c r="I23" s="332"/>
      <c r="J23" s="332"/>
      <c r="K23" s="332"/>
      <c r="L23" s="332"/>
      <c r="M23" s="332"/>
      <c r="N23" s="332"/>
      <c r="O23" s="332"/>
      <c r="P23" s="332"/>
      <c r="Q23" s="332"/>
      <c r="R23" s="332"/>
      <c r="S23" s="332"/>
      <c r="T23" s="332"/>
      <c r="U23" s="332"/>
      <c r="V23" s="332"/>
      <c r="W23" s="332"/>
      <c r="X23" s="332"/>
      <c r="Y23" s="332"/>
      <c r="Z23" s="332"/>
      <c r="AA23" s="332"/>
      <c r="AB23" s="332"/>
      <c r="AC23" s="332"/>
      <c r="AD23" s="332"/>
      <c r="AE23" s="332"/>
      <c r="AF23" s="332"/>
      <c r="AG23" s="332"/>
      <c r="AH23" s="17"/>
      <c r="AI23" s="17"/>
      <c r="AJ23" s="17"/>
      <c r="AK23" s="17"/>
    </row>
    <row r="24" spans="1:37" s="86" customFormat="1" ht="26.25" x14ac:dyDescent="0.2">
      <c r="B24" s="83"/>
      <c r="C24" s="84"/>
      <c r="D24" s="84"/>
      <c r="E24" s="84"/>
      <c r="F24" s="84"/>
      <c r="G24" s="84"/>
      <c r="H24" s="84"/>
      <c r="I24" s="84"/>
      <c r="K24" s="85"/>
      <c r="L24" s="87" t="s">
        <v>91</v>
      </c>
      <c r="M24" s="89"/>
      <c r="N24" s="89"/>
      <c r="O24" s="315" t="s">
        <v>106</v>
      </c>
      <c r="P24" s="315"/>
      <c r="Q24" s="315"/>
      <c r="R24" s="315"/>
      <c r="S24" s="315"/>
      <c r="T24" s="315"/>
      <c r="U24" s="315"/>
      <c r="Z24" s="84"/>
      <c r="AA24" s="84"/>
      <c r="AB24" s="84"/>
      <c r="AC24" s="84"/>
      <c r="AD24" s="84"/>
      <c r="AE24" s="84"/>
      <c r="AF24" s="84"/>
      <c r="AG24" s="84"/>
      <c r="AH24" s="84"/>
      <c r="AI24" s="88"/>
      <c r="AJ24" s="88"/>
      <c r="AK24" s="88"/>
    </row>
    <row r="25" spans="1:37" s="18" customFormat="1" ht="12.75"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2">
    <mergeCell ref="W9:AG9"/>
    <mergeCell ref="O24:U24"/>
    <mergeCell ref="F10:K10"/>
    <mergeCell ref="A10:E10"/>
    <mergeCell ref="A15:D16"/>
    <mergeCell ref="A13:K13"/>
    <mergeCell ref="W13:AG13"/>
    <mergeCell ref="L13:V13"/>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7"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59999389629810485"/>
  </sheetPr>
  <dimension ref="A1:BH172"/>
  <sheetViews>
    <sheetView showGridLines="0" topLeftCell="A28" zoomScaleNormal="100" workbookViewId="0">
      <selection activeCell="G23" sqref="G23:AF23"/>
    </sheetView>
  </sheetViews>
  <sheetFormatPr defaultColWidth="0" defaultRowHeight="14.25" zeroHeight="1" x14ac:dyDescent="0.2"/>
  <cols>
    <col min="1" max="33" width="2.75" style="16" customWidth="1"/>
    <col min="34" max="34" width="1.25" style="16" customWidth="1"/>
    <col min="35" max="60" width="3.1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SRM_TR6_CheckUncoveredReqButton.xlsm</v>
      </c>
      <c r="AE3" s="8"/>
      <c r="AF3" s="8"/>
      <c r="AG3" s="8"/>
      <c r="AH3" s="8"/>
      <c r="AI3" s="8"/>
      <c r="AJ3" s="8"/>
      <c r="AK3" s="8"/>
    </row>
    <row r="4" spans="1:37" s="7" customFormat="1" ht="11.1" customHeight="1" x14ac:dyDescent="0.2">
      <c r="A4" s="363"/>
      <c r="B4" s="363"/>
      <c r="C4" s="363"/>
      <c r="D4" s="363"/>
      <c r="E4" s="363"/>
      <c r="F4" s="363"/>
      <c r="G4" s="363"/>
      <c r="H4" s="363"/>
      <c r="I4" s="363"/>
      <c r="J4" s="363"/>
      <c r="K4" s="363"/>
      <c r="L4" s="363"/>
      <c r="M4" s="363"/>
      <c r="N4" s="363"/>
      <c r="O4" s="363"/>
      <c r="P4" s="363"/>
      <c r="Q4" s="363"/>
      <c r="R4" s="363"/>
      <c r="S4" s="363"/>
      <c r="T4" s="363"/>
      <c r="U4" s="363"/>
      <c r="V4" s="363"/>
      <c r="W4" s="360"/>
      <c r="X4" s="360"/>
      <c r="Y4" s="360"/>
      <c r="Z4" s="360"/>
      <c r="AA4" s="360"/>
      <c r="AB4" s="358"/>
      <c r="AC4" s="358"/>
      <c r="AD4" s="358"/>
      <c r="AE4" s="358"/>
      <c r="AF4" s="358"/>
      <c r="AG4" s="358"/>
      <c r="AH4" s="10"/>
      <c r="AI4" s="10"/>
      <c r="AJ4" s="10"/>
      <c r="AK4" s="8"/>
    </row>
    <row r="5" spans="1:37" s="12" customFormat="1" ht="12.75" x14ac:dyDescent="0.2">
      <c r="A5" s="359"/>
      <c r="B5" s="359"/>
      <c r="C5" s="359"/>
      <c r="D5" s="359"/>
      <c r="E5" s="359"/>
      <c r="F5" s="359"/>
      <c r="G5" s="359"/>
      <c r="H5" s="359"/>
      <c r="I5" s="359"/>
      <c r="J5" s="359"/>
      <c r="K5" s="359"/>
      <c r="L5" s="359"/>
      <c r="M5" s="359"/>
      <c r="N5" s="359"/>
      <c r="O5" s="359"/>
      <c r="P5" s="359"/>
      <c r="Q5" s="359"/>
      <c r="R5" s="359"/>
      <c r="S5" s="359"/>
      <c r="T5" s="359"/>
      <c r="U5" s="359"/>
      <c r="V5" s="359"/>
      <c r="W5" s="361"/>
      <c r="X5" s="361"/>
      <c r="Y5" s="361"/>
      <c r="Z5" s="361"/>
      <c r="AA5" s="361"/>
      <c r="AB5" s="359"/>
      <c r="AC5" s="359"/>
      <c r="AD5" s="359"/>
      <c r="AE5" s="359"/>
      <c r="AF5" s="359"/>
      <c r="AG5" s="359"/>
      <c r="AH5" s="11"/>
      <c r="AI5" s="11"/>
      <c r="AJ5" s="11"/>
      <c r="AK5" s="11"/>
    </row>
    <row r="6" spans="1:37" s="7" customFormat="1" ht="11.1" customHeight="1" x14ac:dyDescent="0.2">
      <c r="A6" s="362"/>
      <c r="B6" s="362"/>
      <c r="C6" s="362"/>
      <c r="D6" s="362"/>
      <c r="E6" s="362"/>
      <c r="F6" s="362"/>
      <c r="G6" s="362"/>
      <c r="H6" s="362"/>
      <c r="I6" s="362"/>
      <c r="J6" s="362"/>
      <c r="K6" s="362"/>
      <c r="L6" s="362"/>
      <c r="M6" s="362"/>
      <c r="N6" s="362"/>
      <c r="O6" s="362"/>
      <c r="P6" s="362"/>
      <c r="Q6" s="362"/>
      <c r="R6" s="362"/>
      <c r="S6" s="362"/>
      <c r="T6" s="362"/>
      <c r="U6" s="362"/>
      <c r="V6" s="362"/>
      <c r="W6" s="363"/>
      <c r="X6" s="363"/>
      <c r="Y6" s="363"/>
      <c r="Z6" s="363"/>
      <c r="AA6" s="363"/>
      <c r="AB6" s="360"/>
      <c r="AC6" s="360"/>
      <c r="AD6" s="360"/>
      <c r="AE6" s="360"/>
      <c r="AF6" s="360"/>
      <c r="AG6" s="360"/>
      <c r="AH6" s="8"/>
      <c r="AI6" s="8"/>
      <c r="AJ6" s="8"/>
      <c r="AK6" s="8"/>
    </row>
    <row r="7" spans="1:37" s="12" customFormat="1" ht="12.75" x14ac:dyDescent="0.2">
      <c r="A7" s="361"/>
      <c r="B7" s="361"/>
      <c r="C7" s="361"/>
      <c r="D7" s="361"/>
      <c r="E7" s="361"/>
      <c r="F7" s="361"/>
      <c r="G7" s="361"/>
      <c r="H7" s="361"/>
      <c r="I7" s="361"/>
      <c r="J7" s="361"/>
      <c r="K7" s="361"/>
      <c r="L7" s="361"/>
      <c r="M7" s="361"/>
      <c r="N7" s="361"/>
      <c r="O7" s="361"/>
      <c r="P7" s="361"/>
      <c r="Q7" s="361"/>
      <c r="R7" s="361"/>
      <c r="S7" s="361"/>
      <c r="T7" s="361"/>
      <c r="U7" s="361"/>
      <c r="V7" s="361"/>
      <c r="W7" s="361"/>
      <c r="X7" s="361"/>
      <c r="Y7" s="361"/>
      <c r="Z7" s="361"/>
      <c r="AA7" s="361"/>
      <c r="AB7" s="361"/>
      <c r="AC7" s="361"/>
      <c r="AD7" s="361"/>
      <c r="AE7" s="361"/>
      <c r="AF7" s="361"/>
      <c r="AG7" s="361"/>
      <c r="AH7" s="11"/>
      <c r="AI7" s="11"/>
      <c r="AJ7" s="11"/>
      <c r="AK7" s="11"/>
    </row>
    <row r="8" spans="1:37" s="43" customFormat="1" ht="11.1" customHeight="1" x14ac:dyDescent="0.2">
      <c r="A8" s="362"/>
      <c r="B8" s="362"/>
      <c r="C8" s="362"/>
      <c r="D8" s="362"/>
      <c r="E8" s="362"/>
      <c r="F8" s="362"/>
      <c r="G8" s="362"/>
      <c r="H8" s="362"/>
      <c r="I8" s="362"/>
      <c r="J8" s="362"/>
      <c r="K8" s="362"/>
      <c r="L8" s="362"/>
      <c r="M8" s="362"/>
      <c r="N8" s="362"/>
      <c r="O8" s="362"/>
      <c r="P8" s="362"/>
      <c r="Q8" s="362"/>
      <c r="R8" s="362"/>
      <c r="S8" s="362"/>
      <c r="T8" s="362"/>
      <c r="U8" s="362"/>
      <c r="V8" s="362"/>
      <c r="W8" s="362"/>
      <c r="X8" s="362"/>
      <c r="Y8" s="362"/>
      <c r="Z8" s="362"/>
      <c r="AA8" s="362"/>
      <c r="AB8" s="362"/>
      <c r="AC8" s="362"/>
      <c r="AD8" s="362"/>
      <c r="AE8" s="362"/>
      <c r="AF8" s="362"/>
      <c r="AG8" s="362"/>
      <c r="AH8" s="226"/>
      <c r="AI8" s="226"/>
      <c r="AJ8" s="226"/>
      <c r="AK8" s="226"/>
    </row>
    <row r="9" spans="1:37" s="228" customFormat="1" ht="12.75" x14ac:dyDescent="0.2">
      <c r="A9" s="365"/>
      <c r="B9" s="365"/>
      <c r="C9" s="365"/>
      <c r="D9" s="365"/>
      <c r="E9" s="365"/>
      <c r="F9" s="365"/>
      <c r="G9" s="365"/>
      <c r="H9" s="365"/>
      <c r="I9" s="365"/>
      <c r="J9" s="365"/>
      <c r="K9" s="365"/>
      <c r="L9" s="365"/>
      <c r="M9" s="365"/>
      <c r="N9" s="365"/>
      <c r="O9" s="365"/>
      <c r="P9" s="365"/>
      <c r="Q9" s="365"/>
      <c r="R9" s="365"/>
      <c r="S9" s="365"/>
      <c r="T9" s="365"/>
      <c r="U9" s="365"/>
      <c r="V9" s="365"/>
      <c r="W9" s="365"/>
      <c r="X9" s="365"/>
      <c r="Y9" s="365"/>
      <c r="Z9" s="365"/>
      <c r="AA9" s="365"/>
      <c r="AB9" s="365"/>
      <c r="AC9" s="365"/>
      <c r="AD9" s="365"/>
      <c r="AE9" s="365"/>
      <c r="AF9" s="365"/>
      <c r="AG9" s="365"/>
      <c r="AH9" s="227"/>
      <c r="AI9" s="227"/>
      <c r="AJ9" s="227"/>
    </row>
    <row r="10" spans="1:37" x14ac:dyDescent="0.2"/>
    <row r="11" spans="1:37" x14ac:dyDescent="0.2"/>
    <row r="12" spans="1:37" ht="26.25" x14ac:dyDescent="0.2">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17</v>
      </c>
      <c r="C14" s="22"/>
    </row>
    <row r="15" spans="1:37" x14ac:dyDescent="0.2">
      <c r="B15" s="345" t="s">
        <v>7</v>
      </c>
      <c r="C15" s="364"/>
      <c r="D15" s="364"/>
      <c r="E15" s="364"/>
      <c r="F15" s="364"/>
      <c r="G15" s="345" t="s">
        <v>6</v>
      </c>
      <c r="H15" s="345"/>
      <c r="I15" s="345"/>
      <c r="J15" s="345"/>
      <c r="K15" s="345"/>
      <c r="L15" s="345"/>
      <c r="M15" s="345"/>
      <c r="N15" s="345"/>
      <c r="O15" s="345"/>
      <c r="P15" s="345"/>
      <c r="Q15" s="345"/>
      <c r="R15" s="345"/>
      <c r="S15" s="345"/>
      <c r="T15" s="345"/>
      <c r="U15" s="345"/>
      <c r="V15" s="345"/>
      <c r="W15" s="345"/>
      <c r="X15" s="345"/>
      <c r="Y15" s="345"/>
      <c r="Z15" s="345"/>
      <c r="AA15" s="345"/>
      <c r="AB15" s="345"/>
      <c r="AC15" s="345"/>
      <c r="AD15" s="345"/>
      <c r="AE15" s="345"/>
      <c r="AF15" s="345"/>
    </row>
    <row r="16" spans="1:37" ht="24" customHeight="1" x14ac:dyDescent="0.2">
      <c r="B16" s="354" t="s">
        <v>37</v>
      </c>
      <c r="C16" s="354"/>
      <c r="D16" s="354"/>
      <c r="E16" s="354"/>
      <c r="F16" s="354"/>
      <c r="G16" s="340" t="s">
        <v>40</v>
      </c>
      <c r="H16" s="340"/>
      <c r="I16" s="340"/>
      <c r="J16" s="340"/>
      <c r="K16" s="340"/>
      <c r="L16" s="340"/>
      <c r="M16" s="340"/>
      <c r="N16" s="340"/>
      <c r="O16" s="340"/>
      <c r="P16" s="340"/>
      <c r="Q16" s="340"/>
      <c r="R16" s="340"/>
      <c r="S16" s="340"/>
      <c r="T16" s="340"/>
      <c r="U16" s="340"/>
      <c r="V16" s="340"/>
      <c r="W16" s="340"/>
      <c r="X16" s="340"/>
      <c r="Y16" s="340"/>
      <c r="Z16" s="340"/>
      <c r="AA16" s="340"/>
      <c r="AB16" s="340"/>
      <c r="AC16" s="340"/>
      <c r="AD16" s="340"/>
      <c r="AE16" s="340"/>
      <c r="AF16" s="340"/>
    </row>
    <row r="17" spans="1:45" ht="24" customHeight="1" x14ac:dyDescent="0.2">
      <c r="B17" s="354" t="s">
        <v>38</v>
      </c>
      <c r="C17" s="354"/>
      <c r="D17" s="354"/>
      <c r="E17" s="354"/>
      <c r="F17" s="354"/>
      <c r="G17" s="340" t="s">
        <v>39</v>
      </c>
      <c r="H17" s="340"/>
      <c r="I17" s="340"/>
      <c r="J17" s="340"/>
      <c r="K17" s="340"/>
      <c r="L17" s="340"/>
      <c r="M17" s="340"/>
      <c r="N17" s="340"/>
      <c r="O17" s="340"/>
      <c r="P17" s="340"/>
      <c r="Q17" s="340"/>
      <c r="R17" s="340"/>
      <c r="S17" s="340"/>
      <c r="T17" s="340"/>
      <c r="U17" s="340"/>
      <c r="V17" s="340"/>
      <c r="W17" s="340"/>
      <c r="X17" s="340"/>
      <c r="Y17" s="340"/>
      <c r="Z17" s="340"/>
      <c r="AA17" s="340"/>
      <c r="AB17" s="340"/>
      <c r="AC17" s="340"/>
      <c r="AD17" s="340"/>
      <c r="AE17" s="340"/>
      <c r="AF17" s="340"/>
    </row>
    <row r="18" spans="1:45" ht="24" customHeight="1" x14ac:dyDescent="0.2">
      <c r="B18" s="354" t="s">
        <v>93</v>
      </c>
      <c r="C18" s="354"/>
      <c r="D18" s="354"/>
      <c r="E18" s="354"/>
      <c r="F18" s="354"/>
      <c r="G18" s="340" t="s">
        <v>98</v>
      </c>
      <c r="H18" s="340"/>
      <c r="I18" s="340"/>
      <c r="J18" s="340"/>
      <c r="K18" s="340"/>
      <c r="L18" s="340"/>
      <c r="M18" s="340"/>
      <c r="N18" s="340"/>
      <c r="O18" s="340"/>
      <c r="P18" s="340"/>
      <c r="Q18" s="340"/>
      <c r="R18" s="340"/>
      <c r="S18" s="340"/>
      <c r="T18" s="340"/>
      <c r="U18" s="340"/>
      <c r="V18" s="340"/>
      <c r="W18" s="340"/>
      <c r="X18" s="340"/>
      <c r="Y18" s="340"/>
      <c r="Z18" s="340"/>
      <c r="AA18" s="340"/>
      <c r="AB18" s="340"/>
      <c r="AC18" s="340"/>
      <c r="AD18" s="340"/>
      <c r="AE18" s="340"/>
      <c r="AF18" s="340"/>
    </row>
    <row r="19" spans="1:45" ht="24" customHeight="1" x14ac:dyDescent="0.2">
      <c r="B19" s="352" t="s">
        <v>99</v>
      </c>
      <c r="C19" s="352"/>
      <c r="D19" s="352"/>
      <c r="E19" s="352"/>
      <c r="F19" s="352"/>
      <c r="G19" s="353" t="s">
        <v>142</v>
      </c>
      <c r="H19" s="340"/>
      <c r="I19" s="340"/>
      <c r="J19" s="340"/>
      <c r="K19" s="340"/>
      <c r="L19" s="340"/>
      <c r="M19" s="340"/>
      <c r="N19" s="340"/>
      <c r="O19" s="340"/>
      <c r="P19" s="340"/>
      <c r="Q19" s="340"/>
      <c r="R19" s="340"/>
      <c r="S19" s="340"/>
      <c r="T19" s="340"/>
      <c r="U19" s="340"/>
      <c r="V19" s="340"/>
      <c r="W19" s="340"/>
      <c r="X19" s="340"/>
      <c r="Y19" s="340"/>
      <c r="Z19" s="340"/>
      <c r="AA19" s="340"/>
      <c r="AB19" s="340"/>
      <c r="AC19" s="340"/>
      <c r="AD19" s="340"/>
      <c r="AE19" s="340"/>
      <c r="AF19" s="340"/>
      <c r="AS19" s="23"/>
    </row>
    <row r="20" spans="1:45" ht="24" customHeight="1" x14ac:dyDescent="0.2">
      <c r="B20" s="366" t="s">
        <v>163</v>
      </c>
      <c r="C20" s="352"/>
      <c r="D20" s="352"/>
      <c r="E20" s="352"/>
      <c r="F20" s="352"/>
      <c r="G20" s="353" t="s">
        <v>143</v>
      </c>
      <c r="H20" s="340"/>
      <c r="I20" s="340"/>
      <c r="J20" s="340"/>
      <c r="K20" s="340"/>
      <c r="L20" s="340"/>
      <c r="M20" s="340"/>
      <c r="N20" s="340"/>
      <c r="O20" s="340"/>
      <c r="P20" s="340"/>
      <c r="Q20" s="340"/>
      <c r="R20" s="340"/>
      <c r="S20" s="340"/>
      <c r="T20" s="340"/>
      <c r="U20" s="340"/>
      <c r="V20" s="340"/>
      <c r="W20" s="340"/>
      <c r="X20" s="340"/>
      <c r="Y20" s="340"/>
      <c r="Z20" s="340"/>
      <c r="AA20" s="340"/>
      <c r="AB20" s="340"/>
      <c r="AC20" s="340"/>
      <c r="AD20" s="340"/>
      <c r="AE20" s="340"/>
      <c r="AF20" s="340"/>
      <c r="AS20" s="23"/>
    </row>
    <row r="21" spans="1:45" ht="24" customHeight="1" x14ac:dyDescent="0.2">
      <c r="B21" s="352" t="s">
        <v>94</v>
      </c>
      <c r="C21" s="352"/>
      <c r="D21" s="352"/>
      <c r="E21" s="352"/>
      <c r="F21" s="352"/>
      <c r="G21" s="353" t="s">
        <v>182</v>
      </c>
      <c r="H21" s="340"/>
      <c r="I21" s="340"/>
      <c r="J21" s="340"/>
      <c r="K21" s="340"/>
      <c r="L21" s="340"/>
      <c r="M21" s="340"/>
      <c r="N21" s="340"/>
      <c r="O21" s="340"/>
      <c r="P21" s="340"/>
      <c r="Q21" s="340"/>
      <c r="R21" s="340"/>
      <c r="S21" s="340"/>
      <c r="T21" s="340"/>
      <c r="U21" s="340"/>
      <c r="V21" s="340"/>
      <c r="W21" s="340"/>
      <c r="X21" s="340"/>
      <c r="Y21" s="340"/>
      <c r="Z21" s="340"/>
      <c r="AA21" s="340"/>
      <c r="AB21" s="340"/>
      <c r="AC21" s="340"/>
      <c r="AD21" s="340"/>
      <c r="AE21" s="340"/>
      <c r="AF21" s="340"/>
      <c r="AS21" s="23"/>
    </row>
    <row r="22" spans="1:45" ht="24" customHeight="1" x14ac:dyDescent="0.2">
      <c r="B22" s="354" t="s">
        <v>95</v>
      </c>
      <c r="C22" s="354"/>
      <c r="D22" s="354"/>
      <c r="E22" s="354"/>
      <c r="F22" s="354"/>
      <c r="G22" s="340" t="s">
        <v>100</v>
      </c>
      <c r="H22" s="340"/>
      <c r="I22" s="340"/>
      <c r="J22" s="340"/>
      <c r="K22" s="340"/>
      <c r="L22" s="340"/>
      <c r="M22" s="340"/>
      <c r="N22" s="340"/>
      <c r="O22" s="340"/>
      <c r="P22" s="340"/>
      <c r="Q22" s="340"/>
      <c r="R22" s="340"/>
      <c r="S22" s="340"/>
      <c r="T22" s="340"/>
      <c r="U22" s="340"/>
      <c r="V22" s="340"/>
      <c r="W22" s="340"/>
      <c r="X22" s="340"/>
      <c r="Y22" s="340"/>
      <c r="Z22" s="340"/>
      <c r="AA22" s="340"/>
      <c r="AB22" s="340"/>
      <c r="AC22" s="340"/>
      <c r="AD22" s="340"/>
      <c r="AE22" s="340"/>
      <c r="AF22" s="340"/>
      <c r="AS22" s="23"/>
    </row>
    <row r="23" spans="1:45" ht="24" customHeight="1" x14ac:dyDescent="0.2">
      <c r="B23" s="352" t="s">
        <v>96</v>
      </c>
      <c r="C23" s="352"/>
      <c r="D23" s="352"/>
      <c r="E23" s="352"/>
      <c r="F23" s="352"/>
      <c r="G23" s="340" t="s">
        <v>97</v>
      </c>
      <c r="H23" s="340"/>
      <c r="I23" s="340"/>
      <c r="J23" s="340"/>
      <c r="K23" s="340"/>
      <c r="L23" s="340"/>
      <c r="M23" s="340"/>
      <c r="N23" s="340"/>
      <c r="O23" s="340"/>
      <c r="P23" s="340"/>
      <c r="Q23" s="340"/>
      <c r="R23" s="340"/>
      <c r="S23" s="340"/>
      <c r="T23" s="340"/>
      <c r="U23" s="340"/>
      <c r="V23" s="340"/>
      <c r="W23" s="340"/>
      <c r="X23" s="340"/>
      <c r="Y23" s="340"/>
      <c r="Z23" s="340"/>
      <c r="AA23" s="340"/>
      <c r="AB23" s="340"/>
      <c r="AC23" s="340"/>
      <c r="AD23" s="340"/>
      <c r="AE23" s="340"/>
      <c r="AF23" s="340"/>
      <c r="AS23" s="23"/>
    </row>
    <row r="24" spans="1:45" x14ac:dyDescent="0.2">
      <c r="C24" s="24"/>
      <c r="I24" s="25"/>
    </row>
    <row r="25" spans="1:45" ht="20.25" x14ac:dyDescent="0.2">
      <c r="A25" s="21"/>
      <c r="B25" s="21" t="s">
        <v>30</v>
      </c>
      <c r="C25" s="24"/>
      <c r="I25" s="25"/>
    </row>
    <row r="26" spans="1:45" x14ac:dyDescent="0.2">
      <c r="B26" s="345" t="s">
        <v>0</v>
      </c>
      <c r="C26" s="357"/>
      <c r="D26" s="357"/>
      <c r="E26" s="345" t="s">
        <v>11</v>
      </c>
      <c r="F26" s="345"/>
      <c r="G26" s="345"/>
      <c r="H26" s="345"/>
      <c r="I26" s="345" t="s">
        <v>12</v>
      </c>
      <c r="J26" s="357"/>
      <c r="K26" s="357"/>
      <c r="L26" s="357"/>
      <c r="M26" s="357"/>
      <c r="N26" s="357"/>
      <c r="O26" s="357"/>
      <c r="P26" s="357"/>
      <c r="Q26" s="357"/>
      <c r="R26" s="345" t="s">
        <v>13</v>
      </c>
      <c r="S26" s="345"/>
      <c r="T26" s="345"/>
      <c r="U26" s="345"/>
      <c r="V26" s="345"/>
      <c r="W26" s="345"/>
      <c r="X26" s="345"/>
      <c r="Y26" s="345"/>
      <c r="Z26" s="345"/>
      <c r="AA26" s="345"/>
      <c r="AB26" s="345"/>
      <c r="AC26" s="345"/>
      <c r="AD26" s="345"/>
      <c r="AE26" s="345"/>
      <c r="AF26" s="345"/>
    </row>
    <row r="27" spans="1:45" x14ac:dyDescent="0.2">
      <c r="B27" s="352"/>
      <c r="C27" s="355"/>
      <c r="D27" s="355"/>
      <c r="E27" s="340"/>
      <c r="F27" s="340"/>
      <c r="G27" s="340"/>
      <c r="H27" s="340"/>
      <c r="I27" s="340" t="s">
        <v>14</v>
      </c>
      <c r="J27" s="356"/>
      <c r="K27" s="356"/>
      <c r="L27" s="356"/>
      <c r="M27" s="356"/>
      <c r="N27" s="356"/>
      <c r="O27" s="356"/>
      <c r="P27" s="356"/>
      <c r="Q27" s="356"/>
      <c r="R27" s="340"/>
      <c r="S27" s="340"/>
      <c r="T27" s="340"/>
      <c r="U27" s="340"/>
      <c r="V27" s="340"/>
      <c r="W27" s="340"/>
      <c r="X27" s="340"/>
      <c r="Y27" s="340"/>
      <c r="Z27" s="340"/>
      <c r="AA27" s="340"/>
      <c r="AB27" s="340"/>
      <c r="AC27" s="340"/>
      <c r="AD27" s="340"/>
      <c r="AE27" s="340"/>
      <c r="AF27" s="340"/>
    </row>
    <row r="28" spans="1:45" x14ac:dyDescent="0.2">
      <c r="B28" s="352"/>
      <c r="C28" s="355"/>
      <c r="D28" s="355"/>
      <c r="E28" s="340"/>
      <c r="F28" s="340"/>
      <c r="G28" s="340"/>
      <c r="H28" s="340"/>
      <c r="I28" s="340"/>
      <c r="J28" s="356"/>
      <c r="K28" s="356"/>
      <c r="L28" s="356"/>
      <c r="M28" s="356"/>
      <c r="N28" s="356"/>
      <c r="O28" s="356"/>
      <c r="P28" s="356"/>
      <c r="Q28" s="356"/>
      <c r="R28" s="340"/>
      <c r="S28" s="340"/>
      <c r="T28" s="340"/>
      <c r="U28" s="340"/>
      <c r="V28" s="340"/>
      <c r="W28" s="340"/>
      <c r="X28" s="340"/>
      <c r="Y28" s="340"/>
      <c r="Z28" s="340"/>
      <c r="AA28" s="340"/>
      <c r="AB28" s="340"/>
      <c r="AC28" s="340"/>
      <c r="AD28" s="340"/>
      <c r="AE28" s="340"/>
      <c r="AF28" s="340"/>
    </row>
    <row r="29" spans="1:45" x14ac:dyDescent="0.2">
      <c r="B29" s="352"/>
      <c r="C29" s="355"/>
      <c r="D29" s="355"/>
      <c r="E29" s="340"/>
      <c r="F29" s="340"/>
      <c r="G29" s="340"/>
      <c r="H29" s="340"/>
      <c r="I29" s="340"/>
      <c r="J29" s="356"/>
      <c r="K29" s="356"/>
      <c r="L29" s="356"/>
      <c r="M29" s="356"/>
      <c r="N29" s="356"/>
      <c r="O29" s="356"/>
      <c r="P29" s="356"/>
      <c r="Q29" s="356"/>
      <c r="R29" s="340"/>
      <c r="S29" s="340"/>
      <c r="T29" s="340"/>
      <c r="U29" s="340"/>
      <c r="V29" s="340"/>
      <c r="W29" s="340"/>
      <c r="X29" s="340"/>
      <c r="Y29" s="340"/>
      <c r="Z29" s="340"/>
      <c r="AA29" s="340"/>
      <c r="AB29" s="340"/>
      <c r="AC29" s="340"/>
      <c r="AD29" s="340"/>
      <c r="AE29" s="340"/>
      <c r="AF29" s="340"/>
    </row>
    <row r="30" spans="1:45" x14ac:dyDescent="0.2">
      <c r="B30" s="352"/>
      <c r="C30" s="355"/>
      <c r="D30" s="355"/>
      <c r="E30" s="340"/>
      <c r="F30" s="340"/>
      <c r="G30" s="340"/>
      <c r="H30" s="340"/>
      <c r="I30" s="340"/>
      <c r="J30" s="356"/>
      <c r="K30" s="356"/>
      <c r="L30" s="356"/>
      <c r="M30" s="356"/>
      <c r="N30" s="356"/>
      <c r="O30" s="356"/>
      <c r="P30" s="356"/>
      <c r="Q30" s="356"/>
      <c r="R30" s="340"/>
      <c r="S30" s="340"/>
      <c r="T30" s="340"/>
      <c r="U30" s="340"/>
      <c r="V30" s="340"/>
      <c r="W30" s="340"/>
      <c r="X30" s="340"/>
      <c r="Y30" s="340"/>
      <c r="Z30" s="340"/>
      <c r="AA30" s="340"/>
      <c r="AB30" s="340"/>
      <c r="AC30" s="340"/>
      <c r="AD30" s="340"/>
      <c r="AE30" s="340"/>
      <c r="AF30" s="340"/>
    </row>
    <row r="31" spans="1:45" x14ac:dyDescent="0.2">
      <c r="B31" s="26" t="s">
        <v>29</v>
      </c>
      <c r="C31" s="27"/>
      <c r="D31" s="27"/>
      <c r="E31" s="28"/>
      <c r="F31" s="28"/>
      <c r="G31" s="28"/>
      <c r="H31" s="28"/>
      <c r="I31" s="28"/>
      <c r="J31" s="29"/>
      <c r="K31" s="29"/>
      <c r="L31" s="29"/>
      <c r="M31" s="29"/>
      <c r="N31" s="29"/>
      <c r="O31" s="29"/>
      <c r="P31" s="29"/>
      <c r="Q31" s="29"/>
      <c r="R31" s="28"/>
      <c r="S31" s="28"/>
      <c r="T31" s="28"/>
      <c r="U31" s="28"/>
      <c r="V31" s="28"/>
      <c r="W31" s="28"/>
      <c r="X31" s="28"/>
      <c r="Y31" s="28"/>
      <c r="Z31" s="28"/>
      <c r="AA31" s="28"/>
      <c r="AB31" s="28"/>
      <c r="AC31" s="28"/>
      <c r="AD31" s="28"/>
      <c r="AE31" s="28"/>
      <c r="AF31" s="28"/>
    </row>
    <row r="32" spans="1:45" x14ac:dyDescent="0.2">
      <c r="C32" s="24"/>
      <c r="I32" s="25"/>
    </row>
    <row r="33" spans="2:33" ht="20.25" x14ac:dyDescent="0.2">
      <c r="B33" s="21" t="s">
        <v>18</v>
      </c>
      <c r="I33" s="25"/>
    </row>
    <row r="34" spans="2:33" ht="21.75" customHeight="1" x14ac:dyDescent="0.2">
      <c r="B34" s="367" t="s">
        <v>92</v>
      </c>
      <c r="C34" s="367"/>
      <c r="D34" s="367"/>
      <c r="E34" s="367"/>
      <c r="F34" s="367"/>
      <c r="G34" s="367"/>
      <c r="H34" s="367"/>
      <c r="I34" s="367"/>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0"/>
    </row>
    <row r="35" spans="2:33" x14ac:dyDescent="0.2">
      <c r="J35" s="31"/>
    </row>
    <row r="36" spans="2:33" ht="20.25" x14ac:dyDescent="0.2">
      <c r="B36" s="21" t="s">
        <v>19</v>
      </c>
      <c r="C36" s="22"/>
      <c r="I36" s="25"/>
    </row>
    <row r="37" spans="2:33" ht="24.75" customHeight="1" x14ac:dyDescent="0.2">
      <c r="B37" s="32" t="s">
        <v>31</v>
      </c>
      <c r="C37" s="22"/>
      <c r="I37" s="25"/>
    </row>
    <row r="38" spans="2:33" ht="12.75" customHeight="1" x14ac:dyDescent="0.2">
      <c r="B38" s="345" t="s">
        <v>8</v>
      </c>
      <c r="C38" s="345"/>
      <c r="D38" s="345"/>
      <c r="E38" s="345" t="s">
        <v>9</v>
      </c>
      <c r="F38" s="357"/>
      <c r="G38" s="357"/>
      <c r="H38" s="357"/>
      <c r="I38" s="357"/>
      <c r="J38" s="357"/>
      <c r="K38" s="357"/>
      <c r="L38" s="357"/>
      <c r="M38" s="357"/>
      <c r="N38" s="357"/>
      <c r="O38" s="357"/>
      <c r="P38" s="357"/>
      <c r="Q38" s="357"/>
      <c r="R38" s="357"/>
      <c r="S38" s="357"/>
      <c r="T38" s="357"/>
      <c r="U38" s="357"/>
      <c r="V38" s="357"/>
      <c r="W38" s="357"/>
      <c r="X38" s="357"/>
      <c r="Y38" s="345" t="s">
        <v>10</v>
      </c>
      <c r="Z38" s="345"/>
      <c r="AA38" s="345"/>
      <c r="AB38" s="345"/>
      <c r="AC38" s="345"/>
      <c r="AD38" s="345"/>
      <c r="AE38" s="345"/>
      <c r="AF38" s="345"/>
    </row>
    <row r="39" spans="2:33" x14ac:dyDescent="0.2">
      <c r="B39" s="346"/>
      <c r="C39" s="346"/>
      <c r="D39" s="346"/>
      <c r="E39" s="340"/>
      <c r="F39" s="341"/>
      <c r="G39" s="341"/>
      <c r="H39" s="341"/>
      <c r="I39" s="341"/>
      <c r="J39" s="341"/>
      <c r="K39" s="341"/>
      <c r="L39" s="341"/>
      <c r="M39" s="341"/>
      <c r="N39" s="341"/>
      <c r="O39" s="341"/>
      <c r="P39" s="341"/>
      <c r="Q39" s="341"/>
      <c r="R39" s="341"/>
      <c r="S39" s="341"/>
      <c r="T39" s="341"/>
      <c r="U39" s="341"/>
      <c r="V39" s="341"/>
      <c r="W39" s="341"/>
      <c r="X39" s="341"/>
      <c r="Y39" s="340"/>
      <c r="Z39" s="341"/>
      <c r="AA39" s="341"/>
      <c r="AB39" s="341"/>
      <c r="AC39" s="341"/>
      <c r="AD39" s="341"/>
      <c r="AE39" s="341"/>
      <c r="AF39" s="341"/>
    </row>
    <row r="40" spans="2:33" x14ac:dyDescent="0.2">
      <c r="B40" s="346"/>
      <c r="C40" s="346"/>
      <c r="D40" s="346"/>
      <c r="E40" s="340"/>
      <c r="F40" s="341"/>
      <c r="G40" s="341"/>
      <c r="H40" s="341"/>
      <c r="I40" s="341"/>
      <c r="J40" s="341"/>
      <c r="K40" s="341"/>
      <c r="L40" s="341"/>
      <c r="M40" s="341"/>
      <c r="N40" s="341"/>
      <c r="O40" s="341"/>
      <c r="P40" s="341"/>
      <c r="Q40" s="341"/>
      <c r="R40" s="341"/>
      <c r="S40" s="341"/>
      <c r="T40" s="341"/>
      <c r="U40" s="341"/>
      <c r="V40" s="341"/>
      <c r="W40" s="341"/>
      <c r="X40" s="341"/>
      <c r="Y40" s="340"/>
      <c r="Z40" s="341"/>
      <c r="AA40" s="341"/>
      <c r="AB40" s="341"/>
      <c r="AC40" s="341"/>
      <c r="AD40" s="341"/>
      <c r="AE40" s="341"/>
      <c r="AF40" s="341"/>
    </row>
    <row r="41" spans="2:33" x14ac:dyDescent="0.2">
      <c r="B41" s="346"/>
      <c r="C41" s="346"/>
      <c r="D41" s="346"/>
      <c r="E41" s="340"/>
      <c r="F41" s="341"/>
      <c r="G41" s="341"/>
      <c r="H41" s="341"/>
      <c r="I41" s="341"/>
      <c r="J41" s="341"/>
      <c r="K41" s="341"/>
      <c r="L41" s="341"/>
      <c r="M41" s="341"/>
      <c r="N41" s="341"/>
      <c r="O41" s="341"/>
      <c r="P41" s="341"/>
      <c r="Q41" s="341"/>
      <c r="R41" s="341"/>
      <c r="S41" s="341"/>
      <c r="T41" s="341"/>
      <c r="U41" s="341"/>
      <c r="V41" s="341"/>
      <c r="W41" s="341"/>
      <c r="X41" s="341"/>
      <c r="Y41" s="340"/>
      <c r="Z41" s="341"/>
      <c r="AA41" s="341"/>
      <c r="AB41" s="341"/>
      <c r="AC41" s="341"/>
      <c r="AD41" s="341"/>
      <c r="AE41" s="341"/>
      <c r="AF41" s="341"/>
    </row>
    <row r="42" spans="2:33" x14ac:dyDescent="0.2">
      <c r="B42" s="346"/>
      <c r="C42" s="346"/>
      <c r="D42" s="346"/>
      <c r="E42" s="340"/>
      <c r="F42" s="341"/>
      <c r="G42" s="341"/>
      <c r="H42" s="341"/>
      <c r="I42" s="341"/>
      <c r="J42" s="341"/>
      <c r="K42" s="341"/>
      <c r="L42" s="341"/>
      <c r="M42" s="341"/>
      <c r="N42" s="341"/>
      <c r="O42" s="341"/>
      <c r="P42" s="341"/>
      <c r="Q42" s="341"/>
      <c r="R42" s="341"/>
      <c r="S42" s="341"/>
      <c r="T42" s="341"/>
      <c r="U42" s="341"/>
      <c r="V42" s="341"/>
      <c r="W42" s="341"/>
      <c r="X42" s="341"/>
      <c r="Y42" s="340"/>
      <c r="Z42" s="341"/>
      <c r="AA42" s="341"/>
      <c r="AB42" s="341"/>
      <c r="AC42" s="341"/>
      <c r="AD42" s="341"/>
      <c r="AE42" s="341"/>
      <c r="AF42" s="341"/>
    </row>
    <row r="43" spans="2:33" ht="24.75" customHeight="1" x14ac:dyDescent="0.2">
      <c r="B43" s="32" t="s">
        <v>32</v>
      </c>
      <c r="C43" s="22"/>
      <c r="I43" s="25"/>
    </row>
    <row r="44" spans="2:33" ht="12.75" customHeight="1" x14ac:dyDescent="0.2">
      <c r="B44" s="345" t="s">
        <v>8</v>
      </c>
      <c r="C44" s="345"/>
      <c r="D44" s="345"/>
      <c r="E44" s="345" t="s">
        <v>9</v>
      </c>
      <c r="F44" s="357"/>
      <c r="G44" s="357"/>
      <c r="H44" s="357"/>
      <c r="I44" s="357"/>
      <c r="J44" s="357"/>
      <c r="K44" s="357"/>
      <c r="L44" s="357"/>
      <c r="M44" s="357"/>
      <c r="N44" s="357"/>
      <c r="O44" s="357"/>
      <c r="P44" s="357"/>
      <c r="Q44" s="357"/>
      <c r="R44" s="357"/>
      <c r="S44" s="357"/>
      <c r="T44" s="357"/>
      <c r="U44" s="357"/>
      <c r="V44" s="357"/>
      <c r="W44" s="357"/>
      <c r="X44" s="357"/>
      <c r="Y44" s="345" t="s">
        <v>10</v>
      </c>
      <c r="Z44" s="345"/>
      <c r="AA44" s="345"/>
      <c r="AB44" s="345"/>
      <c r="AC44" s="345"/>
      <c r="AD44" s="345"/>
      <c r="AE44" s="345"/>
      <c r="AF44" s="345"/>
    </row>
    <row r="45" spans="2:33" x14ac:dyDescent="0.2">
      <c r="B45" s="346"/>
      <c r="C45" s="346"/>
      <c r="D45" s="346"/>
      <c r="E45" s="340"/>
      <c r="F45" s="341"/>
      <c r="G45" s="341"/>
      <c r="H45" s="341"/>
      <c r="I45" s="341"/>
      <c r="J45" s="341"/>
      <c r="K45" s="341"/>
      <c r="L45" s="341"/>
      <c r="M45" s="341"/>
      <c r="N45" s="341"/>
      <c r="O45" s="341"/>
      <c r="P45" s="341"/>
      <c r="Q45" s="341"/>
      <c r="R45" s="341"/>
      <c r="S45" s="341"/>
      <c r="T45" s="341"/>
      <c r="U45" s="341"/>
      <c r="V45" s="341"/>
      <c r="W45" s="341"/>
      <c r="X45" s="341"/>
      <c r="Y45" s="340"/>
      <c r="Z45" s="341"/>
      <c r="AA45" s="341"/>
      <c r="AB45" s="341"/>
      <c r="AC45" s="341"/>
      <c r="AD45" s="341"/>
      <c r="AE45" s="341"/>
      <c r="AF45" s="341"/>
    </row>
    <row r="46" spans="2:33" x14ac:dyDescent="0.2">
      <c r="B46" s="346"/>
      <c r="C46" s="346"/>
      <c r="D46" s="346"/>
      <c r="E46" s="340"/>
      <c r="F46" s="341"/>
      <c r="G46" s="341"/>
      <c r="H46" s="341"/>
      <c r="I46" s="341"/>
      <c r="J46" s="341"/>
      <c r="K46" s="341"/>
      <c r="L46" s="341"/>
      <c r="M46" s="341"/>
      <c r="N46" s="341"/>
      <c r="O46" s="341"/>
      <c r="P46" s="341"/>
      <c r="Q46" s="341"/>
      <c r="R46" s="341"/>
      <c r="S46" s="341"/>
      <c r="T46" s="341"/>
      <c r="U46" s="341"/>
      <c r="V46" s="341"/>
      <c r="W46" s="341"/>
      <c r="X46" s="341"/>
      <c r="Y46" s="340"/>
      <c r="Z46" s="341"/>
      <c r="AA46" s="341"/>
      <c r="AB46" s="341"/>
      <c r="AC46" s="341"/>
      <c r="AD46" s="341"/>
      <c r="AE46" s="341"/>
      <c r="AF46" s="341"/>
    </row>
    <row r="47" spans="2:33" x14ac:dyDescent="0.2">
      <c r="B47" s="346"/>
      <c r="C47" s="346"/>
      <c r="D47" s="346"/>
      <c r="E47" s="340"/>
      <c r="F47" s="341"/>
      <c r="G47" s="341"/>
      <c r="H47" s="341"/>
      <c r="I47" s="341"/>
      <c r="J47" s="341"/>
      <c r="K47" s="341"/>
      <c r="L47" s="341"/>
      <c r="M47" s="341"/>
      <c r="N47" s="341"/>
      <c r="O47" s="341"/>
      <c r="P47" s="341"/>
      <c r="Q47" s="341"/>
      <c r="R47" s="341"/>
      <c r="S47" s="341"/>
      <c r="T47" s="341"/>
      <c r="U47" s="341"/>
      <c r="V47" s="341"/>
      <c r="W47" s="341"/>
      <c r="X47" s="341"/>
      <c r="Y47" s="340"/>
      <c r="Z47" s="341"/>
      <c r="AA47" s="341"/>
      <c r="AB47" s="341"/>
      <c r="AC47" s="341"/>
      <c r="AD47" s="341"/>
      <c r="AE47" s="341"/>
      <c r="AF47" s="341"/>
    </row>
    <row r="48" spans="2:33" x14ac:dyDescent="0.2">
      <c r="B48" s="346"/>
      <c r="C48" s="346"/>
      <c r="D48" s="346"/>
      <c r="E48" s="340"/>
      <c r="F48" s="341"/>
      <c r="G48" s="341"/>
      <c r="H48" s="341"/>
      <c r="I48" s="341"/>
      <c r="J48" s="341"/>
      <c r="K48" s="341"/>
      <c r="L48" s="341"/>
      <c r="M48" s="341"/>
      <c r="N48" s="341"/>
      <c r="O48" s="341"/>
      <c r="P48" s="341"/>
      <c r="Q48" s="341"/>
      <c r="R48" s="341"/>
      <c r="S48" s="341"/>
      <c r="T48" s="341"/>
      <c r="U48" s="341"/>
      <c r="V48" s="341"/>
      <c r="W48" s="341"/>
      <c r="X48" s="341"/>
      <c r="Y48" s="340"/>
      <c r="Z48" s="341"/>
      <c r="AA48" s="341"/>
      <c r="AB48" s="341"/>
      <c r="AC48" s="341"/>
      <c r="AD48" s="341"/>
      <c r="AE48" s="341"/>
      <c r="AF48" s="341"/>
    </row>
    <row r="49" spans="2:32" x14ac:dyDescent="0.2">
      <c r="C49" s="24"/>
      <c r="I49" s="25"/>
    </row>
    <row r="50" spans="2:32" ht="20.25" x14ac:dyDescent="0.2">
      <c r="B50" s="21" t="s">
        <v>34</v>
      </c>
      <c r="C50" s="22"/>
      <c r="I50" s="25"/>
    </row>
    <row r="51" spans="2:32" ht="12.75" customHeight="1" x14ac:dyDescent="0.2">
      <c r="B51" s="345" t="s">
        <v>33</v>
      </c>
      <c r="C51" s="345"/>
      <c r="D51" s="345"/>
      <c r="E51" s="345"/>
      <c r="F51" s="345"/>
      <c r="G51" s="345"/>
      <c r="H51" s="350"/>
      <c r="I51" s="350"/>
      <c r="J51" s="350"/>
      <c r="K51" s="350"/>
      <c r="L51" s="350"/>
      <c r="M51" s="350"/>
      <c r="N51" s="350"/>
      <c r="O51" s="350"/>
      <c r="P51" s="350"/>
      <c r="Q51" s="350"/>
      <c r="R51" s="350"/>
      <c r="S51" s="350"/>
      <c r="T51" s="350"/>
      <c r="U51" s="350"/>
      <c r="V51" s="350"/>
      <c r="W51" s="350"/>
      <c r="X51" s="350"/>
      <c r="Y51" s="350"/>
      <c r="Z51" s="350"/>
      <c r="AA51" s="350"/>
      <c r="AB51" s="350"/>
      <c r="AC51" s="350"/>
      <c r="AD51" s="350"/>
      <c r="AE51" s="350"/>
      <c r="AF51" s="350"/>
    </row>
    <row r="52" spans="2:32" x14ac:dyDescent="0.2">
      <c r="B52" s="342"/>
      <c r="C52" s="343"/>
      <c r="D52" s="343"/>
      <c r="E52" s="343"/>
      <c r="F52" s="343"/>
      <c r="G52" s="344"/>
      <c r="H52" s="347"/>
      <c r="I52" s="348"/>
      <c r="J52" s="348"/>
      <c r="K52" s="348"/>
      <c r="L52" s="348"/>
      <c r="M52" s="348"/>
      <c r="N52" s="348"/>
      <c r="O52" s="348"/>
      <c r="P52" s="348"/>
      <c r="Q52" s="348"/>
      <c r="R52" s="348"/>
      <c r="S52" s="348"/>
      <c r="T52" s="348"/>
      <c r="U52" s="348"/>
      <c r="V52" s="348"/>
      <c r="W52" s="348"/>
      <c r="X52" s="348"/>
      <c r="Y52" s="348"/>
      <c r="Z52" s="348"/>
      <c r="AA52" s="348"/>
      <c r="AB52" s="348"/>
      <c r="AC52" s="348"/>
      <c r="AD52" s="348"/>
      <c r="AE52" s="348"/>
      <c r="AF52" s="349"/>
    </row>
    <row r="53" spans="2:32" x14ac:dyDescent="0.2">
      <c r="B53" s="342"/>
      <c r="C53" s="343"/>
      <c r="D53" s="343"/>
      <c r="E53" s="343"/>
      <c r="F53" s="343"/>
      <c r="G53" s="344"/>
      <c r="H53" s="347"/>
      <c r="I53" s="348"/>
      <c r="J53" s="348"/>
      <c r="K53" s="348"/>
      <c r="L53" s="348"/>
      <c r="M53" s="348"/>
      <c r="N53" s="348"/>
      <c r="O53" s="348"/>
      <c r="P53" s="348"/>
      <c r="Q53" s="348"/>
      <c r="R53" s="348"/>
      <c r="S53" s="348"/>
      <c r="T53" s="348"/>
      <c r="U53" s="348"/>
      <c r="V53" s="348"/>
      <c r="W53" s="348"/>
      <c r="X53" s="348"/>
      <c r="Y53" s="348"/>
      <c r="Z53" s="348"/>
      <c r="AA53" s="348"/>
      <c r="AB53" s="348"/>
      <c r="AC53" s="348"/>
      <c r="AD53" s="348"/>
      <c r="AE53" s="348"/>
      <c r="AF53" s="349"/>
    </row>
    <row r="54" spans="2:32" x14ac:dyDescent="0.2">
      <c r="B54" s="342"/>
      <c r="C54" s="343"/>
      <c r="D54" s="343"/>
      <c r="E54" s="343"/>
      <c r="F54" s="343"/>
      <c r="G54" s="344"/>
      <c r="H54" s="347"/>
      <c r="I54" s="348"/>
      <c r="J54" s="348"/>
      <c r="K54" s="348"/>
      <c r="L54" s="348"/>
      <c r="M54" s="348"/>
      <c r="N54" s="348"/>
      <c r="O54" s="348"/>
      <c r="P54" s="348"/>
      <c r="Q54" s="348"/>
      <c r="R54" s="348"/>
      <c r="S54" s="348"/>
      <c r="T54" s="348"/>
      <c r="U54" s="348"/>
      <c r="V54" s="348"/>
      <c r="W54" s="348"/>
      <c r="X54" s="348"/>
      <c r="Y54" s="348"/>
      <c r="Z54" s="348"/>
      <c r="AA54" s="348"/>
      <c r="AB54" s="348"/>
      <c r="AC54" s="348"/>
      <c r="AD54" s="348"/>
      <c r="AE54" s="348"/>
      <c r="AF54" s="349"/>
    </row>
    <row r="55" spans="2:32" x14ac:dyDescent="0.2">
      <c r="B55" s="342"/>
      <c r="C55" s="343"/>
      <c r="D55" s="343"/>
      <c r="E55" s="343"/>
      <c r="F55" s="343"/>
      <c r="G55" s="344"/>
      <c r="H55" s="347"/>
      <c r="I55" s="348"/>
      <c r="J55" s="348"/>
      <c r="K55" s="348"/>
      <c r="L55" s="348"/>
      <c r="M55" s="348"/>
      <c r="N55" s="348"/>
      <c r="O55" s="348"/>
      <c r="P55" s="348"/>
      <c r="Q55" s="348"/>
      <c r="R55" s="348"/>
      <c r="S55" s="348"/>
      <c r="T55" s="348"/>
      <c r="U55" s="348"/>
      <c r="V55" s="348"/>
      <c r="W55" s="348"/>
      <c r="X55" s="348"/>
      <c r="Y55" s="348"/>
      <c r="Z55" s="348"/>
      <c r="AA55" s="348"/>
      <c r="AB55" s="348"/>
      <c r="AC55" s="348"/>
      <c r="AD55" s="348"/>
      <c r="AE55" s="348"/>
      <c r="AF55" s="349"/>
    </row>
    <row r="56" spans="2:32" x14ac:dyDescent="0.2">
      <c r="B56" s="342"/>
      <c r="C56" s="343"/>
      <c r="D56" s="343"/>
      <c r="E56" s="343"/>
      <c r="F56" s="343"/>
      <c r="G56" s="344"/>
      <c r="H56" s="347"/>
      <c r="I56" s="348"/>
      <c r="J56" s="348"/>
      <c r="K56" s="348"/>
      <c r="L56" s="348"/>
      <c r="M56" s="348"/>
      <c r="N56" s="348"/>
      <c r="O56" s="348"/>
      <c r="P56" s="348"/>
      <c r="Q56" s="348"/>
      <c r="R56" s="348"/>
      <c r="S56" s="348"/>
      <c r="T56" s="348"/>
      <c r="U56" s="348"/>
      <c r="V56" s="348"/>
      <c r="W56" s="348"/>
      <c r="X56" s="348"/>
      <c r="Y56" s="348"/>
      <c r="Z56" s="348"/>
      <c r="AA56" s="348"/>
      <c r="AB56" s="348"/>
      <c r="AC56" s="348"/>
      <c r="AD56" s="348"/>
      <c r="AE56" s="348"/>
      <c r="AF56" s="349"/>
    </row>
    <row r="57" spans="2:32" x14ac:dyDescent="0.2">
      <c r="B57" s="28"/>
      <c r="C57" s="28"/>
      <c r="D57" s="28"/>
      <c r="E57" s="28"/>
      <c r="F57" s="28"/>
      <c r="G57" s="28"/>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row>
    <row r="58" spans="2:32" x14ac:dyDescent="0.2">
      <c r="B58" s="28"/>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ht="26.25" x14ac:dyDescent="0.2">
      <c r="B59" s="34" t="s">
        <v>35</v>
      </c>
      <c r="C59" s="35"/>
      <c r="D59" s="35"/>
      <c r="E59" s="35"/>
      <c r="F59" s="35"/>
      <c r="G59" s="35"/>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row>
    <row r="60" spans="2:32" ht="15.75" customHeight="1" x14ac:dyDescent="0.2">
      <c r="B60" s="37"/>
      <c r="C60" s="28"/>
      <c r="D60" s="28"/>
      <c r="E60" s="28"/>
      <c r="F60" s="28"/>
      <c r="G60" s="28"/>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x14ac:dyDescent="0.2">
      <c r="B61" s="351" t="s">
        <v>101</v>
      </c>
      <c r="C61" s="351"/>
      <c r="D61" s="351"/>
      <c r="E61" s="351"/>
      <c r="F61" s="351"/>
      <c r="G61" s="351"/>
      <c r="H61" s="351"/>
      <c r="I61" s="351"/>
      <c r="J61" s="351"/>
      <c r="K61" s="351"/>
      <c r="L61" s="351"/>
      <c r="M61" s="351"/>
      <c r="N61" s="351"/>
      <c r="O61" s="351"/>
      <c r="P61" s="351"/>
      <c r="Q61" s="351"/>
      <c r="R61" s="351"/>
      <c r="S61" s="351"/>
      <c r="T61" s="351"/>
      <c r="U61" s="351"/>
      <c r="V61" s="351"/>
      <c r="W61" s="351"/>
      <c r="X61" s="351"/>
      <c r="Y61" s="351"/>
      <c r="Z61" s="351"/>
      <c r="AA61" s="351"/>
      <c r="AB61" s="351"/>
      <c r="AC61" s="351"/>
      <c r="AD61" s="351"/>
      <c r="AE61" s="351"/>
      <c r="AF61" s="351"/>
    </row>
    <row r="62" spans="2:32" ht="12.75" customHeight="1" x14ac:dyDescent="0.2">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ht="12.75" customHeight="1" x14ac:dyDescent="0.2">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ht="12.75" customHeight="1"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ht="12.75" customHeight="1"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ht="16.5" customHeight="1"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ht="123.75" customHeight="1"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ht="13.5" customHeight="1" x14ac:dyDescent="0.2">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ht="12" customHeight="1" x14ac:dyDescent="0.2"/>
    <row r="75" spans="2:34" ht="409.5" hidden="1" customHeight="1" x14ac:dyDescent="0.2">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2:34" ht="12.75" hidden="1" customHeight="1" x14ac:dyDescent="0.2">
      <c r="F76" s="40"/>
      <c r="G76" s="41"/>
      <c r="H76" s="41"/>
      <c r="I76" s="41"/>
      <c r="J76" s="41"/>
      <c r="K76" s="41"/>
      <c r="L76" s="41"/>
      <c r="M76" s="41"/>
      <c r="N76" s="41"/>
      <c r="O76" s="41"/>
      <c r="P76" s="41"/>
      <c r="Q76" s="41"/>
      <c r="R76" s="41"/>
      <c r="S76" s="41"/>
      <c r="T76" s="41"/>
      <c r="U76" s="41"/>
      <c r="V76" s="41"/>
      <c r="W76" s="41"/>
      <c r="X76" s="41"/>
      <c r="Y76" s="41"/>
      <c r="Z76" s="41"/>
      <c r="AA76" s="41"/>
      <c r="AB76" s="41"/>
      <c r="AC76" s="41"/>
      <c r="AD76" s="41"/>
      <c r="AE76" s="41"/>
      <c r="AF76" s="41"/>
      <c r="AG76" s="41"/>
      <c r="AH76" s="40"/>
    </row>
    <row r="77" spans="2:34" ht="12.75" hidden="1" customHeight="1" x14ac:dyDescent="0.2">
      <c r="F77" s="40"/>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40"/>
    </row>
    <row r="78" spans="2:34" hidden="1" x14ac:dyDescent="0.2">
      <c r="F78" s="40"/>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40"/>
    </row>
    <row r="79" spans="2:34" hidden="1" x14ac:dyDescent="0.2">
      <c r="F79" s="42"/>
      <c r="G79" s="42"/>
      <c r="H79" s="42"/>
      <c r="I79" s="42"/>
      <c r="J79" s="40"/>
      <c r="K79" s="40"/>
      <c r="L79" s="40"/>
      <c r="M79" s="40"/>
      <c r="N79" s="40"/>
      <c r="O79" s="40"/>
      <c r="P79" s="40"/>
      <c r="Q79" s="40"/>
      <c r="R79" s="40"/>
      <c r="S79" s="42"/>
      <c r="T79" s="42"/>
      <c r="U79" s="42"/>
      <c r="V79" s="42"/>
      <c r="W79" s="42"/>
      <c r="X79" s="42"/>
      <c r="Y79" s="42"/>
      <c r="Z79" s="42"/>
      <c r="AA79" s="42"/>
      <c r="AB79" s="42"/>
      <c r="AC79" s="42"/>
      <c r="AD79" s="42"/>
      <c r="AE79" s="42"/>
      <c r="AF79" s="42"/>
      <c r="AG79" s="42"/>
      <c r="AH79" s="40"/>
    </row>
    <row r="80" spans="2:34" hidden="1" x14ac:dyDescent="0.2">
      <c r="F80" s="42"/>
      <c r="G80" s="42"/>
      <c r="H80" s="42"/>
      <c r="I80" s="42"/>
      <c r="J80" s="40"/>
      <c r="K80" s="40"/>
      <c r="L80" s="40"/>
      <c r="M80" s="40"/>
      <c r="N80" s="40"/>
      <c r="O80" s="40"/>
      <c r="P80" s="40"/>
      <c r="Q80" s="40"/>
      <c r="R80" s="40"/>
      <c r="S80" s="42"/>
      <c r="T80" s="42"/>
      <c r="U80" s="42"/>
      <c r="V80" s="42"/>
      <c r="W80" s="42"/>
      <c r="X80" s="42"/>
      <c r="Y80" s="42"/>
      <c r="Z80" s="42"/>
      <c r="AA80" s="42"/>
      <c r="AB80" s="42"/>
      <c r="AC80" s="42"/>
      <c r="AD80" s="42"/>
      <c r="AE80" s="42"/>
      <c r="AF80" s="42"/>
      <c r="AG80" s="42"/>
      <c r="AH80" s="40"/>
    </row>
    <row r="81" spans="6:34" hidden="1" x14ac:dyDescent="0.2">
      <c r="F81" s="43"/>
      <c r="G81" s="43"/>
      <c r="H81" s="43"/>
      <c r="I81" s="43"/>
      <c r="J81" s="43"/>
      <c r="K81" s="43"/>
      <c r="R81" s="43"/>
      <c r="S81" s="42"/>
      <c r="T81" s="42"/>
      <c r="U81" s="42"/>
      <c r="V81" s="42"/>
      <c r="W81" s="42"/>
      <c r="X81" s="42"/>
      <c r="Y81" s="42"/>
      <c r="Z81" s="42"/>
      <c r="AA81" s="42"/>
      <c r="AB81" s="42"/>
      <c r="AC81" s="42"/>
      <c r="AD81" s="42"/>
      <c r="AE81" s="42"/>
      <c r="AF81" s="42"/>
      <c r="AG81" s="42"/>
      <c r="AH81" s="43"/>
    </row>
    <row r="82" spans="6:34" hidden="1" x14ac:dyDescent="0.2">
      <c r="R82" s="43"/>
      <c r="S82" s="43"/>
      <c r="T82" s="43"/>
      <c r="U82" s="43"/>
      <c r="V82" s="43"/>
      <c r="W82" s="43"/>
      <c r="X82" s="43"/>
      <c r="Y82" s="43"/>
      <c r="Z82" s="43"/>
      <c r="AA82" s="43"/>
      <c r="AB82" s="43"/>
      <c r="AC82" s="43"/>
      <c r="AD82" s="43"/>
      <c r="AE82" s="43"/>
      <c r="AF82" s="43"/>
      <c r="AG82" s="43"/>
      <c r="AH82" s="43"/>
    </row>
    <row r="83" spans="6:34" hidden="1" x14ac:dyDescent="0.2">
      <c r="R83" s="43"/>
      <c r="S83" s="43"/>
      <c r="T83" s="43"/>
      <c r="U83" s="43"/>
      <c r="V83" s="43"/>
      <c r="W83" s="43"/>
      <c r="X83" s="43"/>
      <c r="Y83" s="43"/>
      <c r="Z83" s="43"/>
      <c r="AA83" s="43"/>
      <c r="AB83" s="43"/>
      <c r="AC83" s="43"/>
      <c r="AD83" s="43"/>
      <c r="AE83" s="43"/>
      <c r="AF83" s="43"/>
      <c r="AG83" s="43"/>
      <c r="AH83" s="43"/>
    </row>
    <row r="84" spans="6:34" hidden="1" x14ac:dyDescent="0.2"/>
    <row r="85" spans="6:34" hidden="1" x14ac:dyDescent="0.2"/>
    <row r="86" spans="6:34" hidden="1" x14ac:dyDescent="0.2"/>
    <row r="87" spans="6:34" hidden="1" x14ac:dyDescent="0.2"/>
    <row r="88" spans="6:34" hidden="1" x14ac:dyDescent="0.2"/>
    <row r="89" spans="6:34" hidden="1" x14ac:dyDescent="0.2"/>
    <row r="90" spans="6:34" hidden="1" x14ac:dyDescent="0.2"/>
    <row r="91" spans="6:34" hidden="1" x14ac:dyDescent="0.2"/>
    <row r="92" spans="6:34" hidden="1" x14ac:dyDescent="0.2"/>
    <row r="93" spans="6:34" hidden="1" x14ac:dyDescent="0.2"/>
    <row r="94" spans="6:34" hidden="1" x14ac:dyDescent="0.2"/>
    <row r="95" spans="6:34" hidden="1" x14ac:dyDescent="0.2"/>
    <row r="96" spans="6:34"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sheetData>
  <sheetProtection formatCells="0" formatRows="0" insertColumns="0" insertRows="0" insertHyperlinks="0" deleteRows="0" selectLockedCells="1" sort="0" autoFilter="0" pivotTables="0"/>
  <mergeCells count="100">
    <mergeCell ref="B34:AF34"/>
    <mergeCell ref="R29:AF29"/>
    <mergeCell ref="E30:H30"/>
    <mergeCell ref="B38:D38"/>
    <mergeCell ref="R30:AF30"/>
    <mergeCell ref="Y38:AF38"/>
    <mergeCell ref="B29:D29"/>
    <mergeCell ref="E45:X45"/>
    <mergeCell ref="B41:D41"/>
    <mergeCell ref="Y39:AF39"/>
    <mergeCell ref="Y40:AF40"/>
    <mergeCell ref="B42:D42"/>
    <mergeCell ref="Y44:AF44"/>
    <mergeCell ref="E44:X44"/>
    <mergeCell ref="Y45:AF45"/>
    <mergeCell ref="Y41:AF41"/>
    <mergeCell ref="Y42:AF42"/>
    <mergeCell ref="B40:D40"/>
    <mergeCell ref="B39:D39"/>
    <mergeCell ref="E39:X39"/>
    <mergeCell ref="E40:X40"/>
    <mergeCell ref="E41:X41"/>
    <mergeCell ref="E42:X42"/>
    <mergeCell ref="A9:AG9"/>
    <mergeCell ref="B26:D26"/>
    <mergeCell ref="B18:F18"/>
    <mergeCell ref="G18:AF18"/>
    <mergeCell ref="G15:AF15"/>
    <mergeCell ref="G16:AF16"/>
    <mergeCell ref="G20:AF20"/>
    <mergeCell ref="B20:F20"/>
    <mergeCell ref="G17:AF17"/>
    <mergeCell ref="B16:F16"/>
    <mergeCell ref="E26:H26"/>
    <mergeCell ref="I26:Q26"/>
    <mergeCell ref="G19:AF19"/>
    <mergeCell ref="B17:F17"/>
    <mergeCell ref="B19:F19"/>
    <mergeCell ref="R26:AF26"/>
    <mergeCell ref="A7:D7"/>
    <mergeCell ref="W6:AA6"/>
    <mergeCell ref="AB7:AD7"/>
    <mergeCell ref="E7:V7"/>
    <mergeCell ref="W4:AA4"/>
    <mergeCell ref="E46:X46"/>
    <mergeCell ref="AB4:AG4"/>
    <mergeCell ref="AB5:AG5"/>
    <mergeCell ref="AE6:AG6"/>
    <mergeCell ref="AE7:AG7"/>
    <mergeCell ref="A8:AG8"/>
    <mergeCell ref="AB6:AD6"/>
    <mergeCell ref="A4:V4"/>
    <mergeCell ref="A5:V5"/>
    <mergeCell ref="E6:V6"/>
    <mergeCell ref="W7:AA7"/>
    <mergeCell ref="W5:AA5"/>
    <mergeCell ref="A6:D6"/>
    <mergeCell ref="B15:F15"/>
    <mergeCell ref="E29:H29"/>
    <mergeCell ref="I29:Q29"/>
    <mergeCell ref="E27:H27"/>
    <mergeCell ref="R27:AF27"/>
    <mergeCell ref="B28:D28"/>
    <mergeCell ref="I28:Q28"/>
    <mergeCell ref="B27:D27"/>
    <mergeCell ref="I27:Q27"/>
    <mergeCell ref="E28:H28"/>
    <mergeCell ref="R28:AF28"/>
    <mergeCell ref="B21:F21"/>
    <mergeCell ref="G21:AF21"/>
    <mergeCell ref="B22:F22"/>
    <mergeCell ref="Y47:AF47"/>
    <mergeCell ref="G22:AF22"/>
    <mergeCell ref="B23:F23"/>
    <mergeCell ref="G23:AF23"/>
    <mergeCell ref="B45:D45"/>
    <mergeCell ref="B47:D47"/>
    <mergeCell ref="B44:D44"/>
    <mergeCell ref="B46:D46"/>
    <mergeCell ref="Y46:AF46"/>
    <mergeCell ref="E47:X47"/>
    <mergeCell ref="B30:D30"/>
    <mergeCell ref="I30:Q30"/>
    <mergeCell ref="E38:X38"/>
    <mergeCell ref="B61:AF61"/>
    <mergeCell ref="B53:G53"/>
    <mergeCell ref="H53:AF53"/>
    <mergeCell ref="H54:AF54"/>
    <mergeCell ref="B52:G52"/>
    <mergeCell ref="B56:G56"/>
    <mergeCell ref="H56:AF56"/>
    <mergeCell ref="B55:G55"/>
    <mergeCell ref="H55:AF55"/>
    <mergeCell ref="E48:X48"/>
    <mergeCell ref="Y48:AF48"/>
    <mergeCell ref="B54:G54"/>
    <mergeCell ref="B51:G51"/>
    <mergeCell ref="B48:D48"/>
    <mergeCell ref="H52:AF52"/>
    <mergeCell ref="H51:AF51"/>
  </mergeCells>
  <phoneticPr fontId="7" type="noConversion"/>
  <hyperlinks>
    <hyperlink ref="B61" location="'User Guide'!A1" display="See user guide sheet"/>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9" tint="0.59999389629810485"/>
  </sheetPr>
  <dimension ref="A1:P35"/>
  <sheetViews>
    <sheetView topLeftCell="A13" zoomScale="80" workbookViewId="0">
      <selection activeCell="H21" sqref="H21"/>
    </sheetView>
  </sheetViews>
  <sheetFormatPr defaultColWidth="0" defaultRowHeight="14.25" zeroHeight="1" x14ac:dyDescent="0.2"/>
  <cols>
    <col min="1" max="1" width="47.125" style="91" bestFit="1" customWidth="1"/>
    <col min="2" max="2" width="14.25" style="91" customWidth="1"/>
    <col min="3" max="3" width="23.75" style="91" customWidth="1"/>
    <col min="4" max="4" width="14.625" style="91" customWidth="1"/>
    <col min="5" max="5" width="16.75" style="91" hidden="1" customWidth="1"/>
    <col min="6" max="6" width="16.5" style="91" customWidth="1"/>
    <col min="7" max="7" width="19.75" style="91" customWidth="1"/>
    <col min="8" max="8" width="16.25" style="91" customWidth="1"/>
    <col min="9" max="9" width="14.125" style="91" customWidth="1"/>
    <col min="10" max="10" width="15.625" style="91" customWidth="1"/>
    <col min="11" max="11" width="13.25" style="91" customWidth="1"/>
    <col min="12" max="14" width="11.25" style="91" customWidth="1"/>
    <col min="15" max="15" width="12" style="91" customWidth="1"/>
    <col min="16" max="16" width="15.25" style="91" customWidth="1"/>
    <col min="17" max="17" width="12.625" style="91" customWidth="1"/>
    <col min="18" max="18" width="14.125" style="91" customWidth="1"/>
    <col min="19" max="20" width="11.25" style="91" customWidth="1"/>
    <col min="21" max="23" width="10" style="91" customWidth="1"/>
    <col min="24" max="16384" width="0" style="91" hidden="1"/>
  </cols>
  <sheetData>
    <row r="1" spans="1:16" ht="26.25" x14ac:dyDescent="0.2">
      <c r="A1" s="371" t="s">
        <v>42</v>
      </c>
      <c r="B1" s="371"/>
      <c r="C1" s="371"/>
      <c r="D1" s="371"/>
      <c r="E1" s="371"/>
      <c r="F1" s="371"/>
      <c r="G1" s="371"/>
      <c r="H1" s="371"/>
      <c r="I1" s="371"/>
      <c r="J1" s="371"/>
      <c r="K1" s="371"/>
      <c r="L1" s="37"/>
      <c r="M1" s="37"/>
    </row>
    <row r="2" spans="1:16" s="92" customFormat="1" ht="48.75" customHeight="1" x14ac:dyDescent="0.2">
      <c r="A2" s="370" t="s">
        <v>162</v>
      </c>
      <c r="B2" s="370"/>
      <c r="C2" s="370"/>
      <c r="D2" s="370"/>
      <c r="E2" s="370"/>
      <c r="F2" s="370"/>
      <c r="G2" s="370"/>
      <c r="H2" s="370"/>
      <c r="I2" s="370"/>
      <c r="J2" s="370"/>
      <c r="K2" s="370"/>
      <c r="L2" s="133"/>
      <c r="M2" s="133"/>
    </row>
    <row r="3" spans="1:16" ht="110.25" customHeight="1" x14ac:dyDescent="0.2">
      <c r="A3" s="370" t="s">
        <v>161</v>
      </c>
      <c r="B3" s="370"/>
      <c r="C3" s="370"/>
      <c r="D3" s="370"/>
      <c r="E3" s="370"/>
      <c r="F3" s="370"/>
      <c r="G3" s="370"/>
      <c r="H3" s="370"/>
      <c r="I3" s="370"/>
      <c r="J3" s="370"/>
      <c r="K3" s="370"/>
      <c r="L3" s="370"/>
      <c r="M3" s="370"/>
    </row>
    <row r="4" spans="1:16" ht="74.25" customHeight="1" x14ac:dyDescent="0.2">
      <c r="A4" s="370" t="s">
        <v>46</v>
      </c>
      <c r="B4" s="370"/>
      <c r="C4" s="370"/>
      <c r="D4" s="370"/>
      <c r="E4" s="370"/>
      <c r="F4" s="370"/>
      <c r="G4" s="370"/>
      <c r="H4" s="370"/>
      <c r="I4" s="370"/>
      <c r="J4" s="370"/>
      <c r="K4" s="370"/>
      <c r="L4" s="370"/>
      <c r="M4" s="370"/>
      <c r="N4" s="134"/>
    </row>
    <row r="5" spans="1:16" ht="69.75" customHeight="1" x14ac:dyDescent="0.2">
      <c r="A5" s="370" t="s">
        <v>180</v>
      </c>
      <c r="B5" s="370"/>
      <c r="C5" s="370"/>
      <c r="D5" s="370"/>
      <c r="E5" s="370"/>
      <c r="F5" s="370"/>
      <c r="G5" s="370"/>
      <c r="H5" s="370"/>
      <c r="I5" s="370"/>
      <c r="J5" s="370"/>
      <c r="K5" s="370"/>
      <c r="L5" s="370"/>
      <c r="M5" s="370"/>
      <c r="N5" s="134"/>
    </row>
    <row r="6" spans="1:16" x14ac:dyDescent="0.2">
      <c r="A6" s="98"/>
      <c r="B6" s="96"/>
      <c r="C6" s="96"/>
      <c r="D6" s="96"/>
      <c r="E6" s="96"/>
      <c r="F6" s="96"/>
      <c r="G6" s="96"/>
      <c r="H6" s="96"/>
      <c r="I6" s="96"/>
      <c r="J6" s="96"/>
      <c r="K6" s="96"/>
      <c r="L6" s="96"/>
      <c r="M6" s="96"/>
      <c r="N6" s="96"/>
    </row>
    <row r="7" spans="1:16" x14ac:dyDescent="0.2">
      <c r="A7" s="127"/>
      <c r="B7" s="126"/>
      <c r="C7" s="126"/>
      <c r="D7" s="126"/>
      <c r="E7" s="126"/>
      <c r="F7" s="126"/>
      <c r="G7" s="126"/>
      <c r="H7" s="126"/>
      <c r="I7" s="126"/>
      <c r="J7" s="126"/>
      <c r="K7" s="126"/>
      <c r="L7" s="126"/>
      <c r="M7" s="126"/>
      <c r="N7" s="126"/>
    </row>
    <row r="8" spans="1:16" ht="39" customHeight="1" x14ac:dyDescent="0.2">
      <c r="A8" s="371" t="s">
        <v>154</v>
      </c>
      <c r="B8" s="371"/>
      <c r="C8" s="371"/>
      <c r="D8" s="371"/>
      <c r="E8" s="371"/>
      <c r="F8" s="371"/>
      <c r="G8" s="371"/>
      <c r="H8" s="371"/>
      <c r="I8" s="371"/>
      <c r="J8" s="371"/>
      <c r="K8" s="371"/>
      <c r="L8" s="371"/>
      <c r="M8" s="371"/>
      <c r="N8" s="96"/>
    </row>
    <row r="9" spans="1:16" ht="60" customHeight="1" thickBot="1" x14ac:dyDescent="0.25">
      <c r="B9" s="95"/>
      <c r="C9" s="95"/>
      <c r="D9" s="95"/>
      <c r="E9" s="95"/>
      <c r="F9" s="374" t="s">
        <v>144</v>
      </c>
      <c r="G9" s="375"/>
      <c r="H9" s="375"/>
      <c r="I9" s="376"/>
    </row>
    <row r="10" spans="1:16" s="93" customFormat="1" ht="131.25" customHeight="1" x14ac:dyDescent="0.2">
      <c r="A10" s="372" t="s">
        <v>148</v>
      </c>
      <c r="B10" s="107" t="s">
        <v>43</v>
      </c>
      <c r="C10" s="106" t="s">
        <v>47</v>
      </c>
      <c r="D10" s="106" t="s">
        <v>48</v>
      </c>
      <c r="E10" s="105" t="s">
        <v>49</v>
      </c>
      <c r="F10" s="103" t="s">
        <v>50</v>
      </c>
      <c r="G10" s="103" t="s">
        <v>51</v>
      </c>
      <c r="H10" s="102" t="s">
        <v>52</v>
      </c>
    </row>
    <row r="11" spans="1:16" ht="82.5" customHeight="1" x14ac:dyDescent="0.4">
      <c r="A11" s="373"/>
      <c r="B11" s="230" t="s">
        <v>145</v>
      </c>
      <c r="C11" s="230" t="s">
        <v>149</v>
      </c>
      <c r="D11" s="230" t="s">
        <v>150</v>
      </c>
      <c r="E11" s="99" t="s">
        <v>53</v>
      </c>
      <c r="F11" s="230" t="s">
        <v>151</v>
      </c>
      <c r="G11" s="230" t="s">
        <v>152</v>
      </c>
      <c r="H11" s="230" t="s">
        <v>153</v>
      </c>
      <c r="I11" s="97"/>
      <c r="J11" s="97"/>
      <c r="K11" s="97"/>
      <c r="L11" s="97"/>
      <c r="M11" s="97"/>
      <c r="N11" s="96"/>
    </row>
    <row r="12" spans="1:16" ht="12.75" customHeight="1" x14ac:dyDescent="0.2">
      <c r="A12" s="96"/>
      <c r="B12" s="96"/>
      <c r="C12" s="96"/>
      <c r="D12" s="96"/>
      <c r="E12" s="96"/>
      <c r="F12" s="96"/>
      <c r="G12" s="96"/>
      <c r="H12" s="96"/>
      <c r="I12" s="96"/>
      <c r="J12" s="96"/>
      <c r="K12" s="96"/>
      <c r="L12" s="96"/>
      <c r="M12" s="96"/>
      <c r="N12" s="96"/>
    </row>
    <row r="13" spans="1:16" ht="12.75" customHeight="1" x14ac:dyDescent="0.2">
      <c r="A13" s="96"/>
      <c r="B13" s="96"/>
      <c r="C13" s="96"/>
      <c r="D13" s="96"/>
      <c r="E13" s="96"/>
      <c r="F13" s="96"/>
      <c r="G13" s="96"/>
      <c r="H13" s="96"/>
      <c r="I13" s="96"/>
      <c r="J13" s="96"/>
      <c r="K13" s="96"/>
      <c r="L13" s="96"/>
      <c r="M13" s="96"/>
      <c r="N13" s="96"/>
    </row>
    <row r="14" spans="1:16" ht="26.25" x14ac:dyDescent="0.2">
      <c r="A14" s="371" t="s">
        <v>155</v>
      </c>
      <c r="B14" s="371"/>
      <c r="C14" s="371"/>
      <c r="D14" s="371"/>
      <c r="E14" s="371"/>
      <c r="F14" s="371"/>
      <c r="G14" s="371"/>
      <c r="H14" s="371"/>
      <c r="I14" s="371"/>
      <c r="J14" s="371"/>
      <c r="K14" s="371"/>
      <c r="L14" s="371"/>
      <c r="M14" s="371"/>
    </row>
    <row r="15" spans="1:16" s="94" customFormat="1" ht="74.25" customHeight="1" x14ac:dyDescent="0.2">
      <c r="B15" s="368" t="s">
        <v>156</v>
      </c>
      <c r="C15" s="369"/>
      <c r="D15" s="369"/>
      <c r="E15" s="369"/>
      <c r="F15" s="369"/>
      <c r="G15" s="369"/>
      <c r="M15" s="377" t="s">
        <v>169</v>
      </c>
      <c r="N15" s="378"/>
      <c r="P15" s="100" t="s">
        <v>171</v>
      </c>
    </row>
    <row r="16" spans="1:16" ht="154.5" customHeight="1" x14ac:dyDescent="0.2">
      <c r="B16" s="237" t="s">
        <v>54</v>
      </c>
      <c r="C16" s="237" t="s">
        <v>55</v>
      </c>
      <c r="D16" s="237" t="s">
        <v>56</v>
      </c>
      <c r="E16" s="237" t="s">
        <v>57</v>
      </c>
      <c r="F16" s="237" t="s">
        <v>58</v>
      </c>
      <c r="G16" s="237" t="s">
        <v>59</v>
      </c>
      <c r="H16" s="237" t="s">
        <v>203</v>
      </c>
      <c r="I16" s="237" t="s">
        <v>202</v>
      </c>
      <c r="J16" s="237" t="s">
        <v>60</v>
      </c>
      <c r="K16" s="237" t="s">
        <v>61</v>
      </c>
      <c r="L16" s="237" t="s">
        <v>62</v>
      </c>
      <c r="M16" s="236" t="s">
        <v>165</v>
      </c>
      <c r="N16" s="235" t="s">
        <v>166</v>
      </c>
      <c r="O16" s="236" t="s">
        <v>167</v>
      </c>
      <c r="P16" s="235" t="s">
        <v>168</v>
      </c>
    </row>
    <row r="17" spans="1:16" s="104" customFormat="1" ht="114.75" x14ac:dyDescent="0.2">
      <c r="A17" s="232" t="s">
        <v>157</v>
      </c>
      <c r="B17" s="101" t="s">
        <v>63</v>
      </c>
      <c r="C17" s="101" t="s">
        <v>64</v>
      </c>
      <c r="D17" s="100" t="s">
        <v>141</v>
      </c>
      <c r="E17" s="101" t="s">
        <v>65</v>
      </c>
      <c r="F17" s="100" t="s">
        <v>198</v>
      </c>
      <c r="G17" s="100" t="s">
        <v>199</v>
      </c>
      <c r="H17" s="229" t="s">
        <v>200</v>
      </c>
      <c r="I17" s="229" t="s">
        <v>201</v>
      </c>
      <c r="J17" s="229" t="s">
        <v>158</v>
      </c>
      <c r="K17" s="99" t="s">
        <v>66</v>
      </c>
      <c r="L17" s="99" t="s">
        <v>45</v>
      </c>
      <c r="M17" s="234" t="s">
        <v>170</v>
      </c>
      <c r="N17" s="234" t="s">
        <v>166</v>
      </c>
      <c r="O17" s="233" t="s">
        <v>181</v>
      </c>
      <c r="P17" s="234" t="s">
        <v>172</v>
      </c>
    </row>
    <row r="18" spans="1:16" x14ac:dyDescent="0.2"/>
    <row r="19" spans="1:16" ht="15" x14ac:dyDescent="0.2">
      <c r="A19" s="90"/>
    </row>
    <row r="20" spans="1:16" x14ac:dyDescent="0.2"/>
    <row r="21" spans="1:16" x14ac:dyDescent="0.2"/>
    <row r="22" spans="1:16" x14ac:dyDescent="0.2"/>
    <row r="23" spans="1:16" x14ac:dyDescent="0.2"/>
    <row r="24" spans="1:16" x14ac:dyDescent="0.2"/>
    <row r="25" spans="1:16" x14ac:dyDescent="0.2"/>
    <row r="26" spans="1:16" x14ac:dyDescent="0.2"/>
    <row r="27" spans="1:16" x14ac:dyDescent="0.2"/>
    <row r="28" spans="1:16" x14ac:dyDescent="0.2"/>
    <row r="29" spans="1:16" x14ac:dyDescent="0.2"/>
    <row r="30" spans="1:16" x14ac:dyDescent="0.2"/>
    <row r="31" spans="1:16" x14ac:dyDescent="0.2"/>
    <row r="32" spans="1:16" x14ac:dyDescent="0.2"/>
    <row r="33" x14ac:dyDescent="0.2"/>
    <row r="34" x14ac:dyDescent="0.2"/>
    <row r="35" x14ac:dyDescent="0.2"/>
  </sheetData>
  <mergeCells count="16">
    <mergeCell ref="B15:G15"/>
    <mergeCell ref="A5:K5"/>
    <mergeCell ref="L5:M5"/>
    <mergeCell ref="A1:K1"/>
    <mergeCell ref="A8:K8"/>
    <mergeCell ref="L8:M8"/>
    <mergeCell ref="A14:K14"/>
    <mergeCell ref="L14:M14"/>
    <mergeCell ref="A2:K2"/>
    <mergeCell ref="A3:K3"/>
    <mergeCell ref="L3:M3"/>
    <mergeCell ref="A4:K4"/>
    <mergeCell ref="L4:M4"/>
    <mergeCell ref="A10:A11"/>
    <mergeCell ref="F9:I9"/>
    <mergeCell ref="M15:N15"/>
  </mergeCells>
  <pageMargins left="0.75" right="0.75" top="1" bottom="1" header="0.4921259845" footer="0.4921259845"/>
  <pageSetup paperSize="9" orientation="portrait" r:id="rId1"/>
  <headerFooter alignWithMargins="0">
    <oddFooter>&amp;LExxxxxx rev xxx ver xxx&amp;R&amp;P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4" tint="0.39997558519241921"/>
    <outlinePr summaryBelow="0" summaryRight="0"/>
  </sheetPr>
  <dimension ref="A1:V111"/>
  <sheetViews>
    <sheetView tabSelected="1" zoomScale="70" zoomScaleNormal="70" workbookViewId="0">
      <pane xSplit="1" ySplit="1" topLeftCell="B35" activePane="bottomRight" state="frozen"/>
      <selection pane="topRight" activeCell="B1" sqref="B1"/>
      <selection pane="bottomLeft" activeCell="A2" sqref="A2"/>
      <selection pane="bottomRight" activeCell="C73" sqref="C73"/>
    </sheetView>
  </sheetViews>
  <sheetFormatPr defaultRowHeight="15" zeroHeight="1" outlineLevelRow="1" x14ac:dyDescent="0.2"/>
  <cols>
    <col min="1" max="1" width="49.25" style="116" customWidth="1"/>
    <col min="2" max="2" width="11.375" style="113" customWidth="1"/>
    <col min="3" max="3" width="14.625" style="113" bestFit="1" customWidth="1"/>
    <col min="4" max="4" width="12.875" style="113" customWidth="1"/>
    <col min="5" max="5" width="11.875" style="113" customWidth="1"/>
    <col min="6" max="6" width="11.375" style="114" customWidth="1"/>
    <col min="7" max="7" width="12.25" style="114" customWidth="1"/>
    <col min="8" max="8" width="12.125" style="114" customWidth="1"/>
    <col min="9" max="9" width="11.375" style="114" customWidth="1"/>
    <col min="10" max="10" width="12.875" style="114" customWidth="1"/>
    <col min="11" max="11" width="13.375" style="114" customWidth="1"/>
    <col min="12" max="12" width="13" style="113" customWidth="1"/>
    <col min="13" max="16" width="11.375" style="115" customWidth="1"/>
    <col min="17" max="17" width="14.75" style="115" bestFit="1" customWidth="1"/>
    <col min="18" max="18" width="16.375" style="115" customWidth="1"/>
    <col min="19" max="19" width="16.25" style="115" bestFit="1" customWidth="1"/>
    <col min="20" max="20" width="13.875" style="115" customWidth="1"/>
    <col min="21" max="21" width="14.375" style="115" customWidth="1"/>
    <col min="22" max="22" width="14.5" style="115" customWidth="1"/>
    <col min="23" max="16384" width="9" style="115"/>
  </cols>
  <sheetData>
    <row r="1" spans="1:22" ht="12" customHeight="1" x14ac:dyDescent="0.2">
      <c r="A1" s="241" t="s">
        <v>159</v>
      </c>
      <c r="B1" s="380" t="str">
        <f>SWVersion</f>
        <v>tbd</v>
      </c>
      <c r="C1" s="381"/>
      <c r="D1" s="240"/>
      <c r="E1" s="240"/>
      <c r="F1" s="242"/>
      <c r="G1" s="242"/>
      <c r="H1" s="242"/>
      <c r="I1" s="242"/>
      <c r="J1" s="242"/>
      <c r="K1" s="242"/>
      <c r="L1" s="240"/>
      <c r="M1" s="243"/>
      <c r="N1" s="243"/>
      <c r="O1" s="243"/>
      <c r="P1" s="243"/>
      <c r="Q1" s="243"/>
      <c r="R1" s="243"/>
      <c r="S1" s="243"/>
      <c r="T1" s="243"/>
      <c r="U1" s="243"/>
      <c r="V1" s="243"/>
    </row>
    <row r="2" spans="1:22" ht="30.75" customHeight="1" thickBot="1" x14ac:dyDescent="0.25">
      <c r="A2" s="240"/>
      <c r="B2" s="240"/>
      <c r="C2" s="240"/>
      <c r="D2" s="240"/>
      <c r="E2" s="240"/>
      <c r="F2" s="242"/>
      <c r="G2" s="242"/>
      <c r="H2" s="242"/>
      <c r="I2" s="242"/>
      <c r="J2" s="242"/>
      <c r="K2" s="242"/>
      <c r="L2" s="240"/>
      <c r="M2" s="243"/>
      <c r="N2" s="243"/>
      <c r="O2" s="243"/>
      <c r="P2" s="243"/>
      <c r="Q2" s="243"/>
      <c r="R2" s="243"/>
      <c r="S2" s="243"/>
      <c r="T2" s="243"/>
      <c r="U2" s="243"/>
      <c r="V2" s="243"/>
    </row>
    <row r="3" spans="1:22" ht="58.5" customHeight="1" thickBot="1" x14ac:dyDescent="0.25">
      <c r="A3" s="240"/>
      <c r="B3" s="240"/>
      <c r="C3" s="391" t="s">
        <v>135</v>
      </c>
      <c r="D3" s="392"/>
      <c r="E3" s="392"/>
      <c r="F3" s="392"/>
      <c r="G3" s="392"/>
      <c r="H3" s="392"/>
      <c r="I3" s="392"/>
      <c r="J3" s="392"/>
      <c r="K3" s="392"/>
      <c r="L3" s="393"/>
      <c r="M3" s="243"/>
      <c r="N3" s="388" t="s">
        <v>175</v>
      </c>
      <c r="O3" s="389"/>
      <c r="P3" s="390"/>
      <c r="Q3" s="389" t="s">
        <v>174</v>
      </c>
      <c r="R3" s="389"/>
      <c r="S3" s="244" t="s">
        <v>204</v>
      </c>
      <c r="T3" s="385" t="s">
        <v>135</v>
      </c>
      <c r="U3" s="386"/>
      <c r="V3" s="387"/>
    </row>
    <row r="4" spans="1:22" s="117" customFormat="1" ht="79.5" thickBot="1" x14ac:dyDescent="0.25">
      <c r="A4" s="245" t="s">
        <v>43</v>
      </c>
      <c r="B4" s="246" t="s">
        <v>122</v>
      </c>
      <c r="C4" s="247" t="s">
        <v>136</v>
      </c>
      <c r="D4" s="247" t="s">
        <v>185</v>
      </c>
      <c r="E4" s="247" t="s">
        <v>186</v>
      </c>
      <c r="F4" s="247" t="s">
        <v>137</v>
      </c>
      <c r="G4" s="247" t="s">
        <v>187</v>
      </c>
      <c r="H4" s="247" t="s">
        <v>188</v>
      </c>
      <c r="I4" s="247" t="s">
        <v>138</v>
      </c>
      <c r="J4" s="247" t="s">
        <v>189</v>
      </c>
      <c r="K4" s="247" t="s">
        <v>190</v>
      </c>
      <c r="L4" s="247" t="s">
        <v>139</v>
      </c>
      <c r="M4" s="248" t="s">
        <v>44</v>
      </c>
      <c r="N4" s="249" t="s">
        <v>132</v>
      </c>
      <c r="O4" s="250" t="s">
        <v>133</v>
      </c>
      <c r="P4" s="251" t="s">
        <v>134</v>
      </c>
      <c r="Q4" s="249" t="s">
        <v>191</v>
      </c>
      <c r="R4" s="251" t="s">
        <v>192</v>
      </c>
      <c r="S4" s="252" t="s">
        <v>205</v>
      </c>
      <c r="T4" s="253" t="s">
        <v>173</v>
      </c>
      <c r="U4" s="254" t="s">
        <v>184</v>
      </c>
      <c r="V4" s="255" t="s">
        <v>167</v>
      </c>
    </row>
    <row r="5" spans="1:22" ht="14.25" x14ac:dyDescent="0.2">
      <c r="A5" s="256"/>
      <c r="B5" s="257"/>
      <c r="C5" s="257"/>
      <c r="D5" s="258"/>
      <c r="E5" s="259"/>
      <c r="F5" s="257"/>
      <c r="G5" s="258"/>
      <c r="H5" s="259"/>
      <c r="I5" s="257"/>
      <c r="J5" s="258"/>
      <c r="K5" s="259"/>
      <c r="L5" s="257"/>
      <c r="M5" s="260"/>
      <c r="N5" s="261"/>
      <c r="O5" s="257"/>
      <c r="P5" s="262"/>
      <c r="Q5" s="263"/>
      <c r="R5" s="264"/>
      <c r="S5" s="265"/>
      <c r="T5" s="266"/>
      <c r="U5" s="267"/>
      <c r="V5" s="268"/>
    </row>
    <row r="6" spans="1:22" thickBot="1" x14ac:dyDescent="0.25">
      <c r="A6" s="256"/>
      <c r="B6" s="257"/>
      <c r="C6" s="257"/>
      <c r="D6" s="269"/>
      <c r="E6" s="259"/>
      <c r="F6" s="257"/>
      <c r="G6" s="258"/>
      <c r="H6" s="259"/>
      <c r="I6" s="257"/>
      <c r="J6" s="258"/>
      <c r="K6" s="259"/>
      <c r="L6" s="257"/>
      <c r="M6" s="260"/>
      <c r="N6" s="261"/>
      <c r="O6" s="257"/>
      <c r="P6" s="262"/>
      <c r="Q6" s="263"/>
      <c r="R6" s="264"/>
      <c r="S6" s="265"/>
      <c r="T6" s="270"/>
      <c r="U6" s="271"/>
      <c r="V6" s="272"/>
    </row>
    <row r="7" spans="1:22" ht="14.25" x14ac:dyDescent="0.2">
      <c r="A7" s="273" t="s">
        <v>104</v>
      </c>
      <c r="B7" s="274">
        <v>0</v>
      </c>
      <c r="C7" s="275">
        <v>0</v>
      </c>
      <c r="D7" s="276">
        <v>0</v>
      </c>
      <c r="E7" s="277">
        <v>0</v>
      </c>
      <c r="F7" s="275">
        <v>0</v>
      </c>
      <c r="G7" s="276">
        <v>0</v>
      </c>
      <c r="H7" s="278">
        <v>0</v>
      </c>
      <c r="I7" s="275">
        <v>0</v>
      </c>
      <c r="J7" s="276">
        <v>0</v>
      </c>
      <c r="K7" s="277">
        <v>0</v>
      </c>
      <c r="L7" s="275">
        <v>0</v>
      </c>
      <c r="M7" s="279">
        <v>0</v>
      </c>
      <c r="N7" s="280">
        <v>0</v>
      </c>
      <c r="O7" s="275">
        <v>0</v>
      </c>
      <c r="P7" s="281">
        <v>0</v>
      </c>
      <c r="Q7" s="282">
        <v>0</v>
      </c>
      <c r="R7" s="283">
        <v>0</v>
      </c>
      <c r="S7" s="280">
        <v>0</v>
      </c>
      <c r="T7" s="280">
        <v>0</v>
      </c>
      <c r="U7" s="275">
        <v>0</v>
      </c>
      <c r="V7" s="281">
        <v>0</v>
      </c>
    </row>
    <row r="8" spans="1:22" s="240" customFormat="1" ht="13.5" thickBot="1" x14ac:dyDescent="0.25">
      <c r="A8" s="284" t="s">
        <v>183</v>
      </c>
      <c r="B8" s="285">
        <f>B7</f>
        <v>0</v>
      </c>
      <c r="C8" s="285" t="e">
        <f t="shared" ref="C8:L8" si="0">INT(LEFT(C7,FIND("(",C$7)-2))</f>
        <v>#VALUE!</v>
      </c>
      <c r="D8" s="286" t="e">
        <f t="shared" si="0"/>
        <v>#VALUE!</v>
      </c>
      <c r="E8" s="287" t="e">
        <f t="shared" si="0"/>
        <v>#VALUE!</v>
      </c>
      <c r="F8" s="285" t="e">
        <f>INT(LEFT(F7,FIND("(",F$7)-2))</f>
        <v>#VALUE!</v>
      </c>
      <c r="G8" s="286" t="e">
        <f t="shared" si="0"/>
        <v>#VALUE!</v>
      </c>
      <c r="H8" s="288" t="e">
        <f t="shared" si="0"/>
        <v>#VALUE!</v>
      </c>
      <c r="I8" s="285" t="e">
        <f t="shared" si="0"/>
        <v>#VALUE!</v>
      </c>
      <c r="J8" s="286" t="e">
        <f t="shared" si="0"/>
        <v>#VALUE!</v>
      </c>
      <c r="K8" s="288" t="e">
        <f t="shared" si="0"/>
        <v>#VALUE!</v>
      </c>
      <c r="L8" s="285" t="e">
        <f t="shared" si="0"/>
        <v>#VALUE!</v>
      </c>
      <c r="M8" s="289">
        <f>M7</f>
        <v>0</v>
      </c>
      <c r="N8" s="290" t="e">
        <f t="shared" ref="N8:V8" si="1">INT(LEFT(N7,FIND("(",N$7)-2))</f>
        <v>#VALUE!</v>
      </c>
      <c r="O8" s="285" t="e">
        <f t="shared" si="1"/>
        <v>#VALUE!</v>
      </c>
      <c r="P8" s="291" t="e">
        <f t="shared" si="1"/>
        <v>#VALUE!</v>
      </c>
      <c r="Q8" s="292" t="e">
        <f t="shared" si="1"/>
        <v>#VALUE!</v>
      </c>
      <c r="R8" s="293" t="e">
        <f t="shared" si="1"/>
        <v>#VALUE!</v>
      </c>
      <c r="S8" s="294" t="e">
        <f t="shared" si="1"/>
        <v>#VALUE!</v>
      </c>
      <c r="T8" s="294" t="e">
        <f t="shared" si="1"/>
        <v>#VALUE!</v>
      </c>
      <c r="U8" s="294" t="e">
        <f t="shared" si="1"/>
        <v>#VALUE!</v>
      </c>
      <c r="V8" s="295" t="e">
        <f t="shared" si="1"/>
        <v>#VALUE!</v>
      </c>
    </row>
    <row r="9" spans="1:22" ht="14.25" x14ac:dyDescent="0.2">
      <c r="A9" s="113"/>
      <c r="F9" s="113"/>
      <c r="L9" s="114"/>
      <c r="M9" s="113"/>
    </row>
    <row r="10" spans="1:22" thickBot="1" x14ac:dyDescent="0.25">
      <c r="A10" s="113"/>
    </row>
    <row r="11" spans="1:22" ht="23.25" thickTop="1" x14ac:dyDescent="0.2">
      <c r="A11" s="135" t="s">
        <v>120</v>
      </c>
      <c r="B11" s="136"/>
      <c r="C11" s="136"/>
      <c r="D11" s="137" t="str">
        <f>A11</f>
        <v>Requirements test plan</v>
      </c>
      <c r="E11" s="137"/>
      <c r="F11" s="137"/>
      <c r="G11" s="138"/>
      <c r="H11" s="138"/>
      <c r="I11" s="139"/>
      <c r="J11" s="155"/>
      <c r="K11" s="137" t="str">
        <f>$A$18</f>
        <v>Functional / Non-functional requirements</v>
      </c>
      <c r="L11" s="156"/>
      <c r="M11" s="156"/>
      <c r="N11" s="156"/>
      <c r="O11" s="156"/>
      <c r="P11" s="157"/>
    </row>
    <row r="12" spans="1:22" ht="15.75" outlineLevel="1" x14ac:dyDescent="0.2">
      <c r="A12" s="296" t="s">
        <v>193</v>
      </c>
      <c r="B12" s="141" t="e">
        <f xml:space="preserve"> D8</f>
        <v>#VALUE!</v>
      </c>
      <c r="C12" s="142"/>
      <c r="D12" s="142"/>
      <c r="E12" s="143"/>
      <c r="F12" s="143"/>
      <c r="G12" s="143"/>
      <c r="H12" s="143"/>
      <c r="I12" s="144"/>
      <c r="J12" s="158"/>
      <c r="K12" s="147"/>
      <c r="L12" s="142"/>
      <c r="M12" s="147"/>
      <c r="N12" s="147"/>
      <c r="O12" s="147"/>
      <c r="P12" s="159"/>
    </row>
    <row r="13" spans="1:22" ht="15.75" outlineLevel="1" x14ac:dyDescent="0.2">
      <c r="A13" s="296" t="s">
        <v>194</v>
      </c>
      <c r="B13" s="141" t="e">
        <f>E8</f>
        <v>#VALUE!</v>
      </c>
      <c r="C13" s="142"/>
      <c r="D13" s="142"/>
      <c r="E13" s="143"/>
      <c r="F13" s="143"/>
      <c r="G13" s="143"/>
      <c r="H13" s="143"/>
      <c r="I13" s="144"/>
      <c r="J13" s="158"/>
      <c r="K13" s="147"/>
      <c r="L13" s="142"/>
      <c r="M13" s="147"/>
      <c r="N13" s="147"/>
      <c r="O13" s="147"/>
      <c r="P13" s="159"/>
    </row>
    <row r="14" spans="1:22" ht="30" outlineLevel="1" x14ac:dyDescent="0.2">
      <c r="A14" s="296" t="s">
        <v>195</v>
      </c>
      <c r="B14" s="141" t="e">
        <f>D8+E8+F8-INT(LEFT(B8,FIND("/",B$8)-2))</f>
        <v>#VALUE!</v>
      </c>
      <c r="C14" s="142"/>
      <c r="D14" s="142"/>
      <c r="E14" s="143"/>
      <c r="F14" s="143"/>
      <c r="G14" s="143"/>
      <c r="H14" s="143"/>
      <c r="I14" s="144"/>
      <c r="J14" s="158"/>
      <c r="K14" s="147"/>
      <c r="L14" s="142"/>
      <c r="M14" s="147"/>
      <c r="N14" s="147"/>
      <c r="O14" s="147"/>
      <c r="P14" s="159"/>
    </row>
    <row r="15" spans="1:22" ht="15.75" outlineLevel="1" x14ac:dyDescent="0.2">
      <c r="A15" s="231" t="s">
        <v>146</v>
      </c>
      <c r="B15" s="145" t="e">
        <f>F8</f>
        <v>#VALUE!</v>
      </c>
      <c r="C15" s="142"/>
      <c r="D15" s="142"/>
      <c r="E15" s="143"/>
      <c r="F15" s="143"/>
      <c r="G15" s="143"/>
      <c r="H15" s="143"/>
      <c r="I15" s="144"/>
      <c r="J15" s="158"/>
      <c r="K15" s="147"/>
      <c r="L15" s="142"/>
      <c r="M15" s="147"/>
      <c r="N15" s="147"/>
      <c r="O15" s="147"/>
      <c r="P15" s="159"/>
    </row>
    <row r="16" spans="1:22" ht="14.25" outlineLevel="1" x14ac:dyDescent="0.2">
      <c r="A16" s="146"/>
      <c r="B16" s="147"/>
      <c r="C16" s="142"/>
      <c r="D16" s="142"/>
      <c r="E16" s="143"/>
      <c r="F16" s="143"/>
      <c r="G16" s="143"/>
      <c r="H16" s="143"/>
      <c r="I16" s="144"/>
      <c r="J16" s="158"/>
      <c r="K16" s="147"/>
      <c r="L16" s="142"/>
      <c r="M16" s="147"/>
      <c r="N16" s="147"/>
      <c r="O16" s="147"/>
      <c r="P16" s="159"/>
    </row>
    <row r="17" spans="1:20" ht="14.25" outlineLevel="1" x14ac:dyDescent="0.2">
      <c r="A17" s="146"/>
      <c r="B17" s="147"/>
      <c r="C17" s="142"/>
      <c r="D17" s="142"/>
      <c r="E17" s="143"/>
      <c r="F17" s="143"/>
      <c r="G17" s="143"/>
      <c r="H17" s="143"/>
      <c r="I17" s="144"/>
      <c r="J17" s="158"/>
      <c r="K17" s="147"/>
      <c r="L17" s="142"/>
      <c r="M17" s="147"/>
      <c r="N17" s="147"/>
      <c r="O17" s="147"/>
      <c r="P17" s="159"/>
    </row>
    <row r="18" spans="1:20" ht="22.5" outlineLevel="1" x14ac:dyDescent="0.2">
      <c r="A18" s="148" t="s">
        <v>121</v>
      </c>
      <c r="B18" s="142"/>
      <c r="C18" s="142"/>
      <c r="D18" s="142"/>
      <c r="E18" s="143"/>
      <c r="F18" s="143"/>
      <c r="G18" s="143"/>
      <c r="H18" s="143"/>
      <c r="I18" s="144"/>
      <c r="J18" s="158"/>
      <c r="K18" s="147"/>
      <c r="L18" s="142"/>
      <c r="M18" s="147"/>
      <c r="N18" s="147"/>
      <c r="O18" s="147"/>
      <c r="P18" s="159"/>
    </row>
    <row r="19" spans="1:20" ht="15.75" outlineLevel="1" x14ac:dyDescent="0.2">
      <c r="A19" s="140" t="s">
        <v>113</v>
      </c>
      <c r="B19" s="141" t="e">
        <f>INT(RIGHT(B7,FIND("/",B$7)-2))</f>
        <v>#VALUE!</v>
      </c>
      <c r="C19" s="142"/>
      <c r="D19" s="142"/>
      <c r="E19" s="143"/>
      <c r="F19" s="143"/>
      <c r="G19" s="143"/>
      <c r="H19" s="143"/>
      <c r="I19" s="144"/>
      <c r="J19" s="158"/>
      <c r="K19" s="147"/>
      <c r="L19" s="142"/>
      <c r="M19" s="147"/>
      <c r="N19" s="147"/>
      <c r="O19" s="147"/>
      <c r="P19" s="159"/>
    </row>
    <row r="20" spans="1:20" ht="15.75" outlineLevel="1" x14ac:dyDescent="0.2">
      <c r="A20" s="140" t="s">
        <v>123</v>
      </c>
      <c r="B20" s="141" t="e">
        <f>INT(LEFT(B7,FIND("/",B$7)-2)) - INT(RIGHT(B7,FIND("/",B$7)-2))</f>
        <v>#VALUE!</v>
      </c>
      <c r="C20" s="142"/>
      <c r="D20" s="142"/>
      <c r="E20" s="143"/>
      <c r="F20" s="143"/>
      <c r="G20" s="143"/>
      <c r="H20" s="143"/>
      <c r="I20" s="144"/>
      <c r="J20" s="158"/>
      <c r="K20" s="147"/>
      <c r="L20" s="142"/>
      <c r="M20" s="147"/>
      <c r="N20" s="147"/>
      <c r="O20" s="147"/>
      <c r="P20" s="159"/>
    </row>
    <row r="21" spans="1:20" outlineLevel="1" x14ac:dyDescent="0.2">
      <c r="A21" s="149"/>
      <c r="B21" s="142"/>
      <c r="C21" s="142"/>
      <c r="D21" s="142"/>
      <c r="E21" s="143"/>
      <c r="F21" s="143"/>
      <c r="G21" s="143"/>
      <c r="H21" s="143"/>
      <c r="I21" s="144"/>
      <c r="J21" s="158"/>
      <c r="K21" s="147"/>
      <c r="L21" s="142"/>
      <c r="M21" s="147"/>
      <c r="N21" s="147"/>
      <c r="O21" s="147"/>
      <c r="P21" s="159"/>
    </row>
    <row r="22" spans="1:20" outlineLevel="1" x14ac:dyDescent="0.2">
      <c r="A22" s="149"/>
      <c r="B22" s="142"/>
      <c r="C22" s="142"/>
      <c r="D22" s="142"/>
      <c r="E22" s="143"/>
      <c r="F22" s="143"/>
      <c r="G22" s="143"/>
      <c r="H22" s="143"/>
      <c r="I22" s="144"/>
      <c r="J22" s="158"/>
      <c r="K22" s="147"/>
      <c r="L22" s="142"/>
      <c r="M22" s="147"/>
      <c r="N22" s="147"/>
      <c r="O22" s="147"/>
      <c r="P22" s="159"/>
    </row>
    <row r="23" spans="1:20" outlineLevel="1" x14ac:dyDescent="0.2">
      <c r="A23" s="150"/>
      <c r="B23" s="142"/>
      <c r="C23" s="142"/>
      <c r="D23" s="142"/>
      <c r="E23" s="143"/>
      <c r="F23" s="143"/>
      <c r="G23" s="143"/>
      <c r="H23" s="143"/>
      <c r="I23" s="144"/>
      <c r="J23" s="158"/>
      <c r="K23" s="147"/>
      <c r="L23" s="142"/>
      <c r="M23" s="147"/>
      <c r="N23" s="147"/>
      <c r="O23" s="147"/>
      <c r="P23" s="159"/>
    </row>
    <row r="24" spans="1:20" ht="15.75" outlineLevel="1" thickBot="1" x14ac:dyDescent="0.25">
      <c r="A24" s="151"/>
      <c r="B24" s="152"/>
      <c r="C24" s="152"/>
      <c r="D24" s="152"/>
      <c r="E24" s="153"/>
      <c r="F24" s="153"/>
      <c r="G24" s="153"/>
      <c r="H24" s="153"/>
      <c r="I24" s="154"/>
      <c r="J24" s="160"/>
      <c r="K24" s="161"/>
      <c r="L24" s="152"/>
      <c r="M24" s="161"/>
      <c r="N24" s="161"/>
      <c r="O24" s="161"/>
      <c r="P24" s="162"/>
    </row>
    <row r="25" spans="1:20" s="118" customFormat="1" ht="23.25" thickTop="1" x14ac:dyDescent="0.2">
      <c r="A25" s="163"/>
      <c r="B25" s="164"/>
      <c r="C25" s="164"/>
      <c r="D25" s="164"/>
      <c r="E25" s="164"/>
      <c r="F25" s="164"/>
      <c r="G25" s="164"/>
      <c r="H25" s="164"/>
      <c r="I25" s="164"/>
      <c r="J25" s="164"/>
      <c r="K25" s="164"/>
      <c r="L25" s="164"/>
      <c r="M25" s="164"/>
      <c r="N25" s="164"/>
      <c r="O25" s="164"/>
      <c r="P25" s="165"/>
      <c r="Q25" s="115"/>
      <c r="R25" s="115"/>
      <c r="S25" s="115"/>
      <c r="T25" s="115"/>
    </row>
    <row r="26" spans="1:20" outlineLevel="1" x14ac:dyDescent="0.2">
      <c r="A26" s="166"/>
      <c r="B26" s="167"/>
      <c r="C26" s="167"/>
      <c r="D26" s="167"/>
      <c r="E26" s="167"/>
      <c r="F26" s="167"/>
      <c r="G26" s="167"/>
      <c r="H26" s="167"/>
      <c r="I26" s="167"/>
      <c r="J26" s="167"/>
      <c r="K26" s="167"/>
      <c r="L26" s="167"/>
      <c r="M26" s="167"/>
      <c r="N26" s="167"/>
      <c r="O26" s="167"/>
      <c r="P26" s="168"/>
    </row>
    <row r="27" spans="1:20" ht="22.5" outlineLevel="1" x14ac:dyDescent="0.2">
      <c r="A27" s="169" t="s">
        <v>196</v>
      </c>
      <c r="B27" s="167"/>
      <c r="C27" s="167"/>
      <c r="D27" s="170" t="str">
        <f>A27</f>
        <v>SW Qualification WhiteBox tests progress</v>
      </c>
      <c r="E27" s="170"/>
      <c r="F27" s="171"/>
      <c r="G27" s="171"/>
      <c r="H27" s="171"/>
      <c r="I27" s="171"/>
      <c r="J27" s="171"/>
      <c r="K27" s="167"/>
      <c r="L27" s="170" t="str">
        <f>$A$33</f>
        <v>SW Qualification BlackBox tests progress</v>
      </c>
      <c r="M27" s="167"/>
      <c r="N27" s="181"/>
      <c r="O27" s="181"/>
      <c r="P27" s="182"/>
    </row>
    <row r="28" spans="1:20" ht="15.75" outlineLevel="1" x14ac:dyDescent="0.2">
      <c r="A28" s="173" t="s">
        <v>124</v>
      </c>
      <c r="B28" s="174" t="e">
        <f>J8</f>
        <v>#VALUE!</v>
      </c>
      <c r="C28" s="171"/>
      <c r="D28" s="167"/>
      <c r="E28" s="167"/>
      <c r="F28" s="171"/>
      <c r="G28" s="171"/>
      <c r="H28" s="171"/>
      <c r="I28" s="171"/>
      <c r="J28" s="171"/>
      <c r="K28" s="171"/>
      <c r="L28" s="167"/>
      <c r="M28" s="181"/>
      <c r="N28" s="181"/>
      <c r="O28" s="181"/>
      <c r="P28" s="182"/>
    </row>
    <row r="29" spans="1:20" ht="30" outlineLevel="1" x14ac:dyDescent="0.2">
      <c r="A29" s="175" t="s">
        <v>125</v>
      </c>
      <c r="B29" s="174" t="e">
        <f>Q8</f>
        <v>#VALUE!</v>
      </c>
      <c r="C29" s="171"/>
      <c r="D29" s="171"/>
      <c r="E29" s="171"/>
      <c r="F29" s="171"/>
      <c r="G29" s="171"/>
      <c r="H29" s="171"/>
      <c r="I29" s="171"/>
      <c r="J29" s="171"/>
      <c r="K29" s="171"/>
      <c r="L29" s="171"/>
      <c r="M29" s="171"/>
      <c r="N29" s="171"/>
      <c r="O29" s="171"/>
      <c r="P29" s="172"/>
    </row>
    <row r="30" spans="1:20" ht="48" customHeight="1" outlineLevel="1" x14ac:dyDescent="0.2">
      <c r="A30" s="173" t="s">
        <v>126</v>
      </c>
      <c r="B30" s="174" t="e">
        <f>D8-B28-B29</f>
        <v>#VALUE!</v>
      </c>
      <c r="C30" s="171"/>
      <c r="D30" s="167"/>
      <c r="E30" s="167"/>
      <c r="F30" s="171"/>
      <c r="G30" s="171"/>
      <c r="H30" s="171"/>
      <c r="I30" s="171"/>
      <c r="J30" s="171"/>
      <c r="K30" s="171"/>
      <c r="L30" s="167"/>
      <c r="M30" s="181"/>
      <c r="N30" s="181"/>
      <c r="O30" s="181"/>
      <c r="P30" s="182"/>
    </row>
    <row r="31" spans="1:20" ht="14.25" outlineLevel="1" x14ac:dyDescent="0.2">
      <c r="A31" s="176"/>
      <c r="B31" s="171"/>
      <c r="C31" s="171"/>
      <c r="D31" s="171"/>
      <c r="E31" s="171"/>
      <c r="F31" s="171"/>
      <c r="G31" s="171"/>
      <c r="H31" s="171"/>
      <c r="I31" s="171"/>
      <c r="J31" s="171"/>
      <c r="K31" s="171"/>
      <c r="L31" s="167"/>
      <c r="M31" s="181"/>
      <c r="N31" s="181"/>
      <c r="O31" s="181"/>
      <c r="P31" s="182"/>
    </row>
    <row r="32" spans="1:20" ht="14.25" outlineLevel="1" x14ac:dyDescent="0.2">
      <c r="A32" s="176"/>
      <c r="B32" s="171"/>
      <c r="C32" s="171"/>
      <c r="D32" s="171"/>
      <c r="E32" s="171"/>
      <c r="F32" s="171"/>
      <c r="G32" s="171"/>
      <c r="H32" s="171"/>
      <c r="I32" s="171"/>
      <c r="J32" s="171"/>
      <c r="K32" s="171"/>
      <c r="L32" s="167"/>
      <c r="M32" s="181"/>
      <c r="N32" s="181"/>
      <c r="O32" s="181"/>
      <c r="P32" s="182"/>
    </row>
    <row r="33" spans="1:16" ht="22.5" outlineLevel="1" x14ac:dyDescent="0.2">
      <c r="A33" s="169" t="s">
        <v>197</v>
      </c>
      <c r="B33" s="167"/>
      <c r="C33" s="167"/>
      <c r="D33" s="167"/>
      <c r="E33" s="167"/>
      <c r="F33" s="171"/>
      <c r="G33" s="171"/>
      <c r="H33" s="171"/>
      <c r="I33" s="171"/>
      <c r="J33" s="171"/>
      <c r="K33" s="171"/>
      <c r="L33" s="167"/>
      <c r="M33" s="181"/>
      <c r="N33" s="181"/>
      <c r="O33" s="181"/>
      <c r="P33" s="182"/>
    </row>
    <row r="34" spans="1:16" ht="15.75" outlineLevel="1" x14ac:dyDescent="0.2">
      <c r="A34" s="173" t="s">
        <v>124</v>
      </c>
      <c r="B34" s="174" t="e">
        <f>K8</f>
        <v>#VALUE!</v>
      </c>
      <c r="C34" s="167"/>
      <c r="D34" s="167"/>
      <c r="E34" s="167"/>
      <c r="F34" s="171"/>
      <c r="G34" s="171"/>
      <c r="H34" s="171"/>
      <c r="I34" s="171"/>
      <c r="J34" s="171"/>
      <c r="K34" s="171"/>
      <c r="L34" s="167"/>
      <c r="M34" s="181"/>
      <c r="N34" s="181"/>
      <c r="O34" s="181"/>
      <c r="P34" s="182"/>
    </row>
    <row r="35" spans="1:16" ht="30" outlineLevel="1" x14ac:dyDescent="0.2">
      <c r="A35" s="175" t="s">
        <v>125</v>
      </c>
      <c r="B35" s="174" t="e">
        <f>R8</f>
        <v>#VALUE!</v>
      </c>
      <c r="C35" s="171"/>
      <c r="D35" s="167"/>
      <c r="E35" s="167"/>
      <c r="F35" s="171"/>
      <c r="G35" s="171"/>
      <c r="H35" s="171"/>
      <c r="I35" s="171"/>
      <c r="J35" s="171"/>
      <c r="K35" s="171"/>
      <c r="L35" s="167"/>
      <c r="M35" s="181"/>
      <c r="N35" s="181"/>
      <c r="O35" s="181"/>
      <c r="P35" s="182"/>
    </row>
    <row r="36" spans="1:16" ht="21" customHeight="1" outlineLevel="1" x14ac:dyDescent="0.2">
      <c r="A36" s="173" t="s">
        <v>126</v>
      </c>
      <c r="B36" s="174" t="e">
        <f>E8-B34-B35</f>
        <v>#VALUE!</v>
      </c>
      <c r="C36" s="167"/>
      <c r="D36" s="167"/>
      <c r="E36" s="167"/>
      <c r="F36" s="171"/>
      <c r="G36" s="171"/>
      <c r="H36" s="171"/>
      <c r="I36" s="171"/>
      <c r="J36" s="171"/>
      <c r="K36" s="171"/>
      <c r="L36" s="167"/>
      <c r="M36" s="181"/>
      <c r="N36" s="181"/>
      <c r="O36" s="181"/>
      <c r="P36" s="182"/>
    </row>
    <row r="37" spans="1:16" outlineLevel="1" x14ac:dyDescent="0.2">
      <c r="A37" s="177"/>
      <c r="B37" s="167"/>
      <c r="C37" s="167"/>
      <c r="D37" s="167"/>
      <c r="E37" s="167"/>
      <c r="F37" s="171"/>
      <c r="G37" s="171"/>
      <c r="H37" s="171"/>
      <c r="I37" s="171"/>
      <c r="J37" s="171"/>
      <c r="K37" s="171"/>
      <c r="L37" s="167"/>
      <c r="M37" s="181"/>
      <c r="N37" s="181"/>
      <c r="O37" s="181"/>
      <c r="P37" s="182"/>
    </row>
    <row r="38" spans="1:16" ht="16.5" outlineLevel="1" thickBot="1" x14ac:dyDescent="0.25">
      <c r="A38" s="178"/>
      <c r="B38" s="179"/>
      <c r="C38" s="179"/>
      <c r="D38" s="179"/>
      <c r="E38" s="179"/>
      <c r="F38" s="180"/>
      <c r="G38" s="180"/>
      <c r="H38" s="180"/>
      <c r="I38" s="180"/>
      <c r="J38" s="180"/>
      <c r="K38" s="180"/>
      <c r="L38" s="179"/>
      <c r="M38" s="183"/>
      <c r="N38" s="183"/>
      <c r="O38" s="183"/>
      <c r="P38" s="184"/>
    </row>
    <row r="39" spans="1:16" ht="23.25" thickTop="1" x14ac:dyDescent="0.2">
      <c r="A39" s="185"/>
      <c r="B39" s="186"/>
      <c r="C39" s="186"/>
      <c r="D39" s="186" t="str">
        <f>A45</f>
        <v>Requirements tests results</v>
      </c>
      <c r="E39" s="186"/>
      <c r="F39" s="186"/>
      <c r="G39" s="186"/>
      <c r="H39" s="186"/>
      <c r="I39" s="186"/>
      <c r="J39" s="186"/>
      <c r="K39" s="186"/>
      <c r="L39" s="186"/>
      <c r="M39" s="186"/>
      <c r="N39" s="186"/>
      <c r="O39" s="186"/>
      <c r="P39" s="187"/>
    </row>
    <row r="40" spans="1:16" outlineLevel="1" x14ac:dyDescent="0.2">
      <c r="A40" s="188"/>
      <c r="B40" s="189"/>
      <c r="C40" s="189"/>
      <c r="D40" s="189"/>
      <c r="E40" s="189"/>
      <c r="F40" s="189"/>
      <c r="G40" s="189"/>
      <c r="H40" s="189"/>
      <c r="I40" s="189"/>
      <c r="J40" s="189"/>
      <c r="K40" s="189"/>
      <c r="L40" s="189"/>
      <c r="M40" s="189"/>
      <c r="N40" s="189"/>
      <c r="O40" s="189"/>
      <c r="P40" s="190"/>
    </row>
    <row r="41" spans="1:16" ht="15.75" outlineLevel="1" x14ac:dyDescent="0.2">
      <c r="A41" s="188"/>
      <c r="B41" s="189"/>
      <c r="C41" s="189"/>
      <c r="D41" s="189"/>
      <c r="E41" s="191"/>
      <c r="F41" s="192"/>
      <c r="G41" s="192"/>
      <c r="H41" s="192"/>
      <c r="I41" s="193"/>
      <c r="J41" s="192"/>
      <c r="K41" s="192"/>
      <c r="L41" s="189"/>
      <c r="M41" s="194"/>
      <c r="N41" s="194"/>
      <c r="O41" s="194"/>
      <c r="P41" s="195"/>
    </row>
    <row r="42" spans="1:16" ht="15.75" outlineLevel="1" x14ac:dyDescent="0.2">
      <c r="A42" s="188"/>
      <c r="B42" s="189"/>
      <c r="C42" s="189"/>
      <c r="D42" s="189"/>
      <c r="E42" s="191"/>
      <c r="F42" s="192"/>
      <c r="G42" s="192"/>
      <c r="H42" s="192"/>
      <c r="I42" s="193"/>
      <c r="J42" s="192"/>
      <c r="K42" s="192"/>
      <c r="L42" s="189"/>
      <c r="M42" s="194"/>
      <c r="N42" s="194"/>
      <c r="O42" s="194"/>
      <c r="P42" s="195"/>
    </row>
    <row r="43" spans="1:16" ht="15.75" outlineLevel="1" x14ac:dyDescent="0.2">
      <c r="A43" s="188"/>
      <c r="B43" s="189"/>
      <c r="C43" s="189"/>
      <c r="D43" s="189"/>
      <c r="E43" s="191"/>
      <c r="F43" s="192"/>
      <c r="G43" s="192"/>
      <c r="H43" s="192"/>
      <c r="I43" s="193"/>
      <c r="J43" s="192"/>
      <c r="K43" s="192"/>
      <c r="L43" s="189"/>
      <c r="M43" s="194"/>
      <c r="N43" s="194"/>
      <c r="O43" s="194"/>
      <c r="P43" s="195"/>
    </row>
    <row r="44" spans="1:16" ht="15.75" outlineLevel="1" x14ac:dyDescent="0.2">
      <c r="A44" s="188"/>
      <c r="B44" s="189"/>
      <c r="C44" s="189"/>
      <c r="D44" s="189"/>
      <c r="E44" s="191"/>
      <c r="F44" s="192"/>
      <c r="G44" s="192"/>
      <c r="H44" s="192"/>
      <c r="I44" s="193"/>
      <c r="J44" s="192"/>
      <c r="K44" s="192"/>
      <c r="L44" s="189"/>
      <c r="M44" s="194"/>
      <c r="N44" s="194"/>
      <c r="O44" s="194"/>
      <c r="P44" s="195"/>
    </row>
    <row r="45" spans="1:16" ht="22.5" outlineLevel="1" x14ac:dyDescent="0.2">
      <c r="A45" s="196" t="s">
        <v>129</v>
      </c>
      <c r="B45" s="189"/>
      <c r="C45" s="189"/>
      <c r="D45" s="189"/>
      <c r="E45" s="189"/>
      <c r="F45" s="192"/>
      <c r="G45" s="192"/>
      <c r="H45" s="192"/>
      <c r="I45" s="192"/>
      <c r="J45" s="192"/>
      <c r="K45" s="192"/>
      <c r="L45" s="189"/>
      <c r="M45" s="194"/>
      <c r="N45" s="194"/>
      <c r="O45" s="194"/>
      <c r="P45" s="195"/>
    </row>
    <row r="46" spans="1:16" ht="15.75" outlineLevel="1" x14ac:dyDescent="0.2">
      <c r="A46" s="197" t="s">
        <v>107</v>
      </c>
      <c r="B46" s="198" t="e">
        <f>N8</f>
        <v>#VALUE!</v>
      </c>
      <c r="C46" s="189"/>
      <c r="D46" s="189"/>
      <c r="E46" s="189"/>
      <c r="F46" s="192"/>
      <c r="G46" s="192"/>
      <c r="H46" s="192"/>
      <c r="I46" s="192"/>
      <c r="J46" s="192"/>
      <c r="K46" s="192"/>
      <c r="L46" s="189"/>
      <c r="M46" s="194"/>
      <c r="N46" s="194"/>
      <c r="O46" s="194"/>
      <c r="P46" s="195"/>
    </row>
    <row r="47" spans="1:16" ht="15.75" outlineLevel="1" x14ac:dyDescent="0.2">
      <c r="A47" s="197" t="s">
        <v>108</v>
      </c>
      <c r="B47" s="198" t="e">
        <f>O8</f>
        <v>#VALUE!</v>
      </c>
      <c r="C47" s="189"/>
      <c r="D47" s="189"/>
      <c r="E47" s="189"/>
      <c r="F47" s="192"/>
      <c r="G47" s="192"/>
      <c r="H47" s="192"/>
      <c r="I47" s="192"/>
      <c r="J47" s="192"/>
      <c r="K47" s="192"/>
      <c r="L47" s="189"/>
      <c r="M47" s="194"/>
      <c r="N47" s="194"/>
      <c r="O47" s="194"/>
      <c r="P47" s="195"/>
    </row>
    <row r="48" spans="1:16" ht="15.75" outlineLevel="1" x14ac:dyDescent="0.2">
      <c r="A48" s="197" t="s">
        <v>110</v>
      </c>
      <c r="B48" s="198" t="e">
        <f>P8</f>
        <v>#VALUE!</v>
      </c>
      <c r="C48" s="189"/>
      <c r="D48" s="189"/>
      <c r="E48" s="189"/>
      <c r="F48" s="192"/>
      <c r="G48" s="192"/>
      <c r="H48" s="192"/>
      <c r="I48" s="192"/>
      <c r="J48" s="192"/>
      <c r="K48" s="192"/>
      <c r="L48" s="189"/>
      <c r="M48" s="194"/>
      <c r="N48" s="194"/>
      <c r="O48" s="194"/>
      <c r="P48" s="195"/>
    </row>
    <row r="49" spans="1:16" ht="16.5" outlineLevel="1" thickBot="1" x14ac:dyDescent="0.25">
      <c r="A49" s="197" t="s">
        <v>130</v>
      </c>
      <c r="B49" s="198" t="e">
        <f>L8-B47</f>
        <v>#VALUE!</v>
      </c>
      <c r="C49" s="189"/>
      <c r="D49" s="189"/>
      <c r="E49" s="189"/>
      <c r="F49" s="192"/>
      <c r="G49" s="192"/>
      <c r="H49" s="192"/>
      <c r="I49" s="192"/>
      <c r="J49" s="192"/>
      <c r="K49" s="192"/>
      <c r="L49" s="189"/>
      <c r="M49" s="194"/>
      <c r="N49" s="194"/>
      <c r="O49" s="194"/>
      <c r="P49" s="195"/>
    </row>
    <row r="50" spans="1:16" ht="17.25" outlineLevel="1" thickTop="1" thickBot="1" x14ac:dyDescent="0.25">
      <c r="A50" s="199" t="s">
        <v>109</v>
      </c>
      <c r="B50" s="200" t="e">
        <f>SUM(B46:B49)</f>
        <v>#VALUE!</v>
      </c>
      <c r="C50" s="189"/>
      <c r="D50" s="189"/>
      <c r="E50" s="189"/>
      <c r="F50" s="192"/>
      <c r="G50" s="192"/>
      <c r="H50" s="192"/>
      <c r="I50" s="192"/>
      <c r="J50" s="192"/>
      <c r="K50" s="192"/>
      <c r="L50" s="189"/>
      <c r="M50" s="194"/>
      <c r="N50" s="194"/>
      <c r="O50" s="194"/>
      <c r="P50" s="195"/>
    </row>
    <row r="51" spans="1:16" ht="15.75" outlineLevel="1" thickTop="1" x14ac:dyDescent="0.2">
      <c r="A51" s="201"/>
      <c r="B51" s="189"/>
      <c r="C51" s="189"/>
      <c r="D51" s="189"/>
      <c r="E51" s="189"/>
      <c r="F51" s="192"/>
      <c r="G51" s="192"/>
      <c r="H51" s="192"/>
      <c r="I51" s="192"/>
      <c r="J51" s="192"/>
      <c r="K51" s="192"/>
      <c r="L51" s="189"/>
      <c r="M51" s="194"/>
      <c r="N51" s="194"/>
      <c r="O51" s="194"/>
      <c r="P51" s="195"/>
    </row>
    <row r="52" spans="1:16" outlineLevel="1" x14ac:dyDescent="0.2">
      <c r="A52" s="201"/>
      <c r="B52" s="189"/>
      <c r="C52" s="189"/>
      <c r="D52" s="189"/>
      <c r="E52" s="189"/>
      <c r="F52" s="192"/>
      <c r="G52" s="192"/>
      <c r="H52" s="192"/>
      <c r="I52" s="192"/>
      <c r="J52" s="192"/>
      <c r="K52" s="192"/>
      <c r="L52" s="189"/>
      <c r="M52" s="194"/>
      <c r="N52" s="194"/>
      <c r="O52" s="194"/>
      <c r="P52" s="195"/>
    </row>
    <row r="53" spans="1:16" outlineLevel="1" x14ac:dyDescent="0.2">
      <c r="A53" s="201"/>
      <c r="B53" s="189"/>
      <c r="C53" s="189"/>
      <c r="D53" s="189"/>
      <c r="E53" s="189"/>
      <c r="F53" s="192"/>
      <c r="G53" s="192"/>
      <c r="H53" s="192"/>
      <c r="I53" s="192"/>
      <c r="J53" s="192"/>
      <c r="K53" s="192"/>
      <c r="L53" s="189"/>
      <c r="M53" s="194"/>
      <c r="N53" s="194"/>
      <c r="O53" s="194"/>
      <c r="P53" s="195"/>
    </row>
    <row r="54" spans="1:16" outlineLevel="1" x14ac:dyDescent="0.2">
      <c r="A54" s="201"/>
      <c r="B54" s="189"/>
      <c r="C54" s="189"/>
      <c r="D54" s="189"/>
      <c r="E54" s="189"/>
      <c r="F54" s="192"/>
      <c r="G54" s="192"/>
      <c r="H54" s="192"/>
      <c r="I54" s="192"/>
      <c r="J54" s="192"/>
      <c r="K54" s="192"/>
      <c r="L54" s="189"/>
      <c r="M54" s="194"/>
      <c r="N54" s="194"/>
      <c r="O54" s="194"/>
      <c r="P54" s="195"/>
    </row>
    <row r="55" spans="1:16" ht="15.75" outlineLevel="1" thickBot="1" x14ac:dyDescent="0.25">
      <c r="A55" s="202"/>
      <c r="B55" s="203"/>
      <c r="C55" s="203"/>
      <c r="D55" s="203"/>
      <c r="E55" s="203"/>
      <c r="F55" s="204"/>
      <c r="G55" s="204"/>
      <c r="H55" s="204"/>
      <c r="I55" s="204"/>
      <c r="J55" s="204"/>
      <c r="K55" s="204"/>
      <c r="L55" s="203"/>
      <c r="M55" s="205"/>
      <c r="N55" s="205"/>
      <c r="O55" s="205"/>
      <c r="P55" s="206"/>
    </row>
    <row r="56" spans="1:16" ht="23.25" thickTop="1" x14ac:dyDescent="0.2">
      <c r="A56" s="207" t="s">
        <v>114</v>
      </c>
      <c r="B56" s="208"/>
      <c r="C56" s="208"/>
      <c r="D56" s="208"/>
      <c r="E56" s="208"/>
      <c r="F56" s="209"/>
      <c r="G56" s="209"/>
      <c r="H56" s="209"/>
      <c r="I56" s="209"/>
      <c r="J56" s="209"/>
      <c r="K56" s="209"/>
      <c r="L56" s="208"/>
      <c r="M56" s="210"/>
      <c r="N56" s="210"/>
      <c r="O56" s="210"/>
      <c r="P56" s="211"/>
    </row>
    <row r="57" spans="1:16" ht="22.5" outlineLevel="1" x14ac:dyDescent="0.2">
      <c r="A57" s="212"/>
      <c r="B57" s="213"/>
      <c r="C57" s="213"/>
      <c r="D57" s="213"/>
      <c r="E57" s="213"/>
      <c r="F57" s="214"/>
      <c r="G57" s="214"/>
      <c r="H57" s="214"/>
      <c r="I57" s="214"/>
      <c r="J57" s="214"/>
      <c r="K57" s="214"/>
      <c r="L57" s="213"/>
      <c r="M57" s="215"/>
      <c r="N57" s="215"/>
      <c r="O57" s="215"/>
      <c r="P57" s="216"/>
    </row>
    <row r="58" spans="1:16" outlineLevel="1" x14ac:dyDescent="0.2">
      <c r="A58" s="217" t="s">
        <v>115</v>
      </c>
      <c r="B58" s="125" t="e">
        <f>IF((NbOfFunctionalReqs+NbOfNonFunctionalReqs)=C8,"OK","NOK")</f>
        <v>#VALUE!</v>
      </c>
      <c r="C58" s="382" t="e">
        <f>IF((NbOfFunctionalReqs+NbOfNonFunctionalReqs)=C8,"",(NbOfFunctionalReqs+NbOfNonFunctionalReqs)-C8 &amp;" requirements are not implemented")</f>
        <v>#VALUE!</v>
      </c>
      <c r="D58" s="383"/>
      <c r="E58" s="383"/>
      <c r="F58" s="383"/>
      <c r="G58" s="383"/>
      <c r="H58" s="383"/>
      <c r="I58" s="383"/>
      <c r="J58" s="384"/>
      <c r="K58" s="214"/>
      <c r="L58" s="213"/>
      <c r="M58" s="215"/>
      <c r="N58" s="215"/>
      <c r="O58" s="215"/>
      <c r="P58" s="216"/>
    </row>
    <row r="59" spans="1:16" outlineLevel="1" x14ac:dyDescent="0.2">
      <c r="A59" s="217" t="s">
        <v>117</v>
      </c>
      <c r="B59" s="125" t="e">
        <f>IF(B15-ReqNotApproved&lt;=0,"OK","NOK")</f>
        <v>#VALUE!</v>
      </c>
      <c r="C59" s="379" t="e">
        <f>IF(B15-ReqNotApproved&lt;=0,"",B15-ReqNotApproved &amp;" ("&amp;ROUNDUP((B15-ReqNotApproved)/(NbOfFunctionalReqs+NbOfNonFunctionalReqs)*100,0)&amp;"%) requirements have no TestScope")</f>
        <v>#VALUE!</v>
      </c>
      <c r="D59" s="379"/>
      <c r="E59" s="379"/>
      <c r="F59" s="379"/>
      <c r="G59" s="379"/>
      <c r="H59" s="379"/>
      <c r="I59" s="379"/>
      <c r="J59" s="379"/>
      <c r="K59" s="214"/>
      <c r="L59" s="213"/>
      <c r="M59" s="215"/>
      <c r="N59" s="215"/>
      <c r="O59" s="215"/>
      <c r="P59" s="216"/>
    </row>
    <row r="60" spans="1:16" outlineLevel="1" x14ac:dyDescent="0.2">
      <c r="A60" s="217" t="s">
        <v>116</v>
      </c>
      <c r="B60" s="125" t="str">
        <f>IF(-ReqNotApproved=0,"OK","NOK")</f>
        <v>OK</v>
      </c>
      <c r="C60" s="379" t="str">
        <f>IF(ReqNotApproved=0,"",ReqNotApproved &amp;" ("&amp;ROUNDUP((ReqNotApproved)/(NbOfFunctionalReqs+NbOfNonFunctionalReqs)*100,0)&amp;"%) requirements are not yet fully reviewed")</f>
        <v/>
      </c>
      <c r="D60" s="379"/>
      <c r="E60" s="379"/>
      <c r="F60" s="379"/>
      <c r="G60" s="379"/>
      <c r="H60" s="379"/>
      <c r="I60" s="379"/>
      <c r="J60" s="379"/>
      <c r="K60" s="214"/>
      <c r="L60" s="213"/>
      <c r="M60" s="215"/>
      <c r="N60" s="215"/>
      <c r="O60" s="215"/>
      <c r="P60" s="216"/>
    </row>
    <row r="61" spans="1:16" ht="29.25" customHeight="1" outlineLevel="1" x14ac:dyDescent="0.2">
      <c r="A61" s="297" t="s">
        <v>206</v>
      </c>
      <c r="B61" s="125" t="e">
        <f>IF(B30=0,"OK","NOK")</f>
        <v>#VALUE!</v>
      </c>
      <c r="C61" s="379" t="e">
        <f>IF(B61="OK","",B30 &amp; " ("&amp;ROUNDUP(B30/(INT(LEFT(B8,FIND("/",B$8)-2)))*100,0)&amp;"% from Total) requirements without White Box test specification")</f>
        <v>#VALUE!</v>
      </c>
      <c r="D61" s="379"/>
      <c r="E61" s="379"/>
      <c r="F61" s="379"/>
      <c r="G61" s="379"/>
      <c r="H61" s="379"/>
      <c r="I61" s="379"/>
      <c r="J61" s="379"/>
      <c r="K61" s="214"/>
      <c r="L61" s="213"/>
      <c r="M61" s="215"/>
      <c r="N61" s="215"/>
      <c r="O61" s="215"/>
      <c r="P61" s="216"/>
    </row>
    <row r="62" spans="1:16" ht="30" outlineLevel="1" x14ac:dyDescent="0.2">
      <c r="A62" s="297" t="s">
        <v>207</v>
      </c>
      <c r="B62" s="125" t="e">
        <f>IF(B36=0,"OK","NOK")</f>
        <v>#VALUE!</v>
      </c>
      <c r="C62" s="379" t="e">
        <f>IF(B62="OK","",B36&amp;" ("&amp;ROUNDUP(B36/(INT(LEFT(B8,FIND("/",B$8)-2)))*100,0)&amp;"% from Total) requirements without Black Box test specification")</f>
        <v>#VALUE!</v>
      </c>
      <c r="D62" s="379"/>
      <c r="E62" s="379"/>
      <c r="F62" s="379"/>
      <c r="G62" s="379"/>
      <c r="H62" s="379"/>
      <c r="I62" s="379"/>
      <c r="J62" s="379"/>
      <c r="K62" s="214"/>
      <c r="L62" s="213"/>
      <c r="M62" s="215"/>
      <c r="N62" s="215"/>
      <c r="O62" s="215"/>
      <c r="P62" s="216"/>
    </row>
    <row r="63" spans="1:16" outlineLevel="1" x14ac:dyDescent="0.2">
      <c r="A63" s="298" t="s">
        <v>208</v>
      </c>
      <c r="B63" s="125" t="e">
        <f>IF(B29+B30=0,"OK","NOK")</f>
        <v>#VALUE!</v>
      </c>
      <c r="C63" s="379" t="e">
        <f>IF(B63="OK","",B29+B30 &amp;" ("&amp;ROUNDUP((B29+B30)/INT(LEFT(B16,FIND("/",B$16)-2))*100,0)&amp;"% from Total) requirements without White Box test result")</f>
        <v>#VALUE!</v>
      </c>
      <c r="D63" s="379"/>
      <c r="E63" s="379"/>
      <c r="F63" s="379"/>
      <c r="G63" s="379"/>
      <c r="H63" s="379"/>
      <c r="I63" s="379"/>
      <c r="J63" s="379"/>
      <c r="K63" s="214"/>
      <c r="L63" s="213"/>
      <c r="M63" s="215"/>
      <c r="N63" s="215"/>
      <c r="O63" s="215"/>
      <c r="P63" s="216"/>
    </row>
    <row r="64" spans="1:16" outlineLevel="1" x14ac:dyDescent="0.2">
      <c r="A64" s="298" t="s">
        <v>209</v>
      </c>
      <c r="B64" s="125" t="e">
        <f>IF(B35+B36=0,"OK","NOK")</f>
        <v>#VALUE!</v>
      </c>
      <c r="C64" s="379" t="e">
        <f>IF(B64="OK","",B35+B36 &amp;" ("&amp;ROUNDUP((B35+B36)/INT(LEFT(B16,FIND("/",B$16)-2))*100,0)&amp;"% from Total) requirements without Black Box test result")</f>
        <v>#VALUE!</v>
      </c>
      <c r="D64" s="379"/>
      <c r="E64" s="379"/>
      <c r="F64" s="379"/>
      <c r="G64" s="379"/>
      <c r="H64" s="379"/>
      <c r="I64" s="379"/>
      <c r="J64" s="379"/>
      <c r="K64" s="214"/>
      <c r="L64" s="213"/>
      <c r="M64" s="215"/>
      <c r="N64" s="215"/>
      <c r="O64" s="215"/>
      <c r="P64" s="216"/>
    </row>
    <row r="65" spans="1:16" ht="15.75" outlineLevel="1" thickBot="1" x14ac:dyDescent="0.25">
      <c r="A65" s="218"/>
      <c r="B65" s="219"/>
      <c r="C65" s="219"/>
      <c r="D65" s="219"/>
      <c r="E65" s="219"/>
      <c r="F65" s="220"/>
      <c r="G65" s="220"/>
      <c r="H65" s="220"/>
      <c r="I65" s="220"/>
      <c r="J65" s="220"/>
      <c r="K65" s="220"/>
      <c r="L65" s="219"/>
      <c r="M65" s="221"/>
      <c r="N65" s="221"/>
      <c r="O65" s="221"/>
      <c r="P65" s="222"/>
    </row>
    <row r="66" spans="1:16" ht="15.75" hidden="1" thickTop="1" x14ac:dyDescent="0.2"/>
    <row r="67" spans="1:16" hidden="1" x14ac:dyDescent="0.2"/>
    <row r="68" spans="1:16" ht="15.75" thickTop="1" x14ac:dyDescent="0.2"/>
    <row r="69" spans="1:16" x14ac:dyDescent="0.2"/>
    <row r="70" spans="1:16" x14ac:dyDescent="0.2"/>
    <row r="71" spans="1:16" x14ac:dyDescent="0.2"/>
    <row r="72" spans="1:16" x14ac:dyDescent="0.2"/>
    <row r="73" spans="1:16" x14ac:dyDescent="0.2"/>
    <row r="74" spans="1:16" x14ac:dyDescent="0.2"/>
    <row r="75" spans="1:16" x14ac:dyDescent="0.2"/>
    <row r="76" spans="1:16" x14ac:dyDescent="0.2"/>
    <row r="77" spans="1:16" x14ac:dyDescent="0.2"/>
    <row r="78" spans="1:16" x14ac:dyDescent="0.2"/>
    <row r="79" spans="1:16" x14ac:dyDescent="0.2"/>
    <row r="80" spans="1:16"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sheetData>
  <mergeCells count="12">
    <mergeCell ref="T3:V3"/>
    <mergeCell ref="C62:J62"/>
    <mergeCell ref="N3:P3"/>
    <mergeCell ref="C3:L3"/>
    <mergeCell ref="Q3:R3"/>
    <mergeCell ref="C64:J64"/>
    <mergeCell ref="C63:J63"/>
    <mergeCell ref="B1:C1"/>
    <mergeCell ref="C58:J58"/>
    <mergeCell ref="C59:J59"/>
    <mergeCell ref="C60:J60"/>
    <mergeCell ref="C61:J61"/>
  </mergeCells>
  <conditionalFormatting sqref="B58">
    <cfRule type="iconSet" priority="10">
      <iconSet>
        <cfvo type="percent" val="0"/>
        <cfvo type="percent" val="33"/>
        <cfvo type="percent" val="67"/>
      </iconSet>
    </cfRule>
    <cfRule type="cellIs" dxfId="8" priority="13" stopIfTrue="1" operator="equal">
      <formula>"OK"</formula>
    </cfRule>
  </conditionalFormatting>
  <conditionalFormatting sqref="B59">
    <cfRule type="cellIs" dxfId="7" priority="11" stopIfTrue="1" operator="equal">
      <formula>"OK"</formula>
    </cfRule>
  </conditionalFormatting>
  <conditionalFormatting sqref="B60">
    <cfRule type="iconSet" priority="8">
      <iconSet>
        <cfvo type="percent" val="0"/>
        <cfvo type="percent" val="33"/>
        <cfvo type="percent" val="67"/>
      </iconSet>
    </cfRule>
    <cfRule type="cellIs" dxfId="6" priority="9" stopIfTrue="1" operator="equal">
      <formula>"OK"</formula>
    </cfRule>
  </conditionalFormatting>
  <conditionalFormatting sqref="B61 B63:B64">
    <cfRule type="iconSet" priority="6">
      <iconSet>
        <cfvo type="percent" val="0"/>
        <cfvo type="percent" val="33"/>
        <cfvo type="percent" val="67"/>
      </iconSet>
    </cfRule>
    <cfRule type="cellIs" dxfId="5" priority="7" stopIfTrue="1" operator="equal">
      <formula>"OK"</formula>
    </cfRule>
  </conditionalFormatting>
  <conditionalFormatting sqref="B1:C1">
    <cfRule type="cellIs" dxfId="4" priority="5" stopIfTrue="1" operator="equal">
      <formula>"tbd"</formula>
    </cfRule>
  </conditionalFormatting>
  <conditionalFormatting sqref="B62">
    <cfRule type="iconSet" priority="1">
      <iconSet>
        <cfvo type="percent" val="0"/>
        <cfvo type="percent" val="33"/>
        <cfvo type="percent" val="67"/>
      </iconSet>
    </cfRule>
    <cfRule type="cellIs" dxfId="3" priority="2" stopIfTrue="1" operator="equal">
      <formula>"OK"</formula>
    </cfRule>
  </conditionalFormatting>
  <pageMargins left="0.75" right="0.75" top="1" bottom="1" header="0.4921259845" footer="0.4921259845"/>
  <pageSetup scale="34" orientation="portrait" r:id="rId1"/>
  <headerFooter alignWithMargins="0">
    <oddFooter>&amp;LExxxxxx rev xxx ver xxx&amp;R&amp;P</oddFooter>
  </headerFooter>
  <drawing r:id="rId2"/>
  <legacyDrawing r:id="rId3"/>
  <controls>
    <mc:AlternateContent xmlns:mc="http://schemas.openxmlformats.org/markup-compatibility/2006">
      <mc:Choice Requires="x14">
        <control shapeId="20482" r:id="rId4" name="ImportSRM">
          <controlPr defaultSize="0" autoLine="0" r:id="rId5">
            <anchor moveWithCells="1">
              <from>
                <xdr:col>5</xdr:col>
                <xdr:colOff>180975</xdr:colOff>
                <xdr:row>1</xdr:row>
                <xdr:rowOff>9525</xdr:rowOff>
              </from>
              <to>
                <xdr:col>6</xdr:col>
                <xdr:colOff>800100</xdr:colOff>
                <xdr:row>1</xdr:row>
                <xdr:rowOff>361950</xdr:rowOff>
              </to>
            </anchor>
          </controlPr>
        </control>
      </mc:Choice>
      <mc:Fallback>
        <control shapeId="20482" r:id="rId4" name="ImportSRM"/>
      </mc:Fallback>
    </mc:AlternateContent>
    <mc:AlternateContent xmlns:mc="http://schemas.openxmlformats.org/markup-compatibility/2006">
      <mc:Choice Requires="x14">
        <control shapeId="20481" r:id="rId6" name="UpdateStatisticsButton">
          <controlPr defaultSize="0" autoLine="0" r:id="rId7">
            <anchor moveWithCells="1">
              <from>
                <xdr:col>3</xdr:col>
                <xdr:colOff>161925</xdr:colOff>
                <xdr:row>1</xdr:row>
                <xdr:rowOff>9525</xdr:rowOff>
              </from>
              <to>
                <xdr:col>4</xdr:col>
                <xdr:colOff>676275</xdr:colOff>
                <xdr:row>1</xdr:row>
                <xdr:rowOff>361950</xdr:rowOff>
              </to>
            </anchor>
          </controlPr>
        </control>
      </mc:Choice>
      <mc:Fallback>
        <control shapeId="20481" r:id="rId6" name="UpdateStatisticsButton"/>
      </mc:Fallback>
    </mc:AlternateContent>
    <mc:AlternateContent xmlns:mc="http://schemas.openxmlformats.org/markup-compatibility/2006">
      <mc:Choice Requires="x14">
        <control shapeId="20483" r:id="rId8" name="Button 3">
          <controlPr defaultSize="0" print="0" autoFill="0" autoPict="0" macro="[0]!Feuil1.NOK_List_Click">
            <anchor moveWithCells="1" sizeWithCells="1">
              <from>
                <xdr:col>7</xdr:col>
                <xdr:colOff>219075</xdr:colOff>
                <xdr:row>1</xdr:row>
                <xdr:rowOff>0</xdr:rowOff>
              </from>
              <to>
                <xdr:col>9</xdr:col>
                <xdr:colOff>66675</xdr:colOff>
                <xdr:row>1</xdr:row>
                <xdr:rowOff>342900</xdr:rowOff>
              </to>
            </anchor>
          </controlPr>
        </control>
      </mc:Choice>
    </mc:AlternateContent>
    <mc:AlternateContent xmlns:mc="http://schemas.openxmlformats.org/markup-compatibility/2006">
      <mc:Choice Requires="x14">
        <control shapeId="1243195" r:id="rId9" name="Button 1083">
          <controlPr defaultSize="0" print="0" autoFill="0" autoPict="0" macro="[0]!ThisWorkbook.Get_Untested">
            <anchor moveWithCells="1" sizeWithCells="1">
              <from>
                <xdr:col>9</xdr:col>
                <xdr:colOff>352425</xdr:colOff>
                <xdr:row>1</xdr:row>
                <xdr:rowOff>0</xdr:rowOff>
              </from>
              <to>
                <xdr:col>10</xdr:col>
                <xdr:colOff>771525</xdr:colOff>
                <xdr:row>1</xdr:row>
                <xdr:rowOff>323850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8">
    <tabColor theme="4" tint="0.39997558519241921"/>
  </sheetPr>
  <dimension ref="A1:O99"/>
  <sheetViews>
    <sheetView showGridLines="0" zoomScale="90" zoomScaleNormal="90" workbookViewId="0">
      <pane ySplit="4" topLeftCell="A95" activePane="bottomLeft" state="frozen"/>
      <selection activeCell="B1" sqref="B1"/>
      <selection pane="bottomLeft" activeCell="C97" sqref="C97"/>
    </sheetView>
  </sheetViews>
  <sheetFormatPr defaultColWidth="0" defaultRowHeight="14.25" x14ac:dyDescent="0.2"/>
  <cols>
    <col min="1" max="1" width="34.125" style="60" customWidth="1"/>
    <col min="2" max="3" width="9.625" style="61" customWidth="1"/>
    <col min="4" max="4" width="5.625" style="61" customWidth="1"/>
    <col min="5" max="5" width="9.625" style="61" customWidth="1"/>
    <col min="6" max="6" width="11.25" style="62" customWidth="1"/>
    <col min="7" max="7" width="12.75" style="63" customWidth="1"/>
    <col min="8" max="8" width="13.25" style="62" customWidth="1"/>
    <col min="9" max="9" width="26.5" style="62" customWidth="1"/>
    <col min="10" max="11" width="11.25" style="62" customWidth="1"/>
    <col min="12" max="12" width="11.875" style="62" customWidth="1"/>
    <col min="13" max="14" width="11.25" style="62" customWidth="1"/>
    <col min="15" max="15" width="10" style="62" customWidth="1"/>
    <col min="16" max="16384" width="0" style="62" hidden="1"/>
  </cols>
  <sheetData>
    <row r="1" spans="1:15" customFormat="1" ht="15" customHeight="1" x14ac:dyDescent="0.2">
      <c r="A1" s="397" t="s">
        <v>159</v>
      </c>
      <c r="B1" s="398"/>
      <c r="C1" s="399" t="str">
        <f>SWVersion</f>
        <v>tbd</v>
      </c>
      <c r="D1" s="400"/>
      <c r="E1" s="61"/>
    </row>
    <row r="2" spans="1:15" customFormat="1" ht="60" customHeight="1" x14ac:dyDescent="0.2">
      <c r="A2" s="60"/>
      <c r="B2" s="60"/>
      <c r="C2" s="60"/>
      <c r="D2" s="60"/>
      <c r="E2" s="394" t="s">
        <v>147</v>
      </c>
      <c r="F2" s="395"/>
      <c r="G2" s="395"/>
      <c r="H2" s="396"/>
      <c r="M2" s="401"/>
      <c r="N2" s="401"/>
      <c r="O2" s="401"/>
    </row>
    <row r="3" spans="1:15" s="59" customFormat="1" ht="151.5" customHeight="1" x14ac:dyDescent="0.2">
      <c r="A3" s="128" t="s">
        <v>43</v>
      </c>
      <c r="B3" s="223" t="s">
        <v>47</v>
      </c>
      <c r="C3" s="223" t="s">
        <v>48</v>
      </c>
      <c r="D3" s="224" t="s">
        <v>67</v>
      </c>
      <c r="E3" s="225" t="s">
        <v>68</v>
      </c>
      <c r="F3" s="225" t="s">
        <v>69</v>
      </c>
      <c r="G3" s="225" t="s">
        <v>52</v>
      </c>
      <c r="M3" s="402" t="s">
        <v>119</v>
      </c>
      <c r="N3" s="402"/>
      <c r="O3" s="402"/>
    </row>
    <row r="4" spans="1:15" ht="15.75" x14ac:dyDescent="0.25">
      <c r="A4" s="123" t="s">
        <v>104</v>
      </c>
      <c r="B4" s="111">
        <f>SUM(B5:B98)</f>
        <v>0</v>
      </c>
      <c r="C4" s="111">
        <f>SUM(C5:C98)</f>
        <v>0</v>
      </c>
      <c r="D4" s="111">
        <f>SUM(D5:D98)</f>
        <v>0</v>
      </c>
      <c r="E4" s="111">
        <f>SUM(E5:E98)</f>
        <v>0</v>
      </c>
      <c r="F4" s="111">
        <f>SUM(F5:F98)</f>
        <v>0</v>
      </c>
      <c r="G4" s="111">
        <f>B4-SUM(C4:F4)</f>
        <v>0</v>
      </c>
      <c r="L4" s="61"/>
      <c r="M4" s="402"/>
      <c r="N4" s="402"/>
      <c r="O4" s="402"/>
    </row>
    <row r="5" spans="1:15" ht="19.5" x14ac:dyDescent="0.3">
      <c r="A5" s="119"/>
      <c r="B5" s="120"/>
      <c r="C5" s="120"/>
      <c r="D5" s="120"/>
      <c r="E5" s="120"/>
      <c r="F5" s="121"/>
      <c r="G5" s="122"/>
      <c r="I5" s="108" t="s">
        <v>112</v>
      </c>
      <c r="J5" s="61"/>
      <c r="K5" s="61"/>
      <c r="L5" s="61"/>
      <c r="M5" s="61"/>
    </row>
    <row r="6" spans="1:15" ht="15" x14ac:dyDescent="0.25">
      <c r="A6" s="119"/>
      <c r="B6" s="120"/>
      <c r="C6" s="120"/>
      <c r="D6" s="120"/>
      <c r="E6" s="120"/>
      <c r="F6" s="121"/>
      <c r="G6" s="122"/>
      <c r="I6" s="109" t="s">
        <v>102</v>
      </c>
      <c r="J6" s="110" t="e">
        <f>ROUNDDOWN((F4+G4)/B4*100,0)/100</f>
        <v>#DIV/0!</v>
      </c>
      <c r="K6" s="61"/>
      <c r="L6" s="61"/>
      <c r="M6" s="61"/>
    </row>
    <row r="7" spans="1:15" ht="15.75" x14ac:dyDescent="0.25">
      <c r="A7" s="119"/>
      <c r="B7" s="120"/>
      <c r="C7" s="120"/>
      <c r="D7" s="120"/>
      <c r="E7" s="120"/>
      <c r="F7" s="121"/>
      <c r="G7" s="122"/>
      <c r="I7" s="109" t="s">
        <v>103</v>
      </c>
      <c r="J7" s="111">
        <f>SUM(C4:E4)</f>
        <v>0</v>
      </c>
      <c r="K7" s="61"/>
      <c r="L7" s="61"/>
      <c r="M7" s="61"/>
    </row>
    <row r="8" spans="1:15" x14ac:dyDescent="0.2">
      <c r="A8" s="119"/>
      <c r="B8" s="120"/>
      <c r="C8" s="120"/>
      <c r="D8" s="120"/>
      <c r="E8" s="120"/>
      <c r="F8" s="121"/>
      <c r="G8" s="122"/>
      <c r="I8" s="112"/>
      <c r="J8" s="61"/>
      <c r="K8" s="61"/>
      <c r="L8" s="61"/>
      <c r="M8" s="61"/>
    </row>
    <row r="9" spans="1:15" ht="19.5" x14ac:dyDescent="0.3">
      <c r="A9" s="119"/>
      <c r="B9" s="120"/>
      <c r="C9" s="120"/>
      <c r="D9" s="120"/>
      <c r="E9" s="120"/>
      <c r="F9" s="121"/>
      <c r="G9" s="122"/>
      <c r="I9" s="108" t="s">
        <v>105</v>
      </c>
      <c r="J9" s="61"/>
      <c r="K9" s="61"/>
      <c r="L9" s="61"/>
      <c r="M9" s="61"/>
    </row>
    <row r="10" spans="1:15" ht="15" x14ac:dyDescent="0.25">
      <c r="A10" s="119"/>
      <c r="B10" s="120"/>
      <c r="C10" s="120"/>
      <c r="D10" s="120"/>
      <c r="E10" s="120"/>
      <c r="F10" s="121"/>
      <c r="G10" s="122"/>
      <c r="I10" s="109" t="s">
        <v>102</v>
      </c>
      <c r="J10" s="110" t="e">
        <f>ROUNDDOWN(G4/B4*100,0)/100</f>
        <v>#DIV/0!</v>
      </c>
      <c r="K10" s="61"/>
      <c r="L10" s="61"/>
      <c r="M10" s="61"/>
    </row>
    <row r="11" spans="1:15" ht="15.75" x14ac:dyDescent="0.25">
      <c r="A11" s="119"/>
      <c r="B11" s="120"/>
      <c r="C11" s="120"/>
      <c r="D11" s="120"/>
      <c r="E11" s="120"/>
      <c r="F11" s="121"/>
      <c r="G11" s="122"/>
      <c r="I11" s="109" t="s">
        <v>103</v>
      </c>
      <c r="J11" s="111">
        <f>SUM(C4:F4)</f>
        <v>0</v>
      </c>
      <c r="K11" s="61"/>
    </row>
    <row r="12" spans="1:15" x14ac:dyDescent="0.2">
      <c r="A12" s="119"/>
      <c r="B12" s="120"/>
      <c r="C12" s="120"/>
      <c r="D12" s="120"/>
      <c r="E12" s="120"/>
      <c r="F12" s="121"/>
      <c r="G12" s="122"/>
      <c r="I12" s="61"/>
    </row>
    <row r="13" spans="1:15" x14ac:dyDescent="0.2">
      <c r="A13" s="119"/>
      <c r="B13" s="120"/>
      <c r="C13" s="120"/>
      <c r="D13" s="120"/>
      <c r="E13" s="120"/>
      <c r="F13" s="121"/>
      <c r="G13" s="122"/>
      <c r="I13" s="61"/>
    </row>
    <row r="14" spans="1:15" x14ac:dyDescent="0.2">
      <c r="A14" s="119"/>
      <c r="B14" s="120"/>
      <c r="C14" s="120"/>
      <c r="D14" s="120"/>
      <c r="E14" s="120"/>
      <c r="F14" s="121"/>
      <c r="G14" s="122"/>
      <c r="I14" s="61"/>
    </row>
    <row r="15" spans="1:15" x14ac:dyDescent="0.2">
      <c r="A15" s="119"/>
      <c r="B15" s="120"/>
      <c r="C15" s="120"/>
      <c r="D15" s="120"/>
      <c r="E15" s="120"/>
      <c r="F15" s="121"/>
      <c r="G15" s="122"/>
      <c r="I15" s="61"/>
    </row>
    <row r="16" spans="1:15" x14ac:dyDescent="0.2">
      <c r="A16" s="119"/>
      <c r="B16" s="120"/>
      <c r="C16" s="120"/>
      <c r="D16" s="120"/>
      <c r="E16" s="120"/>
      <c r="F16" s="121"/>
      <c r="G16" s="122"/>
    </row>
    <row r="17" spans="1:7" x14ac:dyDescent="0.2">
      <c r="A17" s="119"/>
      <c r="B17" s="120"/>
      <c r="C17" s="120"/>
      <c r="D17" s="120"/>
      <c r="E17" s="120"/>
      <c r="F17" s="121"/>
      <c r="G17" s="122"/>
    </row>
    <row r="18" spans="1:7" x14ac:dyDescent="0.2">
      <c r="A18" s="119"/>
      <c r="B18" s="120"/>
      <c r="C18" s="120"/>
      <c r="D18" s="120"/>
      <c r="E18" s="120"/>
      <c r="F18" s="121"/>
      <c r="G18" s="122"/>
    </row>
    <row r="19" spans="1:7" x14ac:dyDescent="0.2">
      <c r="A19" s="119"/>
      <c r="B19" s="120"/>
      <c r="C19" s="120"/>
      <c r="D19" s="120"/>
      <c r="E19" s="120"/>
      <c r="F19" s="121"/>
      <c r="G19" s="122"/>
    </row>
    <row r="20" spans="1:7" x14ac:dyDescent="0.2">
      <c r="A20" s="119"/>
      <c r="B20" s="120"/>
      <c r="C20" s="120"/>
      <c r="D20" s="120"/>
      <c r="E20" s="120"/>
      <c r="F20" s="121"/>
      <c r="G20" s="122"/>
    </row>
    <row r="21" spans="1:7" x14ac:dyDescent="0.2">
      <c r="A21" s="119"/>
      <c r="B21" s="120"/>
      <c r="C21" s="120"/>
      <c r="D21" s="120"/>
      <c r="E21" s="120"/>
      <c r="F21" s="121"/>
      <c r="G21" s="122"/>
    </row>
    <row r="22" spans="1:7" x14ac:dyDescent="0.2">
      <c r="A22" s="119"/>
      <c r="B22" s="120"/>
      <c r="C22" s="120"/>
      <c r="D22" s="120"/>
      <c r="E22" s="120"/>
      <c r="F22" s="121"/>
      <c r="G22" s="122"/>
    </row>
    <row r="23" spans="1:7" x14ac:dyDescent="0.2">
      <c r="A23" s="119"/>
      <c r="B23" s="120"/>
      <c r="C23" s="120"/>
      <c r="D23" s="120"/>
      <c r="E23" s="120"/>
      <c r="F23" s="121"/>
      <c r="G23" s="122"/>
    </row>
    <row r="24" spans="1:7" x14ac:dyDescent="0.2">
      <c r="A24" s="119"/>
      <c r="B24" s="120"/>
      <c r="C24" s="120"/>
      <c r="D24" s="120"/>
      <c r="E24" s="120"/>
      <c r="F24" s="121"/>
      <c r="G24" s="122"/>
    </row>
    <row r="25" spans="1:7" x14ac:dyDescent="0.2">
      <c r="A25" s="119"/>
      <c r="B25" s="120"/>
      <c r="C25" s="120"/>
      <c r="D25" s="120"/>
      <c r="E25" s="120"/>
      <c r="F25" s="121"/>
      <c r="G25" s="122"/>
    </row>
    <row r="26" spans="1:7" x14ac:dyDescent="0.2">
      <c r="A26" s="119"/>
      <c r="B26" s="120"/>
      <c r="C26" s="120"/>
      <c r="D26" s="120"/>
      <c r="E26" s="120"/>
      <c r="F26" s="121"/>
      <c r="G26" s="122"/>
    </row>
    <row r="27" spans="1:7" x14ac:dyDescent="0.2">
      <c r="A27" s="119"/>
      <c r="B27" s="120"/>
      <c r="C27" s="120"/>
      <c r="D27" s="120"/>
      <c r="E27" s="120"/>
      <c r="F27" s="121"/>
      <c r="G27" s="122"/>
    </row>
    <row r="28" spans="1:7" x14ac:dyDescent="0.2">
      <c r="A28" s="119"/>
      <c r="B28" s="120"/>
      <c r="C28" s="120"/>
      <c r="D28" s="120"/>
      <c r="E28" s="120"/>
      <c r="F28" s="121"/>
      <c r="G28" s="122"/>
    </row>
    <row r="29" spans="1:7" x14ac:dyDescent="0.2">
      <c r="A29" s="119"/>
      <c r="B29" s="120"/>
      <c r="C29" s="120"/>
      <c r="D29" s="120"/>
      <c r="E29" s="120"/>
      <c r="F29" s="121"/>
      <c r="G29" s="122"/>
    </row>
    <row r="30" spans="1:7" x14ac:dyDescent="0.2">
      <c r="A30" s="119"/>
      <c r="B30" s="120"/>
      <c r="C30" s="120"/>
      <c r="D30" s="120"/>
      <c r="E30" s="120"/>
      <c r="F30" s="121"/>
      <c r="G30" s="122"/>
    </row>
    <row r="31" spans="1:7" x14ac:dyDescent="0.2">
      <c r="A31" s="119"/>
      <c r="B31" s="120"/>
      <c r="C31" s="120"/>
      <c r="D31" s="120"/>
      <c r="E31" s="120"/>
      <c r="F31" s="121"/>
      <c r="G31" s="122"/>
    </row>
    <row r="32" spans="1:7" x14ac:dyDescent="0.2">
      <c r="A32" s="119"/>
      <c r="B32" s="120"/>
      <c r="C32" s="120"/>
      <c r="D32" s="120"/>
      <c r="E32" s="120"/>
      <c r="F32" s="121"/>
      <c r="G32" s="122"/>
    </row>
    <row r="33" spans="1:7" x14ac:dyDescent="0.2">
      <c r="A33" s="119"/>
      <c r="B33" s="120"/>
      <c r="C33" s="120"/>
      <c r="D33" s="120"/>
      <c r="E33" s="120"/>
      <c r="F33" s="121"/>
      <c r="G33" s="122"/>
    </row>
    <row r="34" spans="1:7" x14ac:dyDescent="0.2">
      <c r="A34" s="119"/>
      <c r="B34" s="120"/>
      <c r="C34" s="120"/>
      <c r="D34" s="120"/>
      <c r="E34" s="120"/>
      <c r="F34" s="121"/>
      <c r="G34" s="122"/>
    </row>
    <row r="35" spans="1:7" x14ac:dyDescent="0.2">
      <c r="A35" s="119"/>
      <c r="B35" s="120"/>
      <c r="C35" s="120"/>
      <c r="D35" s="120"/>
      <c r="E35" s="120"/>
      <c r="F35" s="121"/>
      <c r="G35" s="122"/>
    </row>
    <row r="36" spans="1:7" x14ac:dyDescent="0.2">
      <c r="A36" s="119"/>
      <c r="B36" s="120"/>
      <c r="C36" s="120"/>
      <c r="D36" s="120"/>
      <c r="E36" s="120"/>
      <c r="F36" s="121"/>
      <c r="G36" s="122"/>
    </row>
    <row r="37" spans="1:7" x14ac:dyDescent="0.2">
      <c r="A37" s="119"/>
      <c r="B37" s="120"/>
      <c r="C37" s="120"/>
      <c r="D37" s="120"/>
      <c r="E37" s="120"/>
      <c r="F37" s="121"/>
      <c r="G37" s="122"/>
    </row>
    <row r="38" spans="1:7" x14ac:dyDescent="0.2">
      <c r="A38" s="119"/>
      <c r="B38" s="120"/>
      <c r="C38" s="120"/>
      <c r="D38" s="120"/>
      <c r="E38" s="120"/>
      <c r="F38" s="121"/>
      <c r="G38" s="122"/>
    </row>
    <row r="39" spans="1:7" x14ac:dyDescent="0.2">
      <c r="A39" s="119"/>
      <c r="B39" s="120"/>
      <c r="C39" s="120"/>
      <c r="D39" s="120"/>
      <c r="E39" s="120"/>
      <c r="F39" s="121"/>
      <c r="G39" s="122"/>
    </row>
    <row r="40" spans="1:7" x14ac:dyDescent="0.2">
      <c r="A40" s="119"/>
      <c r="B40" s="120"/>
      <c r="C40" s="120"/>
      <c r="D40" s="120"/>
      <c r="E40" s="120"/>
      <c r="F40" s="121"/>
      <c r="G40" s="122"/>
    </row>
    <row r="41" spans="1:7" x14ac:dyDescent="0.2">
      <c r="A41" s="119"/>
      <c r="B41" s="120"/>
      <c r="C41" s="120"/>
      <c r="D41" s="120"/>
      <c r="E41" s="120"/>
      <c r="F41" s="121"/>
      <c r="G41" s="122"/>
    </row>
    <row r="42" spans="1:7" x14ac:dyDescent="0.2">
      <c r="A42" s="119"/>
      <c r="B42" s="120"/>
      <c r="C42" s="120"/>
      <c r="D42" s="120"/>
      <c r="E42" s="120"/>
      <c r="F42" s="121"/>
      <c r="G42" s="122"/>
    </row>
    <row r="43" spans="1:7" x14ac:dyDescent="0.2">
      <c r="A43" s="119"/>
      <c r="B43" s="120"/>
      <c r="C43" s="120"/>
      <c r="D43" s="120"/>
      <c r="E43" s="120"/>
      <c r="F43" s="121"/>
      <c r="G43" s="122"/>
    </row>
    <row r="44" spans="1:7" x14ac:dyDescent="0.2">
      <c r="A44" s="119"/>
      <c r="B44" s="120"/>
      <c r="C44" s="120"/>
      <c r="D44" s="120"/>
      <c r="E44" s="120"/>
      <c r="F44" s="121"/>
      <c r="G44" s="122"/>
    </row>
    <row r="45" spans="1:7" x14ac:dyDescent="0.2">
      <c r="A45" s="119"/>
      <c r="B45" s="120"/>
      <c r="C45" s="120"/>
      <c r="D45" s="120"/>
      <c r="E45" s="120"/>
      <c r="F45" s="121"/>
      <c r="G45" s="122"/>
    </row>
    <row r="46" spans="1:7" x14ac:dyDescent="0.2">
      <c r="A46" s="119"/>
      <c r="B46" s="120"/>
      <c r="C46" s="120"/>
      <c r="D46" s="120"/>
      <c r="E46" s="120"/>
      <c r="F46" s="121"/>
      <c r="G46" s="122"/>
    </row>
    <row r="47" spans="1:7" x14ac:dyDescent="0.2">
      <c r="A47" s="119"/>
      <c r="B47" s="120"/>
      <c r="C47" s="120"/>
      <c r="D47" s="120"/>
      <c r="E47" s="120"/>
      <c r="F47" s="121"/>
      <c r="G47" s="122"/>
    </row>
    <row r="48" spans="1:7" x14ac:dyDescent="0.2">
      <c r="A48" s="119"/>
      <c r="B48" s="120"/>
      <c r="C48" s="120"/>
      <c r="D48" s="120"/>
      <c r="E48" s="120"/>
      <c r="F48" s="121"/>
      <c r="G48" s="122"/>
    </row>
    <row r="49" spans="1:7" x14ac:dyDescent="0.2">
      <c r="A49" s="119"/>
      <c r="B49" s="120"/>
      <c r="C49" s="120"/>
      <c r="D49" s="120"/>
      <c r="E49" s="120"/>
      <c r="F49" s="121"/>
      <c r="G49" s="122"/>
    </row>
    <row r="50" spans="1:7" x14ac:dyDescent="0.2">
      <c r="A50" s="119"/>
      <c r="B50" s="120"/>
      <c r="C50" s="120"/>
      <c r="D50" s="120"/>
      <c r="E50" s="120"/>
      <c r="F50" s="121"/>
      <c r="G50" s="122"/>
    </row>
    <row r="51" spans="1:7" x14ac:dyDescent="0.2">
      <c r="A51" s="119"/>
      <c r="B51" s="120"/>
      <c r="C51" s="120"/>
      <c r="D51" s="120"/>
      <c r="E51" s="120"/>
      <c r="F51" s="121"/>
      <c r="G51" s="122"/>
    </row>
    <row r="52" spans="1:7" x14ac:dyDescent="0.2">
      <c r="A52" s="119"/>
      <c r="B52" s="120"/>
      <c r="C52" s="120"/>
      <c r="D52" s="120"/>
      <c r="E52" s="120"/>
      <c r="F52" s="121"/>
      <c r="G52" s="122"/>
    </row>
    <row r="53" spans="1:7" x14ac:dyDescent="0.2">
      <c r="A53" s="119"/>
      <c r="B53" s="120"/>
      <c r="C53" s="120"/>
      <c r="D53" s="120"/>
      <c r="E53" s="120"/>
      <c r="F53" s="121"/>
      <c r="G53" s="122"/>
    </row>
    <row r="54" spans="1:7" x14ac:dyDescent="0.2">
      <c r="A54" s="119"/>
      <c r="B54" s="120"/>
      <c r="C54" s="120"/>
      <c r="D54" s="120"/>
      <c r="E54" s="120"/>
      <c r="F54" s="121"/>
      <c r="G54" s="122"/>
    </row>
    <row r="55" spans="1:7" x14ac:dyDescent="0.2">
      <c r="A55" s="119"/>
      <c r="B55" s="120"/>
      <c r="C55" s="120"/>
      <c r="D55" s="120"/>
      <c r="E55" s="120"/>
      <c r="F55" s="121"/>
      <c r="G55" s="122"/>
    </row>
    <row r="56" spans="1:7" x14ac:dyDescent="0.2">
      <c r="A56" s="119"/>
      <c r="B56" s="120"/>
      <c r="C56" s="120"/>
      <c r="D56" s="120"/>
      <c r="E56" s="120"/>
      <c r="F56" s="121"/>
      <c r="G56" s="122"/>
    </row>
    <row r="57" spans="1:7" x14ac:dyDescent="0.2">
      <c r="A57" s="119"/>
      <c r="B57" s="120"/>
      <c r="C57" s="120"/>
      <c r="D57" s="120"/>
      <c r="E57" s="120"/>
      <c r="F57" s="121"/>
      <c r="G57" s="122"/>
    </row>
    <row r="58" spans="1:7" x14ac:dyDescent="0.2">
      <c r="A58" s="119"/>
      <c r="B58" s="120"/>
      <c r="C58" s="120"/>
      <c r="D58" s="120"/>
      <c r="E58" s="120"/>
      <c r="F58" s="121"/>
      <c r="G58" s="122"/>
    </row>
    <row r="59" spans="1:7" x14ac:dyDescent="0.2">
      <c r="A59" s="119"/>
      <c r="B59" s="120"/>
      <c r="C59" s="120"/>
      <c r="D59" s="120"/>
      <c r="E59" s="120"/>
      <c r="F59" s="121"/>
      <c r="G59" s="122"/>
    </row>
    <row r="60" spans="1:7" x14ac:dyDescent="0.2">
      <c r="A60" s="119"/>
      <c r="B60" s="120"/>
      <c r="C60" s="120"/>
      <c r="D60" s="120"/>
      <c r="E60" s="120"/>
      <c r="F60" s="121"/>
      <c r="G60" s="122"/>
    </row>
    <row r="61" spans="1:7" x14ac:dyDescent="0.2">
      <c r="A61" s="119"/>
      <c r="B61" s="120"/>
      <c r="C61" s="120"/>
      <c r="D61" s="120"/>
      <c r="E61" s="120"/>
      <c r="F61" s="121"/>
      <c r="G61" s="122"/>
    </row>
    <row r="62" spans="1:7" x14ac:dyDescent="0.2">
      <c r="A62" s="119"/>
      <c r="B62" s="120"/>
      <c r="C62" s="120"/>
      <c r="D62" s="120"/>
      <c r="E62" s="120"/>
      <c r="F62" s="121"/>
      <c r="G62" s="122"/>
    </row>
    <row r="63" spans="1:7" x14ac:dyDescent="0.2">
      <c r="A63" s="119"/>
      <c r="B63" s="120"/>
      <c r="C63" s="120"/>
      <c r="D63" s="120"/>
      <c r="E63" s="120"/>
      <c r="F63" s="121"/>
      <c r="G63" s="122"/>
    </row>
    <row r="64" spans="1:7" x14ac:dyDescent="0.2">
      <c r="A64" s="119"/>
      <c r="B64" s="120"/>
      <c r="C64" s="120"/>
      <c r="D64" s="120"/>
      <c r="E64" s="120"/>
      <c r="F64" s="121"/>
      <c r="G64" s="122"/>
    </row>
    <row r="65" spans="1:7" x14ac:dyDescent="0.2">
      <c r="A65" s="119"/>
      <c r="B65" s="120"/>
      <c r="C65" s="120"/>
      <c r="D65" s="120"/>
      <c r="E65" s="120"/>
      <c r="F65" s="121"/>
      <c r="G65" s="122"/>
    </row>
    <row r="66" spans="1:7" x14ac:dyDescent="0.2">
      <c r="A66" s="119"/>
      <c r="B66" s="120"/>
      <c r="C66" s="120"/>
      <c r="D66" s="120"/>
      <c r="E66" s="120"/>
      <c r="F66" s="121"/>
      <c r="G66" s="122"/>
    </row>
    <row r="67" spans="1:7" x14ac:dyDescent="0.2">
      <c r="A67" s="119"/>
      <c r="B67" s="120"/>
      <c r="C67" s="120"/>
      <c r="D67" s="120"/>
      <c r="E67" s="120"/>
      <c r="F67" s="121"/>
      <c r="G67" s="122"/>
    </row>
    <row r="68" spans="1:7" x14ac:dyDescent="0.2">
      <c r="A68" s="119"/>
      <c r="B68" s="120"/>
      <c r="C68" s="120"/>
      <c r="D68" s="120"/>
      <c r="E68" s="120"/>
      <c r="F68" s="121"/>
      <c r="G68" s="122"/>
    </row>
    <row r="69" spans="1:7" x14ac:dyDescent="0.2">
      <c r="A69" s="119"/>
      <c r="B69" s="120"/>
      <c r="C69" s="120"/>
      <c r="D69" s="120"/>
      <c r="E69" s="120"/>
      <c r="F69" s="121"/>
      <c r="G69" s="122"/>
    </row>
    <row r="70" spans="1:7" x14ac:dyDescent="0.2">
      <c r="A70" s="119"/>
      <c r="B70" s="120"/>
      <c r="C70" s="120"/>
      <c r="D70" s="120"/>
      <c r="E70" s="120"/>
      <c r="F70" s="121"/>
      <c r="G70" s="122"/>
    </row>
    <row r="71" spans="1:7" x14ac:dyDescent="0.2">
      <c r="A71" s="119"/>
      <c r="B71" s="120"/>
      <c r="C71" s="120"/>
      <c r="D71" s="120"/>
      <c r="E71" s="120"/>
      <c r="F71" s="121"/>
      <c r="G71" s="122"/>
    </row>
    <row r="72" spans="1:7" x14ac:dyDescent="0.2">
      <c r="A72" s="119"/>
      <c r="B72" s="120"/>
      <c r="C72" s="120"/>
      <c r="D72" s="120"/>
      <c r="E72" s="120"/>
      <c r="F72" s="121"/>
      <c r="G72" s="122"/>
    </row>
    <row r="73" spans="1:7" x14ac:dyDescent="0.2">
      <c r="A73" s="119"/>
      <c r="B73" s="120"/>
      <c r="C73" s="120"/>
      <c r="D73" s="120"/>
      <c r="E73" s="120"/>
      <c r="F73" s="121"/>
      <c r="G73" s="122"/>
    </row>
    <row r="74" spans="1:7" x14ac:dyDescent="0.2">
      <c r="A74" s="119"/>
      <c r="B74" s="120"/>
      <c r="C74" s="120"/>
      <c r="D74" s="120"/>
      <c r="E74" s="120"/>
      <c r="F74" s="121"/>
      <c r="G74" s="122"/>
    </row>
    <row r="75" spans="1:7" x14ac:dyDescent="0.2">
      <c r="A75" s="119"/>
      <c r="B75" s="120"/>
      <c r="C75" s="120"/>
      <c r="D75" s="120"/>
      <c r="E75" s="120"/>
      <c r="F75" s="121"/>
      <c r="G75" s="122"/>
    </row>
    <row r="76" spans="1:7" x14ac:dyDescent="0.2">
      <c r="A76" s="119"/>
      <c r="B76" s="120"/>
      <c r="C76" s="120"/>
      <c r="D76" s="120"/>
      <c r="E76" s="120"/>
      <c r="F76" s="121"/>
      <c r="G76" s="122"/>
    </row>
    <row r="77" spans="1:7" x14ac:dyDescent="0.2">
      <c r="A77" s="119"/>
      <c r="B77" s="120"/>
      <c r="C77" s="120"/>
      <c r="D77" s="120"/>
      <c r="E77" s="120"/>
      <c r="F77" s="121"/>
      <c r="G77" s="122"/>
    </row>
    <row r="78" spans="1:7" x14ac:dyDescent="0.2">
      <c r="A78" s="119"/>
      <c r="B78" s="120"/>
      <c r="C78" s="120"/>
      <c r="D78" s="120"/>
      <c r="E78" s="120"/>
      <c r="F78" s="121"/>
      <c r="G78" s="122"/>
    </row>
    <row r="79" spans="1:7" x14ac:dyDescent="0.2">
      <c r="A79" s="119"/>
      <c r="B79" s="120"/>
      <c r="C79" s="120"/>
      <c r="D79" s="120"/>
      <c r="E79" s="120"/>
      <c r="F79" s="121"/>
      <c r="G79" s="122"/>
    </row>
    <row r="80" spans="1:7" x14ac:dyDescent="0.2">
      <c r="A80" s="119"/>
      <c r="B80" s="120"/>
      <c r="C80" s="120"/>
      <c r="D80" s="120"/>
      <c r="E80" s="120"/>
      <c r="F80" s="121"/>
      <c r="G80" s="122"/>
    </row>
    <row r="81" spans="1:7" x14ac:dyDescent="0.2">
      <c r="A81" s="119"/>
      <c r="B81" s="120"/>
      <c r="C81" s="120"/>
      <c r="D81" s="120"/>
      <c r="E81" s="120"/>
      <c r="F81" s="121"/>
      <c r="G81" s="122"/>
    </row>
    <row r="82" spans="1:7" x14ac:dyDescent="0.2">
      <c r="A82" s="119"/>
      <c r="B82" s="120"/>
      <c r="C82" s="120"/>
      <c r="D82" s="120"/>
      <c r="E82" s="120"/>
      <c r="F82" s="121"/>
      <c r="G82" s="122"/>
    </row>
    <row r="83" spans="1:7" x14ac:dyDescent="0.2">
      <c r="A83" s="119"/>
      <c r="B83" s="120"/>
      <c r="C83" s="120"/>
      <c r="D83" s="120"/>
      <c r="E83" s="120"/>
      <c r="F83" s="121"/>
      <c r="G83" s="122"/>
    </row>
    <row r="84" spans="1:7" x14ac:dyDescent="0.2">
      <c r="A84" s="119"/>
      <c r="B84" s="120"/>
      <c r="C84" s="120"/>
      <c r="D84" s="120"/>
      <c r="E84" s="120"/>
      <c r="F84" s="121"/>
      <c r="G84" s="122"/>
    </row>
    <row r="85" spans="1:7" x14ac:dyDescent="0.2">
      <c r="A85" s="119"/>
      <c r="B85" s="120"/>
      <c r="C85" s="120"/>
      <c r="D85" s="120"/>
      <c r="E85" s="120"/>
      <c r="F85" s="121"/>
      <c r="G85" s="122"/>
    </row>
    <row r="86" spans="1:7" x14ac:dyDescent="0.2">
      <c r="A86" s="119"/>
      <c r="B86" s="120"/>
      <c r="C86" s="120"/>
      <c r="D86" s="120"/>
      <c r="E86" s="120"/>
      <c r="F86" s="121"/>
      <c r="G86" s="122"/>
    </row>
    <row r="87" spans="1:7" x14ac:dyDescent="0.2">
      <c r="A87" s="119"/>
      <c r="B87" s="120"/>
      <c r="C87" s="120"/>
      <c r="D87" s="120"/>
      <c r="E87" s="120"/>
      <c r="F87" s="121"/>
      <c r="G87" s="122"/>
    </row>
    <row r="88" spans="1:7" x14ac:dyDescent="0.2">
      <c r="A88" s="119"/>
      <c r="B88" s="120"/>
      <c r="C88" s="120"/>
      <c r="D88" s="120"/>
      <c r="E88" s="120"/>
      <c r="F88" s="121"/>
      <c r="G88" s="122"/>
    </row>
    <row r="89" spans="1:7" x14ac:dyDescent="0.2">
      <c r="A89" s="119"/>
      <c r="B89" s="120"/>
      <c r="C89" s="120"/>
      <c r="D89" s="120"/>
      <c r="E89" s="120"/>
      <c r="F89" s="121"/>
      <c r="G89" s="122"/>
    </row>
    <row r="90" spans="1:7" x14ac:dyDescent="0.2">
      <c r="A90" s="119"/>
      <c r="B90" s="120"/>
      <c r="C90" s="120"/>
      <c r="D90" s="120"/>
      <c r="E90" s="120"/>
      <c r="F90" s="121"/>
      <c r="G90" s="122"/>
    </row>
    <row r="91" spans="1:7" x14ac:dyDescent="0.2">
      <c r="A91" s="119"/>
      <c r="B91" s="120"/>
      <c r="C91" s="120"/>
      <c r="D91" s="120"/>
      <c r="E91" s="120"/>
      <c r="F91" s="121"/>
      <c r="G91" s="122"/>
    </row>
    <row r="92" spans="1:7" x14ac:dyDescent="0.2">
      <c r="A92" s="119"/>
      <c r="B92" s="120"/>
      <c r="C92" s="120"/>
      <c r="D92" s="120"/>
      <c r="E92" s="120"/>
      <c r="F92" s="121"/>
      <c r="G92" s="122"/>
    </row>
    <row r="93" spans="1:7" x14ac:dyDescent="0.2">
      <c r="A93" s="119"/>
      <c r="B93" s="120"/>
      <c r="C93" s="120"/>
      <c r="D93" s="120"/>
      <c r="E93" s="120"/>
      <c r="F93" s="121"/>
      <c r="G93" s="122"/>
    </row>
    <row r="94" spans="1:7" x14ac:dyDescent="0.2">
      <c r="A94" s="119"/>
      <c r="B94" s="120"/>
      <c r="C94" s="120"/>
      <c r="D94" s="120"/>
      <c r="E94" s="120"/>
      <c r="F94" s="121"/>
      <c r="G94" s="122"/>
    </row>
    <row r="95" spans="1:7" x14ac:dyDescent="0.2">
      <c r="A95" s="119"/>
      <c r="B95" s="120"/>
      <c r="C95" s="120"/>
      <c r="D95" s="120"/>
      <c r="E95" s="120"/>
      <c r="F95" s="121"/>
      <c r="G95" s="122"/>
    </row>
    <row r="96" spans="1:7" x14ac:dyDescent="0.2">
      <c r="A96" s="119"/>
      <c r="B96" s="120"/>
      <c r="C96" s="120"/>
      <c r="D96" s="120"/>
      <c r="E96" s="120"/>
      <c r="F96" s="121"/>
      <c r="G96" s="122"/>
    </row>
    <row r="97" spans="1:7" x14ac:dyDescent="0.2">
      <c r="A97" s="119"/>
      <c r="B97" s="120"/>
      <c r="C97" s="120"/>
      <c r="D97" s="120"/>
      <c r="E97" s="120"/>
      <c r="F97" s="121"/>
      <c r="G97" s="122"/>
    </row>
    <row r="98" spans="1:7" x14ac:dyDescent="0.2">
      <c r="A98" s="119"/>
      <c r="B98" s="120"/>
      <c r="C98" s="120"/>
      <c r="D98" s="120"/>
      <c r="E98" s="120"/>
      <c r="F98" s="121"/>
      <c r="G98" s="122"/>
    </row>
    <row r="99" spans="1:7" x14ac:dyDescent="0.2">
      <c r="A99" s="132" t="s">
        <v>118</v>
      </c>
      <c r="B99" s="129"/>
      <c r="C99" s="129"/>
      <c r="D99" s="129"/>
      <c r="E99" s="129"/>
      <c r="F99" s="130"/>
      <c r="G99" s="131"/>
    </row>
  </sheetData>
  <mergeCells count="5">
    <mergeCell ref="E2:H2"/>
    <mergeCell ref="A1:B1"/>
    <mergeCell ref="C1:D1"/>
    <mergeCell ref="M2:O2"/>
    <mergeCell ref="M3:O4"/>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pageMargins left="0.75" right="0.75" top="1" bottom="1" header="0.4921259845" footer="0.4921259845"/>
  <pageSetup scale="73" orientation="portrait" r:id="rId1"/>
  <headerFooter alignWithMargins="0">
    <oddFooter>&amp;LExxxxxx rev xxx ver xxx&amp;R&amp;P</oddFooter>
  </headerFooter>
  <colBreaks count="1" manualBreakCount="1">
    <brk id="8" max="49"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2:E10"/>
  <sheetViews>
    <sheetView workbookViewId="0">
      <selection activeCell="B13" sqref="B13"/>
    </sheetView>
  </sheetViews>
  <sheetFormatPr defaultRowHeight="14.25" x14ac:dyDescent="0.2"/>
  <sheetData>
    <row r="2" spans="1:5" ht="27" x14ac:dyDescent="0.35">
      <c r="A2" s="124" t="s">
        <v>128</v>
      </c>
    </row>
    <row r="4" spans="1:5" ht="27" x14ac:dyDescent="0.35">
      <c r="E4" s="124" t="s">
        <v>111</v>
      </c>
    </row>
    <row r="6" spans="1:5" ht="18" x14ac:dyDescent="0.25">
      <c r="A6" s="239" t="s">
        <v>176</v>
      </c>
      <c r="B6" s="238"/>
      <c r="C6" s="238"/>
      <c r="D6" s="238"/>
      <c r="E6" s="238"/>
    </row>
    <row r="8" spans="1:5" ht="18" x14ac:dyDescent="0.25">
      <c r="A8" s="238" t="s">
        <v>177</v>
      </c>
      <c r="B8" s="238"/>
      <c r="C8" s="238"/>
      <c r="D8" s="238"/>
      <c r="E8" s="238"/>
    </row>
    <row r="9" spans="1:5" ht="18" x14ac:dyDescent="0.25">
      <c r="A9" s="238" t="s">
        <v>178</v>
      </c>
      <c r="B9" s="238"/>
      <c r="C9" s="238"/>
      <c r="D9" s="238"/>
      <c r="E9" s="238"/>
    </row>
    <row r="10" spans="1:5" ht="18" x14ac:dyDescent="0.25">
      <c r="A10" s="238" t="s">
        <v>179</v>
      </c>
      <c r="B10" s="238"/>
      <c r="C10" s="238"/>
      <c r="D10" s="238"/>
      <c r="E10" s="238"/>
    </row>
  </sheetData>
  <pageMargins left="0.7" right="0.7" top="0.75" bottom="0.75" header="0.3" footer="0.3"/>
  <pageSetup paperSize="9" orientation="portrait" r:id="rId1"/>
  <headerFooter>
    <oddFooter>&amp;LExxxxxx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election activeCell="E9" sqref="E9"/>
    </sheetView>
  </sheetViews>
  <sheetFormatPr defaultColWidth="11.25" defaultRowHeight="14.25" x14ac:dyDescent="0.2"/>
  <sheetData/>
  <pageMargins left="0.75" right="0.75" top="1" bottom="1" header="0.4921259845" footer="0.4921259845"/>
  <pageSetup paperSize="9" orientation="portrait" r:id="rId1"/>
  <headerFooter alignWithMargins="0">
    <oddFooter>&amp;LExxxxxx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9" tint="0.59999389629810485"/>
  </sheetPr>
  <dimension ref="A1:B21"/>
  <sheetViews>
    <sheetView workbookViewId="0">
      <selection activeCell="A20" sqref="A20"/>
    </sheetView>
  </sheetViews>
  <sheetFormatPr defaultColWidth="11.25" defaultRowHeight="14.25" x14ac:dyDescent="0.2"/>
  <cols>
    <col min="1" max="1" width="39.5" customWidth="1"/>
  </cols>
  <sheetData>
    <row r="1" spans="1:2" x14ac:dyDescent="0.2">
      <c r="A1" t="s">
        <v>70</v>
      </c>
    </row>
    <row r="2" spans="1:2" x14ac:dyDescent="0.2">
      <c r="A2" t="s">
        <v>71</v>
      </c>
    </row>
    <row r="3" spans="1:2" s="65" customFormat="1" ht="19.5" thickBot="1" x14ac:dyDescent="0.35">
      <c r="A3" s="64" t="s">
        <v>72</v>
      </c>
      <c r="B3" s="65" t="s">
        <v>73</v>
      </c>
    </row>
    <row r="4" spans="1:2" s="65" customFormat="1" ht="16.5" thickTop="1" x14ac:dyDescent="0.25">
      <c r="A4" s="66" t="s">
        <v>74</v>
      </c>
      <c r="B4" s="65" t="s">
        <v>73</v>
      </c>
    </row>
    <row r="5" spans="1:2" x14ac:dyDescent="0.2">
      <c r="A5" s="67" t="s">
        <v>75</v>
      </c>
      <c r="B5" t="s">
        <v>73</v>
      </c>
    </row>
    <row r="6" spans="1:2" x14ac:dyDescent="0.2">
      <c r="A6" s="68" t="s">
        <v>76</v>
      </c>
      <c r="B6" t="s">
        <v>73</v>
      </c>
    </row>
    <row r="7" spans="1:2" x14ac:dyDescent="0.2">
      <c r="A7" s="69" t="s">
        <v>77</v>
      </c>
      <c r="B7" t="s">
        <v>73</v>
      </c>
    </row>
    <row r="8" spans="1:2" x14ac:dyDescent="0.2">
      <c r="A8" s="70" t="s">
        <v>78</v>
      </c>
      <c r="B8" t="s">
        <v>73</v>
      </c>
    </row>
    <row r="9" spans="1:2" x14ac:dyDescent="0.2">
      <c r="A9" s="71" t="s">
        <v>79</v>
      </c>
      <c r="B9" t="s">
        <v>73</v>
      </c>
    </row>
    <row r="10" spans="1:2" x14ac:dyDescent="0.2">
      <c r="A10" s="72" t="s">
        <v>80</v>
      </c>
      <c r="B10" t="s">
        <v>73</v>
      </c>
    </row>
    <row r="11" spans="1:2" x14ac:dyDescent="0.2">
      <c r="A11" s="73" t="s">
        <v>81</v>
      </c>
      <c r="B11" t="s">
        <v>73</v>
      </c>
    </row>
    <row r="12" spans="1:2" x14ac:dyDescent="0.2">
      <c r="A12" s="74" t="s">
        <v>82</v>
      </c>
      <c r="B12" t="s">
        <v>73</v>
      </c>
    </row>
    <row r="13" spans="1:2" x14ac:dyDescent="0.2">
      <c r="A13" s="75" t="s">
        <v>83</v>
      </c>
      <c r="B13" t="s">
        <v>73</v>
      </c>
    </row>
    <row r="14" spans="1:2" ht="48.75" x14ac:dyDescent="0.2">
      <c r="A14" s="76" t="s">
        <v>84</v>
      </c>
    </row>
    <row r="15" spans="1:2" x14ac:dyDescent="0.2">
      <c r="A15" s="77" t="s">
        <v>85</v>
      </c>
    </row>
    <row r="17" spans="1:1" x14ac:dyDescent="0.2">
      <c r="A17" s="78" t="s">
        <v>86</v>
      </c>
    </row>
    <row r="18" spans="1:1" x14ac:dyDescent="0.2">
      <c r="A18" s="79" t="s">
        <v>87</v>
      </c>
    </row>
    <row r="19" spans="1:1" x14ac:dyDescent="0.2">
      <c r="A19" s="80" t="s">
        <v>88</v>
      </c>
    </row>
    <row r="20" spans="1:1" x14ac:dyDescent="0.2">
      <c r="A20" s="81" t="s">
        <v>89</v>
      </c>
    </row>
    <row r="21" spans="1:1" x14ac:dyDescent="0.2">
      <c r="A21" s="82" t="s">
        <v>90</v>
      </c>
    </row>
  </sheetData>
  <pageMargins left="0.75" right="0.75" top="1" bottom="1" header="0.4921259845" footer="0.4921259845"/>
  <pageSetup paperSize="9" orientation="portrait" r:id="rId1"/>
  <headerFooter alignWithMargins="0">
    <oddFooter>&amp;LExxxxxx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34</vt:i4>
      </vt:variant>
    </vt:vector>
  </HeadingPairs>
  <TitlesOfParts>
    <vt:vector size="42" baseType="lpstr">
      <vt:lpstr>FrontPage</vt:lpstr>
      <vt:lpstr>General info</vt:lpstr>
      <vt:lpstr>User Guide</vt:lpstr>
      <vt:lpstr>Statistics</vt:lpstr>
      <vt:lpstr>Requirement Status</vt:lpstr>
      <vt:lpstr>Incomplete Req List</vt:lpstr>
      <vt:lpstr>Feuil1</vt:lpstr>
      <vt:lpstr>Styles</vt:lpstr>
      <vt:lpstr>FileName</vt:lpstr>
      <vt:lpstr>IntTests_ExistButNotTested</vt:lpstr>
      <vt:lpstr>IntTests_NotExist</vt:lpstr>
      <vt:lpstr>IntTests_Tested</vt:lpstr>
      <vt:lpstr>MXActual_state_Released</vt:lpstr>
      <vt:lpstr>MXAuthority</vt:lpstr>
      <vt:lpstr>MXCurrent.Localized</vt:lpstr>
      <vt:lpstr>MXName</vt:lpstr>
      <vt:lpstr>MXRevision</vt:lpstr>
      <vt:lpstr>MXTitle</vt:lpstr>
      <vt:lpstr>MXVersion</vt:lpstr>
      <vt:lpstr>NbOfFunctionalReqs</vt:lpstr>
      <vt:lpstr>NbOfNonFunctionalReqs</vt:lpstr>
      <vt:lpstr>PLMDocAuthor</vt:lpstr>
      <vt:lpstr>'Requirement Status'!Print_Area</vt:lpstr>
      <vt:lpstr>Statistics!Print_Area</vt:lpstr>
      <vt:lpstr>'General info'!Print_Titles</vt:lpstr>
      <vt:lpstr>ReqNotApproved</vt:lpstr>
      <vt:lpstr>ReqNotReviewed</vt:lpstr>
      <vt:lpstr>ReqStatus_LastTableRow</vt:lpstr>
      <vt:lpstr>ReqTestedByIntCumulated</vt:lpstr>
      <vt:lpstr>START_REPORT</vt:lpstr>
      <vt:lpstr>SumForStatistics</vt:lpstr>
      <vt:lpstr>SWVersion</vt:lpstr>
      <vt:lpstr>TemplateRef</vt:lpstr>
      <vt:lpstr>TestsResults_NOK</vt:lpstr>
      <vt:lpstr>TestsResults_NotTested</vt:lpstr>
      <vt:lpstr>TestsResults_OK</vt:lpstr>
      <vt:lpstr>TestsResults_PartiallyOK</vt:lpstr>
      <vt:lpstr>'Requirement Status'!TitleModuleName</vt:lpstr>
      <vt:lpstr>Statistics!TitleModuleName</vt:lpstr>
      <vt:lpstr>VerifTests_ExistButNotTested</vt:lpstr>
      <vt:lpstr>VerifTests_NotExist</vt:lpstr>
      <vt:lpstr>VerifTests_Tested</vt:lpstr>
    </vt:vector>
  </TitlesOfParts>
  <Company>Autoliv Electronics AB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Isabela Pachiu</cp:lastModifiedBy>
  <cp:lastPrinted>2011-11-28T23:54:39Z</cp:lastPrinted>
  <dcterms:created xsi:type="dcterms:W3CDTF">2008-08-11T11:06:44Z</dcterms:created>
  <dcterms:modified xsi:type="dcterms:W3CDTF">2021-03-10T17:36:32Z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2</vt:lpwstr>
  </property>
  <property fmtid="{D5CDD505-2E9C-101B-9397-08002B2CF9AE}" pid="4" name="MXActual_state_Preliminary">
    <vt:lpwstr>09/10/12 13:59</vt:lpwstr>
  </property>
  <property fmtid="{D5CDD505-2E9C-101B-9397-08002B2CF9AE}" pid="5" name="MXActual_state_Released" linkTarget="MXActual_state_Released">
    <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
  </property>
  <property fmtid="{D5CDD505-2E9C-101B-9397-08002B2CF9AE}" pid="9" name="MXAuthority" linkTarget="MXAuthority">
    <vt:lpwstr/>
  </property>
  <property fmtid="{D5CDD505-2E9C-101B-9397-08002B2CF9AE}" pid="10" name="MXAuthority_BusinessUnit">
    <vt:lpwstr/>
  </property>
  <property fmtid="{D5CDD505-2E9C-101B-9397-08002B2CF9AE}" pid="11" name="MXAuthority_Description">
    <vt:lpwstr>Tools used in AEE-C</vt:lpwstr>
  </property>
  <property fmtid="{D5CDD505-2E9C-101B-9397-08002B2CF9AE}" pid="12" name="MXAuthority_Owner">
    <vt:lpwstr>Philippe Merrien</vt:lpwstr>
  </property>
  <property fmtid="{D5CDD505-2E9C-101B-9397-08002B2CF9AE}" pid="13" name="MXAuthority_Program">
    <vt:lpwstr/>
  </property>
  <property fmtid="{D5CDD505-2E9C-101B-9397-08002B2CF9AE}" pid="14" name="MXCheckin Date">
    <vt:lpwstr>2012-12-20</vt:lpwstr>
  </property>
  <property fmtid="{D5CDD505-2E9C-101B-9397-08002B2CF9AE}" pid="15" name="MXCheckin Reason">
    <vt:lpwstr/>
  </property>
  <property fmtid="{D5CDD505-2E9C-101B-9397-08002B2CF9AE}" pid="16" name="MXCheckin User" linkTarget="PLMDocAuthor">
    <vt:lpwstr>Francine Chambin</vt:lpwstr>
  </property>
  <property fmtid="{D5CDD505-2E9C-101B-9397-08002B2CF9AE}" pid="17" name="MXCurrent">
    <vt:lpwstr>Preliminary</vt:lpwstr>
  </property>
  <property fmtid="{D5CDD505-2E9C-101B-9397-08002B2CF9AE}" pid="18" name="MXCurrent.Localized" linkTarget="MXCurrent.Localized">
    <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Francine.Chambin@autoliv.com</vt:lpwstr>
  </property>
  <property fmtid="{D5CDD505-2E9C-101B-9397-08002B2CF9AE}" pid="22" name="MXFirstName">
    <vt:lpwstr>Francine</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Chambin</vt:lpwstr>
  </property>
  <property fmtid="{D5CDD505-2E9C-101B-9397-08002B2CF9AE}" pid="26" name="MXLatestVersion">
    <vt:lpwstr>2</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
  </property>
  <property fmtid="{D5CDD505-2E9C-101B-9397-08002B2CF9AE}" pid="30" name="MXOriginator">
    <vt:lpwstr>Francine Chambin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Software Requirements Matrix</vt:lpwstr>
  </property>
  <property fmtid="{D5CDD505-2E9C-101B-9397-08002B2CF9AE}" pid="45" name="MXType">
    <vt:lpwstr>alvInformation</vt:lpwstr>
  </property>
  <property fmtid="{D5CDD505-2E9C-101B-9397-08002B2CF9AE}" pid="46" name="MXType.Localized" linkTarget="MXType.Localized">
    <vt:lpwstr>#REF!</vt:lpwstr>
  </property>
  <property fmtid="{D5CDD505-2E9C-101B-9397-08002B2CF9AE}" pid="47" name="MXUser">
    <vt:lpwstr>Francine Chambin</vt:lpwstr>
  </property>
  <property fmtid="{D5CDD505-2E9C-101B-9397-08002B2CF9AE}" pid="48" name="MXVersion" linkTarget="MXVersion">
    <vt:lpwstr/>
  </property>
  <property fmtid="{D5CDD505-2E9C-101B-9397-08002B2CF9AE}" pid="49" name="MXAuthority_LocalNumber">
    <vt:lpwstr/>
  </property>
</Properties>
</file>