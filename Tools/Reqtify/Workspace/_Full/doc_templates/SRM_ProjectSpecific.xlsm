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C:\workspace\DAIMLER_MMA_REPORTS_GENERATION\DAIMLER_MMA_Reqtify_Report_Generator\View_Development\Tools\Reqtify\Workspace\_Full\doc_templates\"/>
    </mc:Choice>
  </mc:AlternateContent>
  <xr:revisionPtr revIDLastSave="0" documentId="13_ncr:1_{CF8AF6AA-0265-4B2B-BD46-57061046A692}" xr6:coauthVersionLast="47" xr6:coauthVersionMax="47" xr10:uidLastSave="{00000000-0000-0000-0000-000000000000}"/>
  <bookViews>
    <workbookView xWindow="-120" yWindow="-120" windowWidth="29040" windowHeight="15840" tabRatio="818" activeTab="3" xr2:uid="{00000000-000D-0000-FFFF-FFFF00000000}"/>
  </bookViews>
  <sheets>
    <sheet name="FrontPage" sheetId="4" r:id="rId1"/>
    <sheet name="General info" sheetId="11" r:id="rId2"/>
    <sheet name="User Guide" sheetId="15" r:id="rId3"/>
    <sheet name="Statistics" sheetId="16" r:id="rId4"/>
    <sheet name="Requirement Status" sheetId="17" r:id="rId5"/>
    <sheet name="Incomplete Req List" sheetId="18" r:id="rId6"/>
    <sheet name="Feuil1" sheetId="19" r:id="rId7"/>
    <sheet name="Styles" sheetId="20" r:id="rId8"/>
  </sheets>
  <externalReferences>
    <externalReference r:id="rId9"/>
    <externalReference r:id="rId10"/>
  </externalReferences>
  <definedNames>
    <definedName name="_xlnm._FilterDatabase" localSheetId="4" hidden="1">'Requirement Status'!$A$3:$E$3</definedName>
    <definedName name="FileName">FrontPage!$AD$3</definedName>
    <definedName name="IntTests_ExistButNotTested">Statistics!$B$39</definedName>
    <definedName name="IntTests_NotExist">Statistics!$B$40</definedName>
    <definedName name="IntTests_Tested">Statistics!$B$38</definedName>
    <definedName name="MXActual_state_Released">FrontPage!$AB$5</definedName>
    <definedName name="MXAuthority">FrontPage!$A$5</definedName>
    <definedName name="MXCurrent.Localized">FrontPage!$W$5</definedName>
    <definedName name="MXName">FrontPage!$A$7</definedName>
    <definedName name="MXPolicy">FrontPage!#REF!</definedName>
    <definedName name="MXRevision">FrontPage!$AB$7</definedName>
    <definedName name="MXTitle">FrontPage!$E$7</definedName>
    <definedName name="MXType.Localized">FrontPage!#REF!</definedName>
    <definedName name="MXVersion">FrontPage!$AE$7</definedName>
    <definedName name="NbOfFunctionalReqs">Statistics!$B$17</definedName>
    <definedName name="NbOfNonFunctionalReqs">Statistics!$B$18</definedName>
    <definedName name="PLMDocAuthor">FrontPage!$F$10</definedName>
    <definedName name="_xlnm.Print_Area" localSheetId="4">'Requirement Status'!$A$1:$M$49</definedName>
    <definedName name="_xlnm.Print_Area" localSheetId="3">Statistics!$A$1:$S$64</definedName>
    <definedName name="_xlnm.Print_Titles" localSheetId="1">'General info'!$1:$10</definedName>
    <definedName name="ReqNotApproved">'Requirement Status'!$J$11</definedName>
    <definedName name="ReqNotReviewed">'Requirement Status'!$J$7</definedName>
    <definedName name="ReqStatus_LastTableRow">'Requirement Status'!$A$99</definedName>
    <definedName name="ReqTestedByIntCumulated">Statistics!$J$8</definedName>
    <definedName name="START_REPORT" localSheetId="4">[1]PRO_Apply_System_Strategy!#REF!</definedName>
    <definedName name="START_REPORT" localSheetId="2">#REF!</definedName>
    <definedName name="START_REPORT">Feuil1!$A$1</definedName>
    <definedName name="SumForStatistics">Statistics!$A$7</definedName>
    <definedName name="SWVersion">FrontPage!$O$24</definedName>
    <definedName name="TemplateRef">FrontPage!$W$7</definedName>
    <definedName name="TestsResults_NOK">Statistics!$B$57</definedName>
    <definedName name="TestsResults_NotTested">Statistics!$B$58</definedName>
    <definedName name="TestsResults_OK">Statistics!$B$56</definedName>
    <definedName name="TestsResults_PartiallyOK">Statistics!#REF!</definedName>
    <definedName name="TitleModuleName" localSheetId="4">'Requirement Status'!$A$3</definedName>
    <definedName name="TitleModuleName" localSheetId="3">Statistics!$A$4</definedName>
    <definedName name="VerifTests_ExistButNotTested">Statistics!$B$45</definedName>
    <definedName name="VerifTests_NotExist">Statistics!$B$46</definedName>
    <definedName name="VerifTests_Tested">Statistics!$B$44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3" i="4" l="1"/>
  <c r="AE7" i="4"/>
  <c r="A5" i="4"/>
  <c r="AB7" i="4"/>
  <c r="F10" i="4"/>
  <c r="AB5" i="4"/>
  <c r="E7" i="4"/>
  <c r="W7" i="4"/>
  <c r="A7" i="4"/>
  <c r="W5" i="4"/>
  <c r="B18" i="16" l="1"/>
  <c r="B17" i="16"/>
  <c r="T8" i="16" l="1"/>
  <c r="U8" i="16"/>
  <c r="V8" i="16"/>
  <c r="B25" i="16" l="1"/>
  <c r="B24" i="16"/>
  <c r="B29" i="16"/>
  <c r="B30" i="16"/>
  <c r="B8" i="16"/>
  <c r="S8" i="16"/>
  <c r="F8" i="16"/>
  <c r="B13" i="16" s="1"/>
  <c r="G8" i="16"/>
  <c r="C8" i="16"/>
  <c r="R8" i="16"/>
  <c r="B45" i="16" s="1"/>
  <c r="Q8" i="16"/>
  <c r="P8" i="16"/>
  <c r="B57" i="16" s="1"/>
  <c r="O8" i="16"/>
  <c r="N8" i="16"/>
  <c r="B56" i="16" s="1"/>
  <c r="B59" i="16" s="1"/>
  <c r="L8" i="16"/>
  <c r="K8" i="16"/>
  <c r="J8" i="16"/>
  <c r="I8" i="16"/>
  <c r="H8" i="16"/>
  <c r="B44" i="16" s="1"/>
  <c r="E8" i="16"/>
  <c r="B12" i="16" s="1"/>
  <c r="D8" i="16"/>
  <c r="M8" i="16"/>
  <c r="C4" i="17"/>
  <c r="D4" i="17"/>
  <c r="E4" i="17"/>
  <c r="F4" i="17"/>
  <c r="B4" i="17"/>
  <c r="B1" i="16"/>
  <c r="C1" i="17"/>
  <c r="AD3" i="11"/>
  <c r="A23" i="4"/>
  <c r="B58" i="16" l="1"/>
  <c r="C67" i="16"/>
  <c r="B67" i="16"/>
  <c r="B46" i="16"/>
  <c r="B70" i="16" s="1"/>
  <c r="C70" i="16" s="1"/>
  <c r="J11" i="17"/>
  <c r="C69" i="16" s="1"/>
  <c r="G4" i="17"/>
  <c r="J10" i="17" s="1"/>
  <c r="J7" i="17"/>
  <c r="B69" i="16" l="1"/>
  <c r="J6" i="17"/>
  <c r="B68" i="16"/>
  <c r="C68" i="16"/>
  <c r="B71" i="16"/>
  <c r="C71"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R5" authorId="0" shapeId="0" xr:uid="{00000000-0006-0000-0000-000001000000}">
      <text>
        <r>
          <rPr>
            <b/>
            <sz val="9"/>
            <color indexed="81"/>
            <rFont val="Tahoma"/>
            <family val="2"/>
          </rPr>
          <t>Fill here the reference of the project review findings : peer review workbook or equivalent</t>
        </r>
      </text>
    </comment>
    <comment ref="W7" authorId="0" shapeId="0" xr:uid="{00000000-0006-0000-0000-000002000000}">
      <text>
        <r>
          <rPr>
            <sz val="9"/>
            <color indexed="81"/>
            <rFont val="Tahoma"/>
            <family val="2"/>
          </rPr>
          <t>Warning : this template is a draft, not release because it comes from Sharepoint
Please take the official document from the Project Master Document (PMD) : E4099778 in PLM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6" authorId="0" shapeId="0" xr:uid="{00000000-0006-0000-0100-00000300000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6" authorId="0" shapeId="0" xr:uid="{00000000-0006-0000-0100-000004000000}">
      <text>
        <r>
          <rPr>
            <sz val="8"/>
            <color indexed="81"/>
            <rFont val="Tahoma"/>
            <family val="2"/>
          </rPr>
          <t>Date when the Revision is released</t>
        </r>
      </text>
    </comment>
    <comment ref="I26" authorId="0" shapeId="0" xr:uid="{00000000-0006-0000-0100-000005000000}">
      <text>
        <r>
          <rPr>
            <sz val="8"/>
            <color indexed="81"/>
            <rFont val="Tahoma"/>
            <family val="2"/>
          </rPr>
          <t>Author of the document. Authors if several.</t>
        </r>
      </text>
    </comment>
    <comment ref="R26" authorId="0" shapeId="0" xr:uid="{00000000-0006-0000-0100-000006000000}">
      <text>
        <r>
          <rPr>
            <sz val="8"/>
            <color indexed="81"/>
            <rFont val="Tahoma"/>
            <family val="2"/>
          </rPr>
          <t>Description or comment on the version. E.g. updated after meeting etc.</t>
        </r>
      </text>
    </comment>
    <comment ref="B38" authorId="0" shapeId="0" xr:uid="{00000000-0006-0000-0100-000007000000}">
      <text>
        <r>
          <rPr>
            <sz val="8"/>
            <color indexed="81"/>
            <rFont val="Tahoma"/>
            <family val="2"/>
          </rPr>
          <t>ID of possible reference documents. Any ID can be used, suggestion is [Int1], [Int2] etc. for internal references and [Ext1], [Ext2] etc. for external references</t>
        </r>
      </text>
    </comment>
    <comment ref="E38" authorId="0" shapeId="0" xr:uid="{00000000-0006-0000-0100-000008000000}">
      <text>
        <r>
          <rPr>
            <sz val="8"/>
            <color indexed="81"/>
            <rFont val="Tahoma"/>
            <family val="2"/>
          </rPr>
          <t>Title of reference documents.</t>
        </r>
      </text>
    </comment>
    <comment ref="Y38" authorId="0" shapeId="0" xr:uid="{00000000-0006-0000-0100-000009000000}">
      <text>
        <r>
          <rPr>
            <sz val="8"/>
            <color indexed="81"/>
            <rFont val="Tahoma"/>
            <family val="2"/>
          </rPr>
          <t>Reference number, e.g. E123456 and revision of the reference.</t>
        </r>
      </text>
    </comment>
    <comment ref="B44" authorId="0" shapeId="0" xr:uid="{00000000-0006-0000-0100-00000A000000}">
      <text>
        <r>
          <rPr>
            <sz val="8"/>
            <color indexed="81"/>
            <rFont val="Tahoma"/>
            <family val="2"/>
          </rPr>
          <t>ID of possible reference documents. Any ID can be used, suggestion is [Int1], [Int2] etc. for internal references and [Ext1], [Ext2] etc. for external references</t>
        </r>
      </text>
    </comment>
    <comment ref="E44" authorId="0" shapeId="0" xr:uid="{00000000-0006-0000-0100-00000B000000}">
      <text>
        <r>
          <rPr>
            <sz val="8"/>
            <color indexed="81"/>
            <rFont val="Tahoma"/>
            <family val="2"/>
          </rPr>
          <t>Title of reference documents.</t>
        </r>
      </text>
    </comment>
    <comment ref="Y44" authorId="0" shapeId="0" xr:uid="{00000000-0006-0000-0100-00000C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Francine.Chambin</author>
  </authors>
  <commentList>
    <comment ref="A4" authorId="0" shapeId="0" xr:uid="{00000000-0006-0000-0300-000001000000}">
      <text>
        <r>
          <rPr>
            <sz val="10"/>
            <color indexed="81"/>
            <rFont val="Tahoma"/>
            <family val="2"/>
          </rPr>
          <t>All requirements, extracted from the modules (in DOORS), which are:
- Software (Discipline = SW) and
- not obsolete ( "_ReqStatus" not "Obsolete") and,
- Functional or Non Functional and,
- targeted according to Target,
- really implemented in the Software version according to AEEC_IntoAccountOn_&lt;ProjectName&gt;.</t>
        </r>
      </text>
    </comment>
    <comment ref="B4" authorId="0" shapeId="0" xr:uid="{00000000-0006-0000-0300-000002000000}">
      <text>
        <r>
          <rPr>
            <sz val="10"/>
            <color indexed="81"/>
            <rFont val="Tahoma"/>
            <family val="2"/>
          </rPr>
          <t xml:space="preserve">Number of the requirements (functional and non), not obsolete,  targeted according to _Target
/ Number of SW Functional requirements Only (FO)
</t>
        </r>
      </text>
    </comment>
    <comment ref="C4" authorId="0" shapeId="0" xr:uid="{00000000-0006-0000-0300-000003000000}">
      <text>
        <r>
          <rPr>
            <sz val="10"/>
            <color indexed="81"/>
            <rFont val="Tahoma"/>
            <family val="2"/>
          </rPr>
          <t>According to "Req number" number and %  of requirements really implemented in the Software version within AEEC_IntoAccountOn_&lt;ProjectName&gt;</t>
        </r>
      </text>
    </comment>
    <comment ref="D4" authorId="0" shapeId="0" xr:uid="{00000000-0006-0000-0300-000004000000}">
      <text>
        <r>
          <rPr>
            <sz val="10"/>
            <color indexed="81"/>
            <rFont val="Tahoma"/>
            <family val="2"/>
          </rPr>
          <t>Number and % of requirements to be tested by Integration</t>
        </r>
      </text>
    </comment>
    <comment ref="E4" authorId="0" shapeId="0" xr:uid="{00000000-0006-0000-0300-000005000000}">
      <text>
        <r>
          <rPr>
            <sz val="10"/>
            <color indexed="81"/>
            <rFont val="Tahoma"/>
            <family val="2"/>
          </rPr>
          <t>Number and % of requirements to be tested by Verification</t>
        </r>
      </text>
    </comment>
    <comment ref="F4" authorId="0" shapeId="0" xr:uid="{00000000-0006-0000-0300-000006000000}">
      <text>
        <r>
          <rPr>
            <sz val="10"/>
            <color indexed="81"/>
            <rFont val="Tahoma"/>
            <family val="2"/>
          </rPr>
          <t xml:space="preserve">Requirements are not planned to be tested (neither by SW Integration nor SW Verification). 
</t>
        </r>
        <r>
          <rPr>
            <u/>
            <sz val="10"/>
            <color indexed="81"/>
            <rFont val="Tahoma"/>
            <family val="2"/>
          </rPr>
          <t xml:space="preserve">Why? Two reasons: </t>
        </r>
        <r>
          <rPr>
            <sz val="10"/>
            <color indexed="81"/>
            <rFont val="Tahoma"/>
            <family val="2"/>
          </rPr>
          <t xml:space="preserve">
- no cross  in Integ? Or Verif? Columns of module tab.
- if the requirement is not reviewed (that means ReqStatus = "Init" or "To be Improved" or in "Review by Design Team")</t>
        </r>
      </text>
    </comment>
    <comment ref="G4" authorId="0" shapeId="0" xr:uid="{00000000-0006-0000-0300-000007000000}">
      <text>
        <r>
          <rPr>
            <sz val="10"/>
            <color indexed="81"/>
            <rFont val="Tahoma"/>
            <family val="2"/>
          </rPr>
          <t xml:space="preserve">Requirements (in relation to the third column) really tested by Integration (i.e integration tests and reports done for requirements tested  OK or NOK)
Remark: Partially Ok requirement 
are not counted here.
</t>
        </r>
      </text>
    </comment>
    <comment ref="H4" authorId="0" shapeId="0" xr:uid="{00000000-0006-0000-0300-000008000000}">
      <text>
        <r>
          <rPr>
            <sz val="10"/>
            <color indexed="81"/>
            <rFont val="Tahoma"/>
            <family val="2"/>
          </rPr>
          <t xml:space="preserve">Requirements (in relation to the fourth column) really tested by  Verification (verification tests and reports done or requirements tested  OK or NOK)
Remark: Partially Ok requirement 
are not counted here.
</t>
        </r>
      </text>
    </comment>
    <comment ref="I4" authorId="0" shapeId="0" xr:uid="{00000000-0006-0000-0300-000009000000}">
      <text>
        <r>
          <rPr>
            <sz val="10"/>
            <color indexed="81"/>
            <rFont val="Tahoma"/>
            <family val="2"/>
          </rPr>
          <t xml:space="preserve">Number of requirements not tested (i.e requirement not  tested or partially tested) (neither by integration nor verification)
%  is in relation to the 2nd column with total of requirement like 6th column. </t>
        </r>
      </text>
    </comment>
    <comment ref="J4" authorId="0" shapeId="0" xr:uid="{00000000-0006-0000-0300-00000A000000}">
      <text>
        <r>
          <rPr>
            <sz val="10"/>
            <color indexed="81"/>
            <rFont val="Tahoma"/>
            <family val="2"/>
          </rPr>
          <t>Requirements really tested by Integration (integration tests and reports done only for OK or NOK requirements)
Cumulated with SRM importation data</t>
        </r>
      </text>
    </comment>
    <comment ref="K4" authorId="0" shapeId="0" xr:uid="{00000000-0006-0000-0300-00000B000000}">
      <text>
        <r>
          <rPr>
            <sz val="10"/>
            <color indexed="81"/>
            <rFont val="Tahoma"/>
            <family val="2"/>
          </rPr>
          <t>Requirements really tested by Verification (verification tests and reports done for OK and NOK requirements)
Cumulated with SRM importation data</t>
        </r>
      </text>
    </comment>
    <comment ref="L4" authorId="0" shapeId="0" xr:uid="{00000000-0006-0000-0300-00000C000000}">
      <text>
        <r>
          <rPr>
            <sz val="10"/>
            <color indexed="81"/>
            <rFont val="Tahoma"/>
            <family val="2"/>
          </rPr>
          <t>Requirements not or not partially tested (neither by integration nor verification) 
Cumulated with SRM importation data</t>
        </r>
      </text>
    </comment>
    <comment ref="M4" authorId="0" shapeId="0" xr:uid="{00000000-0006-0000-0300-00000D000000}">
      <text>
        <r>
          <rPr>
            <sz val="10"/>
            <color indexed="81"/>
            <rFont val="Tahoma"/>
            <family val="2"/>
          </rPr>
          <t xml:space="preserve">if a test result is "failed" (NOK) then an issue must be created.
</t>
        </r>
      </text>
    </comment>
    <comment ref="N4" authorId="0" shapeId="0" xr:uid="{00000000-0006-0000-0300-00000E000000}">
      <text>
        <r>
          <rPr>
            <sz val="10"/>
            <color indexed="81"/>
            <rFont val="Tahoma"/>
            <family val="2"/>
          </rPr>
          <t>Requirements which have all its tests "OK"</t>
        </r>
      </text>
    </comment>
    <comment ref="O4" authorId="0" shapeId="0" xr:uid="{00000000-0006-0000-0300-00000F000000}">
      <text>
        <r>
          <rPr>
            <sz val="10"/>
            <color indexed="81"/>
            <rFont val="Tahoma"/>
            <family val="2"/>
          </rPr>
          <t xml:space="preserve">Requirements which have :
- none "NOK" test
- not all its tests "OK" (req not fully tested)
</t>
        </r>
      </text>
    </comment>
    <comment ref="P4" authorId="0" shapeId="0" xr:uid="{00000000-0006-0000-0300-000010000000}">
      <text>
        <r>
          <rPr>
            <sz val="10"/>
            <color indexed="81"/>
            <rFont val="Tahoma"/>
            <family val="2"/>
          </rPr>
          <t xml:space="preserve">Requirements which have one of its tests "NOK"
</t>
        </r>
      </text>
    </comment>
    <comment ref="Q4" authorId="0" shapeId="0" xr:uid="{00000000-0006-0000-0300-000011000000}">
      <text>
        <r>
          <rPr>
            <sz val="10"/>
            <color indexed="81"/>
            <rFont val="Tahoma"/>
            <family val="2"/>
          </rPr>
          <t xml:space="preserve">Requirements covered by an Integration test but which are not performed yet
</t>
        </r>
      </text>
    </comment>
    <comment ref="R4" authorId="0" shapeId="0" xr:uid="{00000000-0006-0000-0300-000012000000}">
      <text>
        <r>
          <rPr>
            <sz val="10"/>
            <color indexed="81"/>
            <rFont val="Tahoma"/>
            <family val="2"/>
          </rPr>
          <t>Requirements covered by a Verification test but which is not performed yet</t>
        </r>
      </text>
    </comment>
    <comment ref="S4" authorId="1" shapeId="0" xr:uid="{00000000-0006-0000-0300-000013000000}">
      <text>
        <r>
          <rPr>
            <sz val="10"/>
            <color indexed="81"/>
            <rFont val="Tahoma"/>
            <family val="2"/>
          </rPr>
          <t>To know the requirements to be tested by the 2 teams (Integration and Verification)</t>
        </r>
      </text>
    </comment>
    <comment ref="T4" authorId="0" shapeId="0" xr:uid="{00000000-0006-0000-0300-000014000000}">
      <text>
        <r>
          <rPr>
            <sz val="9"/>
            <color indexed="81"/>
            <rFont val="Tahoma"/>
            <family val="2"/>
          </rPr>
          <t>number and % of requirements satisfying  an upper level requirement (upstream coverage requirement)</t>
        </r>
      </text>
    </comment>
    <comment ref="U4" authorId="0" shapeId="0" xr:uid="{00000000-0006-0000-0300-000015000000}">
      <text>
        <r>
          <rPr>
            <sz val="9"/>
            <color indexed="81"/>
            <rFont val="Tahoma"/>
            <family val="2"/>
          </rPr>
          <t>number and % of requirements satisfied by a lower level requirement (downstream coverage requirement)
Be careful:
- Not Applicable for SRM AAU (Software Requirement Matrix at Atomic Architectural Unit level)
- Not Applicable for SRM DES if no lower level (in case of no satisfies in DOORS from a lower level: AAU requirements in DOORS not used).</t>
        </r>
      </text>
    </comment>
    <comment ref="V4" authorId="0" shapeId="0" xr:uid="{00000000-0006-0000-0300-000016000000}">
      <text>
        <r>
          <rPr>
            <sz val="9"/>
            <color indexed="81"/>
            <rFont val="Tahoma"/>
            <family val="2"/>
          </rPr>
          <t>number and % of Requirements Implemented By Architecture, Design Element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J6" authorId="0" shapeId="0" xr:uid="{00000000-0006-0000-0400-000001000000}">
      <text>
        <r>
          <rPr>
            <sz val="9"/>
            <color indexed="81"/>
            <rFont val="Tahoma"/>
            <family val="2"/>
          </rPr>
          <t xml:space="preserve">Round down to % in order to avoid to put 100% if there are some remaining requirements </t>
        </r>
      </text>
    </comment>
    <comment ref="J10" authorId="0" shapeId="0" xr:uid="{00000000-0006-0000-0400-000002000000}">
      <text>
        <r>
          <rPr>
            <sz val="9"/>
            <color indexed="81"/>
            <rFont val="Tahoma"/>
            <family val="2"/>
          </rPr>
          <t>Round down to % in order to avoid to put 100% if there are some remaining requirements</t>
        </r>
      </text>
    </comment>
  </commentList>
</comments>
</file>

<file path=xl/sharedStrings.xml><?xml version="1.0" encoding="utf-8"?>
<sst xmlns="http://schemas.openxmlformats.org/spreadsheetml/2006/main" count="234" uniqueCount="204">
  <si>
    <t>Revision</t>
  </si>
  <si>
    <t>Project Number &amp; Name</t>
  </si>
  <si>
    <t>Document state</t>
  </si>
  <si>
    <t>Document id</t>
  </si>
  <si>
    <t>Document title</t>
  </si>
  <si>
    <t>Version</t>
  </si>
  <si>
    <t>Description/comment</t>
  </si>
  <si>
    <t>Tab</t>
  </si>
  <si>
    <t>ID</t>
  </si>
  <si>
    <t>Title</t>
  </si>
  <si>
    <t>Reference &amp; revision</t>
  </si>
  <si>
    <t>Date</t>
  </si>
  <si>
    <t>Author(s)</t>
  </si>
  <si>
    <t>Description/Comment</t>
  </si>
  <si>
    <t>Title: Name</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</si>
  <si>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</si>
  <si>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</si>
  <si>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</si>
  <si>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</si>
  <si>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</si>
  <si>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</si>
  <si>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</si>
  <si>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</si>
  <si>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</si>
  <si>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</si>
  <si>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</si>
  <si>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</si>
  <si>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</si>
  <si>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</si>
  <si>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</si>
  <si>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</si>
  <si>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</si>
  <si>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</si>
  <si>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</si>
  <si>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</si>
  <si>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</si>
  <si>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This sheet : contains history, reference, purpose, scope, definition and guide</t>
  </si>
  <si>
    <t>The front page contains information about the document.
Note : the blue cells are automatically filled by PLM and/or formula</t>
  </si>
  <si>
    <t>1. HOW to use "Statistics" sheet...</t>
  </si>
  <si>
    <t>Module Name</t>
  </si>
  <si>
    <t>Created issue number</t>
  </si>
  <si>
    <t>if a test result is "failed" (NOK) then an issue must be created.</t>
  </si>
  <si>
    <r>
      <t>3. You may click on button "</t>
    </r>
    <r>
      <rPr>
        <b/>
        <sz val="10"/>
        <rFont val="Arial"/>
        <family val="2"/>
      </rPr>
      <t>Import SRM</t>
    </r>
    <r>
      <rPr>
        <sz val="11"/>
        <rFont val="Arial"/>
        <family val="2"/>
      </rPr>
      <t>"… Give the name of a previous SRM… A progress bar appears… 
If some tests are not performed again on this version for this SRM but available on a previous version/SRM, this SRM will be filled with the results found for the previous version/SRM with the mention "</t>
    </r>
    <r>
      <rPr>
        <i/>
        <sz val="10"/>
        <rFont val="Arial"/>
        <family val="2"/>
      </rPr>
      <t>OK</t>
    </r>
    <r>
      <rPr>
        <sz val="11"/>
        <rFont val="Arial"/>
        <family val="2"/>
      </rPr>
      <t>" or "</t>
    </r>
    <r>
      <rPr>
        <i/>
        <sz val="10"/>
        <rFont val="Arial"/>
        <family val="2"/>
      </rPr>
      <t>NOK</t>
    </r>
    <r>
      <rPr>
        <sz val="11"/>
        <rFont val="Arial"/>
        <family val="2"/>
      </rPr>
      <t>" on "</t>
    </r>
    <r>
      <rPr>
        <i/>
        <sz val="10"/>
        <rFont val="Arial"/>
        <family val="2"/>
      </rPr>
      <t>version number</t>
    </r>
    <r>
      <rPr>
        <sz val="11"/>
        <rFont val="Arial"/>
        <family val="2"/>
      </rPr>
      <t>".
To have the correct "</t>
    </r>
    <r>
      <rPr>
        <i/>
        <sz val="10"/>
        <rFont val="Arial"/>
        <family val="2"/>
      </rPr>
      <t>version number</t>
    </r>
    <r>
      <rPr>
        <sz val="11"/>
        <rFont val="Arial"/>
        <family val="2"/>
      </rPr>
      <t>", don't forget to correctly inform the "</t>
    </r>
    <r>
      <rPr>
        <i/>
        <sz val="10"/>
        <rFont val="Arial"/>
        <family val="2"/>
      </rPr>
      <t>SW version</t>
    </r>
    <r>
      <rPr>
        <sz val="11"/>
        <rFont val="Arial"/>
        <family val="2"/>
      </rPr>
      <t>" in the title given by the "</t>
    </r>
    <r>
      <rPr>
        <i/>
        <sz val="10"/>
        <rFont val="Arial"/>
        <family val="2"/>
      </rPr>
      <t>1st page</t>
    </r>
    <r>
      <rPr>
        <sz val="11"/>
        <rFont val="Arial"/>
        <family val="2"/>
      </rPr>
      <t>" sheet.</t>
    </r>
  </si>
  <si>
    <t xml:space="preserve"> Nb of requirements</t>
  </si>
  <si>
    <t>Init</t>
  </si>
  <si>
    <t>To_Be_clarified</t>
  </si>
  <si>
    <t>InReview_by_Design_Team</t>
  </si>
  <si>
    <t>InReview_by_Test_Team</t>
  </si>
  <si>
    <t>Approved</t>
  </si>
  <si>
    <t>Number of SW requirementswith _ReqStatus = "Init"</t>
  </si>
  <si>
    <t>Requirement</t>
  </si>
  <si>
    <t>Status</t>
  </si>
  <si>
    <t>Implemented ?</t>
  </si>
  <si>
    <t>Type</t>
  </si>
  <si>
    <t>Verif ?</t>
  </si>
  <si>
    <t>Integ ?</t>
  </si>
  <si>
    <t>Result</t>
  </si>
  <si>
    <t>Justification</t>
  </si>
  <si>
    <t>Issue</t>
  </si>
  <si>
    <t>Its ID Number (automatically extracted from DOORS)</t>
  </si>
  <si>
    <t>Its "_ReqStatus" (automatically extracted from DOORS)</t>
  </si>
  <si>
    <t>Value of "_Type"  (automatically extracted from DOORS)</t>
  </si>
  <si>
    <t>if a test result is "failed" (NOK) or not done then a justification must be given.</t>
  </si>
  <si>
    <t>To be clarified or improved</t>
  </si>
  <si>
    <t>In Review by Design Team</t>
  </si>
  <si>
    <t>In Review by Test Team</t>
  </si>
  <si>
    <t>This document has been generated by Reqtify</t>
  </si>
  <si>
    <t>%endheader</t>
  </si>
  <si>
    <t>title</t>
  </si>
  <si>
    <t>PAGE BREAK</t>
  </si>
  <si>
    <t>sect1</t>
  </si>
  <si>
    <t>sect2</t>
  </si>
  <si>
    <t>sect3</t>
  </si>
  <si>
    <t>sect4</t>
  </si>
  <si>
    <t>sect5</t>
  </si>
  <si>
    <t>sect6</t>
  </si>
  <si>
    <t>sect7</t>
  </si>
  <si>
    <t>sect8</t>
  </si>
  <si>
    <t>sect9</t>
  </si>
  <si>
    <t>entry</t>
  </si>
  <si>
    <t>tableTitle</t>
  </si>
  <si>
    <t>para</t>
  </si>
  <si>
    <t>OK style</t>
  </si>
  <si>
    <t>NOK style</t>
  </si>
  <si>
    <t>Inconsistent style</t>
  </si>
  <si>
    <t>Without format but centered</t>
  </si>
  <si>
    <t>Tested previously</t>
  </si>
  <si>
    <t>for</t>
  </si>
  <si>
    <t>The purpose of this document is to have the summary about SW requirements</t>
  </si>
  <si>
    <t>User Guide</t>
  </si>
  <si>
    <t>Incomplete Req List</t>
  </si>
  <si>
    <t>Styles</t>
  </si>
  <si>
    <t>Other sheets…</t>
  </si>
  <si>
    <t>Automatic generated sheets</t>
  </si>
  <si>
    <t>Explanation about this document</t>
  </si>
  <si>
    <t>Statistics</t>
  </si>
  <si>
    <t>Styles for this document</t>
  </si>
  <si>
    <t>See User Guide sheet</t>
  </si>
  <si>
    <t>Progress :</t>
  </si>
  <si>
    <t>Remaining requirements</t>
  </si>
  <si>
    <t>Total</t>
  </si>
  <si>
    <t>M2 milestone target : all requirements are reviewed (approved state)</t>
  </si>
  <si>
    <t>tbd</t>
  </si>
  <si>
    <t>Check for total of requirements</t>
  </si>
  <si>
    <t>GENERATE INCOMPLETE REQUIREMENTS LIST</t>
  </si>
  <si>
    <t>M1 milestone target : all requirements are reviewed by design team</t>
  </si>
  <si>
    <t>Functional requirements</t>
  </si>
  <si>
    <t>Checks</t>
  </si>
  <si>
    <t>All requirements are implemented</t>
  </si>
  <si>
    <t>All requirements are reviewed</t>
  </si>
  <si>
    <t>All requirements have a test target (TestScope attributs)</t>
  </si>
  <si>
    <t>Warning : information bellow this line are not taken into account for the Total computation</t>
  </si>
  <si>
    <t>Be carefull! 
"Statistics" tab doesn't take into account requirements with ReqStatus = "Init" or "To be Improved" or in "Review by Design Team"</t>
  </si>
  <si>
    <t>Number of Requirements / Funtional requirements Only</t>
  </si>
  <si>
    <t>Non-functional requirements</t>
  </si>
  <si>
    <t>THIS SHEET IS AUTOMATICALLY CLEARED AND FILLED BY THE COMMAND BUTTON :</t>
  </si>
  <si>
    <t>OK</t>
  </si>
  <si>
    <t>Partially OK</t>
  </si>
  <si>
    <t>NOK</t>
  </si>
  <si>
    <t xml:space="preserve">Number (%) of requirements </t>
  </si>
  <si>
    <t>Implemented</t>
  </si>
  <si>
    <t>Not tested</t>
  </si>
  <si>
    <t>Not tested (cumulated)</t>
  </si>
  <si>
    <r>
      <t xml:space="preserve"> X</t>
    </r>
    <r>
      <rPr>
        <sz val="10"/>
        <rFont val="Arial"/>
        <family val="2"/>
      </rPr>
      <t xml:space="preserve"> 
if  implemented in the Software version via the attributes "_Implemented" or "AEEC_IntoAccountOn_&lt;ProjectName&gt;"</t>
    </r>
  </si>
  <si>
    <t>Summary about requirements coverages</t>
  </si>
  <si>
    <t>Summary about requirements reviews</t>
  </si>
  <si>
    <t>_ReqStatus attribute extracted from DOORS module</t>
  </si>
  <si>
    <t>Module name</t>
  </si>
  <si>
    <t xml:space="preserve">Not planned to be tested </t>
  </si>
  <si>
    <t>_ReqStatus attribute 
extracted from DOORS module</t>
  </si>
  <si>
    <t>The SRM lists the requirements, extracted from the modules (under DOORS), which are:
- Software (Discipline = SW) and,
- Functional or Non-Functional 
 (_Type or _ObjectType is "Functional_Requirement" or 
   "Non Functional_Requirement") and, 
- not obsolete ( "_ReqStatus" not "Obsolete") and,
- targeted according to the attribute containing Target</t>
  </si>
  <si>
    <t>Number of requirements, not obsolete,  targeted according to _Target</t>
  </si>
  <si>
    <t>Number of requirements with _ReqStatus = "Init"</t>
  </si>
  <si>
    <t>Number of requirements with _ReqStatus = "InReview_by_Design_Team"</t>
  </si>
  <si>
    <t>Number of requirements with _ReqStatus = "InReview_by_Test_Team"</t>
  </si>
  <si>
    <t>Number and % of requirements with _ReqStatus = "Approved"</t>
  </si>
  <si>
    <t>2. HOW "Requirement Status" sheet is filled...</t>
  </si>
  <si>
    <t>3. HOW the module sheet is filled...</t>
  </si>
  <si>
    <t>All the data used to fill these columns ("Requirement" to "Integ?") are extracted from the modules under DOORS (one sheet per module)</t>
  </si>
  <si>
    <t>For every "Requirement" which is:
- SoftWare (Discipline = SW) and,
- Functional or Non-Functional 
  (_Type or _ObjectType is "Functional_Requirement" or 
    "Non-Functional_Requirement") and,
- targeted  according to the attibute containing Target and,
- not obsolete ( "_ReqStatus" not "Obsolete"), 
write …</t>
  </si>
  <si>
    <t>Extracted from tests results (reports).</t>
  </si>
  <si>
    <t>Current release</t>
  </si>
  <si>
    <t>The SRM lists the requirements extracted from modules (in DOORS) thanks to the attributes which are:
- Software and
- not obsolete and,
- Functional or Non Functional and,
- targeted and,
- really implemented in the Software version.</t>
  </si>
  <si>
    <t>The SRM lists the requirements, extracted from modules (under DOORS), which are:
- Software (Discipline = SW) and,
- Functional or Non-Functional 
  (_Type or _ObjectType is "Functional_Requirement" or 
   "Non Functional_Requirement") and, 
- not obsolete ( "_ReqStatus" not "Obsolete") and,
- targeted according to the attribute containing Target</t>
  </si>
  <si>
    <t xml:space="preserve">1. After having required the SRM through Reqtify project and waiting few minutes, a SRM is ready to be opened but sheets are not correctly named (Feuil1, Feuil2,…). 
2. You must click on button "Update Statistics"… A progress bar appears… All statistics (including the metrics in "Requirement Status") are updated and every sheet is updated with the module name (extracted from DOORS).  Moreover when the status is In Review by Design team, Init or To be clarified, if there is a cross in verification or Integration tests it will be change by a O.  </t>
  </si>
  <si>
    <t>Requirement Status</t>
  </si>
  <si>
    <t>Comment</t>
  </si>
  <si>
    <t>Requirement Description</t>
  </si>
  <si>
    <t>Implemented By</t>
  </si>
  <si>
    <t xml:space="preserve">"Satisfies (Up Stream)" (SRM AAU) Or "Satisfied by" (SRM DES)
</t>
  </si>
  <si>
    <t>The data used to fill these columns are extracted from the modules under DOORS (one sheet per module)</t>
  </si>
  <si>
    <t xml:space="preserve">Contains the real value of "AEEC_TestScope_ProjectName_Version" (if exists else _TestType) attribute </t>
  </si>
  <si>
    <t>DOORS links</t>
  </si>
  <si>
    <t>Corresponds to "Satisfies" arrows:
- "Satisfies (Up Stream)" for SRM AAU or,
- "Satisfied by" (Down Stream for SRM DES)</t>
  </si>
  <si>
    <t>Number (%) of requirements 
Not Tested</t>
  </si>
  <si>
    <t>Number (%) of requirements
Tested</t>
  </si>
  <si>
    <t>How "Incomplete Req List" sheet is filled?</t>
  </si>
  <si>
    <t>The requirement (from every module sheet) have to be copied and pasted in "Incomplete Req List":</t>
  </si>
  <si>
    <t xml:space="preserve"> - if its test result is NOK without issue, </t>
  </si>
  <si>
    <t xml:space="preserve"> - if there is no test case</t>
  </si>
  <si>
    <r>
      <t>4. You may Click on "</t>
    </r>
    <r>
      <rPr>
        <b/>
        <sz val="10"/>
        <rFont val="Arial"/>
        <family val="2"/>
      </rPr>
      <t>Generate Incomplete Req List</t>
    </r>
    <r>
      <rPr>
        <sz val="11"/>
        <rFont val="Arial"/>
        <family val="2"/>
      </rPr>
      <t>"…. In the "</t>
    </r>
    <r>
      <rPr>
        <b/>
        <u/>
        <sz val="10"/>
        <rFont val="Arial"/>
        <family val="2"/>
      </rPr>
      <t xml:space="preserve">Incomplete Req List" sheet </t>
    </r>
    <r>
      <rPr>
        <sz val="11"/>
        <rFont val="Arial"/>
        <family val="2"/>
      </rPr>
      <t>display all Requirements:
- which have a NOK result with no issue, 
- without Integration or Verification Tests</t>
    </r>
  </si>
  <si>
    <t>Implemented by Architecture, Design (corresponds to "Implements" arrows)</t>
  </si>
  <si>
    <t>List of requirements not covered by a test case, or with no issue for a NOK result</t>
  </si>
  <si>
    <t>Total (in number)</t>
  </si>
  <si>
    <t>To be tested by SW Qualification WhiteBox</t>
  </si>
  <si>
    <t>Tested by  SW Qualification WhiteBox</t>
  </si>
  <si>
    <t>Tested by  SW Qualification WhiteBox (cumulated)</t>
  </si>
  <si>
    <t>Tested by SW Qualification BlackBox (cumulated)</t>
  </si>
  <si>
    <t>But Covered by  SW Qualification WhiteBox tests cases</t>
  </si>
  <si>
    <r>
      <t xml:space="preserve"> X 
</t>
    </r>
    <r>
      <rPr>
        <sz val="10"/>
        <rFont val="Arial"/>
        <family val="2"/>
      </rPr>
      <t>if "AEEC_TestScope_ProjectName_Version" (if exists else _TestType) attribute contains "BlackBox".</t>
    </r>
  </si>
  <si>
    <r>
      <t xml:space="preserve"> X 
</t>
    </r>
    <r>
      <rPr>
        <sz val="10"/>
        <rFont val="Arial"/>
        <family val="2"/>
      </rPr>
      <t>if "AEEC_TestScope_ProjectName_Version"  (if exists else _TestType) attribute contains "WhiteBox" or "Reviews".</t>
    </r>
  </si>
  <si>
    <t>Extracted from BlackBox specifications.</t>
  </si>
  <si>
    <t>Extracted from SW BlackBox specifications.</t>
  </si>
  <si>
    <t>WhiteBox test</t>
  </si>
  <si>
    <t>BlackBox test</t>
  </si>
  <si>
    <t xml:space="preserve">To be tested </t>
  </si>
  <si>
    <t>Requirements Scope and Test Plan</t>
  </si>
  <si>
    <t>Functional / Non-Functional Requirements</t>
  </si>
  <si>
    <t>SW Qualification Blackbox Tests Status</t>
  </si>
  <si>
    <t>Test Specification and Test Result are available</t>
  </si>
  <si>
    <t>Test Specification is available but Test Result is not available</t>
  </si>
  <si>
    <t>Test Specification and Test Result are not available</t>
  </si>
  <si>
    <t>Requirements Tests Results</t>
  </si>
  <si>
    <t>Passed</t>
  </si>
  <si>
    <t>Failed</t>
  </si>
  <si>
    <t>Not Tested</t>
  </si>
  <si>
    <t>To be fullfilled</t>
  </si>
  <si>
    <r>
      <t xml:space="preserve">See </t>
    </r>
    <r>
      <rPr>
        <sz val="8"/>
        <color rgb="FF7030A0"/>
        <rFont val="Arial"/>
        <family val="2"/>
      </rPr>
      <t>PCIM</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</si>
  <si>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See PCIM for the roles and </t>
    </r>
    <r>
      <rPr>
        <sz val="10"/>
        <color rgb="FF7030A0"/>
        <rFont val="Arial"/>
        <family val="2"/>
      </rPr>
      <t>Project Members List</t>
    </r>
    <r>
      <rPr>
        <sz val="10"/>
        <rFont val="Arial"/>
        <family val="2"/>
      </rPr>
      <t xml:space="preserve"> for the name of people</t>
    </r>
  </si>
  <si>
    <t>Satisfying Lower level requirement</t>
  </si>
  <si>
    <t>Upper Level Coverage</t>
  </si>
  <si>
    <t>Satisfies an upper  level requirement</t>
  </si>
  <si>
    <t>Doesn't satisfy an upper level requirement</t>
  </si>
  <si>
    <t>Lower Level Coverage</t>
  </si>
  <si>
    <t>Satisfied by a low level requirement</t>
  </si>
  <si>
    <t>Not satisfied by a low level requirement</t>
  </si>
  <si>
    <t>All planned SW Test are performed</t>
  </si>
  <si>
    <t>To be tested</t>
  </si>
  <si>
    <t>Tested</t>
  </si>
  <si>
    <t>But Covered by a Test Specification</t>
  </si>
  <si>
    <t>And Not covered by a Test Specification</t>
  </si>
  <si>
    <t>Satisfies an Upper level requirement</t>
  </si>
  <si>
    <t>All requirements are covered by a Test Specification</t>
  </si>
  <si>
    <t>Not planned to be tested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</si>
</sst>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70" x14ac:knownFonts="1">
    <font>
      <sz val="1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b/>
      <sz val="24"/>
      <name val="Arial"/>
      <family val="2"/>
    </font>
    <font>
      <b/>
      <sz val="12"/>
      <name val="Arial"/>
      <family val="2"/>
    </font>
    <font>
      <b/>
      <u/>
      <sz val="10"/>
      <name val="Arial"/>
      <family val="2"/>
    </font>
    <font>
      <u/>
      <sz val="10"/>
      <name val="Arial"/>
      <family val="2"/>
    </font>
    <font>
      <sz val="12"/>
      <name val="Arial"/>
      <family val="2"/>
    </font>
    <font>
      <sz val="10"/>
      <name val="Arial"/>
      <family val="2"/>
    </font>
    <font>
      <sz val="10"/>
      <color indexed="81"/>
      <name val="Tahoma"/>
      <family val="2"/>
    </font>
    <font>
      <u/>
      <sz val="10"/>
      <color indexed="12"/>
      <name val="Arial"/>
      <family val="2"/>
    </font>
    <font>
      <u/>
      <sz val="10"/>
      <color indexed="81"/>
      <name val="Tahoma"/>
      <family val="2"/>
    </font>
    <font>
      <sz val="9"/>
      <color indexed="81"/>
      <name val="Tahoma"/>
      <family val="2"/>
    </font>
    <font>
      <sz val="11"/>
      <color theme="1"/>
      <name val="Calibri"/>
      <family val="2"/>
      <scheme val="minor"/>
    </font>
    <font>
      <b/>
      <sz val="12"/>
      <color rgb="FFFA7D00"/>
      <name val="Calibri"/>
      <family val="2"/>
      <scheme val="minor"/>
    </font>
    <font>
      <b/>
      <sz val="12"/>
      <color theme="0"/>
      <name val="Calibri"/>
      <family val="2"/>
      <scheme val="minor"/>
    </font>
    <font>
      <b/>
      <sz val="15"/>
      <color theme="3"/>
      <name val="Calibri"/>
      <family val="2"/>
      <scheme val="minor"/>
    </font>
    <font>
      <b/>
      <sz val="11"/>
      <color theme="3"/>
      <name val="Calibri"/>
      <family val="2"/>
      <scheme val="minor"/>
    </font>
    <font>
      <u/>
      <sz val="10"/>
      <color theme="10"/>
      <name val="Arial"/>
      <family val="2"/>
    </font>
    <font>
      <sz val="11"/>
      <color rgb="FF3F3F76"/>
      <name val="Calibri"/>
      <family val="2"/>
      <scheme val="minor"/>
    </font>
    <font>
      <b/>
      <sz val="12"/>
      <color rgb="FF3F3F3F"/>
      <name val="Calibri"/>
      <family val="2"/>
      <scheme val="minor"/>
    </font>
    <font>
      <b/>
      <sz val="18"/>
      <color theme="3"/>
      <name val="Cambria"/>
      <family val="2"/>
      <scheme val="major"/>
    </font>
    <font>
      <sz val="11"/>
      <color rgb="FFFF0000"/>
      <name val="Calibri"/>
      <family val="2"/>
      <scheme val="minor"/>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i/>
      <sz val="12"/>
      <color rgb="FF000000"/>
      <name val="Arial"/>
      <family val="2"/>
    </font>
    <font>
      <b/>
      <sz val="11"/>
      <color rgb="FF3F3F3F"/>
      <name val="Calibri"/>
      <family val="2"/>
      <scheme val="minor"/>
    </font>
    <font>
      <b/>
      <u/>
      <sz val="10"/>
      <color theme="10"/>
      <name val="Arial"/>
      <family val="2"/>
    </font>
    <font>
      <sz val="22"/>
      <color rgb="FFFF0000"/>
      <name val="Arial"/>
      <family val="2"/>
    </font>
    <font>
      <sz val="11"/>
      <color theme="0"/>
      <name val="Arial"/>
      <family val="2"/>
    </font>
    <font>
      <b/>
      <sz val="12"/>
      <color theme="3"/>
      <name val="Calibri"/>
      <family val="2"/>
      <scheme val="minor"/>
    </font>
    <font>
      <b/>
      <sz val="8"/>
      <color theme="0"/>
      <name val="Arial"/>
      <family val="2"/>
    </font>
    <font>
      <b/>
      <i/>
      <sz val="10"/>
      <color rgb="FF000080"/>
      <name val="Arial"/>
      <family val="2"/>
    </font>
    <font>
      <b/>
      <sz val="20"/>
      <color rgb="FF3F3F76"/>
      <name val="Calibri"/>
      <family val="2"/>
      <scheme val="minor"/>
    </font>
    <font>
      <sz val="10"/>
      <color rgb="FF000080"/>
      <name val="Arial"/>
      <family val="2"/>
    </font>
    <font>
      <b/>
      <sz val="10"/>
      <color theme="0"/>
      <name val="Arial"/>
      <family val="2"/>
    </font>
    <font>
      <b/>
      <sz val="12"/>
      <color rgb="FFFF0000"/>
      <name val="Arial"/>
      <family val="2"/>
    </font>
    <font>
      <sz val="14"/>
      <color rgb="FFFF0000"/>
      <name val="Calibri"/>
      <family val="2"/>
      <scheme val="minor"/>
    </font>
    <font>
      <sz val="11"/>
      <color rgb="FF000000"/>
      <name val="Arial"/>
      <family val="2"/>
    </font>
    <font>
      <b/>
      <sz val="10"/>
      <color rgb="FFFFFFFF"/>
      <name val="Arial"/>
      <family val="2"/>
    </font>
    <font>
      <sz val="14"/>
      <name val="Arial"/>
      <family val="2"/>
    </font>
    <font>
      <u/>
      <sz val="14"/>
      <name val="Arial"/>
      <family val="2"/>
    </font>
    <font>
      <b/>
      <sz val="9"/>
      <color indexed="81"/>
      <name val="Tahoma"/>
      <family val="2"/>
    </font>
    <font>
      <sz val="8"/>
      <color rgb="FF7030A0"/>
      <name val="Arial"/>
      <family val="2"/>
    </font>
    <font>
      <b/>
      <sz val="8"/>
      <name val="Arial"/>
      <family val="2"/>
    </font>
    <font>
      <sz val="10"/>
      <color rgb="FF7030A0"/>
      <name val="Arial"/>
      <family val="2"/>
    </font>
    <font>
      <b/>
      <sz val="14"/>
      <color rgb="FF3F3F3F"/>
      <name val="Arial"/>
      <family val="2"/>
    </font>
  </fonts>
  <fills count="40">
    <fill>
      <patternFill patternType="none"/>
    </fill>
    <fill>
      <patternFill patternType="gray125"/>
    </fill>
    <fill>
      <patternFill patternType="solid">
        <fgColor indexed="52"/>
        <bgColor indexed="64"/>
      </patternFill>
    </fill>
    <fill>
      <patternFill patternType="solid">
        <fgColor indexed="10"/>
        <bgColor indexed="64"/>
      </patternFill>
    </fill>
    <fill>
      <patternFill patternType="solid">
        <fgColor indexed="50"/>
        <bgColor indexed="64"/>
      </patternFill>
    </fill>
    <fill>
      <patternFill patternType="solid">
        <fgColor indexed="43"/>
        <bgColor indexed="64"/>
      </patternFill>
    </fill>
    <fill>
      <patternFill patternType="solid">
        <fgColor indexed="41"/>
        <bgColor indexed="64"/>
      </patternFill>
    </fill>
    <fill>
      <patternFill patternType="solid">
        <fgColor indexed="23"/>
        <bgColor indexed="64"/>
      </patternFill>
    </fill>
    <fill>
      <patternFill patternType="solid">
        <fgColor indexed="18"/>
        <bgColor indexed="64"/>
      </patternFill>
    </fill>
    <fill>
      <patternFill patternType="solid">
        <fgColor indexed="47"/>
        <bgColor indexed="64"/>
      </patternFill>
    </fill>
    <fill>
      <patternFill patternType="solid">
        <fgColor indexed="42"/>
        <bgColor indexed="64"/>
      </patternFill>
    </fill>
    <fill>
      <patternFill patternType="solid">
        <fgColor indexed="26"/>
        <bgColor indexed="64"/>
      </patternFill>
    </fill>
    <fill>
      <patternFill patternType="solid">
        <fgColor indexed="51"/>
        <bgColor indexed="64"/>
      </patternFill>
    </fill>
    <fill>
      <patternFill patternType="solid">
        <fgColor indexed="65"/>
        <bgColor indexed="10"/>
      </patternFill>
    </fill>
    <fill>
      <patternFill patternType="solid">
        <fgColor indexed="22"/>
        <bgColor indexed="64"/>
      </patternFill>
    </fill>
    <fill>
      <patternFill patternType="solid">
        <fgColor theme="4"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rgb="FFF2F2F2"/>
      </patternFill>
    </fill>
    <fill>
      <patternFill patternType="solid">
        <fgColor rgb="FFA5A5A5"/>
      </patternFill>
    </fill>
    <fill>
      <patternFill patternType="solid">
        <fgColor rgb="FFFFCC99"/>
      </patternFill>
    </fill>
    <fill>
      <patternFill patternType="solid">
        <fgColor theme="0"/>
        <bgColor indexed="64"/>
      </patternFill>
    </fill>
    <fill>
      <patternFill patternType="solid">
        <fgColor rgb="FFFFC000"/>
        <bgColor indexed="64"/>
      </patternFill>
    </fill>
    <fill>
      <patternFill patternType="solid">
        <fgColor theme="1"/>
        <bgColor indexed="64"/>
      </patternFill>
    </fill>
    <fill>
      <patternFill patternType="solid">
        <fgColor theme="7" tint="0.79998168889431442"/>
        <bgColor indexed="64"/>
      </patternFill>
    </fill>
    <fill>
      <patternFill patternType="solid">
        <fgColor rgb="FFE4DFEC"/>
        <bgColor indexed="64"/>
      </patternFill>
    </fill>
    <fill>
      <patternFill patternType="solid">
        <fgColor theme="8" tint="0.79998168889431442"/>
        <bgColor indexed="64"/>
      </patternFill>
    </fill>
    <fill>
      <patternFill patternType="solid">
        <fgColor rgb="FFDAEEF3"/>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000080"/>
        <bgColor indexed="64"/>
      </patternFill>
    </fill>
    <fill>
      <patternFill patternType="solid">
        <fgColor rgb="FFCCFFCC"/>
        <bgColor indexed="64"/>
      </patternFill>
    </fill>
    <fill>
      <patternFill patternType="solid">
        <fgColor rgb="FFFFCC99"/>
        <bgColor indexed="64"/>
      </patternFill>
    </fill>
    <fill>
      <patternFill patternType="solid">
        <fgColor rgb="FFFFFFCC"/>
        <bgColor indexed="64"/>
      </patternFill>
    </fill>
    <fill>
      <patternFill patternType="solid">
        <fgColor theme="2" tint="-9.9978637043366805E-2"/>
        <bgColor indexed="64"/>
      </patternFill>
    </fill>
    <fill>
      <patternFill patternType="solid">
        <fgColor theme="2" tint="-0.249977111117893"/>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style="thin">
        <color rgb="FF3F3F3F"/>
      </left>
      <right style="thin">
        <color rgb="FF3F3F3F"/>
      </right>
      <top style="thin">
        <color rgb="FF3F3F3F"/>
      </top>
      <bottom style="thin">
        <color rgb="FF3F3F3F"/>
      </bottom>
      <diagonal/>
    </border>
    <border>
      <left/>
      <right/>
      <top/>
      <bottom style="thin">
        <color rgb="FF000080"/>
      </bottom>
      <diagonal/>
    </border>
    <border>
      <left/>
      <right/>
      <top style="thick">
        <color theme="0"/>
      </top>
      <bottom/>
      <diagonal/>
    </border>
    <border>
      <left/>
      <right style="thick">
        <color theme="0"/>
      </right>
      <top/>
      <bottom/>
      <diagonal/>
    </border>
    <border>
      <left style="thick">
        <color theme="0"/>
      </left>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thin">
        <color indexed="64"/>
      </top>
      <bottom style="medium">
        <color indexed="64"/>
      </bottom>
      <diagonal/>
    </border>
    <border>
      <left style="thick">
        <color theme="0"/>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thick">
        <color theme="0"/>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top/>
      <bottom style="thick">
        <color theme="0"/>
      </bottom>
      <diagonal/>
    </border>
    <border>
      <left/>
      <right style="medium">
        <color indexed="64"/>
      </right>
      <top/>
      <bottom style="thick">
        <color theme="0"/>
      </bottom>
      <diagonal/>
    </border>
    <border>
      <left style="medium">
        <color indexed="64"/>
      </left>
      <right/>
      <top style="thin">
        <color indexed="64"/>
      </top>
      <bottom style="thin">
        <color indexed="64"/>
      </bottom>
      <diagonal/>
    </border>
    <border>
      <left style="medium">
        <color indexed="64"/>
      </left>
      <right/>
      <top style="thick">
        <color theme="0"/>
      </top>
      <bottom/>
      <diagonal/>
    </border>
    <border>
      <left style="medium">
        <color indexed="64"/>
      </left>
      <right style="double">
        <color rgb="FF3F3F3F"/>
      </right>
      <top style="double">
        <color rgb="FF3F3F3F"/>
      </top>
      <bottom style="double">
        <color rgb="FF3F3F3F"/>
      </bottom>
      <diagonal/>
    </border>
    <border>
      <left/>
      <right/>
      <top/>
      <bottom style="medium">
        <color indexed="64"/>
      </bottom>
      <diagonal/>
    </border>
    <border>
      <left style="thick">
        <color theme="0"/>
      </left>
      <right/>
      <top style="medium">
        <color indexed="64"/>
      </top>
      <bottom/>
      <diagonal/>
    </border>
  </borders>
  <cellStyleXfs count="69">
    <xf numFmtId="0" fontId="0" fillId="0" borderId="0"/>
    <xf numFmtId="0" fontId="33" fillId="15" borderId="0" applyNumberFormat="0" applyBorder="0" applyAlignment="0" applyProtection="0"/>
    <xf numFmtId="0" fontId="33" fillId="16" borderId="0" applyNumberFormat="0" applyBorder="0" applyAlignment="0" applyProtection="0"/>
    <xf numFmtId="0" fontId="33" fillId="17" borderId="0" applyNumberFormat="0" applyBorder="0" applyAlignment="0" applyProtection="0"/>
    <xf numFmtId="0" fontId="33" fillId="18" borderId="0" applyNumberFormat="0" applyBorder="0" applyAlignment="0" applyProtection="0"/>
    <xf numFmtId="0" fontId="33" fillId="19" borderId="0" applyNumberFormat="0" applyBorder="0" applyAlignment="0" applyProtection="0"/>
    <xf numFmtId="0" fontId="34" fillId="20" borderId="36" applyNumberFormat="0" applyAlignment="0" applyProtection="0"/>
    <xf numFmtId="0" fontId="35" fillId="21" borderId="37" applyNumberFormat="0" applyAlignment="0" applyProtection="0"/>
    <xf numFmtId="0" fontId="7" fillId="0" borderId="1"/>
    <xf numFmtId="0" fontId="10" fillId="0" borderId="1"/>
    <xf numFmtId="0" fontId="7" fillId="0" borderId="1"/>
    <xf numFmtId="0" fontId="28" fillId="0" borderId="1"/>
    <xf numFmtId="0" fontId="7" fillId="0" borderId="1"/>
    <xf numFmtId="0" fontId="36" fillId="0" borderId="38" applyNumberFormat="0" applyFill="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0" fillId="0" borderId="0" applyNumberFormat="0" applyFill="0" applyBorder="0" applyAlignment="0" applyProtection="0">
      <alignment vertical="top"/>
      <protection locked="0"/>
    </xf>
    <xf numFmtId="0" fontId="7" fillId="2" borderId="1">
      <alignment horizontal="center"/>
    </xf>
    <xf numFmtId="0" fontId="10" fillId="2" borderId="1">
      <alignment horizontal="center"/>
    </xf>
    <xf numFmtId="0" fontId="7" fillId="2" borderId="1">
      <alignment horizontal="center"/>
    </xf>
    <xf numFmtId="0" fontId="39" fillId="22" borderId="36" applyNumberFormat="0" applyAlignment="0" applyProtection="0"/>
    <xf numFmtId="0" fontId="8" fillId="3" borderId="1">
      <alignment horizontal="center"/>
    </xf>
    <xf numFmtId="0" fontId="10" fillId="0" borderId="0"/>
    <xf numFmtId="0" fontId="7" fillId="0" borderId="0"/>
    <xf numFmtId="0" fontId="28" fillId="0" borderId="0"/>
    <xf numFmtId="0" fontId="7" fillId="0" borderId="0"/>
    <xf numFmtId="0" fontId="7" fillId="0" borderId="0"/>
    <xf numFmtId="0" fontId="8" fillId="4" borderId="1">
      <alignment horizontal="center"/>
    </xf>
    <xf numFmtId="0" fontId="40" fillId="20" borderId="39" applyNumberFormat="0" applyAlignment="0" applyProtection="0"/>
    <xf numFmtId="0" fontId="10" fillId="0" borderId="0"/>
    <xf numFmtId="0" fontId="7" fillId="0" borderId="0"/>
    <xf numFmtId="9" fontId="7" fillId="0" borderId="0" applyFont="0" applyFill="0" applyBorder="0" applyAlignment="0" applyProtection="0"/>
    <xf numFmtId="0" fontId="24" fillId="0" borderId="0">
      <alignment horizontal="center"/>
    </xf>
    <xf numFmtId="0" fontId="24" fillId="0" borderId="1"/>
    <xf numFmtId="0" fontId="8" fillId="0" borderId="0"/>
    <xf numFmtId="0" fontId="26" fillId="0" borderId="0"/>
    <xf numFmtId="0" fontId="7" fillId="0" borderId="0"/>
    <xf numFmtId="0" fontId="10" fillId="0" borderId="0"/>
    <xf numFmtId="0" fontId="7" fillId="0" borderId="0"/>
    <xf numFmtId="0" fontId="7" fillId="0" borderId="0"/>
    <xf numFmtId="0" fontId="10" fillId="0" borderId="0"/>
    <xf numFmtId="0" fontId="7" fillId="0" borderId="0"/>
    <xf numFmtId="0" fontId="7" fillId="0" borderId="0"/>
    <xf numFmtId="0" fontId="10" fillId="0" borderId="0"/>
    <xf numFmtId="0" fontId="7" fillId="0" borderId="0"/>
    <xf numFmtId="0" fontId="7" fillId="0" borderId="0"/>
    <xf numFmtId="0" fontId="10" fillId="0" borderId="0"/>
    <xf numFmtId="0" fontId="7" fillId="0" borderId="0"/>
    <xf numFmtId="0" fontId="7" fillId="0" borderId="0"/>
    <xf numFmtId="0" fontId="10" fillId="0" borderId="0"/>
    <xf numFmtId="0" fontId="7" fillId="0" borderId="0"/>
    <xf numFmtId="0" fontId="7" fillId="0" borderId="0"/>
    <xf numFmtId="0" fontId="10" fillId="0" borderId="0"/>
    <xf numFmtId="0" fontId="7" fillId="0" borderId="0"/>
    <xf numFmtId="0" fontId="8" fillId="0" borderId="1">
      <alignment horizontal="center" textRotation="60"/>
    </xf>
    <xf numFmtId="0" fontId="17" fillId="5" borderId="1">
      <alignment horizontal="center"/>
    </xf>
    <xf numFmtId="0" fontId="41" fillId="0" borderId="0" applyNumberFormat="0" applyFill="0" applyBorder="0" applyAlignment="0" applyProtection="0"/>
    <xf numFmtId="0" fontId="13" fillId="0" borderId="2"/>
    <xf numFmtId="0" fontId="42" fillId="0" borderId="0" applyNumberFormat="0" applyFill="0" applyBorder="0" applyAlignment="0" applyProtection="0"/>
    <xf numFmtId="49" fontId="7" fillId="0" borderId="1">
      <alignment horizontal="center"/>
    </xf>
    <xf numFmtId="0" fontId="10" fillId="0" borderId="1">
      <alignment horizontal="center"/>
    </xf>
    <xf numFmtId="0" fontId="7" fillId="0" borderId="1">
      <alignment horizontal="center"/>
    </xf>
    <xf numFmtId="0" fontId="28" fillId="0" borderId="1">
      <alignment horizontal="center"/>
    </xf>
    <xf numFmtId="0" fontId="7" fillId="0" borderId="1">
      <alignment horizontal="center"/>
    </xf>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cellStyleXfs>
  <cellXfs count="433">
    <xf numFmtId="0" fontId="0" fillId="0" borderId="0" xfId="0"/>
    <xf numFmtId="0" fontId="0" fillId="0" borderId="0" xfId="0" applyAlignment="1" applyProtection="1">
      <alignment vertical="center"/>
    </xf>
    <xf numFmtId="0" fontId="11" fillId="0" borderId="0" xfId="0" applyFont="1" applyFill="1" applyAlignment="1" applyProtection="1">
      <alignment vertical="center" wrapText="1"/>
    </xf>
    <xf numFmtId="164" fontId="11" fillId="0" borderId="0" xfId="0" applyNumberFormat="1" applyFont="1" applyFill="1" applyBorder="1" applyAlignment="1" applyProtection="1">
      <alignment horizontal="center" vertical="center" wrapText="1"/>
    </xf>
    <xf numFmtId="20" fontId="11" fillId="0" borderId="0" xfId="0" applyNumberFormat="1" applyFont="1" applyFill="1" applyBorder="1" applyAlignment="1" applyProtection="1">
      <alignment vertical="center" wrapText="1"/>
    </xf>
    <xf numFmtId="0" fontId="11" fillId="0" borderId="0" xfId="0" applyFont="1" applyFill="1" applyBorder="1" applyAlignment="1" applyProtection="1">
      <alignment horizontal="left" vertical="center" wrapText="1"/>
    </xf>
    <xf numFmtId="0" fontId="7" fillId="0" borderId="0" xfId="0" applyFont="1" applyFill="1" applyAlignment="1" applyProtection="1">
      <alignment vertical="center"/>
    </xf>
    <xf numFmtId="0" fontId="0" fillId="0" borderId="0" xfId="0" applyBorder="1" applyAlignment="1" applyProtection="1">
      <alignment vertical="center"/>
    </xf>
    <xf numFmtId="0" fontId="7" fillId="0" borderId="0" xfId="0" applyFont="1" applyFill="1" applyBorder="1" applyAlignment="1" applyProtection="1">
      <alignment vertical="center"/>
    </xf>
    <xf numFmtId="0" fontId="43" fillId="0" borderId="0" xfId="0" applyFont="1" applyFill="1" applyBorder="1" applyAlignment="1" applyProtection="1">
      <alignment horizontal="right" vertical="center"/>
    </xf>
    <xf numFmtId="0" fontId="12" fillId="0" borderId="0" xfId="0" applyFont="1" applyBorder="1" applyAlignment="1" applyProtection="1">
      <alignment horizontal="left" vertical="center" wrapText="1"/>
    </xf>
    <xf numFmtId="0" fontId="10" fillId="0" borderId="0" xfId="0" applyFont="1" applyFill="1" applyBorder="1" applyAlignment="1" applyProtection="1">
      <alignment vertical="center" shrinkToFit="1"/>
    </xf>
    <xf numFmtId="0" fontId="10" fillId="0" borderId="0" xfId="0" applyFont="1" applyBorder="1" applyAlignment="1" applyProtection="1">
      <alignment vertical="center" shrinkToFit="1"/>
    </xf>
    <xf numFmtId="0" fontId="7" fillId="0" borderId="0" xfId="0" applyFont="1" applyFill="1" applyAlignment="1" applyProtection="1">
      <alignment vertical="center"/>
      <protection locked="0"/>
    </xf>
    <xf numFmtId="0" fontId="0" fillId="0" borderId="0" xfId="0" applyAlignment="1" applyProtection="1">
      <alignment vertical="center"/>
      <protection locked="0"/>
    </xf>
    <xf numFmtId="0" fontId="10" fillId="0" borderId="0" xfId="0" applyFont="1" applyFill="1" applyAlignment="1" applyProtection="1">
      <alignment vertical="center"/>
      <protection locked="0"/>
    </xf>
    <xf numFmtId="0" fontId="10" fillId="0" borderId="0" xfId="0" applyFont="1" applyAlignment="1" applyProtection="1">
      <alignment vertical="center"/>
      <protection locked="0"/>
    </xf>
    <xf numFmtId="0" fontId="44" fillId="0" borderId="40" xfId="0" applyFont="1" applyBorder="1" applyAlignment="1" applyProtection="1">
      <alignment vertical="center"/>
      <protection locked="0"/>
    </xf>
    <xf numFmtId="0" fontId="0" fillId="0" borderId="40" xfId="0" applyBorder="1" applyAlignment="1" applyProtection="1">
      <alignment vertical="center"/>
      <protection locked="0"/>
    </xf>
    <xf numFmtId="0" fontId="18" fillId="0" borderId="0" xfId="0" applyFont="1" applyAlignment="1" applyProtection="1">
      <alignment horizontal="left" vertical="center"/>
      <protection locked="0"/>
    </xf>
    <xf numFmtId="0" fontId="13" fillId="0" borderId="0" xfId="0" applyFont="1" applyAlignment="1" applyProtection="1">
      <alignment horizontal="left" vertical="center"/>
      <protection locked="0"/>
    </xf>
    <xf numFmtId="0" fontId="10" fillId="0" borderId="0" xfId="0" applyFont="1" applyAlignment="1" applyProtection="1">
      <alignment horizontal="left" vertical="center"/>
      <protection locked="0"/>
    </xf>
    <xf numFmtId="0" fontId="15" fillId="0" borderId="0" xfId="0" applyFont="1" applyAlignment="1" applyProtection="1">
      <alignment vertical="center"/>
      <protection locked="0"/>
    </xf>
    <xf numFmtId="0" fontId="8" fillId="0" borderId="0" xfId="0" applyFont="1" applyAlignment="1" applyProtection="1">
      <alignment vertical="center"/>
      <protection locked="0"/>
    </xf>
    <xf numFmtId="49" fontId="22" fillId="0" borderId="0" xfId="0" applyNumberFormat="1" applyFont="1" applyFill="1" applyBorder="1" applyAlignment="1" applyProtection="1">
      <alignment horizontal="left" vertical="center"/>
      <protection locked="0"/>
    </xf>
    <xf numFmtId="49" fontId="10" fillId="0" borderId="0" xfId="0" applyNumberFormat="1" applyFont="1" applyFill="1" applyBorder="1" applyAlignment="1">
      <alignment horizontal="center" vertical="center" wrapText="1"/>
    </xf>
    <xf numFmtId="49" fontId="10" fillId="0" borderId="0" xfId="0" applyNumberFormat="1" applyFont="1" applyFill="1" applyBorder="1" applyAlignment="1" applyProtection="1">
      <alignment horizontal="left" vertical="center" wrapText="1"/>
      <protection locked="0"/>
    </xf>
    <xf numFmtId="49" fontId="10" fillId="0" borderId="0" xfId="0" applyNumberFormat="1" applyFont="1" applyFill="1" applyBorder="1" applyAlignment="1">
      <alignment horizontal="left" vertical="center" wrapText="1"/>
    </xf>
    <xf numFmtId="49" fontId="20"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21" fillId="0" borderId="0" xfId="0" applyFont="1" applyAlignment="1" applyProtection="1">
      <alignment horizontal="left" vertical="center"/>
      <protection locked="0"/>
    </xf>
    <xf numFmtId="0" fontId="0" fillId="0" borderId="0" xfId="0" applyBorder="1" applyAlignment="1">
      <alignment horizontal="left" vertical="center" wrapText="1"/>
    </xf>
    <xf numFmtId="0" fontId="44" fillId="0" borderId="3" xfId="0" applyFont="1" applyBorder="1" applyAlignment="1" applyProtection="1">
      <alignment vertical="center"/>
      <protection locked="0"/>
    </xf>
    <xf numFmtId="49" fontId="10" fillId="0" borderId="3" xfId="0" applyNumberFormat="1" applyFont="1" applyFill="1" applyBorder="1" applyAlignment="1" applyProtection="1">
      <alignment horizontal="left" vertical="center" wrapText="1"/>
      <protection locked="0"/>
    </xf>
    <xf numFmtId="0" fontId="0" fillId="0" borderId="3" xfId="0" applyBorder="1" applyAlignment="1">
      <alignment horizontal="left" vertical="center" wrapText="1"/>
    </xf>
    <xf numFmtId="0" fontId="44" fillId="0" borderId="0" xfId="0" applyFont="1" applyBorder="1" applyAlignment="1" applyProtection="1">
      <alignment vertical="center"/>
      <protection locked="0"/>
    </xf>
    <xf numFmtId="49" fontId="10"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10"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17" fillId="0" borderId="0" xfId="0" applyFont="1" applyBorder="1" applyAlignment="1" applyProtection="1">
      <alignment horizontal="left" vertical="center" shrinkToFit="1"/>
    </xf>
    <xf numFmtId="0" fontId="8" fillId="0" borderId="0" xfId="0" applyFont="1" applyBorder="1" applyAlignment="1" applyProtection="1">
      <alignment horizontal="left" vertical="center" shrinkToFit="1"/>
    </xf>
    <xf numFmtId="0" fontId="10" fillId="0" borderId="0" xfId="0" applyFont="1" applyFill="1" applyAlignment="1" applyProtection="1">
      <alignment vertical="center" shrinkToFit="1"/>
      <protection locked="0"/>
    </xf>
    <xf numFmtId="0" fontId="10" fillId="0" borderId="0" xfId="0" applyFont="1" applyAlignment="1" applyProtection="1">
      <alignment vertical="center" shrinkToFit="1"/>
      <protection locked="0"/>
    </xf>
    <xf numFmtId="0" fontId="45" fillId="0" borderId="4" xfId="0" applyFont="1" applyFill="1" applyBorder="1" applyAlignment="1" applyProtection="1">
      <alignment horizontal="left" vertical="center" wrapText="1" shrinkToFit="1"/>
      <protection locked="0"/>
    </xf>
    <xf numFmtId="0" fontId="46" fillId="0" borderId="0" xfId="0" applyFont="1" applyFill="1" applyBorder="1" applyAlignment="1" applyProtection="1">
      <alignment horizontal="left" vertical="center" shrinkToFit="1"/>
      <protection locked="0"/>
    </xf>
    <xf numFmtId="0" fontId="45" fillId="0" borderId="0" xfId="0" applyFont="1" applyFill="1" applyBorder="1" applyAlignment="1" applyProtection="1">
      <alignment horizontal="left" vertical="center" wrapText="1" shrinkToFit="1"/>
      <protection locked="0"/>
    </xf>
    <xf numFmtId="0" fontId="46" fillId="0" borderId="5" xfId="0" applyFont="1" applyFill="1" applyBorder="1" applyAlignment="1" applyProtection="1">
      <alignment horizontal="left" vertical="center" shrinkToFit="1"/>
      <protection locked="0"/>
    </xf>
    <xf numFmtId="0" fontId="7"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6" fillId="0" borderId="0" xfId="0" applyFont="1" applyFill="1" applyAlignment="1" applyProtection="1">
      <alignment horizontal="center" vertical="center"/>
      <protection locked="0"/>
    </xf>
    <xf numFmtId="0" fontId="24" fillId="0" borderId="0" xfId="0" applyFont="1" applyAlignment="1">
      <alignment textRotation="60"/>
    </xf>
    <xf numFmtId="0" fontId="0" fillId="0" borderId="0" xfId="0" applyAlignment="1">
      <alignment horizontal="center"/>
    </xf>
    <xf numFmtId="0" fontId="0" fillId="0" borderId="0" xfId="0" applyNumberFormat="1" applyAlignment="1">
      <alignment horizontal="center"/>
    </xf>
    <xf numFmtId="0" fontId="0" fillId="0" borderId="0" xfId="0" applyNumberFormat="1"/>
    <xf numFmtId="10" fontId="0" fillId="0" borderId="0" xfId="0" applyNumberFormat="1"/>
    <xf numFmtId="0" fontId="13" fillId="0" borderId="2" xfId="57" applyFont="1" applyFill="1"/>
    <xf numFmtId="0" fontId="0" fillId="0" borderId="0" xfId="0" applyFill="1"/>
    <xf numFmtId="0" fontId="24" fillId="0" borderId="1" xfId="33"/>
    <xf numFmtId="0" fontId="8" fillId="0" borderId="0" xfId="34"/>
    <xf numFmtId="0" fontId="26" fillId="0" borderId="0" xfId="35"/>
    <xf numFmtId="0" fontId="7" fillId="0" borderId="0" xfId="36"/>
    <xf numFmtId="0" fontId="7" fillId="0" borderId="0" xfId="39"/>
    <xf numFmtId="0" fontId="7" fillId="0" borderId="0" xfId="42"/>
    <xf numFmtId="0" fontId="7" fillId="0" borderId="0" xfId="45"/>
    <xf numFmtId="0" fontId="7" fillId="0" borderId="0" xfId="48"/>
    <xf numFmtId="0" fontId="7" fillId="0" borderId="0" xfId="51"/>
    <xf numFmtId="0" fontId="7" fillId="0" borderId="1" xfId="8" applyFont="1"/>
    <xf numFmtId="0" fontId="8" fillId="0" borderId="1" xfId="54">
      <alignment horizontal="center" textRotation="60"/>
    </xf>
    <xf numFmtId="0" fontId="10" fillId="0" borderId="0" xfId="29"/>
    <xf numFmtId="0" fontId="8" fillId="4" borderId="1" xfId="27">
      <alignment horizontal="center"/>
    </xf>
    <xf numFmtId="0" fontId="8" fillId="3" borderId="1" xfId="21">
      <alignment horizontal="center"/>
    </xf>
    <xf numFmtId="0" fontId="7" fillId="2" borderId="1" xfId="17" applyFont="1">
      <alignment horizontal="center"/>
    </xf>
    <xf numFmtId="49" fontId="7" fillId="0" borderId="1" xfId="59" applyFont="1">
      <alignment horizontal="center"/>
    </xf>
    <xf numFmtId="0" fontId="17" fillId="5" borderId="1" xfId="55">
      <alignment horizontal="center"/>
    </xf>
    <xf numFmtId="0" fontId="16" fillId="0" borderId="0" xfId="0" applyFont="1" applyFill="1" applyAlignment="1" applyProtection="1">
      <alignment vertical="center" wrapText="1"/>
      <protection locked="0"/>
    </xf>
    <xf numFmtId="0" fontId="17" fillId="0" borderId="0" xfId="0" applyFont="1" applyAlignment="1">
      <alignment vertical="center" wrapText="1"/>
    </xf>
    <xf numFmtId="0" fontId="16" fillId="0" borderId="0" xfId="0" applyFont="1" applyAlignment="1">
      <alignment vertical="center" wrapText="1"/>
    </xf>
    <xf numFmtId="0" fontId="17" fillId="0" borderId="0" xfId="0" applyFont="1" applyAlignment="1" applyProtection="1">
      <alignment vertical="center"/>
      <protection locked="0"/>
    </xf>
    <xf numFmtId="0" fontId="16" fillId="0" borderId="0" xfId="0" applyFont="1" applyBorder="1" applyAlignment="1">
      <alignment vertical="center"/>
    </xf>
    <xf numFmtId="0" fontId="17" fillId="0" borderId="0" xfId="0" applyFont="1" applyFill="1" applyAlignment="1" applyProtection="1">
      <alignment vertical="center"/>
      <protection locked="0"/>
    </xf>
    <xf numFmtId="0" fontId="16" fillId="0" borderId="0" xfId="0" applyFont="1" applyBorder="1" applyAlignment="1">
      <alignment vertical="center" wrapText="1"/>
    </xf>
    <xf numFmtId="0" fontId="48" fillId="23" borderId="0" xfId="0" applyFont="1" applyFill="1"/>
    <xf numFmtId="0" fontId="0" fillId="23" borderId="0" xfId="0" applyFill="1"/>
    <xf numFmtId="0" fontId="0" fillId="23" borderId="0" xfId="0" applyFill="1" applyAlignment="1">
      <alignment horizontal="left" vertical="center"/>
    </xf>
    <xf numFmtId="0" fontId="24" fillId="23" borderId="0" xfId="0" applyFont="1" applyFill="1" applyAlignment="1">
      <alignment textRotation="60"/>
    </xf>
    <xf numFmtId="0" fontId="0" fillId="23" borderId="0" xfId="0" applyFill="1" applyAlignment="1">
      <alignment vertical="center"/>
    </xf>
    <xf numFmtId="0" fontId="0" fillId="23" borderId="0" xfId="0" applyFill="1" applyAlignment="1">
      <alignment horizontal="center"/>
    </xf>
    <xf numFmtId="0" fontId="0" fillId="23" borderId="0" xfId="0" applyFill="1" applyAlignment="1">
      <alignment vertical="center" wrapText="1"/>
    </xf>
    <xf numFmtId="0" fontId="23" fillId="23" borderId="0" xfId="0" applyFont="1" applyFill="1" applyBorder="1" applyAlignment="1">
      <alignment horizontal="center"/>
    </xf>
    <xf numFmtId="0" fontId="10" fillId="23" borderId="0" xfId="0" applyFont="1" applyFill="1" applyAlignment="1">
      <alignment vertical="center" wrapText="1"/>
    </xf>
    <xf numFmtId="0" fontId="10" fillId="23" borderId="1" xfId="0" applyFont="1" applyFill="1" applyBorder="1" applyAlignment="1">
      <alignment horizontal="center" vertical="center" wrapText="1"/>
    </xf>
    <xf numFmtId="49" fontId="8" fillId="6" borderId="1" xfId="22" applyNumberFormat="1" applyFont="1" applyFill="1" applyBorder="1" applyAlignment="1">
      <alignment horizontal="center" vertical="center" wrapText="1"/>
    </xf>
    <xf numFmtId="49" fontId="10" fillId="6" borderId="1" xfId="22" applyNumberFormat="1" applyFont="1" applyFill="1" applyBorder="1" applyAlignment="1">
      <alignment horizontal="center" vertical="center" wrapText="1"/>
    </xf>
    <xf numFmtId="10" fontId="8" fillId="5" borderId="6" xfId="22" applyNumberFormat="1" applyFont="1" applyFill="1" applyBorder="1" applyAlignment="1">
      <alignment horizontal="center" textRotation="60" wrapText="1"/>
    </xf>
    <xf numFmtId="10" fontId="8" fillId="5" borderId="7" xfId="22" applyNumberFormat="1" applyFont="1" applyFill="1" applyBorder="1" applyAlignment="1">
      <alignment horizontal="center" textRotation="60" wrapText="1"/>
    </xf>
    <xf numFmtId="0" fontId="10" fillId="23" borderId="0" xfId="0" applyFont="1" applyFill="1" applyAlignment="1">
      <alignment vertical="center"/>
    </xf>
    <xf numFmtId="10" fontId="8" fillId="5" borderId="7" xfId="22" applyNumberFormat="1" applyFont="1" applyFill="1" applyBorder="1" applyAlignment="1">
      <alignment horizontal="center" textRotation="60"/>
    </xf>
    <xf numFmtId="1" fontId="8" fillId="5" borderId="7" xfId="22" applyNumberFormat="1" applyFont="1" applyFill="1" applyBorder="1" applyAlignment="1">
      <alignment horizontal="center" textRotation="60"/>
    </xf>
    <xf numFmtId="0" fontId="8" fillId="5" borderId="8" xfId="22" applyFont="1" applyFill="1" applyBorder="1" applyAlignment="1">
      <alignment horizontal="center" textRotation="60"/>
    </xf>
    <xf numFmtId="0" fontId="36" fillId="0" borderId="0" xfId="13" applyNumberFormat="1" applyBorder="1"/>
    <xf numFmtId="0" fontId="33" fillId="15" borderId="1" xfId="1" applyNumberFormat="1" applyBorder="1"/>
    <xf numFmtId="9" fontId="49" fillId="20" borderId="1" xfId="31" applyFont="1" applyFill="1" applyBorder="1" applyAlignment="1">
      <alignment horizontal="center"/>
    </xf>
    <xf numFmtId="0" fontId="40" fillId="20" borderId="1" xfId="28" applyNumberFormat="1" applyBorder="1" applyAlignment="1">
      <alignment horizontal="center"/>
    </xf>
    <xf numFmtId="0" fontId="7" fillId="0" borderId="0" xfId="0" applyNumberFormat="1" applyFont="1"/>
    <xf numFmtId="0" fontId="0" fillId="23" borderId="0" xfId="0" applyNumberFormat="1" applyFill="1" applyAlignment="1">
      <alignment horizontal="center" vertical="center"/>
    </xf>
    <xf numFmtId="0" fontId="0" fillId="23" borderId="0" xfId="0" applyNumberFormat="1" applyFill="1" applyAlignment="1">
      <alignment horizontal="right" vertical="center"/>
    </xf>
    <xf numFmtId="0" fontId="0" fillId="23" borderId="0" xfId="0" applyNumberFormat="1" applyFill="1" applyAlignment="1">
      <alignment vertical="center"/>
    </xf>
    <xf numFmtId="0" fontId="27" fillId="23" borderId="0" xfId="0" applyNumberFormat="1" applyFont="1" applyFill="1" applyAlignment="1">
      <alignment horizontal="center" vertical="center"/>
    </xf>
    <xf numFmtId="0" fontId="24" fillId="23" borderId="0" xfId="0" applyNumberFormat="1" applyFont="1" applyFill="1" applyAlignment="1">
      <alignment vertical="center" textRotation="60"/>
    </xf>
    <xf numFmtId="0" fontId="41" fillId="23" borderId="0" xfId="56" applyNumberFormat="1" applyFill="1" applyAlignment="1">
      <alignment vertical="center"/>
    </xf>
    <xf numFmtId="0" fontId="50" fillId="9" borderId="1" xfId="15" applyFont="1" applyFill="1" applyBorder="1" applyAlignment="1">
      <alignment horizontal="left" vertical="center"/>
    </xf>
    <xf numFmtId="0" fontId="0" fillId="9" borderId="1" xfId="0" applyNumberFormat="1" applyFill="1" applyBorder="1" applyAlignment="1">
      <alignment horizontal="center"/>
    </xf>
    <xf numFmtId="0" fontId="0" fillId="9" borderId="1" xfId="0" applyNumberFormat="1" applyFill="1" applyBorder="1"/>
    <xf numFmtId="10" fontId="0" fillId="9" borderId="1" xfId="0" applyNumberFormat="1" applyFill="1" applyBorder="1"/>
    <xf numFmtId="1" fontId="24" fillId="5" borderId="1" xfId="0" applyNumberFormat="1" applyFont="1" applyFill="1" applyBorder="1" applyAlignment="1">
      <alignment horizontal="center"/>
    </xf>
    <xf numFmtId="0" fontId="51" fillId="0" borderId="0" xfId="0" applyFont="1"/>
    <xf numFmtId="0" fontId="0" fillId="23" borderId="0" xfId="0" applyFill="1" applyAlignment="1">
      <alignment vertical="center" wrapText="1"/>
    </xf>
    <xf numFmtId="0" fontId="10" fillId="23" borderId="0" xfId="0" applyFont="1" applyFill="1" applyAlignment="1">
      <alignment vertical="center" wrapText="1"/>
    </xf>
    <xf numFmtId="0" fontId="24" fillId="5" borderId="1" xfId="0" applyFont="1" applyFill="1" applyBorder="1" applyAlignment="1">
      <alignment horizontal="center" vertical="center"/>
    </xf>
    <xf numFmtId="0" fontId="0" fillId="25" borderId="0" xfId="0" applyNumberFormat="1" applyFill="1" applyAlignment="1">
      <alignment horizontal="center"/>
    </xf>
    <xf numFmtId="0" fontId="0" fillId="25" borderId="0" xfId="0" applyNumberFormat="1" applyFill="1"/>
    <xf numFmtId="10" fontId="0" fillId="25" borderId="0" xfId="0" applyNumberFormat="1" applyFill="1"/>
    <xf numFmtId="0" fontId="52" fillId="25" borderId="0" xfId="0" applyFont="1" applyFill="1" applyAlignment="1">
      <alignment horizontal="left"/>
    </xf>
    <xf numFmtId="0" fontId="7" fillId="23" borderId="0" xfId="0" applyFont="1" applyFill="1" applyBorder="1" applyAlignment="1">
      <alignment vertical="center" wrapText="1"/>
    </xf>
    <xf numFmtId="0" fontId="0" fillId="23" borderId="0" xfId="0" applyFont="1" applyFill="1" applyBorder="1" applyAlignment="1">
      <alignment horizontal="left" vertical="center" wrapText="1"/>
    </xf>
    <xf numFmtId="0" fontId="0" fillId="26" borderId="0" xfId="0" applyNumberFormat="1" applyFill="1" applyBorder="1" applyAlignment="1">
      <alignment horizontal="center" vertical="center"/>
    </xf>
    <xf numFmtId="0" fontId="0" fillId="26" borderId="0" xfId="0" applyNumberFormat="1" applyFill="1" applyBorder="1" applyAlignment="1">
      <alignment horizontal="right" vertical="center"/>
    </xf>
    <xf numFmtId="0" fontId="0" fillId="26" borderId="0" xfId="0" applyNumberFormat="1" applyFill="1" applyBorder="1" applyAlignment="1">
      <alignment vertical="center"/>
    </xf>
    <xf numFmtId="0" fontId="0" fillId="26" borderId="45" xfId="0" applyNumberFormat="1" applyFill="1" applyBorder="1" applyAlignment="1">
      <alignment horizontal="center" vertical="center"/>
    </xf>
    <xf numFmtId="0" fontId="0" fillId="26" borderId="45" xfId="0" applyNumberFormat="1" applyFill="1" applyBorder="1" applyAlignment="1">
      <alignment horizontal="right" vertical="center"/>
    </xf>
    <xf numFmtId="0" fontId="0" fillId="26" borderId="42" xfId="0" applyNumberFormat="1" applyFill="1" applyBorder="1" applyAlignment="1">
      <alignment vertical="center"/>
    </xf>
    <xf numFmtId="0" fontId="0" fillId="26" borderId="45" xfId="0" applyNumberFormat="1" applyFill="1" applyBorder="1" applyAlignment="1">
      <alignment vertical="center"/>
    </xf>
    <xf numFmtId="0" fontId="0" fillId="26" borderId="46" xfId="0" applyNumberFormat="1" applyFill="1" applyBorder="1" applyAlignment="1">
      <alignment vertical="center"/>
    </xf>
    <xf numFmtId="0" fontId="0" fillId="28" borderId="0" xfId="0" applyNumberFormat="1" applyFill="1" applyBorder="1" applyAlignment="1">
      <alignment horizontal="center" vertical="center"/>
    </xf>
    <xf numFmtId="0" fontId="41" fillId="28" borderId="0" xfId="56" applyFill="1" applyBorder="1" applyAlignment="1">
      <alignment vertical="center"/>
    </xf>
    <xf numFmtId="0" fontId="0" fillId="28" borderId="0" xfId="0" applyNumberFormat="1" applyFill="1" applyBorder="1" applyAlignment="1">
      <alignment horizontal="right" vertical="center"/>
    </xf>
    <xf numFmtId="0" fontId="0" fillId="28" borderId="43" xfId="0" applyNumberFormat="1" applyFill="1" applyBorder="1" applyAlignment="1">
      <alignment horizontal="right" vertical="center"/>
    </xf>
    <xf numFmtId="0" fontId="0" fillId="28" borderId="45" xfId="0" applyNumberFormat="1" applyFill="1" applyBorder="1" applyAlignment="1">
      <alignment horizontal="center" vertical="center"/>
    </xf>
    <xf numFmtId="0" fontId="0" fillId="28" borderId="45" xfId="0" applyNumberFormat="1" applyFill="1" applyBorder="1" applyAlignment="1">
      <alignment horizontal="right" vertical="center"/>
    </xf>
    <xf numFmtId="0" fontId="0" fillId="28" borderId="0" xfId="0" applyNumberFormat="1" applyFill="1" applyBorder="1" applyAlignment="1">
      <alignment vertical="center"/>
    </xf>
    <xf numFmtId="0" fontId="0" fillId="28" borderId="45" xfId="0" applyNumberFormat="1" applyFill="1" applyBorder="1" applyAlignment="1">
      <alignment vertical="center"/>
    </xf>
    <xf numFmtId="0" fontId="0" fillId="30" borderId="0" xfId="0" applyNumberFormat="1" applyFill="1" applyBorder="1" applyAlignment="1">
      <alignment horizontal="center" vertical="center"/>
    </xf>
    <xf numFmtId="0" fontId="53" fillId="30" borderId="0" xfId="14" applyNumberFormat="1" applyFont="1" applyFill="1" applyBorder="1" applyAlignment="1">
      <alignment horizontal="left" vertical="center"/>
    </xf>
    <xf numFmtId="0" fontId="0" fillId="30" borderId="0" xfId="0" applyNumberFormat="1" applyFill="1" applyBorder="1" applyAlignment="1">
      <alignment horizontal="right" vertical="center"/>
    </xf>
    <xf numFmtId="0" fontId="7" fillId="30" borderId="0" xfId="0" applyNumberFormat="1" applyFont="1" applyFill="1" applyBorder="1" applyAlignment="1">
      <alignment horizontal="left" vertical="center"/>
    </xf>
    <xf numFmtId="0" fontId="0" fillId="30" borderId="0" xfId="0" applyNumberFormat="1" applyFill="1" applyBorder="1" applyAlignment="1">
      <alignment vertical="center"/>
    </xf>
    <xf numFmtId="0" fontId="40" fillId="20" borderId="39" xfId="28" applyNumberFormat="1" applyBorder="1" applyAlignment="1">
      <alignment horizontal="center" vertical="center"/>
    </xf>
    <xf numFmtId="0" fontId="35" fillId="21" borderId="37" xfId="7" applyNumberFormat="1" applyBorder="1" applyAlignment="1">
      <alignment horizontal="center" vertical="center"/>
    </xf>
    <xf numFmtId="0" fontId="0" fillId="30" borderId="45" xfId="0" applyNumberFormat="1" applyFill="1" applyBorder="1" applyAlignment="1">
      <alignment horizontal="center" vertical="center"/>
    </xf>
    <xf numFmtId="0" fontId="0" fillId="30" borderId="45" xfId="0" applyNumberFormat="1" applyFill="1" applyBorder="1" applyAlignment="1">
      <alignment horizontal="right" vertical="center"/>
    </xf>
    <xf numFmtId="0" fontId="0" fillId="30" borderId="45" xfId="0" applyNumberFormat="1" applyFill="1" applyBorder="1" applyAlignment="1">
      <alignment vertical="center"/>
    </xf>
    <xf numFmtId="0" fontId="0" fillId="31" borderId="41" xfId="0" applyNumberFormat="1" applyFill="1" applyBorder="1" applyAlignment="1">
      <alignment horizontal="center" vertical="center"/>
    </xf>
    <xf numFmtId="0" fontId="0" fillId="31" borderId="41" xfId="0" applyNumberFormat="1" applyFill="1" applyBorder="1" applyAlignment="1">
      <alignment horizontal="right" vertical="center"/>
    </xf>
    <xf numFmtId="0" fontId="0" fillId="31" borderId="41" xfId="0" applyNumberFormat="1" applyFill="1" applyBorder="1" applyAlignment="1">
      <alignment vertical="center"/>
    </xf>
    <xf numFmtId="0" fontId="0" fillId="31" borderId="0" xfId="0" applyNumberFormat="1" applyFill="1" applyBorder="1" applyAlignment="1">
      <alignment horizontal="center" vertical="center"/>
    </xf>
    <xf numFmtId="0" fontId="0" fillId="31" borderId="0" xfId="0" applyNumberFormat="1" applyFill="1" applyBorder="1" applyAlignment="1">
      <alignment horizontal="right" vertical="center"/>
    </xf>
    <xf numFmtId="0" fontId="0" fillId="31" borderId="0" xfId="0" applyNumberFormat="1" applyFill="1" applyBorder="1" applyAlignment="1">
      <alignment vertical="center"/>
    </xf>
    <xf numFmtId="1" fontId="24" fillId="5" borderId="1" xfId="0" applyNumberFormat="1" applyFont="1" applyFill="1" applyBorder="1" applyAlignment="1">
      <alignment horizontal="center" textRotation="45"/>
    </xf>
    <xf numFmtId="10" fontId="24" fillId="5" borderId="1" xfId="0" applyNumberFormat="1" applyFont="1" applyFill="1" applyBorder="1" applyAlignment="1">
      <alignment horizontal="center" textRotation="45"/>
    </xf>
    <xf numFmtId="10" fontId="24" fillId="5" borderId="24" xfId="0" applyNumberFormat="1" applyFont="1" applyFill="1" applyBorder="1" applyAlignment="1">
      <alignment horizontal="center" textRotation="45" wrapText="1"/>
    </xf>
    <xf numFmtId="0" fontId="7" fillId="0" borderId="0" xfId="0" applyFont="1" applyFill="1" applyBorder="1" applyAlignment="1" applyProtection="1">
      <alignment vertical="center"/>
      <protection locked="0"/>
    </xf>
    <xf numFmtId="0" fontId="10" fillId="0" borderId="0" xfId="0" applyFont="1" applyFill="1" applyBorder="1" applyAlignment="1" applyProtection="1">
      <alignment vertical="center"/>
      <protection locked="0"/>
    </xf>
    <xf numFmtId="0" fontId="10" fillId="0" borderId="0" xfId="0" applyFont="1" applyBorder="1" applyAlignment="1" applyProtection="1">
      <alignment vertical="center"/>
      <protection locked="0"/>
    </xf>
    <xf numFmtId="49" fontId="7" fillId="23" borderId="1" xfId="0" applyNumberFormat="1" applyFont="1" applyFill="1" applyBorder="1" applyAlignment="1">
      <alignment horizontal="center" vertical="center" wrapText="1"/>
    </xf>
    <xf numFmtId="0" fontId="7" fillId="23" borderId="1" xfId="0" applyFont="1" applyFill="1" applyBorder="1" applyAlignment="1">
      <alignment horizontal="center" vertical="center" wrapText="1"/>
    </xf>
    <xf numFmtId="0" fontId="7" fillId="6" borderId="0" xfId="22" applyFont="1" applyFill="1" applyAlignment="1">
      <alignment vertical="center" wrapText="1"/>
    </xf>
    <xf numFmtId="0" fontId="7" fillId="23" borderId="1" xfId="0" applyFont="1" applyFill="1" applyBorder="1" applyAlignment="1">
      <alignment vertical="center" wrapText="1"/>
    </xf>
    <xf numFmtId="49" fontId="7" fillId="6" borderId="1" xfId="22" applyNumberFormat="1" applyFont="1" applyFill="1" applyBorder="1" applyAlignment="1">
      <alignment horizontal="center" vertical="center" wrapText="1"/>
    </xf>
    <xf numFmtId="0" fontId="62" fillId="7" borderId="1" xfId="54" applyFont="1" applyFill="1" applyBorder="1" applyAlignment="1">
      <alignment horizontal="center" textRotation="75" wrapText="1"/>
    </xf>
    <xf numFmtId="0" fontId="62" fillId="7" borderId="1" xfId="54" applyFont="1" applyFill="1" applyBorder="1" applyAlignment="1">
      <alignment horizontal="center" textRotation="75"/>
    </xf>
    <xf numFmtId="0" fontId="14" fillId="7" borderId="1" xfId="54" applyFont="1" applyFill="1" applyBorder="1" applyAlignment="1">
      <alignment horizontal="center" textRotation="75"/>
    </xf>
    <xf numFmtId="0" fontId="63" fillId="0" borderId="0" xfId="0" applyFont="1"/>
    <xf numFmtId="0" fontId="64" fillId="0" borderId="0" xfId="0" applyFont="1" applyAlignment="1"/>
    <xf numFmtId="0" fontId="7" fillId="23" borderId="0" xfId="0" applyNumberFormat="1" applyFont="1" applyFill="1" applyAlignment="1">
      <alignment horizontal="center" vertical="center"/>
    </xf>
    <xf numFmtId="0" fontId="14" fillId="8" borderId="9" xfId="0" applyNumberFormat="1" applyFont="1" applyFill="1" applyBorder="1" applyAlignment="1" applyProtection="1">
      <alignment horizontal="center" vertical="center" wrapText="1"/>
      <protection locked="0"/>
    </xf>
    <xf numFmtId="0" fontId="7" fillId="23" borderId="0" xfId="0" applyNumberFormat="1" applyFont="1" applyFill="1" applyAlignment="1">
      <alignment horizontal="right" vertical="center"/>
    </xf>
    <xf numFmtId="0" fontId="7" fillId="23" borderId="0" xfId="0" applyNumberFormat="1" applyFont="1" applyFill="1" applyAlignment="1">
      <alignment vertical="center"/>
    </xf>
    <xf numFmtId="0" fontId="8" fillId="5" borderId="19" xfId="22" applyNumberFormat="1" applyFont="1" applyFill="1" applyBorder="1" applyAlignment="1">
      <alignment horizontal="center" vertical="center"/>
    </xf>
    <xf numFmtId="0" fontId="8" fillId="5" borderId="21" xfId="22" applyNumberFormat="1" applyFont="1" applyFill="1" applyBorder="1" applyAlignment="1">
      <alignment horizontal="center" vertical="center" textRotation="90" wrapText="1"/>
    </xf>
    <xf numFmtId="0" fontId="8" fillId="5" borderId="54" xfId="22" applyNumberFormat="1" applyFont="1" applyFill="1" applyBorder="1" applyAlignment="1">
      <alignment horizontal="center" vertical="center" wrapText="1"/>
    </xf>
    <xf numFmtId="0" fontId="8" fillId="5" borderId="53" xfId="22" applyNumberFormat="1" applyFont="1" applyFill="1" applyBorder="1" applyAlignment="1">
      <alignment horizontal="center" vertical="center" wrapText="1"/>
    </xf>
    <xf numFmtId="0" fontId="8" fillId="12" borderId="19" xfId="22" applyNumberFormat="1" applyFont="1" applyFill="1" applyBorder="1" applyAlignment="1">
      <alignment horizontal="center" vertical="center" wrapText="1"/>
    </xf>
    <xf numFmtId="0" fontId="8" fillId="12" borderId="21" xfId="22" applyNumberFormat="1" applyFont="1" applyFill="1" applyBorder="1" applyAlignment="1">
      <alignment horizontal="center" vertical="center" wrapText="1"/>
    </xf>
    <xf numFmtId="0" fontId="8" fillId="12" borderId="53" xfId="22" applyNumberFormat="1" applyFont="1" applyFill="1" applyBorder="1" applyAlignment="1">
      <alignment horizontal="center" vertical="center" wrapText="1"/>
    </xf>
    <xf numFmtId="0" fontId="8" fillId="5" borderId="23" xfId="22" applyNumberFormat="1" applyFont="1" applyFill="1" applyBorder="1" applyAlignment="1">
      <alignment horizontal="center" vertical="center" wrapText="1"/>
    </xf>
    <xf numFmtId="0" fontId="8" fillId="5" borderId="52" xfId="22" applyNumberFormat="1" applyFont="1" applyFill="1" applyBorder="1" applyAlignment="1">
      <alignment horizontal="center" vertical="center" wrapText="1"/>
    </xf>
    <xf numFmtId="0" fontId="50" fillId="9" borderId="17" xfId="15" applyNumberFormat="1" applyFont="1" applyFill="1" applyBorder="1" applyAlignment="1">
      <alignment horizontal="center" vertical="center"/>
    </xf>
    <xf numFmtId="0" fontId="7" fillId="9" borderId="10" xfId="0" applyNumberFormat="1" applyFont="1" applyFill="1" applyBorder="1" applyAlignment="1">
      <alignment horizontal="center" vertical="center"/>
    </xf>
    <xf numFmtId="0" fontId="7" fillId="10" borderId="10" xfId="0" applyNumberFormat="1" applyFont="1" applyFill="1" applyBorder="1" applyAlignment="1">
      <alignment horizontal="center" vertical="center"/>
    </xf>
    <xf numFmtId="0" fontId="7" fillId="11" borderId="10" xfId="0" applyNumberFormat="1" applyFont="1" applyFill="1" applyBorder="1" applyAlignment="1">
      <alignment horizontal="center" vertical="center"/>
    </xf>
    <xf numFmtId="0" fontId="7" fillId="6" borderId="11" xfId="0" applyNumberFormat="1" applyFont="1" applyFill="1" applyBorder="1" applyAlignment="1">
      <alignment horizontal="center" vertical="center"/>
    </xf>
    <xf numFmtId="0" fontId="7" fillId="9" borderId="17" xfId="0" applyNumberFormat="1" applyFont="1" applyFill="1" applyBorder="1" applyAlignment="1">
      <alignment horizontal="center" vertical="center"/>
    </xf>
    <xf numFmtId="0" fontId="7" fillId="9" borderId="11" xfId="0" applyNumberFormat="1" applyFont="1" applyFill="1" applyBorder="1" applyAlignment="1">
      <alignment horizontal="center" vertical="center"/>
    </xf>
    <xf numFmtId="0" fontId="7" fillId="10" borderId="5" xfId="0" applyNumberFormat="1" applyFont="1" applyFill="1" applyBorder="1" applyAlignment="1">
      <alignment horizontal="center" vertical="center"/>
    </xf>
    <xf numFmtId="0" fontId="7" fillId="11" borderId="11" xfId="0" applyNumberFormat="1" applyFont="1" applyFill="1" applyBorder="1" applyAlignment="1">
      <alignment horizontal="center" vertical="center"/>
    </xf>
    <xf numFmtId="0" fontId="7" fillId="9" borderId="32" xfId="0" applyNumberFormat="1" applyFont="1" applyFill="1" applyBorder="1" applyAlignment="1">
      <alignment horizontal="center" vertical="center"/>
    </xf>
    <xf numFmtId="0" fontId="7" fillId="9" borderId="8" xfId="0" applyNumberFormat="1" applyFont="1" applyFill="1" applyBorder="1" applyAlignment="1">
      <alignment horizontal="center" vertical="center"/>
    </xf>
    <xf numFmtId="0" fontId="7" fillId="9" borderId="7" xfId="0" applyNumberFormat="1" applyFont="1" applyFill="1" applyBorder="1" applyAlignment="1">
      <alignment horizontal="center" vertical="center"/>
    </xf>
    <xf numFmtId="0" fontId="7" fillId="9" borderId="6" xfId="0" applyNumberFormat="1" applyFont="1" applyFill="1" applyBorder="1" applyAlignment="1">
      <alignment horizontal="center" vertical="center"/>
    </xf>
    <xf numFmtId="0" fontId="7" fillId="35" borderId="10" xfId="0" applyNumberFormat="1" applyFont="1" applyFill="1" applyBorder="1" applyAlignment="1">
      <alignment horizontal="center" vertical="center"/>
    </xf>
    <xf numFmtId="0" fontId="7" fillId="9" borderId="55" xfId="0" applyNumberFormat="1" applyFont="1" applyFill="1" applyBorder="1" applyAlignment="1">
      <alignment horizontal="center" vertical="center"/>
    </xf>
    <xf numFmtId="0" fontId="7" fillId="9" borderId="56" xfId="0" applyNumberFormat="1" applyFont="1" applyFill="1" applyBorder="1" applyAlignment="1">
      <alignment horizontal="center" vertical="center"/>
    </xf>
    <xf numFmtId="0" fontId="7" fillId="9" borderId="52" xfId="0" applyNumberFormat="1" applyFont="1" applyFill="1" applyBorder="1" applyAlignment="1">
      <alignment horizontal="center" vertical="center"/>
    </xf>
    <xf numFmtId="0" fontId="8" fillId="5" borderId="12" xfId="22" applyNumberFormat="1" applyFont="1" applyFill="1" applyBorder="1" applyAlignment="1">
      <alignment horizontal="center" vertical="center"/>
    </xf>
    <xf numFmtId="0" fontId="8" fillId="36" borderId="13" xfId="0" applyNumberFormat="1" applyFont="1" applyFill="1" applyBorder="1" applyAlignment="1">
      <alignment horizontal="center" vertical="center"/>
    </xf>
    <xf numFmtId="0" fontId="8" fillId="9" borderId="13" xfId="0" applyNumberFormat="1" applyFont="1" applyFill="1" applyBorder="1" applyAlignment="1">
      <alignment horizontal="center" vertical="center"/>
    </xf>
    <xf numFmtId="0" fontId="8" fillId="10" borderId="13" xfId="0" applyNumberFormat="1" applyFont="1" applyFill="1" applyBorder="1" applyAlignment="1">
      <alignment horizontal="center" vertical="center"/>
    </xf>
    <xf numFmtId="0" fontId="8" fillId="11" borderId="13" xfId="0" applyNumberFormat="1" applyFont="1" applyFill="1" applyBorder="1" applyAlignment="1">
      <alignment horizontal="center" vertical="center"/>
    </xf>
    <xf numFmtId="0" fontId="8" fillId="37" borderId="13" xfId="0" applyNumberFormat="1" applyFont="1" applyFill="1" applyBorder="1" applyAlignment="1">
      <alignment horizontal="center" vertical="center"/>
    </xf>
    <xf numFmtId="0" fontId="8" fillId="6" borderId="14" xfId="0" applyNumberFormat="1" applyFont="1" applyFill="1" applyBorder="1" applyAlignment="1">
      <alignment horizontal="center" vertical="center"/>
    </xf>
    <xf numFmtId="0" fontId="8" fillId="9" borderId="12" xfId="0" applyNumberFormat="1" applyFont="1" applyFill="1" applyBorder="1" applyAlignment="1">
      <alignment horizontal="center" vertical="center"/>
    </xf>
    <xf numFmtId="0" fontId="8" fillId="9" borderId="14" xfId="0" applyNumberFormat="1" applyFont="1" applyFill="1" applyBorder="1" applyAlignment="1">
      <alignment horizontal="center" vertical="center"/>
    </xf>
    <xf numFmtId="0" fontId="8" fillId="10" borderId="12" xfId="0" applyNumberFormat="1" applyFont="1" applyFill="1" applyBorder="1" applyAlignment="1">
      <alignment horizontal="center" vertical="center"/>
    </xf>
    <xf numFmtId="0" fontId="8" fillId="11" borderId="14" xfId="0" applyNumberFormat="1" applyFont="1" applyFill="1" applyBorder="1" applyAlignment="1">
      <alignment horizontal="center" vertical="center"/>
    </xf>
    <xf numFmtId="0" fontId="7" fillId="5" borderId="15" xfId="22" applyNumberFormat="1" applyFont="1" applyFill="1" applyBorder="1" applyAlignment="1">
      <alignment horizontal="center" vertical="center"/>
    </xf>
    <xf numFmtId="0" fontId="7" fillId="36" borderId="16" xfId="6" applyNumberFormat="1" applyFont="1" applyFill="1" applyBorder="1" applyAlignment="1">
      <alignment horizontal="center" vertical="center"/>
    </xf>
    <xf numFmtId="0" fontId="7" fillId="35" borderId="16" xfId="6" applyNumberFormat="1" applyFont="1" applyFill="1" applyBorder="1" applyAlignment="1">
      <alignment horizontal="center" vertical="center"/>
    </xf>
    <xf numFmtId="0" fontId="7" fillId="20" borderId="16" xfId="6" applyNumberFormat="1" applyFont="1" applyBorder="1" applyAlignment="1">
      <alignment horizontal="center" vertical="center"/>
    </xf>
    <xf numFmtId="0" fontId="7" fillId="37" borderId="16" xfId="6" applyNumberFormat="1" applyFont="1" applyFill="1" applyBorder="1" applyAlignment="1">
      <alignment horizontal="center" vertical="center"/>
    </xf>
    <xf numFmtId="0" fontId="7" fillId="20" borderId="18" xfId="6" applyNumberFormat="1" applyFont="1" applyBorder="1" applyAlignment="1">
      <alignment horizontal="center" vertical="center"/>
    </xf>
    <xf numFmtId="0" fontId="7" fillId="36" borderId="15" xfId="6" applyNumberFormat="1" applyFont="1" applyFill="1" applyBorder="1" applyAlignment="1">
      <alignment horizontal="center" vertical="center"/>
    </xf>
    <xf numFmtId="0" fontId="7" fillId="36" borderId="18" xfId="6" applyNumberFormat="1" applyFont="1" applyFill="1" applyBorder="1" applyAlignment="1">
      <alignment horizontal="center" vertical="center"/>
    </xf>
    <xf numFmtId="0" fontId="7" fillId="35" borderId="57" xfId="6" applyNumberFormat="1" applyFont="1" applyFill="1" applyBorder="1" applyAlignment="1">
      <alignment horizontal="center" vertical="center"/>
    </xf>
    <xf numFmtId="0" fontId="7" fillId="37" borderId="18" xfId="6" applyNumberFormat="1" applyFont="1" applyFill="1" applyBorder="1" applyAlignment="1">
      <alignment horizontal="center" vertical="center"/>
    </xf>
    <xf numFmtId="0" fontId="7" fillId="36" borderId="48" xfId="6" applyNumberFormat="1" applyFont="1" applyFill="1" applyBorder="1" applyAlignment="1">
      <alignment horizontal="center" vertical="center"/>
    </xf>
    <xf numFmtId="0" fontId="7" fillId="36" borderId="20" xfId="6" applyNumberFormat="1" applyFont="1" applyFill="1" applyBorder="1" applyAlignment="1">
      <alignment horizontal="center" vertical="center"/>
    </xf>
    <xf numFmtId="0" fontId="8" fillId="12" borderId="35" xfId="22" applyNumberFormat="1" applyFont="1" applyFill="1" applyBorder="1" applyAlignment="1">
      <alignment vertical="center" wrapText="1"/>
    </xf>
    <xf numFmtId="0" fontId="53" fillId="28" borderId="0" xfId="14" applyNumberFormat="1" applyFont="1" applyFill="1" applyBorder="1" applyAlignment="1">
      <alignment horizontal="left" vertical="center"/>
    </xf>
    <xf numFmtId="0" fontId="41" fillId="30" borderId="0" xfId="56" applyFill="1" applyBorder="1" applyAlignment="1">
      <alignment vertical="center"/>
    </xf>
    <xf numFmtId="0" fontId="40" fillId="0" borderId="1" xfId="28" applyNumberFormat="1" applyFill="1" applyBorder="1" applyAlignment="1">
      <alignment horizontal="center" vertical="center"/>
    </xf>
    <xf numFmtId="0" fontId="40" fillId="0" borderId="1" xfId="28" applyNumberFormat="1" applyFont="1" applyFill="1" applyBorder="1" applyAlignment="1">
      <alignment horizontal="center" vertical="center" wrapText="1"/>
    </xf>
    <xf numFmtId="0" fontId="0" fillId="28" borderId="43" xfId="0" applyNumberFormat="1" applyFill="1" applyBorder="1" applyAlignment="1">
      <alignment horizontal="center" vertical="center"/>
    </xf>
    <xf numFmtId="0" fontId="0" fillId="28" borderId="43" xfId="0" applyNumberFormat="1" applyFill="1" applyBorder="1" applyAlignment="1">
      <alignment vertical="center"/>
    </xf>
    <xf numFmtId="0" fontId="40" fillId="20" borderId="58" xfId="28" applyNumberFormat="1" applyFont="1" applyBorder="1" applyAlignment="1">
      <alignment horizontal="center" vertical="center"/>
    </xf>
    <xf numFmtId="0" fontId="0" fillId="28" borderId="44" xfId="0" applyNumberFormat="1" applyFill="1" applyBorder="1" applyAlignment="1">
      <alignment horizontal="center" vertical="center"/>
    </xf>
    <xf numFmtId="0" fontId="53" fillId="28" borderId="43" xfId="14" applyNumberFormat="1" applyFont="1" applyFill="1" applyBorder="1" applyAlignment="1">
      <alignment horizontal="left" vertical="center"/>
    </xf>
    <xf numFmtId="0" fontId="0" fillId="24" borderId="9" xfId="0" applyNumberFormat="1" applyFill="1" applyBorder="1" applyAlignment="1">
      <alignment horizontal="center" vertical="center"/>
    </xf>
    <xf numFmtId="0" fontId="27" fillId="23" borderId="0" xfId="0" applyNumberFormat="1" applyFont="1" applyFill="1" applyBorder="1" applyAlignment="1">
      <alignment horizontal="center" vertical="center"/>
    </xf>
    <xf numFmtId="0" fontId="0" fillId="23" borderId="0" xfId="0" applyNumberFormat="1" applyFill="1" applyBorder="1" applyAlignment="1">
      <alignment horizontal="center" vertical="center"/>
    </xf>
    <xf numFmtId="0" fontId="0" fillId="23" borderId="0" xfId="0" applyNumberFormat="1" applyFill="1" applyBorder="1" applyAlignment="1">
      <alignment horizontal="right" vertical="center"/>
    </xf>
    <xf numFmtId="0" fontId="0" fillId="23" borderId="0" xfId="0" applyNumberFormat="1" applyFill="1" applyBorder="1" applyAlignment="1">
      <alignment vertical="center"/>
    </xf>
    <xf numFmtId="0" fontId="41" fillId="26" borderId="59" xfId="56" applyNumberFormat="1" applyFill="1" applyBorder="1" applyAlignment="1">
      <alignment horizontal="left" vertical="center"/>
    </xf>
    <xf numFmtId="0" fontId="0" fillId="26" borderId="60" xfId="0" applyNumberFormat="1" applyFill="1" applyBorder="1" applyAlignment="1">
      <alignment horizontal="center" vertical="center"/>
    </xf>
    <xf numFmtId="0" fontId="41" fillId="26" borderId="60" xfId="56" applyNumberFormat="1" applyFill="1" applyBorder="1" applyAlignment="1">
      <alignment horizontal="left" vertical="center"/>
    </xf>
    <xf numFmtId="0" fontId="0" fillId="26" borderId="60" xfId="0" applyNumberFormat="1" applyFill="1" applyBorder="1" applyAlignment="1">
      <alignment horizontal="right" vertical="center"/>
    </xf>
    <xf numFmtId="0" fontId="0" fillId="26" borderId="60" xfId="0" applyNumberFormat="1" applyFill="1" applyBorder="1" applyAlignment="1">
      <alignment vertical="center"/>
    </xf>
    <xf numFmtId="0" fontId="0" fillId="26" borderId="61" xfId="0" applyNumberFormat="1" applyFill="1" applyBorder="1" applyAlignment="1">
      <alignment vertical="center"/>
    </xf>
    <xf numFmtId="0" fontId="0" fillId="26" borderId="62" xfId="0" applyNumberFormat="1" applyFill="1" applyBorder="1" applyAlignment="1">
      <alignment vertical="center"/>
    </xf>
    <xf numFmtId="0" fontId="0" fillId="26" borderId="64" xfId="0" applyNumberFormat="1" applyFill="1" applyBorder="1" applyAlignment="1">
      <alignment vertical="center"/>
    </xf>
    <xf numFmtId="0" fontId="41" fillId="26" borderId="32" xfId="56" applyNumberFormat="1" applyFill="1" applyBorder="1" applyAlignment="1">
      <alignment horizontal="left" vertical="center"/>
    </xf>
    <xf numFmtId="0" fontId="33" fillId="17" borderId="63" xfId="3" applyNumberFormat="1" applyBorder="1" applyAlignment="1">
      <alignment horizontal="left" vertical="center" wrapText="1"/>
    </xf>
    <xf numFmtId="0" fontId="27" fillId="26" borderId="32" xfId="0" applyNumberFormat="1" applyFont="1" applyFill="1" applyBorder="1" applyAlignment="1">
      <alignment horizontal="center" vertical="center" wrapText="1"/>
    </xf>
    <xf numFmtId="0" fontId="27" fillId="27" borderId="32" xfId="0" applyNumberFormat="1" applyFont="1" applyFill="1" applyBorder="1" applyAlignment="1">
      <alignment horizontal="center" vertical="center" wrapText="1"/>
    </xf>
    <xf numFmtId="0" fontId="27" fillId="27" borderId="65" xfId="0" applyNumberFormat="1" applyFont="1" applyFill="1" applyBorder="1" applyAlignment="1">
      <alignment horizontal="left" vertical="center"/>
    </xf>
    <xf numFmtId="0" fontId="0" fillId="26" borderId="66" xfId="0" applyNumberFormat="1" applyFill="1" applyBorder="1" applyAlignment="1">
      <alignment vertical="center"/>
    </xf>
    <xf numFmtId="0" fontId="53" fillId="28" borderId="64" xfId="14" applyNumberFormat="1" applyFont="1" applyFill="1" applyBorder="1" applyAlignment="1">
      <alignment horizontal="left" vertical="center"/>
    </xf>
    <xf numFmtId="0" fontId="27" fillId="28" borderId="32" xfId="0" applyFont="1" applyFill="1" applyBorder="1" applyAlignment="1">
      <alignment vertical="center"/>
    </xf>
    <xf numFmtId="0" fontId="0" fillId="28" borderId="64" xfId="0" applyNumberFormat="1" applyFill="1" applyBorder="1" applyAlignment="1">
      <alignment horizontal="center" vertical="center"/>
    </xf>
    <xf numFmtId="0" fontId="41" fillId="28" borderId="32" xfId="56" applyFill="1" applyBorder="1" applyAlignment="1">
      <alignment vertical="center"/>
    </xf>
    <xf numFmtId="0" fontId="0" fillId="28" borderId="64" xfId="0" applyNumberFormat="1" applyFill="1" applyBorder="1" applyAlignment="1">
      <alignment vertical="center"/>
    </xf>
    <xf numFmtId="0" fontId="0" fillId="28" borderId="32" xfId="0" applyNumberFormat="1" applyFill="1" applyBorder="1" applyAlignment="1">
      <alignment vertical="center"/>
    </xf>
    <xf numFmtId="0" fontId="0" fillId="28" borderId="64" xfId="0" applyNumberFormat="1" applyFill="1" applyBorder="1" applyAlignment="1">
      <alignment horizontal="right" vertical="center"/>
    </xf>
    <xf numFmtId="0" fontId="0" fillId="28" borderId="32" xfId="0" applyNumberFormat="1" applyFill="1" applyBorder="1" applyAlignment="1">
      <alignment horizontal="right" vertical="center"/>
    </xf>
    <xf numFmtId="0" fontId="27" fillId="29" borderId="32" xfId="0" applyNumberFormat="1" applyFont="1" applyFill="1" applyBorder="1" applyAlignment="1">
      <alignment horizontal="center" vertical="center" wrapText="1"/>
    </xf>
    <xf numFmtId="0" fontId="53" fillId="29" borderId="65" xfId="14" applyNumberFormat="1" applyFont="1" applyFill="1" applyBorder="1" applyAlignment="1">
      <alignment horizontal="left" vertical="center"/>
    </xf>
    <xf numFmtId="0" fontId="0" fillId="28" borderId="66" xfId="0" applyNumberFormat="1" applyFill="1" applyBorder="1" applyAlignment="1">
      <alignment vertical="center"/>
    </xf>
    <xf numFmtId="0" fontId="41" fillId="30" borderId="64" xfId="56" applyFill="1" applyBorder="1" applyAlignment="1">
      <alignment vertical="center"/>
    </xf>
    <xf numFmtId="0" fontId="27" fillId="30" borderId="32" xfId="0" applyNumberFormat="1" applyFont="1" applyFill="1" applyBorder="1" applyAlignment="1">
      <alignment horizontal="center" vertical="center" wrapText="1"/>
    </xf>
    <xf numFmtId="0" fontId="0" fillId="30" borderId="64" xfId="0" applyNumberFormat="1" applyFill="1" applyBorder="1" applyAlignment="1">
      <alignment horizontal="center" vertical="center"/>
    </xf>
    <xf numFmtId="0" fontId="0" fillId="30" borderId="64" xfId="0" applyNumberFormat="1" applyFill="1" applyBorder="1" applyAlignment="1">
      <alignment vertical="center"/>
    </xf>
    <xf numFmtId="0" fontId="41" fillId="30" borderId="32" xfId="56" applyFill="1" applyBorder="1" applyAlignment="1">
      <alignment vertical="center"/>
    </xf>
    <xf numFmtId="0" fontId="27" fillId="30" borderId="32" xfId="0" applyNumberFormat="1" applyFont="1" applyFill="1" applyBorder="1" applyAlignment="1">
      <alignment horizontal="center" vertical="center"/>
    </xf>
    <xf numFmtId="0" fontId="27" fillId="30" borderId="65" xfId="0" applyNumberFormat="1" applyFont="1" applyFill="1" applyBorder="1" applyAlignment="1">
      <alignment horizontal="center" vertical="center"/>
    </xf>
    <xf numFmtId="0" fontId="0" fillId="30" borderId="66" xfId="0" applyNumberFormat="1" applyFill="1" applyBorder="1" applyAlignment="1">
      <alignment vertical="center"/>
    </xf>
    <xf numFmtId="0" fontId="41" fillId="31" borderId="68" xfId="56" applyNumberFormat="1" applyFill="1" applyBorder="1" applyAlignment="1">
      <alignment horizontal="left" vertical="center"/>
    </xf>
    <xf numFmtId="0" fontId="0" fillId="31" borderId="64" xfId="0" applyNumberFormat="1" applyFill="1" applyBorder="1" applyAlignment="1">
      <alignment vertical="center"/>
    </xf>
    <xf numFmtId="0" fontId="41" fillId="31" borderId="32" xfId="56" applyNumberFormat="1" applyFill="1" applyBorder="1" applyAlignment="1">
      <alignment horizontal="left" vertical="center"/>
    </xf>
    <xf numFmtId="0" fontId="33" fillId="16" borderId="63" xfId="2" applyNumberFormat="1" applyBorder="1" applyAlignment="1">
      <alignment horizontal="left" vertical="center"/>
    </xf>
    <xf numFmtId="0" fontId="27" fillId="31" borderId="51" xfId="0" applyNumberFormat="1" applyFont="1" applyFill="1" applyBorder="1" applyAlignment="1">
      <alignment horizontal="center" vertical="center"/>
    </xf>
    <xf numFmtId="0" fontId="0" fillId="31" borderId="70" xfId="0" applyNumberFormat="1" applyFill="1" applyBorder="1" applyAlignment="1">
      <alignment horizontal="center" vertical="center"/>
    </xf>
    <xf numFmtId="0" fontId="0" fillId="31" borderId="70" xfId="0" applyNumberFormat="1" applyFill="1" applyBorder="1" applyAlignment="1">
      <alignment horizontal="right" vertical="center"/>
    </xf>
    <xf numFmtId="0" fontId="0" fillId="31" borderId="70" xfId="0" applyNumberFormat="1" applyFill="1" applyBorder="1" applyAlignment="1">
      <alignment vertical="center"/>
    </xf>
    <xf numFmtId="0" fontId="0" fillId="31" borderId="33" xfId="0" applyNumberFormat="1" applyFill="1" applyBorder="1" applyAlignment="1">
      <alignment vertical="center"/>
    </xf>
    <xf numFmtId="0" fontId="0" fillId="31" borderId="4" xfId="0" applyNumberFormat="1" applyFill="1" applyBorder="1" applyAlignment="1">
      <alignment vertical="center"/>
    </xf>
    <xf numFmtId="0" fontId="5" fillId="17" borderId="63" xfId="3" applyNumberFormat="1" applyFont="1" applyBorder="1" applyAlignment="1">
      <alignment horizontal="left" vertical="center" wrapText="1"/>
    </xf>
    <xf numFmtId="0" fontId="0" fillId="26" borderId="32" xfId="0" applyFill="1" applyBorder="1" applyAlignment="1">
      <alignment vertical="center"/>
    </xf>
    <xf numFmtId="0" fontId="5" fillId="19" borderId="63" xfId="5" applyNumberFormat="1" applyFont="1" applyBorder="1" applyAlignment="1">
      <alignment horizontal="left" vertical="center" wrapText="1"/>
    </xf>
    <xf numFmtId="0" fontId="35" fillId="21" borderId="69" xfId="7" applyNumberFormat="1" applyBorder="1" applyAlignment="1">
      <alignment horizontal="left" vertical="center" wrapText="1"/>
    </xf>
    <xf numFmtId="0" fontId="0" fillId="0" borderId="0" xfId="0" applyAlignment="1">
      <alignment vertical="center"/>
    </xf>
    <xf numFmtId="0" fontId="11" fillId="0" borderId="0" xfId="0" applyFont="1" applyAlignment="1">
      <alignment vertical="center" wrapText="1"/>
    </xf>
    <xf numFmtId="164" fontId="11" fillId="0" borderId="0" xfId="0" applyNumberFormat="1" applyFont="1" applyAlignment="1">
      <alignment horizontal="center" vertical="center" wrapText="1"/>
    </xf>
    <xf numFmtId="20" fontId="11" fillId="0" borderId="0" xfId="0" applyNumberFormat="1" applyFont="1" applyAlignment="1">
      <alignment vertical="center" wrapText="1"/>
    </xf>
    <xf numFmtId="0" fontId="11" fillId="0" borderId="0" xfId="0" applyFont="1" applyAlignment="1">
      <alignment horizontal="left" vertical="center" wrapText="1"/>
    </xf>
    <xf numFmtId="0" fontId="7" fillId="0" borderId="0" xfId="0" applyFont="1" applyAlignment="1">
      <alignment vertical="center"/>
    </xf>
    <xf numFmtId="0" fontId="47" fillId="0" borderId="0" xfId="0" quotePrefix="1" applyFont="1" applyAlignment="1">
      <alignment horizontal="right" vertical="center"/>
    </xf>
    <xf numFmtId="0" fontId="12" fillId="0" borderId="0" xfId="0" applyFont="1" applyAlignment="1">
      <alignment horizontal="left" vertical="center" wrapText="1"/>
    </xf>
    <xf numFmtId="0" fontId="7" fillId="0" borderId="0" xfId="0" applyFont="1" applyAlignment="1">
      <alignment vertical="center" shrinkToFit="1"/>
    </xf>
    <xf numFmtId="0" fontId="0" fillId="26" borderId="43" xfId="0" applyNumberFormat="1" applyFill="1" applyBorder="1" applyAlignment="1">
      <alignment vertical="center"/>
    </xf>
    <xf numFmtId="0" fontId="0" fillId="26" borderId="44" xfId="0" applyNumberFormat="1" applyFill="1" applyBorder="1" applyAlignment="1">
      <alignment vertical="center"/>
    </xf>
    <xf numFmtId="0" fontId="0" fillId="26" borderId="71" xfId="0" applyNumberFormat="1" applyFill="1" applyBorder="1" applyAlignment="1">
      <alignment vertical="center"/>
    </xf>
    <xf numFmtId="0" fontId="4" fillId="18" borderId="67" xfId="4" applyFont="1" applyBorder="1" applyAlignment="1">
      <alignment vertical="center"/>
    </xf>
    <xf numFmtId="0" fontId="41" fillId="38" borderId="59" xfId="56" applyNumberFormat="1" applyFill="1" applyBorder="1" applyAlignment="1">
      <alignment horizontal="left" vertical="center"/>
    </xf>
    <xf numFmtId="0" fontId="0" fillId="38" borderId="60" xfId="0" applyNumberFormat="1" applyFill="1" applyBorder="1" applyAlignment="1">
      <alignment horizontal="center" vertical="center"/>
    </xf>
    <xf numFmtId="0" fontId="41" fillId="38" borderId="60" xfId="56" applyNumberFormat="1" applyFill="1" applyBorder="1" applyAlignment="1">
      <alignment horizontal="left" vertical="center"/>
    </xf>
    <xf numFmtId="0" fontId="0" fillId="38" borderId="60" xfId="0" applyNumberFormat="1" applyFill="1" applyBorder="1" applyAlignment="1">
      <alignment horizontal="right" vertical="center"/>
    </xf>
    <xf numFmtId="0" fontId="0" fillId="38" borderId="60" xfId="0" applyNumberFormat="1" applyFill="1" applyBorder="1" applyAlignment="1">
      <alignment vertical="center"/>
    </xf>
    <xf numFmtId="0" fontId="0" fillId="38" borderId="61" xfId="0" applyNumberFormat="1" applyFill="1" applyBorder="1" applyAlignment="1">
      <alignment vertical="center"/>
    </xf>
    <xf numFmtId="0" fontId="0" fillId="38" borderId="71" xfId="0" applyNumberFormat="1" applyFill="1" applyBorder="1" applyAlignment="1">
      <alignment vertical="center"/>
    </xf>
    <xf numFmtId="0" fontId="3" fillId="39" borderId="63" xfId="3" applyNumberFormat="1" applyFont="1" applyFill="1" applyBorder="1" applyAlignment="1">
      <alignment horizontal="left" vertical="center" wrapText="1"/>
    </xf>
    <xf numFmtId="0" fontId="0" fillId="38" borderId="0" xfId="0" applyNumberFormat="1" applyFill="1" applyBorder="1" applyAlignment="1">
      <alignment horizontal="center" vertical="center"/>
    </xf>
    <xf numFmtId="0" fontId="0" fillId="38" borderId="0" xfId="0" applyNumberFormat="1" applyFill="1" applyBorder="1" applyAlignment="1">
      <alignment horizontal="right" vertical="center"/>
    </xf>
    <xf numFmtId="0" fontId="0" fillId="38" borderId="0" xfId="0" applyNumberFormat="1" applyFill="1" applyBorder="1" applyAlignment="1">
      <alignment vertical="center"/>
    </xf>
    <xf numFmtId="0" fontId="0" fillId="38" borderId="42" xfId="0" applyNumberFormat="1" applyFill="1" applyBorder="1" applyAlignment="1">
      <alignment vertical="center"/>
    </xf>
    <xf numFmtId="0" fontId="0" fillId="38" borderId="43" xfId="0" applyNumberFormat="1" applyFill="1" applyBorder="1" applyAlignment="1">
      <alignment vertical="center"/>
    </xf>
    <xf numFmtId="0" fontId="0" fillId="38" borderId="32" xfId="0" applyFill="1" applyBorder="1" applyAlignment="1">
      <alignment vertical="center"/>
    </xf>
    <xf numFmtId="0" fontId="41" fillId="38" borderId="32" xfId="56" applyNumberFormat="1" applyFill="1" applyBorder="1" applyAlignment="1">
      <alignment horizontal="left" vertical="center"/>
    </xf>
    <xf numFmtId="0" fontId="33" fillId="39" borderId="63" xfId="3" applyNumberFormat="1" applyFill="1" applyBorder="1" applyAlignment="1">
      <alignment horizontal="left" vertical="center" wrapText="1"/>
    </xf>
    <xf numFmtId="0" fontId="27" fillId="38" borderId="32" xfId="0" applyNumberFormat="1" applyFont="1" applyFill="1" applyBorder="1" applyAlignment="1">
      <alignment horizontal="center" vertical="center" wrapText="1"/>
    </xf>
    <xf numFmtId="0" fontId="27" fillId="38" borderId="65" xfId="0" applyNumberFormat="1" applyFont="1" applyFill="1" applyBorder="1" applyAlignment="1">
      <alignment horizontal="left" vertical="center"/>
    </xf>
    <xf numFmtId="0" fontId="0" fillId="38" borderId="45" xfId="0" applyNumberFormat="1" applyFill="1" applyBorder="1" applyAlignment="1">
      <alignment horizontal="center" vertical="center"/>
    </xf>
    <xf numFmtId="0" fontId="0" fillId="38" borderId="45" xfId="0" applyNumberFormat="1" applyFill="1" applyBorder="1" applyAlignment="1">
      <alignment horizontal="right" vertical="center"/>
    </xf>
    <xf numFmtId="0" fontId="0" fillId="38" borderId="45" xfId="0" applyNumberFormat="1" applyFill="1" applyBorder="1" applyAlignment="1">
      <alignment vertical="center"/>
    </xf>
    <xf numFmtId="0" fontId="0" fillId="38" borderId="46" xfId="0" applyNumberFormat="1" applyFill="1" applyBorder="1" applyAlignment="1">
      <alignment vertical="center"/>
    </xf>
    <xf numFmtId="0" fontId="0" fillId="38" borderId="44" xfId="0" applyNumberFormat="1" applyFill="1" applyBorder="1" applyAlignment="1">
      <alignment vertical="center"/>
    </xf>
    <xf numFmtId="0" fontId="2" fillId="16" borderId="63" xfId="2" applyNumberFormat="1" applyFont="1" applyBorder="1" applyAlignment="1">
      <alignment horizontal="left" vertical="center"/>
    </xf>
    <xf numFmtId="0" fontId="8" fillId="12" borderId="1" xfId="23" applyNumberFormat="1" applyFont="1" applyFill="1" applyBorder="1" applyAlignment="1">
      <alignment horizontal="center" vertical="center" wrapText="1"/>
    </xf>
    <xf numFmtId="0" fontId="8" fillId="12" borderId="52" xfId="23" applyNumberFormat="1" applyFont="1" applyFill="1" applyBorder="1" applyAlignment="1">
      <alignment horizontal="center" vertical="center" wrapText="1"/>
    </xf>
    <xf numFmtId="0" fontId="8" fillId="12" borderId="34" xfId="23" applyNumberFormat="1" applyFont="1" applyFill="1" applyBorder="1" applyAlignment="1">
      <alignment horizontal="center" vertical="center" wrapText="1"/>
    </xf>
    <xf numFmtId="0" fontId="8" fillId="5" borderId="51" xfId="23" applyNumberFormat="1" applyFont="1" applyFill="1" applyBorder="1" applyAlignment="1">
      <alignment horizontal="center" vertical="center" wrapText="1"/>
    </xf>
    <xf numFmtId="0" fontId="1" fillId="16" borderId="63" xfId="2" applyNumberFormat="1" applyFont="1" applyBorder="1" applyAlignment="1">
      <alignment horizontal="left" vertical="center" wrapText="1"/>
    </xf>
    <xf numFmtId="0" fontId="7" fillId="28" borderId="0" xfId="0" applyNumberFormat="1" applyFont="1" applyFill="1" applyAlignment="1">
      <alignment horizontal="center" vertical="center"/>
    </xf>
    <xf numFmtId="0" fontId="7" fillId="28" borderId="0" xfId="0" applyNumberFormat="1" applyFont="1" applyFill="1" applyAlignment="1">
      <alignment horizontal="right" vertical="center"/>
    </xf>
    <xf numFmtId="0" fontId="7" fillId="28" borderId="0" xfId="0" applyNumberFormat="1" applyFont="1" applyFill="1" applyAlignment="1">
      <alignment vertical="center"/>
    </xf>
    <xf numFmtId="0" fontId="12" fillId="0" borderId="25" xfId="0" applyFont="1" applyBorder="1" applyAlignment="1">
      <alignment horizontal="left" vertical="center" wrapText="1"/>
    </xf>
    <xf numFmtId="0" fontId="12" fillId="0" borderId="26" xfId="0" applyFont="1" applyBorder="1" applyAlignment="1">
      <alignment horizontal="left" vertical="center" wrapText="1"/>
    </xf>
    <xf numFmtId="0" fontId="12" fillId="0" borderId="27" xfId="0" applyFont="1" applyBorder="1" applyAlignment="1">
      <alignment horizontal="left" vertical="center" wrapText="1"/>
    </xf>
    <xf numFmtId="0" fontId="12" fillId="0" borderId="25" xfId="0" applyFont="1" applyBorder="1" applyAlignment="1">
      <alignment horizontal="left" vertical="center" shrinkToFit="1"/>
    </xf>
    <xf numFmtId="0" fontId="12" fillId="0" borderId="26" xfId="0" applyFont="1" applyBorder="1" applyAlignment="1">
      <alignment horizontal="left" vertical="center" shrinkToFit="1"/>
    </xf>
    <xf numFmtId="0" fontId="12" fillId="0" borderId="27" xfId="0" applyFont="1" applyBorder="1" applyAlignment="1">
      <alignment horizontal="left" vertical="center" shrinkToFit="1"/>
    </xf>
    <xf numFmtId="0" fontId="55" fillId="0" borderId="28" xfId="0" applyFont="1" applyBorder="1" applyAlignment="1">
      <alignment horizontal="left" vertical="center" shrinkToFit="1"/>
    </xf>
    <xf numFmtId="0" fontId="55" fillId="0" borderId="3" xfId="0" applyFont="1" applyBorder="1" applyAlignment="1">
      <alignment horizontal="left" vertical="center" shrinkToFit="1"/>
    </xf>
    <xf numFmtId="0" fontId="55" fillId="0" borderId="29" xfId="0" applyFont="1" applyBorder="1" applyAlignment="1">
      <alignment horizontal="left" vertical="center" shrinkToFit="1"/>
    </xf>
    <xf numFmtId="0" fontId="54" fillId="32" borderId="4" xfId="0" applyFont="1" applyFill="1" applyBorder="1" applyAlignment="1" applyProtection="1">
      <alignment horizontal="center" vertical="center" shrinkToFit="1"/>
      <protection locked="0"/>
    </xf>
    <xf numFmtId="0" fontId="54" fillId="32" borderId="0" xfId="0" applyFont="1" applyFill="1" applyBorder="1" applyAlignment="1" applyProtection="1">
      <alignment horizontal="center" vertical="center" shrinkToFit="1"/>
      <protection locked="0"/>
    </xf>
    <xf numFmtId="0" fontId="54" fillId="32" borderId="5" xfId="0" applyFont="1" applyFill="1" applyBorder="1" applyAlignment="1" applyProtection="1">
      <alignment horizontal="center" vertical="center" shrinkToFit="1"/>
      <protection locked="0"/>
    </xf>
    <xf numFmtId="0" fontId="56" fillId="22" borderId="36" xfId="20" applyFont="1" applyAlignment="1">
      <alignment horizontal="center" vertical="center"/>
    </xf>
    <xf numFmtId="0" fontId="57" fillId="0" borderId="3" xfId="0" applyFont="1" applyBorder="1" applyAlignment="1" applyProtection="1">
      <alignment horizontal="left" vertical="top" wrapText="1" shrinkToFit="1"/>
      <protection locked="0"/>
    </xf>
    <xf numFmtId="0" fontId="57" fillId="0" borderId="29" xfId="0" applyFont="1" applyBorder="1" applyAlignment="1" applyProtection="1">
      <alignment horizontal="left" vertical="top" wrapText="1" shrinkToFit="1"/>
      <protection locked="0"/>
    </xf>
    <xf numFmtId="0" fontId="7" fillId="0" borderId="28" xfId="0" applyFont="1" applyBorder="1" applyAlignment="1" applyProtection="1">
      <alignment horizontal="right" vertical="top" wrapText="1" shrinkToFit="1"/>
      <protection locked="0"/>
    </xf>
    <xf numFmtId="0" fontId="7" fillId="0" borderId="3" xfId="0" applyFont="1" applyBorder="1" applyAlignment="1" applyProtection="1">
      <alignment horizontal="right" vertical="top" wrapText="1" shrinkToFit="1"/>
      <protection locked="0"/>
    </xf>
    <xf numFmtId="0" fontId="54" fillId="32" borderId="26" xfId="0" applyFont="1" applyFill="1" applyBorder="1" applyAlignment="1" applyProtection="1">
      <alignment horizontal="center" vertical="center" wrapText="1"/>
      <protection locked="0"/>
    </xf>
    <xf numFmtId="0" fontId="54" fillId="32" borderId="0" xfId="0" applyFont="1" applyFill="1" applyBorder="1" applyAlignment="1" applyProtection="1">
      <alignment horizontal="center" vertical="center" wrapText="1"/>
      <protection locked="0"/>
    </xf>
    <xf numFmtId="0" fontId="9" fillId="0" borderId="3" xfId="0" applyFont="1" applyBorder="1" applyAlignment="1" applyProtection="1">
      <alignment horizontal="left" vertical="top" wrapText="1" shrinkToFit="1"/>
      <protection locked="0"/>
    </xf>
    <xf numFmtId="0" fontId="67" fillId="0" borderId="3" xfId="0" applyFont="1" applyBorder="1" applyAlignment="1" applyProtection="1">
      <alignment horizontal="left" vertical="top" shrinkToFit="1"/>
      <protection locked="0"/>
    </xf>
    <xf numFmtId="0" fontId="67" fillId="0" borderId="29" xfId="0" applyFont="1" applyBorder="1" applyAlignment="1" applyProtection="1">
      <alignment horizontal="left" vertical="top" shrinkToFit="1"/>
      <protection locked="0"/>
    </xf>
    <xf numFmtId="0" fontId="10" fillId="0" borderId="28" xfId="0" applyFont="1" applyFill="1" applyBorder="1" applyAlignment="1" applyProtection="1">
      <alignment horizontal="left" vertical="top"/>
      <protection locked="0"/>
    </xf>
    <xf numFmtId="0" fontId="10" fillId="0" borderId="3" xfId="0" applyFont="1" applyFill="1" applyBorder="1" applyAlignment="1" applyProtection="1">
      <alignment horizontal="left" vertical="top"/>
      <protection locked="0"/>
    </xf>
    <xf numFmtId="0" fontId="10" fillId="0" borderId="29" xfId="0" applyFont="1" applyFill="1" applyBorder="1" applyAlignment="1" applyProtection="1">
      <alignment horizontal="left" vertical="top"/>
      <protection locked="0"/>
    </xf>
    <xf numFmtId="0" fontId="16" fillId="0" borderId="0" xfId="0" applyFont="1" applyFill="1" applyAlignment="1" applyProtection="1">
      <alignment horizontal="center" vertical="center" wrapText="1"/>
      <protection locked="0"/>
    </xf>
    <xf numFmtId="0" fontId="0" fillId="0" borderId="0" xfId="0" applyAlignment="1">
      <alignment vertical="center" wrapText="1"/>
    </xf>
    <xf numFmtId="0" fontId="7" fillId="0" borderId="25" xfId="0" applyFont="1" applyBorder="1" applyAlignment="1" applyProtection="1">
      <alignment horizontal="left" vertical="top" wrapText="1"/>
      <protection locked="0"/>
    </xf>
    <xf numFmtId="0" fontId="7" fillId="0" borderId="26" xfId="0" applyFont="1" applyBorder="1" applyAlignment="1" applyProtection="1">
      <alignment horizontal="left" vertical="top"/>
      <protection locked="0"/>
    </xf>
    <xf numFmtId="0" fontId="7" fillId="0" borderId="27" xfId="0" applyFont="1" applyBorder="1" applyAlignment="1" applyProtection="1">
      <alignment horizontal="left" vertical="top"/>
      <protection locked="0"/>
    </xf>
    <xf numFmtId="0" fontId="54" fillId="32" borderId="25" xfId="0" applyFont="1" applyFill="1" applyBorder="1" applyAlignment="1" applyProtection="1">
      <alignment horizontal="center" vertical="center" shrinkToFit="1"/>
      <protection locked="0"/>
    </xf>
    <xf numFmtId="0" fontId="54" fillId="32" borderId="26" xfId="0" applyFont="1" applyFill="1" applyBorder="1" applyAlignment="1" applyProtection="1">
      <alignment horizontal="center" vertical="center" shrinkToFit="1"/>
      <protection locked="0"/>
    </xf>
    <xf numFmtId="0" fontId="54" fillId="32" borderId="27" xfId="0" applyFont="1" applyFill="1" applyBorder="1" applyAlignment="1" applyProtection="1">
      <alignment horizontal="center" vertical="center" shrinkToFit="1"/>
      <protection locked="0"/>
    </xf>
    <xf numFmtId="0" fontId="7" fillId="0" borderId="28" xfId="0" applyFont="1" applyBorder="1" applyAlignment="1" applyProtection="1">
      <alignment horizontal="center" vertical="top" wrapText="1" shrinkToFit="1"/>
      <protection locked="0"/>
    </xf>
    <xf numFmtId="0" fontId="7" fillId="0" borderId="3" xfId="0" applyFont="1" applyBorder="1" applyAlignment="1" applyProtection="1">
      <alignment horizontal="center" vertical="top" wrapText="1" shrinkToFit="1"/>
      <protection locked="0"/>
    </xf>
    <xf numFmtId="0" fontId="7" fillId="0" borderId="29" xfId="0" applyFont="1" applyBorder="1" applyAlignment="1" applyProtection="1">
      <alignment horizontal="center" vertical="top" wrapText="1" shrinkToFit="1"/>
      <protection locked="0"/>
    </xf>
    <xf numFmtId="49" fontId="20" fillId="0" borderId="0" xfId="0" applyNumberFormat="1" applyFont="1" applyFill="1" applyAlignment="1" applyProtection="1">
      <alignment horizontal="left" vertical="center" wrapText="1"/>
      <protection locked="0"/>
    </xf>
    <xf numFmtId="49" fontId="10" fillId="0" borderId="1" xfId="0" applyNumberFormat="1" applyFont="1" applyFill="1" applyBorder="1" applyAlignment="1" applyProtection="1">
      <alignment horizontal="left" vertical="center" wrapText="1"/>
      <protection locked="0"/>
    </xf>
    <xf numFmtId="0" fontId="14" fillId="8" borderId="1" xfId="0" applyFont="1" applyFill="1" applyBorder="1" applyAlignment="1" applyProtection="1">
      <alignment horizontal="center" vertical="center" wrapText="1"/>
      <protection locked="0"/>
    </xf>
    <xf numFmtId="49" fontId="10" fillId="0" borderId="1" xfId="0" applyNumberFormat="1" applyFont="1" applyFill="1" applyBorder="1" applyAlignment="1" applyProtection="1">
      <alignment horizontal="center" vertical="center" wrapText="1"/>
      <protection locked="0"/>
    </xf>
    <xf numFmtId="49" fontId="10" fillId="0" borderId="1" xfId="0" applyNumberFormat="1" applyFont="1" applyFill="1" applyBorder="1" applyAlignment="1">
      <alignment horizontal="center" vertical="center" wrapText="1"/>
    </xf>
    <xf numFmtId="0" fontId="0" fillId="0" borderId="1" xfId="0" applyBorder="1" applyAlignment="1">
      <alignment horizontal="left" vertical="center" wrapText="1"/>
    </xf>
    <xf numFmtId="49" fontId="10" fillId="0" borderId="1" xfId="0" applyNumberFormat="1" applyFont="1" applyFill="1" applyBorder="1" applyAlignment="1" applyProtection="1">
      <alignment vertical="center" wrapText="1"/>
      <protection locked="0"/>
    </xf>
    <xf numFmtId="0" fontId="0" fillId="0" borderId="1" xfId="0" applyBorder="1" applyAlignment="1">
      <alignment horizontal="center" vertical="center" wrapText="1"/>
    </xf>
    <xf numFmtId="0" fontId="17" fillId="13" borderId="0" xfId="0" applyFont="1" applyFill="1" applyBorder="1" applyAlignment="1" applyProtection="1">
      <alignment horizontal="left" vertical="center" shrinkToFit="1"/>
    </xf>
    <xf numFmtId="49" fontId="10" fillId="33" borderId="1" xfId="0" applyNumberFormat="1" applyFont="1" applyFill="1" applyBorder="1" applyAlignment="1" applyProtection="1">
      <alignment horizontal="center" vertical="center" wrapText="1"/>
      <protection locked="0"/>
    </xf>
    <xf numFmtId="49" fontId="7" fillId="0" borderId="1" xfId="0" applyNumberFormat="1" applyFont="1" applyFill="1" applyBorder="1" applyAlignment="1" applyProtection="1">
      <alignment horizontal="left" vertical="center" wrapText="1"/>
      <protection locked="0"/>
    </xf>
    <xf numFmtId="49" fontId="7" fillId="0" borderId="1" xfId="0" applyNumberFormat="1" applyFont="1" applyFill="1" applyBorder="1" applyAlignment="1" applyProtection="1">
      <alignment horizontal="center" vertical="center" wrapText="1"/>
      <protection locked="0"/>
    </xf>
    <xf numFmtId="0" fontId="55" fillId="13" borderId="0" xfId="0" applyFont="1" applyFill="1" applyBorder="1" applyAlignment="1" applyProtection="1">
      <alignment horizontal="left" vertical="center" shrinkToFit="1"/>
    </xf>
    <xf numFmtId="0" fontId="12" fillId="0" borderId="0" xfId="0" applyFont="1" applyBorder="1" applyAlignment="1" applyProtection="1">
      <alignment horizontal="left" vertical="center" shrinkToFit="1"/>
    </xf>
    <xf numFmtId="0" fontId="12" fillId="13" borderId="0" xfId="0" applyFont="1" applyFill="1" applyBorder="1" applyAlignment="1" applyProtection="1">
      <alignment horizontal="left" vertical="center" wrapText="1"/>
    </xf>
    <xf numFmtId="0" fontId="12" fillId="0" borderId="0" xfId="0" applyFont="1" applyFill="1" applyBorder="1" applyAlignment="1" applyProtection="1">
      <alignment horizontal="left" vertical="center" shrinkToFit="1"/>
    </xf>
    <xf numFmtId="0" fontId="55" fillId="0" borderId="0" xfId="0" applyFont="1" applyBorder="1" applyAlignment="1" applyProtection="1">
      <alignment horizontal="left" vertical="center" shrinkToFit="1"/>
    </xf>
    <xf numFmtId="0" fontId="12" fillId="13" borderId="0" xfId="0" applyFont="1" applyFill="1" applyBorder="1" applyAlignment="1" applyProtection="1">
      <alignment horizontal="left" vertical="center" shrinkToFit="1"/>
    </xf>
    <xf numFmtId="0" fontId="0" fillId="8" borderId="1" xfId="0" applyFill="1" applyBorder="1" applyAlignment="1" applyProtection="1">
      <alignment horizontal="center" vertical="center" wrapText="1"/>
      <protection locked="0"/>
    </xf>
    <xf numFmtId="49" fontId="10" fillId="0" borderId="1" xfId="0" applyNumberFormat="1" applyFont="1" applyFill="1" applyBorder="1" applyAlignment="1">
      <alignment horizontal="left" vertical="center" wrapText="1"/>
    </xf>
    <xf numFmtId="49" fontId="38" fillId="0" borderId="0" xfId="15" applyNumberFormat="1" applyFill="1" applyBorder="1" applyAlignment="1" applyProtection="1">
      <alignment horizontal="center" vertical="center"/>
      <protection locked="0"/>
    </xf>
    <xf numFmtId="49" fontId="10" fillId="0" borderId="9" xfId="0" applyNumberFormat="1" applyFont="1" applyFill="1" applyBorder="1" applyAlignment="1" applyProtection="1">
      <alignment horizontal="left" vertical="center" wrapText="1"/>
      <protection locked="0"/>
    </xf>
    <xf numFmtId="49" fontId="10" fillId="0" borderId="30" xfId="0" applyNumberFormat="1" applyFont="1" applyFill="1" applyBorder="1" applyAlignment="1" applyProtection="1">
      <alignment horizontal="left" vertical="center" wrapText="1"/>
      <protection locked="0"/>
    </xf>
    <xf numFmtId="49" fontId="10" fillId="0" borderId="31" xfId="0" applyNumberFormat="1" applyFont="1" applyFill="1" applyBorder="1" applyAlignment="1" applyProtection="1">
      <alignment horizontal="left" vertical="center" wrapText="1"/>
      <protection locked="0"/>
    </xf>
    <xf numFmtId="0" fontId="0" fillId="0" borderId="9" xfId="0" applyBorder="1" applyAlignment="1">
      <alignment horizontal="left" vertical="center" wrapText="1"/>
    </xf>
    <xf numFmtId="0" fontId="0" fillId="0" borderId="30" xfId="0" applyBorder="1" applyAlignment="1">
      <alignment horizontal="left" vertical="center" wrapText="1"/>
    </xf>
    <xf numFmtId="0" fontId="0" fillId="0" borderId="31" xfId="0" applyBorder="1" applyAlignment="1">
      <alignment horizontal="left" vertical="center" wrapText="1"/>
    </xf>
    <xf numFmtId="0" fontId="58" fillId="34" borderId="1" xfId="0" applyFont="1" applyFill="1" applyBorder="1" applyAlignment="1">
      <alignment horizontal="center" vertical="center" wrapText="1"/>
    </xf>
    <xf numFmtId="0" fontId="8" fillId="6" borderId="0" xfId="22" applyFont="1" applyFill="1" applyBorder="1" applyAlignment="1">
      <alignment vertical="center" wrapText="1"/>
    </xf>
    <xf numFmtId="0" fontId="10" fillId="0" borderId="0" xfId="22" applyBorder="1" applyAlignment="1">
      <alignment vertical="center" wrapText="1"/>
    </xf>
    <xf numFmtId="0" fontId="0" fillId="23" borderId="0" xfId="0" applyFont="1" applyFill="1" applyBorder="1" applyAlignment="1">
      <alignment horizontal="left" vertical="center" wrapText="1"/>
    </xf>
    <xf numFmtId="0" fontId="44" fillId="0" borderId="0" xfId="0" applyFont="1" applyBorder="1" applyAlignment="1" applyProtection="1">
      <alignment horizontal="left" vertical="center"/>
      <protection locked="0"/>
    </xf>
    <xf numFmtId="0" fontId="7" fillId="23" borderId="0" xfId="0" applyFont="1" applyFill="1" applyBorder="1" applyAlignment="1">
      <alignment horizontal="left" vertical="center" wrapText="1"/>
    </xf>
    <xf numFmtId="0" fontId="10" fillId="23" borderId="0" xfId="0" applyFont="1" applyFill="1" applyBorder="1" applyAlignment="1">
      <alignment horizontal="left" vertical="center" wrapText="1"/>
    </xf>
    <xf numFmtId="10" fontId="24" fillId="14" borderId="32" xfId="22" applyNumberFormat="1" applyFont="1" applyFill="1" applyBorder="1" applyAlignment="1">
      <alignment horizontal="center" vertical="center" wrapText="1"/>
    </xf>
    <xf numFmtId="10" fontId="24" fillId="14" borderId="0" xfId="22" applyNumberFormat="1" applyFont="1" applyFill="1" applyBorder="1" applyAlignment="1">
      <alignment horizontal="center" vertical="center" wrapText="1"/>
    </xf>
    <xf numFmtId="10" fontId="24" fillId="14" borderId="33" xfId="22" applyNumberFormat="1" applyFont="1" applyFill="1" applyBorder="1" applyAlignment="1">
      <alignment horizontal="center" vertical="center" wrapText="1"/>
    </xf>
    <xf numFmtId="49" fontId="8" fillId="6" borderId="9" xfId="22" applyNumberFormat="1" applyFont="1" applyFill="1" applyBorder="1" applyAlignment="1">
      <alignment horizontal="center" vertical="center" wrapText="1"/>
    </xf>
    <xf numFmtId="49" fontId="8" fillId="6" borderId="31" xfId="22" applyNumberFormat="1" applyFont="1" applyFill="1" applyBorder="1" applyAlignment="1">
      <alignment horizontal="center" vertical="center" wrapText="1"/>
    </xf>
    <xf numFmtId="0" fontId="69" fillId="20" borderId="9" xfId="28" applyNumberFormat="1" applyFont="1" applyBorder="1" applyAlignment="1">
      <alignment horizontal="center" vertical="center" wrapText="1"/>
    </xf>
    <xf numFmtId="0" fontId="69" fillId="20" borderId="31" xfId="28" applyNumberFormat="1" applyFont="1" applyBorder="1" applyAlignment="1">
      <alignment horizontal="center" vertical="center" wrapText="1"/>
    </xf>
    <xf numFmtId="0" fontId="0" fillId="31" borderId="1" xfId="0" applyNumberFormat="1" applyFill="1" applyBorder="1" applyAlignment="1">
      <alignment horizontal="left" vertical="center"/>
    </xf>
    <xf numFmtId="0" fontId="8" fillId="5" borderId="47" xfId="22" applyNumberFormat="1" applyFont="1" applyFill="1" applyBorder="1" applyAlignment="1">
      <alignment horizontal="center" vertical="center" wrapText="1"/>
    </xf>
    <xf numFmtId="0" fontId="8" fillId="5" borderId="49" xfId="22" applyNumberFormat="1" applyFont="1" applyFill="1" applyBorder="1" applyAlignment="1">
      <alignment horizontal="center" vertical="center" wrapText="1"/>
    </xf>
    <xf numFmtId="0" fontId="8" fillId="5" borderId="50" xfId="22" applyNumberFormat="1" applyFont="1" applyFill="1" applyBorder="1" applyAlignment="1">
      <alignment horizontal="center" vertical="center" wrapText="1"/>
    </xf>
    <xf numFmtId="0" fontId="8" fillId="12" borderId="34" xfId="22" applyNumberFormat="1" applyFont="1" applyFill="1" applyBorder="1" applyAlignment="1">
      <alignment horizontal="center" vertical="center" wrapText="1"/>
    </xf>
    <xf numFmtId="0" fontId="8" fillId="12" borderId="35" xfId="22" applyNumberFormat="1" applyFont="1" applyFill="1" applyBorder="1" applyAlignment="1">
      <alignment horizontal="center" vertical="center" wrapText="1"/>
    </xf>
    <xf numFmtId="0" fontId="8" fillId="12" borderId="22" xfId="22" applyNumberFormat="1" applyFont="1" applyFill="1" applyBorder="1" applyAlignment="1">
      <alignment horizontal="center" vertical="center" wrapText="1"/>
    </xf>
    <xf numFmtId="0" fontId="8" fillId="5" borderId="19" xfId="22" applyNumberFormat="1" applyFont="1" applyFill="1" applyBorder="1" applyAlignment="1">
      <alignment horizontal="center" vertical="center" wrapText="1"/>
    </xf>
    <xf numFmtId="0" fontId="8" fillId="5" borderId="21" xfId="22" applyNumberFormat="1" applyFont="1" applyFill="1" applyBorder="1" applyAlignment="1">
      <alignment horizontal="center" vertical="center" wrapText="1"/>
    </xf>
    <xf numFmtId="0" fontId="8" fillId="5" borderId="53" xfId="22" applyNumberFormat="1" applyFont="1" applyFill="1" applyBorder="1" applyAlignment="1">
      <alignment horizontal="center" vertical="center" wrapText="1"/>
    </xf>
    <xf numFmtId="10" fontId="24" fillId="14" borderId="9" xfId="0" applyNumberFormat="1" applyFont="1" applyFill="1" applyBorder="1" applyAlignment="1">
      <alignment horizontal="center" vertical="center" wrapText="1"/>
    </xf>
    <xf numFmtId="10" fontId="24" fillId="14" borderId="30" xfId="0" applyNumberFormat="1" applyFont="1" applyFill="1" applyBorder="1" applyAlignment="1">
      <alignment horizontal="center" vertical="center" wrapText="1"/>
    </xf>
    <xf numFmtId="10" fontId="24" fillId="14" borderId="31" xfId="0" applyNumberFormat="1" applyFont="1" applyFill="1" applyBorder="1" applyAlignment="1">
      <alignment horizontal="center" vertical="center" wrapText="1"/>
    </xf>
    <xf numFmtId="0" fontId="14" fillId="8" borderId="9" xfId="0" applyFont="1" applyFill="1" applyBorder="1" applyAlignment="1" applyProtection="1">
      <alignment horizontal="center" vertical="center" wrapText="1"/>
      <protection locked="0"/>
    </xf>
    <xf numFmtId="0" fontId="14" fillId="8" borderId="31" xfId="0" applyFont="1" applyFill="1" applyBorder="1" applyAlignment="1" applyProtection="1">
      <alignment horizontal="center" vertical="center" wrapText="1"/>
      <protection locked="0"/>
    </xf>
    <xf numFmtId="0" fontId="40" fillId="20" borderId="9" xfId="28" applyBorder="1" applyAlignment="1">
      <alignment horizontal="center" vertical="center" wrapText="1"/>
    </xf>
    <xf numFmtId="0" fontId="40" fillId="20" borderId="31" xfId="28" applyBorder="1" applyAlignment="1">
      <alignment horizontal="center" vertical="center" wrapText="1"/>
    </xf>
    <xf numFmtId="0" fontId="59" fillId="0" borderId="0" xfId="26" applyFont="1" applyBorder="1" applyAlignment="1">
      <alignment horizontal="left" vertical="center" wrapText="1" indent="2"/>
    </xf>
    <xf numFmtId="0" fontId="60" fillId="0" borderId="0" xfId="58" applyFont="1" applyBorder="1" applyAlignment="1">
      <alignment horizontal="left" vertical="center" wrapText="1" indent="2"/>
    </xf>
  </cellXfs>
  <cellStyles count="69">
    <cellStyle name="20% - Accent1" xfId="1" builtinId="30"/>
    <cellStyle name="20% - Accent1 2" xfId="64" xr:uid="{00000000-0005-0000-0000-000001000000}"/>
    <cellStyle name="40% - Accent3" xfId="2" builtinId="39"/>
    <cellStyle name="40% - Accent3 2" xfId="65" xr:uid="{00000000-0005-0000-0000-000003000000}"/>
    <cellStyle name="40% - Accent4" xfId="3" builtinId="43"/>
    <cellStyle name="40% - Accent4 2" xfId="66" xr:uid="{00000000-0005-0000-0000-000005000000}"/>
    <cellStyle name="40% - Accent5" xfId="4" builtinId="47"/>
    <cellStyle name="40% - Accent5 2" xfId="67" xr:uid="{00000000-0005-0000-0000-000007000000}"/>
    <cellStyle name="40% - Accent6" xfId="5" builtinId="51"/>
    <cellStyle name="40% - Accent6 2" xfId="68" xr:uid="{00000000-0005-0000-0000-000009000000}"/>
    <cellStyle name="Calculation" xfId="6" builtinId="22" customBuiltin="1"/>
    <cellStyle name="Check Cell" xfId="7" builtinId="23" customBuiltin="1"/>
    <cellStyle name="entry" xfId="8" xr:uid="{00000000-0005-0000-0000-00000C000000}"/>
    <cellStyle name="entry 2" xfId="9" xr:uid="{00000000-0005-0000-0000-00000D000000}"/>
    <cellStyle name="entry 2 2" xfId="10" xr:uid="{00000000-0005-0000-0000-00000E000000}"/>
    <cellStyle name="entry 3" xfId="11" xr:uid="{00000000-0005-0000-0000-00000F000000}"/>
    <cellStyle name="entry 3 2" xfId="12" xr:uid="{00000000-0005-0000-0000-000010000000}"/>
    <cellStyle name="Heading 1" xfId="13" builtinId="16"/>
    <cellStyle name="Heading 4" xfId="14" builtinId="19"/>
    <cellStyle name="Hyperlink" xfId="15" builtinId="8"/>
    <cellStyle name="Hyperlink 2" xfId="16" xr:uid="{00000000-0005-0000-0000-000014000000}"/>
    <cellStyle name="Inconsistent style" xfId="17" xr:uid="{00000000-0005-0000-0000-000015000000}"/>
    <cellStyle name="Inconsistent style 2" xfId="18" xr:uid="{00000000-0005-0000-0000-000016000000}"/>
    <cellStyle name="Inconsistent style 2 2" xfId="19" xr:uid="{00000000-0005-0000-0000-000017000000}"/>
    <cellStyle name="Input" xfId="20" builtinId="20"/>
    <cellStyle name="NOK style" xfId="21" xr:uid="{00000000-0005-0000-0000-000019000000}"/>
    <cellStyle name="Normal" xfId="0" builtinId="0" customBuiltin="1"/>
    <cellStyle name="Normal 2" xfId="22" xr:uid="{00000000-0005-0000-0000-00001B000000}"/>
    <cellStyle name="Normal 2 2" xfId="23" xr:uid="{00000000-0005-0000-0000-00001C000000}"/>
    <cellStyle name="Normal 3" xfId="24" xr:uid="{00000000-0005-0000-0000-00001D000000}"/>
    <cellStyle name="Normal 3 2" xfId="25" xr:uid="{00000000-0005-0000-0000-00001E000000}"/>
    <cellStyle name="Normal 4" xfId="26" xr:uid="{00000000-0005-0000-0000-00001F000000}"/>
    <cellStyle name="OK style" xfId="27" xr:uid="{00000000-0005-0000-0000-000020000000}"/>
    <cellStyle name="Output" xfId="28" builtinId="21" customBuiltin="1"/>
    <cellStyle name="para" xfId="29" xr:uid="{00000000-0005-0000-0000-000022000000}"/>
    <cellStyle name="para 2" xfId="30" xr:uid="{00000000-0005-0000-0000-000023000000}"/>
    <cellStyle name="Percent" xfId="31" builtinId="5"/>
    <cellStyle name="sect" xfId="32" xr:uid="{00000000-0005-0000-0000-000025000000}"/>
    <cellStyle name="sect1" xfId="33" xr:uid="{00000000-0005-0000-0000-000026000000}"/>
    <cellStyle name="sect2" xfId="34" xr:uid="{00000000-0005-0000-0000-000027000000}"/>
    <cellStyle name="sect3" xfId="35" xr:uid="{00000000-0005-0000-0000-000028000000}"/>
    <cellStyle name="sect4" xfId="36" xr:uid="{00000000-0005-0000-0000-000029000000}"/>
    <cellStyle name="sect4 2" xfId="37" xr:uid="{00000000-0005-0000-0000-00002A000000}"/>
    <cellStyle name="sect4 2 2" xfId="38" xr:uid="{00000000-0005-0000-0000-00002B000000}"/>
    <cellStyle name="sect5" xfId="39" xr:uid="{00000000-0005-0000-0000-00002C000000}"/>
    <cellStyle name="sect5 2" xfId="40" xr:uid="{00000000-0005-0000-0000-00002D000000}"/>
    <cellStyle name="sect5 2 2" xfId="41" xr:uid="{00000000-0005-0000-0000-00002E000000}"/>
    <cellStyle name="sect6" xfId="42" xr:uid="{00000000-0005-0000-0000-00002F000000}"/>
    <cellStyle name="sect6 2" xfId="43" xr:uid="{00000000-0005-0000-0000-000030000000}"/>
    <cellStyle name="sect6 2 2" xfId="44" xr:uid="{00000000-0005-0000-0000-000031000000}"/>
    <cellStyle name="sect7" xfId="45" xr:uid="{00000000-0005-0000-0000-000032000000}"/>
    <cellStyle name="sect7 2" xfId="46" xr:uid="{00000000-0005-0000-0000-000033000000}"/>
    <cellStyle name="sect7 2 2" xfId="47" xr:uid="{00000000-0005-0000-0000-000034000000}"/>
    <cellStyle name="sect8" xfId="48" xr:uid="{00000000-0005-0000-0000-000035000000}"/>
    <cellStyle name="sect8 2" xfId="49" xr:uid="{00000000-0005-0000-0000-000036000000}"/>
    <cellStyle name="sect8 2 2" xfId="50" xr:uid="{00000000-0005-0000-0000-000037000000}"/>
    <cellStyle name="sect9" xfId="51" xr:uid="{00000000-0005-0000-0000-000038000000}"/>
    <cellStyle name="sect9 2" xfId="52" xr:uid="{00000000-0005-0000-0000-000039000000}"/>
    <cellStyle name="sect9 2 2" xfId="53" xr:uid="{00000000-0005-0000-0000-00003A000000}"/>
    <cellStyle name="tableTitle" xfId="54" xr:uid="{00000000-0005-0000-0000-00003B000000}"/>
    <cellStyle name="Tested Previously" xfId="55" xr:uid="{00000000-0005-0000-0000-00003C000000}"/>
    <cellStyle name="Title" xfId="56" builtinId="15"/>
    <cellStyle name="title 2" xfId="57" xr:uid="{00000000-0005-0000-0000-00003E000000}"/>
    <cellStyle name="Warning Text" xfId="58" builtinId="11"/>
    <cellStyle name="Without format but centered" xfId="59" xr:uid="{00000000-0005-0000-0000-000040000000}"/>
    <cellStyle name="Without format but centered 2" xfId="60" xr:uid="{00000000-0005-0000-0000-000041000000}"/>
    <cellStyle name="Without format but centered 2 2" xfId="61" xr:uid="{00000000-0005-0000-0000-000042000000}"/>
    <cellStyle name="Without format but centered 3" xfId="62" xr:uid="{00000000-0005-0000-0000-000043000000}"/>
    <cellStyle name="Without format but centered 3 2" xfId="63" xr:uid="{00000000-0005-0000-0000-000044000000}"/>
  </cellStyles>
  <dxfs count="10">
    <dxf>
      <font>
        <b/>
        <i val="0"/>
        <color rgb="FFFF0000"/>
      </font>
    </dxf>
    <dxf>
      <font>
        <b/>
        <i val="0"/>
        <color rgb="FFFF0000"/>
      </font>
    </dxf>
    <dxf>
      <font>
        <b/>
        <i val="0"/>
        <color rgb="FFFF0000"/>
      </font>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FF0000"/>
        </patternFill>
      </fill>
    </dxf>
    <dxf>
      <fill>
        <patternFill>
          <bgColor rgb="FF00B050"/>
        </patternFill>
      </fill>
    </dxf>
    <dxf>
      <font>
        <b/>
        <i val="0"/>
        <color rgb="FFFF0000"/>
      </font>
    </dxf>
  </dxfs>
  <tableStyles count="0" defaultTableStyle="TableStyleMedium2" defaultPivotStyle="PivotStyleLight16"/>
  <colors>
    <mruColors>
      <color rgb="FFFFFFCC"/>
      <color rgb="FFCCFFCC"/>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1"/>
          <c:order val="0"/>
          <c:tx>
            <c:strRef>
              <c:f>Statistics!$A$35</c:f>
              <c:strCache>
                <c:ptCount val="1"/>
                <c:pt idx="0">
                  <c:v>SW Qualification Blackbox Tests Status</c:v>
                </c:pt>
              </c:strCache>
            </c:strRef>
          </c:tx>
          <c:spPr>
            <a:solidFill>
              <a:srgbClr val="00B0F0"/>
            </a:solidFill>
          </c:spPr>
          <c:dPt>
            <c:idx val="0"/>
            <c:bubble3D val="0"/>
            <c:spPr>
              <a:solidFill>
                <a:srgbClr val="00B050"/>
              </a:solidFill>
            </c:spPr>
            <c:extLst>
              <c:ext xmlns:c16="http://schemas.microsoft.com/office/drawing/2014/chart" uri="{C3380CC4-5D6E-409C-BE32-E72D297353CC}">
                <c16:uniqueId val="{00000010-4610-47D5-8E42-7A8254DED193}"/>
              </c:ext>
            </c:extLst>
          </c:dPt>
          <c:dPt>
            <c:idx val="1"/>
            <c:bubble3D val="0"/>
            <c:spPr>
              <a:solidFill>
                <a:srgbClr val="0070C0"/>
              </a:solidFill>
            </c:spPr>
            <c:extLst>
              <c:ext xmlns:c16="http://schemas.microsoft.com/office/drawing/2014/chart" uri="{C3380CC4-5D6E-409C-BE32-E72D297353CC}">
                <c16:uniqueId val="{00000011-4610-47D5-8E42-7A8254DED193}"/>
              </c:ext>
            </c:extLst>
          </c:dPt>
          <c:dPt>
            <c:idx val="2"/>
            <c:bubble3D val="0"/>
            <c:spPr>
              <a:solidFill>
                <a:schemeClr val="accent6">
                  <a:lumMod val="75000"/>
                </a:schemeClr>
              </a:solidFill>
            </c:spPr>
            <c:extLst>
              <c:ext xmlns:c16="http://schemas.microsoft.com/office/drawing/2014/chart" uri="{C3380CC4-5D6E-409C-BE32-E72D297353CC}">
                <c16:uniqueId val="{00000012-4610-47D5-8E42-7A8254DED193}"/>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Statistics!$A$44:$A$46</c:f>
              <c:strCache>
                <c:ptCount val="3"/>
                <c:pt idx="0">
                  <c:v>Test Specification and Test Result are available</c:v>
                </c:pt>
                <c:pt idx="1">
                  <c:v>Test Specification is available but Test Result is not available</c:v>
                </c:pt>
                <c:pt idx="2">
                  <c:v>Test Specification and Test Result are not available</c:v>
                </c:pt>
              </c:strCache>
            </c:strRef>
          </c:cat>
          <c:val>
            <c:numRef>
              <c:f>Statistics!$B$44:$B$46</c:f>
              <c:numCache>
                <c:formatCode>General</c:formatCode>
                <c:ptCount val="3"/>
                <c:pt idx="0">
                  <c:v>0</c:v>
                </c:pt>
                <c:pt idx="1">
                  <c:v>0</c:v>
                </c:pt>
                <c:pt idx="2">
                  <c:v>0</c:v>
                </c:pt>
              </c:numCache>
            </c:numRef>
          </c:val>
          <c:extLst>
            <c:ext xmlns:c16="http://schemas.microsoft.com/office/drawing/2014/chart" uri="{C3380CC4-5D6E-409C-BE32-E72D297353CC}">
              <c16:uniqueId val="{0000000F-4610-47D5-8E42-7A8254DED193}"/>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1"/>
          <c:order val="0"/>
          <c:tx>
            <c:strRef>
              <c:f>Statistics!$A$49</c:f>
              <c:strCache>
                <c:ptCount val="1"/>
                <c:pt idx="0">
                  <c:v>Requirements Tests Results</c:v>
                </c:pt>
              </c:strCache>
            </c:strRef>
          </c:tx>
          <c:dPt>
            <c:idx val="0"/>
            <c:bubble3D val="0"/>
            <c:spPr>
              <a:solidFill>
                <a:srgbClr val="00B050"/>
              </a:solidFill>
            </c:spPr>
            <c:extLst>
              <c:ext xmlns:c16="http://schemas.microsoft.com/office/drawing/2014/chart" uri="{C3380CC4-5D6E-409C-BE32-E72D297353CC}">
                <c16:uniqueId val="{00000022-3475-4193-A899-C8DE842B22C7}"/>
              </c:ext>
            </c:extLst>
          </c:dPt>
          <c:dPt>
            <c:idx val="1"/>
            <c:bubble3D val="0"/>
            <c:spPr>
              <a:solidFill>
                <a:srgbClr val="00B0F0"/>
              </a:solidFill>
            </c:spPr>
            <c:extLst>
              <c:ext xmlns:c16="http://schemas.microsoft.com/office/drawing/2014/chart" uri="{C3380CC4-5D6E-409C-BE32-E72D297353CC}">
                <c16:uniqueId val="{00000023-3475-4193-A899-C8DE842B22C7}"/>
              </c:ext>
            </c:extLst>
          </c:dPt>
          <c:dPt>
            <c:idx val="2"/>
            <c:bubble3D val="0"/>
            <c:spPr>
              <a:solidFill>
                <a:srgbClr val="FF0000"/>
              </a:solidFill>
            </c:spPr>
            <c:extLst>
              <c:ext xmlns:c16="http://schemas.microsoft.com/office/drawing/2014/chart" uri="{C3380CC4-5D6E-409C-BE32-E72D297353CC}">
                <c16:uniqueId val="{00000024-3475-4193-A899-C8DE842B22C7}"/>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Statistics!$A$56:$A$58</c:f>
              <c:strCache>
                <c:ptCount val="3"/>
                <c:pt idx="0">
                  <c:v>Passed</c:v>
                </c:pt>
                <c:pt idx="1">
                  <c:v>Failed</c:v>
                </c:pt>
                <c:pt idx="2">
                  <c:v>Not Tested</c:v>
                </c:pt>
              </c:strCache>
            </c:strRef>
          </c:cat>
          <c:val>
            <c:numRef>
              <c:f>Statistics!$B$56:$B$58</c:f>
              <c:numCache>
                <c:formatCode>General</c:formatCode>
                <c:ptCount val="3"/>
                <c:pt idx="0">
                  <c:v>0</c:v>
                </c:pt>
                <c:pt idx="1">
                  <c:v>0</c:v>
                </c:pt>
                <c:pt idx="2">
                  <c:v>0</c:v>
                </c:pt>
              </c:numCache>
            </c:numRef>
          </c:val>
          <c:extLst>
            <c:ext xmlns:c16="http://schemas.microsoft.com/office/drawing/2014/chart" uri="{C3380CC4-5D6E-409C-BE32-E72D297353CC}">
              <c16:uniqueId val="{00000021-3475-4193-A899-C8DE842B22C7}"/>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1"/>
          <c:order val="0"/>
          <c:tx>
            <c:strRef>
              <c:f>Statistics!$A$11</c:f>
              <c:strCache>
                <c:ptCount val="1"/>
                <c:pt idx="0">
                  <c:v>Requirements Scope and Test Plan</c:v>
                </c:pt>
              </c:strCache>
            </c:strRef>
          </c:tx>
          <c:dPt>
            <c:idx val="0"/>
            <c:bubble3D val="0"/>
            <c:spPr>
              <a:solidFill>
                <a:srgbClr val="00B0F0"/>
              </a:solidFill>
            </c:spPr>
            <c:extLst>
              <c:ext xmlns:c16="http://schemas.microsoft.com/office/drawing/2014/chart" uri="{C3380CC4-5D6E-409C-BE32-E72D297353CC}">
                <c16:uniqueId val="{00000014-28A5-438B-9EE4-2F739133CF31}"/>
              </c:ext>
            </c:extLst>
          </c:dPt>
          <c:dPt>
            <c:idx val="1"/>
            <c:bubble3D val="0"/>
            <c:spPr>
              <a:solidFill>
                <a:srgbClr val="7030A0"/>
              </a:solidFill>
            </c:spPr>
            <c:extLst>
              <c:ext xmlns:c16="http://schemas.microsoft.com/office/drawing/2014/chart" uri="{C3380CC4-5D6E-409C-BE32-E72D297353CC}">
                <c16:uniqueId val="{00000015-28A5-438B-9EE4-2F739133CF31}"/>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Statistics!$A$12:$A$13</c:f>
              <c:strCache>
                <c:ptCount val="2"/>
                <c:pt idx="0">
                  <c:v>To be tested </c:v>
                </c:pt>
                <c:pt idx="1">
                  <c:v>Not planned to be tested </c:v>
                </c:pt>
              </c:strCache>
            </c:strRef>
          </c:cat>
          <c:val>
            <c:numRef>
              <c:f>Statistics!$B$12:$B$13</c:f>
              <c:numCache>
                <c:formatCode>General</c:formatCode>
                <c:ptCount val="2"/>
                <c:pt idx="0">
                  <c:v>0</c:v>
                </c:pt>
                <c:pt idx="1">
                  <c:v>0</c:v>
                </c:pt>
              </c:numCache>
            </c:numRef>
          </c:val>
          <c:extLst>
            <c:ext xmlns:c16="http://schemas.microsoft.com/office/drawing/2014/chart" uri="{C3380CC4-5D6E-409C-BE32-E72D297353CC}">
              <c16:uniqueId val="{00000013-28A5-438B-9EE4-2F739133CF31}"/>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Lower</a:t>
            </a:r>
            <a:r>
              <a:rPr lang="en-US" baseline="0"/>
              <a:t> Level Coverage</a:t>
            </a:r>
            <a:endParaRPr lang="en-US"/>
          </a:p>
        </c:rich>
      </c:tx>
      <c:overlay val="0"/>
      <c:spPr>
        <a:noFill/>
        <a:ln>
          <a:noFill/>
        </a:ln>
        <a:effectLst/>
      </c:spPr>
    </c:title>
    <c:autoTitleDeleted val="0"/>
    <c:plotArea>
      <c:layout/>
      <c:pieChart>
        <c:varyColors val="1"/>
        <c:ser>
          <c:idx val="1"/>
          <c:order val="0"/>
          <c:tx>
            <c:strRef>
              <c:f>Statistics!$A$28</c:f>
              <c:strCache>
                <c:ptCount val="1"/>
                <c:pt idx="0">
                  <c:v>Lower Level Coverage</c:v>
                </c:pt>
              </c:strCache>
            </c:strRef>
          </c:tx>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Statistics!$A$29:$A$30</c:f>
              <c:strCache>
                <c:ptCount val="2"/>
                <c:pt idx="0">
                  <c:v>Satisfied by a low level requirement</c:v>
                </c:pt>
                <c:pt idx="1">
                  <c:v>Not satisfied by a low level requirement</c:v>
                </c:pt>
              </c:strCache>
            </c:strRef>
          </c:cat>
          <c:val>
            <c:numRef>
              <c:f>Statistics!$B$29:$B$30</c:f>
              <c:numCache>
                <c:formatCode>General</c:formatCode>
                <c:ptCount val="2"/>
                <c:pt idx="0">
                  <c:v>0</c:v>
                </c:pt>
                <c:pt idx="1">
                  <c:v>0</c:v>
                </c:pt>
              </c:numCache>
            </c:numRef>
          </c:val>
          <c:extLst>
            <c:ext xmlns:c16="http://schemas.microsoft.com/office/drawing/2014/chart" uri="{C3380CC4-5D6E-409C-BE32-E72D297353CC}">
              <c16:uniqueId val="{00000009-2B70-4B23-9FEF-00F5695F1DDA}"/>
            </c:ext>
          </c:extLst>
        </c:ser>
        <c:dLbls>
          <c:dLblPos val="inEnd"/>
          <c:showLegendKey val="0"/>
          <c:showVal val="0"/>
          <c:showCatName val="0"/>
          <c:showSerName val="0"/>
          <c:showPercent val="1"/>
          <c:showBubbleSize val="0"/>
          <c:showLeaderLines val="1"/>
        </c:dLbls>
        <c:firstSliceAng val="0"/>
      </c:pieChart>
    </c:plotArea>
    <c:legend>
      <c:legendPos val="b"/>
      <c:layout>
        <c:manualLayout>
          <c:xMode val="edge"/>
          <c:yMode val="edge"/>
          <c:x val="0.12653091784341455"/>
          <c:y val="0.90391001124859383"/>
          <c:w val="0.74141714824369243"/>
          <c:h val="6.2667550914424469E-2"/>
        </c:manualLayout>
      </c:layout>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Upper Level Coverage</a:t>
            </a:r>
          </a:p>
        </c:rich>
      </c:tx>
      <c:overlay val="0"/>
      <c:spPr>
        <a:noFill/>
        <a:ln>
          <a:noFill/>
        </a:ln>
        <a:effectLst/>
      </c:spPr>
    </c:title>
    <c:autoTitleDeleted val="0"/>
    <c:plotArea>
      <c:layout/>
      <c:pieChart>
        <c:varyColors val="1"/>
        <c:ser>
          <c:idx val="1"/>
          <c:order val="0"/>
          <c:tx>
            <c:strRef>
              <c:f>Statistics!$A$23</c:f>
              <c:strCache>
                <c:ptCount val="1"/>
                <c:pt idx="0">
                  <c:v>Upper Level Coverage</c:v>
                </c:pt>
              </c:strCache>
            </c:strRef>
          </c:tx>
          <c:dPt>
            <c:idx val="0"/>
            <c:bubble3D val="0"/>
            <c:spPr>
              <a:solidFill>
                <a:srgbClr val="00B0F0"/>
              </a:solidFill>
            </c:spPr>
            <c:extLst>
              <c:ext xmlns:c16="http://schemas.microsoft.com/office/drawing/2014/chart" uri="{C3380CC4-5D6E-409C-BE32-E72D297353CC}">
                <c16:uniqueId val="{00000014-28A5-438B-9EE4-2F739133CF31}"/>
              </c:ext>
            </c:extLst>
          </c:dPt>
          <c:dPt>
            <c:idx val="1"/>
            <c:bubble3D val="0"/>
            <c:spPr>
              <a:solidFill>
                <a:srgbClr val="7030A0"/>
              </a:solidFill>
            </c:spPr>
            <c:extLst>
              <c:ext xmlns:c16="http://schemas.microsoft.com/office/drawing/2014/chart" uri="{C3380CC4-5D6E-409C-BE32-E72D297353CC}">
                <c16:uniqueId val="{00000015-28A5-438B-9EE4-2F739133CF31}"/>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Statistics!$A$24:$A$25</c:f>
              <c:strCache>
                <c:ptCount val="2"/>
                <c:pt idx="0">
                  <c:v>Satisfies an upper  level requirement</c:v>
                </c:pt>
                <c:pt idx="1">
                  <c:v>Doesn't satisfy an upper level requirement</c:v>
                </c:pt>
              </c:strCache>
            </c:strRef>
          </c:cat>
          <c:val>
            <c:numRef>
              <c:f>Statistics!$B$24:$B$25</c:f>
              <c:numCache>
                <c:formatCode>General</c:formatCode>
                <c:ptCount val="2"/>
                <c:pt idx="0">
                  <c:v>0</c:v>
                </c:pt>
                <c:pt idx="1">
                  <c:v>0</c:v>
                </c:pt>
              </c:numCache>
            </c:numRef>
          </c:val>
          <c:extLst>
            <c:ext xmlns:c16="http://schemas.microsoft.com/office/drawing/2014/chart" uri="{C3380CC4-5D6E-409C-BE32-E72D297353CC}">
              <c16:uniqueId val="{00000013-28A5-438B-9EE4-2F739133CF31}"/>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1"/>
          <c:order val="0"/>
          <c:tx>
            <c:strRef>
              <c:f>Statistics!$A$16</c:f>
              <c:strCache>
                <c:ptCount val="1"/>
                <c:pt idx="0">
                  <c:v>Functional / Non-Functional Requirements</c:v>
                </c:pt>
              </c:strCache>
            </c:strRef>
          </c:tx>
          <c:dPt>
            <c:idx val="0"/>
            <c:bubble3D val="0"/>
            <c:spPr>
              <a:solidFill>
                <a:srgbClr val="00B0F0"/>
              </a:solidFill>
            </c:spPr>
            <c:extLst>
              <c:ext xmlns:c16="http://schemas.microsoft.com/office/drawing/2014/chart" uri="{C3380CC4-5D6E-409C-BE32-E72D297353CC}">
                <c16:uniqueId val="{00000014-28A5-438B-9EE4-2F739133CF31}"/>
              </c:ext>
            </c:extLst>
          </c:dPt>
          <c:dPt>
            <c:idx val="1"/>
            <c:bubble3D val="0"/>
            <c:spPr>
              <a:solidFill>
                <a:srgbClr val="7030A0"/>
              </a:solidFill>
            </c:spPr>
            <c:extLst>
              <c:ext xmlns:c16="http://schemas.microsoft.com/office/drawing/2014/chart" uri="{C3380CC4-5D6E-409C-BE32-E72D297353CC}">
                <c16:uniqueId val="{00000015-28A5-438B-9EE4-2F739133CF31}"/>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Statistics!$A$17:$A$18</c:f>
              <c:strCache>
                <c:ptCount val="2"/>
                <c:pt idx="0">
                  <c:v>Functional requirements</c:v>
                </c:pt>
                <c:pt idx="1">
                  <c:v>Non-functional requirements</c:v>
                </c:pt>
              </c:strCache>
            </c:strRef>
          </c:cat>
          <c:val>
            <c:numRef>
              <c:f>Statistics!$B$17:$B$18</c:f>
              <c:numCache>
                <c:formatCode>General</c:formatCode>
                <c:ptCount val="2"/>
                <c:pt idx="0">
                  <c:v>0</c:v>
                </c:pt>
                <c:pt idx="1">
                  <c:v>0</c:v>
                </c:pt>
              </c:numCache>
            </c:numRef>
          </c:val>
          <c:extLst>
            <c:ext xmlns:c16="http://schemas.microsoft.com/office/drawing/2014/chart" uri="{C3380CC4-5D6E-409C-BE32-E72D297353CC}">
              <c16:uniqueId val="{00000013-28A5-438B-9EE4-2F739133CF31}"/>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FF0000"/>
              </a:solidFill>
            </c:spPr>
            <c:extLst>
              <c:ext xmlns:c16="http://schemas.microsoft.com/office/drawing/2014/chart" uri="{C3380CC4-5D6E-409C-BE32-E72D297353CC}">
                <c16:uniqueId val="{00000001-4114-4FDD-930F-E5E3D746FA73}"/>
              </c:ext>
            </c:extLst>
          </c:dPt>
          <c:dPt>
            <c:idx val="1"/>
            <c:bubble3D val="0"/>
            <c:spPr>
              <a:solidFill>
                <a:schemeClr val="accent6">
                  <a:lumMod val="75000"/>
                </a:schemeClr>
              </a:solidFill>
              <a:ln>
                <a:solidFill>
                  <a:schemeClr val="accent1"/>
                </a:solidFill>
              </a:ln>
            </c:spPr>
            <c:extLst>
              <c:ext xmlns:c16="http://schemas.microsoft.com/office/drawing/2014/chart" uri="{C3380CC4-5D6E-409C-BE32-E72D297353CC}">
                <c16:uniqueId val="{00000003-4114-4FDD-930F-E5E3D746FA73}"/>
              </c:ext>
            </c:extLst>
          </c:dPt>
          <c:dPt>
            <c:idx val="2"/>
            <c:bubble3D val="0"/>
            <c:spPr>
              <a:solidFill>
                <a:schemeClr val="accent4">
                  <a:lumMod val="75000"/>
                </a:schemeClr>
              </a:solidFill>
            </c:spPr>
            <c:extLst>
              <c:ext xmlns:c16="http://schemas.microsoft.com/office/drawing/2014/chart" uri="{C3380CC4-5D6E-409C-BE32-E72D297353CC}">
                <c16:uniqueId val="{00000005-4114-4FDD-930F-E5E3D746FA73}"/>
              </c:ext>
            </c:extLst>
          </c:dPt>
          <c:dPt>
            <c:idx val="3"/>
            <c:bubble3D val="0"/>
            <c:spPr>
              <a:solidFill>
                <a:srgbClr val="0070C0"/>
              </a:solidFill>
            </c:spPr>
            <c:extLst>
              <c:ext xmlns:c16="http://schemas.microsoft.com/office/drawing/2014/chart" uri="{C3380CC4-5D6E-409C-BE32-E72D297353CC}">
                <c16:uniqueId val="{00000007-4114-4FDD-930F-E5E3D746FA73}"/>
              </c:ext>
            </c:extLst>
          </c:dPt>
          <c:dPt>
            <c:idx val="4"/>
            <c:bubble3D val="0"/>
            <c:spPr>
              <a:solidFill>
                <a:srgbClr val="00B050"/>
              </a:solidFill>
            </c:spPr>
            <c:extLst>
              <c:ext xmlns:c16="http://schemas.microsoft.com/office/drawing/2014/chart" uri="{C3380CC4-5D6E-409C-BE32-E72D297353CC}">
                <c16:uniqueId val="{00000009-4114-4FDD-930F-E5E3D746FA73}"/>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'Requirement Status'!$C$3:$G$3</c:f>
              <c:strCache>
                <c:ptCount val="5"/>
                <c:pt idx="0">
                  <c:v>Init</c:v>
                </c:pt>
                <c:pt idx="1">
                  <c:v>To be clarified or improved</c:v>
                </c:pt>
                <c:pt idx="2">
                  <c:v>In Review by Design Team</c:v>
                </c:pt>
                <c:pt idx="3">
                  <c:v>In Review by Test Team</c:v>
                </c:pt>
                <c:pt idx="4">
                  <c:v>Approved</c:v>
                </c:pt>
              </c:strCache>
            </c:strRef>
          </c:cat>
          <c:val>
            <c:numRef>
              <c:f>'Requirement Status'!$C$4:$G$4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4114-4FDD-930F-E5E3D746FA73}"/>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4313841917301318"/>
          <c:y val="0.12394595120054437"/>
          <c:w val="0.34030592487414479"/>
          <c:h val="0.53056945659570331"/>
        </c:manualLayout>
      </c:layout>
      <c:overlay val="0"/>
      <c:txPr>
        <a:bodyPr/>
        <a:lstStyle/>
        <a:p>
          <a:pPr>
            <a:defRPr sz="50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840" name="Picture 12">
          <a:extLst>
            <a:ext uri="{FF2B5EF4-FFF2-40B4-BE49-F238E27FC236}">
              <a16:creationId xmlns:a16="http://schemas.microsoft.com/office/drawing/2014/main" id="{00000000-0008-0000-0000-0000300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5906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841" name="Picture 13">
          <a:extLst>
            <a:ext uri="{FF2B5EF4-FFF2-40B4-BE49-F238E27FC236}">
              <a16:creationId xmlns:a16="http://schemas.microsoft.com/office/drawing/2014/main" id="{00000000-0008-0000-0000-00003107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15075" y="0"/>
          <a:ext cx="5619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7</xdr:col>
      <xdr:colOff>123825</xdr:colOff>
      <xdr:row>2</xdr:row>
      <xdr:rowOff>142875</xdr:rowOff>
    </xdr:to>
    <xdr:pic>
      <xdr:nvPicPr>
        <xdr:cNvPr id="4" name="Picture 12">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5906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6195" name="Picture 1">
          <a:extLst>
            <a:ext uri="{FF2B5EF4-FFF2-40B4-BE49-F238E27FC236}">
              <a16:creationId xmlns:a16="http://schemas.microsoft.com/office/drawing/2014/main" id="{00000000-0008-0000-0100-0000433F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5906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6196" name="Picture 2">
          <a:extLst>
            <a:ext uri="{FF2B5EF4-FFF2-40B4-BE49-F238E27FC236}">
              <a16:creationId xmlns:a16="http://schemas.microsoft.com/office/drawing/2014/main" id="{00000000-0008-0000-0100-0000443F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15075" y="0"/>
          <a:ext cx="5619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38100</xdr:colOff>
          <xdr:row>1</xdr:row>
          <xdr:rowOff>85725</xdr:rowOff>
        </xdr:from>
        <xdr:to>
          <xdr:col>4</xdr:col>
          <xdr:colOff>333375</xdr:colOff>
          <xdr:row>1</xdr:row>
          <xdr:rowOff>438150</xdr:rowOff>
        </xdr:to>
        <xdr:sp macro="" textlink="">
          <xdr:nvSpPr>
            <xdr:cNvPr id="20481" name="UpdateStatisticsButton"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790575</xdr:colOff>
          <xdr:row>1</xdr:row>
          <xdr:rowOff>85725</xdr:rowOff>
        </xdr:from>
        <xdr:to>
          <xdr:col>7</xdr:col>
          <xdr:colOff>28575</xdr:colOff>
          <xdr:row>1</xdr:row>
          <xdr:rowOff>438150</xdr:rowOff>
        </xdr:to>
        <xdr:sp macro="" textlink="">
          <xdr:nvSpPr>
            <xdr:cNvPr id="20482" name="ImportSRM" hidden="1">
              <a:extLst>
                <a:ext uri="{63B3BB69-23CF-44E3-9099-C40C66FF867C}">
                  <a14:compatExt spid="_x0000_s20482"/>
                </a:ext>
                <a:ext uri="{FF2B5EF4-FFF2-40B4-BE49-F238E27FC236}">
                  <a16:creationId xmlns:a16="http://schemas.microsoft.com/office/drawing/2014/main" id="{00000000-0008-0000-03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752475</xdr:colOff>
          <xdr:row>1</xdr:row>
          <xdr:rowOff>76200</xdr:rowOff>
        </xdr:from>
        <xdr:to>
          <xdr:col>12</xdr:col>
          <xdr:colOff>600075</xdr:colOff>
          <xdr:row>1</xdr:row>
          <xdr:rowOff>419100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300-00000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Generate Incomplete Req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28575</xdr:colOff>
          <xdr:row>1</xdr:row>
          <xdr:rowOff>95250</xdr:rowOff>
        </xdr:from>
        <xdr:to>
          <xdr:col>13</xdr:col>
          <xdr:colOff>1009650</xdr:colOff>
          <xdr:row>1</xdr:row>
          <xdr:rowOff>419100</xdr:rowOff>
        </xdr:to>
        <xdr:sp macro="" textlink="">
          <xdr:nvSpPr>
            <xdr:cNvPr id="1243195" name="Button 1083" hidden="1">
              <a:extLst>
                <a:ext uri="{63B3BB69-23CF-44E3-9099-C40C66FF867C}">
                  <a14:compatExt spid="_x0000_s1243195"/>
                </a:ext>
                <a:ext uri="{FF2B5EF4-FFF2-40B4-BE49-F238E27FC236}">
                  <a16:creationId xmlns:a16="http://schemas.microsoft.com/office/drawing/2014/main" id="{00000000-0008-0000-0300-00003BF8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Check NOK</a:t>
              </a:r>
            </a:p>
          </xdr:txBody>
        </xdr:sp>
        <xdr:clientData fPrintsWithSheet="0"/>
      </xdr:twoCellAnchor>
    </mc:Choice>
    <mc:Fallback/>
  </mc:AlternateContent>
  <xdr:twoCellAnchor>
    <xdr:from>
      <xdr:col>7</xdr:col>
      <xdr:colOff>217714</xdr:colOff>
      <xdr:row>34</xdr:row>
      <xdr:rowOff>68036</xdr:rowOff>
    </xdr:from>
    <xdr:to>
      <xdr:col>17</xdr:col>
      <xdr:colOff>857250</xdr:colOff>
      <xdr:row>47</xdr:row>
      <xdr:rowOff>136072</xdr:rowOff>
    </xdr:to>
    <xdr:graphicFrame macro="">
      <xdr:nvGraphicFramePr>
        <xdr:cNvPr id="12" name="Chart 7">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190500</xdr:colOff>
      <xdr:row>48</xdr:row>
      <xdr:rowOff>68034</xdr:rowOff>
    </xdr:from>
    <xdr:to>
      <xdr:col>17</xdr:col>
      <xdr:colOff>902250</xdr:colOff>
      <xdr:row>63</xdr:row>
      <xdr:rowOff>136071</xdr:rowOff>
    </xdr:to>
    <xdr:graphicFrame macro="">
      <xdr:nvGraphicFramePr>
        <xdr:cNvPr id="13" name="Chart 1">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326571</xdr:colOff>
      <xdr:row>10</xdr:row>
      <xdr:rowOff>122464</xdr:rowOff>
    </xdr:from>
    <xdr:to>
      <xdr:col>12</xdr:col>
      <xdr:colOff>698142</xdr:colOff>
      <xdr:row>21</xdr:row>
      <xdr:rowOff>95250</xdr:rowOff>
    </xdr:to>
    <xdr:graphicFrame macro="">
      <xdr:nvGraphicFramePr>
        <xdr:cNvPr id="14" name="Chart 8">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517071</xdr:colOff>
      <xdr:row>22</xdr:row>
      <xdr:rowOff>136071</xdr:rowOff>
    </xdr:from>
    <xdr:to>
      <xdr:col>19</xdr:col>
      <xdr:colOff>1047750</xdr:colOff>
      <xdr:row>33</xdr:row>
      <xdr:rowOff>95250</xdr:rowOff>
    </xdr:to>
    <xdr:graphicFrame macro="">
      <xdr:nvGraphicFramePr>
        <xdr:cNvPr id="17" name="Chart 8">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326571</xdr:colOff>
      <xdr:row>22</xdr:row>
      <xdr:rowOff>136070</xdr:rowOff>
    </xdr:from>
    <xdr:to>
      <xdr:col>12</xdr:col>
      <xdr:colOff>698142</xdr:colOff>
      <xdr:row>33</xdr:row>
      <xdr:rowOff>122464</xdr:rowOff>
    </xdr:to>
    <xdr:graphicFrame macro="">
      <xdr:nvGraphicFramePr>
        <xdr:cNvPr id="18" name="Chart 8">
          <a:extLst>
            <a:ext uri="{FF2B5EF4-FFF2-40B4-BE49-F238E27FC236}">
              <a16:creationId xmlns:a16="http://schemas.microsoft.com/office/drawing/2014/main" id="{00000000-0008-0000-0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489858</xdr:colOff>
      <xdr:row>10</xdr:row>
      <xdr:rowOff>136071</xdr:rowOff>
    </xdr:from>
    <xdr:to>
      <xdr:col>19</xdr:col>
      <xdr:colOff>1047750</xdr:colOff>
      <xdr:row>21</xdr:row>
      <xdr:rowOff>108857</xdr:rowOff>
    </xdr:to>
    <xdr:graphicFrame macro="">
      <xdr:nvGraphicFramePr>
        <xdr:cNvPr id="19" name="Chart 8">
          <a:extLst>
            <a:ext uri="{FF2B5EF4-FFF2-40B4-BE49-F238E27FC236}">
              <a16:creationId xmlns:a16="http://schemas.microsoft.com/office/drawing/2014/main" id="{00000000-0008-0000-03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171450</xdr:colOff>
      <xdr:row>1</xdr:row>
      <xdr:rowOff>180975</xdr:rowOff>
    </xdr:from>
    <xdr:to>
      <xdr:col>12</xdr:col>
      <xdr:colOff>180975</xdr:colOff>
      <xdr:row>3</xdr:row>
      <xdr:rowOff>66675</xdr:rowOff>
    </xdr:to>
    <xdr:graphicFrame macro="">
      <xdr:nvGraphicFramePr>
        <xdr:cNvPr id="22852" name="Chart 1">
          <a:extLst>
            <a:ext uri="{FF2B5EF4-FFF2-40B4-BE49-F238E27FC236}">
              <a16:creationId xmlns:a16="http://schemas.microsoft.com/office/drawing/2014/main" id="{00000000-0008-0000-0400-0000445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MKS_Projects/RCM_RC7_Volvo_Y555/Project_Information/Coverage_Analysis/SRM_2010.08.09_0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isabela.pachi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st Page"/>
      <sheetName val="Statistics"/>
      <sheetName val="Req Status"/>
      <sheetName val="PRO_Apply_System_Strategy"/>
      <sheetName val="PRO_Supply_Power_Component"/>
      <sheetName val="PRO_To_Manage_Reset"/>
      <sheetName val="PRO_Acquire_Kinematics_For_IMU"/>
      <sheetName val="PRO_Acquire_Kinematics_For_Rest"/>
      <sheetName val="PRO_Acquire_Occupant_State"/>
      <sheetName val="PRO_Calibrate_IMU"/>
      <sheetName val="PRO_Compute_System_Information"/>
      <sheetName val="PRO_ENS_Management"/>
      <sheetName val="PRO_Manage_Crash_Situation"/>
      <sheetName val="PRO_Manage_Int_Ext_Protocol"/>
      <sheetName val="PRO_Manage_Prog_Bootloader"/>
      <sheetName val="PRO_Protect_Fasten_Electronic"/>
      <sheetName val="PRO_Receive_Signals"/>
      <sheetName val="PRO_Transmit_IMU_Data"/>
      <sheetName val="PRO_Transmit_Signals"/>
      <sheetName val="PRO_Error_Handler"/>
      <sheetName val="PRO_Manage_CAN_Communication"/>
      <sheetName val="PRO_Check_Internal_Functions"/>
      <sheetName val="PRO_Car_Configuration"/>
      <sheetName val="PRO_Manage_Recording"/>
      <sheetName val="PRO_MCU"/>
      <sheetName val="PRO_OWS_Data_Management"/>
      <sheetName val="PRO_To_Drive_IL_Lamp_Output"/>
      <sheetName val="PRO_To_Manage_IL_Lamp"/>
      <sheetName val="PRO_RIL_Management"/>
      <sheetName val="PRO_Door_Slam_Manager"/>
      <sheetName val="PRO_Driver_Information_Manager"/>
      <sheetName val="PRO_ALIS_Y555"/>
      <sheetName val="PRO_DTC_Specification"/>
      <sheetName val="PRO_LISA2_RECS_Y555"/>
      <sheetName val="PRO_ALIS_1.X"/>
      <sheetName val="PRO_AROSA_2.7"/>
      <sheetName val="PRO_LISA2_RECS"/>
      <sheetName val="Sty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refreshError="1"/>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3.emf"/><Relationship Id="rId10" Type="http://schemas.openxmlformats.org/officeDocument/2006/relationships/comments" Target="../comments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AF21" sqref="AF21"/>
    </sheetView>
  </sheetViews>
  <sheetFormatPr defaultColWidth="0" defaultRowHeight="14.25" zeroHeight="1" x14ac:dyDescent="0.2"/>
  <cols>
    <col min="1" max="33" width="2.75" style="14" customWidth="1"/>
    <col min="34" max="34" width="1.25" style="14" customWidth="1"/>
    <col min="35" max="60" width="3.125" style="14" hidden="1" customWidth="1"/>
    <col min="61" max="16384" width="0" style="14" hidden="1"/>
  </cols>
  <sheetData>
    <row r="1" spans="1:37" s="292" customFormat="1" x14ac:dyDescent="0.2">
      <c r="C1" s="293"/>
      <c r="D1" s="293"/>
      <c r="E1" s="293"/>
      <c r="F1" s="293"/>
      <c r="G1" s="294"/>
      <c r="H1" s="295"/>
      <c r="I1" s="295"/>
      <c r="J1" s="295"/>
      <c r="K1" s="295"/>
      <c r="L1" s="295"/>
      <c r="M1" s="295"/>
      <c r="N1" s="295"/>
      <c r="O1" s="295"/>
      <c r="P1" s="296"/>
      <c r="Q1" s="296"/>
      <c r="R1" s="296"/>
      <c r="S1" s="296"/>
      <c r="T1" s="296"/>
      <c r="U1" s="296"/>
      <c r="V1" s="296"/>
      <c r="W1" s="296"/>
      <c r="X1" s="296"/>
      <c r="Y1" s="296"/>
      <c r="Z1" s="296"/>
      <c r="AA1" s="296"/>
      <c r="AB1" s="296"/>
      <c r="AC1" s="296"/>
      <c r="AD1" s="296"/>
      <c r="AE1" s="296"/>
      <c r="AF1" s="296"/>
      <c r="AG1" s="296"/>
      <c r="AH1" s="296"/>
      <c r="AI1" s="296"/>
      <c r="AJ1" s="296"/>
      <c r="AK1" s="296"/>
    </row>
    <row r="2" spans="1:37" s="292" customFormat="1" x14ac:dyDescent="0.2">
      <c r="C2" s="297"/>
      <c r="D2" s="297"/>
      <c r="E2" s="297"/>
      <c r="F2" s="297"/>
      <c r="G2" s="297"/>
      <c r="H2" s="297"/>
      <c r="I2" s="297"/>
      <c r="J2" s="297"/>
      <c r="K2" s="297"/>
      <c r="L2" s="297"/>
      <c r="M2" s="297"/>
      <c r="N2" s="297"/>
      <c r="O2" s="297"/>
      <c r="P2" s="297"/>
      <c r="Q2" s="297"/>
      <c r="R2" s="297"/>
      <c r="S2" s="297"/>
      <c r="T2" s="297"/>
      <c r="U2" s="297"/>
      <c r="V2" s="297"/>
      <c r="W2" s="297"/>
      <c r="X2" s="297"/>
      <c r="Y2" s="297"/>
      <c r="Z2" s="297"/>
      <c r="AA2" s="297"/>
      <c r="AB2" s="297"/>
      <c r="AC2" s="297"/>
      <c r="AD2" s="297"/>
      <c r="AE2" s="297"/>
      <c r="AF2" s="297"/>
      <c r="AG2" s="297"/>
      <c r="AH2" s="297"/>
      <c r="AI2" s="297"/>
      <c r="AJ2" s="297"/>
      <c r="AK2" s="297"/>
    </row>
    <row r="3" spans="1:37" s="292" customFormat="1" x14ac:dyDescent="0.2">
      <c r="C3" s="297"/>
      <c r="D3" s="297"/>
      <c r="E3" s="297"/>
      <c r="F3" s="297"/>
      <c r="G3" s="297"/>
      <c r="H3" s="297"/>
      <c r="I3" s="297"/>
      <c r="J3" s="297"/>
      <c r="K3" s="297"/>
      <c r="L3" s="297"/>
      <c r="M3" s="297"/>
      <c r="N3" s="297"/>
      <c r="O3" s="297"/>
      <c r="P3" s="297"/>
      <c r="Q3" s="297"/>
      <c r="R3" s="297"/>
      <c r="S3" s="297"/>
      <c r="T3" s="297"/>
      <c r="U3" s="297"/>
      <c r="V3" s="297"/>
      <c r="W3" s="297"/>
      <c r="X3" s="297"/>
      <c r="Y3" s="297"/>
      <c r="Z3" s="297"/>
      <c r="AA3" s="297"/>
      <c r="AB3" s="297"/>
      <c r="AC3" s="297"/>
      <c r="AD3" s="298" t="str">
        <f ca="1">MID(CELL("filename"),FIND("[",CELL("filename"))+1,FIND("]",CELL("filename"))-FIND("[",CELL("filename"))-1)</f>
        <v>SRM_ProjectSpecific.xlsm</v>
      </c>
      <c r="AE3" s="297"/>
      <c r="AF3" s="297"/>
      <c r="AG3" s="297"/>
      <c r="AH3" s="297"/>
      <c r="AI3" s="297"/>
      <c r="AJ3" s="297"/>
      <c r="AK3" s="297"/>
    </row>
    <row r="4" spans="1:37" s="292" customFormat="1" ht="11.1" customHeight="1" x14ac:dyDescent="0.2">
      <c r="A4" s="340" t="s">
        <v>1</v>
      </c>
      <c r="B4" s="341"/>
      <c r="C4" s="341"/>
      <c r="D4" s="341"/>
      <c r="E4" s="341"/>
      <c r="F4" s="341"/>
      <c r="G4" s="341"/>
      <c r="H4" s="341"/>
      <c r="I4" s="341"/>
      <c r="J4" s="341"/>
      <c r="K4" s="341"/>
      <c r="L4" s="341"/>
      <c r="M4" s="341"/>
      <c r="N4" s="341"/>
      <c r="O4" s="341"/>
      <c r="P4" s="341"/>
      <c r="Q4" s="342"/>
      <c r="R4" s="337" t="s">
        <v>22</v>
      </c>
      <c r="S4" s="338"/>
      <c r="T4" s="338"/>
      <c r="U4" s="338"/>
      <c r="V4" s="339"/>
      <c r="W4" s="337" t="s">
        <v>2</v>
      </c>
      <c r="X4" s="338"/>
      <c r="Y4" s="338"/>
      <c r="Z4" s="338"/>
      <c r="AA4" s="339"/>
      <c r="AB4" s="340" t="s">
        <v>20</v>
      </c>
      <c r="AC4" s="341"/>
      <c r="AD4" s="341"/>
      <c r="AE4" s="341"/>
      <c r="AF4" s="341"/>
      <c r="AG4" s="342"/>
      <c r="AH4" s="299"/>
      <c r="AI4" s="299"/>
      <c r="AJ4" s="299"/>
      <c r="AK4" s="297"/>
    </row>
    <row r="5" spans="1:37" s="300" customFormat="1" ht="12.75" customHeight="1" x14ac:dyDescent="0.2">
      <c r="A5" s="343" t="str">
        <f ca="1" xml:space="preserve"> IFERROR(IF([2]!alvDocProperty("MXAuthority")="","Process and method",[2]!alvDocProperty("MXAuthority")),"Process and method")</f>
        <v>Process and method</v>
      </c>
      <c r="B5" s="344"/>
      <c r="C5" s="344"/>
      <c r="D5" s="344"/>
      <c r="E5" s="344"/>
      <c r="F5" s="344"/>
      <c r="G5" s="344"/>
      <c r="H5" s="344"/>
      <c r="I5" s="344"/>
      <c r="J5" s="344"/>
      <c r="K5" s="344"/>
      <c r="L5" s="344"/>
      <c r="M5" s="344"/>
      <c r="N5" s="344"/>
      <c r="O5" s="344"/>
      <c r="P5" s="344"/>
      <c r="Q5" s="345"/>
      <c r="R5" s="343" t="s">
        <v>186</v>
      </c>
      <c r="S5" s="344"/>
      <c r="T5" s="344"/>
      <c r="U5" s="344"/>
      <c r="V5" s="345"/>
      <c r="W5" s="343" t="str">
        <f ca="1" xml:space="preserve"> IFERROR(IF([2]!alvDocProperty("MXCurrent.Localized")="","Draft",[2]!alvDocProperty("MXCurrent.Localized")),"Draft")</f>
        <v>Draft</v>
      </c>
      <c r="X5" s="344"/>
      <c r="Y5" s="344"/>
      <c r="Z5" s="344"/>
      <c r="AA5" s="345"/>
      <c r="AB5" s="343" t="str">
        <f ca="1" xml:space="preserve"> IFERROR(IF([2]!alvDocProperty("MXActual_state_Released")="","TBD",[2]!alvDocProperty("MXActual_state_Released")),"TBD")</f>
        <v>TBD</v>
      </c>
      <c r="AC5" s="344"/>
      <c r="AD5" s="344"/>
      <c r="AE5" s="344"/>
      <c r="AF5" s="344"/>
      <c r="AG5" s="345"/>
    </row>
    <row r="6" spans="1:37" s="297" customFormat="1" ht="11.1" customHeight="1" x14ac:dyDescent="0.2">
      <c r="A6" s="337" t="s">
        <v>3</v>
      </c>
      <c r="B6" s="338"/>
      <c r="C6" s="338"/>
      <c r="D6" s="339"/>
      <c r="E6" s="337" t="s">
        <v>4</v>
      </c>
      <c r="F6" s="338"/>
      <c r="G6" s="338"/>
      <c r="H6" s="338"/>
      <c r="I6" s="338"/>
      <c r="J6" s="338"/>
      <c r="K6" s="338"/>
      <c r="L6" s="338"/>
      <c r="M6" s="338"/>
      <c r="N6" s="338"/>
      <c r="O6" s="338"/>
      <c r="P6" s="338"/>
      <c r="Q6" s="338"/>
      <c r="R6" s="338"/>
      <c r="S6" s="338"/>
      <c r="T6" s="338"/>
      <c r="U6" s="338"/>
      <c r="V6" s="339"/>
      <c r="W6" s="340" t="s">
        <v>15</v>
      </c>
      <c r="X6" s="341"/>
      <c r="Y6" s="341"/>
      <c r="Z6" s="341"/>
      <c r="AA6" s="342"/>
      <c r="AB6" s="337" t="s">
        <v>0</v>
      </c>
      <c r="AC6" s="338"/>
      <c r="AD6" s="339"/>
      <c r="AE6" s="337" t="s">
        <v>5</v>
      </c>
      <c r="AF6" s="338"/>
      <c r="AG6" s="339"/>
    </row>
    <row r="7" spans="1:37" s="300" customFormat="1" ht="12.75" customHeight="1" x14ac:dyDescent="0.2">
      <c r="A7" s="343" t="str">
        <f ca="1" xml:space="preserve"> IFERROR(IF([2]!alvDocProperty("MXName")="","TBD",[2]!alvDocProperty("MXName")),"TBD")</f>
        <v>TBD</v>
      </c>
      <c r="B7" s="344"/>
      <c r="C7" s="344"/>
      <c r="D7" s="345"/>
      <c r="E7" s="343" t="str">
        <f ca="1" xml:space="preserve"> IFERROR(IF([2]!alvDocProperty("MXTitle")="","SW00TEM007 Generic Excel Template",[2]!alvDocProperty("MXTitle")),"SW00TEM007 Generic Excel Template")</f>
        <v>SW00TEM007 Generic Excel Template</v>
      </c>
      <c r="F7" s="344"/>
      <c r="G7" s="344"/>
      <c r="H7" s="344"/>
      <c r="I7" s="344"/>
      <c r="J7" s="344"/>
      <c r="K7" s="344"/>
      <c r="L7" s="344"/>
      <c r="M7" s="344"/>
      <c r="N7" s="344"/>
      <c r="O7" s="344"/>
      <c r="P7" s="344"/>
      <c r="Q7" s="344"/>
      <c r="R7" s="344"/>
      <c r="S7" s="344"/>
      <c r="T7" s="344"/>
      <c r="U7" s="344"/>
      <c r="V7" s="345"/>
      <c r="W7" s="343" t="str">
        <f ca="1" xml:space="preserve"> IFERROR(IF([2]!alvDocProperty("MXDocTemplate_Name")="","AEF1126",[2]!alvDocProperty("MXDocTemplate_Name")),"AEF1126")</f>
        <v>AEF1126</v>
      </c>
      <c r="X7" s="344"/>
      <c r="Y7" s="344"/>
      <c r="Z7" s="344"/>
      <c r="AA7" s="345"/>
      <c r="AB7" s="343" t="str">
        <f ca="1" xml:space="preserve"> IFERROR(IF([2]!alvDocProperty("MXRevision")="","TBD",[2]!alvDocProperty("MXRevision")),"TBD")</f>
        <v>TBD</v>
      </c>
      <c r="AC7" s="344"/>
      <c r="AD7" s="345"/>
      <c r="AE7" s="343" t="str">
        <f ca="1" xml:space="preserve"> IFERROR(IF([2]!alvDocProperty("MXVersion")="","TBD",[2]!alvDocProperty("MXVersion")),"TBD")</f>
        <v>TBD</v>
      </c>
      <c r="AF7" s="344"/>
      <c r="AG7" s="345"/>
    </row>
    <row r="8" spans="1:37" s="12" customFormat="1" ht="12.75" x14ac:dyDescent="0.2">
      <c r="A8" s="42"/>
      <c r="B8" s="42"/>
      <c r="C8" s="42"/>
      <c r="D8" s="42"/>
      <c r="E8" s="42"/>
      <c r="F8" s="42"/>
      <c r="G8" s="42"/>
      <c r="H8" s="42"/>
      <c r="I8" s="42"/>
      <c r="J8" s="42"/>
      <c r="K8" s="42"/>
      <c r="L8" s="42"/>
      <c r="M8" s="42"/>
      <c r="N8" s="42"/>
      <c r="O8" s="42"/>
      <c r="P8" s="42"/>
      <c r="Q8" s="42"/>
      <c r="R8" s="42"/>
      <c r="S8" s="42"/>
      <c r="T8" s="42"/>
      <c r="U8" s="42"/>
      <c r="V8" s="42"/>
      <c r="W8" s="43"/>
      <c r="X8" s="43"/>
      <c r="Y8" s="43"/>
      <c r="Z8" s="43"/>
      <c r="AA8" s="43"/>
      <c r="AB8" s="42"/>
      <c r="AC8" s="42"/>
      <c r="AD8" s="42"/>
      <c r="AE8" s="42"/>
      <c r="AF8" s="42"/>
      <c r="AG8" s="42"/>
      <c r="AH8" s="11"/>
      <c r="AI8" s="11"/>
      <c r="AJ8" s="11"/>
      <c r="AK8" s="11"/>
    </row>
    <row r="9" spans="1:37" ht="11.1" customHeight="1" x14ac:dyDescent="0.2">
      <c r="A9" s="346" t="s">
        <v>21</v>
      </c>
      <c r="B9" s="347"/>
      <c r="C9" s="347"/>
      <c r="D9" s="347"/>
      <c r="E9" s="347"/>
      <c r="F9" s="347"/>
      <c r="G9" s="347"/>
      <c r="H9" s="347"/>
      <c r="I9" s="347"/>
      <c r="J9" s="347"/>
      <c r="K9" s="348"/>
      <c r="L9" s="346" t="s">
        <v>22</v>
      </c>
      <c r="M9" s="347"/>
      <c r="N9" s="347"/>
      <c r="O9" s="347"/>
      <c r="P9" s="347"/>
      <c r="Q9" s="347"/>
      <c r="R9" s="347"/>
      <c r="S9" s="347"/>
      <c r="T9" s="347"/>
      <c r="U9" s="347"/>
      <c r="V9" s="348"/>
      <c r="W9" s="346" t="s">
        <v>23</v>
      </c>
      <c r="X9" s="347"/>
      <c r="Y9" s="347"/>
      <c r="Z9" s="347"/>
      <c r="AA9" s="347"/>
      <c r="AB9" s="347"/>
      <c r="AC9" s="347"/>
      <c r="AD9" s="347"/>
      <c r="AE9" s="347"/>
      <c r="AF9" s="347"/>
      <c r="AG9" s="348"/>
      <c r="AH9" s="13"/>
      <c r="AI9" s="13"/>
    </row>
    <row r="10" spans="1:37" s="45" customFormat="1" ht="28.5" customHeight="1" x14ac:dyDescent="0.2">
      <c r="A10" s="352" t="s">
        <v>33</v>
      </c>
      <c r="B10" s="353"/>
      <c r="C10" s="353"/>
      <c r="D10" s="353"/>
      <c r="E10" s="353"/>
      <c r="F10" s="350" t="str">
        <f ca="1" xml:space="preserve"> IFERROR(IF([2]!alvDocProperty("MXUser")="","TBD",[2]!alvDocProperty("MXUser")),"TBD")</f>
        <v>TBD</v>
      </c>
      <c r="G10" s="350"/>
      <c r="H10" s="350"/>
      <c r="I10" s="350"/>
      <c r="J10" s="350"/>
      <c r="K10" s="351"/>
      <c r="L10" s="356" t="s">
        <v>187</v>
      </c>
      <c r="M10" s="357"/>
      <c r="N10" s="357"/>
      <c r="O10" s="357"/>
      <c r="P10" s="357"/>
      <c r="Q10" s="357"/>
      <c r="R10" s="357"/>
      <c r="S10" s="357"/>
      <c r="T10" s="357"/>
      <c r="U10" s="357"/>
      <c r="V10" s="358"/>
      <c r="W10" s="356" t="s">
        <v>187</v>
      </c>
      <c r="X10" s="357"/>
      <c r="Y10" s="357"/>
      <c r="Z10" s="357"/>
      <c r="AA10" s="357"/>
      <c r="AB10" s="357"/>
      <c r="AC10" s="357"/>
      <c r="AD10" s="357"/>
      <c r="AE10" s="357"/>
      <c r="AF10" s="357"/>
      <c r="AG10" s="358"/>
      <c r="AH10" s="44"/>
      <c r="AI10" s="44"/>
    </row>
    <row r="11" spans="1:37" s="51" customFormat="1" ht="4.5" customHeight="1" x14ac:dyDescent="0.2">
      <c r="A11" s="46"/>
      <c r="B11" s="47"/>
      <c r="C11" s="47"/>
      <c r="D11" s="47"/>
      <c r="E11" s="47"/>
      <c r="F11" s="47"/>
      <c r="G11" s="47"/>
      <c r="H11" s="47"/>
      <c r="I11" s="47"/>
      <c r="J11" s="47"/>
      <c r="K11" s="47"/>
      <c r="L11" s="48"/>
      <c r="M11" s="47"/>
      <c r="N11" s="47"/>
      <c r="O11" s="47"/>
      <c r="P11" s="47"/>
      <c r="Q11" s="47"/>
      <c r="R11" s="47"/>
      <c r="S11" s="47"/>
      <c r="T11" s="47"/>
      <c r="U11" s="47"/>
      <c r="V11" s="47"/>
      <c r="W11" s="48"/>
      <c r="X11" s="47"/>
      <c r="Y11" s="47"/>
      <c r="Z11" s="47"/>
      <c r="AA11" s="47"/>
      <c r="AB11" s="47"/>
      <c r="AC11" s="47"/>
      <c r="AD11" s="47"/>
      <c r="AE11" s="47"/>
      <c r="AF11" s="47"/>
      <c r="AG11" s="49"/>
      <c r="AH11" s="50"/>
      <c r="AI11" s="50"/>
    </row>
    <row r="12" spans="1:37" s="52" customFormat="1" ht="11.1" customHeight="1" x14ac:dyDescent="0.2">
      <c r="A12" s="367" t="s">
        <v>24</v>
      </c>
      <c r="B12" s="368"/>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9"/>
      <c r="AH12" s="13"/>
      <c r="AI12" s="13"/>
      <c r="AJ12" s="13"/>
      <c r="AK12" s="13"/>
    </row>
    <row r="13" spans="1:37" s="45" customFormat="1" ht="28.5" customHeight="1" x14ac:dyDescent="0.2">
      <c r="A13" s="370" t="s">
        <v>188</v>
      </c>
      <c r="B13" s="371"/>
      <c r="C13" s="371"/>
      <c r="D13" s="371"/>
      <c r="E13" s="371"/>
      <c r="F13" s="371"/>
      <c r="G13" s="371"/>
      <c r="H13" s="371"/>
      <c r="I13" s="371"/>
      <c r="J13" s="371"/>
      <c r="K13" s="371"/>
      <c r="L13" s="371"/>
      <c r="M13" s="371"/>
      <c r="N13" s="371"/>
      <c r="O13" s="371"/>
      <c r="P13" s="371"/>
      <c r="Q13" s="371"/>
      <c r="R13" s="371"/>
      <c r="S13" s="371"/>
      <c r="T13" s="371"/>
      <c r="U13" s="371"/>
      <c r="V13" s="371"/>
      <c r="W13" s="371"/>
      <c r="X13" s="371"/>
      <c r="Y13" s="371"/>
      <c r="Z13" s="371"/>
      <c r="AA13" s="371"/>
      <c r="AB13" s="371"/>
      <c r="AC13" s="371"/>
      <c r="AD13" s="371"/>
      <c r="AE13" s="371"/>
      <c r="AF13" s="371"/>
      <c r="AG13" s="372"/>
      <c r="AH13" s="44"/>
      <c r="AI13" s="44"/>
      <c r="AJ13" s="44"/>
      <c r="AK13" s="44"/>
    </row>
    <row r="14" spans="1:37" s="51" customFormat="1" ht="4.5" customHeight="1" x14ac:dyDescent="0.2">
      <c r="A14" s="48"/>
      <c r="B14" s="47"/>
      <c r="C14" s="47"/>
      <c r="D14" s="47"/>
      <c r="E14" s="47"/>
      <c r="F14" s="47"/>
      <c r="G14" s="47"/>
      <c r="H14" s="47"/>
      <c r="I14" s="47"/>
      <c r="J14" s="47"/>
      <c r="K14" s="47"/>
      <c r="L14" s="48"/>
      <c r="M14" s="47"/>
      <c r="N14" s="47"/>
      <c r="O14" s="47"/>
      <c r="P14" s="47"/>
      <c r="Q14" s="47"/>
      <c r="R14" s="47"/>
      <c r="S14" s="47"/>
      <c r="T14" s="47"/>
      <c r="U14" s="47"/>
      <c r="V14" s="47"/>
      <c r="W14" s="48"/>
      <c r="X14" s="47"/>
      <c r="Y14" s="47"/>
      <c r="Z14" s="47"/>
      <c r="AA14" s="47"/>
      <c r="AB14" s="47"/>
      <c r="AC14" s="47"/>
      <c r="AD14" s="47"/>
      <c r="AE14" s="47"/>
      <c r="AF14" s="47"/>
      <c r="AG14" s="47"/>
      <c r="AH14" s="50"/>
      <c r="AI14" s="50"/>
    </row>
    <row r="15" spans="1:37" s="16" customFormat="1" ht="99.75" customHeight="1" x14ac:dyDescent="0.2">
      <c r="A15" s="354" t="s">
        <v>25</v>
      </c>
      <c r="B15" s="354"/>
      <c r="C15" s="354"/>
      <c r="D15" s="354"/>
      <c r="E15" s="364" t="s">
        <v>142</v>
      </c>
      <c r="F15" s="365"/>
      <c r="G15" s="365"/>
      <c r="H15" s="365"/>
      <c r="I15" s="365"/>
      <c r="J15" s="365"/>
      <c r="K15" s="365"/>
      <c r="L15" s="365"/>
      <c r="M15" s="365"/>
      <c r="N15" s="365"/>
      <c r="O15" s="365"/>
      <c r="P15" s="365"/>
      <c r="Q15" s="365"/>
      <c r="R15" s="365"/>
      <c r="S15" s="365"/>
      <c r="T15" s="365"/>
      <c r="U15" s="365"/>
      <c r="V15" s="365"/>
      <c r="W15" s="365"/>
      <c r="X15" s="365"/>
      <c r="Y15" s="365"/>
      <c r="Z15" s="365"/>
      <c r="AA15" s="365"/>
      <c r="AB15" s="365"/>
      <c r="AC15" s="365"/>
      <c r="AD15" s="365"/>
      <c r="AE15" s="365"/>
      <c r="AF15" s="365"/>
      <c r="AG15" s="366"/>
      <c r="AH15" s="15"/>
      <c r="AI15" s="15"/>
      <c r="AJ15" s="15"/>
      <c r="AK15" s="15"/>
    </row>
    <row r="16" spans="1:37" s="16" customFormat="1" ht="37.5" customHeight="1" x14ac:dyDescent="0.2">
      <c r="A16" s="355"/>
      <c r="B16" s="355"/>
      <c r="C16" s="355"/>
      <c r="D16" s="355"/>
      <c r="E16" s="359"/>
      <c r="F16" s="360"/>
      <c r="G16" s="360"/>
      <c r="H16" s="360"/>
      <c r="I16" s="360"/>
      <c r="J16" s="360"/>
      <c r="K16" s="360"/>
      <c r="L16" s="360"/>
      <c r="M16" s="360"/>
      <c r="N16" s="360"/>
      <c r="O16" s="360"/>
      <c r="P16" s="360"/>
      <c r="Q16" s="360"/>
      <c r="R16" s="360"/>
      <c r="S16" s="360"/>
      <c r="T16" s="360"/>
      <c r="U16" s="360"/>
      <c r="V16" s="360"/>
      <c r="W16" s="360"/>
      <c r="X16" s="360"/>
      <c r="Y16" s="360"/>
      <c r="Z16" s="360"/>
      <c r="AA16" s="360"/>
      <c r="AB16" s="360"/>
      <c r="AC16" s="360"/>
      <c r="AD16" s="360"/>
      <c r="AE16" s="360"/>
      <c r="AF16" s="360"/>
      <c r="AG16" s="361"/>
      <c r="AH16" s="15"/>
      <c r="AI16" s="15"/>
      <c r="AJ16" s="15"/>
      <c r="AK16" s="15"/>
    </row>
    <row r="17" spans="1:37" s="16" customFormat="1" ht="12.75" x14ac:dyDescent="0.2">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row>
    <row r="18" spans="1:37" s="16" customFormat="1" ht="12.75" x14ac:dyDescent="0.2">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row>
    <row r="19" spans="1:37" s="16" customFormat="1" ht="12.75" x14ac:dyDescent="0.2">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row>
    <row r="20" spans="1:37" s="16" customFormat="1" ht="12.75" x14ac:dyDescent="0.2">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row>
    <row r="21" spans="1:37" s="16" customFormat="1" ht="15.75" customHeight="1" x14ac:dyDescent="0.2">
      <c r="C21" s="15"/>
      <c r="D21" s="15"/>
      <c r="E21" s="15"/>
      <c r="F21" s="15"/>
      <c r="G21" s="15"/>
      <c r="H21" s="15"/>
      <c r="I21" s="15"/>
      <c r="J21" s="15"/>
      <c r="K21" s="15"/>
      <c r="L21" s="15"/>
      <c r="M21" s="15"/>
      <c r="N21" s="15"/>
      <c r="O21" s="15"/>
      <c r="P21" s="15"/>
      <c r="Q21" s="53"/>
      <c r="R21" s="15"/>
      <c r="S21" s="15"/>
      <c r="T21" s="15"/>
      <c r="U21" s="15"/>
      <c r="V21" s="15"/>
      <c r="W21" s="15"/>
      <c r="X21" s="15"/>
      <c r="Y21" s="15"/>
      <c r="Z21" s="15"/>
      <c r="AA21" s="15"/>
      <c r="AB21" s="15"/>
      <c r="AC21" s="15"/>
      <c r="AD21" s="15"/>
      <c r="AE21" s="15"/>
      <c r="AF21" s="15"/>
      <c r="AG21" s="15"/>
      <c r="AH21" s="15"/>
      <c r="AI21" s="15"/>
      <c r="AJ21" s="15"/>
      <c r="AK21" s="15"/>
    </row>
    <row r="22" spans="1:37" s="16" customFormat="1" ht="12" customHeight="1" x14ac:dyDescent="0.2">
      <c r="C22" s="15"/>
      <c r="D22" s="15"/>
      <c r="E22" s="15"/>
      <c r="F22" s="15"/>
      <c r="G22" s="15"/>
      <c r="H22" s="15"/>
      <c r="I22" s="15"/>
      <c r="J22" s="15"/>
      <c r="K22" s="15"/>
      <c r="L22" s="15"/>
      <c r="M22" s="15"/>
      <c r="N22" s="15"/>
      <c r="O22" s="15"/>
      <c r="P22" s="15"/>
      <c r="Q22" s="53"/>
      <c r="R22" s="15"/>
      <c r="S22" s="15"/>
      <c r="T22" s="15"/>
      <c r="U22" s="15"/>
      <c r="V22" s="15"/>
      <c r="W22" s="15"/>
      <c r="X22" s="15"/>
      <c r="Y22" s="15"/>
      <c r="Z22" s="15"/>
      <c r="AA22" s="15"/>
      <c r="AB22" s="15"/>
      <c r="AC22" s="15"/>
      <c r="AD22" s="15"/>
      <c r="AE22" s="15"/>
      <c r="AF22" s="15"/>
      <c r="AG22" s="15"/>
      <c r="AH22" s="15"/>
      <c r="AI22" s="15"/>
      <c r="AJ22" s="15"/>
      <c r="AK22" s="15"/>
    </row>
    <row r="23" spans="1:37" s="16" customFormat="1" ht="26.25" customHeight="1" x14ac:dyDescent="0.2">
      <c r="A23" s="362" t="str">
        <f ca="1">MXTitle</f>
        <v>SW00TEM007 Generic Excel Template</v>
      </c>
      <c r="B23" s="363"/>
      <c r="C23" s="363"/>
      <c r="D23" s="363"/>
      <c r="E23" s="363"/>
      <c r="F23" s="363"/>
      <c r="G23" s="363"/>
      <c r="H23" s="363"/>
      <c r="I23" s="363"/>
      <c r="J23" s="363"/>
      <c r="K23" s="363"/>
      <c r="L23" s="363"/>
      <c r="M23" s="363"/>
      <c r="N23" s="363"/>
      <c r="O23" s="363"/>
      <c r="P23" s="363"/>
      <c r="Q23" s="363"/>
      <c r="R23" s="363"/>
      <c r="S23" s="363"/>
      <c r="T23" s="363"/>
      <c r="U23" s="363"/>
      <c r="V23" s="363"/>
      <c r="W23" s="363"/>
      <c r="X23" s="363"/>
      <c r="Y23" s="363"/>
      <c r="Z23" s="363"/>
      <c r="AA23" s="363"/>
      <c r="AB23" s="363"/>
      <c r="AC23" s="363"/>
      <c r="AD23" s="363"/>
      <c r="AE23" s="363"/>
      <c r="AF23" s="363"/>
      <c r="AG23" s="363"/>
      <c r="AH23" s="15"/>
      <c r="AI23" s="15"/>
      <c r="AJ23" s="15"/>
      <c r="AK23" s="15"/>
    </row>
    <row r="24" spans="1:37" s="81" customFormat="1" ht="26.25" x14ac:dyDescent="0.2">
      <c r="B24" s="78"/>
      <c r="C24" s="79"/>
      <c r="D24" s="79"/>
      <c r="E24" s="79"/>
      <c r="F24" s="79"/>
      <c r="G24" s="79"/>
      <c r="H24" s="79"/>
      <c r="I24" s="79"/>
      <c r="K24" s="80"/>
      <c r="L24" s="82" t="s">
        <v>87</v>
      </c>
      <c r="M24" s="84"/>
      <c r="N24" s="84"/>
      <c r="O24" s="349" t="s">
        <v>102</v>
      </c>
      <c r="P24" s="349"/>
      <c r="Q24" s="349"/>
      <c r="R24" s="349"/>
      <c r="S24" s="349"/>
      <c r="T24" s="349"/>
      <c r="U24" s="349"/>
      <c r="Z24" s="79"/>
      <c r="AA24" s="79"/>
      <c r="AB24" s="79"/>
      <c r="AC24" s="79"/>
      <c r="AD24" s="79"/>
      <c r="AE24" s="79"/>
      <c r="AF24" s="79"/>
      <c r="AG24" s="79"/>
      <c r="AH24" s="79"/>
      <c r="AI24" s="83"/>
      <c r="AJ24" s="83"/>
      <c r="AK24" s="83"/>
    </row>
    <row r="25" spans="1:37" s="16" customFormat="1" ht="12.75" x14ac:dyDescent="0.2">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c r="AE25" s="15"/>
      <c r="AF25" s="15"/>
      <c r="AG25" s="15"/>
      <c r="AH25" s="15"/>
      <c r="AI25" s="15"/>
      <c r="AJ25" s="15"/>
      <c r="AK25" s="15"/>
    </row>
    <row r="26" spans="1:37" x14ac:dyDescent="0.2"/>
  </sheetData>
  <sheetProtection formatCells="0" formatRows="0" insertColumns="0" insertRows="0" insertHyperlinks="0" deleteRows="0" selectLockedCells="1" sort="0" autoFilter="0" pivotTables="0"/>
  <dataConsolidate/>
  <mergeCells count="32">
    <mergeCell ref="A4:Q4"/>
    <mergeCell ref="R4:V4"/>
    <mergeCell ref="A5:Q5"/>
    <mergeCell ref="R5:V5"/>
    <mergeCell ref="A13:AG13"/>
    <mergeCell ref="AB4:AG4"/>
    <mergeCell ref="W5:AA5"/>
    <mergeCell ref="W4:AA4"/>
    <mergeCell ref="AE7:AG7"/>
    <mergeCell ref="AB7:AD7"/>
    <mergeCell ref="A6:D6"/>
    <mergeCell ref="W7:AA7"/>
    <mergeCell ref="AB5:AG5"/>
    <mergeCell ref="E6:V6"/>
    <mergeCell ref="E7:V7"/>
    <mergeCell ref="AE6:AG6"/>
    <mergeCell ref="AB6:AD6"/>
    <mergeCell ref="W6:AA6"/>
    <mergeCell ref="A7:D7"/>
    <mergeCell ref="W9:AG9"/>
    <mergeCell ref="O24:U24"/>
    <mergeCell ref="F10:K10"/>
    <mergeCell ref="A10:E10"/>
    <mergeCell ref="A15:D16"/>
    <mergeCell ref="W10:AG10"/>
    <mergeCell ref="E16:AG16"/>
    <mergeCell ref="A23:AG23"/>
    <mergeCell ref="E15:AG15"/>
    <mergeCell ref="A12:AG12"/>
    <mergeCell ref="L9:V9"/>
    <mergeCell ref="L10:V10"/>
    <mergeCell ref="A9:K9"/>
  </mergeCells>
  <phoneticPr fontId="9" type="noConversion"/>
  <conditionalFormatting sqref="W5">
    <cfRule type="cellIs" dxfId="9" priority="1" operator="equal">
      <formula>"draft"</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ignoredErrors>
    <ignoredError sqref="A23:IV23" unlockedFormula="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83"/>
  <sheetViews>
    <sheetView showGridLines="0" topLeftCell="A22" zoomScaleNormal="100" workbookViewId="0">
      <selection activeCell="G23" sqref="G23:AF23"/>
    </sheetView>
  </sheetViews>
  <sheetFormatPr defaultColWidth="0" defaultRowHeight="14.25" zeroHeight="1" x14ac:dyDescent="0.2"/>
  <cols>
    <col min="1" max="33" width="2.75" style="14" customWidth="1"/>
    <col min="34" max="34" width="1.25" style="14" customWidth="1"/>
    <col min="35" max="60" width="3.125" style="14" hidden="1" customWidth="1"/>
    <col min="61" max="16384" width="0" style="14" hidden="1"/>
  </cols>
  <sheetData>
    <row r="1" spans="1:37" s="1" customFormat="1" x14ac:dyDescent="0.2">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
      <c r="C3" s="8"/>
      <c r="D3" s="8"/>
      <c r="E3" s="8"/>
      <c r="F3" s="8"/>
      <c r="G3" s="8"/>
      <c r="H3" s="8"/>
      <c r="I3" s="8"/>
      <c r="J3" s="8"/>
      <c r="K3" s="8"/>
      <c r="L3" s="8"/>
      <c r="M3" s="8"/>
      <c r="N3" s="8"/>
      <c r="O3" s="8"/>
      <c r="P3" s="8"/>
      <c r="Q3" s="8"/>
      <c r="R3" s="8"/>
      <c r="S3" s="8"/>
      <c r="T3" s="8"/>
      <c r="U3" s="8"/>
      <c r="V3" s="8"/>
      <c r="W3" s="8"/>
      <c r="X3" s="8"/>
      <c r="Y3" s="8"/>
      <c r="Z3" s="8"/>
      <c r="AA3" s="8"/>
      <c r="AB3" s="8"/>
      <c r="AC3" s="8"/>
      <c r="AD3" s="9" t="str">
        <f ca="1">FileName</f>
        <v>SRM_ProjectSpecific.xlsm</v>
      </c>
      <c r="AE3" s="8"/>
      <c r="AF3" s="8"/>
      <c r="AG3" s="8"/>
      <c r="AH3" s="8"/>
      <c r="AI3" s="8"/>
      <c r="AJ3" s="8"/>
      <c r="AK3" s="8"/>
    </row>
    <row r="4" spans="1:37" s="7" customFormat="1" ht="11.1" customHeight="1" x14ac:dyDescent="0.2">
      <c r="A4" s="386"/>
      <c r="B4" s="386"/>
      <c r="C4" s="386"/>
      <c r="D4" s="386"/>
      <c r="E4" s="386"/>
      <c r="F4" s="386"/>
      <c r="G4" s="386"/>
      <c r="H4" s="386"/>
      <c r="I4" s="386"/>
      <c r="J4" s="386"/>
      <c r="K4" s="386"/>
      <c r="L4" s="386"/>
      <c r="M4" s="386"/>
      <c r="N4" s="386"/>
      <c r="O4" s="386"/>
      <c r="P4" s="386"/>
      <c r="Q4" s="386"/>
      <c r="R4" s="386"/>
      <c r="S4" s="386"/>
      <c r="T4" s="386"/>
      <c r="U4" s="386"/>
      <c r="V4" s="386"/>
      <c r="W4" s="387"/>
      <c r="X4" s="387"/>
      <c r="Y4" s="387"/>
      <c r="Z4" s="387"/>
      <c r="AA4" s="387"/>
      <c r="AB4" s="388"/>
      <c r="AC4" s="388"/>
      <c r="AD4" s="388"/>
      <c r="AE4" s="388"/>
      <c r="AF4" s="388"/>
      <c r="AG4" s="388"/>
      <c r="AH4" s="10"/>
      <c r="AI4" s="10"/>
      <c r="AJ4" s="10"/>
      <c r="AK4" s="8"/>
    </row>
    <row r="5" spans="1:37" s="12" customFormat="1" ht="12.75" x14ac:dyDescent="0.2">
      <c r="A5" s="389"/>
      <c r="B5" s="389"/>
      <c r="C5" s="389"/>
      <c r="D5" s="389"/>
      <c r="E5" s="389"/>
      <c r="F5" s="389"/>
      <c r="G5" s="389"/>
      <c r="H5" s="389"/>
      <c r="I5" s="389"/>
      <c r="J5" s="389"/>
      <c r="K5" s="389"/>
      <c r="L5" s="389"/>
      <c r="M5" s="389"/>
      <c r="N5" s="389"/>
      <c r="O5" s="389"/>
      <c r="P5" s="389"/>
      <c r="Q5" s="389"/>
      <c r="R5" s="389"/>
      <c r="S5" s="389"/>
      <c r="T5" s="389"/>
      <c r="U5" s="389"/>
      <c r="V5" s="389"/>
      <c r="W5" s="385"/>
      <c r="X5" s="385"/>
      <c r="Y5" s="385"/>
      <c r="Z5" s="385"/>
      <c r="AA5" s="385"/>
      <c r="AB5" s="389"/>
      <c r="AC5" s="389"/>
      <c r="AD5" s="389"/>
      <c r="AE5" s="389"/>
      <c r="AF5" s="389"/>
      <c r="AG5" s="389"/>
      <c r="AH5" s="11"/>
      <c r="AI5" s="11"/>
      <c r="AJ5" s="11"/>
      <c r="AK5" s="11"/>
    </row>
    <row r="6" spans="1:37" s="7" customFormat="1" ht="11.1" customHeight="1" x14ac:dyDescent="0.2">
      <c r="A6" s="390"/>
      <c r="B6" s="390"/>
      <c r="C6" s="390"/>
      <c r="D6" s="390"/>
      <c r="E6" s="390"/>
      <c r="F6" s="390"/>
      <c r="G6" s="390"/>
      <c r="H6" s="390"/>
      <c r="I6" s="390"/>
      <c r="J6" s="390"/>
      <c r="K6" s="390"/>
      <c r="L6" s="390"/>
      <c r="M6" s="390"/>
      <c r="N6" s="390"/>
      <c r="O6" s="390"/>
      <c r="P6" s="390"/>
      <c r="Q6" s="390"/>
      <c r="R6" s="390"/>
      <c r="S6" s="390"/>
      <c r="T6" s="390"/>
      <c r="U6" s="390"/>
      <c r="V6" s="390"/>
      <c r="W6" s="386"/>
      <c r="X6" s="386"/>
      <c r="Y6" s="386"/>
      <c r="Z6" s="386"/>
      <c r="AA6" s="386"/>
      <c r="AB6" s="387"/>
      <c r="AC6" s="387"/>
      <c r="AD6" s="387"/>
      <c r="AE6" s="387"/>
      <c r="AF6" s="387"/>
      <c r="AG6" s="387"/>
      <c r="AH6" s="8"/>
      <c r="AI6" s="8"/>
      <c r="AJ6" s="8"/>
      <c r="AK6" s="8"/>
    </row>
    <row r="7" spans="1:37" s="12" customFormat="1" ht="12.75" x14ac:dyDescent="0.2">
      <c r="A7" s="385"/>
      <c r="B7" s="385"/>
      <c r="C7" s="385"/>
      <c r="D7" s="385"/>
      <c r="E7" s="385"/>
      <c r="F7" s="385"/>
      <c r="G7" s="385"/>
      <c r="H7" s="385"/>
      <c r="I7" s="385"/>
      <c r="J7" s="385"/>
      <c r="K7" s="385"/>
      <c r="L7" s="385"/>
      <c r="M7" s="385"/>
      <c r="N7" s="385"/>
      <c r="O7" s="385"/>
      <c r="P7" s="385"/>
      <c r="Q7" s="385"/>
      <c r="R7" s="385"/>
      <c r="S7" s="385"/>
      <c r="T7" s="385"/>
      <c r="U7" s="385"/>
      <c r="V7" s="385"/>
      <c r="W7" s="385"/>
      <c r="X7" s="385"/>
      <c r="Y7" s="385"/>
      <c r="Z7" s="385"/>
      <c r="AA7" s="385"/>
      <c r="AB7" s="385"/>
      <c r="AC7" s="385"/>
      <c r="AD7" s="385"/>
      <c r="AE7" s="385"/>
      <c r="AF7" s="385"/>
      <c r="AG7" s="385"/>
      <c r="AH7" s="11"/>
      <c r="AI7" s="11"/>
      <c r="AJ7" s="11"/>
      <c r="AK7" s="11"/>
    </row>
    <row r="8" spans="1:37" s="41" customFormat="1" ht="11.1" customHeight="1" x14ac:dyDescent="0.2">
      <c r="A8" s="390"/>
      <c r="B8" s="390"/>
      <c r="C8" s="390"/>
      <c r="D8" s="390"/>
      <c r="E8" s="390"/>
      <c r="F8" s="390"/>
      <c r="G8" s="390"/>
      <c r="H8" s="390"/>
      <c r="I8" s="390"/>
      <c r="J8" s="390"/>
      <c r="K8" s="390"/>
      <c r="L8" s="390"/>
      <c r="M8" s="390"/>
      <c r="N8" s="390"/>
      <c r="O8" s="390"/>
      <c r="P8" s="390"/>
      <c r="Q8" s="390"/>
      <c r="R8" s="390"/>
      <c r="S8" s="390"/>
      <c r="T8" s="390"/>
      <c r="U8" s="390"/>
      <c r="V8" s="390"/>
      <c r="W8" s="390"/>
      <c r="X8" s="390"/>
      <c r="Y8" s="390"/>
      <c r="Z8" s="390"/>
      <c r="AA8" s="390"/>
      <c r="AB8" s="390"/>
      <c r="AC8" s="390"/>
      <c r="AD8" s="390"/>
      <c r="AE8" s="390"/>
      <c r="AF8" s="390"/>
      <c r="AG8" s="390"/>
      <c r="AH8" s="164"/>
      <c r="AI8" s="164"/>
      <c r="AJ8" s="164"/>
      <c r="AK8" s="164"/>
    </row>
    <row r="9" spans="1:37" s="166" customFormat="1" ht="12.75" x14ac:dyDescent="0.2">
      <c r="A9" s="381"/>
      <c r="B9" s="381"/>
      <c r="C9" s="381"/>
      <c r="D9" s="381"/>
      <c r="E9" s="381"/>
      <c r="F9" s="381"/>
      <c r="G9" s="381"/>
      <c r="H9" s="381"/>
      <c r="I9" s="381"/>
      <c r="J9" s="381"/>
      <c r="K9" s="381"/>
      <c r="L9" s="381"/>
      <c r="M9" s="381"/>
      <c r="N9" s="381"/>
      <c r="O9" s="381"/>
      <c r="P9" s="381"/>
      <c r="Q9" s="381"/>
      <c r="R9" s="381"/>
      <c r="S9" s="381"/>
      <c r="T9" s="381"/>
      <c r="U9" s="381"/>
      <c r="V9" s="381"/>
      <c r="W9" s="381"/>
      <c r="X9" s="381"/>
      <c r="Y9" s="381"/>
      <c r="Z9" s="381"/>
      <c r="AA9" s="381"/>
      <c r="AB9" s="381"/>
      <c r="AC9" s="381"/>
      <c r="AD9" s="381"/>
      <c r="AE9" s="381"/>
      <c r="AF9" s="381"/>
      <c r="AG9" s="381"/>
      <c r="AH9" s="165"/>
      <c r="AI9" s="165"/>
      <c r="AJ9" s="165"/>
    </row>
    <row r="10" spans="1:37" x14ac:dyDescent="0.2"/>
    <row r="11" spans="1:37" x14ac:dyDescent="0.2"/>
    <row r="12" spans="1:37" ht="26.25" x14ac:dyDescent="0.2">
      <c r="B12" s="17" t="s">
        <v>16</v>
      </c>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row>
    <row r="13" spans="1:37" x14ac:dyDescent="0.2"/>
    <row r="14" spans="1:37" ht="20.25" x14ac:dyDescent="0.2">
      <c r="B14" s="19" t="s">
        <v>17</v>
      </c>
      <c r="C14" s="20"/>
    </row>
    <row r="15" spans="1:37" x14ac:dyDescent="0.2">
      <c r="B15" s="375" t="s">
        <v>7</v>
      </c>
      <c r="C15" s="391"/>
      <c r="D15" s="391"/>
      <c r="E15" s="391"/>
      <c r="F15" s="391"/>
      <c r="G15" s="375" t="s">
        <v>6</v>
      </c>
      <c r="H15" s="375"/>
      <c r="I15" s="375"/>
      <c r="J15" s="375"/>
      <c r="K15" s="375"/>
      <c r="L15" s="375"/>
      <c r="M15" s="375"/>
      <c r="N15" s="375"/>
      <c r="O15" s="375"/>
      <c r="P15" s="375"/>
      <c r="Q15" s="375"/>
      <c r="R15" s="375"/>
      <c r="S15" s="375"/>
      <c r="T15" s="375"/>
      <c r="U15" s="375"/>
      <c r="V15" s="375"/>
      <c r="W15" s="375"/>
      <c r="X15" s="375"/>
      <c r="Y15" s="375"/>
      <c r="Z15" s="375"/>
      <c r="AA15" s="375"/>
      <c r="AB15" s="375"/>
      <c r="AC15" s="375"/>
      <c r="AD15" s="375"/>
      <c r="AE15" s="375"/>
      <c r="AF15" s="375"/>
    </row>
    <row r="16" spans="1:37" ht="24" customHeight="1" x14ac:dyDescent="0.2">
      <c r="B16" s="382" t="s">
        <v>34</v>
      </c>
      <c r="C16" s="382"/>
      <c r="D16" s="382"/>
      <c r="E16" s="382"/>
      <c r="F16" s="382"/>
      <c r="G16" s="374" t="s">
        <v>37</v>
      </c>
      <c r="H16" s="374"/>
      <c r="I16" s="374"/>
      <c r="J16" s="374"/>
      <c r="K16" s="374"/>
      <c r="L16" s="374"/>
      <c r="M16" s="374"/>
      <c r="N16" s="374"/>
      <c r="O16" s="374"/>
      <c r="P16" s="374"/>
      <c r="Q16" s="374"/>
      <c r="R16" s="374"/>
      <c r="S16" s="374"/>
      <c r="T16" s="374"/>
      <c r="U16" s="374"/>
      <c r="V16" s="374"/>
      <c r="W16" s="374"/>
      <c r="X16" s="374"/>
      <c r="Y16" s="374"/>
      <c r="Z16" s="374"/>
      <c r="AA16" s="374"/>
      <c r="AB16" s="374"/>
      <c r="AC16" s="374"/>
      <c r="AD16" s="374"/>
      <c r="AE16" s="374"/>
      <c r="AF16" s="374"/>
    </row>
    <row r="17" spans="1:45" ht="24" customHeight="1" x14ac:dyDescent="0.2">
      <c r="B17" s="382" t="s">
        <v>35</v>
      </c>
      <c r="C17" s="382"/>
      <c r="D17" s="382"/>
      <c r="E17" s="382"/>
      <c r="F17" s="382"/>
      <c r="G17" s="374" t="s">
        <v>36</v>
      </c>
      <c r="H17" s="374"/>
      <c r="I17" s="374"/>
      <c r="J17" s="374"/>
      <c r="K17" s="374"/>
      <c r="L17" s="374"/>
      <c r="M17" s="374"/>
      <c r="N17" s="374"/>
      <c r="O17" s="374"/>
      <c r="P17" s="374"/>
      <c r="Q17" s="374"/>
      <c r="R17" s="374"/>
      <c r="S17" s="374"/>
      <c r="T17" s="374"/>
      <c r="U17" s="374"/>
      <c r="V17" s="374"/>
      <c r="W17" s="374"/>
      <c r="X17" s="374"/>
      <c r="Y17" s="374"/>
      <c r="Z17" s="374"/>
      <c r="AA17" s="374"/>
      <c r="AB17" s="374"/>
      <c r="AC17" s="374"/>
      <c r="AD17" s="374"/>
      <c r="AE17" s="374"/>
      <c r="AF17" s="374"/>
    </row>
    <row r="18" spans="1:45" ht="24" customHeight="1" x14ac:dyDescent="0.2">
      <c r="B18" s="382" t="s">
        <v>89</v>
      </c>
      <c r="C18" s="382"/>
      <c r="D18" s="382"/>
      <c r="E18" s="382"/>
      <c r="F18" s="382"/>
      <c r="G18" s="374" t="s">
        <v>94</v>
      </c>
      <c r="H18" s="374"/>
      <c r="I18" s="374"/>
      <c r="J18" s="374"/>
      <c r="K18" s="374"/>
      <c r="L18" s="374"/>
      <c r="M18" s="374"/>
      <c r="N18" s="374"/>
      <c r="O18" s="374"/>
      <c r="P18" s="374"/>
      <c r="Q18" s="374"/>
      <c r="R18" s="374"/>
      <c r="S18" s="374"/>
      <c r="T18" s="374"/>
      <c r="U18" s="374"/>
      <c r="V18" s="374"/>
      <c r="W18" s="374"/>
      <c r="X18" s="374"/>
      <c r="Y18" s="374"/>
      <c r="Z18" s="374"/>
      <c r="AA18" s="374"/>
      <c r="AB18" s="374"/>
      <c r="AC18" s="374"/>
      <c r="AD18" s="374"/>
      <c r="AE18" s="374"/>
      <c r="AF18" s="374"/>
    </row>
    <row r="19" spans="1:45" ht="24" customHeight="1" x14ac:dyDescent="0.2">
      <c r="B19" s="376" t="s">
        <v>95</v>
      </c>
      <c r="C19" s="376"/>
      <c r="D19" s="376"/>
      <c r="E19" s="376"/>
      <c r="F19" s="376"/>
      <c r="G19" s="383" t="s">
        <v>124</v>
      </c>
      <c r="H19" s="374"/>
      <c r="I19" s="374"/>
      <c r="J19" s="374"/>
      <c r="K19" s="374"/>
      <c r="L19" s="374"/>
      <c r="M19" s="374"/>
      <c r="N19" s="374"/>
      <c r="O19" s="374"/>
      <c r="P19" s="374"/>
      <c r="Q19" s="374"/>
      <c r="R19" s="374"/>
      <c r="S19" s="374"/>
      <c r="T19" s="374"/>
      <c r="U19" s="374"/>
      <c r="V19" s="374"/>
      <c r="W19" s="374"/>
      <c r="X19" s="374"/>
      <c r="Y19" s="374"/>
      <c r="Z19" s="374"/>
      <c r="AA19" s="374"/>
      <c r="AB19" s="374"/>
      <c r="AC19" s="374"/>
      <c r="AD19" s="374"/>
      <c r="AE19" s="374"/>
      <c r="AF19" s="374"/>
      <c r="AS19" s="21"/>
    </row>
    <row r="20" spans="1:45" ht="24" customHeight="1" x14ac:dyDescent="0.2">
      <c r="B20" s="384" t="s">
        <v>145</v>
      </c>
      <c r="C20" s="376"/>
      <c r="D20" s="376"/>
      <c r="E20" s="376"/>
      <c r="F20" s="376"/>
      <c r="G20" s="383" t="s">
        <v>125</v>
      </c>
      <c r="H20" s="374"/>
      <c r="I20" s="374"/>
      <c r="J20" s="374"/>
      <c r="K20" s="374"/>
      <c r="L20" s="374"/>
      <c r="M20" s="374"/>
      <c r="N20" s="374"/>
      <c r="O20" s="374"/>
      <c r="P20" s="374"/>
      <c r="Q20" s="374"/>
      <c r="R20" s="374"/>
      <c r="S20" s="374"/>
      <c r="T20" s="374"/>
      <c r="U20" s="374"/>
      <c r="V20" s="374"/>
      <c r="W20" s="374"/>
      <c r="X20" s="374"/>
      <c r="Y20" s="374"/>
      <c r="Z20" s="374"/>
      <c r="AA20" s="374"/>
      <c r="AB20" s="374"/>
      <c r="AC20" s="374"/>
      <c r="AD20" s="374"/>
      <c r="AE20" s="374"/>
      <c r="AF20" s="374"/>
      <c r="AS20" s="21"/>
    </row>
    <row r="21" spans="1:45" ht="24" customHeight="1" x14ac:dyDescent="0.2">
      <c r="B21" s="376" t="s">
        <v>90</v>
      </c>
      <c r="C21" s="376"/>
      <c r="D21" s="376"/>
      <c r="E21" s="376"/>
      <c r="F21" s="376"/>
      <c r="G21" s="383" t="s">
        <v>162</v>
      </c>
      <c r="H21" s="374"/>
      <c r="I21" s="374"/>
      <c r="J21" s="374"/>
      <c r="K21" s="374"/>
      <c r="L21" s="374"/>
      <c r="M21" s="374"/>
      <c r="N21" s="374"/>
      <c r="O21" s="374"/>
      <c r="P21" s="374"/>
      <c r="Q21" s="374"/>
      <c r="R21" s="374"/>
      <c r="S21" s="374"/>
      <c r="T21" s="374"/>
      <c r="U21" s="374"/>
      <c r="V21" s="374"/>
      <c r="W21" s="374"/>
      <c r="X21" s="374"/>
      <c r="Y21" s="374"/>
      <c r="Z21" s="374"/>
      <c r="AA21" s="374"/>
      <c r="AB21" s="374"/>
      <c r="AC21" s="374"/>
      <c r="AD21" s="374"/>
      <c r="AE21" s="374"/>
      <c r="AF21" s="374"/>
      <c r="AS21" s="21"/>
    </row>
    <row r="22" spans="1:45" ht="24" customHeight="1" x14ac:dyDescent="0.2">
      <c r="B22" s="382" t="s">
        <v>91</v>
      </c>
      <c r="C22" s="382"/>
      <c r="D22" s="382"/>
      <c r="E22" s="382"/>
      <c r="F22" s="382"/>
      <c r="G22" s="374" t="s">
        <v>96</v>
      </c>
      <c r="H22" s="374"/>
      <c r="I22" s="374"/>
      <c r="J22" s="374"/>
      <c r="K22" s="374"/>
      <c r="L22" s="374"/>
      <c r="M22" s="374"/>
      <c r="N22" s="374"/>
      <c r="O22" s="374"/>
      <c r="P22" s="374"/>
      <c r="Q22" s="374"/>
      <c r="R22" s="374"/>
      <c r="S22" s="374"/>
      <c r="T22" s="374"/>
      <c r="U22" s="374"/>
      <c r="V22" s="374"/>
      <c r="W22" s="374"/>
      <c r="X22" s="374"/>
      <c r="Y22" s="374"/>
      <c r="Z22" s="374"/>
      <c r="AA22" s="374"/>
      <c r="AB22" s="374"/>
      <c r="AC22" s="374"/>
      <c r="AD22" s="374"/>
      <c r="AE22" s="374"/>
      <c r="AF22" s="374"/>
      <c r="AS22" s="21"/>
    </row>
    <row r="23" spans="1:45" ht="24" customHeight="1" x14ac:dyDescent="0.2">
      <c r="B23" s="376" t="s">
        <v>92</v>
      </c>
      <c r="C23" s="376"/>
      <c r="D23" s="376"/>
      <c r="E23" s="376"/>
      <c r="F23" s="376"/>
      <c r="G23" s="374" t="s">
        <v>93</v>
      </c>
      <c r="H23" s="374"/>
      <c r="I23" s="374"/>
      <c r="J23" s="374"/>
      <c r="K23" s="374"/>
      <c r="L23" s="374"/>
      <c r="M23" s="374"/>
      <c r="N23" s="374"/>
      <c r="O23" s="374"/>
      <c r="P23" s="374"/>
      <c r="Q23" s="374"/>
      <c r="R23" s="374"/>
      <c r="S23" s="374"/>
      <c r="T23" s="374"/>
      <c r="U23" s="374"/>
      <c r="V23" s="374"/>
      <c r="W23" s="374"/>
      <c r="X23" s="374"/>
      <c r="Y23" s="374"/>
      <c r="Z23" s="374"/>
      <c r="AA23" s="374"/>
      <c r="AB23" s="374"/>
      <c r="AC23" s="374"/>
      <c r="AD23" s="374"/>
      <c r="AE23" s="374"/>
      <c r="AF23" s="374"/>
      <c r="AS23" s="21"/>
    </row>
    <row r="24" spans="1:45" x14ac:dyDescent="0.2">
      <c r="C24" s="22"/>
      <c r="I24" s="23"/>
    </row>
    <row r="25" spans="1:45" ht="20.25" x14ac:dyDescent="0.2">
      <c r="A25" s="19"/>
      <c r="B25" s="19" t="s">
        <v>27</v>
      </c>
      <c r="C25" s="22"/>
      <c r="I25" s="23"/>
    </row>
    <row r="26" spans="1:45" x14ac:dyDescent="0.2">
      <c r="B26" s="375" t="s">
        <v>0</v>
      </c>
      <c r="C26" s="380"/>
      <c r="D26" s="380"/>
      <c r="E26" s="375" t="s">
        <v>11</v>
      </c>
      <c r="F26" s="375"/>
      <c r="G26" s="375"/>
      <c r="H26" s="375"/>
      <c r="I26" s="375" t="s">
        <v>12</v>
      </c>
      <c r="J26" s="380"/>
      <c r="K26" s="380"/>
      <c r="L26" s="380"/>
      <c r="M26" s="380"/>
      <c r="N26" s="380"/>
      <c r="O26" s="380"/>
      <c r="P26" s="380"/>
      <c r="Q26" s="380"/>
      <c r="R26" s="375" t="s">
        <v>13</v>
      </c>
      <c r="S26" s="375"/>
      <c r="T26" s="375"/>
      <c r="U26" s="375"/>
      <c r="V26" s="375"/>
      <c r="W26" s="375"/>
      <c r="X26" s="375"/>
      <c r="Y26" s="375"/>
      <c r="Z26" s="375"/>
      <c r="AA26" s="375"/>
      <c r="AB26" s="375"/>
      <c r="AC26" s="375"/>
      <c r="AD26" s="375"/>
      <c r="AE26" s="375"/>
      <c r="AF26" s="375"/>
    </row>
    <row r="27" spans="1:45" x14ac:dyDescent="0.2">
      <c r="B27" s="376"/>
      <c r="C27" s="377"/>
      <c r="D27" s="377"/>
      <c r="E27" s="374"/>
      <c r="F27" s="374"/>
      <c r="G27" s="374"/>
      <c r="H27" s="374"/>
      <c r="I27" s="374" t="s">
        <v>14</v>
      </c>
      <c r="J27" s="392"/>
      <c r="K27" s="392"/>
      <c r="L27" s="392"/>
      <c r="M27" s="392"/>
      <c r="N27" s="392"/>
      <c r="O27" s="392"/>
      <c r="P27" s="392"/>
      <c r="Q27" s="392"/>
      <c r="R27" s="374"/>
      <c r="S27" s="374"/>
      <c r="T27" s="374"/>
      <c r="U27" s="374"/>
      <c r="V27" s="374"/>
      <c r="W27" s="374"/>
      <c r="X27" s="374"/>
      <c r="Y27" s="374"/>
      <c r="Z27" s="374"/>
      <c r="AA27" s="374"/>
      <c r="AB27" s="374"/>
      <c r="AC27" s="374"/>
      <c r="AD27" s="374"/>
      <c r="AE27" s="374"/>
      <c r="AF27" s="374"/>
    </row>
    <row r="28" spans="1:45" x14ac:dyDescent="0.2">
      <c r="B28" s="376"/>
      <c r="C28" s="377"/>
      <c r="D28" s="377"/>
      <c r="E28" s="374"/>
      <c r="F28" s="374"/>
      <c r="G28" s="374"/>
      <c r="H28" s="374"/>
      <c r="I28" s="374"/>
      <c r="J28" s="392"/>
      <c r="K28" s="392"/>
      <c r="L28" s="392"/>
      <c r="M28" s="392"/>
      <c r="N28" s="392"/>
      <c r="O28" s="392"/>
      <c r="P28" s="392"/>
      <c r="Q28" s="392"/>
      <c r="R28" s="374"/>
      <c r="S28" s="374"/>
      <c r="T28" s="374"/>
      <c r="U28" s="374"/>
      <c r="V28" s="374"/>
      <c r="W28" s="374"/>
      <c r="X28" s="374"/>
      <c r="Y28" s="374"/>
      <c r="Z28" s="374"/>
      <c r="AA28" s="374"/>
      <c r="AB28" s="374"/>
      <c r="AC28" s="374"/>
      <c r="AD28" s="374"/>
      <c r="AE28" s="374"/>
      <c r="AF28" s="374"/>
    </row>
    <row r="29" spans="1:45" x14ac:dyDescent="0.2">
      <c r="B29" s="376"/>
      <c r="C29" s="377"/>
      <c r="D29" s="377"/>
      <c r="E29" s="374"/>
      <c r="F29" s="374"/>
      <c r="G29" s="374"/>
      <c r="H29" s="374"/>
      <c r="I29" s="374"/>
      <c r="J29" s="392"/>
      <c r="K29" s="392"/>
      <c r="L29" s="392"/>
      <c r="M29" s="392"/>
      <c r="N29" s="392"/>
      <c r="O29" s="392"/>
      <c r="P29" s="392"/>
      <c r="Q29" s="392"/>
      <c r="R29" s="374"/>
      <c r="S29" s="374"/>
      <c r="T29" s="374"/>
      <c r="U29" s="374"/>
      <c r="V29" s="374"/>
      <c r="W29" s="374"/>
      <c r="X29" s="374"/>
      <c r="Y29" s="374"/>
      <c r="Z29" s="374"/>
      <c r="AA29" s="374"/>
      <c r="AB29" s="374"/>
      <c r="AC29" s="374"/>
      <c r="AD29" s="374"/>
      <c r="AE29" s="374"/>
      <c r="AF29" s="374"/>
    </row>
    <row r="30" spans="1:45" x14ac:dyDescent="0.2">
      <c r="B30" s="376"/>
      <c r="C30" s="377"/>
      <c r="D30" s="377"/>
      <c r="E30" s="374"/>
      <c r="F30" s="374"/>
      <c r="G30" s="374"/>
      <c r="H30" s="374"/>
      <c r="I30" s="374"/>
      <c r="J30" s="392"/>
      <c r="K30" s="392"/>
      <c r="L30" s="392"/>
      <c r="M30" s="392"/>
      <c r="N30" s="392"/>
      <c r="O30" s="392"/>
      <c r="P30" s="392"/>
      <c r="Q30" s="392"/>
      <c r="R30" s="374"/>
      <c r="S30" s="374"/>
      <c r="T30" s="374"/>
      <c r="U30" s="374"/>
      <c r="V30" s="374"/>
      <c r="W30" s="374"/>
      <c r="X30" s="374"/>
      <c r="Y30" s="374"/>
      <c r="Z30" s="374"/>
      <c r="AA30" s="374"/>
      <c r="AB30" s="374"/>
      <c r="AC30" s="374"/>
      <c r="AD30" s="374"/>
      <c r="AE30" s="374"/>
      <c r="AF30" s="374"/>
    </row>
    <row r="31" spans="1:45" x14ac:dyDescent="0.2">
      <c r="B31" s="24" t="s">
        <v>26</v>
      </c>
      <c r="C31" s="25"/>
      <c r="D31" s="25"/>
      <c r="E31" s="26"/>
      <c r="F31" s="26"/>
      <c r="G31" s="26"/>
      <c r="H31" s="26"/>
      <c r="I31" s="26"/>
      <c r="J31" s="27"/>
      <c r="K31" s="27"/>
      <c r="L31" s="27"/>
      <c r="M31" s="27"/>
      <c r="N31" s="27"/>
      <c r="O31" s="27"/>
      <c r="P31" s="27"/>
      <c r="Q31" s="27"/>
      <c r="R31" s="26"/>
      <c r="S31" s="26"/>
      <c r="T31" s="26"/>
      <c r="U31" s="26"/>
      <c r="V31" s="26"/>
      <c r="W31" s="26"/>
      <c r="X31" s="26"/>
      <c r="Y31" s="26"/>
      <c r="Z31" s="26"/>
      <c r="AA31" s="26"/>
      <c r="AB31" s="26"/>
      <c r="AC31" s="26"/>
      <c r="AD31" s="26"/>
      <c r="AE31" s="26"/>
      <c r="AF31" s="26"/>
    </row>
    <row r="32" spans="1:45" x14ac:dyDescent="0.2">
      <c r="C32" s="22"/>
      <c r="I32" s="23"/>
    </row>
    <row r="33" spans="2:33" ht="20.25" x14ac:dyDescent="0.2">
      <c r="B33" s="19" t="s">
        <v>18</v>
      </c>
      <c r="I33" s="23"/>
    </row>
    <row r="34" spans="2:33" ht="21.75" customHeight="1" x14ac:dyDescent="0.2">
      <c r="B34" s="373" t="s">
        <v>88</v>
      </c>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28"/>
    </row>
    <row r="35" spans="2:33" x14ac:dyDescent="0.2">
      <c r="J35" s="29"/>
    </row>
    <row r="36" spans="2:33" ht="20.25" x14ac:dyDescent="0.2">
      <c r="B36" s="19" t="s">
        <v>19</v>
      </c>
      <c r="C36" s="20"/>
      <c r="I36" s="23"/>
    </row>
    <row r="37" spans="2:33" ht="24.75" customHeight="1" x14ac:dyDescent="0.2">
      <c r="B37" s="30" t="s">
        <v>28</v>
      </c>
      <c r="C37" s="20"/>
      <c r="I37" s="23"/>
    </row>
    <row r="38" spans="2:33" ht="12.75" customHeight="1" x14ac:dyDescent="0.2">
      <c r="B38" s="375" t="s">
        <v>8</v>
      </c>
      <c r="C38" s="375"/>
      <c r="D38" s="375"/>
      <c r="E38" s="375" t="s">
        <v>9</v>
      </c>
      <c r="F38" s="380"/>
      <c r="G38" s="380"/>
      <c r="H38" s="380"/>
      <c r="I38" s="380"/>
      <c r="J38" s="380"/>
      <c r="K38" s="380"/>
      <c r="L38" s="380"/>
      <c r="M38" s="380"/>
      <c r="N38" s="380"/>
      <c r="O38" s="380"/>
      <c r="P38" s="380"/>
      <c r="Q38" s="380"/>
      <c r="R38" s="380"/>
      <c r="S38" s="380"/>
      <c r="T38" s="380"/>
      <c r="U38" s="380"/>
      <c r="V38" s="380"/>
      <c r="W38" s="380"/>
      <c r="X38" s="380"/>
      <c r="Y38" s="375" t="s">
        <v>10</v>
      </c>
      <c r="Z38" s="375"/>
      <c r="AA38" s="375"/>
      <c r="AB38" s="375"/>
      <c r="AC38" s="375"/>
      <c r="AD38" s="375"/>
      <c r="AE38" s="375"/>
      <c r="AF38" s="375"/>
    </row>
    <row r="39" spans="2:33" x14ac:dyDescent="0.2">
      <c r="B39" s="379"/>
      <c r="C39" s="379"/>
      <c r="D39" s="379"/>
      <c r="E39" s="374"/>
      <c r="F39" s="378"/>
      <c r="G39" s="378"/>
      <c r="H39" s="378"/>
      <c r="I39" s="378"/>
      <c r="J39" s="378"/>
      <c r="K39" s="378"/>
      <c r="L39" s="378"/>
      <c r="M39" s="378"/>
      <c r="N39" s="378"/>
      <c r="O39" s="378"/>
      <c r="P39" s="378"/>
      <c r="Q39" s="378"/>
      <c r="R39" s="378"/>
      <c r="S39" s="378"/>
      <c r="T39" s="378"/>
      <c r="U39" s="378"/>
      <c r="V39" s="378"/>
      <c r="W39" s="378"/>
      <c r="X39" s="378"/>
      <c r="Y39" s="374"/>
      <c r="Z39" s="378"/>
      <c r="AA39" s="378"/>
      <c r="AB39" s="378"/>
      <c r="AC39" s="378"/>
      <c r="AD39" s="378"/>
      <c r="AE39" s="378"/>
      <c r="AF39" s="378"/>
    </row>
    <row r="40" spans="2:33" x14ac:dyDescent="0.2">
      <c r="B40" s="379"/>
      <c r="C40" s="379"/>
      <c r="D40" s="379"/>
      <c r="E40" s="374"/>
      <c r="F40" s="378"/>
      <c r="G40" s="378"/>
      <c r="H40" s="378"/>
      <c r="I40" s="378"/>
      <c r="J40" s="378"/>
      <c r="K40" s="378"/>
      <c r="L40" s="378"/>
      <c r="M40" s="378"/>
      <c r="N40" s="378"/>
      <c r="O40" s="378"/>
      <c r="P40" s="378"/>
      <c r="Q40" s="378"/>
      <c r="R40" s="378"/>
      <c r="S40" s="378"/>
      <c r="T40" s="378"/>
      <c r="U40" s="378"/>
      <c r="V40" s="378"/>
      <c r="W40" s="378"/>
      <c r="X40" s="378"/>
      <c r="Y40" s="374"/>
      <c r="Z40" s="378"/>
      <c r="AA40" s="378"/>
      <c r="AB40" s="378"/>
      <c r="AC40" s="378"/>
      <c r="AD40" s="378"/>
      <c r="AE40" s="378"/>
      <c r="AF40" s="378"/>
    </row>
    <row r="41" spans="2:33" x14ac:dyDescent="0.2">
      <c r="B41" s="379"/>
      <c r="C41" s="379"/>
      <c r="D41" s="379"/>
      <c r="E41" s="374"/>
      <c r="F41" s="378"/>
      <c r="G41" s="378"/>
      <c r="H41" s="378"/>
      <c r="I41" s="378"/>
      <c r="J41" s="378"/>
      <c r="K41" s="378"/>
      <c r="L41" s="378"/>
      <c r="M41" s="378"/>
      <c r="N41" s="378"/>
      <c r="O41" s="378"/>
      <c r="P41" s="378"/>
      <c r="Q41" s="378"/>
      <c r="R41" s="378"/>
      <c r="S41" s="378"/>
      <c r="T41" s="378"/>
      <c r="U41" s="378"/>
      <c r="V41" s="378"/>
      <c r="W41" s="378"/>
      <c r="X41" s="378"/>
      <c r="Y41" s="374"/>
      <c r="Z41" s="378"/>
      <c r="AA41" s="378"/>
      <c r="AB41" s="378"/>
      <c r="AC41" s="378"/>
      <c r="AD41" s="378"/>
      <c r="AE41" s="378"/>
      <c r="AF41" s="378"/>
    </row>
    <row r="42" spans="2:33" x14ac:dyDescent="0.2">
      <c r="B42" s="379"/>
      <c r="C42" s="379"/>
      <c r="D42" s="379"/>
      <c r="E42" s="374"/>
      <c r="F42" s="378"/>
      <c r="G42" s="378"/>
      <c r="H42" s="378"/>
      <c r="I42" s="378"/>
      <c r="J42" s="378"/>
      <c r="K42" s="378"/>
      <c r="L42" s="378"/>
      <c r="M42" s="378"/>
      <c r="N42" s="378"/>
      <c r="O42" s="378"/>
      <c r="P42" s="378"/>
      <c r="Q42" s="378"/>
      <c r="R42" s="378"/>
      <c r="S42" s="378"/>
      <c r="T42" s="378"/>
      <c r="U42" s="378"/>
      <c r="V42" s="378"/>
      <c r="W42" s="378"/>
      <c r="X42" s="378"/>
      <c r="Y42" s="374"/>
      <c r="Z42" s="378"/>
      <c r="AA42" s="378"/>
      <c r="AB42" s="378"/>
      <c r="AC42" s="378"/>
      <c r="AD42" s="378"/>
      <c r="AE42" s="378"/>
      <c r="AF42" s="378"/>
    </row>
    <row r="43" spans="2:33" ht="24.75" customHeight="1" x14ac:dyDescent="0.2">
      <c r="B43" s="30" t="s">
        <v>29</v>
      </c>
      <c r="C43" s="20"/>
      <c r="I43" s="23"/>
    </row>
    <row r="44" spans="2:33" ht="12.75" customHeight="1" x14ac:dyDescent="0.2">
      <c r="B44" s="375" t="s">
        <v>8</v>
      </c>
      <c r="C44" s="375"/>
      <c r="D44" s="375"/>
      <c r="E44" s="375" t="s">
        <v>9</v>
      </c>
      <c r="F44" s="380"/>
      <c r="G44" s="380"/>
      <c r="H44" s="380"/>
      <c r="I44" s="380"/>
      <c r="J44" s="380"/>
      <c r="K44" s="380"/>
      <c r="L44" s="380"/>
      <c r="M44" s="380"/>
      <c r="N44" s="380"/>
      <c r="O44" s="380"/>
      <c r="P44" s="380"/>
      <c r="Q44" s="380"/>
      <c r="R44" s="380"/>
      <c r="S44" s="380"/>
      <c r="T44" s="380"/>
      <c r="U44" s="380"/>
      <c r="V44" s="380"/>
      <c r="W44" s="380"/>
      <c r="X44" s="380"/>
      <c r="Y44" s="375" t="s">
        <v>10</v>
      </c>
      <c r="Z44" s="375"/>
      <c r="AA44" s="375"/>
      <c r="AB44" s="375"/>
      <c r="AC44" s="375"/>
      <c r="AD44" s="375"/>
      <c r="AE44" s="375"/>
      <c r="AF44" s="375"/>
    </row>
    <row r="45" spans="2:33" x14ac:dyDescent="0.2">
      <c r="B45" s="379"/>
      <c r="C45" s="379"/>
      <c r="D45" s="379"/>
      <c r="E45" s="374"/>
      <c r="F45" s="378"/>
      <c r="G45" s="378"/>
      <c r="H45" s="378"/>
      <c r="I45" s="378"/>
      <c r="J45" s="378"/>
      <c r="K45" s="378"/>
      <c r="L45" s="378"/>
      <c r="M45" s="378"/>
      <c r="N45" s="378"/>
      <c r="O45" s="378"/>
      <c r="P45" s="378"/>
      <c r="Q45" s="378"/>
      <c r="R45" s="378"/>
      <c r="S45" s="378"/>
      <c r="T45" s="378"/>
      <c r="U45" s="378"/>
      <c r="V45" s="378"/>
      <c r="W45" s="378"/>
      <c r="X45" s="378"/>
      <c r="Y45" s="374"/>
      <c r="Z45" s="378"/>
      <c r="AA45" s="378"/>
      <c r="AB45" s="378"/>
      <c r="AC45" s="378"/>
      <c r="AD45" s="378"/>
      <c r="AE45" s="378"/>
      <c r="AF45" s="378"/>
    </row>
    <row r="46" spans="2:33" x14ac:dyDescent="0.2">
      <c r="B46" s="379"/>
      <c r="C46" s="379"/>
      <c r="D46" s="379"/>
      <c r="E46" s="374"/>
      <c r="F46" s="378"/>
      <c r="G46" s="378"/>
      <c r="H46" s="378"/>
      <c r="I46" s="378"/>
      <c r="J46" s="378"/>
      <c r="K46" s="378"/>
      <c r="L46" s="378"/>
      <c r="M46" s="378"/>
      <c r="N46" s="378"/>
      <c r="O46" s="378"/>
      <c r="P46" s="378"/>
      <c r="Q46" s="378"/>
      <c r="R46" s="378"/>
      <c r="S46" s="378"/>
      <c r="T46" s="378"/>
      <c r="U46" s="378"/>
      <c r="V46" s="378"/>
      <c r="W46" s="378"/>
      <c r="X46" s="378"/>
      <c r="Y46" s="374"/>
      <c r="Z46" s="378"/>
      <c r="AA46" s="378"/>
      <c r="AB46" s="378"/>
      <c r="AC46" s="378"/>
      <c r="AD46" s="378"/>
      <c r="AE46" s="378"/>
      <c r="AF46" s="378"/>
    </row>
    <row r="47" spans="2:33" x14ac:dyDescent="0.2">
      <c r="B47" s="379"/>
      <c r="C47" s="379"/>
      <c r="D47" s="379"/>
      <c r="E47" s="374"/>
      <c r="F47" s="378"/>
      <c r="G47" s="378"/>
      <c r="H47" s="378"/>
      <c r="I47" s="378"/>
      <c r="J47" s="378"/>
      <c r="K47" s="378"/>
      <c r="L47" s="378"/>
      <c r="M47" s="378"/>
      <c r="N47" s="378"/>
      <c r="O47" s="378"/>
      <c r="P47" s="378"/>
      <c r="Q47" s="378"/>
      <c r="R47" s="378"/>
      <c r="S47" s="378"/>
      <c r="T47" s="378"/>
      <c r="U47" s="378"/>
      <c r="V47" s="378"/>
      <c r="W47" s="378"/>
      <c r="X47" s="378"/>
      <c r="Y47" s="374"/>
      <c r="Z47" s="378"/>
      <c r="AA47" s="378"/>
      <c r="AB47" s="378"/>
      <c r="AC47" s="378"/>
      <c r="AD47" s="378"/>
      <c r="AE47" s="378"/>
      <c r="AF47" s="378"/>
    </row>
    <row r="48" spans="2:33" x14ac:dyDescent="0.2">
      <c r="B48" s="379"/>
      <c r="C48" s="379"/>
      <c r="D48" s="379"/>
      <c r="E48" s="374"/>
      <c r="F48" s="378"/>
      <c r="G48" s="378"/>
      <c r="H48" s="378"/>
      <c r="I48" s="378"/>
      <c r="J48" s="378"/>
      <c r="K48" s="378"/>
      <c r="L48" s="378"/>
      <c r="M48" s="378"/>
      <c r="N48" s="378"/>
      <c r="O48" s="378"/>
      <c r="P48" s="378"/>
      <c r="Q48" s="378"/>
      <c r="R48" s="378"/>
      <c r="S48" s="378"/>
      <c r="T48" s="378"/>
      <c r="U48" s="378"/>
      <c r="V48" s="378"/>
      <c r="W48" s="378"/>
      <c r="X48" s="378"/>
      <c r="Y48" s="374"/>
      <c r="Z48" s="378"/>
      <c r="AA48" s="378"/>
      <c r="AB48" s="378"/>
      <c r="AC48" s="378"/>
      <c r="AD48" s="378"/>
      <c r="AE48" s="378"/>
      <c r="AF48" s="378"/>
    </row>
    <row r="49" spans="2:32" x14ac:dyDescent="0.2">
      <c r="C49" s="22"/>
      <c r="I49" s="23"/>
    </row>
    <row r="50" spans="2:32" ht="20.25" x14ac:dyDescent="0.2">
      <c r="B50" s="19" t="s">
        <v>31</v>
      </c>
      <c r="C50" s="20"/>
      <c r="I50" s="23"/>
    </row>
    <row r="51" spans="2:32" ht="12.75" customHeight="1" x14ac:dyDescent="0.2">
      <c r="B51" s="375" t="s">
        <v>30</v>
      </c>
      <c r="C51" s="375"/>
      <c r="D51" s="375"/>
      <c r="E51" s="375"/>
      <c r="F51" s="375"/>
      <c r="G51" s="375"/>
      <c r="H51" s="400"/>
      <c r="I51" s="400"/>
      <c r="J51" s="400"/>
      <c r="K51" s="400"/>
      <c r="L51" s="400"/>
      <c r="M51" s="400"/>
      <c r="N51" s="400"/>
      <c r="O51" s="400"/>
      <c r="P51" s="400"/>
      <c r="Q51" s="400"/>
      <c r="R51" s="400"/>
      <c r="S51" s="400"/>
      <c r="T51" s="400"/>
      <c r="U51" s="400"/>
      <c r="V51" s="400"/>
      <c r="W51" s="400"/>
      <c r="X51" s="400"/>
      <c r="Y51" s="400"/>
      <c r="Z51" s="400"/>
      <c r="AA51" s="400"/>
      <c r="AB51" s="400"/>
      <c r="AC51" s="400"/>
      <c r="AD51" s="400"/>
      <c r="AE51" s="400"/>
      <c r="AF51" s="400"/>
    </row>
    <row r="52" spans="2:32" x14ac:dyDescent="0.2">
      <c r="B52" s="394"/>
      <c r="C52" s="395"/>
      <c r="D52" s="395"/>
      <c r="E52" s="395"/>
      <c r="F52" s="395"/>
      <c r="G52" s="396"/>
      <c r="H52" s="397"/>
      <c r="I52" s="398"/>
      <c r="J52" s="398"/>
      <c r="K52" s="398"/>
      <c r="L52" s="398"/>
      <c r="M52" s="398"/>
      <c r="N52" s="398"/>
      <c r="O52" s="398"/>
      <c r="P52" s="398"/>
      <c r="Q52" s="398"/>
      <c r="R52" s="398"/>
      <c r="S52" s="398"/>
      <c r="T52" s="398"/>
      <c r="U52" s="398"/>
      <c r="V52" s="398"/>
      <c r="W52" s="398"/>
      <c r="X52" s="398"/>
      <c r="Y52" s="398"/>
      <c r="Z52" s="398"/>
      <c r="AA52" s="398"/>
      <c r="AB52" s="398"/>
      <c r="AC52" s="398"/>
      <c r="AD52" s="398"/>
      <c r="AE52" s="398"/>
      <c r="AF52" s="399"/>
    </row>
    <row r="53" spans="2:32" x14ac:dyDescent="0.2">
      <c r="B53" s="394"/>
      <c r="C53" s="395"/>
      <c r="D53" s="395"/>
      <c r="E53" s="395"/>
      <c r="F53" s="395"/>
      <c r="G53" s="396"/>
      <c r="H53" s="397"/>
      <c r="I53" s="398"/>
      <c r="J53" s="398"/>
      <c r="K53" s="398"/>
      <c r="L53" s="398"/>
      <c r="M53" s="398"/>
      <c r="N53" s="398"/>
      <c r="O53" s="398"/>
      <c r="P53" s="398"/>
      <c r="Q53" s="398"/>
      <c r="R53" s="398"/>
      <c r="S53" s="398"/>
      <c r="T53" s="398"/>
      <c r="U53" s="398"/>
      <c r="V53" s="398"/>
      <c r="W53" s="398"/>
      <c r="X53" s="398"/>
      <c r="Y53" s="398"/>
      <c r="Z53" s="398"/>
      <c r="AA53" s="398"/>
      <c r="AB53" s="398"/>
      <c r="AC53" s="398"/>
      <c r="AD53" s="398"/>
      <c r="AE53" s="398"/>
      <c r="AF53" s="399"/>
    </row>
    <row r="54" spans="2:32" x14ac:dyDescent="0.2">
      <c r="B54" s="394"/>
      <c r="C54" s="395"/>
      <c r="D54" s="395"/>
      <c r="E54" s="395"/>
      <c r="F54" s="395"/>
      <c r="G54" s="396"/>
      <c r="H54" s="397"/>
      <c r="I54" s="398"/>
      <c r="J54" s="398"/>
      <c r="K54" s="398"/>
      <c r="L54" s="398"/>
      <c r="M54" s="398"/>
      <c r="N54" s="398"/>
      <c r="O54" s="398"/>
      <c r="P54" s="398"/>
      <c r="Q54" s="398"/>
      <c r="R54" s="398"/>
      <c r="S54" s="398"/>
      <c r="T54" s="398"/>
      <c r="U54" s="398"/>
      <c r="V54" s="398"/>
      <c r="W54" s="398"/>
      <c r="X54" s="398"/>
      <c r="Y54" s="398"/>
      <c r="Z54" s="398"/>
      <c r="AA54" s="398"/>
      <c r="AB54" s="398"/>
      <c r="AC54" s="398"/>
      <c r="AD54" s="398"/>
      <c r="AE54" s="398"/>
      <c r="AF54" s="399"/>
    </row>
    <row r="55" spans="2:32" x14ac:dyDescent="0.2">
      <c r="B55" s="394"/>
      <c r="C55" s="395"/>
      <c r="D55" s="395"/>
      <c r="E55" s="395"/>
      <c r="F55" s="395"/>
      <c r="G55" s="396"/>
      <c r="H55" s="397"/>
      <c r="I55" s="398"/>
      <c r="J55" s="398"/>
      <c r="K55" s="398"/>
      <c r="L55" s="398"/>
      <c r="M55" s="398"/>
      <c r="N55" s="398"/>
      <c r="O55" s="398"/>
      <c r="P55" s="398"/>
      <c r="Q55" s="398"/>
      <c r="R55" s="398"/>
      <c r="S55" s="398"/>
      <c r="T55" s="398"/>
      <c r="U55" s="398"/>
      <c r="V55" s="398"/>
      <c r="W55" s="398"/>
      <c r="X55" s="398"/>
      <c r="Y55" s="398"/>
      <c r="Z55" s="398"/>
      <c r="AA55" s="398"/>
      <c r="AB55" s="398"/>
      <c r="AC55" s="398"/>
      <c r="AD55" s="398"/>
      <c r="AE55" s="398"/>
      <c r="AF55" s="399"/>
    </row>
    <row r="56" spans="2:32" x14ac:dyDescent="0.2">
      <c r="B56" s="394"/>
      <c r="C56" s="395"/>
      <c r="D56" s="395"/>
      <c r="E56" s="395"/>
      <c r="F56" s="395"/>
      <c r="G56" s="396"/>
      <c r="H56" s="397"/>
      <c r="I56" s="398"/>
      <c r="J56" s="398"/>
      <c r="K56" s="398"/>
      <c r="L56" s="398"/>
      <c r="M56" s="398"/>
      <c r="N56" s="398"/>
      <c r="O56" s="398"/>
      <c r="P56" s="398"/>
      <c r="Q56" s="398"/>
      <c r="R56" s="398"/>
      <c r="S56" s="398"/>
      <c r="T56" s="398"/>
      <c r="U56" s="398"/>
      <c r="V56" s="398"/>
      <c r="W56" s="398"/>
      <c r="X56" s="398"/>
      <c r="Y56" s="398"/>
      <c r="Z56" s="398"/>
      <c r="AA56" s="398"/>
      <c r="AB56" s="398"/>
      <c r="AC56" s="398"/>
      <c r="AD56" s="398"/>
      <c r="AE56" s="398"/>
      <c r="AF56" s="399"/>
    </row>
    <row r="57" spans="2:32" x14ac:dyDescent="0.2">
      <c r="B57" s="26"/>
      <c r="C57" s="26"/>
      <c r="D57" s="26"/>
      <c r="E57" s="26"/>
      <c r="F57" s="26"/>
      <c r="G57" s="26"/>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row>
    <row r="58" spans="2:32" x14ac:dyDescent="0.2">
      <c r="B58" s="26"/>
      <c r="C58" s="26"/>
      <c r="D58" s="26"/>
      <c r="E58" s="26"/>
      <c r="F58" s="26"/>
      <c r="G58" s="26"/>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row>
    <row r="59" spans="2:32" ht="26.25" x14ac:dyDescent="0.2">
      <c r="B59" s="32" t="s">
        <v>32</v>
      </c>
      <c r="C59" s="33"/>
      <c r="D59" s="33"/>
      <c r="E59" s="33"/>
      <c r="F59" s="33"/>
      <c r="G59" s="33"/>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row>
    <row r="60" spans="2:32" ht="15.75" customHeight="1" x14ac:dyDescent="0.2">
      <c r="B60" s="35"/>
      <c r="C60" s="26"/>
      <c r="D60" s="26"/>
      <c r="E60" s="26"/>
      <c r="F60" s="26"/>
      <c r="G60" s="26"/>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row>
    <row r="61" spans="2:32" x14ac:dyDescent="0.2">
      <c r="B61" s="393" t="s">
        <v>97</v>
      </c>
      <c r="C61" s="393"/>
      <c r="D61" s="393"/>
      <c r="E61" s="393"/>
      <c r="F61" s="393"/>
      <c r="G61" s="393"/>
      <c r="H61" s="393"/>
      <c r="I61" s="393"/>
      <c r="J61" s="393"/>
      <c r="K61" s="393"/>
      <c r="L61" s="393"/>
      <c r="M61" s="393"/>
      <c r="N61" s="393"/>
      <c r="O61" s="393"/>
      <c r="P61" s="393"/>
      <c r="Q61" s="393"/>
      <c r="R61" s="393"/>
      <c r="S61" s="393"/>
      <c r="T61" s="393"/>
      <c r="U61" s="393"/>
      <c r="V61" s="393"/>
      <c r="W61" s="393"/>
      <c r="X61" s="393"/>
      <c r="Y61" s="393"/>
      <c r="Z61" s="393"/>
      <c r="AA61" s="393"/>
      <c r="AB61" s="393"/>
      <c r="AC61" s="393"/>
      <c r="AD61" s="393"/>
      <c r="AE61" s="393"/>
      <c r="AF61" s="393"/>
    </row>
    <row r="62" spans="2:32" ht="12.75" customHeight="1" x14ac:dyDescent="0.2">
      <c r="B62" s="36"/>
      <c r="C62" s="36"/>
      <c r="D62" s="36"/>
      <c r="E62" s="36"/>
      <c r="F62" s="36"/>
      <c r="G62" s="36"/>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row>
    <row r="63" spans="2:32" ht="12.75" customHeight="1" x14ac:dyDescent="0.2">
      <c r="B63" s="36"/>
      <c r="C63" s="36"/>
      <c r="D63" s="36"/>
      <c r="E63" s="36"/>
      <c r="F63" s="36"/>
      <c r="G63" s="36"/>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row>
    <row r="64" spans="2:32" x14ac:dyDescent="0.2">
      <c r="B64" s="36"/>
      <c r="C64" s="36"/>
      <c r="D64" s="36"/>
      <c r="E64" s="36"/>
      <c r="F64" s="36"/>
      <c r="G64" s="36"/>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row>
    <row r="65" spans="2:34" ht="12.75" customHeight="1" x14ac:dyDescent="0.2">
      <c r="B65" s="36"/>
      <c r="C65" s="36"/>
      <c r="D65" s="36"/>
      <c r="E65" s="36"/>
      <c r="F65" s="36"/>
      <c r="G65" s="36"/>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row>
    <row r="66" spans="2:34" ht="12.75" customHeight="1" x14ac:dyDescent="0.2">
      <c r="B66" s="36"/>
      <c r="C66" s="36"/>
      <c r="D66" s="36"/>
      <c r="E66" s="36"/>
      <c r="F66" s="36"/>
      <c r="G66" s="36"/>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row>
    <row r="67" spans="2:34" x14ac:dyDescent="0.2">
      <c r="B67" s="36"/>
      <c r="C67" s="36"/>
      <c r="D67" s="36"/>
      <c r="E67" s="36"/>
      <c r="F67" s="36"/>
      <c r="G67" s="36"/>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row>
    <row r="68" spans="2:34" ht="16.5" customHeight="1" x14ac:dyDescent="0.2">
      <c r="B68" s="36"/>
      <c r="C68" s="36"/>
      <c r="D68" s="36"/>
      <c r="E68" s="36"/>
      <c r="F68" s="36"/>
      <c r="G68" s="36"/>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row>
    <row r="69" spans="2:34" ht="123.75" customHeight="1" x14ac:dyDescent="0.2">
      <c r="B69" s="36"/>
      <c r="C69" s="36"/>
      <c r="D69" s="36"/>
      <c r="E69" s="36"/>
      <c r="F69" s="36"/>
      <c r="G69" s="36"/>
      <c r="H69" s="37"/>
      <c r="I69" s="37"/>
      <c r="J69" s="37"/>
      <c r="K69" s="37"/>
      <c r="L69" s="37"/>
      <c r="M69" s="37"/>
      <c r="N69" s="37"/>
      <c r="O69" s="37"/>
      <c r="P69" s="37"/>
      <c r="Q69" s="37"/>
      <c r="R69" s="37"/>
      <c r="S69" s="37"/>
      <c r="T69" s="37"/>
      <c r="U69" s="37"/>
      <c r="V69" s="37"/>
      <c r="W69" s="37"/>
      <c r="X69" s="37"/>
      <c r="Y69" s="37"/>
      <c r="Z69" s="37"/>
      <c r="AA69" s="37"/>
      <c r="AB69" s="37"/>
      <c r="AC69" s="37"/>
      <c r="AD69" s="37"/>
      <c r="AE69" s="37"/>
      <c r="AF69" s="37"/>
    </row>
    <row r="70" spans="2:34" x14ac:dyDescent="0.2">
      <c r="B70" s="36"/>
      <c r="C70" s="36"/>
      <c r="D70" s="36"/>
      <c r="E70" s="36"/>
      <c r="F70" s="36"/>
      <c r="G70" s="36"/>
      <c r="H70" s="37"/>
      <c r="I70" s="37"/>
      <c r="J70" s="37"/>
      <c r="K70" s="37"/>
      <c r="L70" s="37"/>
      <c r="M70" s="37"/>
      <c r="N70" s="37"/>
      <c r="O70" s="37"/>
      <c r="P70" s="37"/>
      <c r="Q70" s="37"/>
      <c r="R70" s="37"/>
      <c r="S70" s="37"/>
      <c r="T70" s="37"/>
      <c r="U70" s="37"/>
      <c r="V70" s="37"/>
      <c r="W70" s="37"/>
      <c r="X70" s="37"/>
      <c r="Y70" s="37"/>
      <c r="Z70" s="37"/>
      <c r="AA70" s="37"/>
      <c r="AB70" s="37"/>
      <c r="AC70" s="37"/>
      <c r="AD70" s="37"/>
      <c r="AE70" s="37"/>
      <c r="AF70" s="37"/>
    </row>
    <row r="71" spans="2:34" x14ac:dyDescent="0.2">
      <c r="B71" s="36"/>
      <c r="C71" s="36"/>
      <c r="D71" s="36"/>
      <c r="E71" s="36"/>
      <c r="F71" s="36"/>
      <c r="G71" s="36"/>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row>
    <row r="72" spans="2:34" x14ac:dyDescent="0.2">
      <c r="B72" s="36"/>
      <c r="C72" s="36"/>
      <c r="D72" s="36"/>
      <c r="E72" s="36"/>
      <c r="F72" s="36"/>
      <c r="G72" s="36"/>
      <c r="H72" s="37"/>
      <c r="I72" s="37"/>
      <c r="J72" s="37"/>
      <c r="K72" s="37"/>
      <c r="L72" s="37"/>
      <c r="M72" s="37"/>
      <c r="N72" s="37"/>
      <c r="O72" s="37"/>
      <c r="P72" s="37"/>
      <c r="Q72" s="37"/>
      <c r="R72" s="37"/>
      <c r="S72" s="37"/>
      <c r="T72" s="37"/>
      <c r="U72" s="37"/>
      <c r="V72" s="37"/>
      <c r="W72" s="37"/>
      <c r="X72" s="37"/>
      <c r="Y72" s="37"/>
      <c r="Z72" s="37"/>
      <c r="AA72" s="37"/>
      <c r="AB72" s="37"/>
      <c r="AC72" s="37"/>
      <c r="AD72" s="37"/>
      <c r="AE72" s="37"/>
      <c r="AF72" s="37"/>
    </row>
    <row r="73" spans="2:34" ht="13.5" customHeight="1" x14ac:dyDescent="0.2">
      <c r="B73" s="36"/>
      <c r="C73" s="36"/>
      <c r="D73" s="36"/>
      <c r="E73" s="36"/>
      <c r="F73" s="36"/>
      <c r="G73" s="36"/>
      <c r="H73" s="37"/>
      <c r="I73" s="37"/>
      <c r="J73" s="37"/>
      <c r="K73" s="37"/>
      <c r="L73" s="37"/>
      <c r="M73" s="37"/>
      <c r="N73" s="37"/>
      <c r="O73" s="37"/>
      <c r="P73" s="37"/>
      <c r="Q73" s="37"/>
      <c r="R73" s="37"/>
      <c r="S73" s="37"/>
      <c r="T73" s="37"/>
      <c r="U73" s="37"/>
      <c r="V73" s="37"/>
      <c r="W73" s="37"/>
      <c r="X73" s="37"/>
      <c r="Y73" s="37"/>
      <c r="Z73" s="37"/>
      <c r="AA73" s="37"/>
      <c r="AB73" s="37"/>
      <c r="AC73" s="37"/>
      <c r="AD73" s="37"/>
      <c r="AE73" s="37"/>
      <c r="AF73" s="37"/>
    </row>
    <row r="74" spans="2:34" ht="12" customHeight="1" x14ac:dyDescent="0.2"/>
    <row r="75" spans="2:34" ht="409.5" hidden="1" customHeight="1" x14ac:dyDescent="0.2">
      <c r="F75" s="38"/>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row>
    <row r="76" spans="2:34" ht="12.75" hidden="1" customHeight="1" x14ac:dyDescent="0.2">
      <c r="F76" s="38"/>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38"/>
    </row>
    <row r="77" spans="2:34" ht="12.75" hidden="1" customHeight="1" x14ac:dyDescent="0.2">
      <c r="F77" s="38"/>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8"/>
    </row>
    <row r="78" spans="2:34" hidden="1" x14ac:dyDescent="0.2">
      <c r="F78" s="38"/>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8"/>
    </row>
    <row r="79" spans="2:34" hidden="1" x14ac:dyDescent="0.2">
      <c r="F79" s="40"/>
      <c r="G79" s="40"/>
      <c r="H79" s="40"/>
      <c r="I79" s="40"/>
      <c r="J79" s="38"/>
      <c r="K79" s="38"/>
      <c r="L79" s="38"/>
      <c r="M79" s="38"/>
      <c r="N79" s="38"/>
      <c r="O79" s="38"/>
      <c r="P79" s="38"/>
      <c r="Q79" s="38"/>
      <c r="R79" s="38"/>
      <c r="S79" s="40"/>
      <c r="T79" s="40"/>
      <c r="U79" s="40"/>
      <c r="V79" s="40"/>
      <c r="W79" s="40"/>
      <c r="X79" s="40"/>
      <c r="Y79" s="40"/>
      <c r="Z79" s="40"/>
      <c r="AA79" s="40"/>
      <c r="AB79" s="40"/>
      <c r="AC79" s="40"/>
      <c r="AD79" s="40"/>
      <c r="AE79" s="40"/>
      <c r="AF79" s="40"/>
      <c r="AG79" s="40"/>
      <c r="AH79" s="38"/>
    </row>
    <row r="80" spans="2:34" hidden="1" x14ac:dyDescent="0.2">
      <c r="F80" s="40"/>
      <c r="G80" s="40"/>
      <c r="H80" s="40"/>
      <c r="I80" s="40"/>
      <c r="J80" s="38"/>
      <c r="K80" s="38"/>
      <c r="L80" s="38"/>
      <c r="M80" s="38"/>
      <c r="N80" s="38"/>
      <c r="O80" s="38"/>
      <c r="P80" s="38"/>
      <c r="Q80" s="38"/>
      <c r="R80" s="38"/>
      <c r="S80" s="40"/>
      <c r="T80" s="40"/>
      <c r="U80" s="40"/>
      <c r="V80" s="40"/>
      <c r="W80" s="40"/>
      <c r="X80" s="40"/>
      <c r="Y80" s="40"/>
      <c r="Z80" s="40"/>
      <c r="AA80" s="40"/>
      <c r="AB80" s="40"/>
      <c r="AC80" s="40"/>
      <c r="AD80" s="40"/>
      <c r="AE80" s="40"/>
      <c r="AF80" s="40"/>
      <c r="AG80" s="40"/>
      <c r="AH80" s="38"/>
    </row>
    <row r="81" spans="6:34" hidden="1" x14ac:dyDescent="0.2">
      <c r="F81" s="41"/>
      <c r="G81" s="41"/>
      <c r="H81" s="41"/>
      <c r="I81" s="41"/>
      <c r="J81" s="41"/>
      <c r="K81" s="41"/>
      <c r="R81" s="41"/>
      <c r="S81" s="40"/>
      <c r="T81" s="40"/>
      <c r="U81" s="40"/>
      <c r="V81" s="40"/>
      <c r="W81" s="40"/>
      <c r="X81" s="40"/>
      <c r="Y81" s="40"/>
      <c r="Z81" s="40"/>
      <c r="AA81" s="40"/>
      <c r="AB81" s="40"/>
      <c r="AC81" s="40"/>
      <c r="AD81" s="40"/>
      <c r="AE81" s="40"/>
      <c r="AF81" s="40"/>
      <c r="AG81" s="40"/>
      <c r="AH81" s="41"/>
    </row>
    <row r="82" spans="6:34" hidden="1" x14ac:dyDescent="0.2">
      <c r="R82" s="41"/>
      <c r="S82" s="41"/>
      <c r="T82" s="41"/>
      <c r="U82" s="41"/>
      <c r="V82" s="41"/>
      <c r="W82" s="41"/>
      <c r="X82" s="41"/>
      <c r="Y82" s="41"/>
      <c r="Z82" s="41"/>
      <c r="AA82" s="41"/>
      <c r="AB82" s="41"/>
      <c r="AC82" s="41"/>
      <c r="AD82" s="41"/>
      <c r="AE82" s="41"/>
      <c r="AF82" s="41"/>
      <c r="AG82" s="41"/>
      <c r="AH82" s="41"/>
    </row>
    <row r="83" spans="6:34" hidden="1" x14ac:dyDescent="0.2">
      <c r="R83" s="41"/>
      <c r="S83" s="41"/>
      <c r="T83" s="41"/>
      <c r="U83" s="41"/>
      <c r="V83" s="41"/>
      <c r="W83" s="41"/>
      <c r="X83" s="41"/>
      <c r="Y83" s="41"/>
      <c r="Z83" s="41"/>
      <c r="AA83" s="41"/>
      <c r="AB83" s="41"/>
      <c r="AC83" s="41"/>
      <c r="AD83" s="41"/>
      <c r="AE83" s="41"/>
      <c r="AF83" s="41"/>
      <c r="AG83" s="41"/>
      <c r="AH83" s="41"/>
    </row>
  </sheetData>
  <sheetProtection formatCells="0" formatRows="0" insertColumns="0" insertRows="0" insertHyperlinks="0" deleteRows="0" selectLockedCells="1" sort="0" autoFilter="0" pivotTables="0"/>
  <mergeCells count="100">
    <mergeCell ref="E48:X48"/>
    <mergeCell ref="Y48:AF48"/>
    <mergeCell ref="B54:G54"/>
    <mergeCell ref="B51:G51"/>
    <mergeCell ref="B48:D48"/>
    <mergeCell ref="H52:AF52"/>
    <mergeCell ref="H51:AF51"/>
    <mergeCell ref="B61:AF61"/>
    <mergeCell ref="B53:G53"/>
    <mergeCell ref="H53:AF53"/>
    <mergeCell ref="H54:AF54"/>
    <mergeCell ref="B52:G52"/>
    <mergeCell ref="B56:G56"/>
    <mergeCell ref="H56:AF56"/>
    <mergeCell ref="B55:G55"/>
    <mergeCell ref="H55:AF55"/>
    <mergeCell ref="B21:F21"/>
    <mergeCell ref="G21:AF21"/>
    <mergeCell ref="B22:F22"/>
    <mergeCell ref="Y47:AF47"/>
    <mergeCell ref="G22:AF22"/>
    <mergeCell ref="B23:F23"/>
    <mergeCell ref="G23:AF23"/>
    <mergeCell ref="B45:D45"/>
    <mergeCell ref="B47:D47"/>
    <mergeCell ref="B44:D44"/>
    <mergeCell ref="B46:D46"/>
    <mergeCell ref="Y46:AF46"/>
    <mergeCell ref="E47:X47"/>
    <mergeCell ref="B30:D30"/>
    <mergeCell ref="I30:Q30"/>
    <mergeCell ref="E38:X38"/>
    <mergeCell ref="E27:H27"/>
    <mergeCell ref="R27:AF27"/>
    <mergeCell ref="B28:D28"/>
    <mergeCell ref="I28:Q28"/>
    <mergeCell ref="B27:D27"/>
    <mergeCell ref="I27:Q27"/>
    <mergeCell ref="E28:H28"/>
    <mergeCell ref="R28:AF28"/>
    <mergeCell ref="E46:X46"/>
    <mergeCell ref="AB4:AG4"/>
    <mergeCell ref="AB5:AG5"/>
    <mergeCell ref="AE6:AG6"/>
    <mergeCell ref="AE7:AG7"/>
    <mergeCell ref="A8:AG8"/>
    <mergeCell ref="AB6:AD6"/>
    <mergeCell ref="A4:V4"/>
    <mergeCell ref="A5:V5"/>
    <mergeCell ref="E6:V6"/>
    <mergeCell ref="W7:AA7"/>
    <mergeCell ref="W5:AA5"/>
    <mergeCell ref="A6:D6"/>
    <mergeCell ref="B15:F15"/>
    <mergeCell ref="E29:H29"/>
    <mergeCell ref="I29:Q29"/>
    <mergeCell ref="A7:D7"/>
    <mergeCell ref="W6:AA6"/>
    <mergeCell ref="AB7:AD7"/>
    <mergeCell ref="E7:V7"/>
    <mergeCell ref="W4:AA4"/>
    <mergeCell ref="A9:AG9"/>
    <mergeCell ref="B26:D26"/>
    <mergeCell ref="B18:F18"/>
    <mergeCell ref="G18:AF18"/>
    <mergeCell ref="G15:AF15"/>
    <mergeCell ref="G16:AF16"/>
    <mergeCell ref="G20:AF20"/>
    <mergeCell ref="B20:F20"/>
    <mergeCell ref="G17:AF17"/>
    <mergeCell ref="B16:F16"/>
    <mergeCell ref="E26:H26"/>
    <mergeCell ref="I26:Q26"/>
    <mergeCell ref="G19:AF19"/>
    <mergeCell ref="B17:F17"/>
    <mergeCell ref="B19:F19"/>
    <mergeCell ref="R26:AF26"/>
    <mergeCell ref="E45:X45"/>
    <mergeCell ref="B41:D41"/>
    <mergeCell ref="Y39:AF39"/>
    <mergeCell ref="Y40:AF40"/>
    <mergeCell ref="B42:D42"/>
    <mergeCell ref="Y44:AF44"/>
    <mergeCell ref="E44:X44"/>
    <mergeCell ref="Y45:AF45"/>
    <mergeCell ref="Y41:AF41"/>
    <mergeCell ref="Y42:AF42"/>
    <mergeCell ref="B40:D40"/>
    <mergeCell ref="B39:D39"/>
    <mergeCell ref="E39:X39"/>
    <mergeCell ref="E40:X40"/>
    <mergeCell ref="E41:X41"/>
    <mergeCell ref="E42:X42"/>
    <mergeCell ref="B34:AF34"/>
    <mergeCell ref="R29:AF29"/>
    <mergeCell ref="E30:H30"/>
    <mergeCell ref="B38:D38"/>
    <mergeCell ref="R30:AF30"/>
    <mergeCell ref="Y38:AF38"/>
    <mergeCell ref="B29:D29"/>
  </mergeCells>
  <phoneticPr fontId="9" type="noConversion"/>
  <hyperlinks>
    <hyperlink ref="B61" location="'User Guide'!A1" display="See user guide sheet" xr:uid="{00000000-0004-0000-0100-000000000000}"/>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theme="9" tint="0.59999389629810485"/>
  </sheetPr>
  <dimension ref="A1:P35"/>
  <sheetViews>
    <sheetView zoomScale="80" workbookViewId="0">
      <selection activeCell="B23" sqref="B23"/>
    </sheetView>
  </sheetViews>
  <sheetFormatPr defaultColWidth="0" defaultRowHeight="14.25" zeroHeight="1" x14ac:dyDescent="0.2"/>
  <cols>
    <col min="1" max="1" width="47.125" style="86" bestFit="1" customWidth="1"/>
    <col min="2" max="2" width="14.25" style="86" customWidth="1"/>
    <col min="3" max="3" width="23.75" style="86" customWidth="1"/>
    <col min="4" max="4" width="14.625" style="86" customWidth="1"/>
    <col min="5" max="5" width="16.75" style="86" hidden="1" customWidth="1"/>
    <col min="6" max="6" width="16.5" style="86" customWidth="1"/>
    <col min="7" max="7" width="19.75" style="86" customWidth="1"/>
    <col min="8" max="8" width="16.25" style="86" customWidth="1"/>
    <col min="9" max="9" width="14.125" style="86" customWidth="1"/>
    <col min="10" max="10" width="15.625" style="86" customWidth="1"/>
    <col min="11" max="11" width="13.25" style="86" customWidth="1"/>
    <col min="12" max="14" width="11.25" style="86" customWidth="1"/>
    <col min="15" max="15" width="12" style="86" customWidth="1"/>
    <col min="16" max="16" width="15.25" style="86" customWidth="1"/>
    <col min="17" max="17" width="12.625" style="86" customWidth="1"/>
    <col min="18" max="18" width="14.125" style="86" customWidth="1"/>
    <col min="19" max="20" width="11.25" style="86" customWidth="1"/>
    <col min="21" max="23" width="10" style="86" customWidth="1"/>
    <col min="24" max="16384" width="0" style="86" hidden="1"/>
  </cols>
  <sheetData>
    <row r="1" spans="1:16" ht="26.25" x14ac:dyDescent="0.2">
      <c r="A1" s="404" t="s">
        <v>38</v>
      </c>
      <c r="B1" s="404"/>
      <c r="C1" s="404"/>
      <c r="D1" s="404"/>
      <c r="E1" s="404"/>
      <c r="F1" s="404"/>
      <c r="G1" s="404"/>
      <c r="H1" s="404"/>
      <c r="I1" s="404"/>
      <c r="J1" s="404"/>
      <c r="K1" s="404"/>
      <c r="L1" s="35"/>
      <c r="M1" s="35"/>
    </row>
    <row r="2" spans="1:16" s="87" customFormat="1" ht="48.75" customHeight="1" x14ac:dyDescent="0.2">
      <c r="A2" s="403" t="s">
        <v>144</v>
      </c>
      <c r="B2" s="403"/>
      <c r="C2" s="403"/>
      <c r="D2" s="403"/>
      <c r="E2" s="403"/>
      <c r="F2" s="403"/>
      <c r="G2" s="403"/>
      <c r="H2" s="403"/>
      <c r="I2" s="403"/>
      <c r="J2" s="403"/>
      <c r="K2" s="403"/>
      <c r="L2" s="127"/>
      <c r="M2" s="127"/>
    </row>
    <row r="3" spans="1:16" ht="110.25" customHeight="1" x14ac:dyDescent="0.2">
      <c r="A3" s="403" t="s">
        <v>143</v>
      </c>
      <c r="B3" s="403"/>
      <c r="C3" s="403"/>
      <c r="D3" s="403"/>
      <c r="E3" s="403"/>
      <c r="F3" s="403"/>
      <c r="G3" s="403"/>
      <c r="H3" s="403"/>
      <c r="I3" s="403"/>
      <c r="J3" s="403"/>
      <c r="K3" s="403"/>
      <c r="L3" s="403"/>
      <c r="M3" s="403"/>
    </row>
    <row r="4" spans="1:16" ht="74.25" customHeight="1" x14ac:dyDescent="0.2">
      <c r="A4" s="403" t="s">
        <v>42</v>
      </c>
      <c r="B4" s="403"/>
      <c r="C4" s="403"/>
      <c r="D4" s="403"/>
      <c r="E4" s="403"/>
      <c r="F4" s="403"/>
      <c r="G4" s="403"/>
      <c r="H4" s="403"/>
      <c r="I4" s="403"/>
      <c r="J4" s="403"/>
      <c r="K4" s="403"/>
      <c r="L4" s="403"/>
      <c r="M4" s="403"/>
      <c r="N4" s="128"/>
    </row>
    <row r="5" spans="1:16" ht="69.75" customHeight="1" x14ac:dyDescent="0.2">
      <c r="A5" s="403" t="s">
        <v>160</v>
      </c>
      <c r="B5" s="403"/>
      <c r="C5" s="403"/>
      <c r="D5" s="403"/>
      <c r="E5" s="403"/>
      <c r="F5" s="403"/>
      <c r="G5" s="403"/>
      <c r="H5" s="403"/>
      <c r="I5" s="403"/>
      <c r="J5" s="403"/>
      <c r="K5" s="403"/>
      <c r="L5" s="403"/>
      <c r="M5" s="403"/>
      <c r="N5" s="128"/>
    </row>
    <row r="6" spans="1:16" x14ac:dyDescent="0.2">
      <c r="A6" s="93"/>
      <c r="B6" s="91"/>
      <c r="C6" s="91"/>
      <c r="D6" s="91"/>
      <c r="E6" s="91"/>
      <c r="F6" s="91"/>
      <c r="G6" s="91"/>
      <c r="H6" s="91"/>
      <c r="I6" s="91"/>
      <c r="J6" s="91"/>
      <c r="K6" s="91"/>
      <c r="L6" s="91"/>
      <c r="M6" s="91"/>
      <c r="N6" s="91"/>
    </row>
    <row r="7" spans="1:16" x14ac:dyDescent="0.2">
      <c r="A7" s="121"/>
      <c r="B7" s="120"/>
      <c r="C7" s="120"/>
      <c r="D7" s="120"/>
      <c r="E7" s="120"/>
      <c r="F7" s="120"/>
      <c r="G7" s="120"/>
      <c r="H7" s="120"/>
      <c r="I7" s="120"/>
      <c r="J7" s="120"/>
      <c r="K7" s="120"/>
      <c r="L7" s="120"/>
      <c r="M7" s="120"/>
      <c r="N7" s="120"/>
    </row>
    <row r="8" spans="1:16" ht="39" customHeight="1" x14ac:dyDescent="0.2">
      <c r="A8" s="404" t="s">
        <v>136</v>
      </c>
      <c r="B8" s="404"/>
      <c r="C8" s="404"/>
      <c r="D8" s="404"/>
      <c r="E8" s="404"/>
      <c r="F8" s="404"/>
      <c r="G8" s="404"/>
      <c r="H8" s="404"/>
      <c r="I8" s="404"/>
      <c r="J8" s="404"/>
      <c r="K8" s="404"/>
      <c r="L8" s="404"/>
      <c r="M8" s="404"/>
      <c r="N8" s="91"/>
    </row>
    <row r="9" spans="1:16" ht="60" customHeight="1" thickBot="1" x14ac:dyDescent="0.25">
      <c r="B9" s="90"/>
      <c r="C9" s="90"/>
      <c r="D9" s="90"/>
      <c r="E9" s="90"/>
      <c r="F9" s="407" t="s">
        <v>126</v>
      </c>
      <c r="G9" s="408"/>
      <c r="H9" s="408"/>
      <c r="I9" s="409"/>
    </row>
    <row r="10" spans="1:16" s="88" customFormat="1" ht="131.25" customHeight="1" x14ac:dyDescent="0.2">
      <c r="A10" s="405" t="s">
        <v>130</v>
      </c>
      <c r="B10" s="102" t="s">
        <v>39</v>
      </c>
      <c r="C10" s="101" t="s">
        <v>43</v>
      </c>
      <c r="D10" s="101" t="s">
        <v>44</v>
      </c>
      <c r="E10" s="100" t="s">
        <v>45</v>
      </c>
      <c r="F10" s="98" t="s">
        <v>46</v>
      </c>
      <c r="G10" s="98" t="s">
        <v>47</v>
      </c>
      <c r="H10" s="97" t="s">
        <v>48</v>
      </c>
    </row>
    <row r="11" spans="1:16" ht="82.5" customHeight="1" x14ac:dyDescent="0.4">
      <c r="A11" s="406"/>
      <c r="B11" s="168" t="s">
        <v>127</v>
      </c>
      <c r="C11" s="168" t="s">
        <v>131</v>
      </c>
      <c r="D11" s="168" t="s">
        <v>132</v>
      </c>
      <c r="E11" s="94" t="s">
        <v>49</v>
      </c>
      <c r="F11" s="168" t="s">
        <v>133</v>
      </c>
      <c r="G11" s="168" t="s">
        <v>134</v>
      </c>
      <c r="H11" s="168" t="s">
        <v>135</v>
      </c>
      <c r="I11" s="92"/>
      <c r="J11" s="92"/>
      <c r="K11" s="92"/>
      <c r="L11" s="92"/>
      <c r="M11" s="92"/>
      <c r="N11" s="91"/>
    </row>
    <row r="12" spans="1:16" ht="12.75" customHeight="1" x14ac:dyDescent="0.2">
      <c r="A12" s="91"/>
      <c r="B12" s="91"/>
      <c r="C12" s="91"/>
      <c r="D12" s="91"/>
      <c r="E12" s="91"/>
      <c r="F12" s="91"/>
      <c r="G12" s="91"/>
      <c r="H12" s="91"/>
      <c r="I12" s="91"/>
      <c r="J12" s="91"/>
      <c r="K12" s="91"/>
      <c r="L12" s="91"/>
      <c r="M12" s="91"/>
      <c r="N12" s="91"/>
    </row>
    <row r="13" spans="1:16" ht="12.75" customHeight="1" x14ac:dyDescent="0.2">
      <c r="A13" s="91"/>
      <c r="B13" s="91"/>
      <c r="C13" s="91"/>
      <c r="D13" s="91"/>
      <c r="E13" s="91"/>
      <c r="F13" s="91"/>
      <c r="G13" s="91"/>
      <c r="H13" s="91"/>
      <c r="I13" s="91"/>
      <c r="J13" s="91"/>
      <c r="K13" s="91"/>
      <c r="L13" s="91"/>
      <c r="M13" s="91"/>
      <c r="N13" s="91"/>
    </row>
    <row r="14" spans="1:16" ht="26.25" x14ac:dyDescent="0.2">
      <c r="A14" s="404" t="s">
        <v>137</v>
      </c>
      <c r="B14" s="404"/>
      <c r="C14" s="404"/>
      <c r="D14" s="404"/>
      <c r="E14" s="404"/>
      <c r="F14" s="404"/>
      <c r="G14" s="404"/>
      <c r="H14" s="404"/>
      <c r="I14" s="404"/>
      <c r="J14" s="404"/>
      <c r="K14" s="404"/>
      <c r="L14" s="404"/>
      <c r="M14" s="404"/>
    </row>
    <row r="15" spans="1:16" s="89" customFormat="1" ht="74.25" customHeight="1" x14ac:dyDescent="0.2">
      <c r="B15" s="401" t="s">
        <v>138</v>
      </c>
      <c r="C15" s="402"/>
      <c r="D15" s="402"/>
      <c r="E15" s="402"/>
      <c r="F15" s="402"/>
      <c r="G15" s="402"/>
      <c r="M15" s="410" t="s">
        <v>150</v>
      </c>
      <c r="N15" s="411"/>
      <c r="P15" s="95" t="s">
        <v>152</v>
      </c>
    </row>
    <row r="16" spans="1:16" ht="154.5" customHeight="1" x14ac:dyDescent="0.2">
      <c r="B16" s="174" t="s">
        <v>50</v>
      </c>
      <c r="C16" s="174" t="s">
        <v>51</v>
      </c>
      <c r="D16" s="174" t="s">
        <v>52</v>
      </c>
      <c r="E16" s="174" t="s">
        <v>53</v>
      </c>
      <c r="F16" s="174" t="s">
        <v>54</v>
      </c>
      <c r="G16" s="174" t="s">
        <v>55</v>
      </c>
      <c r="H16" s="174" t="s">
        <v>174</v>
      </c>
      <c r="I16" s="174" t="s">
        <v>173</v>
      </c>
      <c r="J16" s="174" t="s">
        <v>56</v>
      </c>
      <c r="K16" s="174" t="s">
        <v>57</v>
      </c>
      <c r="L16" s="174" t="s">
        <v>58</v>
      </c>
      <c r="M16" s="173" t="s">
        <v>146</v>
      </c>
      <c r="N16" s="172" t="s">
        <v>147</v>
      </c>
      <c r="O16" s="173" t="s">
        <v>148</v>
      </c>
      <c r="P16" s="172" t="s">
        <v>149</v>
      </c>
    </row>
    <row r="17" spans="1:16" s="99" customFormat="1" ht="114.75" x14ac:dyDescent="0.2">
      <c r="A17" s="169" t="s">
        <v>139</v>
      </c>
      <c r="B17" s="96" t="s">
        <v>59</v>
      </c>
      <c r="C17" s="96" t="s">
        <v>60</v>
      </c>
      <c r="D17" s="95" t="s">
        <v>123</v>
      </c>
      <c r="E17" s="96" t="s">
        <v>61</v>
      </c>
      <c r="F17" s="95" t="s">
        <v>169</v>
      </c>
      <c r="G17" s="95" t="s">
        <v>170</v>
      </c>
      <c r="H17" s="167" t="s">
        <v>171</v>
      </c>
      <c r="I17" s="167" t="s">
        <v>172</v>
      </c>
      <c r="J17" s="167" t="s">
        <v>140</v>
      </c>
      <c r="K17" s="94" t="s">
        <v>62</v>
      </c>
      <c r="L17" s="94" t="s">
        <v>41</v>
      </c>
      <c r="M17" s="171" t="s">
        <v>151</v>
      </c>
      <c r="N17" s="171" t="s">
        <v>147</v>
      </c>
      <c r="O17" s="170" t="s">
        <v>161</v>
      </c>
      <c r="P17" s="171" t="s">
        <v>153</v>
      </c>
    </row>
    <row r="18" spans="1:16" x14ac:dyDescent="0.2"/>
    <row r="19" spans="1:16" ht="15" x14ac:dyDescent="0.2">
      <c r="A19" s="85"/>
    </row>
    <row r="20" spans="1:16" x14ac:dyDescent="0.2"/>
    <row r="21" spans="1:16" x14ac:dyDescent="0.2"/>
    <row r="22" spans="1:16" x14ac:dyDescent="0.2"/>
    <row r="23" spans="1:16" x14ac:dyDescent="0.2"/>
    <row r="24" spans="1:16" x14ac:dyDescent="0.2"/>
    <row r="25" spans="1:16" x14ac:dyDescent="0.2"/>
    <row r="26" spans="1:16" x14ac:dyDescent="0.2"/>
    <row r="27" spans="1:16" x14ac:dyDescent="0.2"/>
    <row r="28" spans="1:16" x14ac:dyDescent="0.2"/>
    <row r="29" spans="1:16" x14ac:dyDescent="0.2"/>
    <row r="30" spans="1:16" x14ac:dyDescent="0.2"/>
    <row r="31" spans="1:16" x14ac:dyDescent="0.2"/>
    <row r="32" spans="1:16" x14ac:dyDescent="0.2"/>
    <row r="33" x14ac:dyDescent="0.2"/>
    <row r="34" x14ac:dyDescent="0.2"/>
    <row r="35" x14ac:dyDescent="0.2"/>
  </sheetData>
  <mergeCells count="16">
    <mergeCell ref="B15:G15"/>
    <mergeCell ref="A5:K5"/>
    <mergeCell ref="L5:M5"/>
    <mergeCell ref="A1:K1"/>
    <mergeCell ref="A8:K8"/>
    <mergeCell ref="L8:M8"/>
    <mergeCell ref="A14:K14"/>
    <mergeCell ref="L14:M14"/>
    <mergeCell ref="A2:K2"/>
    <mergeCell ref="A3:K3"/>
    <mergeCell ref="L3:M3"/>
    <mergeCell ref="A4:K4"/>
    <mergeCell ref="L4:M4"/>
    <mergeCell ref="A10:A11"/>
    <mergeCell ref="F9:I9"/>
    <mergeCell ref="M15:N15"/>
  </mergeCells>
  <pageMargins left="0.75" right="0.75" top="1" bottom="1" header="0.4921259845" footer="0.4921259845"/>
  <pageSetup paperSize="9" orientation="portrait" r:id="rId1"/>
  <headerFooter alignWithMargins="0">
    <oddFooter>&amp;LExxxxxx rev xxx ver xxx&amp;R&amp;P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theme="4" tint="0.39997558519241921"/>
    <outlinePr summaryBelow="0" summaryRight="0"/>
  </sheetPr>
  <dimension ref="A1:V123"/>
  <sheetViews>
    <sheetView tabSelected="1" zoomScale="70" zoomScaleNormal="70" workbookViewId="0">
      <pane xSplit="1" ySplit="1" topLeftCell="B2" activePane="bottomRight" state="frozen"/>
      <selection pane="topRight" activeCell="B1" sqref="B1"/>
      <selection pane="bottomLeft" activeCell="A2" sqref="A2"/>
      <selection pane="bottomRight" activeCell="X56" sqref="X56"/>
    </sheetView>
  </sheetViews>
  <sheetFormatPr defaultRowHeight="15" zeroHeight="1" outlineLevelRow="1" x14ac:dyDescent="0.2"/>
  <cols>
    <col min="1" max="1" width="50.625" style="111" customWidth="1"/>
    <col min="2" max="2" width="12.5" style="108" customWidth="1"/>
    <col min="3" max="3" width="15.75" style="108" customWidth="1"/>
    <col min="4" max="4" width="12.875" style="108" hidden="1" customWidth="1"/>
    <col min="5" max="5" width="14.75" style="108" customWidth="1"/>
    <col min="6" max="6" width="14.75" style="109" customWidth="1"/>
    <col min="7" max="7" width="12.25" style="109" hidden="1" customWidth="1"/>
    <col min="8" max="8" width="15" style="109" customWidth="1"/>
    <col min="9" max="9" width="13.75" style="109" customWidth="1"/>
    <col min="10" max="10" width="12.875" style="109" hidden="1" customWidth="1"/>
    <col min="11" max="11" width="13.375" style="109" hidden="1" customWidth="1"/>
    <col min="12" max="12" width="13" style="108" hidden="1" customWidth="1"/>
    <col min="13" max="13" width="14.75" style="110" customWidth="1"/>
    <col min="14" max="14" width="13.625" style="110" customWidth="1"/>
    <col min="15" max="15" width="14.25" style="110" hidden="1" customWidth="1"/>
    <col min="16" max="16" width="14" style="110" customWidth="1"/>
    <col min="17" max="17" width="0.875" style="110" hidden="1" customWidth="1"/>
    <col min="18" max="18" width="18.875" style="110" customWidth="1"/>
    <col min="19" max="19" width="18.375" style="110" customWidth="1"/>
    <col min="20" max="20" width="16.375" style="110" customWidth="1"/>
    <col min="21" max="21" width="13.875" style="110" hidden="1" customWidth="1"/>
    <col min="22" max="22" width="14.5" style="110" customWidth="1"/>
    <col min="23" max="16384" width="9" style="110"/>
  </cols>
  <sheetData>
    <row r="1" spans="1:22" ht="27.75" customHeight="1" x14ac:dyDescent="0.2">
      <c r="A1" s="178" t="s">
        <v>141</v>
      </c>
      <c r="B1" s="412" t="str">
        <f>SWVersion</f>
        <v>tbd</v>
      </c>
      <c r="C1" s="413"/>
      <c r="D1" s="177"/>
      <c r="E1" s="177"/>
      <c r="F1" s="179"/>
      <c r="G1" s="179"/>
      <c r="H1" s="179"/>
      <c r="I1" s="179"/>
      <c r="J1" s="179"/>
      <c r="K1" s="179"/>
      <c r="L1" s="177"/>
      <c r="M1" s="180"/>
      <c r="N1" s="180"/>
      <c r="O1" s="180"/>
      <c r="P1" s="180"/>
      <c r="Q1" s="180"/>
      <c r="R1" s="180"/>
      <c r="S1" s="180"/>
      <c r="T1" s="180"/>
      <c r="U1" s="180"/>
      <c r="V1" s="180"/>
    </row>
    <row r="2" spans="1:22" ht="40.5" customHeight="1" thickBot="1" x14ac:dyDescent="0.25">
      <c r="A2" s="334"/>
      <c r="B2" s="334"/>
      <c r="C2" s="334"/>
      <c r="D2" s="177"/>
      <c r="E2" s="334"/>
      <c r="F2" s="335"/>
      <c r="G2" s="335"/>
      <c r="H2" s="335"/>
      <c r="I2" s="335"/>
      <c r="J2" s="335"/>
      <c r="K2" s="335"/>
      <c r="L2" s="334"/>
      <c r="M2" s="336"/>
      <c r="N2" s="336"/>
      <c r="O2" s="336"/>
      <c r="P2" s="336"/>
      <c r="Q2" s="336"/>
      <c r="R2" s="336"/>
      <c r="S2" s="336"/>
      <c r="T2" s="336"/>
      <c r="U2" s="336"/>
      <c r="V2" s="336"/>
    </row>
    <row r="3" spans="1:22" ht="58.5" customHeight="1" thickBot="1" x14ac:dyDescent="0.25">
      <c r="A3" s="334"/>
      <c r="B3" s="334"/>
      <c r="C3" s="421" t="s">
        <v>119</v>
      </c>
      <c r="D3" s="422"/>
      <c r="E3" s="422"/>
      <c r="F3" s="422"/>
      <c r="G3" s="422"/>
      <c r="H3" s="422"/>
      <c r="I3" s="422"/>
      <c r="J3" s="422"/>
      <c r="K3" s="422"/>
      <c r="L3" s="423"/>
      <c r="M3" s="183"/>
      <c r="N3" s="418" t="s">
        <v>155</v>
      </c>
      <c r="O3" s="419"/>
      <c r="P3" s="420"/>
      <c r="Q3" s="230" t="s">
        <v>154</v>
      </c>
      <c r="R3" s="329" t="s">
        <v>154</v>
      </c>
      <c r="S3" s="329" t="s">
        <v>154</v>
      </c>
      <c r="T3" s="415" t="s">
        <v>119</v>
      </c>
      <c r="U3" s="416"/>
      <c r="V3" s="417"/>
    </row>
    <row r="4" spans="1:22" s="112" customFormat="1" ht="102.75" customHeight="1" thickBot="1" x14ac:dyDescent="0.25">
      <c r="A4" s="181" t="s">
        <v>39</v>
      </c>
      <c r="B4" s="182" t="s">
        <v>113</v>
      </c>
      <c r="C4" s="183" t="s">
        <v>120</v>
      </c>
      <c r="D4" s="183" t="s">
        <v>164</v>
      </c>
      <c r="E4" s="183" t="s">
        <v>197</v>
      </c>
      <c r="F4" s="183" t="s">
        <v>203</v>
      </c>
      <c r="G4" s="183" t="s">
        <v>165</v>
      </c>
      <c r="H4" s="183" t="s">
        <v>198</v>
      </c>
      <c r="I4" s="183" t="s">
        <v>121</v>
      </c>
      <c r="J4" s="183" t="s">
        <v>166</v>
      </c>
      <c r="K4" s="183" t="s">
        <v>167</v>
      </c>
      <c r="L4" s="183" t="s">
        <v>122</v>
      </c>
      <c r="M4" s="184" t="s">
        <v>40</v>
      </c>
      <c r="N4" s="185" t="s">
        <v>116</v>
      </c>
      <c r="O4" s="186" t="s">
        <v>117</v>
      </c>
      <c r="P4" s="187" t="s">
        <v>118</v>
      </c>
      <c r="Q4" s="185" t="s">
        <v>168</v>
      </c>
      <c r="R4" s="330" t="s">
        <v>199</v>
      </c>
      <c r="S4" s="331" t="s">
        <v>200</v>
      </c>
      <c r="T4" s="332" t="s">
        <v>201</v>
      </c>
      <c r="U4" s="188" t="s">
        <v>189</v>
      </c>
      <c r="V4" s="189" t="s">
        <v>148</v>
      </c>
    </row>
    <row r="5" spans="1:22" ht="14.25" x14ac:dyDescent="0.2">
      <c r="A5" s="190"/>
      <c r="B5" s="191"/>
      <c r="C5" s="191"/>
      <c r="D5" s="192"/>
      <c r="E5" s="193"/>
      <c r="F5" s="191"/>
      <c r="G5" s="192"/>
      <c r="H5" s="193"/>
      <c r="I5" s="191"/>
      <c r="J5" s="192"/>
      <c r="K5" s="193"/>
      <c r="L5" s="191"/>
      <c r="M5" s="194"/>
      <c r="N5" s="195"/>
      <c r="O5" s="191"/>
      <c r="P5" s="196"/>
      <c r="Q5" s="197"/>
      <c r="R5" s="198"/>
      <c r="S5" s="199"/>
      <c r="T5" s="200"/>
      <c r="U5" s="201"/>
      <c r="V5" s="202"/>
    </row>
    <row r="6" spans="1:22" thickBot="1" x14ac:dyDescent="0.25">
      <c r="A6" s="190"/>
      <c r="B6" s="191"/>
      <c r="C6" s="191"/>
      <c r="D6" s="203"/>
      <c r="E6" s="193"/>
      <c r="F6" s="191"/>
      <c r="G6" s="192"/>
      <c r="H6" s="193"/>
      <c r="I6" s="191"/>
      <c r="J6" s="192"/>
      <c r="K6" s="193"/>
      <c r="L6" s="191"/>
      <c r="M6" s="194"/>
      <c r="N6" s="195"/>
      <c r="O6" s="191"/>
      <c r="P6" s="196"/>
      <c r="Q6" s="197"/>
      <c r="R6" s="198"/>
      <c r="S6" s="199"/>
      <c r="T6" s="204"/>
      <c r="U6" s="205"/>
      <c r="V6" s="206"/>
    </row>
    <row r="7" spans="1:22" ht="14.25" x14ac:dyDescent="0.2">
      <c r="A7" s="207" t="s">
        <v>100</v>
      </c>
      <c r="B7" s="208">
        <v>0</v>
      </c>
      <c r="C7" s="209">
        <v>0</v>
      </c>
      <c r="D7" s="210">
        <v>0</v>
      </c>
      <c r="E7" s="211">
        <v>0</v>
      </c>
      <c r="F7" s="209">
        <v>0</v>
      </c>
      <c r="G7" s="210">
        <v>0</v>
      </c>
      <c r="H7" s="212">
        <v>0</v>
      </c>
      <c r="I7" s="209">
        <v>0</v>
      </c>
      <c r="J7" s="210">
        <v>0</v>
      </c>
      <c r="K7" s="211">
        <v>0</v>
      </c>
      <c r="L7" s="209">
        <v>0</v>
      </c>
      <c r="M7" s="213">
        <v>0</v>
      </c>
      <c r="N7" s="214">
        <v>0</v>
      </c>
      <c r="O7" s="209">
        <v>0</v>
      </c>
      <c r="P7" s="215">
        <v>0</v>
      </c>
      <c r="Q7" s="216">
        <v>0</v>
      </c>
      <c r="R7" s="217">
        <v>0</v>
      </c>
      <c r="S7" s="214">
        <v>0</v>
      </c>
      <c r="T7" s="214">
        <v>0</v>
      </c>
      <c r="U7" s="209">
        <v>0</v>
      </c>
      <c r="V7" s="215">
        <v>0</v>
      </c>
    </row>
    <row r="8" spans="1:22" s="177" customFormat="1" ht="13.5" thickBot="1" x14ac:dyDescent="0.25">
      <c r="A8" s="218" t="s">
        <v>163</v>
      </c>
      <c r="B8" s="219">
        <f>B7</f>
        <v>0</v>
      </c>
      <c r="C8" s="219" t="e">
        <f t="shared" ref="C8:L8" si="0">INT(LEFT(C7,FIND("(",C$7)-2))</f>
        <v>#VALUE!</v>
      </c>
      <c r="D8" s="220" t="e">
        <f t="shared" si="0"/>
        <v>#VALUE!</v>
      </c>
      <c r="E8" s="221" t="e">
        <f t="shared" si="0"/>
        <v>#VALUE!</v>
      </c>
      <c r="F8" s="219" t="e">
        <f>INT(LEFT(F7,FIND("(",F$7)-2))</f>
        <v>#VALUE!</v>
      </c>
      <c r="G8" s="220" t="e">
        <f t="shared" si="0"/>
        <v>#VALUE!</v>
      </c>
      <c r="H8" s="222" t="e">
        <f t="shared" si="0"/>
        <v>#VALUE!</v>
      </c>
      <c r="I8" s="219" t="e">
        <f t="shared" si="0"/>
        <v>#VALUE!</v>
      </c>
      <c r="J8" s="220" t="e">
        <f t="shared" si="0"/>
        <v>#VALUE!</v>
      </c>
      <c r="K8" s="222" t="e">
        <f t="shared" si="0"/>
        <v>#VALUE!</v>
      </c>
      <c r="L8" s="219" t="e">
        <f t="shared" si="0"/>
        <v>#VALUE!</v>
      </c>
      <c r="M8" s="223">
        <f>M7</f>
        <v>0</v>
      </c>
      <c r="N8" s="224" t="e">
        <f t="shared" ref="N8:V8" si="1">INT(LEFT(N7,FIND("(",N$7)-2))</f>
        <v>#VALUE!</v>
      </c>
      <c r="O8" s="219" t="e">
        <f t="shared" si="1"/>
        <v>#VALUE!</v>
      </c>
      <c r="P8" s="225" t="e">
        <f t="shared" si="1"/>
        <v>#VALUE!</v>
      </c>
      <c r="Q8" s="226" t="e">
        <f t="shared" si="1"/>
        <v>#VALUE!</v>
      </c>
      <c r="R8" s="227" t="e">
        <f t="shared" si="1"/>
        <v>#VALUE!</v>
      </c>
      <c r="S8" s="228" t="e">
        <f t="shared" si="1"/>
        <v>#VALUE!</v>
      </c>
      <c r="T8" s="228" t="e">
        <f t="shared" si="1"/>
        <v>#VALUE!</v>
      </c>
      <c r="U8" s="228" t="e">
        <f t="shared" si="1"/>
        <v>#VALUE!</v>
      </c>
      <c r="V8" s="229" t="e">
        <f t="shared" si="1"/>
        <v>#VALUE!</v>
      </c>
    </row>
    <row r="9" spans="1:22" ht="14.25" x14ac:dyDescent="0.2">
      <c r="A9" s="108"/>
      <c r="F9" s="108"/>
      <c r="L9" s="109"/>
      <c r="M9" s="108"/>
    </row>
    <row r="10" spans="1:22" thickBot="1" x14ac:dyDescent="0.25">
      <c r="A10" s="108"/>
    </row>
    <row r="11" spans="1:22" ht="54.75" customHeight="1" x14ac:dyDescent="0.2">
      <c r="A11" s="245" t="s">
        <v>176</v>
      </c>
      <c r="B11" s="246"/>
      <c r="C11" s="247"/>
      <c r="D11" s="247"/>
      <c r="E11" s="247"/>
      <c r="F11" s="247"/>
      <c r="G11" s="248"/>
      <c r="H11" s="248"/>
      <c r="I11" s="248"/>
      <c r="J11" s="249"/>
      <c r="K11" s="247"/>
      <c r="L11" s="249"/>
      <c r="M11" s="250"/>
      <c r="N11" s="303"/>
      <c r="O11" s="249"/>
      <c r="P11" s="247"/>
      <c r="Q11" s="249"/>
      <c r="R11" s="247"/>
      <c r="S11" s="249"/>
      <c r="T11" s="249"/>
      <c r="U11" s="249"/>
      <c r="V11" s="251"/>
    </row>
    <row r="12" spans="1:22" ht="15.75" outlineLevel="1" x14ac:dyDescent="0.2">
      <c r="A12" s="288" t="s">
        <v>175</v>
      </c>
      <c r="B12" s="233" t="e">
        <f xml:space="preserve"> E8</f>
        <v>#VALUE!</v>
      </c>
      <c r="C12" s="129"/>
      <c r="D12" s="129"/>
      <c r="E12" s="130"/>
      <c r="F12" s="130"/>
      <c r="G12" s="130"/>
      <c r="H12" s="130"/>
      <c r="I12" s="130"/>
      <c r="J12" s="130"/>
      <c r="K12" s="131"/>
      <c r="L12" s="129"/>
      <c r="M12" s="134"/>
      <c r="N12" s="301"/>
      <c r="O12" s="131"/>
      <c r="P12" s="131"/>
      <c r="Q12" s="131"/>
      <c r="R12" s="131"/>
      <c r="S12" s="131"/>
      <c r="T12" s="131"/>
      <c r="U12" s="131"/>
      <c r="V12" s="252"/>
    </row>
    <row r="13" spans="1:22" ht="15.75" outlineLevel="1" x14ac:dyDescent="0.2">
      <c r="A13" s="288" t="s">
        <v>128</v>
      </c>
      <c r="B13" s="234" t="e">
        <f xml:space="preserve"> F8</f>
        <v>#VALUE!</v>
      </c>
      <c r="C13" s="129"/>
      <c r="D13" s="129"/>
      <c r="E13" s="130"/>
      <c r="F13" s="130"/>
      <c r="G13" s="130"/>
      <c r="H13" s="130"/>
      <c r="I13" s="130"/>
      <c r="J13" s="130"/>
      <c r="K13" s="131"/>
      <c r="L13" s="129"/>
      <c r="M13" s="134"/>
      <c r="N13" s="301"/>
      <c r="O13" s="131"/>
      <c r="P13" s="131"/>
      <c r="Q13" s="131"/>
      <c r="R13" s="131"/>
      <c r="S13" s="131"/>
      <c r="T13" s="131"/>
      <c r="U13" s="131"/>
      <c r="V13" s="252"/>
    </row>
    <row r="14" spans="1:22" ht="14.25" outlineLevel="1" x14ac:dyDescent="0.2">
      <c r="A14" s="289"/>
      <c r="B14" s="131"/>
      <c r="C14" s="129"/>
      <c r="D14" s="129"/>
      <c r="E14" s="130"/>
      <c r="F14" s="130"/>
      <c r="G14" s="130"/>
      <c r="H14" s="130"/>
      <c r="I14" s="130"/>
      <c r="J14" s="130"/>
      <c r="K14" s="131"/>
      <c r="L14" s="129"/>
      <c r="M14" s="134"/>
      <c r="N14" s="301"/>
      <c r="O14" s="131"/>
      <c r="P14" s="131"/>
      <c r="Q14" s="131"/>
      <c r="R14" s="131"/>
      <c r="S14" s="131"/>
      <c r="T14" s="131"/>
      <c r="U14" s="131"/>
      <c r="V14" s="252"/>
    </row>
    <row r="15" spans="1:22" ht="14.25" outlineLevel="1" x14ac:dyDescent="0.2">
      <c r="A15" s="289"/>
      <c r="B15" s="131"/>
      <c r="C15" s="129"/>
      <c r="D15" s="129"/>
      <c r="E15" s="130"/>
      <c r="F15" s="130"/>
      <c r="G15" s="130"/>
      <c r="H15" s="130"/>
      <c r="I15" s="130"/>
      <c r="J15" s="130"/>
      <c r="K15" s="131"/>
      <c r="L15" s="129"/>
      <c r="M15" s="134"/>
      <c r="N15" s="301"/>
      <c r="O15" s="131"/>
      <c r="P15" s="131"/>
      <c r="Q15" s="131"/>
      <c r="R15" s="131"/>
      <c r="S15" s="131"/>
      <c r="T15" s="131"/>
      <c r="U15" s="131"/>
      <c r="V15" s="252"/>
    </row>
    <row r="16" spans="1:22" ht="63.75" customHeight="1" outlineLevel="1" x14ac:dyDescent="0.2">
      <c r="A16" s="253" t="s">
        <v>177</v>
      </c>
      <c r="B16" s="129"/>
      <c r="C16" s="129"/>
      <c r="D16" s="129"/>
      <c r="E16" s="130"/>
      <c r="F16" s="130"/>
      <c r="G16" s="130"/>
      <c r="H16" s="130"/>
      <c r="I16" s="130"/>
      <c r="J16" s="130"/>
      <c r="K16" s="131"/>
      <c r="L16" s="129"/>
      <c r="M16" s="134"/>
      <c r="N16" s="301"/>
      <c r="O16" s="131"/>
      <c r="P16" s="131"/>
      <c r="Q16" s="131"/>
      <c r="R16" s="131"/>
      <c r="S16" s="131"/>
      <c r="T16" s="131"/>
      <c r="U16" s="131"/>
      <c r="V16" s="252"/>
    </row>
    <row r="17" spans="1:22" ht="15.75" outlineLevel="1" x14ac:dyDescent="0.2">
      <c r="A17" s="254" t="s">
        <v>106</v>
      </c>
      <c r="B17" s="233" t="e">
        <f>INT(RIGHT(B7,FIND("/",B$7)-2))</f>
        <v>#VALUE!</v>
      </c>
      <c r="C17" s="129"/>
      <c r="D17" s="129"/>
      <c r="E17" s="130"/>
      <c r="F17" s="130"/>
      <c r="G17" s="130"/>
      <c r="H17" s="130"/>
      <c r="I17" s="130"/>
      <c r="J17" s="130"/>
      <c r="K17" s="131"/>
      <c r="L17" s="129"/>
      <c r="M17" s="134"/>
      <c r="N17" s="301"/>
      <c r="O17" s="131"/>
      <c r="P17" s="131"/>
      <c r="Q17" s="131"/>
      <c r="R17" s="131"/>
      <c r="S17" s="131"/>
      <c r="T17" s="131"/>
      <c r="U17" s="131"/>
      <c r="V17" s="252"/>
    </row>
    <row r="18" spans="1:22" ht="15.75" outlineLevel="1" x14ac:dyDescent="0.2">
      <c r="A18" s="254" t="s">
        <v>114</v>
      </c>
      <c r="B18" s="233" t="e">
        <f>INT(LEFT(B7,FIND("/",B$7)-2)) - INT(RIGHT(B7,FIND("/",B$7)-2))</f>
        <v>#VALUE!</v>
      </c>
      <c r="C18" s="129"/>
      <c r="D18" s="129"/>
      <c r="E18" s="130"/>
      <c r="F18" s="130"/>
      <c r="G18" s="130"/>
      <c r="H18" s="130"/>
      <c r="I18" s="130"/>
      <c r="J18" s="130"/>
      <c r="K18" s="131"/>
      <c r="L18" s="129"/>
      <c r="M18" s="134"/>
      <c r="N18" s="301"/>
      <c r="O18" s="131"/>
      <c r="P18" s="131"/>
      <c r="Q18" s="131"/>
      <c r="R18" s="131"/>
      <c r="S18" s="131"/>
      <c r="T18" s="131"/>
      <c r="U18" s="131"/>
      <c r="V18" s="252"/>
    </row>
    <row r="19" spans="1:22" outlineLevel="1" x14ac:dyDescent="0.2">
      <c r="A19" s="255"/>
      <c r="B19" s="129"/>
      <c r="C19" s="129"/>
      <c r="D19" s="129"/>
      <c r="E19" s="130"/>
      <c r="F19" s="130"/>
      <c r="G19" s="130"/>
      <c r="H19" s="130"/>
      <c r="I19" s="130"/>
      <c r="J19" s="130"/>
      <c r="K19" s="131"/>
      <c r="L19" s="129"/>
      <c r="M19" s="134"/>
      <c r="N19" s="301"/>
      <c r="O19" s="131"/>
      <c r="P19" s="131"/>
      <c r="Q19" s="131"/>
      <c r="R19" s="131"/>
      <c r="S19" s="131"/>
      <c r="T19" s="131"/>
      <c r="U19" s="131"/>
      <c r="V19" s="252"/>
    </row>
    <row r="20" spans="1:22" outlineLevel="1" x14ac:dyDescent="0.2">
      <c r="A20" s="255"/>
      <c r="B20" s="129"/>
      <c r="C20" s="129"/>
      <c r="D20" s="129"/>
      <c r="E20" s="130"/>
      <c r="F20" s="130"/>
      <c r="G20" s="130"/>
      <c r="H20" s="130"/>
      <c r="I20" s="130"/>
      <c r="J20" s="130"/>
      <c r="K20" s="131"/>
      <c r="L20" s="129"/>
      <c r="M20" s="134"/>
      <c r="N20" s="301"/>
      <c r="O20" s="131"/>
      <c r="P20" s="131"/>
      <c r="Q20" s="131"/>
      <c r="R20" s="131"/>
      <c r="S20" s="131"/>
      <c r="T20" s="131"/>
      <c r="U20" s="131"/>
      <c r="V20" s="252"/>
    </row>
    <row r="21" spans="1:22" outlineLevel="1" x14ac:dyDescent="0.2">
      <c r="A21" s="256"/>
      <c r="B21" s="129"/>
      <c r="C21" s="129"/>
      <c r="D21" s="129"/>
      <c r="E21" s="130"/>
      <c r="F21" s="130"/>
      <c r="G21" s="130"/>
      <c r="H21" s="130"/>
      <c r="I21" s="130"/>
      <c r="J21" s="130"/>
      <c r="K21" s="131"/>
      <c r="L21" s="129"/>
      <c r="M21" s="134"/>
      <c r="N21" s="301"/>
      <c r="O21" s="131"/>
      <c r="P21" s="131"/>
      <c r="Q21" s="131"/>
      <c r="R21" s="131"/>
      <c r="S21" s="131"/>
      <c r="T21" s="131"/>
      <c r="U21" s="131"/>
      <c r="V21" s="252"/>
    </row>
    <row r="22" spans="1:22" ht="15.75" outlineLevel="1" thickBot="1" x14ac:dyDescent="0.25">
      <c r="A22" s="257"/>
      <c r="B22" s="132"/>
      <c r="C22" s="132"/>
      <c r="D22" s="132"/>
      <c r="E22" s="133"/>
      <c r="F22" s="133"/>
      <c r="G22" s="133"/>
      <c r="H22" s="133"/>
      <c r="I22" s="133"/>
      <c r="J22" s="133"/>
      <c r="K22" s="135"/>
      <c r="L22" s="132"/>
      <c r="M22" s="136"/>
      <c r="N22" s="302"/>
      <c r="O22" s="135"/>
      <c r="P22" s="135"/>
      <c r="Q22" s="135"/>
      <c r="R22" s="135"/>
      <c r="S22" s="135"/>
      <c r="T22" s="135"/>
      <c r="U22" s="135"/>
      <c r="V22" s="258"/>
    </row>
    <row r="23" spans="1:22" ht="54.75" customHeight="1" thickTop="1" x14ac:dyDescent="0.2">
      <c r="A23" s="305" t="s">
        <v>190</v>
      </c>
      <c r="B23" s="306"/>
      <c r="C23" s="307"/>
      <c r="D23" s="307"/>
      <c r="E23" s="307"/>
      <c r="F23" s="307"/>
      <c r="G23" s="308"/>
      <c r="H23" s="308"/>
      <c r="I23" s="308"/>
      <c r="J23" s="309"/>
      <c r="K23" s="307"/>
      <c r="L23" s="309"/>
      <c r="M23" s="310"/>
      <c r="N23" s="311"/>
      <c r="O23" s="309"/>
      <c r="P23" s="307"/>
      <c r="Q23" s="309"/>
      <c r="R23" s="307"/>
      <c r="S23" s="309"/>
      <c r="T23" s="309"/>
      <c r="U23" s="309"/>
      <c r="V23" s="309"/>
    </row>
    <row r="24" spans="1:22" ht="15.75" outlineLevel="1" x14ac:dyDescent="0.2">
      <c r="A24" s="312" t="s">
        <v>191</v>
      </c>
      <c r="B24" s="233" t="e">
        <f xml:space="preserve"> T8</f>
        <v>#VALUE!</v>
      </c>
      <c r="C24" s="313"/>
      <c r="D24" s="313"/>
      <c r="E24" s="314"/>
      <c r="F24" s="314"/>
      <c r="G24" s="314"/>
      <c r="H24" s="314"/>
      <c r="I24" s="314"/>
      <c r="J24" s="314"/>
      <c r="K24" s="315"/>
      <c r="L24" s="313"/>
      <c r="M24" s="316"/>
      <c r="N24" s="317"/>
      <c r="O24" s="315"/>
      <c r="P24" s="315"/>
      <c r="Q24" s="315"/>
      <c r="R24" s="315"/>
      <c r="S24" s="315"/>
      <c r="T24" s="315"/>
      <c r="U24" s="315"/>
      <c r="V24" s="315"/>
    </row>
    <row r="25" spans="1:22" ht="15.75" outlineLevel="1" x14ac:dyDescent="0.2">
      <c r="A25" s="312" t="s">
        <v>192</v>
      </c>
      <c r="B25" s="234" t="e">
        <f>INT(LEFT(B7,FIND("/",B$7)-2)) -T8</f>
        <v>#VALUE!</v>
      </c>
      <c r="C25" s="313"/>
      <c r="D25" s="313"/>
      <c r="E25" s="314"/>
      <c r="F25" s="314"/>
      <c r="G25" s="314"/>
      <c r="H25" s="314"/>
      <c r="I25" s="314"/>
      <c r="J25" s="314"/>
      <c r="K25" s="315"/>
      <c r="L25" s="313"/>
      <c r="M25" s="316"/>
      <c r="N25" s="317"/>
      <c r="O25" s="315"/>
      <c r="P25" s="315"/>
      <c r="Q25" s="315"/>
      <c r="R25" s="315"/>
      <c r="S25" s="315"/>
      <c r="T25" s="315"/>
      <c r="U25" s="315"/>
      <c r="V25" s="315"/>
    </row>
    <row r="26" spans="1:22" ht="14.25" outlineLevel="1" x14ac:dyDescent="0.2">
      <c r="A26" s="318"/>
      <c r="B26" s="315"/>
      <c r="C26" s="313"/>
      <c r="D26" s="313"/>
      <c r="E26" s="314"/>
      <c r="F26" s="314"/>
      <c r="G26" s="314"/>
      <c r="H26" s="314"/>
      <c r="I26" s="314"/>
      <c r="J26" s="314"/>
      <c r="K26" s="315"/>
      <c r="L26" s="313"/>
      <c r="M26" s="316"/>
      <c r="N26" s="317"/>
      <c r="O26" s="315"/>
      <c r="P26" s="315"/>
      <c r="Q26" s="315"/>
      <c r="R26" s="315"/>
      <c r="S26" s="315"/>
      <c r="T26" s="315"/>
      <c r="U26" s="315"/>
      <c r="V26" s="315"/>
    </row>
    <row r="27" spans="1:22" ht="18.75" customHeight="1" outlineLevel="1" x14ac:dyDescent="0.2">
      <c r="A27" s="318"/>
      <c r="B27" s="315"/>
      <c r="C27" s="313"/>
      <c r="D27" s="313"/>
      <c r="E27" s="314"/>
      <c r="F27" s="314"/>
      <c r="G27" s="314"/>
      <c r="H27" s="314"/>
      <c r="I27" s="314"/>
      <c r="J27" s="314"/>
      <c r="K27" s="315"/>
      <c r="L27" s="313"/>
      <c r="M27" s="316"/>
      <c r="N27" s="317"/>
      <c r="O27" s="315"/>
      <c r="P27" s="315"/>
      <c r="Q27" s="315"/>
      <c r="R27" s="315"/>
      <c r="S27" s="315"/>
      <c r="T27" s="315"/>
      <c r="U27" s="315"/>
      <c r="V27" s="315"/>
    </row>
    <row r="28" spans="1:22" ht="63.75" customHeight="1" outlineLevel="1" x14ac:dyDescent="0.2">
      <c r="A28" s="319" t="s">
        <v>193</v>
      </c>
      <c r="B28" s="313"/>
      <c r="C28" s="313"/>
      <c r="D28" s="313"/>
      <c r="E28" s="314"/>
      <c r="F28" s="314"/>
      <c r="G28" s="314"/>
      <c r="H28" s="314"/>
      <c r="I28" s="314"/>
      <c r="J28" s="314"/>
      <c r="K28" s="315"/>
      <c r="L28" s="313"/>
      <c r="M28" s="316"/>
      <c r="N28" s="317"/>
      <c r="O28" s="315"/>
      <c r="P28" s="315"/>
      <c r="Q28" s="315"/>
      <c r="R28" s="315"/>
      <c r="S28" s="315"/>
      <c r="T28" s="315"/>
      <c r="U28" s="315"/>
      <c r="V28" s="315"/>
    </row>
    <row r="29" spans="1:22" ht="15.75" outlineLevel="1" x14ac:dyDescent="0.2">
      <c r="A29" s="320" t="s">
        <v>194</v>
      </c>
      <c r="B29" s="233" t="e">
        <f>V8</f>
        <v>#VALUE!</v>
      </c>
      <c r="C29" s="313"/>
      <c r="D29" s="313"/>
      <c r="E29" s="314"/>
      <c r="F29" s="314"/>
      <c r="G29" s="314"/>
      <c r="H29" s="314"/>
      <c r="I29" s="314"/>
      <c r="J29" s="314"/>
      <c r="K29" s="315"/>
      <c r="L29" s="313"/>
      <c r="M29" s="316"/>
      <c r="N29" s="317"/>
      <c r="O29" s="315"/>
      <c r="P29" s="315"/>
      <c r="Q29" s="315"/>
      <c r="R29" s="315"/>
      <c r="S29" s="315"/>
      <c r="T29" s="315"/>
      <c r="U29" s="315"/>
      <c r="V29" s="315"/>
    </row>
    <row r="30" spans="1:22" ht="15.75" outlineLevel="1" x14ac:dyDescent="0.2">
      <c r="A30" s="320" t="s">
        <v>195</v>
      </c>
      <c r="B30" s="233" t="e">
        <f>INT(LEFT(B7,FIND("/",B$7)-2)) -V8</f>
        <v>#VALUE!</v>
      </c>
      <c r="C30" s="313"/>
      <c r="D30" s="313"/>
      <c r="E30" s="314"/>
      <c r="F30" s="314"/>
      <c r="G30" s="314"/>
      <c r="H30" s="314"/>
      <c r="I30" s="314"/>
      <c r="J30" s="314"/>
      <c r="K30" s="315"/>
      <c r="L30" s="313"/>
      <c r="M30" s="316"/>
      <c r="N30" s="317"/>
      <c r="O30" s="315"/>
      <c r="P30" s="315"/>
      <c r="Q30" s="315"/>
      <c r="R30" s="315"/>
      <c r="S30" s="315"/>
      <c r="T30" s="315"/>
      <c r="U30" s="315"/>
      <c r="V30" s="315"/>
    </row>
    <row r="31" spans="1:22" outlineLevel="1" x14ac:dyDescent="0.2">
      <c r="A31" s="321"/>
      <c r="B31" s="313"/>
      <c r="C31" s="313"/>
      <c r="D31" s="313"/>
      <c r="E31" s="314"/>
      <c r="F31" s="314"/>
      <c r="G31" s="314"/>
      <c r="H31" s="314"/>
      <c r="I31" s="314"/>
      <c r="J31" s="314"/>
      <c r="K31" s="315"/>
      <c r="L31" s="313"/>
      <c r="M31" s="316"/>
      <c r="N31" s="317"/>
      <c r="O31" s="315"/>
      <c r="P31" s="315"/>
      <c r="Q31" s="315"/>
      <c r="R31" s="315"/>
      <c r="S31" s="315"/>
      <c r="T31" s="315"/>
      <c r="U31" s="315"/>
      <c r="V31" s="315"/>
    </row>
    <row r="32" spans="1:22" outlineLevel="1" x14ac:dyDescent="0.2">
      <c r="A32" s="321"/>
      <c r="B32" s="313"/>
      <c r="C32" s="313"/>
      <c r="D32" s="313"/>
      <c r="E32" s="314"/>
      <c r="F32" s="314"/>
      <c r="G32" s="314"/>
      <c r="H32" s="314"/>
      <c r="I32" s="314"/>
      <c r="J32" s="314"/>
      <c r="K32" s="315"/>
      <c r="L32" s="313"/>
      <c r="M32" s="316"/>
      <c r="N32" s="317"/>
      <c r="O32" s="315"/>
      <c r="P32" s="315"/>
      <c r="Q32" s="315"/>
      <c r="R32" s="315"/>
      <c r="S32" s="315"/>
      <c r="T32" s="315"/>
      <c r="U32" s="315"/>
      <c r="V32" s="315"/>
    </row>
    <row r="33" spans="1:22" outlineLevel="1" x14ac:dyDescent="0.2">
      <c r="A33" s="321"/>
      <c r="B33" s="313"/>
      <c r="C33" s="313"/>
      <c r="D33" s="313"/>
      <c r="E33" s="314"/>
      <c r="F33" s="314"/>
      <c r="G33" s="314"/>
      <c r="H33" s="314"/>
      <c r="I33" s="314"/>
      <c r="J33" s="314"/>
      <c r="K33" s="315"/>
      <c r="L33" s="313"/>
      <c r="M33" s="316"/>
      <c r="N33" s="317"/>
      <c r="O33" s="315"/>
      <c r="P33" s="315"/>
      <c r="Q33" s="315"/>
      <c r="R33" s="315"/>
      <c r="S33" s="315"/>
      <c r="T33" s="315"/>
      <c r="U33" s="315"/>
      <c r="V33" s="315"/>
    </row>
    <row r="34" spans="1:22" ht="15.75" outlineLevel="1" thickBot="1" x14ac:dyDescent="0.25">
      <c r="A34" s="322"/>
      <c r="B34" s="323"/>
      <c r="C34" s="323"/>
      <c r="D34" s="323"/>
      <c r="E34" s="324"/>
      <c r="F34" s="324"/>
      <c r="G34" s="324"/>
      <c r="H34" s="324"/>
      <c r="I34" s="324"/>
      <c r="J34" s="324"/>
      <c r="K34" s="325"/>
      <c r="L34" s="323"/>
      <c r="M34" s="326"/>
      <c r="N34" s="327"/>
      <c r="O34" s="325"/>
      <c r="P34" s="325"/>
      <c r="Q34" s="325"/>
      <c r="R34" s="325"/>
      <c r="S34" s="325"/>
      <c r="T34" s="325"/>
      <c r="U34" s="325"/>
      <c r="V34" s="325"/>
    </row>
    <row r="35" spans="1:22" s="113" customFormat="1" ht="23.25" thickTop="1" x14ac:dyDescent="0.2">
      <c r="A35" s="262" t="s">
        <v>178</v>
      </c>
      <c r="B35" s="239"/>
      <c r="C35" s="231"/>
      <c r="D35" s="231"/>
      <c r="E35" s="231"/>
      <c r="F35" s="231"/>
      <c r="G35" s="231"/>
      <c r="H35" s="231"/>
      <c r="I35" s="231"/>
      <c r="J35" s="231"/>
      <c r="K35" s="231"/>
      <c r="L35" s="231"/>
      <c r="M35" s="231"/>
      <c r="N35" s="231"/>
      <c r="O35" s="231"/>
      <c r="P35" s="231"/>
      <c r="Q35" s="231"/>
      <c r="R35" s="231"/>
      <c r="S35" s="231"/>
      <c r="T35" s="231"/>
      <c r="U35" s="231"/>
      <c r="V35" s="259"/>
    </row>
    <row r="36" spans="1:22" ht="22.5" outlineLevel="1" x14ac:dyDescent="0.2">
      <c r="A36" s="260"/>
      <c r="B36" s="235"/>
      <c r="C36" s="137"/>
      <c r="D36" s="137"/>
      <c r="E36" s="138"/>
      <c r="F36" s="137"/>
      <c r="G36" s="137"/>
      <c r="H36" s="137"/>
      <c r="I36" s="137"/>
      <c r="J36" s="137"/>
      <c r="K36" s="137"/>
      <c r="L36" s="137"/>
      <c r="M36" s="137"/>
      <c r="N36" s="137"/>
      <c r="O36" s="137"/>
      <c r="P36" s="137"/>
      <c r="Q36" s="137"/>
      <c r="R36" s="137"/>
      <c r="S36" s="137"/>
      <c r="T36" s="137"/>
      <c r="U36" s="137"/>
      <c r="V36" s="261"/>
    </row>
    <row r="37" spans="1:22" ht="22.5" outlineLevel="1" x14ac:dyDescent="0.2">
      <c r="A37" s="262"/>
      <c r="B37" s="235"/>
      <c r="C37" s="137"/>
      <c r="D37" s="138"/>
      <c r="E37" s="138"/>
      <c r="F37" s="139"/>
      <c r="G37" s="139"/>
      <c r="H37" s="139"/>
      <c r="I37" s="139"/>
      <c r="J37" s="139"/>
      <c r="K37" s="137"/>
      <c r="L37" s="138"/>
      <c r="M37" s="137"/>
      <c r="N37" s="143"/>
      <c r="O37" s="143"/>
      <c r="P37" s="143"/>
      <c r="Q37" s="143"/>
      <c r="R37" s="143"/>
      <c r="S37" s="143"/>
      <c r="T37" s="143"/>
      <c r="U37" s="143"/>
      <c r="V37" s="263"/>
    </row>
    <row r="38" spans="1:22" ht="14.25" outlineLevel="1" x14ac:dyDescent="0.2">
      <c r="A38" s="264"/>
      <c r="B38" s="236"/>
      <c r="C38" s="139"/>
      <c r="D38" s="137"/>
      <c r="E38" s="137"/>
      <c r="F38" s="139"/>
      <c r="G38" s="139"/>
      <c r="H38" s="139"/>
      <c r="I38" s="139"/>
      <c r="J38" s="139"/>
      <c r="K38" s="139"/>
      <c r="L38" s="137"/>
      <c r="M38" s="143"/>
      <c r="N38" s="143"/>
      <c r="O38" s="143"/>
      <c r="P38" s="143"/>
      <c r="Q38" s="143"/>
      <c r="R38" s="143"/>
      <c r="S38" s="143"/>
      <c r="T38" s="143"/>
      <c r="U38" s="143"/>
      <c r="V38" s="263"/>
    </row>
    <row r="39" spans="1:22" ht="14.25" outlineLevel="1" x14ac:dyDescent="0.2">
      <c r="A39" s="264"/>
      <c r="B39" s="236"/>
      <c r="C39" s="139"/>
      <c r="D39" s="139"/>
      <c r="E39" s="139"/>
      <c r="F39" s="139"/>
      <c r="G39" s="139"/>
      <c r="H39" s="139"/>
      <c r="I39" s="139"/>
      <c r="J39" s="139"/>
      <c r="K39" s="139"/>
      <c r="L39" s="139"/>
      <c r="M39" s="139"/>
      <c r="N39" s="139"/>
      <c r="O39" s="139"/>
      <c r="P39" s="139"/>
      <c r="Q39" s="139"/>
      <c r="R39" s="139"/>
      <c r="S39" s="139"/>
      <c r="T39" s="139"/>
      <c r="U39" s="139"/>
      <c r="V39" s="265"/>
    </row>
    <row r="40" spans="1:22" ht="35.25" customHeight="1" outlineLevel="1" x14ac:dyDescent="0.2">
      <c r="A40" s="264"/>
      <c r="B40" s="236"/>
      <c r="C40" s="139"/>
      <c r="D40" s="137"/>
      <c r="E40" s="137"/>
      <c r="F40" s="139"/>
      <c r="G40" s="139"/>
      <c r="H40" s="139"/>
      <c r="I40" s="139"/>
      <c r="J40" s="139"/>
      <c r="K40" s="139"/>
      <c r="L40" s="137"/>
      <c r="M40" s="143"/>
      <c r="N40" s="143"/>
      <c r="O40" s="143"/>
      <c r="P40" s="143"/>
      <c r="Q40" s="143"/>
      <c r="R40" s="143"/>
      <c r="S40" s="143"/>
      <c r="T40" s="143"/>
      <c r="U40" s="143"/>
      <c r="V40" s="263"/>
    </row>
    <row r="41" spans="1:22" ht="14.25" outlineLevel="1" x14ac:dyDescent="0.2">
      <c r="A41" s="266"/>
      <c r="B41" s="140"/>
      <c r="C41" s="139"/>
      <c r="D41" s="139"/>
      <c r="E41" s="139"/>
      <c r="F41" s="139"/>
      <c r="G41" s="139"/>
      <c r="H41" s="139"/>
      <c r="I41" s="139"/>
      <c r="J41" s="139"/>
      <c r="K41" s="139"/>
      <c r="L41" s="137"/>
      <c r="M41" s="143"/>
      <c r="N41" s="143"/>
      <c r="O41" s="143"/>
      <c r="P41" s="143"/>
      <c r="Q41" s="143"/>
      <c r="R41" s="143"/>
      <c r="S41" s="143"/>
      <c r="T41" s="143"/>
      <c r="U41" s="143"/>
      <c r="V41" s="263"/>
    </row>
    <row r="42" spans="1:22" ht="14.25" outlineLevel="1" x14ac:dyDescent="0.2">
      <c r="A42" s="266"/>
      <c r="B42" s="140"/>
      <c r="C42" s="139"/>
      <c r="D42" s="139"/>
      <c r="E42" s="139"/>
      <c r="F42" s="139"/>
      <c r="G42" s="139"/>
      <c r="H42" s="139"/>
      <c r="I42" s="139"/>
      <c r="J42" s="139"/>
      <c r="K42" s="139"/>
      <c r="L42" s="137"/>
      <c r="M42" s="143"/>
      <c r="N42" s="143"/>
      <c r="O42" s="143"/>
      <c r="P42" s="143"/>
      <c r="Q42" s="143"/>
      <c r="R42" s="143"/>
      <c r="S42" s="143"/>
      <c r="T42" s="143"/>
      <c r="U42" s="143"/>
      <c r="V42" s="263"/>
    </row>
    <row r="43" spans="1:22" ht="66" customHeight="1" outlineLevel="1" x14ac:dyDescent="0.2">
      <c r="A43" s="266"/>
      <c r="B43" s="235"/>
      <c r="C43" s="137"/>
      <c r="D43" s="137"/>
      <c r="E43" s="137"/>
      <c r="F43" s="139"/>
      <c r="G43" s="139"/>
      <c r="H43" s="139"/>
      <c r="I43" s="139"/>
      <c r="J43" s="139"/>
      <c r="K43" s="139"/>
      <c r="L43" s="137"/>
      <c r="M43" s="143"/>
      <c r="N43" s="143"/>
      <c r="O43" s="143"/>
      <c r="P43" s="143"/>
      <c r="Q43" s="143"/>
      <c r="R43" s="143"/>
      <c r="S43" s="143"/>
      <c r="T43" s="143"/>
      <c r="U43" s="143"/>
      <c r="V43" s="263"/>
    </row>
    <row r="44" spans="1:22" ht="15.75" outlineLevel="1" x14ac:dyDescent="0.2">
      <c r="A44" s="304" t="s">
        <v>179</v>
      </c>
      <c r="B44" s="237" t="e">
        <f>H8</f>
        <v>#VALUE!</v>
      </c>
      <c r="C44" s="137"/>
      <c r="D44" s="137"/>
      <c r="E44" s="137"/>
      <c r="F44" s="139"/>
      <c r="G44" s="139"/>
      <c r="H44" s="139"/>
      <c r="I44" s="139"/>
      <c r="J44" s="139"/>
      <c r="K44" s="139"/>
      <c r="L44" s="137"/>
      <c r="M44" s="143"/>
      <c r="N44" s="143"/>
      <c r="O44" s="143"/>
      <c r="P44" s="143"/>
      <c r="Q44" s="143"/>
      <c r="R44" s="143"/>
      <c r="S44" s="143"/>
      <c r="T44" s="143"/>
      <c r="U44" s="143"/>
      <c r="V44" s="263"/>
    </row>
    <row r="45" spans="1:22" ht="15.75" outlineLevel="1" x14ac:dyDescent="0.2">
      <c r="A45" s="304" t="s">
        <v>180</v>
      </c>
      <c r="B45" s="237" t="e">
        <f>R8</f>
        <v>#VALUE!</v>
      </c>
      <c r="C45" s="139"/>
      <c r="D45" s="137"/>
      <c r="E45" s="137"/>
      <c r="F45" s="139"/>
      <c r="G45" s="139"/>
      <c r="H45" s="139"/>
      <c r="I45" s="139"/>
      <c r="J45" s="139"/>
      <c r="K45" s="139"/>
      <c r="L45" s="137"/>
      <c r="M45" s="143"/>
      <c r="N45" s="143"/>
      <c r="O45" s="143"/>
      <c r="P45" s="143"/>
      <c r="Q45" s="143"/>
      <c r="R45" s="143"/>
      <c r="S45" s="143"/>
      <c r="T45" s="143"/>
      <c r="U45" s="143"/>
      <c r="V45" s="263"/>
    </row>
    <row r="46" spans="1:22" ht="21" customHeight="1" outlineLevel="1" x14ac:dyDescent="0.2">
      <c r="A46" s="304" t="s">
        <v>181</v>
      </c>
      <c r="B46" s="237" t="e">
        <f>E8-H8-R8</f>
        <v>#VALUE!</v>
      </c>
      <c r="C46" s="137"/>
      <c r="D46" s="137"/>
      <c r="E46" s="137"/>
      <c r="F46" s="139"/>
      <c r="G46" s="139"/>
      <c r="H46" s="139"/>
      <c r="I46" s="139"/>
      <c r="J46" s="139"/>
      <c r="K46" s="139"/>
      <c r="L46" s="137"/>
      <c r="M46" s="143"/>
      <c r="N46" s="143"/>
      <c r="O46" s="143"/>
      <c r="P46" s="143"/>
      <c r="Q46" s="143"/>
      <c r="R46" s="143"/>
      <c r="S46" s="143"/>
      <c r="T46" s="143"/>
      <c r="U46" s="143"/>
      <c r="V46" s="263"/>
    </row>
    <row r="47" spans="1:22" outlineLevel="1" x14ac:dyDescent="0.2">
      <c r="A47" s="267"/>
      <c r="B47" s="235"/>
      <c r="C47" s="137"/>
      <c r="D47" s="137"/>
      <c r="E47" s="137"/>
      <c r="F47" s="139"/>
      <c r="G47" s="139"/>
      <c r="H47" s="139"/>
      <c r="I47" s="139"/>
      <c r="J47" s="139"/>
      <c r="K47" s="139"/>
      <c r="L47" s="137"/>
      <c r="M47" s="143"/>
      <c r="N47" s="143"/>
      <c r="O47" s="143"/>
      <c r="P47" s="143"/>
      <c r="Q47" s="143"/>
      <c r="R47" s="143"/>
      <c r="S47" s="143"/>
      <c r="T47" s="143"/>
      <c r="U47" s="143"/>
      <c r="V47" s="263"/>
    </row>
    <row r="48" spans="1:22" ht="16.5" outlineLevel="1" thickBot="1" x14ac:dyDescent="0.25">
      <c r="A48" s="268"/>
      <c r="B48" s="238"/>
      <c r="C48" s="141"/>
      <c r="D48" s="141"/>
      <c r="E48" s="141"/>
      <c r="F48" s="142"/>
      <c r="G48" s="142"/>
      <c r="H48" s="142"/>
      <c r="I48" s="142"/>
      <c r="J48" s="142"/>
      <c r="K48" s="142"/>
      <c r="L48" s="141"/>
      <c r="M48" s="144"/>
      <c r="N48" s="144"/>
      <c r="O48" s="144"/>
      <c r="P48" s="144"/>
      <c r="Q48" s="144"/>
      <c r="R48" s="144"/>
      <c r="S48" s="144"/>
      <c r="T48" s="144"/>
      <c r="U48" s="144"/>
      <c r="V48" s="269"/>
    </row>
    <row r="49" spans="1:22" ht="23.25" thickTop="1" x14ac:dyDescent="0.2">
      <c r="A49" s="274" t="s">
        <v>182</v>
      </c>
      <c r="B49" s="232"/>
      <c r="C49" s="232"/>
      <c r="D49" s="232"/>
      <c r="E49" s="232"/>
      <c r="F49" s="232"/>
      <c r="G49" s="232"/>
      <c r="H49" s="232"/>
      <c r="I49" s="232"/>
      <c r="J49" s="232"/>
      <c r="K49" s="232"/>
      <c r="L49" s="232"/>
      <c r="M49" s="232"/>
      <c r="N49" s="232"/>
      <c r="O49" s="232"/>
      <c r="P49" s="232"/>
      <c r="Q49" s="232"/>
      <c r="R49" s="232"/>
      <c r="S49" s="232"/>
      <c r="T49" s="232"/>
      <c r="U49" s="232"/>
      <c r="V49" s="270"/>
    </row>
    <row r="50" spans="1:22" ht="22.5" outlineLevel="1" x14ac:dyDescent="0.2">
      <c r="A50" s="271"/>
      <c r="B50" s="145"/>
      <c r="C50" s="145"/>
      <c r="D50" s="145"/>
      <c r="E50" s="232"/>
      <c r="F50" s="145"/>
      <c r="G50" s="145"/>
      <c r="H50" s="145"/>
      <c r="I50" s="145"/>
      <c r="J50" s="145"/>
      <c r="K50" s="145"/>
      <c r="L50" s="145"/>
      <c r="M50" s="145"/>
      <c r="N50" s="145"/>
      <c r="O50" s="145"/>
      <c r="P50" s="145"/>
      <c r="Q50" s="145"/>
      <c r="R50" s="145"/>
      <c r="S50" s="145"/>
      <c r="T50" s="145"/>
      <c r="U50" s="145"/>
      <c r="V50" s="272"/>
    </row>
    <row r="51" spans="1:22" ht="15.75" outlineLevel="1" x14ac:dyDescent="0.2">
      <c r="A51" s="271"/>
      <c r="B51" s="145"/>
      <c r="C51" s="145"/>
      <c r="D51" s="145"/>
      <c r="E51" s="146"/>
      <c r="F51" s="147"/>
      <c r="G51" s="147"/>
      <c r="H51" s="147"/>
      <c r="I51" s="148"/>
      <c r="J51" s="147"/>
      <c r="K51" s="147"/>
      <c r="L51" s="145"/>
      <c r="M51" s="149"/>
      <c r="N51" s="149"/>
      <c r="O51" s="149"/>
      <c r="P51" s="149"/>
      <c r="Q51" s="149"/>
      <c r="R51" s="149"/>
      <c r="S51" s="149"/>
      <c r="T51" s="149"/>
      <c r="U51" s="149"/>
      <c r="V51" s="273"/>
    </row>
    <row r="52" spans="1:22" ht="15.75" outlineLevel="1" x14ac:dyDescent="0.2">
      <c r="A52" s="271"/>
      <c r="B52" s="145"/>
      <c r="C52" s="145"/>
      <c r="D52" s="145"/>
      <c r="E52" s="146"/>
      <c r="F52" s="147"/>
      <c r="G52" s="147"/>
      <c r="H52" s="147"/>
      <c r="I52" s="148"/>
      <c r="J52" s="147"/>
      <c r="K52" s="147"/>
      <c r="L52" s="145"/>
      <c r="M52" s="149"/>
      <c r="N52" s="149"/>
      <c r="O52" s="149"/>
      <c r="P52" s="149"/>
      <c r="Q52" s="149"/>
      <c r="R52" s="149"/>
      <c r="S52" s="149"/>
      <c r="T52" s="149"/>
      <c r="U52" s="149"/>
      <c r="V52" s="273"/>
    </row>
    <row r="53" spans="1:22" ht="15.75" outlineLevel="1" x14ac:dyDescent="0.2">
      <c r="A53" s="271"/>
      <c r="B53" s="145"/>
      <c r="C53" s="145"/>
      <c r="D53" s="145"/>
      <c r="E53" s="146"/>
      <c r="F53" s="147"/>
      <c r="G53" s="147"/>
      <c r="H53" s="147"/>
      <c r="I53" s="148"/>
      <c r="J53" s="147"/>
      <c r="K53" s="147"/>
      <c r="L53" s="145"/>
      <c r="M53" s="149"/>
      <c r="N53" s="149"/>
      <c r="O53" s="149"/>
      <c r="P53" s="149"/>
      <c r="Q53" s="149"/>
      <c r="R53" s="149"/>
      <c r="S53" s="149"/>
      <c r="T53" s="149"/>
      <c r="U53" s="149"/>
      <c r="V53" s="273"/>
    </row>
    <row r="54" spans="1:22" ht="15.75" outlineLevel="1" x14ac:dyDescent="0.2">
      <c r="A54" s="271"/>
      <c r="B54" s="145"/>
      <c r="C54" s="145"/>
      <c r="D54" s="145"/>
      <c r="E54" s="146"/>
      <c r="F54" s="147"/>
      <c r="G54" s="147"/>
      <c r="H54" s="147"/>
      <c r="I54" s="148"/>
      <c r="J54" s="147"/>
      <c r="K54" s="147"/>
      <c r="L54" s="145"/>
      <c r="M54" s="149"/>
      <c r="N54" s="149"/>
      <c r="O54" s="149"/>
      <c r="P54" s="149"/>
      <c r="Q54" s="149"/>
      <c r="R54" s="149"/>
      <c r="S54" s="149"/>
      <c r="T54" s="149"/>
      <c r="U54" s="149"/>
      <c r="V54" s="273"/>
    </row>
    <row r="55" spans="1:22" ht="24.75" customHeight="1" outlineLevel="1" x14ac:dyDescent="0.2">
      <c r="A55" s="271"/>
      <c r="B55" s="145"/>
      <c r="C55" s="145"/>
      <c r="D55" s="145"/>
      <c r="E55" s="145"/>
      <c r="F55" s="147"/>
      <c r="G55" s="147"/>
      <c r="H55" s="147"/>
      <c r="I55" s="147"/>
      <c r="J55" s="147"/>
      <c r="K55" s="147"/>
      <c r="L55" s="145"/>
      <c r="M55" s="149"/>
      <c r="N55" s="149"/>
      <c r="O55" s="149"/>
      <c r="P55" s="149"/>
      <c r="Q55" s="149"/>
      <c r="R55" s="149"/>
      <c r="S55" s="149"/>
      <c r="T55" s="149"/>
      <c r="U55" s="149"/>
      <c r="V55" s="273"/>
    </row>
    <row r="56" spans="1:22" ht="15.75" outlineLevel="1" x14ac:dyDescent="0.2">
      <c r="A56" s="290" t="s">
        <v>183</v>
      </c>
      <c r="B56" s="150" t="e">
        <f>N8</f>
        <v>#VALUE!</v>
      </c>
      <c r="C56" s="145"/>
      <c r="D56" s="145"/>
      <c r="E56" s="145"/>
      <c r="F56" s="147"/>
      <c r="G56" s="147"/>
      <c r="H56" s="147"/>
      <c r="I56" s="147"/>
      <c r="J56" s="147"/>
      <c r="K56" s="147"/>
      <c r="L56" s="145"/>
      <c r="M56" s="149"/>
      <c r="N56" s="149"/>
      <c r="O56" s="149"/>
      <c r="P56" s="149"/>
      <c r="Q56" s="149"/>
      <c r="R56" s="149"/>
      <c r="S56" s="149"/>
      <c r="T56" s="149"/>
      <c r="U56" s="149"/>
      <c r="V56" s="273"/>
    </row>
    <row r="57" spans="1:22" ht="15.75" outlineLevel="1" x14ac:dyDescent="0.2">
      <c r="A57" s="290" t="s">
        <v>184</v>
      </c>
      <c r="B57" s="150" t="e">
        <f>P8</f>
        <v>#VALUE!</v>
      </c>
      <c r="C57" s="145"/>
      <c r="D57" s="145"/>
      <c r="E57" s="145"/>
      <c r="F57" s="147"/>
      <c r="G57" s="147"/>
      <c r="H57" s="147"/>
      <c r="I57" s="147"/>
      <c r="J57" s="147"/>
      <c r="K57" s="147"/>
      <c r="L57" s="145"/>
      <c r="M57" s="149"/>
      <c r="N57" s="149"/>
      <c r="O57" s="149"/>
      <c r="P57" s="149"/>
      <c r="Q57" s="149"/>
      <c r="R57" s="149"/>
      <c r="S57" s="149"/>
      <c r="T57" s="149"/>
      <c r="U57" s="149"/>
      <c r="V57" s="273"/>
    </row>
    <row r="58" spans="1:22" ht="16.5" outlineLevel="1" thickBot="1" x14ac:dyDescent="0.25">
      <c r="A58" s="290" t="s">
        <v>185</v>
      </c>
      <c r="B58" s="150" t="e">
        <f>I8-F8</f>
        <v>#VALUE!</v>
      </c>
      <c r="C58" s="145"/>
      <c r="D58" s="145"/>
      <c r="E58" s="145"/>
      <c r="F58" s="147"/>
      <c r="G58" s="147"/>
      <c r="H58" s="147"/>
      <c r="I58" s="147"/>
      <c r="J58" s="147"/>
      <c r="K58" s="147"/>
      <c r="L58" s="145"/>
      <c r="M58" s="149"/>
      <c r="N58" s="149"/>
      <c r="O58" s="149"/>
      <c r="P58" s="149"/>
      <c r="Q58" s="149"/>
      <c r="R58" s="149"/>
      <c r="S58" s="149"/>
      <c r="T58" s="149"/>
      <c r="U58" s="149"/>
      <c r="V58" s="273"/>
    </row>
    <row r="59" spans="1:22" ht="17.25" outlineLevel="1" thickTop="1" thickBot="1" x14ac:dyDescent="0.25">
      <c r="A59" s="291" t="s">
        <v>103</v>
      </c>
      <c r="B59" s="151" t="e">
        <f>SUM(B56:B58)</f>
        <v>#VALUE!</v>
      </c>
      <c r="C59" s="145"/>
      <c r="D59" s="145"/>
      <c r="E59" s="145"/>
      <c r="F59" s="147"/>
      <c r="G59" s="147"/>
      <c r="H59" s="147"/>
      <c r="I59" s="147"/>
      <c r="J59" s="147"/>
      <c r="K59" s="147"/>
      <c r="L59" s="145"/>
      <c r="M59" s="149"/>
      <c r="N59" s="149"/>
      <c r="O59" s="149"/>
      <c r="P59" s="149"/>
      <c r="Q59" s="149"/>
      <c r="R59" s="149"/>
      <c r="S59" s="149"/>
      <c r="T59" s="149"/>
      <c r="U59" s="149"/>
      <c r="V59" s="273"/>
    </row>
    <row r="60" spans="1:22" ht="15.75" outlineLevel="1" thickTop="1" x14ac:dyDescent="0.2">
      <c r="A60" s="275"/>
      <c r="B60" s="145"/>
      <c r="C60" s="145"/>
      <c r="D60" s="145"/>
      <c r="E60" s="145"/>
      <c r="F60" s="147"/>
      <c r="G60" s="147"/>
      <c r="H60" s="147"/>
      <c r="I60" s="147"/>
      <c r="J60" s="147"/>
      <c r="K60" s="147"/>
      <c r="L60" s="145"/>
      <c r="M60" s="149"/>
      <c r="N60" s="149"/>
      <c r="O60" s="149"/>
      <c r="P60" s="149"/>
      <c r="Q60" s="149"/>
      <c r="R60" s="149"/>
      <c r="S60" s="149"/>
      <c r="T60" s="149"/>
      <c r="U60" s="149"/>
      <c r="V60" s="273"/>
    </row>
    <row r="61" spans="1:22" outlineLevel="1" x14ac:dyDescent="0.2">
      <c r="A61" s="275"/>
      <c r="B61" s="145"/>
      <c r="C61" s="145"/>
      <c r="D61" s="145"/>
      <c r="E61" s="145"/>
      <c r="F61" s="147"/>
      <c r="G61" s="147"/>
      <c r="H61" s="147"/>
      <c r="I61" s="147"/>
      <c r="J61" s="147"/>
      <c r="K61" s="147"/>
      <c r="L61" s="145"/>
      <c r="M61" s="149"/>
      <c r="N61" s="149"/>
      <c r="O61" s="149"/>
      <c r="P61" s="149"/>
      <c r="Q61" s="149"/>
      <c r="R61" s="149"/>
      <c r="S61" s="149"/>
      <c r="T61" s="149"/>
      <c r="U61" s="149"/>
      <c r="V61" s="273"/>
    </row>
    <row r="62" spans="1:22" outlineLevel="1" x14ac:dyDescent="0.2">
      <c r="A62" s="275"/>
      <c r="B62" s="145"/>
      <c r="C62" s="145"/>
      <c r="D62" s="145"/>
      <c r="E62" s="145"/>
      <c r="F62" s="147"/>
      <c r="G62" s="147"/>
      <c r="H62" s="147"/>
      <c r="I62" s="147"/>
      <c r="J62" s="147"/>
      <c r="K62" s="147"/>
      <c r="L62" s="145"/>
      <c r="M62" s="149"/>
      <c r="N62" s="149"/>
      <c r="O62" s="149"/>
      <c r="P62" s="149"/>
      <c r="Q62" s="149"/>
      <c r="R62" s="149"/>
      <c r="S62" s="149"/>
      <c r="T62" s="149"/>
      <c r="U62" s="149"/>
      <c r="V62" s="273"/>
    </row>
    <row r="63" spans="1:22" outlineLevel="1" x14ac:dyDescent="0.2">
      <c r="A63" s="275"/>
      <c r="B63" s="145"/>
      <c r="C63" s="145"/>
      <c r="D63" s="145"/>
      <c r="E63" s="145"/>
      <c r="F63" s="147"/>
      <c r="G63" s="147"/>
      <c r="H63" s="147"/>
      <c r="I63" s="147"/>
      <c r="J63" s="147"/>
      <c r="K63" s="147"/>
      <c r="L63" s="145"/>
      <c r="M63" s="149"/>
      <c r="N63" s="149"/>
      <c r="O63" s="149"/>
      <c r="P63" s="149"/>
      <c r="Q63" s="149"/>
      <c r="R63" s="149"/>
      <c r="S63" s="149"/>
      <c r="T63" s="149"/>
      <c r="U63" s="149"/>
      <c r="V63" s="273"/>
    </row>
    <row r="64" spans="1:22" ht="15.75" outlineLevel="1" thickBot="1" x14ac:dyDescent="0.25">
      <c r="A64" s="276"/>
      <c r="B64" s="152"/>
      <c r="C64" s="152"/>
      <c r="D64" s="152"/>
      <c r="E64" s="152"/>
      <c r="F64" s="153"/>
      <c r="G64" s="153"/>
      <c r="H64" s="153"/>
      <c r="I64" s="153"/>
      <c r="J64" s="153"/>
      <c r="K64" s="153"/>
      <c r="L64" s="152"/>
      <c r="M64" s="154"/>
      <c r="N64" s="154"/>
      <c r="O64" s="154"/>
      <c r="P64" s="154"/>
      <c r="Q64" s="149"/>
      <c r="R64" s="154"/>
      <c r="S64" s="154"/>
      <c r="T64" s="154"/>
      <c r="U64" s="154"/>
      <c r="V64" s="277"/>
    </row>
    <row r="65" spans="1:22" ht="23.25" thickTop="1" x14ac:dyDescent="0.2">
      <c r="A65" s="278" t="s">
        <v>107</v>
      </c>
      <c r="B65" s="155"/>
      <c r="C65" s="155"/>
      <c r="D65" s="155"/>
      <c r="E65" s="155"/>
      <c r="F65" s="156"/>
      <c r="G65" s="156"/>
      <c r="H65" s="156"/>
      <c r="I65" s="156"/>
      <c r="J65" s="156"/>
      <c r="K65" s="156"/>
      <c r="L65" s="155"/>
      <c r="M65" s="157"/>
      <c r="N65" s="157"/>
      <c r="O65" s="157"/>
      <c r="P65" s="157"/>
      <c r="Q65" s="160"/>
      <c r="R65" s="160"/>
      <c r="S65" s="160"/>
      <c r="T65" s="160"/>
      <c r="U65" s="160"/>
      <c r="V65" s="279"/>
    </row>
    <row r="66" spans="1:22" ht="22.5" outlineLevel="1" x14ac:dyDescent="0.2">
      <c r="A66" s="280"/>
      <c r="B66" s="158"/>
      <c r="C66" s="158"/>
      <c r="D66" s="158"/>
      <c r="E66" s="158"/>
      <c r="F66" s="159"/>
      <c r="G66" s="159"/>
      <c r="H66" s="159"/>
      <c r="I66" s="159"/>
      <c r="J66" s="159"/>
      <c r="K66" s="159"/>
      <c r="L66" s="158"/>
      <c r="M66" s="160"/>
      <c r="N66" s="160"/>
      <c r="O66" s="160"/>
      <c r="P66" s="160"/>
      <c r="Q66" s="160"/>
      <c r="R66" s="160"/>
      <c r="S66" s="160"/>
      <c r="T66" s="160"/>
      <c r="U66" s="160"/>
      <c r="V66" s="279"/>
    </row>
    <row r="67" spans="1:22" outlineLevel="1" x14ac:dyDescent="0.2">
      <c r="A67" s="281" t="s">
        <v>108</v>
      </c>
      <c r="B67" s="240" t="e">
        <f>IF((NbOfFunctionalReqs+NbOfNonFunctionalReqs)=C8,"OK","NOK")</f>
        <v>#VALUE!</v>
      </c>
      <c r="C67" s="414" t="e">
        <f>IF((NbOfFunctionalReqs+NbOfNonFunctionalReqs)=C8,"", (NbOfFunctionalReqs+NbOfNonFunctionalReqs)-C8 &amp;  " ("&amp; ROUNDUP(((NbOfFunctionalReqs+NbOfNonFunctionalReqs)-C8)/(INT(LEFT(B7,FIND("/",B7)-2)))*100,2)&amp;"%)  requirements are not implemented")</f>
        <v>#VALUE!</v>
      </c>
      <c r="D67" s="414"/>
      <c r="E67" s="414"/>
      <c r="F67" s="414"/>
      <c r="G67" s="414"/>
      <c r="H67" s="414"/>
      <c r="I67" s="414"/>
      <c r="J67" s="414"/>
      <c r="K67" s="159"/>
      <c r="L67" s="158"/>
      <c r="M67" s="287"/>
      <c r="N67" s="160"/>
      <c r="O67" s="160"/>
      <c r="P67" s="160"/>
      <c r="Q67" s="160"/>
      <c r="R67" s="160"/>
      <c r="S67" s="160"/>
      <c r="T67" s="160"/>
      <c r="U67" s="160"/>
      <c r="V67" s="279"/>
    </row>
    <row r="68" spans="1:22" outlineLevel="1" x14ac:dyDescent="0.2">
      <c r="A68" s="281" t="s">
        <v>110</v>
      </c>
      <c r="B68" s="240" t="e">
        <f>IF(B13-ReqNotApproved&lt;=0,"OK","NOK")</f>
        <v>#VALUE!</v>
      </c>
      <c r="C68" s="414" t="e">
        <f>IF(B13-ReqNotApproved&lt;=0,"",B13-ReqNotApproved &amp;" ("&amp;ROUNDUP((B13-ReqNotApproved)/(NbOfFunctionalReqs+NbOfNonFunctionalReqs)*100,0)&amp;"%) requirements have no TestScope")</f>
        <v>#VALUE!</v>
      </c>
      <c r="D68" s="414"/>
      <c r="E68" s="414"/>
      <c r="F68" s="414"/>
      <c r="G68" s="414"/>
      <c r="H68" s="414"/>
      <c r="I68" s="414"/>
      <c r="J68" s="414"/>
      <c r="K68" s="159"/>
      <c r="L68" s="158"/>
      <c r="M68" s="287"/>
      <c r="N68" s="160"/>
      <c r="O68" s="160"/>
      <c r="P68" s="160"/>
      <c r="Q68" s="160"/>
      <c r="R68" s="160"/>
      <c r="S68" s="160"/>
      <c r="T68" s="160"/>
      <c r="U68" s="160"/>
      <c r="V68" s="279"/>
    </row>
    <row r="69" spans="1:22" outlineLevel="1" x14ac:dyDescent="0.2">
      <c r="A69" s="281" t="s">
        <v>109</v>
      </c>
      <c r="B69" s="240" t="str">
        <f>IF(-ReqNotApproved=0,"OK","NOK")</f>
        <v>OK</v>
      </c>
      <c r="C69" s="414" t="str">
        <f>IF(ReqNotApproved=0,"",ReqNotApproved &amp;" ("&amp;ROUNDUP((ReqNotApproved)/(NbOfFunctionalReqs+NbOfNonFunctionalReqs)*100,0)&amp;"%) requirements are not yet fully reviewed")</f>
        <v/>
      </c>
      <c r="D69" s="414"/>
      <c r="E69" s="414"/>
      <c r="F69" s="414"/>
      <c r="G69" s="414"/>
      <c r="H69" s="414"/>
      <c r="I69" s="414"/>
      <c r="J69" s="414"/>
      <c r="K69" s="159"/>
      <c r="L69" s="158"/>
      <c r="M69" s="287"/>
      <c r="N69" s="160"/>
      <c r="O69" s="160"/>
      <c r="P69" s="160"/>
      <c r="Q69" s="160"/>
      <c r="R69" s="160"/>
      <c r="S69" s="160"/>
      <c r="T69" s="160"/>
      <c r="U69" s="160"/>
      <c r="V69" s="279"/>
    </row>
    <row r="70" spans="1:22" outlineLevel="1" x14ac:dyDescent="0.2">
      <c r="A70" s="333" t="s">
        <v>202</v>
      </c>
      <c r="B70" s="240" t="e">
        <f>IF(B46=0,"OK","NOK")</f>
        <v>#VALUE!</v>
      </c>
      <c r="C70" s="414" t="e">
        <f>IF(B70="OK","",B46&amp;" ("&amp;ROUNDUP(B46/(INT(LEFT(B8,FIND("/",B$8)-2)))*100,0)&amp;"% from Total) requirements without Black Box test specification")</f>
        <v>#VALUE!</v>
      </c>
      <c r="D70" s="414"/>
      <c r="E70" s="414"/>
      <c r="F70" s="414"/>
      <c r="G70" s="414"/>
      <c r="H70" s="414"/>
      <c r="I70" s="414"/>
      <c r="J70" s="414"/>
      <c r="K70" s="159"/>
      <c r="L70" s="158"/>
      <c r="M70" s="287"/>
      <c r="N70" s="160"/>
      <c r="O70" s="160"/>
      <c r="P70" s="160"/>
      <c r="Q70" s="160"/>
      <c r="R70" s="160"/>
      <c r="S70" s="160"/>
      <c r="T70" s="160"/>
      <c r="U70" s="160"/>
      <c r="V70" s="279"/>
    </row>
    <row r="71" spans="1:22" outlineLevel="1" x14ac:dyDescent="0.2">
      <c r="A71" s="328" t="s">
        <v>196</v>
      </c>
      <c r="B71" s="240" t="e">
        <f>IF(B45+B46=0,"OK","NOK")</f>
        <v>#VALUE!</v>
      </c>
      <c r="C71" s="414" t="e">
        <f>IF(B71="OK","",B45+B46 &amp;" ("&amp;ROUNDUP((B45+B46)/INT(LEFT(B8,FIND("/",B$8)-2))*100,0)&amp;"% from Total) requirements without Black Box test result")</f>
        <v>#VALUE!</v>
      </c>
      <c r="D71" s="414"/>
      <c r="E71" s="414"/>
      <c r="F71" s="414"/>
      <c r="G71" s="414"/>
      <c r="H71" s="414"/>
      <c r="I71" s="414"/>
      <c r="J71" s="414"/>
      <c r="K71" s="159"/>
      <c r="L71" s="158"/>
      <c r="M71" s="287"/>
      <c r="N71" s="160"/>
      <c r="O71" s="160"/>
      <c r="P71" s="160"/>
      <c r="Q71" s="160"/>
      <c r="R71" s="160"/>
      <c r="S71" s="160"/>
      <c r="T71" s="160"/>
      <c r="U71" s="160"/>
      <c r="V71" s="279"/>
    </row>
    <row r="72" spans="1:22" ht="15.75" outlineLevel="1" thickBot="1" x14ac:dyDescent="0.25">
      <c r="A72" s="282"/>
      <c r="B72" s="283"/>
      <c r="C72" s="283"/>
      <c r="D72" s="283"/>
      <c r="E72" s="283"/>
      <c r="F72" s="284"/>
      <c r="G72" s="284"/>
      <c r="H72" s="284"/>
      <c r="I72" s="284"/>
      <c r="J72" s="284"/>
      <c r="K72" s="284"/>
      <c r="L72" s="283"/>
      <c r="M72" s="285"/>
      <c r="N72" s="285"/>
      <c r="O72" s="285"/>
      <c r="P72" s="285"/>
      <c r="Q72" s="285"/>
      <c r="R72" s="285"/>
      <c r="S72" s="285"/>
      <c r="T72" s="285"/>
      <c r="U72" s="285"/>
      <c r="V72" s="286"/>
    </row>
    <row r="73" spans="1:22" ht="15.75" hidden="1" thickTop="1" x14ac:dyDescent="0.2"/>
    <row r="75" spans="1:22" x14ac:dyDescent="0.2"/>
    <row r="76" spans="1:22" x14ac:dyDescent="0.2">
      <c r="A76" s="241"/>
      <c r="B76" s="242"/>
      <c r="C76" s="242"/>
      <c r="D76" s="242"/>
      <c r="E76" s="242"/>
      <c r="F76" s="243"/>
      <c r="G76" s="243"/>
      <c r="H76" s="243"/>
      <c r="I76" s="243"/>
      <c r="J76" s="243"/>
      <c r="K76" s="243"/>
      <c r="L76" s="242"/>
      <c r="M76" s="244"/>
      <c r="N76" s="244"/>
      <c r="O76" s="244"/>
      <c r="P76" s="244"/>
      <c r="Q76" s="244"/>
      <c r="R76" s="244"/>
      <c r="S76" s="244"/>
      <c r="T76" s="244"/>
      <c r="U76" s="244"/>
    </row>
    <row r="77" spans="1:22" x14ac:dyDescent="0.2">
      <c r="A77" s="241"/>
      <c r="B77" s="242"/>
      <c r="C77" s="242"/>
      <c r="D77" s="242"/>
      <c r="E77" s="242"/>
      <c r="F77" s="243"/>
      <c r="G77" s="243"/>
      <c r="H77" s="243"/>
      <c r="I77" s="243"/>
      <c r="J77" s="243"/>
      <c r="K77" s="243"/>
      <c r="L77" s="242"/>
      <c r="M77" s="244"/>
      <c r="N77" s="244"/>
      <c r="O77" s="244"/>
      <c r="P77" s="244"/>
      <c r="Q77" s="244"/>
      <c r="R77" s="244"/>
      <c r="S77" s="244"/>
      <c r="T77" s="244"/>
      <c r="U77" s="244"/>
    </row>
    <row r="78" spans="1:22" x14ac:dyDescent="0.2">
      <c r="A78" s="241"/>
      <c r="B78" s="242"/>
      <c r="C78" s="242"/>
      <c r="D78" s="242"/>
      <c r="E78" s="242"/>
      <c r="F78" s="243"/>
      <c r="G78" s="243"/>
      <c r="H78" s="243"/>
      <c r="I78" s="243"/>
      <c r="J78" s="243"/>
      <c r="K78" s="243"/>
      <c r="L78" s="242"/>
      <c r="M78" s="244"/>
      <c r="N78" s="244"/>
      <c r="O78" s="244"/>
      <c r="P78" s="244"/>
      <c r="Q78" s="244"/>
      <c r="R78" s="244"/>
      <c r="S78" s="244"/>
      <c r="T78" s="244"/>
      <c r="U78" s="244"/>
    </row>
    <row r="79" spans="1:22" x14ac:dyDescent="0.2">
      <c r="A79" s="241"/>
      <c r="B79" s="242"/>
      <c r="C79" s="242"/>
      <c r="D79" s="242"/>
      <c r="E79" s="242"/>
      <c r="F79" s="243"/>
      <c r="G79" s="243"/>
      <c r="H79" s="243"/>
      <c r="I79" s="243"/>
      <c r="J79" s="243"/>
      <c r="K79" s="243"/>
      <c r="L79" s="242"/>
      <c r="M79" s="244"/>
      <c r="N79" s="244"/>
      <c r="O79" s="244"/>
      <c r="P79" s="244"/>
      <c r="Q79" s="244"/>
      <c r="R79" s="244"/>
      <c r="S79" s="244"/>
      <c r="T79" s="244"/>
      <c r="U79" s="244"/>
    </row>
    <row r="80" spans="1:22" x14ac:dyDescent="0.2">
      <c r="A80" s="241"/>
      <c r="B80" s="242"/>
      <c r="C80" s="242"/>
      <c r="D80" s="242"/>
      <c r="E80" s="242"/>
      <c r="F80" s="243"/>
      <c r="G80" s="243"/>
      <c r="H80" s="243"/>
      <c r="I80" s="243"/>
      <c r="J80" s="243"/>
      <c r="K80" s="243"/>
      <c r="L80" s="242"/>
      <c r="M80" s="244"/>
      <c r="N80" s="244"/>
      <c r="O80" s="244"/>
      <c r="P80" s="244"/>
      <c r="Q80" s="244"/>
      <c r="R80" s="244"/>
      <c r="S80" s="244"/>
      <c r="T80" s="244"/>
      <c r="U80" s="244"/>
    </row>
    <row r="81" spans="1:21" x14ac:dyDescent="0.2">
      <c r="A81" s="241"/>
      <c r="B81" s="242"/>
      <c r="C81" s="242"/>
      <c r="D81" s="242"/>
      <c r="E81" s="242"/>
      <c r="F81" s="243"/>
      <c r="G81" s="243"/>
      <c r="H81" s="243"/>
      <c r="I81" s="243"/>
      <c r="J81" s="243"/>
      <c r="K81" s="243"/>
      <c r="L81" s="242"/>
      <c r="M81" s="244"/>
      <c r="N81" s="244"/>
      <c r="O81" s="244"/>
      <c r="P81" s="244"/>
      <c r="Q81" s="244"/>
      <c r="R81" s="244"/>
      <c r="S81" s="244"/>
      <c r="T81" s="244"/>
      <c r="U81" s="244"/>
    </row>
    <row r="82" spans="1:21" x14ac:dyDescent="0.2">
      <c r="A82" s="241"/>
      <c r="B82" s="242"/>
      <c r="C82" s="242"/>
      <c r="D82" s="242"/>
      <c r="E82" s="242"/>
      <c r="F82" s="243"/>
      <c r="G82" s="243"/>
      <c r="H82" s="243"/>
      <c r="I82" s="243"/>
      <c r="J82" s="243"/>
      <c r="K82" s="243"/>
      <c r="L82" s="242"/>
      <c r="M82" s="244"/>
      <c r="N82" s="244"/>
      <c r="O82" s="244"/>
      <c r="P82" s="244"/>
      <c r="Q82" s="244"/>
      <c r="R82" s="244"/>
      <c r="S82" s="244"/>
      <c r="T82" s="244"/>
      <c r="U82" s="244"/>
    </row>
    <row r="83" spans="1:21" x14ac:dyDescent="0.2">
      <c r="A83" s="241"/>
      <c r="B83" s="242"/>
      <c r="C83" s="242"/>
      <c r="D83" s="242"/>
      <c r="E83" s="242"/>
      <c r="F83" s="243"/>
      <c r="G83" s="243"/>
      <c r="H83" s="243"/>
      <c r="I83" s="243"/>
      <c r="J83" s="243"/>
      <c r="K83" s="243"/>
      <c r="L83" s="242"/>
      <c r="M83" s="244"/>
      <c r="N83" s="244"/>
      <c r="O83" s="244"/>
      <c r="P83" s="244"/>
      <c r="Q83" s="244"/>
      <c r="R83" s="244"/>
      <c r="S83" s="244"/>
      <c r="T83" s="244"/>
      <c r="U83" s="244"/>
    </row>
    <row r="84" spans="1:21" x14ac:dyDescent="0.2">
      <c r="A84" s="241"/>
      <c r="B84" s="242"/>
      <c r="C84" s="242"/>
      <c r="D84" s="242"/>
      <c r="E84" s="242"/>
      <c r="F84" s="243"/>
      <c r="G84" s="243"/>
      <c r="H84" s="243"/>
      <c r="I84" s="243"/>
      <c r="J84" s="243"/>
      <c r="K84" s="243"/>
      <c r="L84" s="242"/>
      <c r="M84" s="244"/>
      <c r="N84" s="244"/>
      <c r="O84" s="244"/>
      <c r="P84" s="244"/>
      <c r="Q84" s="244"/>
      <c r="R84" s="244"/>
      <c r="S84" s="244"/>
      <c r="T84" s="244"/>
      <c r="U84" s="244"/>
    </row>
    <row r="85" spans="1:21" x14ac:dyDescent="0.2">
      <c r="A85" s="241"/>
      <c r="B85" s="242"/>
      <c r="C85" s="242"/>
      <c r="D85" s="242"/>
      <c r="E85" s="242"/>
      <c r="F85" s="243"/>
      <c r="G85" s="243"/>
      <c r="H85" s="243"/>
      <c r="I85" s="243"/>
      <c r="J85" s="243"/>
      <c r="K85" s="243"/>
      <c r="L85" s="242"/>
      <c r="M85" s="244"/>
      <c r="N85" s="244"/>
      <c r="O85" s="244"/>
      <c r="P85" s="244"/>
      <c r="Q85" s="244"/>
      <c r="R85" s="244"/>
      <c r="S85" s="244"/>
      <c r="T85" s="244"/>
      <c r="U85" s="244"/>
    </row>
    <row r="86" spans="1:21" x14ac:dyDescent="0.2">
      <c r="A86" s="241"/>
      <c r="B86" s="242"/>
      <c r="C86" s="242"/>
      <c r="D86" s="242"/>
      <c r="E86" s="242"/>
      <c r="F86" s="243"/>
      <c r="G86" s="243"/>
      <c r="H86" s="243"/>
      <c r="I86" s="243"/>
      <c r="J86" s="243"/>
      <c r="K86" s="243"/>
      <c r="L86" s="242"/>
      <c r="M86" s="244"/>
      <c r="N86" s="244"/>
      <c r="O86" s="244"/>
      <c r="P86" s="244"/>
      <c r="Q86" s="244"/>
      <c r="R86" s="244"/>
      <c r="S86" s="244"/>
      <c r="T86" s="244"/>
      <c r="U86" s="244"/>
    </row>
    <row r="87" spans="1:21" x14ac:dyDescent="0.2">
      <c r="A87" s="241"/>
      <c r="B87" s="242"/>
      <c r="C87" s="242"/>
      <c r="D87" s="242"/>
      <c r="E87" s="242"/>
      <c r="F87" s="243"/>
      <c r="G87" s="243"/>
      <c r="H87" s="243"/>
      <c r="I87" s="243"/>
      <c r="J87" s="243"/>
      <c r="K87" s="243"/>
      <c r="L87" s="242"/>
      <c r="M87" s="244"/>
      <c r="N87" s="244"/>
      <c r="O87" s="244"/>
      <c r="P87" s="244"/>
      <c r="Q87" s="244"/>
      <c r="R87" s="244"/>
      <c r="S87" s="244"/>
      <c r="T87" s="244"/>
      <c r="U87" s="244"/>
    </row>
    <row r="88" spans="1:21" x14ac:dyDescent="0.2">
      <c r="A88" s="241"/>
      <c r="B88" s="242"/>
      <c r="C88" s="242"/>
      <c r="D88" s="242"/>
      <c r="E88" s="242"/>
      <c r="F88" s="243"/>
      <c r="G88" s="243"/>
      <c r="H88" s="243"/>
      <c r="I88" s="243"/>
      <c r="J88" s="243"/>
      <c r="K88" s="243"/>
      <c r="L88" s="242"/>
      <c r="M88" s="244"/>
      <c r="N88" s="244"/>
      <c r="O88" s="244"/>
      <c r="P88" s="244"/>
      <c r="Q88" s="244"/>
      <c r="R88" s="244"/>
      <c r="S88" s="244"/>
      <c r="T88" s="244"/>
      <c r="U88" s="244"/>
    </row>
    <row r="89" spans="1:21" x14ac:dyDescent="0.2">
      <c r="A89" s="241"/>
      <c r="B89" s="242"/>
      <c r="C89" s="242"/>
      <c r="D89" s="242"/>
      <c r="E89" s="242"/>
      <c r="F89" s="243"/>
      <c r="G89" s="243"/>
      <c r="H89" s="243"/>
      <c r="I89" s="243"/>
      <c r="J89" s="243"/>
      <c r="K89" s="243"/>
      <c r="L89" s="242"/>
      <c r="M89" s="244"/>
      <c r="N89" s="244"/>
      <c r="O89" s="244"/>
      <c r="P89" s="244"/>
      <c r="Q89" s="244"/>
      <c r="R89" s="244"/>
      <c r="S89" s="244"/>
      <c r="T89" s="244"/>
      <c r="U89" s="244"/>
    </row>
    <row r="90" spans="1:21" x14ac:dyDescent="0.2">
      <c r="A90" s="241"/>
      <c r="B90" s="242"/>
      <c r="C90" s="242"/>
      <c r="D90" s="242"/>
      <c r="E90" s="242"/>
      <c r="F90" s="243"/>
      <c r="G90" s="243"/>
      <c r="H90" s="243"/>
      <c r="I90" s="243"/>
      <c r="J90" s="243"/>
      <c r="K90" s="243"/>
      <c r="L90" s="242"/>
      <c r="M90" s="244"/>
      <c r="N90" s="244"/>
      <c r="O90" s="244"/>
      <c r="P90" s="244"/>
      <c r="Q90" s="244"/>
      <c r="R90" s="244"/>
      <c r="S90" s="244"/>
      <c r="T90" s="244"/>
      <c r="U90" s="244"/>
    </row>
    <row r="91" spans="1:21" x14ac:dyDescent="0.2">
      <c r="A91" s="241"/>
      <c r="B91" s="242"/>
      <c r="C91" s="242"/>
      <c r="D91" s="242"/>
      <c r="E91" s="242"/>
      <c r="F91" s="243"/>
      <c r="G91" s="243"/>
      <c r="H91" s="243"/>
      <c r="I91" s="243"/>
      <c r="J91" s="243"/>
      <c r="K91" s="243"/>
      <c r="L91" s="242"/>
      <c r="M91" s="244"/>
      <c r="N91" s="244"/>
      <c r="O91" s="244"/>
      <c r="P91" s="244"/>
      <c r="Q91" s="244"/>
      <c r="R91" s="244"/>
      <c r="S91" s="244"/>
      <c r="T91" s="244"/>
      <c r="U91" s="244"/>
    </row>
    <row r="92" spans="1:21" x14ac:dyDescent="0.2">
      <c r="A92" s="241"/>
      <c r="B92" s="242"/>
      <c r="C92" s="242"/>
      <c r="D92" s="242"/>
      <c r="E92" s="242"/>
      <c r="F92" s="243"/>
      <c r="G92" s="243"/>
      <c r="H92" s="243"/>
      <c r="I92" s="243"/>
      <c r="J92" s="243"/>
      <c r="K92" s="243"/>
      <c r="L92" s="242"/>
      <c r="M92" s="244"/>
      <c r="N92" s="244"/>
      <c r="O92" s="244"/>
      <c r="P92" s="244"/>
      <c r="Q92" s="244"/>
      <c r="R92" s="244"/>
      <c r="S92" s="244"/>
      <c r="T92" s="244"/>
      <c r="U92" s="244"/>
    </row>
    <row r="93" spans="1:21" x14ac:dyDescent="0.2">
      <c r="A93" s="241"/>
      <c r="B93" s="242"/>
      <c r="C93" s="242"/>
      <c r="D93" s="242"/>
      <c r="E93" s="242"/>
      <c r="F93" s="243"/>
      <c r="G93" s="243"/>
      <c r="H93" s="243"/>
      <c r="I93" s="243"/>
      <c r="J93" s="243"/>
      <c r="K93" s="243"/>
      <c r="L93" s="242"/>
      <c r="M93" s="244"/>
      <c r="N93" s="244"/>
      <c r="O93" s="244"/>
      <c r="P93" s="244"/>
      <c r="Q93" s="244"/>
      <c r="R93" s="244"/>
      <c r="S93" s="244"/>
      <c r="T93" s="244"/>
      <c r="U93" s="244"/>
    </row>
    <row r="94" spans="1:21" x14ac:dyDescent="0.2">
      <c r="A94" s="241"/>
      <c r="B94" s="242"/>
      <c r="C94" s="242"/>
      <c r="D94" s="242"/>
      <c r="E94" s="242"/>
      <c r="F94" s="243"/>
      <c r="G94" s="243"/>
      <c r="H94" s="243"/>
      <c r="I94" s="243"/>
      <c r="J94" s="243"/>
      <c r="K94" s="243"/>
      <c r="L94" s="242"/>
      <c r="M94" s="244"/>
      <c r="N94" s="244"/>
      <c r="O94" s="244"/>
      <c r="P94" s="244"/>
      <c r="Q94" s="244"/>
      <c r="R94" s="244"/>
      <c r="S94" s="244"/>
      <c r="T94" s="244"/>
      <c r="U94" s="244"/>
    </row>
    <row r="95" spans="1:21" x14ac:dyDescent="0.2">
      <c r="A95" s="241"/>
      <c r="B95" s="242"/>
      <c r="C95" s="242"/>
      <c r="D95" s="242"/>
      <c r="E95" s="242"/>
      <c r="F95" s="243"/>
      <c r="G95" s="243"/>
      <c r="H95" s="243"/>
      <c r="I95" s="243"/>
      <c r="J95" s="243"/>
      <c r="K95" s="243"/>
      <c r="L95" s="242"/>
      <c r="M95" s="244"/>
      <c r="N95" s="244"/>
      <c r="O95" s="244"/>
      <c r="P95" s="244"/>
      <c r="Q95" s="244"/>
      <c r="R95" s="244"/>
      <c r="S95" s="244"/>
      <c r="T95" s="244"/>
      <c r="U95" s="244"/>
    </row>
    <row r="96" spans="1:21" x14ac:dyDescent="0.2">
      <c r="A96" s="241"/>
      <c r="B96" s="242"/>
      <c r="C96" s="242"/>
      <c r="D96" s="242"/>
      <c r="E96" s="242"/>
      <c r="F96" s="243"/>
      <c r="G96" s="243"/>
      <c r="H96" s="243"/>
      <c r="I96" s="243"/>
      <c r="J96" s="243"/>
      <c r="K96" s="243"/>
      <c r="L96" s="242"/>
      <c r="M96" s="244"/>
      <c r="N96" s="244"/>
      <c r="O96" s="244"/>
      <c r="P96" s="244"/>
      <c r="Q96" s="244"/>
      <c r="R96" s="244"/>
      <c r="S96" s="244"/>
      <c r="T96" s="244"/>
      <c r="U96" s="244"/>
    </row>
    <row r="97" spans="1:21" x14ac:dyDescent="0.2">
      <c r="A97" s="241"/>
      <c r="B97" s="242"/>
      <c r="C97" s="242"/>
      <c r="D97" s="242"/>
      <c r="E97" s="242"/>
      <c r="F97" s="243"/>
      <c r="G97" s="243"/>
      <c r="H97" s="243"/>
      <c r="I97" s="243"/>
      <c r="J97" s="243"/>
      <c r="K97" s="243"/>
      <c r="L97" s="242"/>
      <c r="M97" s="244"/>
      <c r="N97" s="244"/>
      <c r="O97" s="244"/>
      <c r="P97" s="244"/>
      <c r="Q97" s="244"/>
      <c r="R97" s="244"/>
      <c r="S97" s="244"/>
      <c r="T97" s="244"/>
      <c r="U97" s="244"/>
    </row>
    <row r="98" spans="1:21" x14ac:dyDescent="0.2">
      <c r="A98" s="241"/>
      <c r="B98" s="242"/>
      <c r="C98" s="242"/>
      <c r="D98" s="242"/>
      <c r="E98" s="242"/>
      <c r="F98" s="243"/>
      <c r="G98" s="243"/>
      <c r="H98" s="243"/>
      <c r="I98" s="243"/>
      <c r="J98" s="243"/>
      <c r="K98" s="243"/>
      <c r="L98" s="242"/>
      <c r="M98" s="244"/>
      <c r="N98" s="244"/>
      <c r="O98" s="244"/>
      <c r="P98" s="244"/>
      <c r="Q98" s="244"/>
      <c r="R98" s="244"/>
      <c r="S98" s="244"/>
      <c r="T98" s="244"/>
      <c r="U98" s="244"/>
    </row>
    <row r="99" spans="1:21" x14ac:dyDescent="0.2">
      <c r="A99" s="241"/>
      <c r="B99" s="242"/>
      <c r="C99" s="242"/>
      <c r="D99" s="242"/>
      <c r="E99" s="242"/>
      <c r="F99" s="243"/>
      <c r="G99" s="243"/>
      <c r="H99" s="243"/>
      <c r="I99" s="243"/>
      <c r="J99" s="243"/>
      <c r="K99" s="243"/>
      <c r="L99" s="242"/>
      <c r="M99" s="244"/>
      <c r="N99" s="244"/>
      <c r="O99" s="244"/>
      <c r="P99" s="244"/>
      <c r="Q99" s="244"/>
      <c r="R99" s="244"/>
      <c r="S99" s="244"/>
      <c r="T99" s="244"/>
      <c r="U99" s="244"/>
    </row>
    <row r="100" spans="1:21" x14ac:dyDescent="0.2">
      <c r="A100" s="241"/>
      <c r="B100" s="242"/>
      <c r="C100" s="242"/>
      <c r="D100" s="242"/>
      <c r="E100" s="242"/>
      <c r="F100" s="243"/>
      <c r="G100" s="243"/>
      <c r="H100" s="243"/>
      <c r="I100" s="243"/>
      <c r="J100" s="243"/>
      <c r="K100" s="243"/>
      <c r="L100" s="242"/>
      <c r="M100" s="244"/>
      <c r="N100" s="244"/>
      <c r="O100" s="244"/>
      <c r="P100" s="244"/>
      <c r="Q100" s="244"/>
      <c r="R100" s="244"/>
      <c r="S100" s="244"/>
      <c r="T100" s="244"/>
      <c r="U100" s="244"/>
    </row>
    <row r="101" spans="1:21" x14ac:dyDescent="0.2">
      <c r="A101" s="241"/>
      <c r="B101" s="242"/>
      <c r="C101" s="242"/>
      <c r="D101" s="242"/>
      <c r="E101" s="242"/>
      <c r="F101" s="243"/>
      <c r="G101" s="243"/>
      <c r="H101" s="243"/>
      <c r="I101" s="243"/>
      <c r="J101" s="243"/>
      <c r="K101" s="243"/>
      <c r="L101" s="242"/>
      <c r="M101" s="244"/>
      <c r="N101" s="244"/>
      <c r="O101" s="244"/>
      <c r="P101" s="244"/>
      <c r="Q101" s="244"/>
      <c r="R101" s="244"/>
      <c r="S101" s="244"/>
      <c r="T101" s="244"/>
      <c r="U101" s="244"/>
    </row>
    <row r="102" spans="1:21" x14ac:dyDescent="0.2">
      <c r="A102" s="241"/>
      <c r="B102" s="242"/>
      <c r="C102" s="242"/>
      <c r="D102" s="242"/>
      <c r="E102" s="242"/>
      <c r="F102" s="243"/>
      <c r="G102" s="243"/>
      <c r="H102" s="243"/>
      <c r="I102" s="243"/>
      <c r="J102" s="243"/>
      <c r="K102" s="243"/>
      <c r="L102" s="242"/>
      <c r="M102" s="244"/>
      <c r="N102" s="244"/>
      <c r="O102" s="244"/>
      <c r="P102" s="244"/>
      <c r="Q102" s="244"/>
      <c r="R102" s="244"/>
      <c r="S102" s="244"/>
      <c r="T102" s="244"/>
      <c r="U102" s="244"/>
    </row>
    <row r="103" spans="1:21" x14ac:dyDescent="0.2">
      <c r="A103" s="241"/>
      <c r="B103" s="242"/>
      <c r="C103" s="242"/>
      <c r="D103" s="242"/>
      <c r="E103" s="242"/>
      <c r="F103" s="243"/>
      <c r="G103" s="243"/>
      <c r="H103" s="243"/>
      <c r="I103" s="243"/>
      <c r="J103" s="243"/>
      <c r="K103" s="243"/>
      <c r="L103" s="242"/>
      <c r="M103" s="244"/>
      <c r="N103" s="244"/>
      <c r="O103" s="244"/>
      <c r="P103" s="244"/>
      <c r="Q103" s="244"/>
      <c r="R103" s="244"/>
      <c r="S103" s="244"/>
      <c r="T103" s="244"/>
      <c r="U103" s="244"/>
    </row>
    <row r="104" spans="1:21" x14ac:dyDescent="0.2">
      <c r="A104" s="241"/>
      <c r="B104" s="242"/>
      <c r="C104" s="242"/>
      <c r="D104" s="242"/>
      <c r="E104" s="242"/>
      <c r="F104" s="243"/>
      <c r="G104" s="243"/>
      <c r="H104" s="243"/>
      <c r="I104" s="243"/>
      <c r="J104" s="243"/>
      <c r="K104" s="243"/>
      <c r="L104" s="242"/>
      <c r="M104" s="244"/>
      <c r="N104" s="244"/>
      <c r="O104" s="244"/>
      <c r="P104" s="244"/>
      <c r="Q104" s="244"/>
      <c r="R104" s="244"/>
      <c r="S104" s="244"/>
      <c r="T104" s="244"/>
      <c r="U104" s="244"/>
    </row>
    <row r="105" spans="1:21" x14ac:dyDescent="0.2">
      <c r="A105" s="241"/>
      <c r="B105" s="242"/>
      <c r="C105" s="242"/>
      <c r="D105" s="242"/>
      <c r="E105" s="242"/>
      <c r="F105" s="243"/>
      <c r="G105" s="243"/>
      <c r="H105" s="243"/>
      <c r="I105" s="243"/>
      <c r="J105" s="243"/>
      <c r="K105" s="243"/>
      <c r="L105" s="242"/>
      <c r="M105" s="244"/>
      <c r="N105" s="244"/>
      <c r="O105" s="244"/>
      <c r="P105" s="244"/>
      <c r="Q105" s="244"/>
      <c r="R105" s="244"/>
      <c r="S105" s="244"/>
      <c r="T105" s="244"/>
      <c r="U105" s="244"/>
    </row>
    <row r="106" spans="1:21" x14ac:dyDescent="0.2">
      <c r="A106" s="241"/>
      <c r="B106" s="242"/>
      <c r="C106" s="242"/>
      <c r="D106" s="242"/>
      <c r="E106" s="242"/>
      <c r="F106" s="243"/>
      <c r="G106" s="243"/>
      <c r="H106" s="243"/>
      <c r="I106" s="243"/>
      <c r="J106" s="243"/>
      <c r="K106" s="243"/>
      <c r="L106" s="242"/>
      <c r="M106" s="244"/>
      <c r="N106" s="244"/>
      <c r="O106" s="244"/>
      <c r="P106" s="244"/>
      <c r="Q106" s="244"/>
      <c r="R106" s="244"/>
      <c r="S106" s="244"/>
      <c r="T106" s="244"/>
      <c r="U106" s="244"/>
    </row>
    <row r="107" spans="1:21" x14ac:dyDescent="0.2">
      <c r="A107" s="241"/>
      <c r="B107" s="242"/>
      <c r="C107" s="242"/>
      <c r="D107" s="242"/>
      <c r="E107" s="242"/>
      <c r="F107" s="243"/>
      <c r="G107" s="243"/>
      <c r="H107" s="243"/>
      <c r="I107" s="243"/>
      <c r="J107" s="243"/>
      <c r="K107" s="243"/>
      <c r="L107" s="242"/>
      <c r="M107" s="244"/>
      <c r="N107" s="244"/>
      <c r="O107" s="244"/>
      <c r="P107" s="244"/>
      <c r="Q107" s="244"/>
      <c r="R107" s="244"/>
      <c r="S107" s="244"/>
      <c r="T107" s="244"/>
      <c r="U107" s="244"/>
    </row>
    <row r="108" spans="1:21" x14ac:dyDescent="0.2">
      <c r="A108" s="241"/>
      <c r="B108" s="242"/>
      <c r="C108" s="242"/>
      <c r="D108" s="242"/>
      <c r="E108" s="242"/>
      <c r="F108" s="243"/>
      <c r="G108" s="243"/>
      <c r="H108" s="243"/>
      <c r="I108" s="243"/>
      <c r="J108" s="243"/>
      <c r="K108" s="243"/>
      <c r="L108" s="242"/>
      <c r="M108" s="244"/>
      <c r="N108" s="244"/>
      <c r="O108" s="244"/>
      <c r="P108" s="244"/>
      <c r="Q108" s="244"/>
      <c r="R108" s="244"/>
      <c r="S108" s="244"/>
      <c r="T108" s="244"/>
      <c r="U108" s="244"/>
    </row>
    <row r="109" spans="1:21" x14ac:dyDescent="0.2">
      <c r="A109" s="241"/>
      <c r="B109" s="242"/>
      <c r="C109" s="242"/>
      <c r="D109" s="242"/>
      <c r="E109" s="242"/>
      <c r="F109" s="243"/>
      <c r="G109" s="243"/>
      <c r="H109" s="243"/>
      <c r="I109" s="243"/>
      <c r="J109" s="243"/>
      <c r="K109" s="243"/>
      <c r="L109" s="242"/>
      <c r="M109" s="244"/>
      <c r="N109" s="244"/>
      <c r="O109" s="244"/>
      <c r="P109" s="244"/>
      <c r="Q109" s="244"/>
      <c r="R109" s="244"/>
      <c r="S109" s="244"/>
      <c r="T109" s="244"/>
      <c r="U109" s="244"/>
    </row>
    <row r="110" spans="1:21" x14ac:dyDescent="0.2">
      <c r="A110" s="241"/>
      <c r="B110" s="242"/>
      <c r="C110" s="242"/>
      <c r="D110" s="242"/>
      <c r="E110" s="242"/>
      <c r="F110" s="243"/>
      <c r="G110" s="243"/>
      <c r="H110" s="243"/>
      <c r="I110" s="243"/>
      <c r="J110" s="243"/>
      <c r="K110" s="243"/>
      <c r="L110" s="242"/>
      <c r="M110" s="244"/>
      <c r="N110" s="244"/>
      <c r="O110" s="244"/>
      <c r="P110" s="244"/>
      <c r="Q110" s="244"/>
      <c r="R110" s="244"/>
      <c r="S110" s="244"/>
      <c r="T110" s="244"/>
      <c r="U110" s="244"/>
    </row>
    <row r="111" spans="1:21" x14ac:dyDescent="0.2">
      <c r="A111" s="241"/>
      <c r="B111" s="242"/>
      <c r="C111" s="242"/>
      <c r="D111" s="242"/>
      <c r="E111" s="242"/>
      <c r="F111" s="243"/>
      <c r="G111" s="243"/>
      <c r="H111" s="243"/>
      <c r="I111" s="243"/>
      <c r="J111" s="243"/>
      <c r="K111" s="243"/>
      <c r="L111" s="242"/>
      <c r="M111" s="244"/>
      <c r="N111" s="244"/>
      <c r="O111" s="244"/>
      <c r="P111" s="244"/>
      <c r="Q111" s="244"/>
      <c r="R111" s="244"/>
      <c r="S111" s="244"/>
      <c r="T111" s="244"/>
      <c r="U111" s="244"/>
    </row>
    <row r="112" spans="1:21" x14ac:dyDescent="0.2">
      <c r="A112" s="241"/>
      <c r="B112" s="242"/>
      <c r="C112" s="242"/>
      <c r="D112" s="242"/>
      <c r="E112" s="242"/>
      <c r="F112" s="243"/>
      <c r="G112" s="243"/>
      <c r="H112" s="243"/>
      <c r="I112" s="243"/>
      <c r="J112" s="243"/>
      <c r="K112" s="243"/>
      <c r="L112" s="242"/>
      <c r="M112" s="244"/>
      <c r="N112" s="244"/>
      <c r="O112" s="244"/>
      <c r="P112" s="244"/>
      <c r="Q112" s="244"/>
      <c r="R112" s="244"/>
      <c r="S112" s="244"/>
      <c r="T112" s="244"/>
      <c r="U112" s="244"/>
    </row>
    <row r="113" spans="1:21" x14ac:dyDescent="0.2">
      <c r="A113" s="241"/>
      <c r="B113" s="242"/>
      <c r="C113" s="242"/>
      <c r="D113" s="242"/>
      <c r="E113" s="242"/>
      <c r="F113" s="243"/>
      <c r="G113" s="243"/>
      <c r="H113" s="243"/>
      <c r="I113" s="243"/>
      <c r="J113" s="243"/>
      <c r="K113" s="243"/>
      <c r="L113" s="242"/>
      <c r="M113" s="244"/>
      <c r="N113" s="244"/>
      <c r="O113" s="244"/>
      <c r="P113" s="244"/>
      <c r="Q113" s="244"/>
      <c r="R113" s="244"/>
      <c r="S113" s="244"/>
      <c r="T113" s="244"/>
      <c r="U113" s="244"/>
    </row>
    <row r="114" spans="1:21" x14ac:dyDescent="0.2">
      <c r="A114" s="241"/>
      <c r="B114" s="242"/>
      <c r="C114" s="242"/>
      <c r="D114" s="242"/>
      <c r="E114" s="242"/>
      <c r="F114" s="243"/>
      <c r="G114" s="243"/>
      <c r="H114" s="243"/>
      <c r="I114" s="243"/>
      <c r="J114" s="243"/>
      <c r="K114" s="243"/>
      <c r="L114" s="242"/>
      <c r="M114" s="244"/>
      <c r="N114" s="244"/>
      <c r="O114" s="244"/>
      <c r="P114" s="244"/>
      <c r="Q114" s="244"/>
      <c r="R114" s="244"/>
      <c r="S114" s="244"/>
      <c r="T114" s="244"/>
      <c r="U114" s="244"/>
    </row>
    <row r="115" spans="1:21" x14ac:dyDescent="0.2">
      <c r="A115" s="241"/>
      <c r="B115" s="242"/>
      <c r="C115" s="242"/>
      <c r="D115" s="242"/>
      <c r="E115" s="242"/>
      <c r="F115" s="243"/>
      <c r="G115" s="243"/>
      <c r="H115" s="243"/>
      <c r="I115" s="243"/>
      <c r="J115" s="243"/>
      <c r="K115" s="243"/>
      <c r="L115" s="242"/>
      <c r="M115" s="244"/>
      <c r="N115" s="244"/>
      <c r="O115" s="244"/>
      <c r="P115" s="244"/>
      <c r="Q115" s="244"/>
      <c r="R115" s="244"/>
      <c r="S115" s="244"/>
      <c r="T115" s="244"/>
      <c r="U115" s="244"/>
    </row>
    <row r="116" spans="1:21" x14ac:dyDescent="0.2">
      <c r="A116" s="241"/>
      <c r="B116" s="242"/>
      <c r="C116" s="242"/>
      <c r="D116" s="242"/>
      <c r="E116" s="242"/>
      <c r="F116" s="243"/>
      <c r="G116" s="243"/>
      <c r="H116" s="243"/>
      <c r="I116" s="243"/>
      <c r="J116" s="243"/>
      <c r="K116" s="243"/>
      <c r="L116" s="242"/>
      <c r="M116" s="244"/>
      <c r="N116" s="244"/>
      <c r="O116" s="244"/>
      <c r="P116" s="244"/>
      <c r="Q116" s="244"/>
      <c r="R116" s="244"/>
      <c r="S116" s="244"/>
      <c r="T116" s="244"/>
      <c r="U116" s="244"/>
    </row>
    <row r="117" spans="1:21" x14ac:dyDescent="0.2">
      <c r="A117" s="241"/>
      <c r="B117" s="242"/>
      <c r="C117" s="242"/>
      <c r="D117" s="242"/>
      <c r="E117" s="242"/>
      <c r="F117" s="243"/>
      <c r="G117" s="243"/>
      <c r="H117" s="243"/>
      <c r="I117" s="243"/>
      <c r="J117" s="243"/>
      <c r="K117" s="243"/>
      <c r="L117" s="242"/>
      <c r="M117" s="244"/>
      <c r="N117" s="244"/>
      <c r="O117" s="244"/>
      <c r="P117" s="244"/>
      <c r="Q117" s="244"/>
      <c r="R117" s="244"/>
      <c r="S117" s="244"/>
      <c r="T117" s="244"/>
      <c r="U117" s="244"/>
    </row>
    <row r="118" spans="1:21" x14ac:dyDescent="0.2">
      <c r="A118" s="241"/>
      <c r="B118" s="242"/>
      <c r="C118" s="242"/>
      <c r="D118" s="242"/>
      <c r="E118" s="242"/>
      <c r="F118" s="243"/>
      <c r="G118" s="243"/>
      <c r="H118" s="243"/>
      <c r="I118" s="243"/>
      <c r="J118" s="243"/>
      <c r="K118" s="243"/>
      <c r="L118" s="242"/>
      <c r="M118" s="244"/>
      <c r="N118" s="244"/>
      <c r="O118" s="244"/>
      <c r="P118" s="244"/>
      <c r="Q118" s="244"/>
      <c r="R118" s="244"/>
      <c r="S118" s="244"/>
      <c r="T118" s="244"/>
      <c r="U118" s="244"/>
    </row>
    <row r="119" spans="1:21" x14ac:dyDescent="0.2">
      <c r="A119" s="241"/>
      <c r="B119" s="242"/>
      <c r="C119" s="242"/>
      <c r="D119" s="242"/>
      <c r="E119" s="242"/>
      <c r="F119" s="243"/>
      <c r="G119" s="243"/>
      <c r="H119" s="243"/>
      <c r="I119" s="243"/>
      <c r="J119" s="243"/>
      <c r="K119" s="243"/>
      <c r="L119" s="242"/>
      <c r="M119" s="244"/>
      <c r="N119" s="244"/>
      <c r="O119" s="244"/>
      <c r="P119" s="244"/>
      <c r="Q119" s="244"/>
      <c r="R119" s="244"/>
      <c r="S119" s="244"/>
      <c r="T119" s="244"/>
      <c r="U119" s="244"/>
    </row>
    <row r="120" spans="1:21" x14ac:dyDescent="0.2">
      <c r="A120" s="241"/>
      <c r="B120" s="242"/>
      <c r="C120" s="242"/>
      <c r="D120" s="242"/>
      <c r="E120" s="242"/>
      <c r="F120" s="243"/>
      <c r="G120" s="243"/>
      <c r="H120" s="243"/>
      <c r="I120" s="243"/>
      <c r="J120" s="243"/>
      <c r="K120" s="243"/>
      <c r="L120" s="242"/>
      <c r="M120" s="244"/>
      <c r="N120" s="244"/>
      <c r="O120" s="244"/>
      <c r="P120" s="244"/>
      <c r="Q120" s="244"/>
      <c r="R120" s="244"/>
      <c r="S120" s="244"/>
      <c r="T120" s="244"/>
      <c r="U120" s="244"/>
    </row>
    <row r="121" spans="1:21" x14ac:dyDescent="0.2"/>
    <row r="122" spans="1:21" x14ac:dyDescent="0.2"/>
    <row r="123" spans="1:21" x14ac:dyDescent="0.2"/>
  </sheetData>
  <mergeCells count="9">
    <mergeCell ref="C70:J70"/>
    <mergeCell ref="N3:P3"/>
    <mergeCell ref="C3:L3"/>
    <mergeCell ref="C71:J71"/>
    <mergeCell ref="B1:C1"/>
    <mergeCell ref="C67:J67"/>
    <mergeCell ref="C68:J68"/>
    <mergeCell ref="C69:J69"/>
    <mergeCell ref="T3:V3"/>
  </mergeCells>
  <conditionalFormatting sqref="B69">
    <cfRule type="iconSet" priority="13">
      <iconSet>
        <cfvo type="percent" val="0"/>
        <cfvo type="percent" val="33"/>
        <cfvo type="percent" val="67"/>
      </iconSet>
    </cfRule>
    <cfRule type="cellIs" dxfId="8" priority="14" stopIfTrue="1" operator="equal">
      <formula>"OK"</formula>
    </cfRule>
  </conditionalFormatting>
  <conditionalFormatting sqref="B1:C1">
    <cfRule type="cellIs" dxfId="7" priority="10" stopIfTrue="1" operator="equal">
      <formula>"tbd"</formula>
    </cfRule>
  </conditionalFormatting>
  <conditionalFormatting sqref="B70">
    <cfRule type="iconSet" priority="6">
      <iconSet>
        <cfvo type="percent" val="0"/>
        <cfvo type="percent" val="33"/>
        <cfvo type="percent" val="67"/>
      </iconSet>
    </cfRule>
    <cfRule type="cellIs" dxfId="6" priority="7" stopIfTrue="1" operator="equal">
      <formula>"OK"</formula>
    </cfRule>
  </conditionalFormatting>
  <conditionalFormatting sqref="B71">
    <cfRule type="iconSet" priority="19">
      <iconSet>
        <cfvo type="percent" val="0"/>
        <cfvo type="percent" val="33"/>
        <cfvo type="percent" val="67"/>
      </iconSet>
    </cfRule>
    <cfRule type="cellIs" dxfId="5" priority="20" stopIfTrue="1" operator="equal">
      <formula>"OK"</formula>
    </cfRule>
  </conditionalFormatting>
  <conditionalFormatting sqref="B67">
    <cfRule type="iconSet" priority="2">
      <iconSet>
        <cfvo type="percent" val="0"/>
        <cfvo type="percent" val="33"/>
        <cfvo type="percent" val="67"/>
      </iconSet>
    </cfRule>
    <cfRule type="cellIs" dxfId="4" priority="3" stopIfTrue="1" operator="equal">
      <formula>"OK"</formula>
    </cfRule>
  </conditionalFormatting>
  <conditionalFormatting sqref="B68">
    <cfRule type="cellIs" dxfId="3" priority="1" stopIfTrue="1" operator="equal">
      <formula>"OK"</formula>
    </cfRule>
  </conditionalFormatting>
  <pageMargins left="0.75" right="0.75" top="1" bottom="1" header="0.4921259845" footer="0.4921259845"/>
  <pageSetup scale="34" orientation="portrait" r:id="rId1"/>
  <headerFooter alignWithMargins="0">
    <oddFooter>&amp;LExxxxxx rev xxx ver xxx&amp;R&amp;P</oddFooter>
  </headerFooter>
  <drawing r:id="rId2"/>
  <legacyDrawing r:id="rId3"/>
  <controls>
    <mc:AlternateContent xmlns:mc="http://schemas.openxmlformats.org/markup-compatibility/2006">
      <mc:Choice Requires="x14">
        <control shapeId="20481" r:id="rId4" name="UpdateStatisticsButton">
          <controlPr defaultSize="0" autoLine="0" r:id="rId5">
            <anchor>
              <from>
                <xdr:col>2</xdr:col>
                <xdr:colOff>38100</xdr:colOff>
                <xdr:row>1</xdr:row>
                <xdr:rowOff>85725</xdr:rowOff>
              </from>
              <to>
                <xdr:col>4</xdr:col>
                <xdr:colOff>333375</xdr:colOff>
                <xdr:row>1</xdr:row>
                <xdr:rowOff>438150</xdr:rowOff>
              </to>
            </anchor>
          </controlPr>
        </control>
      </mc:Choice>
      <mc:Fallback>
        <control shapeId="20481" r:id="rId4" name="UpdateStatisticsButton"/>
      </mc:Fallback>
    </mc:AlternateContent>
    <mc:AlternateContent xmlns:mc="http://schemas.openxmlformats.org/markup-compatibility/2006">
      <mc:Choice Requires="x14">
        <control shapeId="20482" r:id="rId6" name="ImportSRM">
          <controlPr defaultSize="0" autoLine="0" r:id="rId7">
            <anchor>
              <from>
                <xdr:col>4</xdr:col>
                <xdr:colOff>790575</xdr:colOff>
                <xdr:row>1</xdr:row>
                <xdr:rowOff>85725</xdr:rowOff>
              </from>
              <to>
                <xdr:col>7</xdr:col>
                <xdr:colOff>28575</xdr:colOff>
                <xdr:row>1</xdr:row>
                <xdr:rowOff>438150</xdr:rowOff>
              </to>
            </anchor>
          </controlPr>
        </control>
      </mc:Choice>
      <mc:Fallback>
        <control shapeId="20482" r:id="rId6" name="ImportSRM"/>
      </mc:Fallback>
    </mc:AlternateContent>
    <mc:AlternateContent xmlns:mc="http://schemas.openxmlformats.org/markup-compatibility/2006">
      <mc:Choice Requires="x14">
        <control shapeId="20483" r:id="rId8" name="Button 3">
          <controlPr defaultSize="0" print="0" autoFill="0" autoPict="0" macro="[0]!Feuil1.NOK_List_Click">
            <anchor>
              <from>
                <xdr:col>7</xdr:col>
                <xdr:colOff>752475</xdr:colOff>
                <xdr:row>1</xdr:row>
                <xdr:rowOff>76200</xdr:rowOff>
              </from>
              <to>
                <xdr:col>12</xdr:col>
                <xdr:colOff>600075</xdr:colOff>
                <xdr:row>1</xdr:row>
                <xdr:rowOff>419100</xdr:rowOff>
              </to>
            </anchor>
          </controlPr>
        </control>
      </mc:Choice>
    </mc:AlternateContent>
    <mc:AlternateContent xmlns:mc="http://schemas.openxmlformats.org/markup-compatibility/2006">
      <mc:Choice Requires="x14">
        <control shapeId="1243195" r:id="rId9" name="Button 1083">
          <controlPr defaultSize="0" print="0" autoFill="0" autoPict="0" macro="[0]!ThisWorkbook.Get_Untested">
            <anchor>
              <from>
                <xdr:col>13</xdr:col>
                <xdr:colOff>28575</xdr:colOff>
                <xdr:row>1</xdr:row>
                <xdr:rowOff>95250</xdr:rowOff>
              </from>
              <to>
                <xdr:col>13</xdr:col>
                <xdr:colOff>1009650</xdr:colOff>
                <xdr:row>1</xdr:row>
                <xdr:rowOff>419100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8">
    <tabColor theme="4" tint="0.39997558519241921"/>
  </sheetPr>
  <dimension ref="A1:O99"/>
  <sheetViews>
    <sheetView showGridLines="0" zoomScale="90" zoomScaleNormal="90" workbookViewId="0">
      <pane ySplit="4" topLeftCell="A95" activePane="bottomLeft" state="frozen"/>
      <selection activeCell="B1" sqref="B1"/>
      <selection pane="bottomLeft" activeCell="C97" sqref="C97"/>
    </sheetView>
  </sheetViews>
  <sheetFormatPr defaultColWidth="0" defaultRowHeight="14.25" x14ac:dyDescent="0.2"/>
  <cols>
    <col min="1" max="1" width="34.125" style="55" customWidth="1"/>
    <col min="2" max="3" width="9.625" style="56" customWidth="1"/>
    <col min="4" max="4" width="5.625" style="56" customWidth="1"/>
    <col min="5" max="5" width="9.625" style="56" customWidth="1"/>
    <col min="6" max="6" width="11.25" style="57" customWidth="1"/>
    <col min="7" max="7" width="12.75" style="58" customWidth="1"/>
    <col min="8" max="8" width="13.25" style="57" customWidth="1"/>
    <col min="9" max="9" width="26.5" style="57" customWidth="1"/>
    <col min="10" max="11" width="11.25" style="57" customWidth="1"/>
    <col min="12" max="12" width="11.875" style="57" customWidth="1"/>
    <col min="13" max="14" width="11.25" style="57" customWidth="1"/>
    <col min="15" max="15" width="10" style="57" customWidth="1"/>
    <col min="16" max="16384" width="0" style="57" hidden="1"/>
  </cols>
  <sheetData>
    <row r="1" spans="1:15" customFormat="1" ht="15" customHeight="1" x14ac:dyDescent="0.2">
      <c r="A1" s="427" t="s">
        <v>141</v>
      </c>
      <c r="B1" s="428"/>
      <c r="C1" s="429" t="str">
        <f>SWVersion</f>
        <v>tbd</v>
      </c>
      <c r="D1" s="430"/>
      <c r="E1" s="56"/>
    </row>
    <row r="2" spans="1:15" customFormat="1" ht="60" customHeight="1" x14ac:dyDescent="0.2">
      <c r="A2" s="55"/>
      <c r="B2" s="55"/>
      <c r="C2" s="55"/>
      <c r="D2" s="55"/>
      <c r="E2" s="424" t="s">
        <v>129</v>
      </c>
      <c r="F2" s="425"/>
      <c r="G2" s="425"/>
      <c r="H2" s="426"/>
      <c r="M2" s="431"/>
      <c r="N2" s="431"/>
      <c r="O2" s="431"/>
    </row>
    <row r="3" spans="1:15" s="54" customFormat="1" ht="151.5" customHeight="1" x14ac:dyDescent="0.2">
      <c r="A3" s="122" t="s">
        <v>39</v>
      </c>
      <c r="B3" s="161" t="s">
        <v>43</v>
      </c>
      <c r="C3" s="161" t="s">
        <v>44</v>
      </c>
      <c r="D3" s="162" t="s">
        <v>63</v>
      </c>
      <c r="E3" s="163" t="s">
        <v>64</v>
      </c>
      <c r="F3" s="163" t="s">
        <v>65</v>
      </c>
      <c r="G3" s="163" t="s">
        <v>48</v>
      </c>
      <c r="M3" s="432" t="s">
        <v>112</v>
      </c>
      <c r="N3" s="432"/>
      <c r="O3" s="432"/>
    </row>
    <row r="4" spans="1:15" ht="15.75" x14ac:dyDescent="0.25">
      <c r="A4" s="118" t="s">
        <v>100</v>
      </c>
      <c r="B4" s="106">
        <f>SUM(B5:B98)</f>
        <v>0</v>
      </c>
      <c r="C4" s="106">
        <f>SUM(C5:C98)</f>
        <v>0</v>
      </c>
      <c r="D4" s="106">
        <f>SUM(D5:D98)</f>
        <v>0</v>
      </c>
      <c r="E4" s="106">
        <f>SUM(E5:E98)</f>
        <v>0</v>
      </c>
      <c r="F4" s="106">
        <f>SUM(F5:F98)</f>
        <v>0</v>
      </c>
      <c r="G4" s="106">
        <f>B4-SUM(C4:F4)</f>
        <v>0</v>
      </c>
      <c r="L4" s="56"/>
      <c r="M4" s="432"/>
      <c r="N4" s="432"/>
      <c r="O4" s="432"/>
    </row>
    <row r="5" spans="1:15" ht="19.5" x14ac:dyDescent="0.3">
      <c r="A5" s="114"/>
      <c r="B5" s="115"/>
      <c r="C5" s="115"/>
      <c r="D5" s="115"/>
      <c r="E5" s="115"/>
      <c r="F5" s="116"/>
      <c r="G5" s="117"/>
      <c r="I5" s="103" t="s">
        <v>105</v>
      </c>
      <c r="J5" s="56"/>
      <c r="K5" s="56"/>
      <c r="L5" s="56"/>
      <c r="M5" s="56"/>
    </row>
    <row r="6" spans="1:15" ht="15" x14ac:dyDescent="0.25">
      <c r="A6" s="114"/>
      <c r="B6" s="115"/>
      <c r="C6" s="115"/>
      <c r="D6" s="115"/>
      <c r="E6" s="115"/>
      <c r="F6" s="116"/>
      <c r="G6" s="117"/>
      <c r="I6" s="104" t="s">
        <v>98</v>
      </c>
      <c r="J6" s="105" t="e">
        <f>ROUNDDOWN((F4+G4)/B4*100,0)/100</f>
        <v>#DIV/0!</v>
      </c>
      <c r="K6" s="56"/>
      <c r="L6" s="56"/>
      <c r="M6" s="56"/>
    </row>
    <row r="7" spans="1:15" ht="15.75" x14ac:dyDescent="0.25">
      <c r="A7" s="114"/>
      <c r="B7" s="115"/>
      <c r="C7" s="115"/>
      <c r="D7" s="115"/>
      <c r="E7" s="115"/>
      <c r="F7" s="116"/>
      <c r="G7" s="117"/>
      <c r="I7" s="104" t="s">
        <v>99</v>
      </c>
      <c r="J7" s="106">
        <f>SUM(C4:E4)</f>
        <v>0</v>
      </c>
      <c r="K7" s="56"/>
      <c r="L7" s="56"/>
      <c r="M7" s="56"/>
    </row>
    <row r="8" spans="1:15" x14ac:dyDescent="0.2">
      <c r="A8" s="114"/>
      <c r="B8" s="115"/>
      <c r="C8" s="115"/>
      <c r="D8" s="115"/>
      <c r="E8" s="115"/>
      <c r="F8" s="116"/>
      <c r="G8" s="117"/>
      <c r="I8" s="107"/>
      <c r="J8" s="56"/>
      <c r="K8" s="56"/>
      <c r="L8" s="56"/>
      <c r="M8" s="56"/>
    </row>
    <row r="9" spans="1:15" ht="19.5" x14ac:dyDescent="0.3">
      <c r="A9" s="114"/>
      <c r="B9" s="115"/>
      <c r="C9" s="115"/>
      <c r="D9" s="115"/>
      <c r="E9" s="115"/>
      <c r="F9" s="116"/>
      <c r="G9" s="117"/>
      <c r="I9" s="103" t="s">
        <v>101</v>
      </c>
      <c r="J9" s="56"/>
      <c r="K9" s="56"/>
      <c r="L9" s="56"/>
      <c r="M9" s="56"/>
    </row>
    <row r="10" spans="1:15" ht="15" x14ac:dyDescent="0.25">
      <c r="A10" s="114"/>
      <c r="B10" s="115"/>
      <c r="C10" s="115"/>
      <c r="D10" s="115"/>
      <c r="E10" s="115"/>
      <c r="F10" s="116"/>
      <c r="G10" s="117"/>
      <c r="I10" s="104" t="s">
        <v>98</v>
      </c>
      <c r="J10" s="105" t="e">
        <f>ROUNDDOWN(G4/B4*100,0)/100</f>
        <v>#DIV/0!</v>
      </c>
      <c r="K10" s="56"/>
      <c r="L10" s="56"/>
      <c r="M10" s="56"/>
    </row>
    <row r="11" spans="1:15" ht="15.75" x14ac:dyDescent="0.25">
      <c r="A11" s="114"/>
      <c r="B11" s="115"/>
      <c r="C11" s="115"/>
      <c r="D11" s="115"/>
      <c r="E11" s="115"/>
      <c r="F11" s="116"/>
      <c r="G11" s="117"/>
      <c r="I11" s="104" t="s">
        <v>99</v>
      </c>
      <c r="J11" s="106">
        <f>SUM(C4:F4)</f>
        <v>0</v>
      </c>
      <c r="K11" s="56"/>
    </row>
    <row r="12" spans="1:15" x14ac:dyDescent="0.2">
      <c r="A12" s="114"/>
      <c r="B12" s="115"/>
      <c r="C12" s="115"/>
      <c r="D12" s="115"/>
      <c r="E12" s="115"/>
      <c r="F12" s="116"/>
      <c r="G12" s="117"/>
      <c r="I12" s="56"/>
    </row>
    <row r="13" spans="1:15" x14ac:dyDescent="0.2">
      <c r="A13" s="114"/>
      <c r="B13" s="115"/>
      <c r="C13" s="115"/>
      <c r="D13" s="115"/>
      <c r="E13" s="115"/>
      <c r="F13" s="116"/>
      <c r="G13" s="117"/>
      <c r="I13" s="56"/>
    </row>
    <row r="14" spans="1:15" x14ac:dyDescent="0.2">
      <c r="A14" s="114"/>
      <c r="B14" s="115"/>
      <c r="C14" s="115"/>
      <c r="D14" s="115"/>
      <c r="E14" s="115"/>
      <c r="F14" s="116"/>
      <c r="G14" s="117"/>
      <c r="I14" s="56"/>
    </row>
    <row r="15" spans="1:15" x14ac:dyDescent="0.2">
      <c r="A15" s="114"/>
      <c r="B15" s="115"/>
      <c r="C15" s="115"/>
      <c r="D15" s="115"/>
      <c r="E15" s="115"/>
      <c r="F15" s="116"/>
      <c r="G15" s="117"/>
      <c r="I15" s="56"/>
    </row>
    <row r="16" spans="1:15" x14ac:dyDescent="0.2">
      <c r="A16" s="114"/>
      <c r="B16" s="115"/>
      <c r="C16" s="115"/>
      <c r="D16" s="115"/>
      <c r="E16" s="115"/>
      <c r="F16" s="116"/>
      <c r="G16" s="117"/>
    </row>
    <row r="17" spans="1:7" x14ac:dyDescent="0.2">
      <c r="A17" s="114"/>
      <c r="B17" s="115"/>
      <c r="C17" s="115"/>
      <c r="D17" s="115"/>
      <c r="E17" s="115"/>
      <c r="F17" s="116"/>
      <c r="G17" s="117"/>
    </row>
    <row r="18" spans="1:7" x14ac:dyDescent="0.2">
      <c r="A18" s="114"/>
      <c r="B18" s="115"/>
      <c r="C18" s="115"/>
      <c r="D18" s="115"/>
      <c r="E18" s="115"/>
      <c r="F18" s="116"/>
      <c r="G18" s="117"/>
    </row>
    <row r="19" spans="1:7" x14ac:dyDescent="0.2">
      <c r="A19" s="114"/>
      <c r="B19" s="115"/>
      <c r="C19" s="115"/>
      <c r="D19" s="115"/>
      <c r="E19" s="115"/>
      <c r="F19" s="116"/>
      <c r="G19" s="117"/>
    </row>
    <row r="20" spans="1:7" x14ac:dyDescent="0.2">
      <c r="A20" s="114"/>
      <c r="B20" s="115"/>
      <c r="C20" s="115"/>
      <c r="D20" s="115"/>
      <c r="E20" s="115"/>
      <c r="F20" s="116"/>
      <c r="G20" s="117"/>
    </row>
    <row r="21" spans="1:7" x14ac:dyDescent="0.2">
      <c r="A21" s="114"/>
      <c r="B21" s="115"/>
      <c r="C21" s="115"/>
      <c r="D21" s="115"/>
      <c r="E21" s="115"/>
      <c r="F21" s="116"/>
      <c r="G21" s="117"/>
    </row>
    <row r="22" spans="1:7" x14ac:dyDescent="0.2">
      <c r="A22" s="114"/>
      <c r="B22" s="115"/>
      <c r="C22" s="115"/>
      <c r="D22" s="115"/>
      <c r="E22" s="115"/>
      <c r="F22" s="116"/>
      <c r="G22" s="117"/>
    </row>
    <row r="23" spans="1:7" x14ac:dyDescent="0.2">
      <c r="A23" s="114"/>
      <c r="B23" s="115"/>
      <c r="C23" s="115"/>
      <c r="D23" s="115"/>
      <c r="E23" s="115"/>
      <c r="F23" s="116"/>
      <c r="G23" s="117"/>
    </row>
    <row r="24" spans="1:7" x14ac:dyDescent="0.2">
      <c r="A24" s="114"/>
      <c r="B24" s="115"/>
      <c r="C24" s="115"/>
      <c r="D24" s="115"/>
      <c r="E24" s="115"/>
      <c r="F24" s="116"/>
      <c r="G24" s="117"/>
    </row>
    <row r="25" spans="1:7" x14ac:dyDescent="0.2">
      <c r="A25" s="114"/>
      <c r="B25" s="115"/>
      <c r="C25" s="115"/>
      <c r="D25" s="115"/>
      <c r="E25" s="115"/>
      <c r="F25" s="116"/>
      <c r="G25" s="117"/>
    </row>
    <row r="26" spans="1:7" x14ac:dyDescent="0.2">
      <c r="A26" s="114"/>
      <c r="B26" s="115"/>
      <c r="C26" s="115"/>
      <c r="D26" s="115"/>
      <c r="E26" s="115"/>
      <c r="F26" s="116"/>
      <c r="G26" s="117"/>
    </row>
    <row r="27" spans="1:7" x14ac:dyDescent="0.2">
      <c r="A27" s="114"/>
      <c r="B27" s="115"/>
      <c r="C27" s="115"/>
      <c r="D27" s="115"/>
      <c r="E27" s="115"/>
      <c r="F27" s="116"/>
      <c r="G27" s="117"/>
    </row>
    <row r="28" spans="1:7" x14ac:dyDescent="0.2">
      <c r="A28" s="114"/>
      <c r="B28" s="115"/>
      <c r="C28" s="115"/>
      <c r="D28" s="115"/>
      <c r="E28" s="115"/>
      <c r="F28" s="116"/>
      <c r="G28" s="117"/>
    </row>
    <row r="29" spans="1:7" x14ac:dyDescent="0.2">
      <c r="A29" s="114"/>
      <c r="B29" s="115"/>
      <c r="C29" s="115"/>
      <c r="D29" s="115"/>
      <c r="E29" s="115"/>
      <c r="F29" s="116"/>
      <c r="G29" s="117"/>
    </row>
    <row r="30" spans="1:7" x14ac:dyDescent="0.2">
      <c r="A30" s="114"/>
      <c r="B30" s="115"/>
      <c r="C30" s="115"/>
      <c r="D30" s="115"/>
      <c r="E30" s="115"/>
      <c r="F30" s="116"/>
      <c r="G30" s="117"/>
    </row>
    <row r="31" spans="1:7" x14ac:dyDescent="0.2">
      <c r="A31" s="114"/>
      <c r="B31" s="115"/>
      <c r="C31" s="115"/>
      <c r="D31" s="115"/>
      <c r="E31" s="115"/>
      <c r="F31" s="116"/>
      <c r="G31" s="117"/>
    </row>
    <row r="32" spans="1:7" x14ac:dyDescent="0.2">
      <c r="A32" s="114"/>
      <c r="B32" s="115"/>
      <c r="C32" s="115"/>
      <c r="D32" s="115"/>
      <c r="E32" s="115"/>
      <c r="F32" s="116"/>
      <c r="G32" s="117"/>
    </row>
    <row r="33" spans="1:7" x14ac:dyDescent="0.2">
      <c r="A33" s="114"/>
      <c r="B33" s="115"/>
      <c r="C33" s="115"/>
      <c r="D33" s="115"/>
      <c r="E33" s="115"/>
      <c r="F33" s="116"/>
      <c r="G33" s="117"/>
    </row>
    <row r="34" spans="1:7" x14ac:dyDescent="0.2">
      <c r="A34" s="114"/>
      <c r="B34" s="115"/>
      <c r="C34" s="115"/>
      <c r="D34" s="115"/>
      <c r="E34" s="115"/>
      <c r="F34" s="116"/>
      <c r="G34" s="117"/>
    </row>
    <row r="35" spans="1:7" x14ac:dyDescent="0.2">
      <c r="A35" s="114"/>
      <c r="B35" s="115"/>
      <c r="C35" s="115"/>
      <c r="D35" s="115"/>
      <c r="E35" s="115"/>
      <c r="F35" s="116"/>
      <c r="G35" s="117"/>
    </row>
    <row r="36" spans="1:7" x14ac:dyDescent="0.2">
      <c r="A36" s="114"/>
      <c r="B36" s="115"/>
      <c r="C36" s="115"/>
      <c r="D36" s="115"/>
      <c r="E36" s="115"/>
      <c r="F36" s="116"/>
      <c r="G36" s="117"/>
    </row>
    <row r="37" spans="1:7" x14ac:dyDescent="0.2">
      <c r="A37" s="114"/>
      <c r="B37" s="115"/>
      <c r="C37" s="115"/>
      <c r="D37" s="115"/>
      <c r="E37" s="115"/>
      <c r="F37" s="116"/>
      <c r="G37" s="117"/>
    </row>
    <row r="38" spans="1:7" x14ac:dyDescent="0.2">
      <c r="A38" s="114"/>
      <c r="B38" s="115"/>
      <c r="C38" s="115"/>
      <c r="D38" s="115"/>
      <c r="E38" s="115"/>
      <c r="F38" s="116"/>
      <c r="G38" s="117"/>
    </row>
    <row r="39" spans="1:7" x14ac:dyDescent="0.2">
      <c r="A39" s="114"/>
      <c r="B39" s="115"/>
      <c r="C39" s="115"/>
      <c r="D39" s="115"/>
      <c r="E39" s="115"/>
      <c r="F39" s="116"/>
      <c r="G39" s="117"/>
    </row>
    <row r="40" spans="1:7" x14ac:dyDescent="0.2">
      <c r="A40" s="114"/>
      <c r="B40" s="115"/>
      <c r="C40" s="115"/>
      <c r="D40" s="115"/>
      <c r="E40" s="115"/>
      <c r="F40" s="116"/>
      <c r="G40" s="117"/>
    </row>
    <row r="41" spans="1:7" x14ac:dyDescent="0.2">
      <c r="A41" s="114"/>
      <c r="B41" s="115"/>
      <c r="C41" s="115"/>
      <c r="D41" s="115"/>
      <c r="E41" s="115"/>
      <c r="F41" s="116"/>
      <c r="G41" s="117"/>
    </row>
    <row r="42" spans="1:7" x14ac:dyDescent="0.2">
      <c r="A42" s="114"/>
      <c r="B42" s="115"/>
      <c r="C42" s="115"/>
      <c r="D42" s="115"/>
      <c r="E42" s="115"/>
      <c r="F42" s="116"/>
      <c r="G42" s="117"/>
    </row>
    <row r="43" spans="1:7" x14ac:dyDescent="0.2">
      <c r="A43" s="114"/>
      <c r="B43" s="115"/>
      <c r="C43" s="115"/>
      <c r="D43" s="115"/>
      <c r="E43" s="115"/>
      <c r="F43" s="116"/>
      <c r="G43" s="117"/>
    </row>
    <row r="44" spans="1:7" x14ac:dyDescent="0.2">
      <c r="A44" s="114"/>
      <c r="B44" s="115"/>
      <c r="C44" s="115"/>
      <c r="D44" s="115"/>
      <c r="E44" s="115"/>
      <c r="F44" s="116"/>
      <c r="G44" s="117"/>
    </row>
    <row r="45" spans="1:7" x14ac:dyDescent="0.2">
      <c r="A45" s="114"/>
      <c r="B45" s="115"/>
      <c r="C45" s="115"/>
      <c r="D45" s="115"/>
      <c r="E45" s="115"/>
      <c r="F45" s="116"/>
      <c r="G45" s="117"/>
    </row>
    <row r="46" spans="1:7" x14ac:dyDescent="0.2">
      <c r="A46" s="114"/>
      <c r="B46" s="115"/>
      <c r="C46" s="115"/>
      <c r="D46" s="115"/>
      <c r="E46" s="115"/>
      <c r="F46" s="116"/>
      <c r="G46" s="117"/>
    </row>
    <row r="47" spans="1:7" x14ac:dyDescent="0.2">
      <c r="A47" s="114"/>
      <c r="B47" s="115"/>
      <c r="C47" s="115"/>
      <c r="D47" s="115"/>
      <c r="E47" s="115"/>
      <c r="F47" s="116"/>
      <c r="G47" s="117"/>
    </row>
    <row r="48" spans="1:7" x14ac:dyDescent="0.2">
      <c r="A48" s="114"/>
      <c r="B48" s="115"/>
      <c r="C48" s="115"/>
      <c r="D48" s="115"/>
      <c r="E48" s="115"/>
      <c r="F48" s="116"/>
      <c r="G48" s="117"/>
    </row>
    <row r="49" spans="1:7" x14ac:dyDescent="0.2">
      <c r="A49" s="114"/>
      <c r="B49" s="115"/>
      <c r="C49" s="115"/>
      <c r="D49" s="115"/>
      <c r="E49" s="115"/>
      <c r="F49" s="116"/>
      <c r="G49" s="117"/>
    </row>
    <row r="50" spans="1:7" x14ac:dyDescent="0.2">
      <c r="A50" s="114"/>
      <c r="B50" s="115"/>
      <c r="C50" s="115"/>
      <c r="D50" s="115"/>
      <c r="E50" s="115"/>
      <c r="F50" s="116"/>
      <c r="G50" s="117"/>
    </row>
    <row r="51" spans="1:7" x14ac:dyDescent="0.2">
      <c r="A51" s="114"/>
      <c r="B51" s="115"/>
      <c r="C51" s="115"/>
      <c r="D51" s="115"/>
      <c r="E51" s="115"/>
      <c r="F51" s="116"/>
      <c r="G51" s="117"/>
    </row>
    <row r="52" spans="1:7" x14ac:dyDescent="0.2">
      <c r="A52" s="114"/>
      <c r="B52" s="115"/>
      <c r="C52" s="115"/>
      <c r="D52" s="115"/>
      <c r="E52" s="115"/>
      <c r="F52" s="116"/>
      <c r="G52" s="117"/>
    </row>
    <row r="53" spans="1:7" x14ac:dyDescent="0.2">
      <c r="A53" s="114"/>
      <c r="B53" s="115"/>
      <c r="C53" s="115"/>
      <c r="D53" s="115"/>
      <c r="E53" s="115"/>
      <c r="F53" s="116"/>
      <c r="G53" s="117"/>
    </row>
    <row r="54" spans="1:7" x14ac:dyDescent="0.2">
      <c r="A54" s="114"/>
      <c r="B54" s="115"/>
      <c r="C54" s="115"/>
      <c r="D54" s="115"/>
      <c r="E54" s="115"/>
      <c r="F54" s="116"/>
      <c r="G54" s="117"/>
    </row>
    <row r="55" spans="1:7" x14ac:dyDescent="0.2">
      <c r="A55" s="114"/>
      <c r="B55" s="115"/>
      <c r="C55" s="115"/>
      <c r="D55" s="115"/>
      <c r="E55" s="115"/>
      <c r="F55" s="116"/>
      <c r="G55" s="117"/>
    </row>
    <row r="56" spans="1:7" x14ac:dyDescent="0.2">
      <c r="A56" s="114"/>
      <c r="B56" s="115"/>
      <c r="C56" s="115"/>
      <c r="D56" s="115"/>
      <c r="E56" s="115"/>
      <c r="F56" s="116"/>
      <c r="G56" s="117"/>
    </row>
    <row r="57" spans="1:7" x14ac:dyDescent="0.2">
      <c r="A57" s="114"/>
      <c r="B57" s="115"/>
      <c r="C57" s="115"/>
      <c r="D57" s="115"/>
      <c r="E57" s="115"/>
      <c r="F57" s="116"/>
      <c r="G57" s="117"/>
    </row>
    <row r="58" spans="1:7" x14ac:dyDescent="0.2">
      <c r="A58" s="114"/>
      <c r="B58" s="115"/>
      <c r="C58" s="115"/>
      <c r="D58" s="115"/>
      <c r="E58" s="115"/>
      <c r="F58" s="116"/>
      <c r="G58" s="117"/>
    </row>
    <row r="59" spans="1:7" x14ac:dyDescent="0.2">
      <c r="A59" s="114"/>
      <c r="B59" s="115"/>
      <c r="C59" s="115"/>
      <c r="D59" s="115"/>
      <c r="E59" s="115"/>
      <c r="F59" s="116"/>
      <c r="G59" s="117"/>
    </row>
    <row r="60" spans="1:7" x14ac:dyDescent="0.2">
      <c r="A60" s="114"/>
      <c r="B60" s="115"/>
      <c r="C60" s="115"/>
      <c r="D60" s="115"/>
      <c r="E60" s="115"/>
      <c r="F60" s="116"/>
      <c r="G60" s="117"/>
    </row>
    <row r="61" spans="1:7" x14ac:dyDescent="0.2">
      <c r="A61" s="114"/>
      <c r="B61" s="115"/>
      <c r="C61" s="115"/>
      <c r="D61" s="115"/>
      <c r="E61" s="115"/>
      <c r="F61" s="116"/>
      <c r="G61" s="117"/>
    </row>
    <row r="62" spans="1:7" x14ac:dyDescent="0.2">
      <c r="A62" s="114"/>
      <c r="B62" s="115"/>
      <c r="C62" s="115"/>
      <c r="D62" s="115"/>
      <c r="E62" s="115"/>
      <c r="F62" s="116"/>
      <c r="G62" s="117"/>
    </row>
    <row r="63" spans="1:7" x14ac:dyDescent="0.2">
      <c r="A63" s="114"/>
      <c r="B63" s="115"/>
      <c r="C63" s="115"/>
      <c r="D63" s="115"/>
      <c r="E63" s="115"/>
      <c r="F63" s="116"/>
      <c r="G63" s="117"/>
    </row>
    <row r="64" spans="1:7" x14ac:dyDescent="0.2">
      <c r="A64" s="114"/>
      <c r="B64" s="115"/>
      <c r="C64" s="115"/>
      <c r="D64" s="115"/>
      <c r="E64" s="115"/>
      <c r="F64" s="116"/>
      <c r="G64" s="117"/>
    </row>
    <row r="65" spans="1:7" x14ac:dyDescent="0.2">
      <c r="A65" s="114"/>
      <c r="B65" s="115"/>
      <c r="C65" s="115"/>
      <c r="D65" s="115"/>
      <c r="E65" s="115"/>
      <c r="F65" s="116"/>
      <c r="G65" s="117"/>
    </row>
    <row r="66" spans="1:7" x14ac:dyDescent="0.2">
      <c r="A66" s="114"/>
      <c r="B66" s="115"/>
      <c r="C66" s="115"/>
      <c r="D66" s="115"/>
      <c r="E66" s="115"/>
      <c r="F66" s="116"/>
      <c r="G66" s="117"/>
    </row>
    <row r="67" spans="1:7" x14ac:dyDescent="0.2">
      <c r="A67" s="114"/>
      <c r="B67" s="115"/>
      <c r="C67" s="115"/>
      <c r="D67" s="115"/>
      <c r="E67" s="115"/>
      <c r="F67" s="116"/>
      <c r="G67" s="117"/>
    </row>
    <row r="68" spans="1:7" x14ac:dyDescent="0.2">
      <c r="A68" s="114"/>
      <c r="B68" s="115"/>
      <c r="C68" s="115"/>
      <c r="D68" s="115"/>
      <c r="E68" s="115"/>
      <c r="F68" s="116"/>
      <c r="G68" s="117"/>
    </row>
    <row r="69" spans="1:7" x14ac:dyDescent="0.2">
      <c r="A69" s="114"/>
      <c r="B69" s="115"/>
      <c r="C69" s="115"/>
      <c r="D69" s="115"/>
      <c r="E69" s="115"/>
      <c r="F69" s="116"/>
      <c r="G69" s="117"/>
    </row>
    <row r="70" spans="1:7" x14ac:dyDescent="0.2">
      <c r="A70" s="114"/>
      <c r="B70" s="115"/>
      <c r="C70" s="115"/>
      <c r="D70" s="115"/>
      <c r="E70" s="115"/>
      <c r="F70" s="116"/>
      <c r="G70" s="117"/>
    </row>
    <row r="71" spans="1:7" x14ac:dyDescent="0.2">
      <c r="A71" s="114"/>
      <c r="B71" s="115"/>
      <c r="C71" s="115"/>
      <c r="D71" s="115"/>
      <c r="E71" s="115"/>
      <c r="F71" s="116"/>
      <c r="G71" s="117"/>
    </row>
    <row r="72" spans="1:7" x14ac:dyDescent="0.2">
      <c r="A72" s="114"/>
      <c r="B72" s="115"/>
      <c r="C72" s="115"/>
      <c r="D72" s="115"/>
      <c r="E72" s="115"/>
      <c r="F72" s="116"/>
      <c r="G72" s="117"/>
    </row>
    <row r="73" spans="1:7" x14ac:dyDescent="0.2">
      <c r="A73" s="114"/>
      <c r="B73" s="115"/>
      <c r="C73" s="115"/>
      <c r="D73" s="115"/>
      <c r="E73" s="115"/>
      <c r="F73" s="116"/>
      <c r="G73" s="117"/>
    </row>
    <row r="74" spans="1:7" x14ac:dyDescent="0.2">
      <c r="A74" s="114"/>
      <c r="B74" s="115"/>
      <c r="C74" s="115"/>
      <c r="D74" s="115"/>
      <c r="E74" s="115"/>
      <c r="F74" s="116"/>
      <c r="G74" s="117"/>
    </row>
    <row r="75" spans="1:7" x14ac:dyDescent="0.2">
      <c r="A75" s="114"/>
      <c r="B75" s="115"/>
      <c r="C75" s="115"/>
      <c r="D75" s="115"/>
      <c r="E75" s="115"/>
      <c r="F75" s="116"/>
      <c r="G75" s="117"/>
    </row>
    <row r="76" spans="1:7" x14ac:dyDescent="0.2">
      <c r="A76" s="114"/>
      <c r="B76" s="115"/>
      <c r="C76" s="115"/>
      <c r="D76" s="115"/>
      <c r="E76" s="115"/>
      <c r="F76" s="116"/>
      <c r="G76" s="117"/>
    </row>
    <row r="77" spans="1:7" x14ac:dyDescent="0.2">
      <c r="A77" s="114"/>
      <c r="B77" s="115"/>
      <c r="C77" s="115"/>
      <c r="D77" s="115"/>
      <c r="E77" s="115"/>
      <c r="F77" s="116"/>
      <c r="G77" s="117"/>
    </row>
    <row r="78" spans="1:7" x14ac:dyDescent="0.2">
      <c r="A78" s="114"/>
      <c r="B78" s="115"/>
      <c r="C78" s="115"/>
      <c r="D78" s="115"/>
      <c r="E78" s="115"/>
      <c r="F78" s="116"/>
      <c r="G78" s="117"/>
    </row>
    <row r="79" spans="1:7" x14ac:dyDescent="0.2">
      <c r="A79" s="114"/>
      <c r="B79" s="115"/>
      <c r="C79" s="115"/>
      <c r="D79" s="115"/>
      <c r="E79" s="115"/>
      <c r="F79" s="116"/>
      <c r="G79" s="117"/>
    </row>
    <row r="80" spans="1:7" x14ac:dyDescent="0.2">
      <c r="A80" s="114"/>
      <c r="B80" s="115"/>
      <c r="C80" s="115"/>
      <c r="D80" s="115"/>
      <c r="E80" s="115"/>
      <c r="F80" s="116"/>
      <c r="G80" s="117"/>
    </row>
    <row r="81" spans="1:7" x14ac:dyDescent="0.2">
      <c r="A81" s="114"/>
      <c r="B81" s="115"/>
      <c r="C81" s="115"/>
      <c r="D81" s="115"/>
      <c r="E81" s="115"/>
      <c r="F81" s="116"/>
      <c r="G81" s="117"/>
    </row>
    <row r="82" spans="1:7" x14ac:dyDescent="0.2">
      <c r="A82" s="114"/>
      <c r="B82" s="115"/>
      <c r="C82" s="115"/>
      <c r="D82" s="115"/>
      <c r="E82" s="115"/>
      <c r="F82" s="116"/>
      <c r="G82" s="117"/>
    </row>
    <row r="83" spans="1:7" x14ac:dyDescent="0.2">
      <c r="A83" s="114"/>
      <c r="B83" s="115"/>
      <c r="C83" s="115"/>
      <c r="D83" s="115"/>
      <c r="E83" s="115"/>
      <c r="F83" s="116"/>
      <c r="G83" s="117"/>
    </row>
    <row r="84" spans="1:7" x14ac:dyDescent="0.2">
      <c r="A84" s="114"/>
      <c r="B84" s="115"/>
      <c r="C84" s="115"/>
      <c r="D84" s="115"/>
      <c r="E84" s="115"/>
      <c r="F84" s="116"/>
      <c r="G84" s="117"/>
    </row>
    <row r="85" spans="1:7" x14ac:dyDescent="0.2">
      <c r="A85" s="114"/>
      <c r="B85" s="115"/>
      <c r="C85" s="115"/>
      <c r="D85" s="115"/>
      <c r="E85" s="115"/>
      <c r="F85" s="116"/>
      <c r="G85" s="117"/>
    </row>
    <row r="86" spans="1:7" x14ac:dyDescent="0.2">
      <c r="A86" s="114"/>
      <c r="B86" s="115"/>
      <c r="C86" s="115"/>
      <c r="D86" s="115"/>
      <c r="E86" s="115"/>
      <c r="F86" s="116"/>
      <c r="G86" s="117"/>
    </row>
    <row r="87" spans="1:7" x14ac:dyDescent="0.2">
      <c r="A87" s="114"/>
      <c r="B87" s="115"/>
      <c r="C87" s="115"/>
      <c r="D87" s="115"/>
      <c r="E87" s="115"/>
      <c r="F87" s="116"/>
      <c r="G87" s="117"/>
    </row>
    <row r="88" spans="1:7" x14ac:dyDescent="0.2">
      <c r="A88" s="114"/>
      <c r="B88" s="115"/>
      <c r="C88" s="115"/>
      <c r="D88" s="115"/>
      <c r="E88" s="115"/>
      <c r="F88" s="116"/>
      <c r="G88" s="117"/>
    </row>
    <row r="89" spans="1:7" x14ac:dyDescent="0.2">
      <c r="A89" s="114"/>
      <c r="B89" s="115"/>
      <c r="C89" s="115"/>
      <c r="D89" s="115"/>
      <c r="E89" s="115"/>
      <c r="F89" s="116"/>
      <c r="G89" s="117"/>
    </row>
    <row r="90" spans="1:7" x14ac:dyDescent="0.2">
      <c r="A90" s="114"/>
      <c r="B90" s="115"/>
      <c r="C90" s="115"/>
      <c r="D90" s="115"/>
      <c r="E90" s="115"/>
      <c r="F90" s="116"/>
      <c r="G90" s="117"/>
    </row>
    <row r="91" spans="1:7" x14ac:dyDescent="0.2">
      <c r="A91" s="114"/>
      <c r="B91" s="115"/>
      <c r="C91" s="115"/>
      <c r="D91" s="115"/>
      <c r="E91" s="115"/>
      <c r="F91" s="116"/>
      <c r="G91" s="117"/>
    </row>
    <row r="92" spans="1:7" x14ac:dyDescent="0.2">
      <c r="A92" s="114"/>
      <c r="B92" s="115"/>
      <c r="C92" s="115"/>
      <c r="D92" s="115"/>
      <c r="E92" s="115"/>
      <c r="F92" s="116"/>
      <c r="G92" s="117"/>
    </row>
    <row r="93" spans="1:7" x14ac:dyDescent="0.2">
      <c r="A93" s="114"/>
      <c r="B93" s="115"/>
      <c r="C93" s="115"/>
      <c r="D93" s="115"/>
      <c r="E93" s="115"/>
      <c r="F93" s="116"/>
      <c r="G93" s="117"/>
    </row>
    <row r="94" spans="1:7" x14ac:dyDescent="0.2">
      <c r="A94" s="114"/>
      <c r="B94" s="115"/>
      <c r="C94" s="115"/>
      <c r="D94" s="115"/>
      <c r="E94" s="115"/>
      <c r="F94" s="116"/>
      <c r="G94" s="117"/>
    </row>
    <row r="95" spans="1:7" x14ac:dyDescent="0.2">
      <c r="A95" s="114"/>
      <c r="B95" s="115"/>
      <c r="C95" s="115"/>
      <c r="D95" s="115"/>
      <c r="E95" s="115"/>
      <c r="F95" s="116"/>
      <c r="G95" s="117"/>
    </row>
    <row r="96" spans="1:7" x14ac:dyDescent="0.2">
      <c r="A96" s="114"/>
      <c r="B96" s="115"/>
      <c r="C96" s="115"/>
      <c r="D96" s="115"/>
      <c r="E96" s="115"/>
      <c r="F96" s="116"/>
      <c r="G96" s="117"/>
    </row>
    <row r="97" spans="1:7" x14ac:dyDescent="0.2">
      <c r="A97" s="114"/>
      <c r="B97" s="115"/>
      <c r="C97" s="115"/>
      <c r="D97" s="115"/>
      <c r="E97" s="115"/>
      <c r="F97" s="116"/>
      <c r="G97" s="117"/>
    </row>
    <row r="98" spans="1:7" x14ac:dyDescent="0.2">
      <c r="A98" s="114"/>
      <c r="B98" s="115"/>
      <c r="C98" s="115"/>
      <c r="D98" s="115"/>
      <c r="E98" s="115"/>
      <c r="F98" s="116"/>
      <c r="G98" s="117"/>
    </row>
    <row r="99" spans="1:7" x14ac:dyDescent="0.2">
      <c r="A99" s="126" t="s">
        <v>111</v>
      </c>
      <c r="B99" s="123"/>
      <c r="C99" s="123"/>
      <c r="D99" s="123"/>
      <c r="E99" s="123"/>
      <c r="F99" s="124"/>
      <c r="G99" s="125"/>
    </row>
  </sheetData>
  <mergeCells count="5">
    <mergeCell ref="E2:H2"/>
    <mergeCell ref="A1:B1"/>
    <mergeCell ref="C1:D1"/>
    <mergeCell ref="M2:O2"/>
    <mergeCell ref="M3:O4"/>
  </mergeCells>
  <conditionalFormatting sqref="C4">
    <cfRule type="cellIs" dxfId="2" priority="3" stopIfTrue="1" operator="notEqual">
      <formula>0</formula>
    </cfRule>
  </conditionalFormatting>
  <conditionalFormatting sqref="D4">
    <cfRule type="cellIs" dxfId="1" priority="2" stopIfTrue="1" operator="notEqual">
      <formula>0</formula>
    </cfRule>
  </conditionalFormatting>
  <conditionalFormatting sqref="E4">
    <cfRule type="cellIs" dxfId="0" priority="1" stopIfTrue="1" operator="notEqual">
      <formula>0</formula>
    </cfRule>
  </conditionalFormatting>
  <pageMargins left="0.75" right="0.75" top="1" bottom="1" header="0.4921259845" footer="0.4921259845"/>
  <pageSetup scale="73" orientation="portrait" r:id="rId1"/>
  <headerFooter alignWithMargins="0">
    <oddFooter>&amp;LExxxxxx rev xxx ver xxx&amp;R&amp;P</oddFooter>
  </headerFooter>
  <colBreaks count="1" manualBreakCount="1">
    <brk id="8" max="49" man="1"/>
  </colBreaks>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39997558519241921"/>
  </sheetPr>
  <dimension ref="A2:E10"/>
  <sheetViews>
    <sheetView workbookViewId="0">
      <selection activeCell="B13" sqref="B13"/>
    </sheetView>
  </sheetViews>
  <sheetFormatPr defaultRowHeight="14.25" x14ac:dyDescent="0.2"/>
  <sheetData>
    <row r="2" spans="1:5" ht="27" x14ac:dyDescent="0.35">
      <c r="A2" s="119" t="s">
        <v>115</v>
      </c>
    </row>
    <row r="4" spans="1:5" ht="27" x14ac:dyDescent="0.35">
      <c r="E4" s="119" t="s">
        <v>104</v>
      </c>
    </row>
    <row r="6" spans="1:5" ht="18" x14ac:dyDescent="0.25">
      <c r="A6" s="176" t="s">
        <v>156</v>
      </c>
      <c r="B6" s="175"/>
      <c r="C6" s="175"/>
      <c r="D6" s="175"/>
      <c r="E6" s="175"/>
    </row>
    <row r="8" spans="1:5" ht="18" x14ac:dyDescent="0.25">
      <c r="A8" s="175" t="s">
        <v>157</v>
      </c>
      <c r="B8" s="175"/>
      <c r="C8" s="175"/>
      <c r="D8" s="175"/>
      <c r="E8" s="175"/>
    </row>
    <row r="9" spans="1:5" ht="18" x14ac:dyDescent="0.25">
      <c r="A9" s="175" t="s">
        <v>158</v>
      </c>
      <c r="B9" s="175"/>
      <c r="C9" s="175"/>
      <c r="D9" s="175"/>
      <c r="E9" s="175"/>
    </row>
    <row r="10" spans="1:5" ht="18" x14ac:dyDescent="0.25">
      <c r="A10" s="175" t="s">
        <v>159</v>
      </c>
      <c r="B10" s="175"/>
      <c r="C10" s="175"/>
      <c r="D10" s="175"/>
      <c r="E10" s="175"/>
    </row>
  </sheetData>
  <pageMargins left="0.7" right="0.7" top="0.75" bottom="0.75" header="0.3" footer="0.3"/>
  <pageSetup paperSize="9" orientation="portrait" r:id="rId1"/>
  <headerFooter>
    <oddFooter>&amp;LExxxxxx rev xxx ver xxx&amp;R&amp;P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dimension ref="A1"/>
  <sheetViews>
    <sheetView workbookViewId="0">
      <selection activeCell="E9" sqref="E9"/>
    </sheetView>
  </sheetViews>
  <sheetFormatPr defaultColWidth="11.25" defaultRowHeight="14.25" x14ac:dyDescent="0.2"/>
  <sheetData/>
  <pageMargins left="0.75" right="0.75" top="1" bottom="1" header="0.4921259845" footer="0.4921259845"/>
  <pageSetup paperSize="9" orientation="portrait" r:id="rId1"/>
  <headerFooter alignWithMargins="0">
    <oddFooter>&amp;LExxxxxx rev xxx ver xxx&amp;R&amp;P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4">
    <tabColor theme="9" tint="0.59999389629810485"/>
  </sheetPr>
  <dimension ref="A1:B21"/>
  <sheetViews>
    <sheetView workbookViewId="0">
      <selection activeCell="A20" sqref="A20"/>
    </sheetView>
  </sheetViews>
  <sheetFormatPr defaultColWidth="11.25" defaultRowHeight="14.25" x14ac:dyDescent="0.2"/>
  <cols>
    <col min="1" max="1" width="39.5" customWidth="1"/>
  </cols>
  <sheetData>
    <row r="1" spans="1:2" x14ac:dyDescent="0.2">
      <c r="A1" t="s">
        <v>66</v>
      </c>
    </row>
    <row r="2" spans="1:2" x14ac:dyDescent="0.2">
      <c r="A2" t="s">
        <v>67</v>
      </c>
    </row>
    <row r="3" spans="1:2" s="60" customFormat="1" ht="19.5" thickBot="1" x14ac:dyDescent="0.35">
      <c r="A3" s="59" t="s">
        <v>68</v>
      </c>
      <c r="B3" s="60" t="s">
        <v>69</v>
      </c>
    </row>
    <row r="4" spans="1:2" s="60" customFormat="1" ht="16.5" thickTop="1" x14ac:dyDescent="0.25">
      <c r="A4" s="61" t="s">
        <v>70</v>
      </c>
      <c r="B4" s="60" t="s">
        <v>69</v>
      </c>
    </row>
    <row r="5" spans="1:2" x14ac:dyDescent="0.2">
      <c r="A5" s="62" t="s">
        <v>71</v>
      </c>
      <c r="B5" t="s">
        <v>69</v>
      </c>
    </row>
    <row r="6" spans="1:2" x14ac:dyDescent="0.2">
      <c r="A6" s="63" t="s">
        <v>72</v>
      </c>
      <c r="B6" t="s">
        <v>69</v>
      </c>
    </row>
    <row r="7" spans="1:2" x14ac:dyDescent="0.2">
      <c r="A7" s="64" t="s">
        <v>73</v>
      </c>
      <c r="B7" t="s">
        <v>69</v>
      </c>
    </row>
    <row r="8" spans="1:2" x14ac:dyDescent="0.2">
      <c r="A8" s="65" t="s">
        <v>74</v>
      </c>
      <c r="B8" t="s">
        <v>69</v>
      </c>
    </row>
    <row r="9" spans="1:2" x14ac:dyDescent="0.2">
      <c r="A9" s="66" t="s">
        <v>75</v>
      </c>
      <c r="B9" t="s">
        <v>69</v>
      </c>
    </row>
    <row r="10" spans="1:2" x14ac:dyDescent="0.2">
      <c r="A10" s="67" t="s">
        <v>76</v>
      </c>
      <c r="B10" t="s">
        <v>69</v>
      </c>
    </row>
    <row r="11" spans="1:2" x14ac:dyDescent="0.2">
      <c r="A11" s="68" t="s">
        <v>77</v>
      </c>
      <c r="B11" t="s">
        <v>69</v>
      </c>
    </row>
    <row r="12" spans="1:2" x14ac:dyDescent="0.2">
      <c r="A12" s="69" t="s">
        <v>78</v>
      </c>
      <c r="B12" t="s">
        <v>69</v>
      </c>
    </row>
    <row r="13" spans="1:2" x14ac:dyDescent="0.2">
      <c r="A13" s="70" t="s">
        <v>79</v>
      </c>
      <c r="B13" t="s">
        <v>69</v>
      </c>
    </row>
    <row r="14" spans="1:2" ht="48.75" x14ac:dyDescent="0.2">
      <c r="A14" s="71" t="s">
        <v>80</v>
      </c>
    </row>
    <row r="15" spans="1:2" x14ac:dyDescent="0.2">
      <c r="A15" s="72" t="s">
        <v>81</v>
      </c>
    </row>
    <row r="17" spans="1:1" x14ac:dyDescent="0.2">
      <c r="A17" s="73" t="s">
        <v>82</v>
      </c>
    </row>
    <row r="18" spans="1:1" x14ac:dyDescent="0.2">
      <c r="A18" s="74" t="s">
        <v>83</v>
      </c>
    </row>
    <row r="19" spans="1:1" x14ac:dyDescent="0.2">
      <c r="A19" s="75" t="s">
        <v>84</v>
      </c>
    </row>
    <row r="20" spans="1:1" x14ac:dyDescent="0.2">
      <c r="A20" s="76" t="s">
        <v>85</v>
      </c>
    </row>
    <row r="21" spans="1:1" x14ac:dyDescent="0.2">
      <c r="A21" s="77" t="s">
        <v>86</v>
      </c>
    </row>
  </sheetData>
  <pageMargins left="0.75" right="0.75" top="1" bottom="1" header="0.4921259845" footer="0.4921259845"/>
  <pageSetup paperSize="9" orientation="portrait" r:id="rId1"/>
  <headerFooter alignWithMargins="0">
    <oddFooter>&amp;LExxxxxx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33</vt:i4>
      </vt:variant>
    </vt:vector>
  </HeadingPairs>
  <TitlesOfParts>
    <vt:vector size="41" baseType="lpstr">
      <vt:lpstr>FrontPage</vt:lpstr>
      <vt:lpstr>General info</vt:lpstr>
      <vt:lpstr>User Guide</vt:lpstr>
      <vt:lpstr>Statistics</vt:lpstr>
      <vt:lpstr>Requirement Status</vt:lpstr>
      <vt:lpstr>Incomplete Req List</vt:lpstr>
      <vt:lpstr>Feuil1</vt:lpstr>
      <vt:lpstr>Styles</vt:lpstr>
      <vt:lpstr>FileName</vt:lpstr>
      <vt:lpstr>IntTests_ExistButNotTested</vt:lpstr>
      <vt:lpstr>IntTests_NotExist</vt:lpstr>
      <vt:lpstr>IntTests_Tested</vt:lpstr>
      <vt:lpstr>MXActual_state_Released</vt:lpstr>
      <vt:lpstr>MXAuthority</vt:lpstr>
      <vt:lpstr>MXCurrent.Localized</vt:lpstr>
      <vt:lpstr>MXName</vt:lpstr>
      <vt:lpstr>MXRevision</vt:lpstr>
      <vt:lpstr>MXTitle</vt:lpstr>
      <vt:lpstr>MXVersion</vt:lpstr>
      <vt:lpstr>NbOfFunctionalReqs</vt:lpstr>
      <vt:lpstr>NbOfNonFunctionalReqs</vt:lpstr>
      <vt:lpstr>PLMDocAuthor</vt:lpstr>
      <vt:lpstr>'Requirement Status'!Print_Area</vt:lpstr>
      <vt:lpstr>Statistics!Print_Area</vt:lpstr>
      <vt:lpstr>'General info'!Print_Titles</vt:lpstr>
      <vt:lpstr>ReqNotApproved</vt:lpstr>
      <vt:lpstr>ReqNotReviewed</vt:lpstr>
      <vt:lpstr>ReqStatus_LastTableRow</vt:lpstr>
      <vt:lpstr>ReqTestedByIntCumulated</vt:lpstr>
      <vt:lpstr>START_REPORT</vt:lpstr>
      <vt:lpstr>SumForStatistics</vt:lpstr>
      <vt:lpstr>SWVersion</vt:lpstr>
      <vt:lpstr>TemplateRef</vt:lpstr>
      <vt:lpstr>TestsResults_NOK</vt:lpstr>
      <vt:lpstr>TestsResults_NotTested</vt:lpstr>
      <vt:lpstr>TestsResults_OK</vt:lpstr>
      <vt:lpstr>'Requirement Status'!TitleModuleName</vt:lpstr>
      <vt:lpstr>Statistics!TitleModuleName</vt:lpstr>
      <vt:lpstr>VerifTests_ExistButNotTested</vt:lpstr>
      <vt:lpstr>VerifTests_NotExist</vt:lpstr>
      <vt:lpstr>VerifTests_Tested</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Jouhanneau</dc:creator>
  <cp:lastModifiedBy>G-RBT electronics</cp:lastModifiedBy>
  <cp:lastPrinted>2011-11-28T23:54:39Z</cp:lastPrinted>
  <dcterms:created xsi:type="dcterms:W3CDTF">2008-08-11T11:06:44Z</dcterms:created>
  <dcterms:modified xsi:type="dcterms:W3CDTF">2022-09-21T08:16:53Z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2</vt:lpwstr>
  </property>
  <property fmtid="{D5CDD505-2E9C-101B-9397-08002B2CF9AE}" pid="4" name="MXActual_state_Preliminary">
    <vt:lpwstr>09/10/12 13:59</vt:lpwstr>
  </property>
  <property fmtid="{D5CDD505-2E9C-101B-9397-08002B2CF9AE}" pid="5" name="MXActual_state_Released" linkTarget="MXActual_state_Released">
    <vt:lpwstr>TBD</vt:lpwstr>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
  </property>
  <property fmtid="{D5CDD505-2E9C-101B-9397-08002B2CF9AE}" pid="9" name="MXAuthority" linkTarget="MXAuthority">
    <vt:lpwstr>Process and method</vt:lpwstr>
  </property>
  <property fmtid="{D5CDD505-2E9C-101B-9397-08002B2CF9AE}" pid="10" name="MXAuthority_BusinessUnit">
    <vt:lpwstr/>
  </property>
  <property fmtid="{D5CDD505-2E9C-101B-9397-08002B2CF9AE}" pid="11" name="MXAuthority_Description">
    <vt:lpwstr>Tools used in AEE-C</vt:lpwstr>
  </property>
  <property fmtid="{D5CDD505-2E9C-101B-9397-08002B2CF9AE}" pid="12" name="MXAuthority_Owner">
    <vt:lpwstr>Philippe Merrien</vt:lpwstr>
  </property>
  <property fmtid="{D5CDD505-2E9C-101B-9397-08002B2CF9AE}" pid="13" name="MXAuthority_Program">
    <vt:lpwstr/>
  </property>
  <property fmtid="{D5CDD505-2E9C-101B-9397-08002B2CF9AE}" pid="14" name="MXCheckin Date">
    <vt:lpwstr>2012-12-20</vt:lpwstr>
  </property>
  <property fmtid="{D5CDD505-2E9C-101B-9397-08002B2CF9AE}" pid="15" name="MXCheckin Reason">
    <vt:lpwstr/>
  </property>
  <property fmtid="{D5CDD505-2E9C-101B-9397-08002B2CF9AE}" pid="16" name="MXCheckin User" linkTarget="PLMDocAuthor">
    <vt:lpwstr>TBD</vt:lpwstr>
  </property>
  <property fmtid="{D5CDD505-2E9C-101B-9397-08002B2CF9AE}" pid="17" name="MXCurrent">
    <vt:lpwstr>Preliminary</vt:lpwstr>
  </property>
  <property fmtid="{D5CDD505-2E9C-101B-9397-08002B2CF9AE}" pid="18" name="MXCurrent.Localized" linkTarget="MXCurrent.Localized">
    <vt:lpwstr>Draft</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Francine.Chambin@autoliv.com</vt:lpwstr>
  </property>
  <property fmtid="{D5CDD505-2E9C-101B-9397-08002B2CF9AE}" pid="22" name="MXFirstName">
    <vt:lpwstr>Francine</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Chambin</vt:lpwstr>
  </property>
  <property fmtid="{D5CDD505-2E9C-101B-9397-08002B2CF9AE}" pid="26" name="MXLatestVersion">
    <vt:lpwstr>2</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TBD</vt:lpwstr>
  </property>
  <property fmtid="{D5CDD505-2E9C-101B-9397-08002B2CF9AE}" pid="30" name="MXOriginator">
    <vt:lpwstr>Francine Chambin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TBD</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SW00TEM007 Generic Excel Template</vt:lpwstr>
  </property>
  <property fmtid="{D5CDD505-2E9C-101B-9397-08002B2CF9AE}" pid="45" name="MXType">
    <vt:lpwstr>alvInformation</vt:lpwstr>
  </property>
  <property fmtid="{D5CDD505-2E9C-101B-9397-08002B2CF9AE}" pid="46" name="MXType.Localized" linkTarget="MXType.Localized">
    <vt:lpwstr>#REF!</vt:lpwstr>
  </property>
  <property fmtid="{D5CDD505-2E9C-101B-9397-08002B2CF9AE}" pid="47" name="MXUser">
    <vt:lpwstr>Francine Chambin</vt:lpwstr>
  </property>
  <property fmtid="{D5CDD505-2E9C-101B-9397-08002B2CF9AE}" pid="48" name="MXVersion" linkTarget="MXVersion">
    <vt:lpwstr>TBD</vt:lpwstr>
  </property>
  <property fmtid="{D5CDD505-2E9C-101B-9397-08002B2CF9AE}" pid="49" name="MXAuthority_LocalNumber">
    <vt:lpwstr/>
  </property>
  <property fmtid="{D5CDD505-2E9C-101B-9397-08002B2CF9AE}" pid="50" name="WorkbookGuid">
    <vt:lpwstr>25ab4e27-06b4-4ac2-8cc9-9d3df7983f6e</vt:lpwstr>
  </property>
</Properties>
</file>