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1.xml" ContentType="application/vnd.ms-excel.controlproperties+xml"/>
  <Override PartName="/xl/ctrlProps/ctrlProp2.xml" ContentType="application/vnd.ms-excel.controlproperties+xml"/>
  <Override PartName="/xl/comments3.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drawings/drawing4.xml" ContentType="application/vnd.openxmlformats-officedocument.drawing+xml"/>
  <Override PartName="/xl/comments4.xml" ContentType="application/vnd.openxmlformats-officedocument.spreadsheetml.comments+xml"/>
  <Override PartName="/xl/charts/chart6.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codeName="ThisWorkbook"/>
  <mc:AlternateContent xmlns:mc="http://schemas.openxmlformats.org/markup-compatibility/2006">
    <mc:Choice Requires="x15">
      <x15ac:absPath xmlns:x15ac="http://schemas.microsoft.com/office/spreadsheetml/2010/11/ac" url="C:\Data\SandBoxes\Reqtify2016_Project_Template\Project_Information\Coverage_Analysis\doc_templates\"/>
    </mc:Choice>
  </mc:AlternateContent>
  <xr:revisionPtr revIDLastSave="0" documentId="10_ncr:100000_{F46021F1-98AA-4DFD-82FB-B11EDE8673CE}" xr6:coauthVersionLast="31" xr6:coauthVersionMax="31" xr10:uidLastSave="{00000000-0000-0000-0000-000000000000}"/>
  <bookViews>
    <workbookView xWindow="2220" yWindow="90" windowWidth="11355" windowHeight="8700" tabRatio="818" activeTab="3" xr2:uid="{00000000-000D-0000-FFFF-FFFF00000000}"/>
  </bookViews>
  <sheets>
    <sheet name="FrontPage" sheetId="4" r:id="rId1"/>
    <sheet name="General info" sheetId="11" r:id="rId2"/>
    <sheet name="User Guide" sheetId="15" r:id="rId3"/>
    <sheet name="Statistics" sheetId="16" r:id="rId4"/>
    <sheet name="Requirement Status" sheetId="17" r:id="rId5"/>
    <sheet name="Incomplete Req List" sheetId="18" r:id="rId6"/>
    <sheet name="Req Test Status" sheetId="21" r:id="rId7"/>
    <sheet name="Feuil1" sheetId="19" r:id="rId8"/>
    <sheet name="Styles" sheetId="20" r:id="rId9"/>
  </sheets>
  <externalReferences>
    <externalReference r:id="rId10"/>
    <externalReference r:id="rId11"/>
    <externalReference r:id="rId12"/>
    <externalReference r:id="rId13"/>
  </externalReferences>
  <definedNames>
    <definedName name="_xlnm._FilterDatabase" localSheetId="4" hidden="1">'Requirement Status'!$A$3:$E$3</definedName>
    <definedName name="CoveredByLowReq" localSheetId="6">[1]Statistics!$D$21</definedName>
    <definedName name="CoveredByLowReq">[2]Statistics!$E$7</definedName>
    <definedName name="CoveredReq" localSheetId="6">[1]Statistics!$E$21</definedName>
    <definedName name="CoveredReq">[2]Statistics!$F$7</definedName>
    <definedName name="Discipline" localSheetId="6">[1]Statistics!$B$83</definedName>
    <definedName name="Discipline">[2]Statistics!$B$69</definedName>
    <definedName name="FileName" localSheetId="6">[1]FrontPage!$AD$3</definedName>
    <definedName name="FileName">FrontPage!$AD$3</definedName>
    <definedName name="FunctReq" localSheetId="6">[1]Statistics!$B$27</definedName>
    <definedName name="FunctReq">[2]Statistics!$B$13</definedName>
    <definedName name="ImplementedReq" localSheetId="6">[1]Statistics!$C$21</definedName>
    <definedName name="ImplementedReq">[2]Statistics!$C$7</definedName>
    <definedName name="IntTests_ExistButNotTested">Statistics!$B$29</definedName>
    <definedName name="IntTests_NotExist">Statistics!$B$30</definedName>
    <definedName name="IntTests_Tested">Statistics!$B$28</definedName>
    <definedName name="MXActual_state_Released">FrontPage!$AB$5</definedName>
    <definedName name="MXAuthority">FrontPage!$A$5</definedName>
    <definedName name="MXCurrent.Localized">FrontPage!$W$5</definedName>
    <definedName name="MXName">FrontPage!$A$7</definedName>
    <definedName name="MXPolicy">FrontPage!#REF!</definedName>
    <definedName name="MXRevision">FrontPage!$AB$7</definedName>
    <definedName name="MXTitle" localSheetId="6">[1]FrontPage!$E$7</definedName>
    <definedName name="MXTitle">FrontPage!$E$7</definedName>
    <definedName name="MXType.Localized">FrontPage!#REF!</definedName>
    <definedName name="MXVersion">FrontPage!$AE$7</definedName>
    <definedName name="NbOfFunctionalReqs">Statistics!$B$19</definedName>
    <definedName name="NbOfNonFunctionalReqs">Statistics!$B$20</definedName>
    <definedName name="NOKFunctReq" localSheetId="6">[1]Statistics!$M$21</definedName>
    <definedName name="NOKFunctReq">[2]Statistics!$N$7</definedName>
    <definedName name="NOKReq" localSheetId="6">[1]Statistics!$J$21</definedName>
    <definedName name="NOKReq">[2]Statistics!$K$7</definedName>
    <definedName name="NonFunctReq" localSheetId="6">[1]Statistics!$B$28</definedName>
    <definedName name="NonFunctReq">[2]Statistics!$B$14</definedName>
    <definedName name="OKFunctReq" localSheetId="6">[1]Statistics!$K$21</definedName>
    <definedName name="OKFunctReq">[2]Statistics!$L$7</definedName>
    <definedName name="OKReq" localSheetId="6">[1]Statistics!$H$21</definedName>
    <definedName name="OKReq">[2]Statistics!$I$7</definedName>
    <definedName name="PartialOKFunctReq" localSheetId="6">[1]Statistics!$L$21</definedName>
    <definedName name="PartialOKFunctReq">[2]Statistics!$M$7</definedName>
    <definedName name="PartialOKReq" localSheetId="6">[1]Statistics!$I$21</definedName>
    <definedName name="PartialOKReq">[2]Statistics!$J$7</definedName>
    <definedName name="PLMDocAuthor">FrontPage!$F$10</definedName>
    <definedName name="_xlnm.Print_Area" localSheetId="4">'Requirement Status'!$A$1:$M$133</definedName>
    <definedName name="_xlnm.Print_Area" localSheetId="3">Statistics!$A$1:$S$55</definedName>
    <definedName name="_xlnm.Print_Titles" localSheetId="1">'General info'!$1:$10</definedName>
    <definedName name="ReqNotApproved">'Requirement Status'!$J$11</definedName>
    <definedName name="ReqNotReviewed">'Requirement Status'!$J$7</definedName>
    <definedName name="ReqStatus_LastTableRow">'Requirement Status'!$A$200</definedName>
    <definedName name="ReqTestedByIntCumulated">Statistics!$J$8</definedName>
    <definedName name="START_REPORT" localSheetId="4">[3]PRO_Apply_System_Strategy!#REF!</definedName>
    <definedName name="START_REPORT" localSheetId="2">#REF!</definedName>
    <definedName name="START_REPORT">Feuil1!$A$1</definedName>
    <definedName name="SumForStatistics">Statistics!$A$7</definedName>
    <definedName name="SWVersion" localSheetId="6">[1]FrontPage!$O$24</definedName>
    <definedName name="SWVersion">FrontPage!$O$24</definedName>
    <definedName name="TemplateRef">FrontPage!$W$7</definedName>
    <definedName name="TestsResults_NOK">Statistics!$B$48</definedName>
    <definedName name="TestsResults_NotTested">Statistics!$B$49</definedName>
    <definedName name="TestsResults_OK">Statistics!$B$46</definedName>
    <definedName name="TestsResults_PartiallyOK">Statistics!$B$47</definedName>
    <definedName name="TitleModuleName" localSheetId="4">'Requirement Status'!$A$3</definedName>
    <definedName name="TitleModuleName" localSheetId="3">Statistics!$A$4</definedName>
    <definedName name="VerifTests_ExistButNotTested">Statistics!$B$35</definedName>
    <definedName name="VerifTests_NotExist">Statistics!$B$36</definedName>
    <definedName name="VerifTests_Tested">Statistics!$B$34</definedName>
  </definedNames>
  <calcPr calcId="179017"/>
</workbook>
</file>

<file path=xl/calcChain.xml><?xml version="1.0" encoding="utf-8"?>
<calcChain xmlns="http://schemas.openxmlformats.org/spreadsheetml/2006/main">
  <c r="T8" i="16" l="1"/>
  <c r="U8" i="16"/>
  <c r="V8" i="16"/>
  <c r="AB7" i="4"/>
  <c r="A5" i="4"/>
  <c r="AB5" i="4"/>
  <c r="F10" i="4"/>
  <c r="W5" i="4"/>
  <c r="AE7" i="4"/>
  <c r="A7" i="4"/>
  <c r="L27" i="16" l="1"/>
  <c r="K11" i="16"/>
  <c r="B20" i="16"/>
  <c r="B19" i="16"/>
  <c r="B8" i="16"/>
  <c r="S8" i="16"/>
  <c r="B14" i="16" s="1"/>
  <c r="F8" i="16"/>
  <c r="B15" i="16" s="1"/>
  <c r="G8" i="16"/>
  <c r="C8" i="16"/>
  <c r="D39" i="16"/>
  <c r="D27" i="16"/>
  <c r="D11" i="16"/>
  <c r="R8" i="16"/>
  <c r="B35" i="16" s="1"/>
  <c r="Q8" i="16"/>
  <c r="B29" i="16" s="1"/>
  <c r="P8" i="16"/>
  <c r="B48" i="16" s="1"/>
  <c r="O8" i="16"/>
  <c r="B47" i="16" s="1"/>
  <c r="N8" i="16"/>
  <c r="B46" i="16" s="1"/>
  <c r="B50" i="16" s="1"/>
  <c r="L8" i="16"/>
  <c r="K8" i="16"/>
  <c r="B34" i="16" s="1"/>
  <c r="J8" i="16"/>
  <c r="B28" i="16" s="1"/>
  <c r="I8" i="16"/>
  <c r="H8" i="16"/>
  <c r="E8" i="16"/>
  <c r="B13" i="16" s="1"/>
  <c r="D8" i="16"/>
  <c r="M8" i="16"/>
  <c r="C4" i="17"/>
  <c r="D4" i="17"/>
  <c r="E4" i="17"/>
  <c r="F4" i="17"/>
  <c r="B4" i="17"/>
  <c r="B1" i="16"/>
  <c r="C1" i="17"/>
  <c r="AD3" i="4"/>
  <c r="AD3" i="11" s="1"/>
  <c r="A23" i="4"/>
  <c r="B12" i="16" l="1"/>
  <c r="J11" i="17"/>
  <c r="C60" i="16" s="1"/>
  <c r="G4" i="17"/>
  <c r="J10" i="17" s="1"/>
  <c r="B36" i="16"/>
  <c r="B62" i="16" s="1"/>
  <c r="C62" i="16" s="1"/>
  <c r="B58" i="16"/>
  <c r="B60" i="16"/>
  <c r="B30" i="16"/>
  <c r="B61" i="16" s="1"/>
  <c r="C61" i="16" s="1"/>
  <c r="B49" i="16"/>
  <c r="C59" i="16"/>
  <c r="J7" i="17"/>
  <c r="C58" i="16"/>
  <c r="B59" i="16" l="1"/>
  <c r="J6" i="17"/>
  <c r="B64" i="16"/>
  <c r="C64" i="16" s="1"/>
  <c r="B63" i="16"/>
  <c r="C63" i="1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Francine Chambin</author>
  </authors>
  <commentList>
    <comment ref="W7" authorId="0" shapeId="0" xr:uid="{00000000-0006-0000-0000-000001000000}">
      <text>
        <r>
          <rPr>
            <sz val="8"/>
            <color indexed="81"/>
            <rFont val="Tahoma"/>
            <family val="2"/>
          </rPr>
          <t>from e:/MKSProjects/Tools/AEEC/Reqtify_Project_Template/Project_Information/Coverage_Analysis/doc_templates/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Johannes Kask</author>
  </authors>
  <commentList>
    <comment ref="B15" authorId="0" shapeId="0" xr:uid="{00000000-0006-0000-0100-000001000000}">
      <text>
        <r>
          <rPr>
            <sz val="8"/>
            <color indexed="81"/>
            <rFont val="Tahoma"/>
            <family val="2"/>
          </rPr>
          <t>Insert name of tabs included in the document</t>
        </r>
        <r>
          <rPr>
            <sz val="8"/>
            <color indexed="81"/>
            <rFont val="Tahoma"/>
            <family val="2"/>
          </rPr>
          <t xml:space="preserve">
</t>
        </r>
      </text>
    </comment>
    <comment ref="G15" authorId="0" shapeId="0" xr:uid="{00000000-0006-0000-0100-000002000000}">
      <text>
        <r>
          <rPr>
            <sz val="8"/>
            <color indexed="81"/>
            <rFont val="Tahoma"/>
            <family val="2"/>
          </rPr>
          <t>Describe each Tab.</t>
        </r>
      </text>
    </comment>
    <comment ref="B26" authorId="0" shapeId="0" xr:uid="{00000000-0006-0000-0100-000003000000}">
      <text>
        <r>
          <rPr>
            <sz val="8"/>
            <color indexed="81"/>
            <rFont val="Tahoma"/>
            <family val="2"/>
          </rPr>
          <t>The revision number of the document 000, 001, 002 etc. No version number to be handled in the table.</t>
        </r>
        <r>
          <rPr>
            <sz val="8"/>
            <color indexed="81"/>
            <rFont val="Tahoma"/>
            <family val="2"/>
          </rPr>
          <t xml:space="preserve">
</t>
        </r>
      </text>
    </comment>
    <comment ref="E26" authorId="0" shapeId="0" xr:uid="{00000000-0006-0000-0100-000004000000}">
      <text>
        <r>
          <rPr>
            <sz val="8"/>
            <color indexed="81"/>
            <rFont val="Tahoma"/>
            <family val="2"/>
          </rPr>
          <t>Date when the Revision is released</t>
        </r>
      </text>
    </comment>
    <comment ref="I26" authorId="0" shapeId="0" xr:uid="{00000000-0006-0000-0100-000005000000}">
      <text>
        <r>
          <rPr>
            <sz val="8"/>
            <color indexed="81"/>
            <rFont val="Tahoma"/>
            <family val="2"/>
          </rPr>
          <t>Author of the document. Authors if several.</t>
        </r>
      </text>
    </comment>
    <comment ref="R26" authorId="0" shapeId="0" xr:uid="{00000000-0006-0000-0100-000006000000}">
      <text>
        <r>
          <rPr>
            <sz val="8"/>
            <color indexed="81"/>
            <rFont val="Tahoma"/>
            <family val="2"/>
          </rPr>
          <t>Description or comment on the version. E.g. updated after meeting etc.</t>
        </r>
      </text>
    </comment>
    <comment ref="B38" authorId="0" shapeId="0" xr:uid="{00000000-0006-0000-0100-000007000000}">
      <text>
        <r>
          <rPr>
            <sz val="8"/>
            <color indexed="81"/>
            <rFont val="Tahoma"/>
            <family val="2"/>
          </rPr>
          <t>ID of possible reference documents. Any ID can be used, suggestion is [Int1], [Int2] etc. for internal references and [Ext1], [Ext2] etc. for external references</t>
        </r>
      </text>
    </comment>
    <comment ref="E38" authorId="0" shapeId="0" xr:uid="{00000000-0006-0000-0100-000008000000}">
      <text>
        <r>
          <rPr>
            <sz val="8"/>
            <color indexed="81"/>
            <rFont val="Tahoma"/>
            <family val="2"/>
          </rPr>
          <t>Title of reference documents.</t>
        </r>
      </text>
    </comment>
    <comment ref="Y38" authorId="0" shapeId="0" xr:uid="{00000000-0006-0000-0100-000009000000}">
      <text>
        <r>
          <rPr>
            <sz val="8"/>
            <color indexed="81"/>
            <rFont val="Tahoma"/>
            <family val="2"/>
          </rPr>
          <t>Reference number, e.g. E123456 and revision of the reference.</t>
        </r>
      </text>
    </comment>
    <comment ref="B44" authorId="0" shapeId="0" xr:uid="{00000000-0006-0000-0100-00000A000000}">
      <text>
        <r>
          <rPr>
            <sz val="8"/>
            <color indexed="81"/>
            <rFont val="Tahoma"/>
            <family val="2"/>
          </rPr>
          <t>ID of possible reference documents. Any ID can be used, suggestion is [Int1], [Int2] etc. for internal references and [Ext1], [Ext2] etc. for external references</t>
        </r>
      </text>
    </comment>
    <comment ref="E44" authorId="0" shapeId="0" xr:uid="{00000000-0006-0000-0100-00000B000000}">
      <text>
        <r>
          <rPr>
            <sz val="8"/>
            <color indexed="81"/>
            <rFont val="Tahoma"/>
            <family val="2"/>
          </rPr>
          <t>Title of reference documents.</t>
        </r>
      </text>
    </comment>
    <comment ref="Y44" authorId="0" shapeId="0" xr:uid="{00000000-0006-0000-0100-00000C000000}">
      <text>
        <r>
          <rPr>
            <sz val="8"/>
            <color indexed="81"/>
            <rFont val="Tahoma"/>
            <family val="2"/>
          </rPr>
          <t>Reference number, e.g. E123456 and revision of the reference.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Cyril Jouhanneau</author>
    <author>Francine.Chambin</author>
  </authors>
  <commentList>
    <comment ref="A4" authorId="0" shapeId="0" xr:uid="{00000000-0006-0000-0300-000001000000}">
      <text>
        <r>
          <rPr>
            <sz val="10"/>
            <color indexed="81"/>
            <rFont val="Tahoma"/>
            <family val="2"/>
          </rPr>
          <t>All requirements, extracted from the modules (in DOORS), which are:
- Software (Discipline = SW) and
- not obsolete ( "_ReqStatus" not "Obsolete") and,
- Functional or Non Functional and,
- targeted according to Target,
- really implemented in the Software version according to AEEC_IntoAccountOn_&lt;ProjectName&gt;.</t>
        </r>
      </text>
    </comment>
    <comment ref="B4" authorId="0" shapeId="0" xr:uid="{00000000-0006-0000-0300-000002000000}">
      <text>
        <r>
          <rPr>
            <sz val="10"/>
            <color indexed="81"/>
            <rFont val="Tahoma"/>
            <family val="2"/>
          </rPr>
          <t xml:space="preserve">Number of the requirements (functional and non), not obsolete,  targeted according to _Target
/ Number of SW Functional requirements Only (FO)
</t>
        </r>
      </text>
    </comment>
    <comment ref="C4" authorId="0" shapeId="0" xr:uid="{00000000-0006-0000-0300-000003000000}">
      <text>
        <r>
          <rPr>
            <sz val="10"/>
            <color indexed="81"/>
            <rFont val="Tahoma"/>
            <family val="2"/>
          </rPr>
          <t>According to "Req number" number and %  of requirements really implemented in the Software version within AEEC_IntoAccountOn_&lt;ProjectName&gt;</t>
        </r>
      </text>
    </comment>
    <comment ref="D4" authorId="0" shapeId="0" xr:uid="{00000000-0006-0000-0300-000004000000}">
      <text>
        <r>
          <rPr>
            <sz val="10"/>
            <color indexed="81"/>
            <rFont val="Tahoma"/>
            <family val="2"/>
          </rPr>
          <t>Number and % of requirements to be tested by other (than qualification)</t>
        </r>
      </text>
    </comment>
    <comment ref="E4" authorId="0" shapeId="0" xr:uid="{00000000-0006-0000-0300-000005000000}">
      <text>
        <r>
          <rPr>
            <sz val="10"/>
            <color indexed="81"/>
            <rFont val="Tahoma"/>
            <family val="2"/>
          </rPr>
          <t>Number and % of requirements to be tested by Qualification</t>
        </r>
      </text>
    </comment>
    <comment ref="F4" authorId="0" shapeId="0" xr:uid="{00000000-0006-0000-0300-000006000000}">
      <text>
        <r>
          <rPr>
            <sz val="10"/>
            <color indexed="81"/>
            <rFont val="Tahoma"/>
            <family val="2"/>
          </rPr>
          <t xml:space="preserve">Requirements are not planned to be tested (neither by  Qualification nor Other). 
</t>
        </r>
        <r>
          <rPr>
            <u/>
            <sz val="10"/>
            <color indexed="81"/>
            <rFont val="Tahoma"/>
            <family val="2"/>
          </rPr>
          <t xml:space="preserve">Why? Two reasons: </t>
        </r>
        <r>
          <rPr>
            <sz val="10"/>
            <color indexed="81"/>
            <rFont val="Tahoma"/>
            <family val="2"/>
          </rPr>
          <t xml:space="preserve">
- no cross  in Qualif? Or Other? Columns of module tab.
- if the requirement is not reviewed (that means ReqStatus = "Init" or "To be Improved" or in "Review by Design Team")</t>
        </r>
      </text>
    </comment>
    <comment ref="G4" authorId="0" shapeId="0" xr:uid="{00000000-0006-0000-0300-000007000000}">
      <text>
        <r>
          <rPr>
            <sz val="10"/>
            <color indexed="81"/>
            <rFont val="Tahoma"/>
            <family val="2"/>
          </rPr>
          <t xml:space="preserve">Requirements (in relation to the third column) really tested by other than qualification  (i.e  tests and reports done for requirements tested  OK or NOK)
Remark: Partially Ok requirement 
are not counted here.
</t>
        </r>
      </text>
    </comment>
    <comment ref="H4" authorId="0" shapeId="0" xr:uid="{00000000-0006-0000-0300-000008000000}">
      <text>
        <r>
          <rPr>
            <sz val="10"/>
            <color indexed="81"/>
            <rFont val="Tahoma"/>
            <family val="2"/>
          </rPr>
          <t xml:space="preserve">Requirements (in relation to the fourth column) really tested by  Qualification (qualification tests and reports done or requirements tested  OK or NOK)
Remark: Partially Ok requirement 
are not counted here.
</t>
        </r>
      </text>
    </comment>
    <comment ref="I4" authorId="0" shapeId="0" xr:uid="{00000000-0006-0000-0300-000009000000}">
      <text>
        <r>
          <rPr>
            <sz val="10"/>
            <color indexed="81"/>
            <rFont val="Tahoma"/>
            <family val="2"/>
          </rPr>
          <t xml:space="preserve">Number of requirements not tested (i.e requirement not  tested or partially tested) (neither by qualification nor other)
%  is in relation to the 2nd column with total of requirement like 6th column. </t>
        </r>
      </text>
    </comment>
    <comment ref="J4" authorId="0" shapeId="0" xr:uid="{00000000-0006-0000-0300-00000A000000}">
      <text>
        <r>
          <rPr>
            <sz val="10"/>
            <color indexed="81"/>
            <rFont val="Tahoma"/>
            <family val="2"/>
          </rPr>
          <t>Requirements really tested by  other than qualification (tests and reports done only for OK or NOK requirements)
Cumulated with SRM importation data</t>
        </r>
      </text>
    </comment>
    <comment ref="K4" authorId="0" shapeId="0" xr:uid="{00000000-0006-0000-0300-00000B000000}">
      <text>
        <r>
          <rPr>
            <sz val="10"/>
            <color indexed="81"/>
            <rFont val="Tahoma"/>
            <family val="2"/>
          </rPr>
          <t>Requirements really tested by  Qualification (tests and reports done for OK and NOK requirements)
Cumulated with SRM importation data</t>
        </r>
      </text>
    </comment>
    <comment ref="L4" authorId="0" shapeId="0" xr:uid="{00000000-0006-0000-0300-00000C000000}">
      <text>
        <r>
          <rPr>
            <sz val="10"/>
            <color indexed="81"/>
            <rFont val="Tahoma"/>
            <family val="2"/>
          </rPr>
          <t>Requirements not or not partially tested (neither by qualification nor other) 
Cumulated with SRM importation data</t>
        </r>
      </text>
    </comment>
    <comment ref="M4" authorId="0" shapeId="0" xr:uid="{00000000-0006-0000-0300-00000D000000}">
      <text>
        <r>
          <rPr>
            <sz val="10"/>
            <color indexed="81"/>
            <rFont val="Tahoma"/>
            <family val="2"/>
          </rPr>
          <t xml:space="preserve">if a test result is "failed" (NOK) then an issue must be created.
</t>
        </r>
      </text>
    </comment>
    <comment ref="N4" authorId="0" shapeId="0" xr:uid="{00000000-0006-0000-0300-00000E000000}">
      <text>
        <r>
          <rPr>
            <sz val="10"/>
            <color indexed="81"/>
            <rFont val="Tahoma"/>
            <family val="2"/>
          </rPr>
          <t>Requirements which have all its tests "OK"</t>
        </r>
      </text>
    </comment>
    <comment ref="O4" authorId="0" shapeId="0" xr:uid="{00000000-0006-0000-0300-00000F000000}">
      <text>
        <r>
          <rPr>
            <sz val="10"/>
            <color indexed="81"/>
            <rFont val="Tahoma"/>
            <family val="2"/>
          </rPr>
          <t xml:space="preserve">Requirements which have :
- none "NOK" test
- not all its tests "OK" (req not fully tested)
</t>
        </r>
      </text>
    </comment>
    <comment ref="P4" authorId="0" shapeId="0" xr:uid="{00000000-0006-0000-0300-000010000000}">
      <text>
        <r>
          <rPr>
            <sz val="10"/>
            <color indexed="81"/>
            <rFont val="Tahoma"/>
            <family val="2"/>
          </rPr>
          <t xml:space="preserve">Requirements which have one of its tests "NOK"
</t>
        </r>
      </text>
    </comment>
    <comment ref="Q4" authorId="0" shapeId="0" xr:uid="{00000000-0006-0000-0300-000011000000}">
      <text>
        <r>
          <rPr>
            <sz val="10"/>
            <color indexed="81"/>
            <rFont val="Tahoma"/>
            <family val="2"/>
          </rPr>
          <t xml:space="preserve">Requirements covered by an other test than qualification but which are not performed yet
</t>
        </r>
      </text>
    </comment>
    <comment ref="R4" authorId="0" shapeId="0" xr:uid="{00000000-0006-0000-0300-000012000000}">
      <text>
        <r>
          <rPr>
            <sz val="10"/>
            <color indexed="81"/>
            <rFont val="Tahoma"/>
            <family val="2"/>
          </rPr>
          <t>Requirements covered by a qualification test but which is not performed yet</t>
        </r>
      </text>
    </comment>
    <comment ref="S4" authorId="1" shapeId="0" xr:uid="{00000000-0006-0000-0300-000013000000}">
      <text>
        <r>
          <rPr>
            <sz val="10"/>
            <color indexed="81"/>
            <rFont val="Tahoma"/>
            <family val="2"/>
          </rPr>
          <t>To know the requirements to be tested by both teams (Iqualification and other)</t>
        </r>
      </text>
    </comment>
    <comment ref="T4" authorId="0" shapeId="0" xr:uid="{00000000-0006-0000-0300-000014000000}">
      <text>
        <r>
          <rPr>
            <sz val="10"/>
            <color indexed="81"/>
            <rFont val="Tahoma"/>
            <family val="2"/>
          </rPr>
          <t>number and % of requirements satisfying  an upper level requirement (upstream coverage requirement)</t>
        </r>
      </text>
    </comment>
    <comment ref="U4" authorId="0" shapeId="0" xr:uid="{00000000-0006-0000-0300-000015000000}">
      <text>
        <r>
          <rPr>
            <sz val="10"/>
            <color indexed="81"/>
            <rFont val="Tahoma"/>
            <family val="2"/>
          </rPr>
          <t>number and % of requirements satisfied by a lower level requirement (downstream coverage requirement)
Be careful:
- Not Applicable for SRM AAU (Software Requirement Matrix at Atomic Architectural Unit level)
- Not Applicable for SRM DES if no lower level (in case of no satisfies in DOORS from a lower level: AAU requirements in DOORS not used).</t>
        </r>
      </text>
    </comment>
    <comment ref="V4" authorId="0" shapeId="0" xr:uid="{00000000-0006-0000-0300-000016000000}">
      <text>
        <r>
          <rPr>
            <sz val="10"/>
            <color indexed="81"/>
            <rFont val="Tahoma"/>
            <family val="2"/>
          </rPr>
          <t>number and % of Requirements Implemented By Architecture, Design Element</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Francine Chambin</author>
    <author>Cyril Jouhanneau</author>
  </authors>
  <commentList>
    <comment ref="E3" authorId="0" shapeId="0" xr:uid="{00000000-0006-0000-0400-000001000000}">
      <text>
        <r>
          <rPr>
            <b/>
            <sz val="8"/>
            <color indexed="81"/>
            <rFont val="Tahoma"/>
            <family val="2"/>
          </rPr>
          <t>If we use "In Review" with no differenciation between Design and Test Team then we use "In Review by Design Team" column only.</t>
        </r>
        <r>
          <rPr>
            <sz val="8"/>
            <color indexed="81"/>
            <rFont val="Tahoma"/>
            <family val="2"/>
          </rPr>
          <t xml:space="preserve">
</t>
        </r>
      </text>
    </comment>
    <comment ref="J6" authorId="1" shapeId="0" xr:uid="{00000000-0006-0000-0400-000002000000}">
      <text>
        <r>
          <rPr>
            <sz val="9"/>
            <color indexed="81"/>
            <rFont val="Tahoma"/>
            <family val="2"/>
          </rPr>
          <t xml:space="preserve">Round down to % in order to avoid to put 100% if there are some remaining requirements </t>
        </r>
      </text>
    </comment>
    <comment ref="J10" authorId="1" shapeId="0" xr:uid="{00000000-0006-0000-0400-000003000000}">
      <text>
        <r>
          <rPr>
            <sz val="9"/>
            <color indexed="81"/>
            <rFont val="Tahoma"/>
            <family val="2"/>
          </rPr>
          <t>Round down to % in order to avoid to put 100% if there are some remaining requirements</t>
        </r>
      </text>
    </comment>
  </commentList>
</comments>
</file>

<file path=xl/sharedStrings.xml><?xml version="1.0" encoding="utf-8"?>
<sst xmlns="http://schemas.openxmlformats.org/spreadsheetml/2006/main" count="242" uniqueCount="211">
  <si>
    <t>Revision</t>
  </si>
  <si>
    <t>Project Number &amp; Name</t>
  </si>
  <si>
    <t>Document state</t>
  </si>
  <si>
    <t>Document id</t>
  </si>
  <si>
    <t>Document title</t>
  </si>
  <si>
    <t>Version</t>
  </si>
  <si>
    <t>Description/comment</t>
  </si>
  <si>
    <t>Tab</t>
  </si>
  <si>
    <t>ID</t>
  </si>
  <si>
    <t>Title</t>
  </si>
  <si>
    <t>Reference &amp; revision</t>
  </si>
  <si>
    <t>Date</t>
  </si>
  <si>
    <t>Author(s)</t>
  </si>
  <si>
    <t>Description/Comment</t>
  </si>
  <si>
    <t>Title: Name</t>
  </si>
  <si>
    <t>Template</t>
  </si>
  <si>
    <t>1. General Information</t>
  </si>
  <si>
    <t>1.1. Table of content</t>
  </si>
  <si>
    <t>1.3. Purpose and Scope</t>
  </si>
  <si>
    <t>1.4. References</t>
  </si>
  <si>
    <t>Date of release</t>
  </si>
  <si>
    <t>Author</t>
  </si>
  <si>
    <t>Review</t>
  </si>
  <si>
    <t>Approval</t>
  </si>
  <si>
    <t>Distribution</t>
  </si>
  <si>
    <t>Title1: Name1
Title4: Name4</t>
  </si>
  <si>
    <t>Title2: Name2
Title5: Name5</t>
  </si>
  <si>
    <t>Title3: Name3
Title6: Name6</t>
  </si>
  <si>
    <t>Executive summary</t>
  </si>
  <si>
    <t>* Template history is found in the CM tool used for templates</t>
  </si>
  <si>
    <t>1.2. Revision History *</t>
  </si>
  <si>
    <t>1.4.1. Referenced documents</t>
  </si>
  <si>
    <t>1.4.2. Applicable documents</t>
  </si>
  <si>
    <t>Terminology</t>
  </si>
  <si>
    <t>1.5. Terminology and definitions</t>
  </si>
  <si>
    <t>2. Guide (help)</t>
  </si>
  <si>
    <t>Title:</t>
  </si>
  <si>
    <t>FrontPage</t>
  </si>
  <si>
    <t>General info</t>
  </si>
  <si>
    <t>This sheet : contains history, reference, purpose, scope, definition and guide</t>
  </si>
  <si>
    <t>The front page contains information about the document.
Note : the blue cells are automatically filled by PLM and/or formula</t>
  </si>
  <si>
    <t>Title1: Name1
Title2: Name2</t>
  </si>
  <si>
    <t>1. HOW to use "Statistics" sheet...</t>
  </si>
  <si>
    <t>Module Name</t>
  </si>
  <si>
    <t>Created issue number</t>
  </si>
  <si>
    <t xml:space="preserve"> Nb of requirements</t>
  </si>
  <si>
    <t>Init</t>
  </si>
  <si>
    <t>To_Be_clarified</t>
  </si>
  <si>
    <t>InReview_by_Design_Team</t>
  </si>
  <si>
    <t>InReview_by_Test_Team</t>
  </si>
  <si>
    <t>Approved</t>
  </si>
  <si>
    <t>Number of SW requirementswith _ReqStatus = "Init"</t>
  </si>
  <si>
    <t>Requirement</t>
  </si>
  <si>
    <t>Status</t>
  </si>
  <si>
    <t>Implemented ?</t>
  </si>
  <si>
    <t>Type</t>
  </si>
  <si>
    <t>Result</t>
  </si>
  <si>
    <t>Justification</t>
  </si>
  <si>
    <t>Issue</t>
  </si>
  <si>
    <t>Its ID Number (automatically extracted from DOORS)</t>
  </si>
  <si>
    <t>Its "_ReqStatus" (automatically extracted from DOORS)</t>
  </si>
  <si>
    <t>Value of "_Type"  (automatically extracted from DOORS)</t>
  </si>
  <si>
    <t>To be clarified or improved</t>
  </si>
  <si>
    <t>In Review by Test Team</t>
  </si>
  <si>
    <t>This document has been generated by Reqtify</t>
  </si>
  <si>
    <t>%endheader</t>
  </si>
  <si>
    <t>title</t>
  </si>
  <si>
    <t>PAGE BREAK</t>
  </si>
  <si>
    <t>sect1</t>
  </si>
  <si>
    <t>sect2</t>
  </si>
  <si>
    <t>sect3</t>
  </si>
  <si>
    <t>sect4</t>
  </si>
  <si>
    <t>sect5</t>
  </si>
  <si>
    <t>sect6</t>
  </si>
  <si>
    <t>sect7</t>
  </si>
  <si>
    <t>sect8</t>
  </si>
  <si>
    <t>sect9</t>
  </si>
  <si>
    <t>entry</t>
  </si>
  <si>
    <t>tableTitle</t>
  </si>
  <si>
    <t>para</t>
  </si>
  <si>
    <t>OK style</t>
  </si>
  <si>
    <t>NOK style</t>
  </si>
  <si>
    <t>Inconsistent style</t>
  </si>
  <si>
    <t>Without format but centered</t>
  </si>
  <si>
    <t>Tested previously</t>
  </si>
  <si>
    <t>for</t>
  </si>
  <si>
    <t>The purpose of this document is to have the summary about SW requirements</t>
  </si>
  <si>
    <t>User Guide</t>
  </si>
  <si>
    <t>Incomplete Req List</t>
  </si>
  <si>
    <t>Styles</t>
  </si>
  <si>
    <t>Other sheets…</t>
  </si>
  <si>
    <t>Automatic generated sheets</t>
  </si>
  <si>
    <t>Explanation about this document</t>
  </si>
  <si>
    <t>Statistics</t>
  </si>
  <si>
    <t>Styles for this document</t>
  </si>
  <si>
    <t>See User Guide sheet</t>
  </si>
  <si>
    <t>Progress :</t>
  </si>
  <si>
    <t>Remaining requirements</t>
  </si>
  <si>
    <t>Total</t>
  </si>
  <si>
    <t>M2 milestone target : all requirements are reviewed (approved state)</t>
  </si>
  <si>
    <t>tbd</t>
  </si>
  <si>
    <t>Req tested OK</t>
  </si>
  <si>
    <t>Req tested partially OK</t>
  </si>
  <si>
    <t>Check for total of requirements</t>
  </si>
  <si>
    <t>Req tested NOK</t>
  </si>
  <si>
    <t>GENERATE INCOMPLETE REQUIREMENTS LIST</t>
  </si>
  <si>
    <t>M1 milestone target : all requirements are reviewed by design team</t>
  </si>
  <si>
    <t>Functional requirements</t>
  </si>
  <si>
    <t>Checks</t>
  </si>
  <si>
    <t>All requirements are implemented</t>
  </si>
  <si>
    <t>All requirements are reviewed</t>
  </si>
  <si>
    <t>All requirements have a test target (TestScope attributs)</t>
  </si>
  <si>
    <t>Be carefull! 
"Statistics" tab doesn't take into account requirements with ReqStatus = "Init" or "To be Improved" or in "Review by Design Team"</t>
  </si>
  <si>
    <t>Requirements test plan</t>
  </si>
  <si>
    <t>Functional / Non-functional requirements</t>
  </si>
  <si>
    <t>Number of Requirements / Funtional requirements Only</t>
  </si>
  <si>
    <t>Non-functional requirements</t>
  </si>
  <si>
    <t>Tested as planned (NOK or OK)</t>
  </si>
  <si>
    <t>Not tested 
(i.e partially or not performed but test specification done)</t>
  </si>
  <si>
    <t>Not tested and test specifications not available</t>
  </si>
  <si>
    <t>THIS SHEET IS AUTOMATICALLY CLEARED AND FILLED BY THE COMMAND BUTTON :</t>
  </si>
  <si>
    <t>Requirements tests results</t>
  </si>
  <si>
    <t>Req not tested (no result and maybe no test specification)</t>
  </si>
  <si>
    <t>Software Requirements Matrix</t>
  </si>
  <si>
    <t>OK</t>
  </si>
  <si>
    <t>Partially OK</t>
  </si>
  <si>
    <t>NOK</t>
  </si>
  <si>
    <t xml:space="preserve">Number (%) of requirements </t>
  </si>
  <si>
    <t>Implemented</t>
  </si>
  <si>
    <t>Not to be tested</t>
  </si>
  <si>
    <t>Not tested</t>
  </si>
  <si>
    <t>Not tested (cumulated)</t>
  </si>
  <si>
    <r>
      <t xml:space="preserve"> X</t>
    </r>
    <r>
      <rPr>
        <sz val="10"/>
        <rFont val="Arial"/>
        <family val="2"/>
      </rPr>
      <t xml:space="preserve"> 
if  implemented in the Software version via the attributes "_Implemented" or "AEEC_IntoAccountOn_&lt;ProjectName&gt;"</t>
    </r>
  </si>
  <si>
    <t>Summary about requirements coverages</t>
  </si>
  <si>
    <t>Summary about requirements reviews</t>
  </si>
  <si>
    <t>_ReqStatus attribute extracted from DOORS module</t>
  </si>
  <si>
    <t>Module name</t>
  </si>
  <si>
    <t xml:space="preserve">Not planned to be tested </t>
  </si>
  <si>
    <t>_ReqStatus attribute 
extracted from DOORS module</t>
  </si>
  <si>
    <t>The SRM lists the requirements, extracted from the modules (under DOORS), which are:
- Software (Discipline = SW) and,
- Functional or Non-Functional 
 (_Type or _ObjectType is "Functional_Requirement" or 
   "Non Functional_Requirement") and, 
- not obsolete ( "_ReqStatus" not "Obsolete") and,
- targeted according to the attribute containing Target</t>
  </si>
  <si>
    <t>Number of requirements, not obsolete,  targeted according to _Target</t>
  </si>
  <si>
    <t>Number of requirements with _ReqStatus = "Init"</t>
  </si>
  <si>
    <t>Number of requirements with _ReqStatus = "InReview_by_Design_Team"</t>
  </si>
  <si>
    <t>Number of requirements with _ReqStatus = "InReview_by_Test_Team"</t>
  </si>
  <si>
    <t>Number and % of requirements with _ReqStatus = "Approved"</t>
  </si>
  <si>
    <t>2. HOW "Requirement Status" sheet is filled...</t>
  </si>
  <si>
    <t>3. HOW the module sheet is filled...</t>
  </si>
  <si>
    <t>For every "Requirement" which is:
- SoftWare (Discipline = SW) and,
- Functional or Non-Functional 
  (_Type or _ObjectType is "Functional_Requirement" or 
    "Non-Functional_Requirement") and,
- targeted  according to the attibute containing Target and,
- not obsolete ( "_ReqStatus" not "Obsolete"), 
write …</t>
  </si>
  <si>
    <t>Current release</t>
  </si>
  <si>
    <t>The SRM lists the requirements extracted from modules (in DOORS) thanks to the attributes which are:
- Software and
- not obsolete and,
- Functional or Non Functional and,
- targeted and,
- really implemented in the Software version.</t>
  </si>
  <si>
    <t>The SRM lists the requirements, extracted from modules (under DOORS), which are:
- Software (Discipline = SW) and,
- Functional or Non-Functional 
  (_Type or _ObjectType is "Functional_Requirement" or 
   "Non Functional_Requirement") and, 
- not obsolete ( "_ReqStatus" not "Obsolete") and,
- targeted according to the attribute containing Target</t>
  </si>
  <si>
    <t>Requirement Status</t>
  </si>
  <si>
    <t>SRM.xlsm</t>
  </si>
  <si>
    <t>Comment</t>
  </si>
  <si>
    <t>Requirement Description</t>
  </si>
  <si>
    <t>Implemented By</t>
  </si>
  <si>
    <t xml:space="preserve">"Satisfies (Up Stream)" (SRM AAU) Or "Satisfied by" (SRM DES)
</t>
  </si>
  <si>
    <t>The data used to fill these columns are extracted from the modules under DOORS (one sheet per module)</t>
  </si>
  <si>
    <t>DOORS links</t>
  </si>
  <si>
    <t>Corresponds to "Satisfies" arrows:
- "Satisfies (Up Stream)" for SRM AAU or,
- "Satisfied by" (Down Stream for SRM DES)</t>
  </si>
  <si>
    <t>Satisfying Upper level requirement</t>
  </si>
  <si>
    <t>Number (%) of requirements 
Not Tested</t>
  </si>
  <si>
    <t>Number (%) of requirements
Tested</t>
  </si>
  <si>
    <t>Number (%) of requirements
to be tested by</t>
  </si>
  <si>
    <t>How "Incomplete Req List" sheet is filled?</t>
  </si>
  <si>
    <t>The requirement (from every module sheet) have to be copied and pasted in "Incomplete Req List":</t>
  </si>
  <si>
    <t xml:space="preserve"> - if its test result is NOK without issue, </t>
  </si>
  <si>
    <t xml:space="preserve"> - if there is no test case</t>
  </si>
  <si>
    <t>Implemented by Architecture, Design (corresponds to "Implements" arrows)</t>
  </si>
  <si>
    <t>List of requirements not covered by a test case, or with no issue for a NOK result</t>
  </si>
  <si>
    <t>Total (in number)</t>
  </si>
  <si>
    <t>Satisfied by a Lower level requirement</t>
  </si>
  <si>
    <t>Other tests progress</t>
  </si>
  <si>
    <t>Qualification tests progress</t>
  </si>
  <si>
    <t>Both Qualification and Other</t>
  </si>
  <si>
    <t>But Covered by Qualification tests cases</t>
  </si>
  <si>
    <t>But Covered by other tests cases</t>
  </si>
  <si>
    <t>Qualif ?</t>
  </si>
  <si>
    <t>All the data used to fill these columns ("Requirement" to "Other?") are extracted from the modules under DOORS (one sheet per module)</t>
  </si>
  <si>
    <t>Other ?</t>
  </si>
  <si>
    <t xml:space="preserve">Contains the real value of "AEEC_TestScope_ProjectName_Version" (if exists else _Verification_Method) attribute </t>
  </si>
  <si>
    <t>other test/arifact Id</t>
  </si>
  <si>
    <t>Extracted from test/artifact results (reports).</t>
  </si>
  <si>
    <t>if a test/artifact result is "failed" (NOK) or not done then a justification must be given.</t>
  </si>
  <si>
    <t>if a  test/artifact result is "failed" (NOK) then an issue must be created.</t>
  </si>
  <si>
    <r>
      <t xml:space="preserve"> X 
</t>
    </r>
    <r>
      <rPr>
        <sz val="10"/>
        <rFont val="Arial"/>
        <family val="2"/>
      </rPr>
      <t>if "AEEC_TestScope_ProjectName_Version"  (if exists else _Verification_Method) attribute contains "Module" or "Unit" "Integration" etc.</t>
    </r>
  </si>
  <si>
    <t xml:space="preserve">1. After having required the SRM through Reqtify project and waiting few minutes, a SRM is ready to be opened but sheets are not correctly named (Feuil1, Feuil2,…). 
2. You must click on button "Update Statistics"… A progress bar appears… All statistics (including the metrics in "Requirement Status") are updated and every sheet is updated with the module name (extracted from DOORS).  Moreover when the status is In Review by Design team, Init or To be clarified, if there is a cross in qualification or other tests or artifacts it will be change by a O.  </t>
  </si>
  <si>
    <r>
      <t>3. You may click on button "</t>
    </r>
    <r>
      <rPr>
        <b/>
        <sz val="11"/>
        <rFont val="Arial"/>
        <family val="2"/>
      </rPr>
      <t>Import SRM</t>
    </r>
    <r>
      <rPr>
        <sz val="11"/>
        <rFont val="Arial"/>
        <family val="2"/>
      </rPr>
      <t>"… Give the name of a previous SRM… A progress bar appears… 
If some tests are not performed again on this version for this SRM but available on a previous version/SRM, this SRM will be filled with the results found for the previous version/SRM with the mention "</t>
    </r>
    <r>
      <rPr>
        <i/>
        <sz val="11"/>
        <rFont val="Arial"/>
        <family val="2"/>
      </rPr>
      <t>OK</t>
    </r>
    <r>
      <rPr>
        <sz val="11"/>
        <rFont val="Arial"/>
        <family val="2"/>
      </rPr>
      <t>" or "</t>
    </r>
    <r>
      <rPr>
        <i/>
        <sz val="11"/>
        <rFont val="Arial"/>
        <family val="2"/>
      </rPr>
      <t>NOK</t>
    </r>
    <r>
      <rPr>
        <sz val="11"/>
        <rFont val="Arial"/>
        <family val="2"/>
      </rPr>
      <t>" on "</t>
    </r>
    <r>
      <rPr>
        <i/>
        <sz val="11"/>
        <rFont val="Arial"/>
        <family val="2"/>
      </rPr>
      <t>version number</t>
    </r>
    <r>
      <rPr>
        <sz val="11"/>
        <rFont val="Arial"/>
        <family val="2"/>
      </rPr>
      <t>".
To have the correct "</t>
    </r>
    <r>
      <rPr>
        <i/>
        <sz val="11"/>
        <rFont val="Arial"/>
        <family val="2"/>
      </rPr>
      <t>version number</t>
    </r>
    <r>
      <rPr>
        <sz val="11"/>
        <rFont val="Arial"/>
        <family val="2"/>
      </rPr>
      <t>", don't forget to correctly inform the "</t>
    </r>
    <r>
      <rPr>
        <i/>
        <sz val="11"/>
        <rFont val="Arial"/>
        <family val="2"/>
      </rPr>
      <t>SW version</t>
    </r>
    <r>
      <rPr>
        <sz val="11"/>
        <rFont val="Arial"/>
        <family val="2"/>
      </rPr>
      <t>" in the title given by the "</t>
    </r>
    <r>
      <rPr>
        <i/>
        <sz val="11"/>
        <rFont val="Arial"/>
        <family val="2"/>
      </rPr>
      <t>1st page</t>
    </r>
    <r>
      <rPr>
        <sz val="11"/>
        <rFont val="Arial"/>
        <family val="2"/>
      </rPr>
      <t>" sheet.</t>
    </r>
  </si>
  <si>
    <r>
      <t>4. You may Click on "</t>
    </r>
    <r>
      <rPr>
        <b/>
        <sz val="10"/>
        <rFont val="Arial"/>
        <family val="2"/>
      </rPr>
      <t>Generate Incomplete Req List</t>
    </r>
    <r>
      <rPr>
        <sz val="11"/>
        <rFont val="Arial"/>
        <family val="2"/>
      </rPr>
      <t>"…. In the "</t>
    </r>
    <r>
      <rPr>
        <b/>
        <u/>
        <sz val="10"/>
        <rFont val="Arial"/>
        <family val="2"/>
      </rPr>
      <t xml:space="preserve">Incomplete Req List" sheet </t>
    </r>
    <r>
      <rPr>
        <sz val="11"/>
        <rFont val="Arial"/>
        <family val="2"/>
      </rPr>
      <t>display all Requirements:
- which have a NOK result with no issue, 
- without qualification or other tests or artifacts</t>
    </r>
  </si>
  <si>
    <t>To be tested by both Qualification and other tests/artifacts</t>
  </si>
  <si>
    <t>To be tested by other  tests/artifacts only</t>
  </si>
  <si>
    <t>To be tested by Qualification  tests only</t>
  </si>
  <si>
    <t>qualification test Id</t>
  </si>
  <si>
    <t>Identifier extracted from Other test or artifact specifications.</t>
  </si>
  <si>
    <t>Identifier extracted from Qualification test specifications.</t>
  </si>
  <si>
    <t>All requirements are covered by another test/artifact (according to the scope)</t>
  </si>
  <si>
    <t>All planned qualification tests are performed</t>
  </si>
  <si>
    <t>All planned other tests/artifacts are performed</t>
  </si>
  <si>
    <r>
      <t xml:space="preserve"> X 
</t>
    </r>
    <r>
      <rPr>
        <sz val="10"/>
        <rFont val="Arial"/>
        <family val="2"/>
      </rPr>
      <t>if "AEEC_TestScope_ProjectName_Version" (if exists else _Verification_Method) attribute contains "Verification" or "V&amp;V" or Qualification.</t>
    </r>
  </si>
  <si>
    <t>All requirements are covered by a qualification test (according to qualification scope)</t>
  </si>
  <si>
    <t>Warning : information below this line are not taken into account for the Total computation</t>
  </si>
  <si>
    <t>To Be Tested By Other</t>
  </si>
  <si>
    <t>To Be Tested By Qualification</t>
  </si>
  <si>
    <t>Tested By Other</t>
  </si>
  <si>
    <t>Tested By Qualification</t>
  </si>
  <si>
    <t>Tested By Other (cumulated)</t>
  </si>
  <si>
    <t>Tested By Qualification (cumulated)</t>
  </si>
  <si>
    <t>In Review (by Design Team)</t>
  </si>
  <si>
    <t>Generate Requirements Tests Status</t>
  </si>
  <si>
    <t>Be careful! Always generate this sheet after having updated "Statistics" sheet.</t>
  </si>
  <si>
    <r>
      <t>5. You may click on button "</t>
    </r>
    <r>
      <rPr>
        <b/>
        <sz val="11"/>
        <rFont val="Arial"/>
        <family val="2"/>
      </rPr>
      <t>Generate Requirements Tests Status</t>
    </r>
    <r>
      <rPr>
        <sz val="11"/>
        <rFont val="Arial"/>
        <family val="2"/>
      </rPr>
      <t>"… It displays all requirements associated to their test result OK, NOK, partially OK, empty (= no result)  in a "Req Test Status" Sheet. You have also the information to know if the requirement is refined (satisfied by a low level requirement), if it is implemented (info from requirements), if it is implemented by an architecture or design element and if it is verified by a test specifications (in case of no result it is useful).</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</si>
</sst>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d\-mmm\-yy;@"/>
  </numFmts>
  <fonts count="67" x14ac:knownFonts="1">
    <font>
      <sz val="11"/>
      <name val="Arial"/>
      <family val="2"/>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b/>
      <sz val="10"/>
      <name val="Arial"/>
      <family val="2"/>
    </font>
    <font>
      <sz val="8"/>
      <name val="Arial"/>
      <family val="2"/>
    </font>
    <font>
      <sz val="10"/>
      <name val="Arial"/>
      <family val="2"/>
    </font>
    <font>
      <sz val="10"/>
      <color indexed="12"/>
      <name val="Arial"/>
      <family val="2"/>
    </font>
    <font>
      <i/>
      <sz val="8"/>
      <name val="Arial"/>
      <family val="2"/>
    </font>
    <font>
      <b/>
      <i/>
      <sz val="14"/>
      <name val="Arial"/>
      <family val="2"/>
    </font>
    <font>
      <b/>
      <sz val="10"/>
      <color indexed="9"/>
      <name val="Arial"/>
      <family val="2"/>
    </font>
    <font>
      <i/>
      <sz val="10"/>
      <name val="Arial"/>
      <family val="2"/>
    </font>
    <font>
      <b/>
      <i/>
      <sz val="20"/>
      <name val="Arial"/>
      <family val="2"/>
    </font>
    <font>
      <b/>
      <i/>
      <sz val="10"/>
      <name val="Arial"/>
      <family val="2"/>
    </font>
    <font>
      <b/>
      <i/>
      <sz val="16"/>
      <name val="Arial"/>
      <family val="2"/>
    </font>
    <font>
      <sz val="8"/>
      <color indexed="81"/>
      <name val="Tahoma"/>
      <family val="2"/>
    </font>
    <font>
      <sz val="11"/>
      <color indexed="12"/>
      <name val="Times New Roman"/>
      <family val="1"/>
    </font>
    <font>
      <i/>
      <sz val="14"/>
      <name val="Arial"/>
      <family val="2"/>
    </font>
    <font>
      <i/>
      <sz val="8"/>
      <name val="Times New Roman"/>
      <family val="1"/>
    </font>
    <font>
      <b/>
      <sz val="24"/>
      <name val="Arial"/>
      <family val="2"/>
    </font>
    <font>
      <b/>
      <sz val="12"/>
      <name val="Arial"/>
      <family val="2"/>
    </font>
    <font>
      <b/>
      <u/>
      <sz val="10"/>
      <name val="Arial"/>
      <family val="2"/>
    </font>
    <font>
      <u/>
      <sz val="10"/>
      <name val="Arial"/>
      <family val="2"/>
    </font>
    <font>
      <sz val="12"/>
      <name val="Arial"/>
      <family val="2"/>
    </font>
    <font>
      <sz val="10"/>
      <name val="Arial"/>
      <family val="2"/>
    </font>
    <font>
      <sz val="10"/>
      <color indexed="81"/>
      <name val="Tahoma"/>
      <family val="2"/>
    </font>
    <font>
      <u/>
      <sz val="10"/>
      <color indexed="12"/>
      <name val="Arial"/>
      <family val="2"/>
    </font>
    <font>
      <u/>
      <sz val="10"/>
      <color indexed="81"/>
      <name val="Tahoma"/>
      <family val="2"/>
    </font>
    <font>
      <sz val="9"/>
      <color indexed="81"/>
      <name val="Tahoma"/>
      <family val="2"/>
    </font>
    <font>
      <sz val="11"/>
      <color theme="1"/>
      <name val="Calibri"/>
      <family val="2"/>
      <scheme val="minor"/>
    </font>
    <font>
      <b/>
      <sz val="12"/>
      <color rgb="FFFA7D00"/>
      <name val="Calibri"/>
      <family val="2"/>
      <scheme val="minor"/>
    </font>
    <font>
      <b/>
      <sz val="12"/>
      <color theme="0"/>
      <name val="Calibri"/>
      <family val="2"/>
      <scheme val="minor"/>
    </font>
    <font>
      <b/>
      <sz val="15"/>
      <color theme="3"/>
      <name val="Calibri"/>
      <family val="2"/>
      <scheme val="minor"/>
    </font>
    <font>
      <b/>
      <sz val="11"/>
      <color theme="3"/>
      <name val="Calibri"/>
      <family val="2"/>
      <scheme val="minor"/>
    </font>
    <font>
      <u/>
      <sz val="10"/>
      <color theme="10"/>
      <name val="Arial"/>
      <family val="2"/>
    </font>
    <font>
      <sz val="11"/>
      <color rgb="FF3F3F76"/>
      <name val="Calibri"/>
      <family val="2"/>
      <scheme val="minor"/>
    </font>
    <font>
      <b/>
      <sz val="12"/>
      <color rgb="FF3F3F3F"/>
      <name val="Calibri"/>
      <family val="2"/>
      <scheme val="minor"/>
    </font>
    <font>
      <b/>
      <sz val="18"/>
      <color theme="3"/>
      <name val="Cambria"/>
      <family val="2"/>
      <scheme val="major"/>
    </font>
    <font>
      <sz val="11"/>
      <color rgb="FFFF0000"/>
      <name val="Calibri"/>
      <family val="2"/>
      <scheme val="minor"/>
    </font>
    <font>
      <i/>
      <sz val="8"/>
      <color rgb="FF0070C0"/>
      <name val="Arial"/>
      <family val="2"/>
    </font>
    <font>
      <b/>
      <sz val="20"/>
      <color rgb="FF000080"/>
      <name val="Arial"/>
      <family val="2"/>
    </font>
    <font>
      <sz val="10"/>
      <color rgb="FFC00000"/>
      <name val="Arial"/>
      <family val="2"/>
    </font>
    <font>
      <b/>
      <sz val="10"/>
      <color rgb="FFC00000"/>
      <name val="Arial"/>
      <family val="2"/>
    </font>
    <font>
      <i/>
      <sz val="8"/>
      <color rgb="FF000080"/>
      <name val="Arial"/>
      <family val="2"/>
    </font>
    <font>
      <i/>
      <sz val="12"/>
      <color rgb="FF000000"/>
      <name val="Arial"/>
      <family val="2"/>
    </font>
    <font>
      <b/>
      <sz val="11"/>
      <color rgb="FF3F3F3F"/>
      <name val="Calibri"/>
      <family val="2"/>
      <scheme val="minor"/>
    </font>
    <font>
      <b/>
      <u/>
      <sz val="10"/>
      <color theme="10"/>
      <name val="Arial"/>
      <family val="2"/>
    </font>
    <font>
      <sz val="22"/>
      <color rgb="FFFF0000"/>
      <name val="Arial"/>
      <family val="2"/>
    </font>
    <font>
      <sz val="11"/>
      <color theme="0"/>
      <name val="Arial"/>
      <family val="2"/>
    </font>
    <font>
      <b/>
      <sz val="12"/>
      <color theme="3"/>
      <name val="Calibri"/>
      <family val="2"/>
      <scheme val="minor"/>
    </font>
    <font>
      <b/>
      <sz val="8"/>
      <color theme="0"/>
      <name val="Arial"/>
      <family val="2"/>
    </font>
    <font>
      <b/>
      <i/>
      <sz val="10"/>
      <color rgb="FF000080"/>
      <name val="Arial"/>
      <family val="2"/>
    </font>
    <font>
      <b/>
      <sz val="20"/>
      <color rgb="FF3F3F76"/>
      <name val="Calibri"/>
      <family val="2"/>
      <scheme val="minor"/>
    </font>
    <font>
      <sz val="10"/>
      <color rgb="FF000080"/>
      <name val="Arial"/>
      <family val="2"/>
    </font>
    <font>
      <b/>
      <sz val="10"/>
      <color theme="0"/>
      <name val="Arial"/>
      <family val="2"/>
    </font>
    <font>
      <b/>
      <sz val="12"/>
      <color rgb="FFFF0000"/>
      <name val="Arial"/>
      <family val="2"/>
    </font>
    <font>
      <sz val="14"/>
      <color rgb="FFFF0000"/>
      <name val="Calibri"/>
      <family val="2"/>
      <scheme val="minor"/>
    </font>
    <font>
      <sz val="11"/>
      <color rgb="FF000000"/>
      <name val="Arial"/>
      <family val="2"/>
    </font>
    <font>
      <b/>
      <sz val="10"/>
      <color rgb="FFFFFFFF"/>
      <name val="Arial"/>
      <family val="2"/>
    </font>
    <font>
      <sz val="14"/>
      <name val="Arial"/>
      <family val="2"/>
    </font>
    <font>
      <u/>
      <sz val="14"/>
      <name val="Arial"/>
      <family val="2"/>
    </font>
    <font>
      <b/>
      <sz val="10"/>
      <color rgb="FF3F3F3F"/>
      <name val="Arial"/>
      <family val="2"/>
    </font>
    <font>
      <i/>
      <sz val="11"/>
      <name val="Arial"/>
      <family val="2"/>
    </font>
    <font>
      <b/>
      <sz val="11"/>
      <name val="Arial"/>
      <family val="2"/>
    </font>
    <font>
      <b/>
      <sz val="8"/>
      <color indexed="81"/>
      <name val="Tahoma"/>
      <family val="2"/>
    </font>
    <font>
      <sz val="10"/>
      <color rgb="FF000000"/>
      <name val="Arial"/>
      <family val="2"/>
    </font>
  </fonts>
  <fills count="38">
    <fill>
      <patternFill patternType="none"/>
    </fill>
    <fill>
      <patternFill patternType="gray125"/>
    </fill>
    <fill>
      <patternFill patternType="solid">
        <fgColor indexed="52"/>
        <bgColor indexed="64"/>
      </patternFill>
    </fill>
    <fill>
      <patternFill patternType="solid">
        <fgColor indexed="10"/>
        <bgColor indexed="64"/>
      </patternFill>
    </fill>
    <fill>
      <patternFill patternType="solid">
        <fgColor indexed="50"/>
        <bgColor indexed="64"/>
      </patternFill>
    </fill>
    <fill>
      <patternFill patternType="solid">
        <fgColor indexed="43"/>
        <bgColor indexed="64"/>
      </patternFill>
    </fill>
    <fill>
      <patternFill patternType="solid">
        <fgColor indexed="41"/>
        <bgColor indexed="64"/>
      </patternFill>
    </fill>
    <fill>
      <patternFill patternType="solid">
        <fgColor indexed="23"/>
        <bgColor indexed="64"/>
      </patternFill>
    </fill>
    <fill>
      <patternFill patternType="solid">
        <fgColor indexed="18"/>
        <bgColor indexed="64"/>
      </patternFill>
    </fill>
    <fill>
      <patternFill patternType="solid">
        <fgColor indexed="47"/>
        <bgColor indexed="64"/>
      </patternFill>
    </fill>
    <fill>
      <patternFill patternType="solid">
        <fgColor indexed="42"/>
        <bgColor indexed="64"/>
      </patternFill>
    </fill>
    <fill>
      <patternFill patternType="solid">
        <fgColor indexed="26"/>
        <bgColor indexed="64"/>
      </patternFill>
    </fill>
    <fill>
      <patternFill patternType="solid">
        <fgColor indexed="51"/>
        <bgColor indexed="64"/>
      </patternFill>
    </fill>
    <fill>
      <patternFill patternType="solid">
        <fgColor indexed="65"/>
        <bgColor indexed="10"/>
      </patternFill>
    </fill>
    <fill>
      <patternFill patternType="solid">
        <fgColor indexed="22"/>
        <bgColor indexed="64"/>
      </patternFill>
    </fill>
    <fill>
      <patternFill patternType="solid">
        <fgColor theme="4" tint="0.79998168889431442"/>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rgb="FFF2F2F2"/>
      </patternFill>
    </fill>
    <fill>
      <patternFill patternType="solid">
        <fgColor rgb="FFA5A5A5"/>
      </patternFill>
    </fill>
    <fill>
      <patternFill patternType="solid">
        <fgColor rgb="FFFFCC99"/>
      </patternFill>
    </fill>
    <fill>
      <patternFill patternType="solid">
        <fgColor theme="0"/>
        <bgColor indexed="64"/>
      </patternFill>
    </fill>
    <fill>
      <patternFill patternType="solid">
        <fgColor rgb="FFFFC000"/>
        <bgColor indexed="64"/>
      </patternFill>
    </fill>
    <fill>
      <patternFill patternType="solid">
        <fgColor theme="1"/>
        <bgColor indexed="64"/>
      </patternFill>
    </fill>
    <fill>
      <patternFill patternType="solid">
        <fgColor theme="7" tint="0.79998168889431442"/>
        <bgColor indexed="64"/>
      </patternFill>
    </fill>
    <fill>
      <patternFill patternType="solid">
        <fgColor rgb="FFE4DFEC"/>
        <bgColor indexed="64"/>
      </patternFill>
    </fill>
    <fill>
      <patternFill patternType="solid">
        <fgColor theme="8" tint="0.79998168889431442"/>
        <bgColor indexed="64"/>
      </patternFill>
    </fill>
    <fill>
      <patternFill patternType="solid">
        <fgColor rgb="FFDAEEF3"/>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000080"/>
        <bgColor indexed="64"/>
      </patternFill>
    </fill>
    <fill>
      <patternFill patternType="solid">
        <fgColor rgb="FFCCFFCC"/>
        <bgColor indexed="64"/>
      </patternFill>
    </fill>
    <fill>
      <patternFill patternType="solid">
        <fgColor rgb="FFFFCC99"/>
        <bgColor indexed="64"/>
      </patternFill>
    </fill>
    <fill>
      <patternFill patternType="solid">
        <fgColor rgb="FFFFFFCC"/>
        <bgColor indexed="64"/>
      </patternFill>
    </fill>
  </fills>
  <borders count="63">
    <border>
      <left/>
      <right/>
      <top/>
      <bottom/>
      <diagonal/>
    </border>
    <border>
      <left style="thin">
        <color indexed="64"/>
      </left>
      <right style="thin">
        <color indexed="64"/>
      </right>
      <top style="thin">
        <color indexed="64"/>
      </top>
      <bottom style="thin">
        <color indexed="64"/>
      </bottom>
      <diagonal/>
    </border>
    <border>
      <left/>
      <right/>
      <top/>
      <bottom style="thick">
        <color indexed="10"/>
      </bottom>
      <diagonal/>
    </border>
    <border>
      <left/>
      <right/>
      <top/>
      <bottom style="thin">
        <color indexed="64"/>
      </bottom>
      <diagonal/>
    </border>
    <border>
      <left style="thin">
        <color indexed="64"/>
      </left>
      <right/>
      <top/>
      <bottom/>
      <diagonal/>
    </border>
    <border>
      <left/>
      <right style="thin">
        <color indexed="64"/>
      </right>
      <top/>
      <bottom/>
      <diagonal/>
    </border>
    <border>
      <left style="thin">
        <color indexed="64"/>
      </left>
      <right style="medium">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bottom style="medium">
        <color indexed="64"/>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thick">
        <color theme="4"/>
      </bottom>
      <diagonal/>
    </border>
    <border>
      <left style="thin">
        <color rgb="FF3F3F3F"/>
      </left>
      <right style="thin">
        <color rgb="FF3F3F3F"/>
      </right>
      <top style="thin">
        <color rgb="FF3F3F3F"/>
      </top>
      <bottom style="thin">
        <color rgb="FF3F3F3F"/>
      </bottom>
      <diagonal/>
    </border>
    <border>
      <left/>
      <right/>
      <top/>
      <bottom style="thin">
        <color rgb="FF000080"/>
      </bottom>
      <diagonal/>
    </border>
    <border>
      <left style="thick">
        <color theme="0"/>
      </left>
      <right/>
      <top style="thick">
        <color theme="0"/>
      </top>
      <bottom/>
      <diagonal/>
    </border>
    <border>
      <left/>
      <right/>
      <top style="thick">
        <color theme="0"/>
      </top>
      <bottom/>
      <diagonal/>
    </border>
    <border>
      <left/>
      <right style="thick">
        <color theme="0"/>
      </right>
      <top style="thick">
        <color theme="0"/>
      </top>
      <bottom/>
      <diagonal/>
    </border>
    <border>
      <left style="thick">
        <color theme="0"/>
      </left>
      <right style="thin">
        <color indexed="64"/>
      </right>
      <top style="thin">
        <color indexed="64"/>
      </top>
      <bottom style="thin">
        <color indexed="64"/>
      </bottom>
      <diagonal/>
    </border>
    <border>
      <left/>
      <right style="thick">
        <color theme="0"/>
      </right>
      <top/>
      <bottom/>
      <diagonal/>
    </border>
    <border>
      <left style="thick">
        <color theme="0"/>
      </left>
      <right/>
      <top/>
      <bottom/>
      <diagonal/>
    </border>
    <border>
      <left style="thick">
        <color theme="0"/>
      </left>
      <right/>
      <top/>
      <bottom style="thick">
        <color theme="0"/>
      </bottom>
      <diagonal/>
    </border>
    <border>
      <left/>
      <right/>
      <top/>
      <bottom style="thick">
        <color theme="0"/>
      </bottom>
      <diagonal/>
    </border>
    <border>
      <left/>
      <right style="thick">
        <color theme="0"/>
      </right>
      <top/>
      <bottom style="thick">
        <color theme="0"/>
      </bottom>
      <diagonal/>
    </border>
    <border>
      <left style="thick">
        <color theme="0"/>
      </left>
      <right style="double">
        <color rgb="FF3F3F3F"/>
      </right>
      <top style="double">
        <color rgb="FF3F3F3F"/>
      </top>
      <bottom style="double">
        <color rgb="FF3F3F3F"/>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style="medium">
        <color indexed="64"/>
      </bottom>
      <diagonal/>
    </border>
    <border>
      <left style="thin">
        <color indexed="64"/>
      </left>
      <right style="medium">
        <color indexed="64"/>
      </right>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thin">
        <color indexed="64"/>
      </top>
      <bottom style="medium">
        <color indexed="64"/>
      </bottom>
      <diagonal/>
    </border>
  </borders>
  <cellStyleXfs count="70">
    <xf numFmtId="0" fontId="0" fillId="0" borderId="0"/>
    <xf numFmtId="0" fontId="30" fillId="15" borderId="0" applyNumberFormat="0" applyBorder="0" applyAlignment="0" applyProtection="0"/>
    <xf numFmtId="0" fontId="30" fillId="16" borderId="0" applyNumberFormat="0" applyBorder="0" applyAlignment="0" applyProtection="0"/>
    <xf numFmtId="0" fontId="30" fillId="17" borderId="0" applyNumberFormat="0" applyBorder="0" applyAlignment="0" applyProtection="0"/>
    <xf numFmtId="0" fontId="30" fillId="18" borderId="0" applyNumberFormat="0" applyBorder="0" applyAlignment="0" applyProtection="0"/>
    <xf numFmtId="0" fontId="30" fillId="19" borderId="0" applyNumberFormat="0" applyBorder="0" applyAlignment="0" applyProtection="0"/>
    <xf numFmtId="0" fontId="31" fillId="20" borderId="37" applyNumberFormat="0" applyAlignment="0" applyProtection="0"/>
    <xf numFmtId="0" fontId="32" fillId="21" borderId="38" applyNumberFormat="0" applyAlignment="0" applyProtection="0"/>
    <xf numFmtId="0" fontId="4" fillId="0" borderId="1"/>
    <xf numFmtId="0" fontId="7" fillId="0" borderId="1"/>
    <xf numFmtId="0" fontId="4" fillId="0" borderId="1"/>
    <xf numFmtId="0" fontId="25" fillId="0" borderId="1"/>
    <xf numFmtId="0" fontId="4" fillId="0" borderId="1"/>
    <xf numFmtId="0" fontId="33" fillId="0" borderId="39" applyNumberFormat="0" applyFill="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27" fillId="0" borderId="0" applyNumberFormat="0" applyFill="0" applyBorder="0" applyAlignment="0" applyProtection="0">
      <alignment vertical="top"/>
      <protection locked="0"/>
    </xf>
    <xf numFmtId="0" fontId="4" fillId="2" borderId="1">
      <alignment horizontal="center"/>
    </xf>
    <xf numFmtId="0" fontId="7" fillId="2" borderId="1">
      <alignment horizontal="center"/>
    </xf>
    <xf numFmtId="0" fontId="4" fillId="2" borderId="1">
      <alignment horizontal="center"/>
    </xf>
    <xf numFmtId="0" fontId="36" fillId="22" borderId="37" applyNumberFormat="0" applyAlignment="0" applyProtection="0"/>
    <xf numFmtId="0" fontId="5" fillId="3" borderId="1">
      <alignment horizontal="center"/>
    </xf>
    <xf numFmtId="0" fontId="7" fillId="0" borderId="0"/>
    <xf numFmtId="0" fontId="4" fillId="0" borderId="0"/>
    <xf numFmtId="0" fontId="25" fillId="0" borderId="0"/>
    <xf numFmtId="0" fontId="4" fillId="0" borderId="0"/>
    <xf numFmtId="0" fontId="4" fillId="0" borderId="0"/>
    <xf numFmtId="0" fontId="5" fillId="4" borderId="1">
      <alignment horizontal="center"/>
    </xf>
    <xf numFmtId="0" fontId="37" fillId="20" borderId="40" applyNumberFormat="0" applyAlignment="0" applyProtection="0"/>
    <xf numFmtId="0" fontId="7" fillId="0" borderId="0"/>
    <xf numFmtId="0" fontId="4" fillId="0" borderId="0"/>
    <xf numFmtId="9" fontId="4" fillId="0" borderId="0" applyFont="0" applyFill="0" applyBorder="0" applyAlignment="0" applyProtection="0"/>
    <xf numFmtId="0" fontId="21" fillId="0" borderId="0">
      <alignment horizontal="center"/>
    </xf>
    <xf numFmtId="0" fontId="21" fillId="0" borderId="1"/>
    <xf numFmtId="0" fontId="5" fillId="0" borderId="0"/>
    <xf numFmtId="0" fontId="23" fillId="0" borderId="0"/>
    <xf numFmtId="0" fontId="4" fillId="0" borderId="0"/>
    <xf numFmtId="0" fontId="7" fillId="0" borderId="0"/>
    <xf numFmtId="0" fontId="4" fillId="0" borderId="0"/>
    <xf numFmtId="0" fontId="4" fillId="0" borderId="0"/>
    <xf numFmtId="0" fontId="7" fillId="0" borderId="0"/>
    <xf numFmtId="0" fontId="4" fillId="0" borderId="0"/>
    <xf numFmtId="0" fontId="4" fillId="0" borderId="0"/>
    <xf numFmtId="0" fontId="7" fillId="0" borderId="0"/>
    <xf numFmtId="0" fontId="4" fillId="0" borderId="0"/>
    <xf numFmtId="0" fontId="4" fillId="0" borderId="0"/>
    <xf numFmtId="0" fontId="7" fillId="0" borderId="0"/>
    <xf numFmtId="0" fontId="4" fillId="0" borderId="0"/>
    <xf numFmtId="0" fontId="4" fillId="0" borderId="0"/>
    <xf numFmtId="0" fontId="7" fillId="0" borderId="0"/>
    <xf numFmtId="0" fontId="4" fillId="0" borderId="0"/>
    <xf numFmtId="0" fontId="4" fillId="0" borderId="0"/>
    <xf numFmtId="0" fontId="7" fillId="0" borderId="0"/>
    <xf numFmtId="0" fontId="4" fillId="0" borderId="0"/>
    <xf numFmtId="0" fontId="5" fillId="0" borderId="1">
      <alignment horizontal="center" textRotation="60"/>
    </xf>
    <xf numFmtId="0" fontId="14" fillId="5" borderId="1">
      <alignment horizontal="center"/>
    </xf>
    <xf numFmtId="0" fontId="38" fillId="0" borderId="0" applyNumberFormat="0" applyFill="0" applyBorder="0" applyAlignment="0" applyProtection="0"/>
    <xf numFmtId="0" fontId="10" fillId="0" borderId="2"/>
    <xf numFmtId="0" fontId="39" fillId="0" borderId="0" applyNumberFormat="0" applyFill="0" applyBorder="0" applyAlignment="0" applyProtection="0"/>
    <xf numFmtId="49" fontId="4" fillId="0" borderId="1">
      <alignment horizontal="center"/>
    </xf>
    <xf numFmtId="0" fontId="7" fillId="0" borderId="1">
      <alignment horizontal="center"/>
    </xf>
    <xf numFmtId="0" fontId="4" fillId="0" borderId="1">
      <alignment horizontal="center"/>
    </xf>
    <xf numFmtId="0" fontId="25" fillId="0" borderId="1">
      <alignment horizontal="center"/>
    </xf>
    <xf numFmtId="0" fontId="4" fillId="0" borderId="1">
      <alignment horizontal="center"/>
    </xf>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18" borderId="0" applyNumberFormat="0" applyBorder="0" applyAlignment="0" applyProtection="0"/>
    <xf numFmtId="0" fontId="2" fillId="19" borderId="0" applyNumberFormat="0" applyBorder="0" applyAlignment="0" applyProtection="0"/>
    <xf numFmtId="0" fontId="4" fillId="0" borderId="0"/>
  </cellStyleXfs>
  <cellXfs count="405">
    <xf numFmtId="0" fontId="0" fillId="0" borderId="0" xfId="0"/>
    <xf numFmtId="0" fontId="0" fillId="0" borderId="0" xfId="0" applyAlignment="1" applyProtection="1">
      <alignment vertical="center"/>
    </xf>
    <xf numFmtId="0" fontId="8" fillId="0" borderId="0" xfId="0" applyFont="1" applyFill="1" applyAlignment="1" applyProtection="1">
      <alignment vertical="center" wrapText="1"/>
    </xf>
    <xf numFmtId="164" fontId="8" fillId="0" borderId="0" xfId="0" applyNumberFormat="1" applyFont="1" applyFill="1" applyBorder="1" applyAlignment="1" applyProtection="1">
      <alignment horizontal="center" vertical="center" wrapText="1"/>
    </xf>
    <xf numFmtId="20" fontId="8" fillId="0" borderId="0" xfId="0" applyNumberFormat="1" applyFont="1" applyFill="1" applyBorder="1" applyAlignment="1" applyProtection="1">
      <alignment vertical="center" wrapText="1"/>
    </xf>
    <xf numFmtId="0" fontId="8" fillId="0" borderId="0" xfId="0" applyFont="1" applyFill="1" applyBorder="1" applyAlignment="1" applyProtection="1">
      <alignment horizontal="left" vertical="center" wrapText="1"/>
    </xf>
    <xf numFmtId="0" fontId="4" fillId="0" borderId="0" xfId="0" applyFont="1" applyFill="1" applyAlignment="1" applyProtection="1">
      <alignment vertical="center"/>
    </xf>
    <xf numFmtId="0" fontId="0" fillId="0" borderId="0" xfId="0" applyBorder="1" applyAlignment="1" applyProtection="1">
      <alignment vertical="center"/>
    </xf>
    <xf numFmtId="0" fontId="4" fillId="0" borderId="0" xfId="0" applyFont="1" applyFill="1" applyBorder="1" applyAlignment="1" applyProtection="1">
      <alignment vertical="center"/>
    </xf>
    <xf numFmtId="0" fontId="40" fillId="0" borderId="0" xfId="0" applyFont="1" applyFill="1" applyBorder="1" applyAlignment="1" applyProtection="1">
      <alignment horizontal="right" vertical="center"/>
    </xf>
    <xf numFmtId="0" fontId="9" fillId="0" borderId="0" xfId="0" applyFont="1" applyBorder="1" applyAlignment="1" applyProtection="1">
      <alignment horizontal="left" vertical="center" wrapText="1"/>
    </xf>
    <xf numFmtId="0" fontId="7" fillId="0" borderId="0" xfId="0" applyFont="1" applyFill="1" applyBorder="1" applyAlignment="1" applyProtection="1">
      <alignment vertical="center" shrinkToFit="1"/>
    </xf>
    <xf numFmtId="0" fontId="7" fillId="0" borderId="0" xfId="0" applyFont="1" applyBorder="1" applyAlignment="1" applyProtection="1">
      <alignment vertical="center" shrinkToFit="1"/>
    </xf>
    <xf numFmtId="0" fontId="7" fillId="0" borderId="0" xfId="0" applyFont="1" applyFill="1" applyAlignment="1" applyProtection="1">
      <alignment vertical="center" shrinkToFit="1"/>
    </xf>
    <xf numFmtId="0" fontId="7" fillId="0" borderId="0" xfId="0" applyFont="1" applyAlignment="1" applyProtection="1">
      <alignment vertical="center" shrinkToFit="1"/>
    </xf>
    <xf numFmtId="0" fontId="4" fillId="0" borderId="0" xfId="0" applyFont="1" applyFill="1" applyAlignment="1" applyProtection="1">
      <alignment vertical="center"/>
      <protection locked="0"/>
    </xf>
    <xf numFmtId="0" fontId="0" fillId="0" borderId="0" xfId="0" applyAlignment="1" applyProtection="1">
      <alignment vertical="center"/>
      <protection locked="0"/>
    </xf>
    <xf numFmtId="0" fontId="7" fillId="0" borderId="0" xfId="0" applyFont="1" applyFill="1" applyAlignment="1" applyProtection="1">
      <alignment vertical="center"/>
      <protection locked="0"/>
    </xf>
    <xf numFmtId="0" fontId="7" fillId="0" borderId="0" xfId="0" applyFont="1" applyAlignment="1" applyProtection="1">
      <alignment vertical="center"/>
      <protection locked="0"/>
    </xf>
    <xf numFmtId="0" fontId="41" fillId="0" borderId="41" xfId="0" applyFont="1" applyBorder="1" applyAlignment="1" applyProtection="1">
      <alignment vertical="center"/>
      <protection locked="0"/>
    </xf>
    <xf numFmtId="0" fontId="0" fillId="0" borderId="41" xfId="0" applyBorder="1" applyAlignment="1" applyProtection="1">
      <alignment vertical="center"/>
      <protection locked="0"/>
    </xf>
    <xf numFmtId="0" fontId="15" fillId="0" borderId="0" xfId="0" applyFont="1" applyAlignment="1" applyProtection="1">
      <alignment horizontal="left" vertical="center"/>
      <protection locked="0"/>
    </xf>
    <xf numFmtId="0" fontId="10" fillId="0" borderId="0" xfId="0" applyFont="1" applyAlignment="1" applyProtection="1">
      <alignment horizontal="left" vertical="center"/>
      <protection locked="0"/>
    </xf>
    <xf numFmtId="0" fontId="7" fillId="0" borderId="0" xfId="0" applyFont="1" applyAlignment="1" applyProtection="1">
      <alignment horizontal="left" vertical="center"/>
      <protection locked="0"/>
    </xf>
    <xf numFmtId="0" fontId="12" fillId="0" borderId="0" xfId="0" applyFont="1" applyAlignment="1" applyProtection="1">
      <alignment vertical="center"/>
      <protection locked="0"/>
    </xf>
    <xf numFmtId="0" fontId="5" fillId="0" borderId="0" xfId="0" applyFont="1" applyAlignment="1" applyProtection="1">
      <alignment vertical="center"/>
      <protection locked="0"/>
    </xf>
    <xf numFmtId="49" fontId="19" fillId="0" borderId="0" xfId="0" applyNumberFormat="1" applyFont="1" applyFill="1" applyBorder="1" applyAlignment="1" applyProtection="1">
      <alignment horizontal="left" vertical="center"/>
      <protection locked="0"/>
    </xf>
    <xf numFmtId="49" fontId="7" fillId="0" borderId="0" xfId="0" applyNumberFormat="1" applyFont="1" applyFill="1" applyBorder="1" applyAlignment="1">
      <alignment horizontal="center" vertical="center" wrapText="1"/>
    </xf>
    <xf numFmtId="49" fontId="7" fillId="0" borderId="0" xfId="0" applyNumberFormat="1" applyFont="1" applyFill="1" applyBorder="1" applyAlignment="1" applyProtection="1">
      <alignment horizontal="left" vertical="center" wrapText="1"/>
      <protection locked="0"/>
    </xf>
    <xf numFmtId="49" fontId="7" fillId="0" borderId="0" xfId="0" applyNumberFormat="1" applyFont="1" applyFill="1" applyBorder="1" applyAlignment="1">
      <alignment horizontal="left" vertical="center" wrapText="1"/>
    </xf>
    <xf numFmtId="49" fontId="17" fillId="0" borderId="0" xfId="0" applyNumberFormat="1" applyFont="1" applyFill="1" applyAlignment="1" applyProtection="1">
      <alignment vertical="center" wrapText="1"/>
      <protection locked="0"/>
    </xf>
    <xf numFmtId="14" fontId="0" fillId="0" borderId="0" xfId="0" applyNumberFormat="1" applyAlignment="1" applyProtection="1">
      <alignment vertical="center"/>
      <protection locked="0"/>
    </xf>
    <xf numFmtId="0" fontId="18" fillId="0" borderId="0" xfId="0" applyFont="1" applyAlignment="1" applyProtection="1">
      <alignment horizontal="left" vertical="center"/>
      <protection locked="0"/>
    </xf>
    <xf numFmtId="0" fontId="0" fillId="0" borderId="0" xfId="0" applyBorder="1" applyAlignment="1">
      <alignment horizontal="left" vertical="center" wrapText="1"/>
    </xf>
    <xf numFmtId="0" fontId="41" fillId="0" borderId="3" xfId="0" applyFont="1" applyBorder="1" applyAlignment="1" applyProtection="1">
      <alignment vertical="center"/>
      <protection locked="0"/>
    </xf>
    <xf numFmtId="49" fontId="7" fillId="0" borderId="3" xfId="0" applyNumberFormat="1" applyFont="1" applyFill="1" applyBorder="1" applyAlignment="1" applyProtection="1">
      <alignment horizontal="left" vertical="center" wrapText="1"/>
      <protection locked="0"/>
    </xf>
    <xf numFmtId="0" fontId="0" fillId="0" borderId="3" xfId="0" applyBorder="1" applyAlignment="1">
      <alignment horizontal="left" vertical="center" wrapText="1"/>
    </xf>
    <xf numFmtId="0" fontId="41" fillId="0" borderId="0" xfId="0" applyFont="1" applyBorder="1" applyAlignment="1" applyProtection="1">
      <alignment vertical="center"/>
      <protection locked="0"/>
    </xf>
    <xf numFmtId="49" fontId="7" fillId="0" borderId="0" xfId="0" applyNumberFormat="1" applyFont="1" applyFill="1" applyBorder="1" applyAlignment="1" applyProtection="1">
      <alignment horizontal="left" vertical="center"/>
      <protection locked="0"/>
    </xf>
    <xf numFmtId="0" fontId="0" fillId="0" borderId="0" xfId="0" applyBorder="1" applyAlignment="1">
      <alignment horizontal="left" vertical="center"/>
    </xf>
    <xf numFmtId="0" fontId="0" fillId="0" borderId="0" xfId="0" applyFill="1" applyBorder="1" applyAlignment="1" applyProtection="1">
      <alignment vertical="center"/>
      <protection locked="0"/>
    </xf>
    <xf numFmtId="0" fontId="0" fillId="0" borderId="0" xfId="0" applyFill="1" applyBorder="1" applyAlignment="1" applyProtection="1">
      <alignment horizontal="left" vertical="center"/>
      <protection locked="0"/>
    </xf>
    <xf numFmtId="49" fontId="7" fillId="0" borderId="0" xfId="0" applyNumberFormat="1" applyFont="1" applyFill="1" applyBorder="1" applyAlignment="1">
      <alignment vertical="center"/>
    </xf>
    <xf numFmtId="0" fontId="0" fillId="0" borderId="0" xfId="0" applyBorder="1" applyAlignment="1" applyProtection="1">
      <alignment vertical="center"/>
      <protection locked="0"/>
    </xf>
    <xf numFmtId="0" fontId="7" fillId="0" borderId="0" xfId="0" applyFont="1" applyFill="1" applyAlignment="1" applyProtection="1">
      <alignment vertical="center"/>
    </xf>
    <xf numFmtId="0" fontId="7" fillId="0" borderId="0" xfId="0" applyFont="1" applyAlignment="1" applyProtection="1">
      <alignment vertical="center"/>
    </xf>
    <xf numFmtId="0" fontId="14" fillId="0" borderId="0" xfId="0" applyFont="1" applyBorder="1" applyAlignment="1" applyProtection="1">
      <alignment horizontal="left" vertical="center" shrinkToFit="1"/>
    </xf>
    <xf numFmtId="0" fontId="5" fillId="0" borderId="0" xfId="0" applyFont="1" applyBorder="1" applyAlignment="1" applyProtection="1">
      <alignment horizontal="left" vertical="center" shrinkToFit="1"/>
    </xf>
    <xf numFmtId="0" fontId="7" fillId="0" borderId="0" xfId="0" applyFont="1" applyFill="1" applyAlignment="1" applyProtection="1">
      <alignment vertical="center" shrinkToFit="1"/>
      <protection locked="0"/>
    </xf>
    <xf numFmtId="0" fontId="7" fillId="0" borderId="0" xfId="0" applyFont="1" applyAlignment="1" applyProtection="1">
      <alignment vertical="center" shrinkToFit="1"/>
      <protection locked="0"/>
    </xf>
    <xf numFmtId="0" fontId="42" fillId="0" borderId="4" xfId="0" applyFont="1" applyFill="1" applyBorder="1" applyAlignment="1" applyProtection="1">
      <alignment horizontal="left" vertical="center" wrapText="1" shrinkToFit="1"/>
      <protection locked="0"/>
    </xf>
    <xf numFmtId="0" fontId="43" fillId="0" borderId="0" xfId="0" applyFont="1" applyFill="1" applyBorder="1" applyAlignment="1" applyProtection="1">
      <alignment horizontal="left" vertical="center" shrinkToFit="1"/>
      <protection locked="0"/>
    </xf>
    <xf numFmtId="0" fontId="42" fillId="0" borderId="0" xfId="0" applyFont="1" applyFill="1" applyBorder="1" applyAlignment="1" applyProtection="1">
      <alignment horizontal="left" vertical="center" wrapText="1" shrinkToFit="1"/>
      <protection locked="0"/>
    </xf>
    <xf numFmtId="0" fontId="43" fillId="0" borderId="5" xfId="0" applyFont="1" applyFill="1" applyBorder="1" applyAlignment="1" applyProtection="1">
      <alignment horizontal="left" vertical="center" shrinkToFit="1"/>
      <protection locked="0"/>
    </xf>
    <xf numFmtId="0" fontId="4" fillId="0" borderId="0" xfId="0" applyFont="1" applyFill="1" applyAlignment="1" applyProtection="1">
      <alignment vertical="center" shrinkToFit="1"/>
      <protection locked="0"/>
    </xf>
    <xf numFmtId="0" fontId="0" fillId="0" borderId="0" xfId="0" applyAlignment="1" applyProtection="1">
      <alignment vertical="center" shrinkToFit="1"/>
      <protection locked="0"/>
    </xf>
    <xf numFmtId="0" fontId="0" fillId="0" borderId="0" xfId="0" applyFill="1" applyAlignment="1" applyProtection="1">
      <alignment vertical="center"/>
      <protection locked="0"/>
    </xf>
    <xf numFmtId="0" fontId="13" fillId="0" borderId="0" xfId="0" applyFont="1" applyFill="1" applyAlignment="1" applyProtection="1">
      <alignment horizontal="center" vertical="center"/>
      <protection locked="0"/>
    </xf>
    <xf numFmtId="0" fontId="44" fillId="0" borderId="0" xfId="0" quotePrefix="1" applyFont="1" applyFill="1" applyBorder="1" applyAlignment="1" applyProtection="1">
      <alignment horizontal="right" vertical="center"/>
    </xf>
    <xf numFmtId="0" fontId="21" fillId="0" borderId="0" xfId="0" applyFont="1" applyAlignment="1">
      <alignment textRotation="60"/>
    </xf>
    <xf numFmtId="0" fontId="0" fillId="0" borderId="0" xfId="0" applyAlignment="1">
      <alignment horizontal="center"/>
    </xf>
    <xf numFmtId="0" fontId="0" fillId="0" borderId="0" xfId="0" applyNumberFormat="1" applyAlignment="1">
      <alignment horizontal="center"/>
    </xf>
    <xf numFmtId="0" fontId="0" fillId="0" borderId="0" xfId="0" applyNumberFormat="1"/>
    <xf numFmtId="10" fontId="0" fillId="0" borderId="0" xfId="0" applyNumberFormat="1"/>
    <xf numFmtId="0" fontId="10" fillId="0" borderId="2" xfId="57" applyFont="1" applyFill="1"/>
    <xf numFmtId="0" fontId="0" fillId="0" borderId="0" xfId="0" applyFill="1"/>
    <xf numFmtId="0" fontId="21" fillId="0" borderId="1" xfId="33"/>
    <xf numFmtId="0" fontId="5" fillId="0" borderId="0" xfId="34"/>
    <xf numFmtId="0" fontId="23" fillId="0" borderId="0" xfId="35"/>
    <xf numFmtId="0" fontId="4" fillId="0" borderId="0" xfId="36"/>
    <xf numFmtId="0" fontId="4" fillId="0" borderId="0" xfId="39"/>
    <xf numFmtId="0" fontId="4" fillId="0" borderId="0" xfId="42"/>
    <xf numFmtId="0" fontId="4" fillId="0" borderId="0" xfId="45"/>
    <xf numFmtId="0" fontId="4" fillId="0" borderId="0" xfId="48"/>
    <xf numFmtId="0" fontId="4" fillId="0" borderId="0" xfId="51"/>
    <xf numFmtId="0" fontId="4" fillId="0" borderId="1" xfId="8" applyFont="1"/>
    <xf numFmtId="0" fontId="5" fillId="0" borderId="1" xfId="54">
      <alignment horizontal="center" textRotation="60"/>
    </xf>
    <xf numFmtId="0" fontId="7" fillId="0" borderId="0" xfId="29"/>
    <xf numFmtId="0" fontId="5" fillId="4" borderId="1" xfId="27">
      <alignment horizontal="center"/>
    </xf>
    <xf numFmtId="0" fontId="5" fillId="3" borderId="1" xfId="21">
      <alignment horizontal="center"/>
    </xf>
    <xf numFmtId="0" fontId="4" fillId="2" borderId="1" xfId="17" applyFont="1">
      <alignment horizontal="center"/>
    </xf>
    <xf numFmtId="49" fontId="4" fillId="0" borderId="1" xfId="59" applyFont="1">
      <alignment horizontal="center"/>
    </xf>
    <xf numFmtId="0" fontId="14" fillId="5" borderId="1" xfId="55">
      <alignment horizontal="center"/>
    </xf>
    <xf numFmtId="0" fontId="13" fillId="0" borderId="0" xfId="0" applyFont="1" applyFill="1" applyAlignment="1" applyProtection="1">
      <alignment vertical="center" wrapText="1"/>
      <protection locked="0"/>
    </xf>
    <xf numFmtId="0" fontId="14" fillId="0" borderId="0" xfId="0" applyFont="1" applyAlignment="1">
      <alignment vertical="center" wrapText="1"/>
    </xf>
    <xf numFmtId="0" fontId="13" fillId="0" borderId="0" xfId="0" applyFont="1" applyAlignment="1">
      <alignment vertical="center" wrapText="1"/>
    </xf>
    <xf numFmtId="0" fontId="14" fillId="0" borderId="0" xfId="0" applyFont="1" applyAlignment="1" applyProtection="1">
      <alignment vertical="center"/>
      <protection locked="0"/>
    </xf>
    <xf numFmtId="0" fontId="13" fillId="0" borderId="0" xfId="0" applyFont="1" applyBorder="1" applyAlignment="1">
      <alignment vertical="center"/>
    </xf>
    <xf numFmtId="0" fontId="14" fillId="0" borderId="0" xfId="0" applyFont="1" applyFill="1" applyAlignment="1" applyProtection="1">
      <alignment vertical="center"/>
      <protection locked="0"/>
    </xf>
    <xf numFmtId="0" fontId="13" fillId="0" borderId="0" xfId="0" applyFont="1" applyBorder="1" applyAlignment="1">
      <alignment vertical="center" wrapText="1"/>
    </xf>
    <xf numFmtId="0" fontId="45" fillId="23" borderId="0" xfId="0" applyFont="1" applyFill="1"/>
    <xf numFmtId="0" fontId="0" fillId="23" borderId="0" xfId="0" applyFill="1"/>
    <xf numFmtId="0" fontId="0" fillId="23" borderId="0" xfId="0" applyFill="1" applyAlignment="1">
      <alignment horizontal="left" vertical="center"/>
    </xf>
    <xf numFmtId="0" fontId="21" fillId="23" borderId="0" xfId="0" applyFont="1" applyFill="1" applyAlignment="1">
      <alignment textRotation="60"/>
    </xf>
    <xf numFmtId="0" fontId="0" fillId="23" borderId="0" xfId="0" applyFill="1" applyAlignment="1">
      <alignment vertical="center"/>
    </xf>
    <xf numFmtId="0" fontId="0" fillId="23" borderId="0" xfId="0" applyFill="1" applyAlignment="1">
      <alignment horizontal="center"/>
    </xf>
    <xf numFmtId="0" fontId="0" fillId="23" borderId="0" xfId="0" applyFill="1" applyAlignment="1">
      <alignment vertical="center" wrapText="1"/>
    </xf>
    <xf numFmtId="0" fontId="20" fillId="23" borderId="0" xfId="0" applyFont="1" applyFill="1" applyBorder="1" applyAlignment="1">
      <alignment horizontal="center"/>
    </xf>
    <xf numFmtId="0" fontId="7" fillId="23" borderId="1" xfId="0" applyFont="1" applyFill="1" applyBorder="1" applyAlignment="1">
      <alignment horizontal="center" vertical="center" wrapText="1"/>
    </xf>
    <xf numFmtId="49" fontId="5" fillId="6" borderId="1" xfId="22" applyNumberFormat="1" applyFont="1" applyFill="1" applyBorder="1" applyAlignment="1">
      <alignment horizontal="center" vertical="center" wrapText="1"/>
    </xf>
    <xf numFmtId="49" fontId="7" fillId="6" borderId="1" xfId="22" applyNumberFormat="1" applyFont="1" applyFill="1" applyBorder="1" applyAlignment="1">
      <alignment horizontal="center" vertical="center" wrapText="1"/>
    </xf>
    <xf numFmtId="10" fontId="5" fillId="5" borderId="6" xfId="22" applyNumberFormat="1" applyFont="1" applyFill="1" applyBorder="1" applyAlignment="1">
      <alignment horizontal="center" textRotation="60" wrapText="1"/>
    </xf>
    <xf numFmtId="10" fontId="5" fillId="5" borderId="7" xfId="22" applyNumberFormat="1" applyFont="1" applyFill="1" applyBorder="1" applyAlignment="1">
      <alignment horizontal="center" textRotation="60" wrapText="1"/>
    </xf>
    <xf numFmtId="0" fontId="7" fillId="23" borderId="0" xfId="0" applyFont="1" applyFill="1" applyAlignment="1">
      <alignment vertical="center"/>
    </xf>
    <xf numFmtId="10" fontId="5" fillId="5" borderId="7" xfId="22" applyNumberFormat="1" applyFont="1" applyFill="1" applyBorder="1" applyAlignment="1">
      <alignment horizontal="center" textRotation="60"/>
    </xf>
    <xf numFmtId="1" fontId="5" fillId="5" borderId="7" xfId="22" applyNumberFormat="1" applyFont="1" applyFill="1" applyBorder="1" applyAlignment="1">
      <alignment horizontal="center" textRotation="60"/>
    </xf>
    <xf numFmtId="0" fontId="5" fillId="5" borderId="8" xfId="22" applyFont="1" applyFill="1" applyBorder="1" applyAlignment="1">
      <alignment horizontal="center" textRotation="60"/>
    </xf>
    <xf numFmtId="0" fontId="33" fillId="0" borderId="0" xfId="13" applyNumberFormat="1" applyBorder="1"/>
    <xf numFmtId="0" fontId="30" fillId="15" borderId="1" xfId="1" applyNumberFormat="1" applyBorder="1"/>
    <xf numFmtId="9" fontId="46" fillId="20" borderId="1" xfId="31" applyFont="1" applyFill="1" applyBorder="1" applyAlignment="1">
      <alignment horizontal="center"/>
    </xf>
    <xf numFmtId="0" fontId="37" fillId="20" borderId="1" xfId="28" applyNumberFormat="1" applyBorder="1" applyAlignment="1">
      <alignment horizontal="center"/>
    </xf>
    <xf numFmtId="0" fontId="4" fillId="0" borderId="0" xfId="0" applyNumberFormat="1" applyFont="1"/>
    <xf numFmtId="0" fontId="0" fillId="23" borderId="0" xfId="0" applyNumberFormat="1" applyFill="1" applyAlignment="1">
      <alignment horizontal="center" vertical="center"/>
    </xf>
    <xf numFmtId="0" fontId="0" fillId="23" borderId="0" xfId="0" applyNumberFormat="1" applyFill="1" applyAlignment="1">
      <alignment horizontal="right" vertical="center"/>
    </xf>
    <xf numFmtId="0" fontId="0" fillId="23" borderId="0" xfId="0" applyNumberFormat="1" applyFill="1" applyAlignment="1">
      <alignment vertical="center"/>
    </xf>
    <xf numFmtId="0" fontId="24" fillId="23" borderId="0" xfId="0" applyNumberFormat="1" applyFont="1" applyFill="1" applyAlignment="1">
      <alignment horizontal="center" vertical="center"/>
    </xf>
    <xf numFmtId="0" fontId="21" fillId="23" borderId="0" xfId="0" applyNumberFormat="1" applyFont="1" applyFill="1" applyAlignment="1">
      <alignment vertical="center" textRotation="60"/>
    </xf>
    <xf numFmtId="0" fontId="38" fillId="23" borderId="0" xfId="56" applyNumberFormat="1" applyFill="1" applyAlignment="1">
      <alignment vertical="center"/>
    </xf>
    <xf numFmtId="0" fontId="47" fillId="9" borderId="1" xfId="15" applyFont="1" applyFill="1" applyBorder="1" applyAlignment="1">
      <alignment horizontal="left" vertical="center"/>
    </xf>
    <xf numFmtId="0" fontId="0" fillId="9" borderId="1" xfId="0" applyNumberFormat="1" applyFill="1" applyBorder="1" applyAlignment="1">
      <alignment horizontal="center"/>
    </xf>
    <xf numFmtId="0" fontId="0" fillId="9" borderId="1" xfId="0" applyNumberFormat="1" applyFill="1" applyBorder="1"/>
    <xf numFmtId="10" fontId="0" fillId="9" borderId="1" xfId="0" applyNumberFormat="1" applyFill="1" applyBorder="1"/>
    <xf numFmtId="1" fontId="21" fillId="5" borderId="1" xfId="0" applyNumberFormat="1" applyFont="1" applyFill="1" applyBorder="1" applyAlignment="1">
      <alignment horizontal="center"/>
    </xf>
    <xf numFmtId="0" fontId="48" fillId="0" borderId="0" xfId="0" applyFont="1"/>
    <xf numFmtId="0" fontId="0" fillId="24" borderId="1" xfId="0" applyNumberFormat="1" applyFill="1" applyBorder="1" applyAlignment="1">
      <alignment horizontal="center" vertical="center"/>
    </xf>
    <xf numFmtId="0" fontId="0" fillId="23" borderId="0" xfId="0" applyFill="1" applyAlignment="1">
      <alignment vertical="center" wrapText="1"/>
    </xf>
    <xf numFmtId="0" fontId="7" fillId="23" borderId="0" xfId="0" applyFont="1" applyFill="1" applyAlignment="1">
      <alignment vertical="center" wrapText="1"/>
    </xf>
    <xf numFmtId="0" fontId="21" fillId="5" borderId="1" xfId="0" applyFont="1" applyFill="1" applyBorder="1" applyAlignment="1">
      <alignment horizontal="center" vertical="center"/>
    </xf>
    <xf numFmtId="0" fontId="0" fillId="25" borderId="0" xfId="0" applyNumberFormat="1" applyFill="1" applyAlignment="1">
      <alignment horizontal="center"/>
    </xf>
    <xf numFmtId="0" fontId="0" fillId="25" borderId="0" xfId="0" applyNumberFormat="1" applyFill="1"/>
    <xf numFmtId="10" fontId="0" fillId="25" borderId="0" xfId="0" applyNumberFormat="1" applyFill="1"/>
    <xf numFmtId="0" fontId="49" fillId="25" borderId="0" xfId="0" applyFont="1" applyFill="1" applyAlignment="1">
      <alignment horizontal="left"/>
    </xf>
    <xf numFmtId="0" fontId="4" fillId="23" borderId="0" xfId="0" applyFont="1" applyFill="1" applyBorder="1" applyAlignment="1">
      <alignment vertical="center" wrapText="1"/>
    </xf>
    <xf numFmtId="0" fontId="0" fillId="23" borderId="0" xfId="0" applyFont="1" applyFill="1" applyBorder="1" applyAlignment="1">
      <alignment horizontal="left" vertical="center" wrapText="1"/>
    </xf>
    <xf numFmtId="0" fontId="38" fillId="26" borderId="42" xfId="56" applyNumberFormat="1" applyFill="1" applyBorder="1" applyAlignment="1">
      <alignment horizontal="left" vertical="center"/>
    </xf>
    <xf numFmtId="0" fontId="0" fillId="26" borderId="43" xfId="0" applyNumberFormat="1" applyFill="1" applyBorder="1" applyAlignment="1">
      <alignment horizontal="center" vertical="center"/>
    </xf>
    <xf numFmtId="0" fontId="38" fillId="26" borderId="43" xfId="56" applyNumberFormat="1" applyFill="1" applyBorder="1" applyAlignment="1">
      <alignment horizontal="left" vertical="center"/>
    </xf>
    <xf numFmtId="0" fontId="0" fillId="26" borderId="43" xfId="0" applyNumberFormat="1" applyFill="1" applyBorder="1" applyAlignment="1">
      <alignment horizontal="right" vertical="center"/>
    </xf>
    <xf numFmtId="0" fontId="0" fillId="26" borderId="44" xfId="0" applyNumberFormat="1" applyFill="1" applyBorder="1" applyAlignment="1">
      <alignment horizontal="right" vertical="center"/>
    </xf>
    <xf numFmtId="0" fontId="30" fillId="17" borderId="45" xfId="3" applyNumberFormat="1" applyBorder="1" applyAlignment="1">
      <alignment horizontal="left" vertical="center" wrapText="1"/>
    </xf>
    <xf numFmtId="0" fontId="37" fillId="0" borderId="40" xfId="28" applyNumberFormat="1" applyFill="1" applyBorder="1" applyAlignment="1">
      <alignment horizontal="center" vertical="center"/>
    </xf>
    <xf numFmtId="0" fontId="0" fillId="26" borderId="0" xfId="0" applyNumberFormat="1" applyFill="1" applyBorder="1" applyAlignment="1">
      <alignment horizontal="center" vertical="center"/>
    </xf>
    <xf numFmtId="0" fontId="0" fillId="26" borderId="0" xfId="0" applyNumberFormat="1" applyFill="1" applyBorder="1" applyAlignment="1">
      <alignment horizontal="right" vertical="center"/>
    </xf>
    <xf numFmtId="0" fontId="0" fillId="26" borderId="46" xfId="0" applyNumberFormat="1" applyFill="1" applyBorder="1" applyAlignment="1">
      <alignment horizontal="right" vertical="center"/>
    </xf>
    <xf numFmtId="0" fontId="37" fillId="0" borderId="40" xfId="28" applyNumberFormat="1" applyFont="1" applyFill="1" applyBorder="1" applyAlignment="1">
      <alignment horizontal="center" vertical="center" wrapText="1"/>
    </xf>
    <xf numFmtId="0" fontId="0" fillId="26" borderId="47" xfId="0" applyNumberFormat="1" applyFill="1" applyBorder="1" applyAlignment="1">
      <alignment vertical="center"/>
    </xf>
    <xf numFmtId="0" fontId="0" fillId="26" borderId="0" xfId="0" applyNumberFormat="1" applyFill="1" applyBorder="1" applyAlignment="1">
      <alignment vertical="center"/>
    </xf>
    <xf numFmtId="0" fontId="38" fillId="26" borderId="47" xfId="56" applyNumberFormat="1" applyFill="1" applyBorder="1" applyAlignment="1">
      <alignment horizontal="left" vertical="center"/>
    </xf>
    <xf numFmtId="0" fontId="24" fillId="26" borderId="47" xfId="0" applyNumberFormat="1" applyFont="1" applyFill="1" applyBorder="1" applyAlignment="1">
      <alignment horizontal="center" vertical="center" wrapText="1"/>
    </xf>
    <xf numFmtId="0" fontId="24" fillId="27" borderId="47" xfId="0" applyNumberFormat="1" applyFont="1" applyFill="1" applyBorder="1" applyAlignment="1">
      <alignment horizontal="center" vertical="center" wrapText="1"/>
    </xf>
    <xf numFmtId="0" fontId="24" fillId="27" borderId="48" xfId="0" applyNumberFormat="1" applyFont="1" applyFill="1" applyBorder="1" applyAlignment="1">
      <alignment horizontal="left" vertical="center"/>
    </xf>
    <xf numFmtId="0" fontId="0" fillId="26" borderId="49" xfId="0" applyNumberFormat="1" applyFill="1" applyBorder="1" applyAlignment="1">
      <alignment horizontal="center" vertical="center"/>
    </xf>
    <xf numFmtId="0" fontId="0" fillId="26" borderId="49" xfId="0" applyNumberFormat="1" applyFill="1" applyBorder="1" applyAlignment="1">
      <alignment horizontal="right" vertical="center"/>
    </xf>
    <xf numFmtId="0" fontId="0" fillId="26" borderId="50" xfId="0" applyNumberFormat="1" applyFill="1" applyBorder="1" applyAlignment="1">
      <alignment horizontal="right" vertical="center"/>
    </xf>
    <xf numFmtId="0" fontId="0" fillId="26" borderId="42" xfId="0" applyNumberFormat="1" applyFill="1" applyBorder="1" applyAlignment="1">
      <alignment vertical="center"/>
    </xf>
    <xf numFmtId="0" fontId="0" fillId="26" borderId="43" xfId="0" applyNumberFormat="1" applyFill="1" applyBorder="1" applyAlignment="1">
      <alignment vertical="center"/>
    </xf>
    <xf numFmtId="0" fontId="0" fillId="26" borderId="44" xfId="0" applyNumberFormat="1" applyFill="1" applyBorder="1" applyAlignment="1">
      <alignment vertical="center"/>
    </xf>
    <xf numFmtId="0" fontId="0" fillId="26" borderId="47" xfId="0" applyNumberFormat="1" applyFill="1" applyBorder="1" applyAlignment="1">
      <alignment horizontal="right" vertical="center"/>
    </xf>
    <xf numFmtId="0" fontId="0" fillId="26" borderId="46" xfId="0" applyNumberFormat="1" applyFill="1" applyBorder="1" applyAlignment="1">
      <alignment vertical="center"/>
    </xf>
    <xf numFmtId="0" fontId="0" fillId="26" borderId="48" xfId="0" applyNumberFormat="1" applyFill="1" applyBorder="1" applyAlignment="1">
      <alignment horizontal="right" vertical="center"/>
    </xf>
    <xf numFmtId="0" fontId="0" fillId="26" borderId="49" xfId="0" applyNumberFormat="1" applyFill="1" applyBorder="1" applyAlignment="1">
      <alignment vertical="center"/>
    </xf>
    <xf numFmtId="0" fontId="0" fillId="26" borderId="50" xfId="0" applyNumberFormat="1" applyFill="1" applyBorder="1" applyAlignment="1">
      <alignment vertical="center"/>
    </xf>
    <xf numFmtId="0" fontId="38" fillId="28" borderId="42" xfId="56" applyFill="1" applyBorder="1" applyAlignment="1">
      <alignment horizontal="right" vertical="center"/>
    </xf>
    <xf numFmtId="0" fontId="50" fillId="28" borderId="43" xfId="14" applyNumberFormat="1" applyFont="1" applyFill="1" applyBorder="1" applyAlignment="1">
      <alignment horizontal="left" vertical="center"/>
    </xf>
    <xf numFmtId="0" fontId="50" fillId="28" borderId="44" xfId="14" applyNumberFormat="1" applyFont="1" applyFill="1" applyBorder="1" applyAlignment="1">
      <alignment horizontal="left" vertical="center"/>
    </xf>
    <xf numFmtId="0" fontId="24" fillId="28" borderId="47" xfId="0" applyFont="1" applyFill="1" applyBorder="1" applyAlignment="1">
      <alignment vertical="center"/>
    </xf>
    <xf numFmtId="0" fontId="0" fillId="28" borderId="0" xfId="0" applyNumberFormat="1" applyFill="1" applyBorder="1" applyAlignment="1">
      <alignment horizontal="center" vertical="center"/>
    </xf>
    <xf numFmtId="0" fontId="0" fillId="28" borderId="46" xfId="0" applyNumberFormat="1" applyFill="1" applyBorder="1" applyAlignment="1">
      <alignment horizontal="center" vertical="center"/>
    </xf>
    <xf numFmtId="0" fontId="38" fillId="28" borderId="47" xfId="56" applyFill="1" applyBorder="1" applyAlignment="1">
      <alignment vertical="center"/>
    </xf>
    <xf numFmtId="0" fontId="38" fillId="28" borderId="0" xfId="56" applyFill="1" applyBorder="1" applyAlignment="1">
      <alignment vertical="center"/>
    </xf>
    <xf numFmtId="0" fontId="0" fillId="28" borderId="0" xfId="0" applyNumberFormat="1" applyFill="1" applyBorder="1" applyAlignment="1">
      <alignment horizontal="right" vertical="center"/>
    </xf>
    <xf numFmtId="0" fontId="0" fillId="28" borderId="46" xfId="0" applyNumberFormat="1" applyFill="1" applyBorder="1" applyAlignment="1">
      <alignment horizontal="right" vertical="center"/>
    </xf>
    <xf numFmtId="0" fontId="30" fillId="18" borderId="45" xfId="4" applyBorder="1" applyAlignment="1">
      <alignment vertical="center"/>
    </xf>
    <xf numFmtId="0" fontId="37" fillId="20" borderId="40" xfId="28" applyNumberFormat="1" applyFont="1" applyBorder="1" applyAlignment="1">
      <alignment horizontal="center" vertical="center"/>
    </xf>
    <xf numFmtId="0" fontId="30" fillId="18" borderId="45" xfId="4" applyBorder="1" applyAlignment="1">
      <alignment vertical="center" wrapText="1"/>
    </xf>
    <xf numFmtId="0" fontId="0" fillId="28" borderId="47" xfId="0" applyNumberFormat="1" applyFill="1" applyBorder="1" applyAlignment="1">
      <alignment horizontal="right" vertical="center"/>
    </xf>
    <xf numFmtId="0" fontId="24" fillId="29" borderId="47" xfId="0" applyNumberFormat="1" applyFont="1" applyFill="1" applyBorder="1" applyAlignment="1">
      <alignment horizontal="center" vertical="center" wrapText="1"/>
    </xf>
    <xf numFmtId="0" fontId="50" fillId="29" borderId="48" xfId="14" applyNumberFormat="1" applyFont="1" applyFill="1" applyBorder="1" applyAlignment="1">
      <alignment horizontal="left" vertical="center"/>
    </xf>
    <xf numFmtId="0" fontId="0" fillId="28" borderId="49" xfId="0" applyNumberFormat="1" applyFill="1" applyBorder="1" applyAlignment="1">
      <alignment horizontal="center" vertical="center"/>
    </xf>
    <xf numFmtId="0" fontId="0" fillId="28" borderId="49" xfId="0" applyNumberFormat="1" applyFill="1" applyBorder="1" applyAlignment="1">
      <alignment horizontal="right" vertical="center"/>
    </xf>
    <xf numFmtId="0" fontId="0" fillId="28" borderId="0" xfId="0" applyNumberFormat="1" applyFill="1" applyBorder="1" applyAlignment="1">
      <alignment vertical="center"/>
    </xf>
    <xf numFmtId="0" fontId="0" fillId="28" borderId="46" xfId="0" applyNumberFormat="1" applyFill="1" applyBorder="1" applyAlignment="1">
      <alignment vertical="center"/>
    </xf>
    <xf numFmtId="0" fontId="0" fillId="28" borderId="49" xfId="0" applyNumberFormat="1" applyFill="1" applyBorder="1" applyAlignment="1">
      <alignment vertical="center"/>
    </xf>
    <xf numFmtId="0" fontId="0" fillId="28" borderId="50" xfId="0" applyNumberFormat="1" applyFill="1" applyBorder="1" applyAlignment="1">
      <alignment vertical="center"/>
    </xf>
    <xf numFmtId="0" fontId="38" fillId="30" borderId="42" xfId="56" applyFill="1" applyBorder="1" applyAlignment="1">
      <alignment horizontal="right" vertical="center"/>
    </xf>
    <xf numFmtId="0" fontId="38" fillId="30" borderId="43" xfId="56" applyFill="1" applyBorder="1" applyAlignment="1">
      <alignment vertical="center"/>
    </xf>
    <xf numFmtId="0" fontId="38" fillId="30" borderId="44" xfId="56" applyFill="1" applyBorder="1" applyAlignment="1">
      <alignment vertical="center"/>
    </xf>
    <xf numFmtId="0" fontId="24" fillId="30" borderId="47" xfId="0" applyNumberFormat="1" applyFont="1" applyFill="1" applyBorder="1" applyAlignment="1">
      <alignment horizontal="center" vertical="center" wrapText="1"/>
    </xf>
    <xf numFmtId="0" fontId="0" fillId="30" borderId="0" xfId="0" applyNumberFormat="1" applyFill="1" applyBorder="1" applyAlignment="1">
      <alignment horizontal="center" vertical="center"/>
    </xf>
    <xf numFmtId="0" fontId="0" fillId="30" borderId="46" xfId="0" applyNumberFormat="1" applyFill="1" applyBorder="1" applyAlignment="1">
      <alignment horizontal="center" vertical="center"/>
    </xf>
    <xf numFmtId="0" fontId="50" fillId="30" borderId="0" xfId="14" applyNumberFormat="1" applyFont="1" applyFill="1" applyBorder="1" applyAlignment="1">
      <alignment horizontal="left" vertical="center"/>
    </xf>
    <xf numFmtId="0" fontId="0" fillId="30" borderId="0" xfId="0" applyNumberFormat="1" applyFill="1" applyBorder="1" applyAlignment="1">
      <alignment horizontal="right" vertical="center"/>
    </xf>
    <xf numFmtId="0" fontId="4" fillId="30" borderId="0" xfId="0" applyNumberFormat="1" applyFont="1" applyFill="1" applyBorder="1" applyAlignment="1">
      <alignment horizontal="left" vertical="center"/>
    </xf>
    <xf numFmtId="0" fontId="0" fillId="30" borderId="0" xfId="0" applyNumberFormat="1" applyFill="1" applyBorder="1" applyAlignment="1">
      <alignment vertical="center"/>
    </xf>
    <xf numFmtId="0" fontId="0" fillId="30" borderId="46" xfId="0" applyNumberFormat="1" applyFill="1" applyBorder="1" applyAlignment="1">
      <alignment vertical="center"/>
    </xf>
    <xf numFmtId="0" fontId="38" fillId="30" borderId="47" xfId="56" applyFill="1" applyBorder="1" applyAlignment="1">
      <alignment vertical="center"/>
    </xf>
    <xf numFmtId="0" fontId="30" fillId="19" borderId="45" xfId="5" applyNumberFormat="1" applyBorder="1" applyAlignment="1">
      <alignment horizontal="left" vertical="center" wrapText="1"/>
    </xf>
    <xf numFmtId="0" fontId="37" fillId="20" borderId="40" xfId="28" applyNumberFormat="1" applyBorder="1" applyAlignment="1">
      <alignment horizontal="center" vertical="center"/>
    </xf>
    <xf numFmtId="0" fontId="32" fillId="21" borderId="51" xfId="7" applyNumberFormat="1" applyFont="1" applyBorder="1" applyAlignment="1">
      <alignment horizontal="left" vertical="center" wrapText="1"/>
    </xf>
    <xf numFmtId="0" fontId="32" fillId="21" borderId="38" xfId="7" applyNumberFormat="1" applyBorder="1" applyAlignment="1">
      <alignment horizontal="center" vertical="center"/>
    </xf>
    <xf numFmtId="0" fontId="24" fillId="30" borderId="47" xfId="0" applyNumberFormat="1" applyFont="1" applyFill="1" applyBorder="1" applyAlignment="1">
      <alignment horizontal="center" vertical="center"/>
    </xf>
    <xf numFmtId="0" fontId="24" fillId="30" borderId="48" xfId="0" applyNumberFormat="1" applyFont="1" applyFill="1" applyBorder="1" applyAlignment="1">
      <alignment horizontal="center" vertical="center"/>
    </xf>
    <xf numFmtId="0" fontId="0" fillId="30" borderId="49" xfId="0" applyNumberFormat="1" applyFill="1" applyBorder="1" applyAlignment="1">
      <alignment horizontal="center" vertical="center"/>
    </xf>
    <xf numFmtId="0" fontId="0" fillId="30" borderId="49" xfId="0" applyNumberFormat="1" applyFill="1" applyBorder="1" applyAlignment="1">
      <alignment horizontal="right" vertical="center"/>
    </xf>
    <xf numFmtId="0" fontId="0" fillId="30" borderId="49" xfId="0" applyNumberFormat="1" applyFill="1" applyBorder="1" applyAlignment="1">
      <alignment vertical="center"/>
    </xf>
    <xf numFmtId="0" fontId="0" fillId="30" borderId="50" xfId="0" applyNumberFormat="1" applyFill="1" applyBorder="1" applyAlignment="1">
      <alignment vertical="center"/>
    </xf>
    <xf numFmtId="0" fontId="38" fillId="31" borderId="42" xfId="56" applyNumberFormat="1" applyFill="1" applyBorder="1" applyAlignment="1">
      <alignment horizontal="left" vertical="center"/>
    </xf>
    <xf numFmtId="0" fontId="0" fillId="31" borderId="43" xfId="0" applyNumberFormat="1" applyFill="1" applyBorder="1" applyAlignment="1">
      <alignment horizontal="center" vertical="center"/>
    </xf>
    <xf numFmtId="0" fontId="0" fillId="31" borderId="43" xfId="0" applyNumberFormat="1" applyFill="1" applyBorder="1" applyAlignment="1">
      <alignment horizontal="right" vertical="center"/>
    </xf>
    <xf numFmtId="0" fontId="0" fillId="31" borderId="43" xfId="0" applyNumberFormat="1" applyFill="1" applyBorder="1" applyAlignment="1">
      <alignment vertical="center"/>
    </xf>
    <xf numFmtId="0" fontId="0" fillId="31" borderId="44" xfId="0" applyNumberFormat="1" applyFill="1" applyBorder="1" applyAlignment="1">
      <alignment vertical="center"/>
    </xf>
    <xf numFmtId="0" fontId="38" fillId="31" borderId="47" xfId="56" applyNumberFormat="1" applyFill="1" applyBorder="1" applyAlignment="1">
      <alignment horizontal="left" vertical="center"/>
    </xf>
    <xf numFmtId="0" fontId="0" fillId="31" borderId="0" xfId="0" applyNumberFormat="1" applyFill="1" applyBorder="1" applyAlignment="1">
      <alignment horizontal="center" vertical="center"/>
    </xf>
    <xf numFmtId="0" fontId="0" fillId="31" borderId="0" xfId="0" applyNumberFormat="1" applyFill="1" applyBorder="1" applyAlignment="1">
      <alignment horizontal="right" vertical="center"/>
    </xf>
    <xf numFmtId="0" fontId="0" fillId="31" borderId="0" xfId="0" applyNumberFormat="1" applyFill="1" applyBorder="1" applyAlignment="1">
      <alignment vertical="center"/>
    </xf>
    <xf numFmtId="0" fontId="0" fillId="31" borderId="46" xfId="0" applyNumberFormat="1" applyFill="1" applyBorder="1" applyAlignment="1">
      <alignment vertical="center"/>
    </xf>
    <xf numFmtId="0" fontId="30" fillId="16" borderId="45" xfId="2" applyNumberFormat="1" applyBorder="1" applyAlignment="1">
      <alignment horizontal="left" vertical="center"/>
    </xf>
    <xf numFmtId="0" fontId="24" fillId="31" borderId="48" xfId="0" applyNumberFormat="1" applyFont="1" applyFill="1" applyBorder="1" applyAlignment="1">
      <alignment horizontal="center" vertical="center"/>
    </xf>
    <xf numFmtId="0" fontId="0" fillId="31" borderId="49" xfId="0" applyNumberFormat="1" applyFill="1" applyBorder="1" applyAlignment="1">
      <alignment horizontal="center" vertical="center"/>
    </xf>
    <xf numFmtId="0" fontId="0" fillId="31" borderId="49" xfId="0" applyNumberFormat="1" applyFill="1" applyBorder="1" applyAlignment="1">
      <alignment horizontal="right" vertical="center"/>
    </xf>
    <xf numFmtId="0" fontId="0" fillId="31" borderId="49" xfId="0" applyNumberFormat="1" applyFill="1" applyBorder="1" applyAlignment="1">
      <alignment vertical="center"/>
    </xf>
    <xf numFmtId="0" fontId="0" fillId="31" borderId="50" xfId="0" applyNumberFormat="1" applyFill="1" applyBorder="1" applyAlignment="1">
      <alignment vertical="center"/>
    </xf>
    <xf numFmtId="1" fontId="21" fillId="5" borderId="1" xfId="0" applyNumberFormat="1" applyFont="1" applyFill="1" applyBorder="1" applyAlignment="1">
      <alignment horizontal="center" textRotation="45"/>
    </xf>
    <xf numFmtId="10" fontId="21" fillId="5" borderId="1" xfId="0" applyNumberFormat="1" applyFont="1" applyFill="1" applyBorder="1" applyAlignment="1">
      <alignment horizontal="center" textRotation="45"/>
    </xf>
    <xf numFmtId="10" fontId="21" fillId="5" borderId="25" xfId="0" applyNumberFormat="1" applyFont="1" applyFill="1" applyBorder="1" applyAlignment="1">
      <alignment horizontal="center" textRotation="45" wrapText="1"/>
    </xf>
    <xf numFmtId="0" fontId="4" fillId="0" borderId="0" xfId="0" applyFont="1" applyFill="1" applyBorder="1" applyAlignment="1" applyProtection="1">
      <alignment vertical="center"/>
      <protection locked="0"/>
    </xf>
    <xf numFmtId="0" fontId="7" fillId="0" borderId="0" xfId="0" applyFont="1" applyFill="1" applyBorder="1" applyAlignment="1" applyProtection="1">
      <alignment vertical="center"/>
      <protection locked="0"/>
    </xf>
    <xf numFmtId="0" fontId="7" fillId="0" borderId="0" xfId="0" applyFont="1" applyBorder="1" applyAlignment="1" applyProtection="1">
      <alignment vertical="center"/>
      <protection locked="0"/>
    </xf>
    <xf numFmtId="49" fontId="4" fillId="23" borderId="1" xfId="0" applyNumberFormat="1" applyFont="1" applyFill="1" applyBorder="1" applyAlignment="1">
      <alignment horizontal="center" vertical="center" wrapText="1"/>
    </xf>
    <xf numFmtId="0" fontId="4" fillId="23" borderId="1" xfId="0" applyFont="1" applyFill="1" applyBorder="1" applyAlignment="1">
      <alignment horizontal="center" vertical="center" wrapText="1"/>
    </xf>
    <xf numFmtId="0" fontId="3" fillId="17" borderId="45" xfId="3" applyNumberFormat="1" applyFont="1" applyBorder="1" applyAlignment="1">
      <alignment horizontal="left" vertical="center" wrapText="1"/>
    </xf>
    <xf numFmtId="0" fontId="4" fillId="6" borderId="0" xfId="22" applyFont="1" applyFill="1" applyAlignment="1">
      <alignment vertical="center" wrapText="1"/>
    </xf>
    <xf numFmtId="0" fontId="4" fillId="23" borderId="1" xfId="0" applyFont="1" applyFill="1" applyBorder="1" applyAlignment="1">
      <alignment vertical="center" wrapText="1"/>
    </xf>
    <xf numFmtId="49" fontId="4" fillId="6" borderId="1" xfId="22" applyNumberFormat="1" applyFont="1" applyFill="1" applyBorder="1" applyAlignment="1">
      <alignment horizontal="center" vertical="center" wrapText="1"/>
    </xf>
    <xf numFmtId="0" fontId="59" fillId="7" borderId="1" xfId="54" applyFont="1" applyFill="1" applyBorder="1" applyAlignment="1">
      <alignment horizontal="center" textRotation="75" wrapText="1"/>
    </xf>
    <xf numFmtId="0" fontId="59" fillId="7" borderId="1" xfId="54" applyFont="1" applyFill="1" applyBorder="1" applyAlignment="1">
      <alignment horizontal="center" textRotation="75"/>
    </xf>
    <xf numFmtId="0" fontId="11" fillId="7" borderId="1" xfId="54" applyFont="1" applyFill="1" applyBorder="1" applyAlignment="1">
      <alignment horizontal="center" textRotation="75"/>
    </xf>
    <xf numFmtId="0" fontId="60" fillId="0" borderId="0" xfId="0" applyFont="1"/>
    <xf numFmtId="0" fontId="61" fillId="0" borderId="0" xfId="0" applyFont="1" applyAlignment="1"/>
    <xf numFmtId="0" fontId="4" fillId="23" borderId="0" xfId="0" applyNumberFormat="1" applyFont="1" applyFill="1" applyAlignment="1">
      <alignment horizontal="center" vertical="center"/>
    </xf>
    <xf numFmtId="0" fontId="11" fillId="8" borderId="9" xfId="0" applyNumberFormat="1" applyFont="1" applyFill="1" applyBorder="1" applyAlignment="1" applyProtection="1">
      <alignment horizontal="center" vertical="center" wrapText="1"/>
      <protection locked="0"/>
    </xf>
    <xf numFmtId="0" fontId="4" fillId="23" borderId="0" xfId="0" applyNumberFormat="1" applyFont="1" applyFill="1" applyAlignment="1">
      <alignment horizontal="right" vertical="center"/>
    </xf>
    <xf numFmtId="0" fontId="4" fillId="23" borderId="0" xfId="0" applyNumberFormat="1" applyFont="1" applyFill="1" applyAlignment="1">
      <alignment vertical="center"/>
    </xf>
    <xf numFmtId="0" fontId="5" fillId="12" borderId="23" xfId="22" applyNumberFormat="1" applyFont="1" applyFill="1" applyBorder="1" applyAlignment="1">
      <alignment horizontal="center" vertical="center" wrapText="1"/>
    </xf>
    <xf numFmtId="0" fontId="5" fillId="5" borderId="19" xfId="22" applyNumberFormat="1" applyFont="1" applyFill="1" applyBorder="1" applyAlignment="1">
      <alignment horizontal="center" vertical="center"/>
    </xf>
    <xf numFmtId="0" fontId="5" fillId="5" borderId="21" xfId="22" applyNumberFormat="1" applyFont="1" applyFill="1" applyBorder="1" applyAlignment="1">
      <alignment horizontal="center" vertical="center" textRotation="90" wrapText="1"/>
    </xf>
    <xf numFmtId="0" fontId="5" fillId="5" borderId="59" xfId="22" applyNumberFormat="1" applyFont="1" applyFill="1" applyBorder="1" applyAlignment="1">
      <alignment horizontal="center" vertical="center" wrapText="1"/>
    </xf>
    <xf numFmtId="0" fontId="5" fillId="5" borderId="58" xfId="22" applyNumberFormat="1" applyFont="1" applyFill="1" applyBorder="1" applyAlignment="1">
      <alignment horizontal="center" vertical="center" wrapText="1"/>
    </xf>
    <xf numFmtId="0" fontId="5" fillId="12" borderId="19" xfId="22" applyNumberFormat="1" applyFont="1" applyFill="1" applyBorder="1" applyAlignment="1">
      <alignment horizontal="center" vertical="center" wrapText="1"/>
    </xf>
    <xf numFmtId="0" fontId="5" fillId="12" borderId="21" xfId="22" applyNumberFormat="1" applyFont="1" applyFill="1" applyBorder="1" applyAlignment="1">
      <alignment horizontal="center" vertical="center" wrapText="1"/>
    </xf>
    <xf numFmtId="0" fontId="5" fillId="12" borderId="58" xfId="22" applyNumberFormat="1" applyFont="1" applyFill="1" applyBorder="1" applyAlignment="1">
      <alignment horizontal="center" vertical="center" wrapText="1"/>
    </xf>
    <xf numFmtId="0" fontId="5" fillId="12" borderId="35" xfId="22" applyNumberFormat="1" applyFont="1" applyFill="1" applyBorder="1" applyAlignment="1">
      <alignment horizontal="center" vertical="center" wrapText="1"/>
    </xf>
    <xf numFmtId="0" fontId="5" fillId="5" borderId="56" xfId="22" applyNumberFormat="1" applyFont="1" applyFill="1" applyBorder="1" applyAlignment="1">
      <alignment horizontal="center" vertical="center" wrapText="1"/>
    </xf>
    <xf numFmtId="0" fontId="5" fillId="5" borderId="24" xfId="22" applyNumberFormat="1" applyFont="1" applyFill="1" applyBorder="1" applyAlignment="1">
      <alignment horizontal="center" vertical="center" wrapText="1"/>
    </xf>
    <xf numFmtId="0" fontId="5" fillId="5" borderId="57" xfId="22" applyNumberFormat="1" applyFont="1" applyFill="1" applyBorder="1" applyAlignment="1">
      <alignment horizontal="center" vertical="center" wrapText="1"/>
    </xf>
    <xf numFmtId="0" fontId="47" fillId="9" borderId="17" xfId="15" applyNumberFormat="1" applyFont="1" applyFill="1" applyBorder="1" applyAlignment="1">
      <alignment horizontal="center" vertical="center"/>
    </xf>
    <xf numFmtId="0" fontId="4" fillId="9" borderId="10" xfId="0" applyNumberFormat="1" applyFont="1" applyFill="1" applyBorder="1" applyAlignment="1">
      <alignment horizontal="center" vertical="center"/>
    </xf>
    <xf numFmtId="0" fontId="4" fillId="10" borderId="10" xfId="0" applyNumberFormat="1" applyFont="1" applyFill="1" applyBorder="1" applyAlignment="1">
      <alignment horizontal="center" vertical="center"/>
    </xf>
    <xf numFmtId="0" fontId="4" fillId="11" borderId="10" xfId="0" applyNumberFormat="1" applyFont="1" applyFill="1" applyBorder="1" applyAlignment="1">
      <alignment horizontal="center" vertical="center"/>
    </xf>
    <xf numFmtId="0" fontId="4" fillId="6" borderId="11" xfId="0" applyNumberFormat="1" applyFont="1" applyFill="1" applyBorder="1" applyAlignment="1">
      <alignment horizontal="center" vertical="center"/>
    </xf>
    <xf numFmtId="0" fontId="4" fillId="9" borderId="17" xfId="0" applyNumberFormat="1" applyFont="1" applyFill="1" applyBorder="1" applyAlignment="1">
      <alignment horizontal="center" vertical="center"/>
    </xf>
    <xf numFmtId="0" fontId="4" fillId="9" borderId="11" xfId="0" applyNumberFormat="1" applyFont="1" applyFill="1" applyBorder="1" applyAlignment="1">
      <alignment horizontal="center" vertical="center"/>
    </xf>
    <xf numFmtId="0" fontId="4" fillId="10" borderId="5" xfId="0" applyNumberFormat="1" applyFont="1" applyFill="1" applyBorder="1" applyAlignment="1">
      <alignment horizontal="center" vertical="center"/>
    </xf>
    <xf numFmtId="0" fontId="4" fillId="11" borderId="11" xfId="0" applyNumberFormat="1" applyFont="1" applyFill="1" applyBorder="1" applyAlignment="1">
      <alignment horizontal="center" vertical="center"/>
    </xf>
    <xf numFmtId="0" fontId="4" fillId="9" borderId="33" xfId="0" applyNumberFormat="1" applyFont="1" applyFill="1" applyBorder="1" applyAlignment="1">
      <alignment horizontal="center" vertical="center"/>
    </xf>
    <xf numFmtId="0" fontId="4" fillId="9" borderId="8" xfId="0" applyNumberFormat="1" applyFont="1" applyFill="1" applyBorder="1" applyAlignment="1">
      <alignment horizontal="center" vertical="center"/>
    </xf>
    <xf numFmtId="0" fontId="4" fillId="9" borderId="7" xfId="0" applyNumberFormat="1" applyFont="1" applyFill="1" applyBorder="1" applyAlignment="1">
      <alignment horizontal="center" vertical="center"/>
    </xf>
    <xf numFmtId="0" fontId="4" fillId="9" borderId="6" xfId="0" applyNumberFormat="1" applyFont="1" applyFill="1" applyBorder="1" applyAlignment="1">
      <alignment horizontal="center" vertical="center"/>
    </xf>
    <xf numFmtId="0" fontId="4" fillId="35" borderId="10" xfId="0" applyNumberFormat="1" applyFont="1" applyFill="1" applyBorder="1" applyAlignment="1">
      <alignment horizontal="center" vertical="center"/>
    </xf>
    <xf numFmtId="0" fontId="4" fillId="9" borderId="60" xfId="0" applyNumberFormat="1" applyFont="1" applyFill="1" applyBorder="1" applyAlignment="1">
      <alignment horizontal="center" vertical="center"/>
    </xf>
    <xf numFmtId="0" fontId="4" fillId="9" borderId="61" xfId="0" applyNumberFormat="1" applyFont="1" applyFill="1" applyBorder="1" applyAlignment="1">
      <alignment horizontal="center" vertical="center"/>
    </xf>
    <xf numFmtId="0" fontId="4" fillId="9" borderId="57" xfId="0" applyNumberFormat="1" applyFont="1" applyFill="1" applyBorder="1" applyAlignment="1">
      <alignment horizontal="center" vertical="center"/>
    </xf>
    <xf numFmtId="0" fontId="5" fillId="5" borderId="12" xfId="22" applyNumberFormat="1" applyFont="1" applyFill="1" applyBorder="1" applyAlignment="1">
      <alignment horizontal="center" vertical="center"/>
    </xf>
    <xf numFmtId="0" fontId="5" fillId="36" borderId="13" xfId="0" applyNumberFormat="1" applyFont="1" applyFill="1" applyBorder="1" applyAlignment="1">
      <alignment horizontal="center" vertical="center"/>
    </xf>
    <xf numFmtId="0" fontId="5" fillId="9" borderId="13" xfId="0" applyNumberFormat="1" applyFont="1" applyFill="1" applyBorder="1" applyAlignment="1">
      <alignment horizontal="center" vertical="center"/>
    </xf>
    <xf numFmtId="0" fontId="5" fillId="10" borderId="13" xfId="0" applyNumberFormat="1" applyFont="1" applyFill="1" applyBorder="1" applyAlignment="1">
      <alignment horizontal="center" vertical="center"/>
    </xf>
    <xf numFmtId="0" fontId="5" fillId="11" borderId="13" xfId="0" applyNumberFormat="1" applyFont="1" applyFill="1" applyBorder="1" applyAlignment="1">
      <alignment horizontal="center" vertical="center"/>
    </xf>
    <xf numFmtId="0" fontId="5" fillId="37" borderId="13" xfId="0" applyNumberFormat="1" applyFont="1" applyFill="1" applyBorder="1" applyAlignment="1">
      <alignment horizontal="center" vertical="center"/>
    </xf>
    <xf numFmtId="0" fontId="5" fillId="6" borderId="14" xfId="0" applyNumberFormat="1" applyFont="1" applyFill="1" applyBorder="1" applyAlignment="1">
      <alignment horizontal="center" vertical="center"/>
    </xf>
    <xf numFmtId="0" fontId="5" fillId="9" borderId="12" xfId="0" applyNumberFormat="1" applyFont="1" applyFill="1" applyBorder="1" applyAlignment="1">
      <alignment horizontal="center" vertical="center"/>
    </xf>
    <xf numFmtId="0" fontId="5" fillId="9" borderId="14" xfId="0" applyNumberFormat="1" applyFont="1" applyFill="1" applyBorder="1" applyAlignment="1">
      <alignment horizontal="center" vertical="center"/>
    </xf>
    <xf numFmtId="0" fontId="5" fillId="10" borderId="12" xfId="0" applyNumberFormat="1" applyFont="1" applyFill="1" applyBorder="1" applyAlignment="1">
      <alignment horizontal="center" vertical="center"/>
    </xf>
    <xf numFmtId="0" fontId="5" fillId="11" borderId="14" xfId="0" applyNumberFormat="1" applyFont="1" applyFill="1" applyBorder="1" applyAlignment="1">
      <alignment horizontal="center" vertical="center"/>
    </xf>
    <xf numFmtId="0" fontId="4" fillId="5" borderId="15" xfId="22" applyNumberFormat="1" applyFont="1" applyFill="1" applyBorder="1" applyAlignment="1">
      <alignment horizontal="center" vertical="center"/>
    </xf>
    <xf numFmtId="0" fontId="4" fillId="36" borderId="16" xfId="6" applyNumberFormat="1" applyFont="1" applyFill="1" applyBorder="1" applyAlignment="1">
      <alignment horizontal="center" vertical="center"/>
    </xf>
    <xf numFmtId="0" fontId="4" fillId="35" borderId="16" xfId="6" applyNumberFormat="1" applyFont="1" applyFill="1" applyBorder="1" applyAlignment="1">
      <alignment horizontal="center" vertical="center"/>
    </xf>
    <xf numFmtId="0" fontId="4" fillId="20" borderId="16" xfId="6" applyNumberFormat="1" applyFont="1" applyBorder="1" applyAlignment="1">
      <alignment horizontal="center" vertical="center"/>
    </xf>
    <xf numFmtId="0" fontId="4" fillId="37" borderId="16" xfId="6" applyNumberFormat="1" applyFont="1" applyFill="1" applyBorder="1" applyAlignment="1">
      <alignment horizontal="center" vertical="center"/>
    </xf>
    <xf numFmtId="0" fontId="4" fillId="20" borderId="18" xfId="6" applyNumberFormat="1" applyFont="1" applyBorder="1" applyAlignment="1">
      <alignment horizontal="center" vertical="center"/>
    </xf>
    <xf numFmtId="0" fontId="4" fillId="36" borderId="15" xfId="6" applyNumberFormat="1" applyFont="1" applyFill="1" applyBorder="1" applyAlignment="1">
      <alignment horizontal="center" vertical="center"/>
    </xf>
    <xf numFmtId="0" fontId="4" fillId="36" borderId="18" xfId="6" applyNumberFormat="1" applyFont="1" applyFill="1" applyBorder="1" applyAlignment="1">
      <alignment horizontal="center" vertical="center"/>
    </xf>
    <xf numFmtId="0" fontId="4" fillId="35" borderId="62" xfId="6" applyNumberFormat="1" applyFont="1" applyFill="1" applyBorder="1" applyAlignment="1">
      <alignment horizontal="center" vertical="center"/>
    </xf>
    <xf numFmtId="0" fontId="4" fillId="37" borderId="18" xfId="6" applyNumberFormat="1" applyFont="1" applyFill="1" applyBorder="1" applyAlignment="1">
      <alignment horizontal="center" vertical="center"/>
    </xf>
    <xf numFmtId="0" fontId="4" fillId="36" borderId="53" xfId="6" applyNumberFormat="1" applyFont="1" applyFill="1" applyBorder="1" applyAlignment="1">
      <alignment horizontal="center" vertical="center"/>
    </xf>
    <xf numFmtId="0" fontId="4" fillId="36" borderId="20" xfId="6" applyNumberFormat="1" applyFont="1" applyFill="1" applyBorder="1" applyAlignment="1">
      <alignment horizontal="center" vertical="center"/>
    </xf>
    <xf numFmtId="0" fontId="1" fillId="17" borderId="45" xfId="3" applyNumberFormat="1" applyFont="1" applyBorder="1" applyAlignment="1">
      <alignment horizontal="left" vertical="center" wrapText="1"/>
    </xf>
    <xf numFmtId="0" fontId="1" fillId="16" borderId="45" xfId="2" applyNumberFormat="1" applyFont="1" applyBorder="1" applyAlignment="1">
      <alignment horizontal="left" vertical="center" wrapText="1"/>
    </xf>
    <xf numFmtId="0" fontId="1" fillId="16" borderId="45" xfId="2" applyNumberFormat="1" applyFont="1" applyBorder="1" applyAlignment="1">
      <alignment horizontal="left" vertical="center"/>
    </xf>
    <xf numFmtId="0" fontId="48" fillId="0" borderId="0" xfId="69" applyFont="1"/>
    <xf numFmtId="0" fontId="4" fillId="0" borderId="0" xfId="69"/>
    <xf numFmtId="0" fontId="4" fillId="0" borderId="0" xfId="0" applyNumberFormat="1" applyFont="1" applyFill="1" applyBorder="1" applyAlignment="1" applyProtection="1">
      <alignment vertical="center" wrapText="1"/>
    </xf>
    <xf numFmtId="0" fontId="9" fillId="0" borderId="26" xfId="0" applyFont="1" applyBorder="1" applyAlignment="1" applyProtection="1">
      <alignment horizontal="left" vertical="center" shrinkToFit="1"/>
    </xf>
    <xf numFmtId="0" fontId="9" fillId="0" borderId="27" xfId="0" applyFont="1" applyBorder="1" applyAlignment="1" applyProtection="1">
      <alignment horizontal="left" vertical="center" shrinkToFit="1"/>
    </xf>
    <xf numFmtId="0" fontId="9" fillId="0" borderId="28" xfId="0" applyFont="1" applyBorder="1" applyAlignment="1" applyProtection="1">
      <alignment horizontal="left" vertical="center" shrinkToFit="1"/>
    </xf>
    <xf numFmtId="0" fontId="9" fillId="0" borderId="26" xfId="0" applyFont="1" applyFill="1" applyBorder="1" applyAlignment="1" applyProtection="1">
      <alignment horizontal="left" vertical="center" shrinkToFit="1"/>
    </xf>
    <xf numFmtId="0" fontId="9" fillId="0" borderId="27" xfId="0" applyFont="1" applyFill="1" applyBorder="1" applyAlignment="1" applyProtection="1">
      <alignment horizontal="left" vertical="center" shrinkToFit="1"/>
    </xf>
    <xf numFmtId="0" fontId="9" fillId="0" borderId="28" xfId="0" applyFont="1" applyFill="1" applyBorder="1" applyAlignment="1" applyProtection="1">
      <alignment horizontal="left" vertical="center" shrinkToFit="1"/>
    </xf>
    <xf numFmtId="0" fontId="52" fillId="0" borderId="29" xfId="0" applyFont="1" applyBorder="1" applyAlignment="1" applyProtection="1">
      <alignment horizontal="left" vertical="center" shrinkToFit="1"/>
    </xf>
    <xf numFmtId="0" fontId="52" fillId="0" borderId="3" xfId="0" applyFont="1" applyBorder="1" applyAlignment="1" applyProtection="1">
      <alignment horizontal="left" vertical="center" shrinkToFit="1"/>
    </xf>
    <xf numFmtId="0" fontId="52" fillId="0" borderId="30" xfId="0" applyFont="1" applyBorder="1" applyAlignment="1" applyProtection="1">
      <alignment horizontal="left" vertical="center" shrinkToFit="1"/>
    </xf>
    <xf numFmtId="0" fontId="9" fillId="0" borderId="26" xfId="0" applyFont="1" applyBorder="1" applyAlignment="1" applyProtection="1">
      <alignment horizontal="left" vertical="center" wrapText="1"/>
    </xf>
    <xf numFmtId="0" fontId="9" fillId="0" borderId="27" xfId="0" applyFont="1" applyBorder="1" applyAlignment="1" applyProtection="1">
      <alignment horizontal="left" vertical="center" wrapText="1"/>
    </xf>
    <xf numFmtId="0" fontId="9" fillId="0" borderId="28" xfId="0" applyFont="1" applyBorder="1" applyAlignment="1" applyProtection="1">
      <alignment horizontal="left" vertical="center" wrapText="1"/>
    </xf>
    <xf numFmtId="0" fontId="52" fillId="0" borderId="29" xfId="0" applyFont="1" applyBorder="1" applyAlignment="1" applyProtection="1">
      <alignment horizontal="left" vertical="center" wrapText="1" shrinkToFit="1"/>
    </xf>
    <xf numFmtId="0" fontId="51" fillId="32" borderId="4" xfId="0" applyFont="1" applyFill="1" applyBorder="1" applyAlignment="1" applyProtection="1">
      <alignment horizontal="center" vertical="center" shrinkToFit="1"/>
      <protection locked="0"/>
    </xf>
    <xf numFmtId="0" fontId="51" fillId="32" borderId="0" xfId="0" applyFont="1" applyFill="1" applyBorder="1" applyAlignment="1" applyProtection="1">
      <alignment horizontal="center" vertical="center" shrinkToFit="1"/>
      <protection locked="0"/>
    </xf>
    <xf numFmtId="0" fontId="51" fillId="32" borderId="5" xfId="0" applyFont="1" applyFill="1" applyBorder="1" applyAlignment="1" applyProtection="1">
      <alignment horizontal="center" vertical="center" shrinkToFit="1"/>
      <protection locked="0"/>
    </xf>
    <xf numFmtId="0" fontId="53" fillId="22" borderId="37" xfId="20" applyFont="1" applyAlignment="1">
      <alignment horizontal="center" vertical="center"/>
    </xf>
    <xf numFmtId="0" fontId="54" fillId="0" borderId="3" xfId="0" applyFont="1" applyFill="1" applyBorder="1" applyAlignment="1" applyProtection="1">
      <alignment horizontal="left" vertical="top" wrapText="1" shrinkToFit="1"/>
      <protection locked="0"/>
    </xf>
    <xf numFmtId="0" fontId="54" fillId="0" borderId="30" xfId="0" applyFont="1" applyFill="1" applyBorder="1" applyAlignment="1" applyProtection="1">
      <alignment horizontal="left" vertical="top" wrapText="1" shrinkToFit="1"/>
      <protection locked="0"/>
    </xf>
    <xf numFmtId="0" fontId="7" fillId="0" borderId="29" xfId="0" applyFont="1" applyFill="1" applyBorder="1" applyAlignment="1" applyProtection="1">
      <alignment horizontal="right" vertical="top" wrapText="1" shrinkToFit="1"/>
      <protection locked="0"/>
    </xf>
    <xf numFmtId="0" fontId="7" fillId="0" borderId="3" xfId="0" applyFont="1" applyFill="1" applyBorder="1" applyAlignment="1" applyProtection="1">
      <alignment horizontal="right" vertical="top" wrapText="1" shrinkToFit="1"/>
      <protection locked="0"/>
    </xf>
    <xf numFmtId="0" fontId="51" fillId="32" borderId="27" xfId="0" applyFont="1" applyFill="1" applyBorder="1" applyAlignment="1" applyProtection="1">
      <alignment horizontal="center" vertical="center" wrapText="1"/>
      <protection locked="0"/>
    </xf>
    <xf numFmtId="0" fontId="51" fillId="32" borderId="0" xfId="0" applyFont="1" applyFill="1" applyBorder="1" applyAlignment="1" applyProtection="1">
      <alignment horizontal="center" vertical="center" wrapText="1"/>
      <protection locked="0"/>
    </xf>
    <xf numFmtId="0" fontId="7" fillId="0" borderId="9" xfId="0" applyFont="1" applyFill="1" applyBorder="1" applyAlignment="1" applyProtection="1">
      <alignment horizontal="left" vertical="top" wrapText="1" shrinkToFit="1"/>
      <protection locked="0"/>
    </xf>
    <xf numFmtId="0" fontId="5" fillId="0" borderId="31" xfId="0" applyFont="1" applyFill="1" applyBorder="1" applyAlignment="1" applyProtection="1">
      <alignment horizontal="left" vertical="top" shrinkToFit="1"/>
      <protection locked="0"/>
    </xf>
    <xf numFmtId="0" fontId="5" fillId="0" borderId="32" xfId="0" applyFont="1" applyFill="1" applyBorder="1" applyAlignment="1" applyProtection="1">
      <alignment horizontal="left" vertical="top" shrinkToFit="1"/>
      <protection locked="0"/>
    </xf>
    <xf numFmtId="0" fontId="7" fillId="0" borderId="29" xfId="0" applyFont="1" applyFill="1" applyBorder="1" applyAlignment="1" applyProtection="1">
      <alignment horizontal="left" vertical="top" wrapText="1" shrinkToFit="1"/>
      <protection locked="0"/>
    </xf>
    <xf numFmtId="0" fontId="5" fillId="0" borderId="3" xfId="0" applyFont="1" applyFill="1" applyBorder="1" applyAlignment="1" applyProtection="1">
      <alignment horizontal="left" vertical="top" shrinkToFit="1"/>
      <protection locked="0"/>
    </xf>
    <xf numFmtId="0" fontId="5" fillId="0" borderId="30" xfId="0" applyFont="1" applyFill="1" applyBorder="1" applyAlignment="1" applyProtection="1">
      <alignment horizontal="left" vertical="top" shrinkToFit="1"/>
      <protection locked="0"/>
    </xf>
    <xf numFmtId="0" fontId="7" fillId="0" borderId="29" xfId="0" applyFont="1" applyFill="1" applyBorder="1" applyAlignment="1" applyProtection="1">
      <alignment horizontal="left" vertical="top"/>
      <protection locked="0"/>
    </xf>
    <xf numFmtId="0" fontId="7" fillId="0" borderId="3" xfId="0" applyFont="1" applyFill="1" applyBorder="1" applyAlignment="1" applyProtection="1">
      <alignment horizontal="left" vertical="top"/>
      <protection locked="0"/>
    </xf>
    <xf numFmtId="0" fontId="7" fillId="0" borderId="30" xfId="0" applyFont="1" applyFill="1" applyBorder="1" applyAlignment="1" applyProtection="1">
      <alignment horizontal="left" vertical="top"/>
      <protection locked="0"/>
    </xf>
    <xf numFmtId="0" fontId="13" fillId="0" borderId="0" xfId="0" applyFont="1" applyFill="1" applyAlignment="1" applyProtection="1">
      <alignment horizontal="center" vertical="center" wrapText="1"/>
      <protection locked="0"/>
    </xf>
    <xf numFmtId="0" fontId="0" fillId="0" borderId="0" xfId="0" applyAlignment="1">
      <alignment vertical="center" wrapText="1"/>
    </xf>
    <xf numFmtId="0" fontId="4" fillId="0" borderId="26" xfId="0" applyFont="1" applyFill="1" applyBorder="1" applyAlignment="1" applyProtection="1">
      <alignment horizontal="left" vertical="top" wrapText="1"/>
      <protection locked="0"/>
    </xf>
    <xf numFmtId="0" fontId="7" fillId="0" borderId="27" xfId="0" applyFont="1" applyFill="1" applyBorder="1" applyAlignment="1" applyProtection="1">
      <alignment horizontal="left" vertical="top"/>
      <protection locked="0"/>
    </xf>
    <xf numFmtId="0" fontId="7" fillId="0" borderId="28" xfId="0" applyFont="1" applyFill="1" applyBorder="1" applyAlignment="1" applyProtection="1">
      <alignment horizontal="left" vertical="top"/>
      <protection locked="0"/>
    </xf>
    <xf numFmtId="0" fontId="51" fillId="32" borderId="26" xfId="0" applyFont="1" applyFill="1" applyBorder="1" applyAlignment="1" applyProtection="1">
      <alignment horizontal="center" vertical="center" shrinkToFit="1"/>
      <protection locked="0"/>
    </xf>
    <xf numFmtId="0" fontId="51" fillId="32" borderId="27" xfId="0" applyFont="1" applyFill="1" applyBorder="1" applyAlignment="1" applyProtection="1">
      <alignment horizontal="center" vertical="center" shrinkToFit="1"/>
      <protection locked="0"/>
    </xf>
    <xf numFmtId="0" fontId="51" fillId="32" borderId="28" xfId="0" applyFont="1" applyFill="1" applyBorder="1" applyAlignment="1" applyProtection="1">
      <alignment horizontal="center" vertical="center" shrinkToFit="1"/>
      <protection locked="0"/>
    </xf>
    <xf numFmtId="0" fontId="7" fillId="0" borderId="3" xfId="0" applyFont="1" applyFill="1" applyBorder="1" applyAlignment="1" applyProtection="1">
      <alignment horizontal="left" vertical="top" wrapText="1" shrinkToFit="1"/>
      <protection locked="0"/>
    </xf>
    <xf numFmtId="49" fontId="7" fillId="0" borderId="1" xfId="0" applyNumberFormat="1" applyFont="1" applyFill="1" applyBorder="1" applyAlignment="1" applyProtection="1">
      <alignment horizontal="left" vertical="center" wrapText="1"/>
      <protection locked="0"/>
    </xf>
    <xf numFmtId="0" fontId="0" fillId="0" borderId="1" xfId="0" applyBorder="1" applyAlignment="1">
      <alignment horizontal="left" vertical="center" wrapText="1"/>
    </xf>
    <xf numFmtId="49" fontId="7" fillId="0" borderId="9" xfId="0" applyNumberFormat="1" applyFont="1" applyFill="1" applyBorder="1" applyAlignment="1" applyProtection="1">
      <alignment horizontal="left" vertical="center" wrapText="1"/>
      <protection locked="0"/>
    </xf>
    <xf numFmtId="49" fontId="7" fillId="0" borderId="31" xfId="0" applyNumberFormat="1" applyFont="1" applyFill="1" applyBorder="1" applyAlignment="1" applyProtection="1">
      <alignment horizontal="left" vertical="center" wrapText="1"/>
      <protection locked="0"/>
    </xf>
    <xf numFmtId="49" fontId="7" fillId="0" borderId="32" xfId="0" applyNumberFormat="1" applyFont="1" applyFill="1" applyBorder="1" applyAlignment="1" applyProtection="1">
      <alignment horizontal="left" vertical="center" wrapText="1"/>
      <protection locked="0"/>
    </xf>
    <xf numFmtId="0" fontId="11" fillId="8" borderId="1" xfId="0" applyFont="1" applyFill="1" applyBorder="1" applyAlignment="1" applyProtection="1">
      <alignment horizontal="center" vertical="center" wrapText="1"/>
      <protection locked="0"/>
    </xf>
    <xf numFmtId="49" fontId="7" fillId="0" borderId="1" xfId="0" applyNumberFormat="1" applyFont="1" applyFill="1" applyBorder="1" applyAlignment="1" applyProtection="1">
      <alignment vertical="center" wrapText="1"/>
      <protection locked="0"/>
    </xf>
    <xf numFmtId="0" fontId="0" fillId="0" borderId="9" xfId="0" applyBorder="1" applyAlignment="1">
      <alignment horizontal="left" vertical="center" wrapText="1"/>
    </xf>
    <xf numFmtId="0" fontId="0" fillId="0" borderId="31" xfId="0" applyBorder="1" applyAlignment="1">
      <alignment horizontal="left" vertical="center" wrapText="1"/>
    </xf>
    <xf numFmtId="0" fontId="0" fillId="0" borderId="32" xfId="0" applyBorder="1" applyAlignment="1">
      <alignment horizontal="left" vertical="center" wrapText="1"/>
    </xf>
    <xf numFmtId="0" fontId="55" fillId="34" borderId="1" xfId="0" applyFont="1" applyFill="1" applyBorder="1" applyAlignment="1">
      <alignment horizontal="center" vertical="center" wrapText="1"/>
    </xf>
    <xf numFmtId="49" fontId="35" fillId="0" borderId="0" xfId="15" applyNumberFormat="1" applyFill="1" applyBorder="1" applyAlignment="1" applyProtection="1">
      <alignment horizontal="center" vertical="center"/>
      <protection locked="0"/>
    </xf>
    <xf numFmtId="49" fontId="7" fillId="0" borderId="1" xfId="0" applyNumberFormat="1" applyFont="1" applyFill="1" applyBorder="1" applyAlignment="1" applyProtection="1">
      <alignment horizontal="center" vertical="center" wrapText="1"/>
      <protection locked="0"/>
    </xf>
    <xf numFmtId="49" fontId="4" fillId="0" borderId="1" xfId="0" applyNumberFormat="1" applyFont="1" applyFill="1" applyBorder="1" applyAlignment="1" applyProtection="1">
      <alignment horizontal="left" vertical="center" wrapText="1"/>
      <protection locked="0"/>
    </xf>
    <xf numFmtId="49" fontId="7" fillId="33" borderId="1" xfId="0" applyNumberFormat="1" applyFont="1" applyFill="1" applyBorder="1" applyAlignment="1" applyProtection="1">
      <alignment horizontal="center" vertical="center" wrapText="1"/>
      <protection locked="0"/>
    </xf>
    <xf numFmtId="49" fontId="7" fillId="0" borderId="1" xfId="0" applyNumberFormat="1" applyFont="1" applyFill="1" applyBorder="1" applyAlignment="1">
      <alignment horizontal="center" vertical="center" wrapText="1"/>
    </xf>
    <xf numFmtId="49" fontId="7" fillId="0" borderId="1" xfId="0" applyNumberFormat="1" applyFont="1" applyFill="1" applyBorder="1" applyAlignment="1">
      <alignment horizontal="left" vertical="center" wrapText="1"/>
    </xf>
    <xf numFmtId="0" fontId="0" fillId="0" borderId="1" xfId="0" applyBorder="1" applyAlignment="1">
      <alignment horizontal="center" vertical="center" wrapText="1"/>
    </xf>
    <xf numFmtId="0" fontId="9" fillId="0" borderId="0" xfId="0" applyFont="1" applyFill="1" applyBorder="1" applyAlignment="1" applyProtection="1">
      <alignment horizontal="left" vertical="center" shrinkToFit="1"/>
    </xf>
    <xf numFmtId="0" fontId="52" fillId="0" borderId="0" xfId="0" applyFont="1" applyBorder="1" applyAlignment="1" applyProtection="1">
      <alignment horizontal="left" vertical="center" shrinkToFit="1"/>
    </xf>
    <xf numFmtId="0" fontId="9" fillId="13" borderId="0" xfId="0" applyFont="1" applyFill="1" applyBorder="1" applyAlignment="1" applyProtection="1">
      <alignment horizontal="left" vertical="center" wrapText="1"/>
    </xf>
    <xf numFmtId="0" fontId="52" fillId="13" borderId="0" xfId="0" applyFont="1" applyFill="1" applyBorder="1" applyAlignment="1" applyProtection="1">
      <alignment horizontal="left" vertical="center" shrinkToFit="1"/>
    </xf>
    <xf numFmtId="0" fontId="9" fillId="13" borderId="0" xfId="0" applyFont="1" applyFill="1" applyBorder="1" applyAlignment="1" applyProtection="1">
      <alignment horizontal="left" vertical="center" shrinkToFit="1"/>
    </xf>
    <xf numFmtId="0" fontId="9" fillId="0" borderId="0" xfId="0" applyFont="1" applyBorder="1" applyAlignment="1" applyProtection="1">
      <alignment horizontal="left" vertical="center" shrinkToFit="1"/>
    </xf>
    <xf numFmtId="0" fontId="0" fillId="8" borderId="1" xfId="0" applyFill="1" applyBorder="1" applyAlignment="1" applyProtection="1">
      <alignment horizontal="center" vertical="center" wrapText="1"/>
      <protection locked="0"/>
    </xf>
    <xf numFmtId="0" fontId="14" fillId="13" borderId="0" xfId="0" applyFont="1" applyFill="1" applyBorder="1" applyAlignment="1" applyProtection="1">
      <alignment horizontal="left" vertical="center" shrinkToFit="1"/>
    </xf>
    <xf numFmtId="49" fontId="4" fillId="0" borderId="1" xfId="0" applyNumberFormat="1" applyFont="1" applyFill="1" applyBorder="1" applyAlignment="1" applyProtection="1">
      <alignment horizontal="center" vertical="center" wrapText="1"/>
      <protection locked="0"/>
    </xf>
    <xf numFmtId="49" fontId="17" fillId="0" borderId="0" xfId="0" applyNumberFormat="1" applyFont="1" applyFill="1" applyAlignment="1" applyProtection="1">
      <alignment horizontal="left" vertical="center" wrapText="1"/>
      <protection locked="0"/>
    </xf>
    <xf numFmtId="0" fontId="41" fillId="0" borderId="0" xfId="0" applyFont="1" applyBorder="1" applyAlignment="1" applyProtection="1">
      <alignment horizontal="left" vertical="center"/>
      <protection locked="0"/>
    </xf>
    <xf numFmtId="0" fontId="0" fillId="23" borderId="0" xfId="0" applyFont="1" applyFill="1" applyBorder="1" applyAlignment="1">
      <alignment horizontal="left" vertical="center" wrapText="1"/>
    </xf>
    <xf numFmtId="0" fontId="4" fillId="23" borderId="0" xfId="0" applyFont="1" applyFill="1" applyBorder="1" applyAlignment="1">
      <alignment horizontal="left" vertical="center" wrapText="1"/>
    </xf>
    <xf numFmtId="0" fontId="7" fillId="23" borderId="0" xfId="0" applyFont="1" applyFill="1" applyBorder="1" applyAlignment="1">
      <alignment horizontal="left" vertical="center" wrapText="1"/>
    </xf>
    <xf numFmtId="10" fontId="21" fillId="14" borderId="33" xfId="22" applyNumberFormat="1" applyFont="1" applyFill="1" applyBorder="1" applyAlignment="1">
      <alignment horizontal="center" vertical="center" wrapText="1"/>
    </xf>
    <xf numFmtId="10" fontId="21" fillId="14" borderId="0" xfId="22" applyNumberFormat="1" applyFont="1" applyFill="1" applyBorder="1" applyAlignment="1">
      <alignment horizontal="center" vertical="center" wrapText="1"/>
    </xf>
    <xf numFmtId="10" fontId="21" fillId="14" borderId="34" xfId="22" applyNumberFormat="1" applyFont="1" applyFill="1" applyBorder="1" applyAlignment="1">
      <alignment horizontal="center" vertical="center" wrapText="1"/>
    </xf>
    <xf numFmtId="49" fontId="5" fillId="6" borderId="9" xfId="22" applyNumberFormat="1" applyFont="1" applyFill="1" applyBorder="1" applyAlignment="1">
      <alignment horizontal="center" vertical="center" wrapText="1"/>
    </xf>
    <xf numFmtId="49" fontId="5" fillId="6" borderId="32" xfId="22" applyNumberFormat="1" applyFont="1" applyFill="1" applyBorder="1" applyAlignment="1">
      <alignment horizontal="center" vertical="center" wrapText="1"/>
    </xf>
    <xf numFmtId="0" fontId="5" fillId="6" borderId="0" xfId="22" applyFont="1" applyFill="1" applyBorder="1" applyAlignment="1">
      <alignment vertical="center" wrapText="1"/>
    </xf>
    <xf numFmtId="0" fontId="7" fillId="0" borderId="0" xfId="22" applyBorder="1" applyAlignment="1">
      <alignment vertical="center" wrapText="1"/>
    </xf>
    <xf numFmtId="0" fontId="0" fillId="31" borderId="1" xfId="0" applyNumberFormat="1" applyFill="1" applyBorder="1" applyAlignment="1">
      <alignment horizontal="left" vertical="center"/>
    </xf>
    <xf numFmtId="0" fontId="62" fillId="20" borderId="9" xfId="28" applyNumberFormat="1" applyFont="1" applyBorder="1" applyAlignment="1">
      <alignment horizontal="center" vertical="center" wrapText="1"/>
    </xf>
    <xf numFmtId="0" fontId="62" fillId="20" borderId="32" xfId="28" applyNumberFormat="1" applyFont="1" applyBorder="1" applyAlignment="1">
      <alignment horizontal="center" vertical="center" wrapText="1"/>
    </xf>
    <xf numFmtId="0" fontId="0" fillId="31" borderId="9" xfId="0" applyNumberFormat="1" applyFill="1" applyBorder="1" applyAlignment="1">
      <alignment horizontal="left" vertical="center"/>
    </xf>
    <xf numFmtId="0" fontId="0" fillId="31" borderId="31" xfId="0" applyNumberFormat="1" applyFill="1" applyBorder="1" applyAlignment="1">
      <alignment horizontal="left" vertical="center"/>
    </xf>
    <xf numFmtId="0" fontId="0" fillId="31" borderId="32" xfId="0" applyNumberFormat="1" applyFill="1" applyBorder="1" applyAlignment="1">
      <alignment horizontal="left" vertical="center"/>
    </xf>
    <xf numFmtId="0" fontId="5" fillId="5" borderId="52" xfId="22" applyNumberFormat="1" applyFont="1" applyFill="1" applyBorder="1" applyAlignment="1">
      <alignment horizontal="center" vertical="center" wrapText="1"/>
    </xf>
    <xf numFmtId="0" fontId="5" fillId="5" borderId="54" xfId="22" applyNumberFormat="1" applyFont="1" applyFill="1" applyBorder="1" applyAlignment="1">
      <alignment horizontal="center" vertical="center" wrapText="1"/>
    </xf>
    <xf numFmtId="0" fontId="5" fillId="5" borderId="55" xfId="22" applyNumberFormat="1" applyFont="1" applyFill="1" applyBorder="1" applyAlignment="1">
      <alignment horizontal="center" vertical="center" wrapText="1"/>
    </xf>
    <xf numFmtId="0" fontId="5" fillId="12" borderId="35" xfId="22" applyNumberFormat="1" applyFont="1" applyFill="1" applyBorder="1" applyAlignment="1">
      <alignment horizontal="center" vertical="center" wrapText="1"/>
    </xf>
    <xf numFmtId="0" fontId="5" fillId="12" borderId="36" xfId="22" applyNumberFormat="1" applyFont="1" applyFill="1" applyBorder="1" applyAlignment="1">
      <alignment horizontal="center" vertical="center" wrapText="1"/>
    </xf>
    <xf numFmtId="0" fontId="5" fillId="12" borderId="22" xfId="22" applyNumberFormat="1" applyFont="1" applyFill="1" applyBorder="1" applyAlignment="1">
      <alignment horizontal="center" vertical="center" wrapText="1"/>
    </xf>
    <xf numFmtId="0" fontId="5" fillId="5" borderId="19" xfId="22" applyNumberFormat="1" applyFont="1" applyFill="1" applyBorder="1" applyAlignment="1">
      <alignment horizontal="center" vertical="center" wrapText="1"/>
    </xf>
    <xf numFmtId="0" fontId="5" fillId="5" borderId="21" xfId="22" applyNumberFormat="1" applyFont="1" applyFill="1" applyBorder="1" applyAlignment="1">
      <alignment horizontal="center" vertical="center" wrapText="1"/>
    </xf>
    <xf numFmtId="0" fontId="5" fillId="5" borderId="58" xfId="22" applyNumberFormat="1" applyFont="1" applyFill="1" applyBorder="1" applyAlignment="1">
      <alignment horizontal="center" vertical="center" wrapText="1"/>
    </xf>
    <xf numFmtId="10" fontId="21" fillId="14" borderId="9" xfId="0" applyNumberFormat="1" applyFont="1" applyFill="1" applyBorder="1" applyAlignment="1">
      <alignment horizontal="center" vertical="center" wrapText="1"/>
    </xf>
    <xf numFmtId="10" fontId="21" fillId="14" borderId="31" xfId="0" applyNumberFormat="1" applyFont="1" applyFill="1" applyBorder="1" applyAlignment="1">
      <alignment horizontal="center" vertical="center" wrapText="1"/>
    </xf>
    <xf numFmtId="10" fontId="21" fillId="14" borderId="32" xfId="0" applyNumberFormat="1" applyFont="1" applyFill="1" applyBorder="1" applyAlignment="1">
      <alignment horizontal="center" vertical="center" wrapText="1"/>
    </xf>
    <xf numFmtId="0" fontId="11" fillId="8" borderId="9" xfId="0" applyFont="1" applyFill="1" applyBorder="1" applyAlignment="1" applyProtection="1">
      <alignment horizontal="center" vertical="center" wrapText="1"/>
      <protection locked="0"/>
    </xf>
    <xf numFmtId="0" fontId="11" fillId="8" borderId="32" xfId="0" applyFont="1" applyFill="1" applyBorder="1" applyAlignment="1" applyProtection="1">
      <alignment horizontal="center" vertical="center" wrapText="1"/>
      <protection locked="0"/>
    </xf>
    <xf numFmtId="0" fontId="37" fillId="20" borderId="9" xfId="28" applyBorder="1" applyAlignment="1">
      <alignment horizontal="center" vertical="center" wrapText="1"/>
    </xf>
    <xf numFmtId="0" fontId="37" fillId="20" borderId="32" xfId="28" applyBorder="1" applyAlignment="1">
      <alignment horizontal="center" vertical="center" wrapText="1"/>
    </xf>
    <xf numFmtId="0" fontId="56" fillId="0" borderId="0" xfId="26" applyFont="1" applyBorder="1" applyAlignment="1">
      <alignment horizontal="left" vertical="center" wrapText="1" indent="2"/>
    </xf>
    <xf numFmtId="0" fontId="57" fillId="0" borderId="0" xfId="58" applyFont="1" applyBorder="1" applyAlignment="1">
      <alignment horizontal="left" vertical="center" wrapText="1" indent="2"/>
    </xf>
  </cellXfs>
  <cellStyles count="70">
    <cellStyle name="20% - Accent1" xfId="1" builtinId="30"/>
    <cellStyle name="20% - Accent1 2" xfId="64" xr:uid="{00000000-0005-0000-0000-000001000000}"/>
    <cellStyle name="40% - Accent3" xfId="2" builtinId="39"/>
    <cellStyle name="40% - Accent3 2" xfId="65" xr:uid="{00000000-0005-0000-0000-000003000000}"/>
    <cellStyle name="40% - Accent4" xfId="3" builtinId="43"/>
    <cellStyle name="40% - Accent4 2" xfId="66" xr:uid="{00000000-0005-0000-0000-000005000000}"/>
    <cellStyle name="40% - Accent5" xfId="4" builtinId="47"/>
    <cellStyle name="40% - Accent5 2" xfId="67" xr:uid="{00000000-0005-0000-0000-000007000000}"/>
    <cellStyle name="40% - Accent6" xfId="5" builtinId="51"/>
    <cellStyle name="40% - Accent6 2" xfId="68" xr:uid="{00000000-0005-0000-0000-000009000000}"/>
    <cellStyle name="Calculation" xfId="6" builtinId="22" customBuiltin="1"/>
    <cellStyle name="Check Cell" xfId="7" builtinId="23" customBuiltin="1"/>
    <cellStyle name="entry" xfId="8" xr:uid="{00000000-0005-0000-0000-00000C000000}"/>
    <cellStyle name="entry 2" xfId="9" xr:uid="{00000000-0005-0000-0000-00000D000000}"/>
    <cellStyle name="entry 2 2" xfId="10" xr:uid="{00000000-0005-0000-0000-00000E000000}"/>
    <cellStyle name="entry 3" xfId="11" xr:uid="{00000000-0005-0000-0000-00000F000000}"/>
    <cellStyle name="entry 3 2" xfId="12" xr:uid="{00000000-0005-0000-0000-000010000000}"/>
    <cellStyle name="Heading 1" xfId="13" builtinId="16"/>
    <cellStyle name="Heading 4" xfId="14" builtinId="19"/>
    <cellStyle name="Hyperlink" xfId="15" builtinId="8"/>
    <cellStyle name="Hyperlink 2" xfId="16" xr:uid="{00000000-0005-0000-0000-000014000000}"/>
    <cellStyle name="Inconsistent style" xfId="17" xr:uid="{00000000-0005-0000-0000-000015000000}"/>
    <cellStyle name="Inconsistent style 2" xfId="18" xr:uid="{00000000-0005-0000-0000-000016000000}"/>
    <cellStyle name="Inconsistent style 2 2" xfId="19" xr:uid="{00000000-0005-0000-0000-000017000000}"/>
    <cellStyle name="Input" xfId="20" builtinId="20"/>
    <cellStyle name="NOK style" xfId="21" xr:uid="{00000000-0005-0000-0000-000019000000}"/>
    <cellStyle name="Normal" xfId="0" builtinId="0" customBuiltin="1"/>
    <cellStyle name="Normal 2" xfId="22" xr:uid="{00000000-0005-0000-0000-00001B000000}"/>
    <cellStyle name="Normal 2 2" xfId="23" xr:uid="{00000000-0005-0000-0000-00001C000000}"/>
    <cellStyle name="Normal 3" xfId="24" xr:uid="{00000000-0005-0000-0000-00001D000000}"/>
    <cellStyle name="Normal 3 2" xfId="25" xr:uid="{00000000-0005-0000-0000-00001E000000}"/>
    <cellStyle name="Normal 4" xfId="26" xr:uid="{00000000-0005-0000-0000-00001F000000}"/>
    <cellStyle name="Normal 6" xfId="69" xr:uid="{00000000-0005-0000-0000-000020000000}"/>
    <cellStyle name="OK style" xfId="27" xr:uid="{00000000-0005-0000-0000-000021000000}"/>
    <cellStyle name="Output" xfId="28" builtinId="21" customBuiltin="1"/>
    <cellStyle name="para" xfId="29" xr:uid="{00000000-0005-0000-0000-000023000000}"/>
    <cellStyle name="para 2" xfId="30" xr:uid="{00000000-0005-0000-0000-000024000000}"/>
    <cellStyle name="Percent" xfId="31" builtinId="5"/>
    <cellStyle name="sect" xfId="32" xr:uid="{00000000-0005-0000-0000-000026000000}"/>
    <cellStyle name="sect1" xfId="33" xr:uid="{00000000-0005-0000-0000-000027000000}"/>
    <cellStyle name="sect2" xfId="34" xr:uid="{00000000-0005-0000-0000-000028000000}"/>
    <cellStyle name="sect3" xfId="35" xr:uid="{00000000-0005-0000-0000-000029000000}"/>
    <cellStyle name="sect4" xfId="36" xr:uid="{00000000-0005-0000-0000-00002A000000}"/>
    <cellStyle name="sect4 2" xfId="37" xr:uid="{00000000-0005-0000-0000-00002B000000}"/>
    <cellStyle name="sect4 2 2" xfId="38" xr:uid="{00000000-0005-0000-0000-00002C000000}"/>
    <cellStyle name="sect5" xfId="39" xr:uid="{00000000-0005-0000-0000-00002D000000}"/>
    <cellStyle name="sect5 2" xfId="40" xr:uid="{00000000-0005-0000-0000-00002E000000}"/>
    <cellStyle name="sect5 2 2" xfId="41" xr:uid="{00000000-0005-0000-0000-00002F000000}"/>
    <cellStyle name="sect6" xfId="42" xr:uid="{00000000-0005-0000-0000-000030000000}"/>
    <cellStyle name="sect6 2" xfId="43" xr:uid="{00000000-0005-0000-0000-000031000000}"/>
    <cellStyle name="sect6 2 2" xfId="44" xr:uid="{00000000-0005-0000-0000-000032000000}"/>
    <cellStyle name="sect7" xfId="45" xr:uid="{00000000-0005-0000-0000-000033000000}"/>
    <cellStyle name="sect7 2" xfId="46" xr:uid="{00000000-0005-0000-0000-000034000000}"/>
    <cellStyle name="sect7 2 2" xfId="47" xr:uid="{00000000-0005-0000-0000-000035000000}"/>
    <cellStyle name="sect8" xfId="48" xr:uid="{00000000-0005-0000-0000-000036000000}"/>
    <cellStyle name="sect8 2" xfId="49" xr:uid="{00000000-0005-0000-0000-000037000000}"/>
    <cellStyle name="sect8 2 2" xfId="50" xr:uid="{00000000-0005-0000-0000-000038000000}"/>
    <cellStyle name="sect9" xfId="51" xr:uid="{00000000-0005-0000-0000-000039000000}"/>
    <cellStyle name="sect9 2" xfId="52" xr:uid="{00000000-0005-0000-0000-00003A000000}"/>
    <cellStyle name="sect9 2 2" xfId="53" xr:uid="{00000000-0005-0000-0000-00003B000000}"/>
    <cellStyle name="tableTitle" xfId="54" xr:uid="{00000000-0005-0000-0000-00003C000000}"/>
    <cellStyle name="Tested Previously" xfId="55" xr:uid="{00000000-0005-0000-0000-00003D000000}"/>
    <cellStyle name="Title" xfId="56" builtinId="15"/>
    <cellStyle name="title 2" xfId="57" xr:uid="{00000000-0005-0000-0000-00003F000000}"/>
    <cellStyle name="Warning Text" xfId="58" builtinId="11"/>
    <cellStyle name="Without format but centered" xfId="59" xr:uid="{00000000-0005-0000-0000-000041000000}"/>
    <cellStyle name="Without format but centered 2" xfId="60" xr:uid="{00000000-0005-0000-0000-000042000000}"/>
    <cellStyle name="Without format but centered 2 2" xfId="61" xr:uid="{00000000-0005-0000-0000-000043000000}"/>
    <cellStyle name="Without format but centered 3" xfId="62" xr:uid="{00000000-0005-0000-0000-000044000000}"/>
    <cellStyle name="Without format but centered 3 2" xfId="63" xr:uid="{00000000-0005-0000-0000-000045000000}"/>
  </cellStyles>
  <dxfs count="9">
    <dxf>
      <font>
        <b/>
        <i val="0"/>
        <color rgb="FFFF0000"/>
      </font>
    </dxf>
    <dxf>
      <font>
        <b/>
        <i val="0"/>
        <color rgb="FFFF0000"/>
      </font>
    </dxf>
    <dxf>
      <font>
        <b/>
        <i val="0"/>
        <color rgb="FFFF0000"/>
      </font>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00B050"/>
        </patternFill>
      </fill>
    </dxf>
    <dxf>
      <fill>
        <patternFill>
          <bgColor rgb="FF00B050"/>
        </patternFill>
      </fill>
    </dxf>
  </dxfs>
  <tableStyles count="0" defaultTableStyle="TableStyleMedium2" defaultPivotStyle="PivotStyleLight16"/>
  <colors>
    <mruColors>
      <color rgb="FFFFFFCC"/>
      <color rgb="FFCCFFCC"/>
      <color rgb="FFFF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4.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3.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2.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rgbClr val="00B050"/>
              </a:solidFill>
            </c:spPr>
            <c:extLst>
              <c:ext xmlns:c16="http://schemas.microsoft.com/office/drawing/2014/chart" uri="{C3380CC4-5D6E-409C-BE32-E72D297353CC}">
                <c16:uniqueId val="{00000001-29A7-4A9E-8F60-472C384CA944}"/>
              </c:ext>
            </c:extLst>
          </c:dPt>
          <c:dPt>
            <c:idx val="1"/>
            <c:bubble3D val="0"/>
            <c:spPr>
              <a:solidFill>
                <a:srgbClr val="00B0F0"/>
              </a:solidFill>
            </c:spPr>
            <c:extLst>
              <c:ext xmlns:c16="http://schemas.microsoft.com/office/drawing/2014/chart" uri="{C3380CC4-5D6E-409C-BE32-E72D297353CC}">
                <c16:uniqueId val="{00000003-29A7-4A9E-8F60-472C384CA944}"/>
              </c:ext>
            </c:extLst>
          </c:dPt>
          <c:dPt>
            <c:idx val="2"/>
            <c:bubble3D val="0"/>
            <c:spPr>
              <a:solidFill>
                <a:srgbClr val="FF0000"/>
              </a:solidFill>
            </c:spPr>
            <c:extLst>
              <c:ext xmlns:c16="http://schemas.microsoft.com/office/drawing/2014/chart" uri="{C3380CC4-5D6E-409C-BE32-E72D297353CC}">
                <c16:uniqueId val="{00000005-29A7-4A9E-8F60-472C384CA944}"/>
              </c:ext>
            </c:extLst>
          </c:dPt>
          <c:dPt>
            <c:idx val="3"/>
            <c:bubble3D val="0"/>
            <c:spPr>
              <a:solidFill>
                <a:srgbClr val="FFFF00"/>
              </a:solidFill>
            </c:spPr>
            <c:extLst>
              <c:ext xmlns:c16="http://schemas.microsoft.com/office/drawing/2014/chart" uri="{C3380CC4-5D6E-409C-BE32-E72D297353CC}">
                <c16:uniqueId val="{00000007-29A7-4A9E-8F60-472C384CA944}"/>
              </c:ext>
            </c:extLst>
          </c:dPt>
          <c:dLbls>
            <c:spPr>
              <a:noFill/>
              <a:ln w="25400">
                <a:noFill/>
              </a:ln>
            </c:spPr>
            <c:txPr>
              <a:bodyPr wrap="square" lIns="38100" tIns="19050" rIns="38100" bIns="19050" anchor="ctr">
                <a:spAutoFit/>
              </a:bodyPr>
              <a:lstStyle/>
              <a:p>
                <a:pPr>
                  <a:defRPr sz="1400" b="0" i="0" u="none" strike="noStrike" baseline="0">
                    <a:solidFill>
                      <a:srgbClr val="000000"/>
                    </a:solidFill>
                    <a:latin typeface="Calibri"/>
                    <a:ea typeface="Calibri"/>
                    <a:cs typeface="Calibri"/>
                  </a:defRPr>
                </a:pPr>
                <a:endParaRPr lang="fr-FR"/>
              </a:p>
            </c:txPr>
            <c:showLegendKey val="0"/>
            <c:showVal val="0"/>
            <c:showCatName val="0"/>
            <c:showSerName val="0"/>
            <c:showPercent val="1"/>
            <c:showBubbleSize val="0"/>
            <c:showLeaderLines val="1"/>
            <c:extLst>
              <c:ext xmlns:c15="http://schemas.microsoft.com/office/drawing/2012/chart" uri="{CE6537A1-D6FC-4f65-9D91-7224C49458BB}"/>
            </c:extLst>
          </c:dLbls>
          <c:cat>
            <c:strRef>
              <c:f>Statistics!$A$46:$A$49</c:f>
              <c:strCache>
                <c:ptCount val="4"/>
                <c:pt idx="0">
                  <c:v>Req tested OK</c:v>
                </c:pt>
                <c:pt idx="1">
                  <c:v>Req tested partially OK</c:v>
                </c:pt>
                <c:pt idx="2">
                  <c:v>Req tested NOK</c:v>
                </c:pt>
                <c:pt idx="3">
                  <c:v>Req not tested (no result and maybe no test specification)</c:v>
                </c:pt>
              </c:strCache>
            </c:strRef>
          </c:cat>
          <c:val>
            <c:numRef>
              <c:f>Statistics!$B$46:$B$49</c:f>
              <c:numCache>
                <c:formatCode>General</c:formatCode>
                <c:ptCount val="4"/>
                <c:pt idx="0">
                  <c:v>0</c:v>
                </c:pt>
                <c:pt idx="1">
                  <c:v>0</c:v>
                </c:pt>
                <c:pt idx="2">
                  <c:v>0</c:v>
                </c:pt>
                <c:pt idx="3">
                  <c:v>0</c:v>
                </c:pt>
              </c:numCache>
            </c:numRef>
          </c:val>
          <c:extLst>
            <c:ext xmlns:c16="http://schemas.microsoft.com/office/drawing/2014/chart" uri="{C3380CC4-5D6E-409C-BE32-E72D297353CC}">
              <c16:uniqueId val="{00000008-29A7-4A9E-8F60-472C384CA944}"/>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0.67560966819446078"/>
          <c:y val="7.8338582677165355E-2"/>
          <c:w val="0.30936059858189369"/>
          <c:h val="0.79663713910761158"/>
        </c:manualLayout>
      </c:layout>
      <c:overlay val="0"/>
      <c:txPr>
        <a:bodyPr/>
        <a:lstStyle/>
        <a:p>
          <a:pPr>
            <a:defRPr sz="595" b="0" i="0" u="none" strike="noStrike" baseline="0">
              <a:solidFill>
                <a:srgbClr val="000000"/>
              </a:solidFill>
              <a:latin typeface="Arial"/>
              <a:ea typeface="Arial"/>
              <a:cs typeface="Arial"/>
            </a:defRPr>
          </a:pPr>
          <a:endParaRPr lang="fr-FR"/>
        </a:p>
      </c:txPr>
    </c:legend>
    <c:plotVisOnly val="1"/>
    <c:dispBlanksAs val="gap"/>
    <c:showDLblsOverMax val="0"/>
  </c:chart>
  <c:spPr>
    <a:solidFill>
      <a:schemeClr val="bg1">
        <a:alpha val="0"/>
      </a:schemeClr>
    </a:solidFill>
    <a:ln>
      <a:noFill/>
    </a:ln>
  </c:spPr>
  <c:txPr>
    <a:bodyPr/>
    <a:lstStyle/>
    <a:p>
      <a:pPr>
        <a:defRPr sz="1000" b="0" i="0" u="none" strike="noStrike" baseline="0">
          <a:solidFill>
            <a:srgbClr val="000000"/>
          </a:solidFill>
          <a:latin typeface="Calibri"/>
          <a:ea typeface="Calibri"/>
          <a:cs typeface="Calibri"/>
        </a:defRPr>
      </a:pPr>
      <a:endParaRPr lang="fr-F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Statistics!$A$27</c:f>
              <c:strCache>
                <c:ptCount val="1"/>
                <c:pt idx="0">
                  <c:v>Other tests progress</c:v>
                </c:pt>
              </c:strCache>
            </c:strRef>
          </c:tx>
          <c:spPr>
            <a:solidFill>
              <a:srgbClr val="00B0F0"/>
            </a:solidFill>
          </c:spPr>
          <c:dPt>
            <c:idx val="0"/>
            <c:bubble3D val="0"/>
            <c:spPr>
              <a:solidFill>
                <a:srgbClr val="00B050"/>
              </a:solidFill>
            </c:spPr>
            <c:extLst>
              <c:ext xmlns:c16="http://schemas.microsoft.com/office/drawing/2014/chart" uri="{C3380CC4-5D6E-409C-BE32-E72D297353CC}">
                <c16:uniqueId val="{00000001-5BF3-4B92-96C2-39909D4D770E}"/>
              </c:ext>
            </c:extLst>
          </c:dPt>
          <c:dPt>
            <c:idx val="1"/>
            <c:bubble3D val="0"/>
            <c:spPr>
              <a:solidFill>
                <a:srgbClr val="0070C0"/>
              </a:solidFill>
            </c:spPr>
            <c:extLst>
              <c:ext xmlns:c16="http://schemas.microsoft.com/office/drawing/2014/chart" uri="{C3380CC4-5D6E-409C-BE32-E72D297353CC}">
                <c16:uniqueId val="{00000003-5BF3-4B92-96C2-39909D4D770E}"/>
              </c:ext>
            </c:extLst>
          </c:dPt>
          <c:dPt>
            <c:idx val="2"/>
            <c:bubble3D val="0"/>
            <c:spPr>
              <a:solidFill>
                <a:schemeClr val="accent6">
                  <a:lumMod val="75000"/>
                </a:schemeClr>
              </a:solidFill>
            </c:spPr>
            <c:extLst>
              <c:ext xmlns:c16="http://schemas.microsoft.com/office/drawing/2014/chart" uri="{C3380CC4-5D6E-409C-BE32-E72D297353CC}">
                <c16:uniqueId val="{00000005-5BF3-4B92-96C2-39909D4D770E}"/>
              </c:ext>
            </c:extLst>
          </c:dPt>
          <c:dLbls>
            <c:dLbl>
              <c:idx val="0"/>
              <c:spPr/>
              <c:txPr>
                <a:bodyPr/>
                <a:lstStyle/>
                <a:p>
                  <a:pPr>
                    <a:defRPr sz="1400" b="0" i="0" u="none" strike="noStrike" baseline="0">
                      <a:solidFill>
                        <a:srgbClr val="000000"/>
                      </a:solidFill>
                      <a:latin typeface="Calibri"/>
                      <a:ea typeface="Calibri"/>
                      <a:cs typeface="Calibri"/>
                    </a:defRPr>
                  </a:pPr>
                  <a:endParaRPr lang="fr-FR"/>
                </a:p>
              </c:txPr>
              <c:showLegendKey val="0"/>
              <c:showVal val="0"/>
              <c:showCatName val="0"/>
              <c:showSerName val="0"/>
              <c:showPercent val="1"/>
              <c:showBubbleSize val="0"/>
              <c:extLst>
                <c:ext xmlns:c16="http://schemas.microsoft.com/office/drawing/2014/chart" uri="{C3380CC4-5D6E-409C-BE32-E72D297353CC}">
                  <c16:uniqueId val="{00000001-5BF3-4B92-96C2-39909D4D770E}"/>
                </c:ext>
              </c:extLst>
            </c:dLbl>
            <c:dLbl>
              <c:idx val="1"/>
              <c:spPr/>
              <c:txPr>
                <a:bodyPr/>
                <a:lstStyle/>
                <a:p>
                  <a:pPr>
                    <a:defRPr sz="1400" b="0" i="0" u="none" strike="noStrike" baseline="0">
                      <a:solidFill>
                        <a:srgbClr val="000000"/>
                      </a:solidFill>
                      <a:latin typeface="Calibri"/>
                      <a:ea typeface="Calibri"/>
                      <a:cs typeface="Calibri"/>
                    </a:defRPr>
                  </a:pPr>
                  <a:endParaRPr lang="fr-FR"/>
                </a:p>
              </c:txPr>
              <c:showLegendKey val="0"/>
              <c:showVal val="0"/>
              <c:showCatName val="0"/>
              <c:showSerName val="0"/>
              <c:showPercent val="1"/>
              <c:showBubbleSize val="0"/>
              <c:extLst>
                <c:ext xmlns:c16="http://schemas.microsoft.com/office/drawing/2014/chart" uri="{C3380CC4-5D6E-409C-BE32-E72D297353CC}">
                  <c16:uniqueId val="{00000003-5BF3-4B92-96C2-39909D4D770E}"/>
                </c:ext>
              </c:extLst>
            </c:dLbl>
            <c:spPr>
              <a:noFill/>
              <a:ln w="25400">
                <a:noFill/>
              </a:ln>
            </c:spPr>
            <c:txPr>
              <a:bodyPr wrap="square" lIns="38100" tIns="19050" rIns="38100" bIns="19050" anchor="ctr">
                <a:spAutoFit/>
              </a:bodyPr>
              <a:lstStyle/>
              <a:p>
                <a:pPr>
                  <a:defRPr sz="1400" b="0" i="0" u="none" strike="noStrike" baseline="0">
                    <a:solidFill>
                      <a:srgbClr val="000000"/>
                    </a:solidFill>
                    <a:latin typeface="Calibri"/>
                    <a:ea typeface="Calibri"/>
                    <a:cs typeface="Calibri"/>
                  </a:defRPr>
                </a:pPr>
                <a:endParaRPr lang="fr-FR"/>
              </a:p>
            </c:txPr>
            <c:showLegendKey val="0"/>
            <c:showVal val="0"/>
            <c:showCatName val="0"/>
            <c:showSerName val="0"/>
            <c:showPercent val="1"/>
            <c:showBubbleSize val="0"/>
            <c:showLeaderLines val="1"/>
            <c:extLst>
              <c:ext xmlns:c15="http://schemas.microsoft.com/office/drawing/2012/chart" uri="{CE6537A1-D6FC-4f65-9D91-7224C49458BB}"/>
            </c:extLst>
          </c:dLbls>
          <c:cat>
            <c:strRef>
              <c:f>Statistics!$A$28:$A$30</c:f>
              <c:strCache>
                <c:ptCount val="3"/>
                <c:pt idx="0">
                  <c:v>Tested as planned (NOK or OK)</c:v>
                </c:pt>
                <c:pt idx="1">
                  <c:v>Not tested 
(i.e partially or not performed but test specification done)</c:v>
                </c:pt>
                <c:pt idx="2">
                  <c:v>Not tested and test specifications not available</c:v>
                </c:pt>
              </c:strCache>
            </c:strRef>
          </c:cat>
          <c:val>
            <c:numRef>
              <c:f>Statistics!$B$28:$B$30</c:f>
              <c:numCache>
                <c:formatCode>General</c:formatCode>
                <c:ptCount val="3"/>
                <c:pt idx="0">
                  <c:v>0</c:v>
                </c:pt>
                <c:pt idx="1">
                  <c:v>0</c:v>
                </c:pt>
                <c:pt idx="2">
                  <c:v>0</c:v>
                </c:pt>
              </c:numCache>
            </c:numRef>
          </c:val>
          <c:extLst>
            <c:ext xmlns:c16="http://schemas.microsoft.com/office/drawing/2014/chart" uri="{C3380CC4-5D6E-409C-BE32-E72D297353CC}">
              <c16:uniqueId val="{00000006-5BF3-4B92-96C2-39909D4D770E}"/>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0.64752367597885885"/>
          <c:y val="3.6199259339157949E-2"/>
          <c:w val="0.33971437816848238"/>
          <c:h val="0.9115783985905872"/>
        </c:manualLayout>
      </c:layout>
      <c:overlay val="0"/>
      <c:txPr>
        <a:bodyPr/>
        <a:lstStyle/>
        <a:p>
          <a:pPr>
            <a:defRPr sz="595" b="0" i="0" u="none" strike="noStrike" baseline="0">
              <a:solidFill>
                <a:srgbClr val="000000"/>
              </a:solidFill>
              <a:latin typeface="Arial"/>
              <a:ea typeface="Arial"/>
              <a:cs typeface="Arial"/>
            </a:defRPr>
          </a:pPr>
          <a:endParaRPr lang="fr-FR"/>
        </a:p>
      </c:txPr>
    </c:legend>
    <c:plotVisOnly val="1"/>
    <c:dispBlanksAs val="gap"/>
    <c:showDLblsOverMax val="0"/>
  </c:chart>
  <c:spPr>
    <a:solidFill>
      <a:schemeClr val="bg1">
        <a:alpha val="0"/>
      </a:schemeClr>
    </a:solidFill>
    <a:ln>
      <a:noFill/>
    </a:ln>
  </c:spPr>
  <c:txPr>
    <a:bodyPr/>
    <a:lstStyle/>
    <a:p>
      <a:pPr>
        <a:defRPr sz="1000" b="0" i="0" u="none" strike="noStrike" baseline="0">
          <a:solidFill>
            <a:srgbClr val="000000"/>
          </a:solidFill>
          <a:latin typeface="Calibri"/>
          <a:ea typeface="Calibri"/>
          <a:cs typeface="Calibri"/>
        </a:defRPr>
      </a:pPr>
      <a:endParaRPr lang="fr-F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203766863550563"/>
          <c:y val="0.10669551041636678"/>
          <c:w val="0.31962434716971044"/>
          <c:h val="0.78660897916726646"/>
        </c:manualLayout>
      </c:layout>
      <c:pieChart>
        <c:varyColors val="1"/>
        <c:ser>
          <c:idx val="0"/>
          <c:order val="0"/>
          <c:tx>
            <c:strRef>
              <c:f>Statistics!$A$11</c:f>
              <c:strCache>
                <c:ptCount val="1"/>
                <c:pt idx="0">
                  <c:v>Requirements test plan</c:v>
                </c:pt>
              </c:strCache>
            </c:strRef>
          </c:tx>
          <c:dPt>
            <c:idx val="0"/>
            <c:bubble3D val="0"/>
            <c:spPr>
              <a:solidFill>
                <a:srgbClr val="00B0F0"/>
              </a:solidFill>
            </c:spPr>
            <c:extLst>
              <c:ext xmlns:c16="http://schemas.microsoft.com/office/drawing/2014/chart" uri="{C3380CC4-5D6E-409C-BE32-E72D297353CC}">
                <c16:uniqueId val="{00000001-3BE4-4BA8-A065-D878D9244FCC}"/>
              </c:ext>
            </c:extLst>
          </c:dPt>
          <c:dPt>
            <c:idx val="1"/>
            <c:bubble3D val="0"/>
            <c:spPr>
              <a:solidFill>
                <a:srgbClr val="7030A0"/>
              </a:solidFill>
            </c:spPr>
            <c:extLst>
              <c:ext xmlns:c16="http://schemas.microsoft.com/office/drawing/2014/chart" uri="{C3380CC4-5D6E-409C-BE32-E72D297353CC}">
                <c16:uniqueId val="{00000003-3BE4-4BA8-A065-D878D9244FCC}"/>
              </c:ext>
            </c:extLst>
          </c:dPt>
          <c:dPt>
            <c:idx val="2"/>
            <c:bubble3D val="0"/>
            <c:spPr>
              <a:solidFill>
                <a:srgbClr val="00B050"/>
              </a:solidFill>
            </c:spPr>
            <c:extLst>
              <c:ext xmlns:c16="http://schemas.microsoft.com/office/drawing/2014/chart" uri="{C3380CC4-5D6E-409C-BE32-E72D297353CC}">
                <c16:uniqueId val="{00000005-3BE4-4BA8-A065-D878D9244FCC}"/>
              </c:ext>
            </c:extLst>
          </c:dPt>
          <c:dPt>
            <c:idx val="3"/>
            <c:bubble3D val="0"/>
            <c:spPr>
              <a:solidFill>
                <a:srgbClr val="FF0000"/>
              </a:solidFill>
            </c:spPr>
            <c:extLst>
              <c:ext xmlns:c16="http://schemas.microsoft.com/office/drawing/2014/chart" uri="{C3380CC4-5D6E-409C-BE32-E72D297353CC}">
                <c16:uniqueId val="{00000007-3BE4-4BA8-A065-D878D9244FCC}"/>
              </c:ext>
            </c:extLst>
          </c:dPt>
          <c:dLbls>
            <c:spPr>
              <a:noFill/>
              <a:ln w="25400">
                <a:noFill/>
              </a:ln>
            </c:spPr>
            <c:txPr>
              <a:bodyPr wrap="square" lIns="38100" tIns="19050" rIns="38100" bIns="19050" anchor="ctr">
                <a:spAutoFit/>
              </a:bodyPr>
              <a:lstStyle/>
              <a:p>
                <a:pPr>
                  <a:defRPr sz="1400" b="0" i="0" u="none" strike="noStrike" baseline="0">
                    <a:solidFill>
                      <a:srgbClr val="000000"/>
                    </a:solidFill>
                    <a:latin typeface="Calibri"/>
                    <a:ea typeface="Calibri"/>
                    <a:cs typeface="Calibri"/>
                  </a:defRPr>
                </a:pPr>
                <a:endParaRPr lang="fr-FR"/>
              </a:p>
            </c:txPr>
            <c:showLegendKey val="0"/>
            <c:showVal val="0"/>
            <c:showCatName val="0"/>
            <c:showSerName val="0"/>
            <c:showPercent val="1"/>
            <c:showBubbleSize val="0"/>
            <c:showLeaderLines val="1"/>
            <c:extLst>
              <c:ext xmlns:c15="http://schemas.microsoft.com/office/drawing/2012/chart" uri="{CE6537A1-D6FC-4f65-9D91-7224C49458BB}"/>
            </c:extLst>
          </c:dLbls>
          <c:cat>
            <c:strRef>
              <c:f>Statistics!$A$12:$A$15</c:f>
              <c:strCache>
                <c:ptCount val="4"/>
                <c:pt idx="0">
                  <c:v>To be tested by other  tests/artifacts only</c:v>
                </c:pt>
                <c:pt idx="1">
                  <c:v>To be tested by Qualification  tests only</c:v>
                </c:pt>
                <c:pt idx="2">
                  <c:v>To be tested by both Qualification and other tests/artifacts</c:v>
                </c:pt>
                <c:pt idx="3">
                  <c:v>Not planned to be tested </c:v>
                </c:pt>
              </c:strCache>
            </c:strRef>
          </c:cat>
          <c:val>
            <c:numRef>
              <c:f>Statistics!$B$12:$B$15</c:f>
              <c:numCache>
                <c:formatCode>General</c:formatCode>
                <c:ptCount val="4"/>
                <c:pt idx="0">
                  <c:v>0</c:v>
                </c:pt>
                <c:pt idx="1">
                  <c:v>0</c:v>
                </c:pt>
                <c:pt idx="2">
                  <c:v>0</c:v>
                </c:pt>
                <c:pt idx="3">
                  <c:v>0</c:v>
                </c:pt>
              </c:numCache>
            </c:numRef>
          </c:val>
          <c:extLst>
            <c:ext xmlns:c16="http://schemas.microsoft.com/office/drawing/2014/chart" uri="{C3380CC4-5D6E-409C-BE32-E72D297353CC}">
              <c16:uniqueId val="{00000008-3BE4-4BA8-A065-D878D9244FCC}"/>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0.52292844541973238"/>
          <c:y val="5.4128644878294316E-2"/>
          <c:w val="0.33655307430833437"/>
          <c:h val="0.91986732822780715"/>
        </c:manualLayout>
      </c:layout>
      <c:overlay val="0"/>
      <c:txPr>
        <a:bodyPr/>
        <a:lstStyle/>
        <a:p>
          <a:pPr>
            <a:defRPr sz="595" b="0" i="0" u="none" strike="noStrike" baseline="0">
              <a:solidFill>
                <a:srgbClr val="000000"/>
              </a:solidFill>
              <a:latin typeface="Arial"/>
              <a:ea typeface="Arial"/>
              <a:cs typeface="Arial"/>
            </a:defRPr>
          </a:pPr>
          <a:endParaRPr lang="fr-FR"/>
        </a:p>
      </c:txPr>
    </c:legend>
    <c:plotVisOnly val="1"/>
    <c:dispBlanksAs val="gap"/>
    <c:showDLblsOverMax val="0"/>
  </c:chart>
  <c:spPr>
    <a:solidFill>
      <a:schemeClr val="bg1">
        <a:alpha val="0"/>
      </a:schemeClr>
    </a:solidFill>
    <a:ln>
      <a:noFill/>
    </a:ln>
  </c:spPr>
  <c:txPr>
    <a:bodyPr/>
    <a:lstStyle/>
    <a:p>
      <a:pPr>
        <a:defRPr sz="1000" b="0" i="0" u="none" strike="noStrike" baseline="0">
          <a:solidFill>
            <a:srgbClr val="000000"/>
          </a:solidFill>
          <a:latin typeface="Calibri"/>
          <a:ea typeface="Calibri"/>
          <a:cs typeface="Calibri"/>
        </a:defRPr>
      </a:pPr>
      <a:endParaRPr lang="fr-FR"/>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spPr>
            <a:solidFill>
              <a:srgbClr val="00B0F0"/>
            </a:solidFill>
          </c:spPr>
          <c:dPt>
            <c:idx val="0"/>
            <c:bubble3D val="0"/>
            <c:spPr>
              <a:solidFill>
                <a:srgbClr val="00B050"/>
              </a:solidFill>
            </c:spPr>
            <c:extLst>
              <c:ext xmlns:c16="http://schemas.microsoft.com/office/drawing/2014/chart" uri="{C3380CC4-5D6E-409C-BE32-E72D297353CC}">
                <c16:uniqueId val="{00000001-9454-40E1-8254-49CE3134C957}"/>
              </c:ext>
            </c:extLst>
          </c:dPt>
          <c:dPt>
            <c:idx val="1"/>
            <c:bubble3D val="0"/>
            <c:spPr>
              <a:solidFill>
                <a:srgbClr val="0070C0"/>
              </a:solidFill>
            </c:spPr>
            <c:extLst>
              <c:ext xmlns:c16="http://schemas.microsoft.com/office/drawing/2014/chart" uri="{C3380CC4-5D6E-409C-BE32-E72D297353CC}">
                <c16:uniqueId val="{00000003-9454-40E1-8254-49CE3134C957}"/>
              </c:ext>
            </c:extLst>
          </c:dPt>
          <c:dPt>
            <c:idx val="2"/>
            <c:bubble3D val="0"/>
            <c:spPr>
              <a:solidFill>
                <a:schemeClr val="accent6">
                  <a:lumMod val="75000"/>
                </a:schemeClr>
              </a:solidFill>
            </c:spPr>
            <c:extLst>
              <c:ext xmlns:c16="http://schemas.microsoft.com/office/drawing/2014/chart" uri="{C3380CC4-5D6E-409C-BE32-E72D297353CC}">
                <c16:uniqueId val="{00000005-9454-40E1-8254-49CE3134C957}"/>
              </c:ext>
            </c:extLst>
          </c:dPt>
          <c:dLbls>
            <c:dLbl>
              <c:idx val="0"/>
              <c:spPr/>
              <c:txPr>
                <a:bodyPr/>
                <a:lstStyle/>
                <a:p>
                  <a:pPr>
                    <a:defRPr sz="1400" b="0" i="0" u="none" strike="noStrike" baseline="0">
                      <a:solidFill>
                        <a:srgbClr val="000000"/>
                      </a:solidFill>
                      <a:latin typeface="Calibri"/>
                      <a:ea typeface="Calibri"/>
                      <a:cs typeface="Calibri"/>
                    </a:defRPr>
                  </a:pPr>
                  <a:endParaRPr lang="fr-FR"/>
                </a:p>
              </c:txPr>
              <c:showLegendKey val="0"/>
              <c:showVal val="0"/>
              <c:showCatName val="0"/>
              <c:showSerName val="0"/>
              <c:showPercent val="1"/>
              <c:showBubbleSize val="0"/>
              <c:extLst>
                <c:ext xmlns:c16="http://schemas.microsoft.com/office/drawing/2014/chart" uri="{C3380CC4-5D6E-409C-BE32-E72D297353CC}">
                  <c16:uniqueId val="{00000001-9454-40E1-8254-49CE3134C957}"/>
                </c:ext>
              </c:extLst>
            </c:dLbl>
            <c:dLbl>
              <c:idx val="1"/>
              <c:spPr/>
              <c:txPr>
                <a:bodyPr/>
                <a:lstStyle/>
                <a:p>
                  <a:pPr>
                    <a:defRPr sz="1400" b="0" i="0" u="none" strike="noStrike" baseline="0">
                      <a:solidFill>
                        <a:srgbClr val="000000"/>
                      </a:solidFill>
                      <a:latin typeface="Calibri"/>
                      <a:ea typeface="Calibri"/>
                      <a:cs typeface="Calibri"/>
                    </a:defRPr>
                  </a:pPr>
                  <a:endParaRPr lang="fr-FR"/>
                </a:p>
              </c:txPr>
              <c:showLegendKey val="0"/>
              <c:showVal val="0"/>
              <c:showCatName val="0"/>
              <c:showSerName val="0"/>
              <c:showPercent val="1"/>
              <c:showBubbleSize val="0"/>
              <c:extLst>
                <c:ext xmlns:c16="http://schemas.microsoft.com/office/drawing/2014/chart" uri="{C3380CC4-5D6E-409C-BE32-E72D297353CC}">
                  <c16:uniqueId val="{00000003-9454-40E1-8254-49CE3134C957}"/>
                </c:ext>
              </c:extLst>
            </c:dLbl>
            <c:spPr>
              <a:noFill/>
              <a:ln w="25400">
                <a:noFill/>
              </a:ln>
            </c:spPr>
            <c:txPr>
              <a:bodyPr wrap="square" lIns="38100" tIns="19050" rIns="38100" bIns="19050" anchor="ctr">
                <a:spAutoFit/>
              </a:bodyPr>
              <a:lstStyle/>
              <a:p>
                <a:pPr>
                  <a:defRPr sz="1400" b="0" i="0" u="none" strike="noStrike" baseline="0">
                    <a:solidFill>
                      <a:srgbClr val="000000"/>
                    </a:solidFill>
                    <a:latin typeface="Calibri"/>
                    <a:ea typeface="Calibri"/>
                    <a:cs typeface="Calibri"/>
                  </a:defRPr>
                </a:pPr>
                <a:endParaRPr lang="fr-FR"/>
              </a:p>
            </c:txPr>
            <c:showLegendKey val="0"/>
            <c:showVal val="0"/>
            <c:showCatName val="0"/>
            <c:showSerName val="0"/>
            <c:showPercent val="1"/>
            <c:showBubbleSize val="0"/>
            <c:showLeaderLines val="1"/>
            <c:extLst>
              <c:ext xmlns:c15="http://schemas.microsoft.com/office/drawing/2012/chart" uri="{CE6537A1-D6FC-4f65-9D91-7224C49458BB}"/>
            </c:extLst>
          </c:dLbls>
          <c:cat>
            <c:strRef>
              <c:f>Statistics!$A$34:$A$36</c:f>
              <c:strCache>
                <c:ptCount val="3"/>
                <c:pt idx="0">
                  <c:v>Tested as planned (NOK or OK)</c:v>
                </c:pt>
                <c:pt idx="1">
                  <c:v>Not tested 
(i.e partially or not performed but test specification done)</c:v>
                </c:pt>
                <c:pt idx="2">
                  <c:v>Not tested and test specifications not available</c:v>
                </c:pt>
              </c:strCache>
            </c:strRef>
          </c:cat>
          <c:val>
            <c:numRef>
              <c:f>Statistics!$B$34:$B$36</c:f>
              <c:numCache>
                <c:formatCode>General</c:formatCode>
                <c:ptCount val="3"/>
                <c:pt idx="0">
                  <c:v>0</c:v>
                </c:pt>
                <c:pt idx="1">
                  <c:v>0</c:v>
                </c:pt>
                <c:pt idx="2">
                  <c:v>0</c:v>
                </c:pt>
              </c:numCache>
            </c:numRef>
          </c:val>
          <c:extLst>
            <c:ext xmlns:c16="http://schemas.microsoft.com/office/drawing/2014/chart" uri="{C3380CC4-5D6E-409C-BE32-E72D297353CC}">
              <c16:uniqueId val="{00000006-9454-40E1-8254-49CE3134C957}"/>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gap"/>
    <c:showDLblsOverMax val="0"/>
  </c:chart>
  <c:spPr>
    <a:solidFill>
      <a:schemeClr val="bg1">
        <a:alpha val="0"/>
      </a:schemeClr>
    </a:solidFill>
    <a:ln>
      <a:noFill/>
    </a:ln>
  </c:spPr>
  <c:txPr>
    <a:bodyPr/>
    <a:lstStyle/>
    <a:p>
      <a:pPr>
        <a:defRPr sz="1000" b="0" i="0" u="none" strike="noStrike" baseline="0">
          <a:solidFill>
            <a:srgbClr val="000000"/>
          </a:solidFill>
          <a:latin typeface="Calibri"/>
          <a:ea typeface="Calibri"/>
          <a:cs typeface="Calibri"/>
        </a:defRPr>
      </a:pPr>
      <a:endParaRPr lang="fr-FR"/>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Statistics!$A$19:$A$20</c:f>
              <c:strCache>
                <c:ptCount val="2"/>
                <c:pt idx="0">
                  <c:v>Functional requirements</c:v>
                </c:pt>
                <c:pt idx="1">
                  <c:v>Non-functional requirements</c:v>
                </c:pt>
              </c:strCache>
            </c:strRef>
          </c:tx>
          <c:dPt>
            <c:idx val="0"/>
            <c:bubble3D val="0"/>
            <c:extLst>
              <c:ext xmlns:c16="http://schemas.microsoft.com/office/drawing/2014/chart" uri="{C3380CC4-5D6E-409C-BE32-E72D297353CC}">
                <c16:uniqueId val="{00000000-4FF3-4330-BFC7-98B78BD1C300}"/>
              </c:ext>
            </c:extLst>
          </c:dPt>
          <c:dPt>
            <c:idx val="1"/>
            <c:bubble3D val="0"/>
            <c:extLst>
              <c:ext xmlns:c16="http://schemas.microsoft.com/office/drawing/2014/chart" uri="{C3380CC4-5D6E-409C-BE32-E72D297353CC}">
                <c16:uniqueId val="{00000001-4FF3-4330-BFC7-98B78BD1C300}"/>
              </c:ext>
            </c:extLst>
          </c:dPt>
          <c:dLbls>
            <c:spPr>
              <a:noFill/>
              <a:ln w="25400">
                <a:noFill/>
              </a:ln>
            </c:spPr>
            <c:txPr>
              <a:bodyPr wrap="square" lIns="38100" tIns="19050" rIns="38100" bIns="19050" anchor="ctr">
                <a:spAutoFit/>
              </a:bodyPr>
              <a:lstStyle/>
              <a:p>
                <a:pPr>
                  <a:defRPr sz="1400" b="0" i="0" u="none" strike="noStrike" baseline="0">
                    <a:solidFill>
                      <a:srgbClr val="000000"/>
                    </a:solidFill>
                    <a:latin typeface="Calibri"/>
                    <a:ea typeface="Calibri"/>
                    <a:cs typeface="Calibri"/>
                  </a:defRPr>
                </a:pPr>
                <a:endParaRPr lang="fr-FR"/>
              </a:p>
            </c:txPr>
            <c:showLegendKey val="0"/>
            <c:showVal val="0"/>
            <c:showCatName val="0"/>
            <c:showSerName val="0"/>
            <c:showPercent val="1"/>
            <c:showBubbleSize val="0"/>
            <c:showLeaderLines val="1"/>
            <c:extLst>
              <c:ext xmlns:c15="http://schemas.microsoft.com/office/drawing/2012/chart" uri="{CE6537A1-D6FC-4f65-9D91-7224C49458BB}"/>
            </c:extLst>
          </c:dLbls>
          <c:cat>
            <c:strRef>
              <c:f>Statistics!$A$19:$A$20</c:f>
              <c:strCache>
                <c:ptCount val="2"/>
                <c:pt idx="0">
                  <c:v>Functional requirements</c:v>
                </c:pt>
                <c:pt idx="1">
                  <c:v>Non-functional requirements</c:v>
                </c:pt>
              </c:strCache>
            </c:strRef>
          </c:cat>
          <c:val>
            <c:numRef>
              <c:f>Statistics!$B$19:$B$20</c:f>
              <c:numCache>
                <c:formatCode>General</c:formatCode>
                <c:ptCount val="2"/>
                <c:pt idx="0">
                  <c:v>0</c:v>
                </c:pt>
                <c:pt idx="1">
                  <c:v>0</c:v>
                </c:pt>
              </c:numCache>
            </c:numRef>
          </c:val>
          <c:extLst>
            <c:ext xmlns:c16="http://schemas.microsoft.com/office/drawing/2014/chart" uri="{C3380CC4-5D6E-409C-BE32-E72D297353CC}">
              <c16:uniqueId val="{00000002-4FF3-4330-BFC7-98B78BD1C300}"/>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0.69182994171183154"/>
          <c:y val="0.17028691619027073"/>
          <c:w val="0.29564781675017893"/>
          <c:h val="0.39826987380002155"/>
        </c:manualLayout>
      </c:layout>
      <c:overlay val="0"/>
      <c:txPr>
        <a:bodyPr/>
        <a:lstStyle/>
        <a:p>
          <a:pPr>
            <a:defRPr sz="595" b="0" i="0" u="none" strike="noStrike" baseline="0">
              <a:solidFill>
                <a:srgbClr val="000000"/>
              </a:solidFill>
              <a:latin typeface="Arial"/>
              <a:ea typeface="Arial"/>
              <a:cs typeface="Arial"/>
            </a:defRPr>
          </a:pPr>
          <a:endParaRPr lang="fr-FR"/>
        </a:p>
      </c:txPr>
    </c:legend>
    <c:plotVisOnly val="1"/>
    <c:dispBlanksAs val="gap"/>
    <c:showDLblsOverMax val="0"/>
  </c:chart>
  <c:spPr>
    <a:solidFill>
      <a:schemeClr val="bg1">
        <a:alpha val="0"/>
      </a:schemeClr>
    </a:solidFill>
    <a:ln>
      <a:noFill/>
    </a:ln>
  </c:spPr>
  <c:txPr>
    <a:bodyPr/>
    <a:lstStyle/>
    <a:p>
      <a:pPr>
        <a:defRPr sz="1000" b="0" i="0" u="none" strike="noStrike" baseline="0">
          <a:solidFill>
            <a:srgbClr val="000000"/>
          </a:solidFill>
          <a:latin typeface="Calibri"/>
          <a:ea typeface="Calibri"/>
          <a:cs typeface="Calibri"/>
        </a:defRPr>
      </a:pPr>
      <a:endParaRPr lang="fr-FR"/>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rgbClr val="FF0000"/>
              </a:solidFill>
            </c:spPr>
            <c:extLst>
              <c:ext xmlns:c16="http://schemas.microsoft.com/office/drawing/2014/chart" uri="{C3380CC4-5D6E-409C-BE32-E72D297353CC}">
                <c16:uniqueId val="{00000001-B340-4DB1-98A8-8567A79EBB94}"/>
              </c:ext>
            </c:extLst>
          </c:dPt>
          <c:dPt>
            <c:idx val="1"/>
            <c:bubble3D val="0"/>
            <c:spPr>
              <a:solidFill>
                <a:schemeClr val="accent6">
                  <a:lumMod val="75000"/>
                </a:schemeClr>
              </a:solidFill>
              <a:ln>
                <a:solidFill>
                  <a:schemeClr val="accent1"/>
                </a:solidFill>
              </a:ln>
            </c:spPr>
            <c:extLst>
              <c:ext xmlns:c16="http://schemas.microsoft.com/office/drawing/2014/chart" uri="{C3380CC4-5D6E-409C-BE32-E72D297353CC}">
                <c16:uniqueId val="{00000003-B340-4DB1-98A8-8567A79EBB94}"/>
              </c:ext>
            </c:extLst>
          </c:dPt>
          <c:dPt>
            <c:idx val="2"/>
            <c:bubble3D val="0"/>
            <c:spPr>
              <a:solidFill>
                <a:schemeClr val="accent4">
                  <a:lumMod val="75000"/>
                </a:schemeClr>
              </a:solidFill>
            </c:spPr>
            <c:extLst>
              <c:ext xmlns:c16="http://schemas.microsoft.com/office/drawing/2014/chart" uri="{C3380CC4-5D6E-409C-BE32-E72D297353CC}">
                <c16:uniqueId val="{00000005-B340-4DB1-98A8-8567A79EBB94}"/>
              </c:ext>
            </c:extLst>
          </c:dPt>
          <c:dPt>
            <c:idx val="3"/>
            <c:bubble3D val="0"/>
            <c:spPr>
              <a:solidFill>
                <a:srgbClr val="0070C0"/>
              </a:solidFill>
            </c:spPr>
            <c:extLst>
              <c:ext xmlns:c16="http://schemas.microsoft.com/office/drawing/2014/chart" uri="{C3380CC4-5D6E-409C-BE32-E72D297353CC}">
                <c16:uniqueId val="{00000007-B340-4DB1-98A8-8567A79EBB94}"/>
              </c:ext>
            </c:extLst>
          </c:dPt>
          <c:dPt>
            <c:idx val="4"/>
            <c:bubble3D val="0"/>
            <c:spPr>
              <a:solidFill>
                <a:srgbClr val="00B050"/>
              </a:solidFill>
            </c:spPr>
            <c:extLst>
              <c:ext xmlns:c16="http://schemas.microsoft.com/office/drawing/2014/chart" uri="{C3380CC4-5D6E-409C-BE32-E72D297353CC}">
                <c16:uniqueId val="{00000009-B340-4DB1-98A8-8567A79EBB94}"/>
              </c:ext>
            </c:extLst>
          </c:dPt>
          <c:dLbls>
            <c:spPr>
              <a:noFill/>
              <a:ln w="25400">
                <a:noFill/>
              </a:ln>
            </c:spPr>
            <c:txPr>
              <a:bodyPr wrap="square" lIns="38100" tIns="19050" rIns="38100" bIns="19050" anchor="ctr">
                <a:spAutoFit/>
              </a:bodyPr>
              <a:lstStyle/>
              <a:p>
                <a:pPr>
                  <a:defRPr sz="1000" b="0" i="0" u="none" strike="noStrike" baseline="0">
                    <a:solidFill>
                      <a:srgbClr val="000000"/>
                    </a:solidFill>
                    <a:latin typeface="Calibri"/>
                    <a:ea typeface="Calibri"/>
                    <a:cs typeface="Calibri"/>
                  </a:defRPr>
                </a:pPr>
                <a:endParaRPr lang="fr-FR"/>
              </a:p>
            </c:txPr>
            <c:showLegendKey val="0"/>
            <c:showVal val="0"/>
            <c:showCatName val="0"/>
            <c:showSerName val="0"/>
            <c:showPercent val="1"/>
            <c:showBubbleSize val="0"/>
            <c:showLeaderLines val="1"/>
            <c:extLst>
              <c:ext xmlns:c15="http://schemas.microsoft.com/office/drawing/2012/chart" uri="{CE6537A1-D6FC-4f65-9D91-7224C49458BB}"/>
            </c:extLst>
          </c:dLbls>
          <c:cat>
            <c:strRef>
              <c:f>'Requirement Status'!$C$3:$G$3</c:f>
              <c:strCache>
                <c:ptCount val="5"/>
                <c:pt idx="0">
                  <c:v>Init</c:v>
                </c:pt>
                <c:pt idx="1">
                  <c:v>To be clarified or improved</c:v>
                </c:pt>
                <c:pt idx="2">
                  <c:v>In Review (by Design Team)</c:v>
                </c:pt>
                <c:pt idx="3">
                  <c:v>In Review by Test Team</c:v>
                </c:pt>
                <c:pt idx="4">
                  <c:v>Approved</c:v>
                </c:pt>
              </c:strCache>
            </c:strRef>
          </c:cat>
          <c:val>
            <c:numRef>
              <c:f>'Requirement Status'!$C$4:$G$4</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A-B340-4DB1-98A8-8567A79EBB94}"/>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0.64313841917301318"/>
          <c:y val="0.12394595120054437"/>
          <c:w val="0.34030592487414479"/>
          <c:h val="0.53056945659570331"/>
        </c:manualLayout>
      </c:layout>
      <c:overlay val="0"/>
      <c:txPr>
        <a:bodyPr/>
        <a:lstStyle/>
        <a:p>
          <a:pPr>
            <a:defRPr sz="500" b="0" i="0" u="none" strike="noStrike" baseline="0">
              <a:solidFill>
                <a:srgbClr val="000000"/>
              </a:solidFill>
              <a:latin typeface="Calibri"/>
              <a:ea typeface="Calibri"/>
              <a:cs typeface="Calibri"/>
            </a:defRPr>
          </a:pPr>
          <a:endParaRPr lang="fr-FR"/>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fr-FR"/>
    </a:p>
  </c:tx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4.xml.rels><?xml version="1.0" encoding="UTF-8" standalone="yes"?>
<Relationships xmlns="http://schemas.openxmlformats.org/package/2006/relationships"><Relationship Id="rId1" Type="http://schemas.openxmlformats.org/officeDocument/2006/relationships/chart" Target="../charts/chart6.xml"/></Relationships>
</file>

<file path=xl/drawings/_rels/vmlDrawing3.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editAs="oneCell">
    <xdr:from>
      <xdr:col>0</xdr:col>
      <xdr:colOff>9525</xdr:colOff>
      <xdr:row>0</xdr:row>
      <xdr:rowOff>9525</xdr:rowOff>
    </xdr:from>
    <xdr:to>
      <xdr:col>7</xdr:col>
      <xdr:colOff>19050</xdr:colOff>
      <xdr:row>2</xdr:row>
      <xdr:rowOff>161925</xdr:rowOff>
    </xdr:to>
    <xdr:pic>
      <xdr:nvPicPr>
        <xdr:cNvPr id="5" name="Image 3">
          <a:extLst>
            <a:ext uri="{FF2B5EF4-FFF2-40B4-BE49-F238E27FC236}">
              <a16:creationId xmlns:a16="http://schemas.microsoft.com/office/drawing/2014/main" id="{00000000-0008-0000-0000-000005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525" y="9525"/>
          <a:ext cx="1476375" cy="5143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7</xdr:col>
      <xdr:colOff>123825</xdr:colOff>
      <xdr:row>2</xdr:row>
      <xdr:rowOff>142875</xdr:rowOff>
    </xdr:to>
    <xdr:pic>
      <xdr:nvPicPr>
        <xdr:cNvPr id="16195" name="Picture 1">
          <a:extLst>
            <a:ext uri="{FF2B5EF4-FFF2-40B4-BE49-F238E27FC236}">
              <a16:creationId xmlns:a16="http://schemas.microsoft.com/office/drawing/2014/main" id="{00000000-0008-0000-0100-0000433F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590675" cy="504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30</xdr:col>
      <xdr:colOff>28575</xdr:colOff>
      <xdr:row>0</xdr:row>
      <xdr:rowOff>0</xdr:rowOff>
    </xdr:from>
    <xdr:to>
      <xdr:col>32</xdr:col>
      <xdr:colOff>171450</xdr:colOff>
      <xdr:row>2</xdr:row>
      <xdr:rowOff>133350</xdr:rowOff>
    </xdr:to>
    <xdr:pic>
      <xdr:nvPicPr>
        <xdr:cNvPr id="16196" name="Picture 2">
          <a:extLst>
            <a:ext uri="{FF2B5EF4-FFF2-40B4-BE49-F238E27FC236}">
              <a16:creationId xmlns:a16="http://schemas.microsoft.com/office/drawing/2014/main" id="{00000000-0008-0000-0100-0000443F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6315075" y="0"/>
          <a:ext cx="561975" cy="495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161925</xdr:colOff>
          <xdr:row>1</xdr:row>
          <xdr:rowOff>9525</xdr:rowOff>
        </xdr:from>
        <xdr:to>
          <xdr:col>4</xdr:col>
          <xdr:colOff>676275</xdr:colOff>
          <xdr:row>1</xdr:row>
          <xdr:rowOff>361950</xdr:rowOff>
        </xdr:to>
        <xdr:sp macro="" textlink="">
          <xdr:nvSpPr>
            <xdr:cNvPr id="20481" name="UpdateStatisticsButton" hidden="1">
              <a:extLst>
                <a:ext uri="{63B3BB69-23CF-44E3-9099-C40C66FF867C}">
                  <a14:compatExt spid="_x0000_s20481"/>
                </a:ext>
                <a:ext uri="{FF2B5EF4-FFF2-40B4-BE49-F238E27FC236}">
                  <a16:creationId xmlns:a16="http://schemas.microsoft.com/office/drawing/2014/main" id="{00000000-0008-0000-03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180975</xdr:colOff>
          <xdr:row>1</xdr:row>
          <xdr:rowOff>9525</xdr:rowOff>
        </xdr:from>
        <xdr:to>
          <xdr:col>6</xdr:col>
          <xdr:colOff>800100</xdr:colOff>
          <xdr:row>1</xdr:row>
          <xdr:rowOff>361950</xdr:rowOff>
        </xdr:to>
        <xdr:sp macro="" textlink="">
          <xdr:nvSpPr>
            <xdr:cNvPr id="20482" name="ImportSRM" hidden="1">
              <a:extLst>
                <a:ext uri="{63B3BB69-23CF-44E3-9099-C40C66FF867C}">
                  <a14:compatExt spid="_x0000_s20482"/>
                </a:ext>
                <a:ext uri="{FF2B5EF4-FFF2-40B4-BE49-F238E27FC236}">
                  <a16:creationId xmlns:a16="http://schemas.microsoft.com/office/drawing/2014/main" id="{00000000-0008-0000-0300-00000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xdr:row>
          <xdr:rowOff>0</xdr:rowOff>
        </xdr:from>
        <xdr:to>
          <xdr:col>9</xdr:col>
          <xdr:colOff>66675</xdr:colOff>
          <xdr:row>1</xdr:row>
          <xdr:rowOff>342900</xdr:rowOff>
        </xdr:to>
        <xdr:sp macro="" textlink="">
          <xdr:nvSpPr>
            <xdr:cNvPr id="20483" name="Button 3" hidden="1">
              <a:extLst>
                <a:ext uri="{63B3BB69-23CF-44E3-9099-C40C66FF867C}">
                  <a14:compatExt spid="_x0000_s20483"/>
                </a:ext>
                <a:ext uri="{FF2B5EF4-FFF2-40B4-BE49-F238E27FC236}">
                  <a16:creationId xmlns:a16="http://schemas.microsoft.com/office/drawing/2014/main" id="{00000000-0008-0000-0300-000003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100" b="0" i="0" u="none" strike="noStrike" baseline="0">
                  <a:solidFill>
                    <a:srgbClr val="000000"/>
                  </a:solidFill>
                  <a:latin typeface="Arial"/>
                  <a:cs typeface="Arial"/>
                </a:rPr>
                <a:t>Generate Incomplete Req List</a:t>
              </a:r>
            </a:p>
          </xdr:txBody>
        </xdr:sp>
        <xdr:clientData fPrintsWithSheet="0"/>
      </xdr:twoCellAnchor>
    </mc:Choice>
    <mc:Fallback/>
  </mc:AlternateContent>
  <xdr:twoCellAnchor>
    <xdr:from>
      <xdr:col>3</xdr:col>
      <xdr:colOff>161925</xdr:colOff>
      <xdr:row>39</xdr:row>
      <xdr:rowOff>114300</xdr:rowOff>
    </xdr:from>
    <xdr:to>
      <xdr:col>10</xdr:col>
      <xdr:colOff>85725</xdr:colOff>
      <xdr:row>54</xdr:row>
      <xdr:rowOff>85725</xdr:rowOff>
    </xdr:to>
    <xdr:graphicFrame macro="">
      <xdr:nvGraphicFramePr>
        <xdr:cNvPr id="1243607" name="Chart 1">
          <a:extLst>
            <a:ext uri="{FF2B5EF4-FFF2-40B4-BE49-F238E27FC236}">
              <a16:creationId xmlns:a16="http://schemas.microsoft.com/office/drawing/2014/main" id="{00000000-0008-0000-0300-0000D7F912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142875</xdr:colOff>
      <xdr:row>27</xdr:row>
      <xdr:rowOff>57150</xdr:rowOff>
    </xdr:from>
    <xdr:to>
      <xdr:col>9</xdr:col>
      <xdr:colOff>752475</xdr:colOff>
      <xdr:row>36</xdr:row>
      <xdr:rowOff>152400</xdr:rowOff>
    </xdr:to>
    <xdr:graphicFrame macro="">
      <xdr:nvGraphicFramePr>
        <xdr:cNvPr id="1243608" name="Chart 7">
          <a:extLst>
            <a:ext uri="{FF2B5EF4-FFF2-40B4-BE49-F238E27FC236}">
              <a16:creationId xmlns:a16="http://schemas.microsoft.com/office/drawing/2014/main" id="{00000000-0008-0000-0300-0000D8F912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133350</xdr:colOff>
      <xdr:row>11</xdr:row>
      <xdr:rowOff>123825</xdr:rowOff>
    </xdr:from>
    <xdr:to>
      <xdr:col>9</xdr:col>
      <xdr:colOff>762000</xdr:colOff>
      <xdr:row>23</xdr:row>
      <xdr:rowOff>114300</xdr:rowOff>
    </xdr:to>
    <xdr:graphicFrame macro="">
      <xdr:nvGraphicFramePr>
        <xdr:cNvPr id="1243609" name="Chart 8">
          <a:extLst>
            <a:ext uri="{FF2B5EF4-FFF2-40B4-BE49-F238E27FC236}">
              <a16:creationId xmlns:a16="http://schemas.microsoft.com/office/drawing/2014/main" id="{00000000-0008-0000-0300-0000D9F912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28575</xdr:colOff>
      <xdr:row>27</xdr:row>
      <xdr:rowOff>133350</xdr:rowOff>
    </xdr:from>
    <xdr:to>
      <xdr:col>14</xdr:col>
      <xdr:colOff>180975</xdr:colOff>
      <xdr:row>37</xdr:row>
      <xdr:rowOff>38100</xdr:rowOff>
    </xdr:to>
    <xdr:graphicFrame macro="">
      <xdr:nvGraphicFramePr>
        <xdr:cNvPr id="1243610" name="Chart 7">
          <a:extLst>
            <a:ext uri="{FF2B5EF4-FFF2-40B4-BE49-F238E27FC236}">
              <a16:creationId xmlns:a16="http://schemas.microsoft.com/office/drawing/2014/main" id="{00000000-0008-0000-0300-0000DAF912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409575</xdr:colOff>
      <xdr:row>11</xdr:row>
      <xdr:rowOff>76200</xdr:rowOff>
    </xdr:from>
    <xdr:to>
      <xdr:col>15</xdr:col>
      <xdr:colOff>685800</xdr:colOff>
      <xdr:row>23</xdr:row>
      <xdr:rowOff>66675</xdr:rowOff>
    </xdr:to>
    <xdr:graphicFrame macro="">
      <xdr:nvGraphicFramePr>
        <xdr:cNvPr id="1243611" name="Chart 8">
          <a:extLst>
            <a:ext uri="{FF2B5EF4-FFF2-40B4-BE49-F238E27FC236}">
              <a16:creationId xmlns:a16="http://schemas.microsoft.com/office/drawing/2014/main" id="{00000000-0008-0000-0300-0000DBF912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editAs="oneCell">
        <xdr:from>
          <xdr:col>9</xdr:col>
          <xdr:colOff>228600</xdr:colOff>
          <xdr:row>1</xdr:row>
          <xdr:rowOff>9525</xdr:rowOff>
        </xdr:from>
        <xdr:to>
          <xdr:col>11</xdr:col>
          <xdr:colOff>438150</xdr:colOff>
          <xdr:row>1</xdr:row>
          <xdr:rowOff>342900</xdr:rowOff>
        </xdr:to>
        <xdr:sp macro="" textlink="">
          <xdr:nvSpPr>
            <xdr:cNvPr id="1243199" name="Button 1087" descr="Generate Requirements Test Status" hidden="1">
              <a:extLst>
                <a:ext uri="{63B3BB69-23CF-44E3-9099-C40C66FF867C}">
                  <a14:compatExt spid="_x0000_s1243199"/>
                </a:ext>
                <a:ext uri="{FF2B5EF4-FFF2-40B4-BE49-F238E27FC236}">
                  <a16:creationId xmlns:a16="http://schemas.microsoft.com/office/drawing/2014/main" id="{00000000-0008-0000-0300-00003FF81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Arial"/>
                  <a:cs typeface="Arial"/>
                </a:rPr>
                <a:t>Generate Requirements Test Status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8</xdr:col>
      <xdr:colOff>171450</xdr:colOff>
      <xdr:row>1</xdr:row>
      <xdr:rowOff>180975</xdr:rowOff>
    </xdr:from>
    <xdr:to>
      <xdr:col>12</xdr:col>
      <xdr:colOff>180975</xdr:colOff>
      <xdr:row>3</xdr:row>
      <xdr:rowOff>66675</xdr:rowOff>
    </xdr:to>
    <xdr:graphicFrame macro="">
      <xdr:nvGraphicFramePr>
        <xdr:cNvPr id="22852" name="Chart 1">
          <a:extLst>
            <a:ext uri="{FF2B5EF4-FFF2-40B4-BE49-F238E27FC236}">
              <a16:creationId xmlns:a16="http://schemas.microsoft.com/office/drawing/2014/main" id="{00000000-0008-0000-0400-00004459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ata/PROCESS/02_PROCESS%20SUPPORT/PSA%20SC2/P10_R12_SC2_PSA_DPE_PRM_V05%20-%20New%20button.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SyRM.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Data/MKS_Projects/RCM_RC7_Volvo_Y555/Project_Information/Coverage_Analysis/SRM_2010.08.09_01.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sers/Francine.Chambin.CORP/AppData/Roaming/Microsoft/AddIns/alvDocProp.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rontPage"/>
      <sheetName val="General info"/>
      <sheetName val="User Guide"/>
      <sheetName val="Statistics"/>
      <sheetName val="Requirement Status"/>
      <sheetName val="Req List Without Satisfies"/>
      <sheetName val="Req Test Status"/>
      <sheetName val="CSEE_APPT09_0282-7_ST_gen..."/>
      <sheetName val="01991_17_00312_RCD_Generi..."/>
      <sheetName val="TS3b_00948_10_01988_TS_CA..."/>
      <sheetName val="TS5_ST_RESEAU_CAN_HS_Couc..."/>
      <sheetName val="02017_17_02298-2.2_CD_las..."/>
      <sheetName val="CAN1_Mess_ACU_NAE2020"/>
      <sheetName val="DIAG2_01991_17_00432_v1_0..."/>
      <sheetName val="DIAG1_01991_17_00378_v1_0..."/>
      <sheetName val="DIAG3_01991_17_00379_v1_0..."/>
      <sheetName val="DIAG4_01991_17_00382_V1.0..."/>
      <sheetName val="DIAG5_01991_17_00383_V1.0..."/>
      <sheetName val="DIAG6_01991_17_00384_v1.0..."/>
      <sheetName val="DIAG7_01991_17_00385_v1_0..."/>
      <sheetName val="Mess Diag ACU NAE2020 gen..."/>
      <sheetName val="P10_R12_SC2_PSA_DPE_PRM_V05 - N"/>
    </sheetNames>
    <sheetDataSet>
      <sheetData sheetId="0">
        <row r="3">
          <cell r="AD3" t="str">
            <v>P10_R12_SC2_PSA_DPE_PRM_V05 - New button.xlsm</v>
          </cell>
        </row>
        <row r="7">
          <cell r="E7" t="str">
            <v>Product Requirements Matrix (PRM)</v>
          </cell>
        </row>
        <row r="24">
          <cell r="O24" t="str">
            <v>P10</v>
          </cell>
        </row>
      </sheetData>
      <sheetData sheetId="1"/>
      <sheetData sheetId="2"/>
      <sheetData sheetId="3">
        <row r="21">
          <cell r="C21">
            <v>220</v>
          </cell>
          <cell r="D21">
            <v>298</v>
          </cell>
          <cell r="E21">
            <v>262</v>
          </cell>
          <cell r="H21">
            <v>153</v>
          </cell>
          <cell r="I21">
            <v>60</v>
          </cell>
          <cell r="J21">
            <v>46</v>
          </cell>
          <cell r="K21">
            <v>153</v>
          </cell>
          <cell r="L21">
            <v>60</v>
          </cell>
          <cell r="M21">
            <v>46</v>
          </cell>
        </row>
        <row r="27">
          <cell r="B27">
            <v>298</v>
          </cell>
        </row>
        <row r="28">
          <cell r="B28">
            <v>0</v>
          </cell>
        </row>
        <row r="83">
          <cell r="B83" t="str">
            <v>All</v>
          </cell>
        </row>
      </sheetData>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rontPage"/>
      <sheetName val="General info"/>
      <sheetName val="User Guide"/>
      <sheetName val="Statistics"/>
      <sheetName val="Requirement Status"/>
      <sheetName val="Req List Without Satisfie(s-d)"/>
      <sheetName val="Req Test Status"/>
      <sheetName val="Feuil1"/>
      <sheetName val="Styles"/>
      <sheetName val="SyRM"/>
    </sheetNames>
    <sheetDataSet>
      <sheetData sheetId="0"/>
      <sheetData sheetId="1"/>
      <sheetData sheetId="2"/>
      <sheetData sheetId="3">
        <row r="7">
          <cell r="C7">
            <v>0</v>
          </cell>
          <cell r="E7">
            <v>0</v>
          </cell>
          <cell r="F7">
            <v>0</v>
          </cell>
          <cell r="I7">
            <v>0</v>
          </cell>
          <cell r="J7">
            <v>0</v>
          </cell>
          <cell r="K7">
            <v>0</v>
          </cell>
          <cell r="L7">
            <v>0</v>
          </cell>
          <cell r="M7">
            <v>0</v>
          </cell>
          <cell r="N7">
            <v>0</v>
          </cell>
        </row>
        <row r="13">
          <cell r="B13">
            <v>0</v>
          </cell>
        </row>
        <row r="14">
          <cell r="B14">
            <v>0</v>
          </cell>
        </row>
        <row r="69">
          <cell r="B69" t="str">
            <v>All</v>
          </cell>
        </row>
      </sheetData>
      <sheetData sheetId="4"/>
      <sheetData sheetId="5"/>
      <sheetData sheetId="6"/>
      <sheetData sheetId="7"/>
      <sheetData sheetId="8"/>
      <sheetData sheetId="9"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st Page"/>
      <sheetName val="Statistics"/>
      <sheetName val="Req Status"/>
      <sheetName val="PRO_Apply_System_Strategy"/>
      <sheetName val="PRO_Supply_Power_Component"/>
      <sheetName val="PRO_To_Manage_Reset"/>
      <sheetName val="PRO_Acquire_Kinematics_For_IMU"/>
      <sheetName val="PRO_Acquire_Kinematics_For_Rest"/>
      <sheetName val="PRO_Acquire_Occupant_State"/>
      <sheetName val="PRO_Calibrate_IMU"/>
      <sheetName val="PRO_Compute_System_Information"/>
      <sheetName val="PRO_ENS_Management"/>
      <sheetName val="PRO_Manage_Crash_Situation"/>
      <sheetName val="PRO_Manage_Int_Ext_Protocol"/>
      <sheetName val="PRO_Manage_Prog_Bootloader"/>
      <sheetName val="PRO_Protect_Fasten_Electronic"/>
      <sheetName val="PRO_Receive_Signals"/>
      <sheetName val="PRO_Transmit_IMU_Data"/>
      <sheetName val="PRO_Transmit_Signals"/>
      <sheetName val="PRO_Error_Handler"/>
      <sheetName val="PRO_Manage_CAN_Communication"/>
      <sheetName val="PRO_Check_Internal_Functions"/>
      <sheetName val="PRO_Car_Configuration"/>
      <sheetName val="PRO_Manage_Recording"/>
      <sheetName val="PRO_MCU"/>
      <sheetName val="PRO_OWS_Data_Management"/>
      <sheetName val="PRO_To_Drive_IL_Lamp_Output"/>
      <sheetName val="PRO_To_Manage_IL_Lamp"/>
      <sheetName val="PRO_RIL_Management"/>
      <sheetName val="PRO_Door_Slam_Manager"/>
      <sheetName val="PRO_Driver_Information_Manager"/>
      <sheetName val="PRO_ALIS_Y555"/>
      <sheetName val="PRO_DTC_Specification"/>
      <sheetName val="PRO_LISA2_RECS_Y555"/>
      <sheetName val="PRO_ALIS_1.X"/>
      <sheetName val="PRO_AROSA_2.7"/>
      <sheetName val="PRO_LISA2_RECS"/>
      <sheetName val="Styl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ersionInfo"/>
    </sheetNames>
    <definedNames>
      <definedName name="alvDocProperty"/>
    </definedNames>
    <sheetDataSet>
      <sheetData sheetId="0"/>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extLst>
          <a:ext uri="{53640926-AAD7-44D8-BBD7-CCE9431645EC}">
            <a14:shadowObscured xmlns:a14="http://schemas.microsoft.com/office/drawing/2010/main" val="1"/>
          </a:ext>
        </a:extLst>
      </a:spPr>
      <a:bodyPr vertOverflow="clip" wrap="square" lIns="18288" tIns="0" rIns="0" bIns="0" upright="1"/>
      <a:lstStyle/>
    </a:spDef>
    <a:ln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extLst>
          <a:ext uri="{53640926-AAD7-44D8-BBD7-CCE9431645EC}">
            <a14:shadowObscured xmlns:a14="http://schemas.microsoft.com/office/drawing/2010/main" val="1"/>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vmlDrawing" Target="../drawings/vmlDrawing3.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ontrol" Target="../activeX/activeX2.xml"/><Relationship Id="rId5" Type="http://schemas.openxmlformats.org/officeDocument/2006/relationships/image" Target="../media/image4.emf"/><Relationship Id="rId10" Type="http://schemas.openxmlformats.org/officeDocument/2006/relationships/comments" Target="../comments3.xml"/><Relationship Id="rId4" Type="http://schemas.openxmlformats.org/officeDocument/2006/relationships/control" Target="../activeX/activeX1.xml"/><Relationship Id="rId9"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9" tint="0.59999389629810485"/>
  </sheetPr>
  <dimension ref="A1:BH116"/>
  <sheetViews>
    <sheetView showGridLines="0" zoomScaleNormal="100" workbookViewId="0">
      <selection activeCell="F10" sqref="F10:K10"/>
    </sheetView>
  </sheetViews>
  <sheetFormatPr defaultColWidth="0" defaultRowHeight="14.25" zeroHeight="1" x14ac:dyDescent="0.2"/>
  <cols>
    <col min="1" max="33" width="2.75" style="16" customWidth="1"/>
    <col min="34" max="34" width="1.25" style="16" customWidth="1"/>
    <col min="35" max="60" width="3.125" style="16" hidden="1" customWidth="1"/>
    <col min="61" max="16384" width="0" style="16" hidden="1"/>
  </cols>
  <sheetData>
    <row r="1" spans="1:37" s="1" customFormat="1" x14ac:dyDescent="0.2">
      <c r="C1" s="2"/>
      <c r="D1" s="2"/>
      <c r="E1" s="2"/>
      <c r="F1" s="2"/>
      <c r="G1" s="3"/>
      <c r="H1" s="4"/>
      <c r="I1" s="4"/>
      <c r="J1" s="4"/>
      <c r="K1" s="4"/>
      <c r="L1" s="4"/>
      <c r="M1" s="4"/>
      <c r="N1" s="4"/>
      <c r="O1" s="4"/>
      <c r="P1" s="5"/>
      <c r="Q1" s="5"/>
      <c r="R1" s="5"/>
      <c r="S1" s="5"/>
      <c r="T1" s="5"/>
      <c r="U1" s="5"/>
      <c r="V1" s="5"/>
      <c r="W1" s="5"/>
      <c r="X1" s="5"/>
      <c r="Y1" s="5"/>
      <c r="Z1" s="5"/>
      <c r="AA1" s="5"/>
      <c r="AB1" s="5"/>
      <c r="AC1" s="5"/>
      <c r="AD1" s="5"/>
      <c r="AE1" s="5"/>
      <c r="AF1" s="5"/>
      <c r="AG1" s="5"/>
      <c r="AH1" s="5"/>
      <c r="AI1" s="5"/>
      <c r="AJ1" s="5"/>
      <c r="AK1" s="5"/>
    </row>
    <row r="2" spans="1:37" s="1" customFormat="1" x14ac:dyDescent="0.2">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row>
    <row r="3" spans="1:37" s="7" customFormat="1" x14ac:dyDescent="0.2">
      <c r="C3" s="8"/>
      <c r="D3" s="8"/>
      <c r="E3" s="8"/>
      <c r="F3" s="8"/>
      <c r="G3" s="8"/>
      <c r="H3" s="8"/>
      <c r="I3" s="8"/>
      <c r="J3" s="8"/>
      <c r="K3" s="8"/>
      <c r="L3" s="8"/>
      <c r="M3" s="8"/>
      <c r="N3" s="8"/>
      <c r="O3" s="8"/>
      <c r="P3" s="8"/>
      <c r="Q3" s="8"/>
      <c r="R3" s="8"/>
      <c r="S3" s="8"/>
      <c r="T3" s="8"/>
      <c r="U3" s="8"/>
      <c r="V3" s="8"/>
      <c r="W3" s="8"/>
      <c r="X3" s="8"/>
      <c r="Y3" s="8"/>
      <c r="Z3" s="8"/>
      <c r="AA3" s="8"/>
      <c r="AB3" s="8"/>
      <c r="AC3" s="8"/>
      <c r="AD3" s="58" t="str">
        <f ca="1">MID(CELL("filename"),FIND("[",CELL("filename"))+1,FIND("]",CELL("filename"))-FIND("[",CELL("filename"))-1)</f>
        <v>SRM.xlsm</v>
      </c>
      <c r="AE3" s="8"/>
      <c r="AF3" s="8"/>
      <c r="AG3" s="8"/>
      <c r="AH3" s="8"/>
      <c r="AI3" s="8"/>
      <c r="AJ3" s="8"/>
      <c r="AK3" s="8"/>
    </row>
    <row r="4" spans="1:37" s="7" customFormat="1" ht="11.1" customHeight="1" x14ac:dyDescent="0.2">
      <c r="A4" s="301" t="s">
        <v>1</v>
      </c>
      <c r="B4" s="302"/>
      <c r="C4" s="302"/>
      <c r="D4" s="302"/>
      <c r="E4" s="302"/>
      <c r="F4" s="302"/>
      <c r="G4" s="302"/>
      <c r="H4" s="302"/>
      <c r="I4" s="302"/>
      <c r="J4" s="302"/>
      <c r="K4" s="302"/>
      <c r="L4" s="302"/>
      <c r="M4" s="302"/>
      <c r="N4" s="302"/>
      <c r="O4" s="302"/>
      <c r="P4" s="302"/>
      <c r="Q4" s="302"/>
      <c r="R4" s="302"/>
      <c r="S4" s="302"/>
      <c r="T4" s="302"/>
      <c r="U4" s="302"/>
      <c r="V4" s="303"/>
      <c r="W4" s="310" t="s">
        <v>2</v>
      </c>
      <c r="X4" s="311"/>
      <c r="Y4" s="311"/>
      <c r="Z4" s="311"/>
      <c r="AA4" s="312"/>
      <c r="AB4" s="304" t="s">
        <v>20</v>
      </c>
      <c r="AC4" s="305"/>
      <c r="AD4" s="305"/>
      <c r="AE4" s="305"/>
      <c r="AF4" s="305"/>
      <c r="AG4" s="306"/>
      <c r="AH4" s="10"/>
      <c r="AI4" s="10"/>
      <c r="AJ4" s="10"/>
      <c r="AK4" s="8"/>
    </row>
    <row r="5" spans="1:37" s="12" customFormat="1" ht="12.75" customHeight="1" x14ac:dyDescent="0.2">
      <c r="A5" s="307" t="str">
        <f ca="1" xml:space="preserve"> [4]!alvDocProperty("MXAuthority")</f>
        <v>#NAME?</v>
      </c>
      <c r="B5" s="308"/>
      <c r="C5" s="308"/>
      <c r="D5" s="308"/>
      <c r="E5" s="308"/>
      <c r="F5" s="308"/>
      <c r="G5" s="308"/>
      <c r="H5" s="308"/>
      <c r="I5" s="308"/>
      <c r="J5" s="308"/>
      <c r="K5" s="308"/>
      <c r="L5" s="308"/>
      <c r="M5" s="308"/>
      <c r="N5" s="308"/>
      <c r="O5" s="308"/>
      <c r="P5" s="308"/>
      <c r="Q5" s="308"/>
      <c r="R5" s="308"/>
      <c r="S5" s="308"/>
      <c r="T5" s="308"/>
      <c r="U5" s="308"/>
      <c r="V5" s="309"/>
      <c r="W5" s="307" t="str">
        <f ca="1">[4]!alvDocProperty("MXCurrent.Localized")</f>
        <v>#NAME?</v>
      </c>
      <c r="X5" s="308"/>
      <c r="Y5" s="308"/>
      <c r="Z5" s="308"/>
      <c r="AA5" s="309"/>
      <c r="AB5" s="307" t="str">
        <f ca="1" xml:space="preserve"> [4]!alvDocProperty("MXActual_state_Released")</f>
        <v>#NAME?</v>
      </c>
      <c r="AC5" s="308"/>
      <c r="AD5" s="308"/>
      <c r="AE5" s="308"/>
      <c r="AF5" s="308"/>
      <c r="AG5" s="309"/>
      <c r="AH5" s="11"/>
      <c r="AI5" s="11"/>
      <c r="AJ5" s="11"/>
      <c r="AK5" s="11"/>
    </row>
    <row r="6" spans="1:37" s="45" customFormat="1" ht="11.1" customHeight="1" x14ac:dyDescent="0.2">
      <c r="A6" s="310" t="s">
        <v>3</v>
      </c>
      <c r="B6" s="311"/>
      <c r="C6" s="311"/>
      <c r="D6" s="312"/>
      <c r="E6" s="310" t="s">
        <v>4</v>
      </c>
      <c r="F6" s="311"/>
      <c r="G6" s="311"/>
      <c r="H6" s="311"/>
      <c r="I6" s="311"/>
      <c r="J6" s="311"/>
      <c r="K6" s="311"/>
      <c r="L6" s="311"/>
      <c r="M6" s="311"/>
      <c r="N6" s="311"/>
      <c r="O6" s="311"/>
      <c r="P6" s="311"/>
      <c r="Q6" s="311"/>
      <c r="R6" s="311"/>
      <c r="S6" s="311"/>
      <c r="T6" s="311"/>
      <c r="U6" s="311"/>
      <c r="V6" s="312"/>
      <c r="W6" s="301" t="s">
        <v>15</v>
      </c>
      <c r="X6" s="302"/>
      <c r="Y6" s="302"/>
      <c r="Z6" s="302"/>
      <c r="AA6" s="303"/>
      <c r="AB6" s="310" t="s">
        <v>0</v>
      </c>
      <c r="AC6" s="311"/>
      <c r="AD6" s="312"/>
      <c r="AE6" s="310" t="s">
        <v>5</v>
      </c>
      <c r="AF6" s="311"/>
      <c r="AG6" s="312"/>
      <c r="AH6" s="44"/>
      <c r="AI6" s="44"/>
      <c r="AJ6" s="44"/>
      <c r="AK6" s="44"/>
    </row>
    <row r="7" spans="1:37" s="14" customFormat="1" ht="12.75" customHeight="1" x14ac:dyDescent="0.2">
      <c r="A7" s="307" t="str">
        <f ca="1" xml:space="preserve"> [4]!alvDocProperty("MXName")</f>
        <v>#NAME?</v>
      </c>
      <c r="B7" s="308"/>
      <c r="C7" s="308"/>
      <c r="D7" s="309"/>
      <c r="E7" s="307" t="s">
        <v>123</v>
      </c>
      <c r="F7" s="308"/>
      <c r="G7" s="308"/>
      <c r="H7" s="308"/>
      <c r="I7" s="308"/>
      <c r="J7" s="308"/>
      <c r="K7" s="308"/>
      <c r="L7" s="308"/>
      <c r="M7" s="308"/>
      <c r="N7" s="308"/>
      <c r="O7" s="308"/>
      <c r="P7" s="308"/>
      <c r="Q7" s="308"/>
      <c r="R7" s="308"/>
      <c r="S7" s="308"/>
      <c r="T7" s="308"/>
      <c r="U7" s="308"/>
      <c r="V7" s="309"/>
      <c r="W7" s="313" t="s">
        <v>152</v>
      </c>
      <c r="X7" s="308"/>
      <c r="Y7" s="308"/>
      <c r="Z7" s="308"/>
      <c r="AA7" s="309"/>
      <c r="AB7" s="307" t="str">
        <f ca="1" xml:space="preserve"> [4]!alvDocProperty("MXRevision")</f>
        <v>#NAME?</v>
      </c>
      <c r="AC7" s="308"/>
      <c r="AD7" s="309"/>
      <c r="AE7" s="307" t="str">
        <f ca="1" xml:space="preserve"> [4]!alvDocProperty("MXVersion")</f>
        <v>#NAME?</v>
      </c>
      <c r="AF7" s="308"/>
      <c r="AG7" s="309"/>
      <c r="AH7" s="13"/>
      <c r="AI7" s="13"/>
      <c r="AJ7" s="13"/>
      <c r="AK7" s="13"/>
    </row>
    <row r="8" spans="1:37" s="12" customFormat="1" ht="12.75" x14ac:dyDescent="0.2">
      <c r="A8" s="46"/>
      <c r="B8" s="46"/>
      <c r="C8" s="46"/>
      <c r="D8" s="46"/>
      <c r="E8" s="46"/>
      <c r="F8" s="46"/>
      <c r="G8" s="46"/>
      <c r="H8" s="46"/>
      <c r="I8" s="46"/>
      <c r="J8" s="46"/>
      <c r="K8" s="46"/>
      <c r="L8" s="46"/>
      <c r="M8" s="46"/>
      <c r="N8" s="46"/>
      <c r="O8" s="46"/>
      <c r="P8" s="46"/>
      <c r="Q8" s="46"/>
      <c r="R8" s="46"/>
      <c r="S8" s="46"/>
      <c r="T8" s="46"/>
      <c r="U8" s="46"/>
      <c r="V8" s="46"/>
      <c r="W8" s="47"/>
      <c r="X8" s="47"/>
      <c r="Y8" s="47"/>
      <c r="Z8" s="47"/>
      <c r="AA8" s="47"/>
      <c r="AB8" s="46"/>
      <c r="AC8" s="46"/>
      <c r="AD8" s="46"/>
      <c r="AE8" s="46"/>
      <c r="AF8" s="46"/>
      <c r="AG8" s="46"/>
      <c r="AH8" s="11"/>
      <c r="AI8" s="11"/>
      <c r="AJ8" s="11"/>
      <c r="AK8" s="11"/>
    </row>
    <row r="9" spans="1:37" ht="11.1" customHeight="1" x14ac:dyDescent="0.2">
      <c r="A9" s="314" t="s">
        <v>21</v>
      </c>
      <c r="B9" s="315"/>
      <c r="C9" s="315"/>
      <c r="D9" s="315"/>
      <c r="E9" s="315"/>
      <c r="F9" s="315"/>
      <c r="G9" s="315"/>
      <c r="H9" s="315"/>
      <c r="I9" s="315"/>
      <c r="J9" s="315"/>
      <c r="K9" s="316"/>
      <c r="L9" s="314" t="s">
        <v>22</v>
      </c>
      <c r="M9" s="315"/>
      <c r="N9" s="315"/>
      <c r="O9" s="315"/>
      <c r="P9" s="315"/>
      <c r="Q9" s="315"/>
      <c r="R9" s="315"/>
      <c r="S9" s="315"/>
      <c r="T9" s="315"/>
      <c r="U9" s="315"/>
      <c r="V9" s="316"/>
      <c r="W9" s="314" t="s">
        <v>23</v>
      </c>
      <c r="X9" s="315"/>
      <c r="Y9" s="315"/>
      <c r="Z9" s="315"/>
      <c r="AA9" s="315"/>
      <c r="AB9" s="315"/>
      <c r="AC9" s="315"/>
      <c r="AD9" s="315"/>
      <c r="AE9" s="315"/>
      <c r="AF9" s="315"/>
      <c r="AG9" s="316"/>
      <c r="AH9" s="15"/>
      <c r="AI9" s="15"/>
    </row>
    <row r="10" spans="1:37" s="49" customFormat="1" ht="28.5" customHeight="1" x14ac:dyDescent="0.2">
      <c r="A10" s="320" t="s">
        <v>36</v>
      </c>
      <c r="B10" s="321"/>
      <c r="C10" s="321"/>
      <c r="D10" s="321"/>
      <c r="E10" s="321"/>
      <c r="F10" s="318" t="str">
        <f ca="1" xml:space="preserve"> [4]!alvDocProperty("MXCheckin User")</f>
        <v xml:space="preserve"> Name</v>
      </c>
      <c r="G10" s="318"/>
      <c r="H10" s="318"/>
      <c r="I10" s="318"/>
      <c r="J10" s="318"/>
      <c r="K10" s="319"/>
      <c r="L10" s="341" t="s">
        <v>41</v>
      </c>
      <c r="M10" s="328"/>
      <c r="N10" s="328"/>
      <c r="O10" s="328"/>
      <c r="P10" s="328"/>
      <c r="Q10" s="328"/>
      <c r="R10" s="328"/>
      <c r="S10" s="328"/>
      <c r="T10" s="328"/>
      <c r="U10" s="328"/>
      <c r="V10" s="329"/>
      <c r="W10" s="327" t="s">
        <v>41</v>
      </c>
      <c r="X10" s="328"/>
      <c r="Y10" s="328"/>
      <c r="Z10" s="328"/>
      <c r="AA10" s="328"/>
      <c r="AB10" s="328"/>
      <c r="AC10" s="328"/>
      <c r="AD10" s="328"/>
      <c r="AE10" s="328"/>
      <c r="AF10" s="328"/>
      <c r="AG10" s="329"/>
      <c r="AH10" s="48"/>
      <c r="AI10" s="48"/>
    </row>
    <row r="11" spans="1:37" s="55" customFormat="1" ht="4.5" customHeight="1" x14ac:dyDescent="0.2">
      <c r="A11" s="50"/>
      <c r="B11" s="51"/>
      <c r="C11" s="51"/>
      <c r="D11" s="51"/>
      <c r="E11" s="51"/>
      <c r="F11" s="51"/>
      <c r="G11" s="51"/>
      <c r="H11" s="51"/>
      <c r="I11" s="51"/>
      <c r="J11" s="51"/>
      <c r="K11" s="51"/>
      <c r="L11" s="52"/>
      <c r="M11" s="51"/>
      <c r="N11" s="51"/>
      <c r="O11" s="51"/>
      <c r="P11" s="51"/>
      <c r="Q11" s="51"/>
      <c r="R11" s="51"/>
      <c r="S11" s="51"/>
      <c r="T11" s="51"/>
      <c r="U11" s="51"/>
      <c r="V11" s="51"/>
      <c r="W11" s="52"/>
      <c r="X11" s="51"/>
      <c r="Y11" s="51"/>
      <c r="Z11" s="51"/>
      <c r="AA11" s="51"/>
      <c r="AB11" s="51"/>
      <c r="AC11" s="51"/>
      <c r="AD11" s="51"/>
      <c r="AE11" s="51"/>
      <c r="AF11" s="51"/>
      <c r="AG11" s="53"/>
      <c r="AH11" s="54"/>
      <c r="AI11" s="54"/>
    </row>
    <row r="12" spans="1:37" s="56" customFormat="1" ht="11.1" customHeight="1" x14ac:dyDescent="0.2">
      <c r="A12" s="338" t="s">
        <v>24</v>
      </c>
      <c r="B12" s="339"/>
      <c r="C12" s="339"/>
      <c r="D12" s="339"/>
      <c r="E12" s="339"/>
      <c r="F12" s="339"/>
      <c r="G12" s="339"/>
      <c r="H12" s="339"/>
      <c r="I12" s="339"/>
      <c r="J12" s="339"/>
      <c r="K12" s="339"/>
      <c r="L12" s="339"/>
      <c r="M12" s="339"/>
      <c r="N12" s="339"/>
      <c r="O12" s="339"/>
      <c r="P12" s="339"/>
      <c r="Q12" s="339"/>
      <c r="R12" s="339"/>
      <c r="S12" s="339"/>
      <c r="T12" s="339"/>
      <c r="U12" s="339"/>
      <c r="V12" s="339"/>
      <c r="W12" s="339"/>
      <c r="X12" s="339"/>
      <c r="Y12" s="339"/>
      <c r="Z12" s="339"/>
      <c r="AA12" s="339"/>
      <c r="AB12" s="339"/>
      <c r="AC12" s="339"/>
      <c r="AD12" s="339"/>
      <c r="AE12" s="339"/>
      <c r="AF12" s="339"/>
      <c r="AG12" s="340"/>
      <c r="AH12" s="15"/>
      <c r="AI12" s="15"/>
      <c r="AJ12" s="15"/>
      <c r="AK12" s="15"/>
    </row>
    <row r="13" spans="1:37" s="49" customFormat="1" ht="28.5" customHeight="1" x14ac:dyDescent="0.2">
      <c r="A13" s="324" t="s">
        <v>25</v>
      </c>
      <c r="B13" s="325"/>
      <c r="C13" s="325"/>
      <c r="D13" s="325"/>
      <c r="E13" s="325"/>
      <c r="F13" s="325"/>
      <c r="G13" s="325"/>
      <c r="H13" s="325"/>
      <c r="I13" s="325"/>
      <c r="J13" s="325"/>
      <c r="K13" s="326"/>
      <c r="L13" s="327" t="s">
        <v>26</v>
      </c>
      <c r="M13" s="328"/>
      <c r="N13" s="328"/>
      <c r="O13" s="328"/>
      <c r="P13" s="328"/>
      <c r="Q13" s="328"/>
      <c r="R13" s="328"/>
      <c r="S13" s="328"/>
      <c r="T13" s="328"/>
      <c r="U13" s="328"/>
      <c r="V13" s="329"/>
      <c r="W13" s="324" t="s">
        <v>27</v>
      </c>
      <c r="X13" s="325"/>
      <c r="Y13" s="325"/>
      <c r="Z13" s="325"/>
      <c r="AA13" s="325"/>
      <c r="AB13" s="325"/>
      <c r="AC13" s="325"/>
      <c r="AD13" s="325"/>
      <c r="AE13" s="325"/>
      <c r="AF13" s="325"/>
      <c r="AG13" s="326"/>
      <c r="AH13" s="48"/>
      <c r="AI13" s="48"/>
      <c r="AJ13" s="48"/>
      <c r="AK13" s="48"/>
    </row>
    <row r="14" spans="1:37" s="55" customFormat="1" ht="4.5" customHeight="1" x14ac:dyDescent="0.2">
      <c r="A14" s="52"/>
      <c r="B14" s="51"/>
      <c r="C14" s="51"/>
      <c r="D14" s="51"/>
      <c r="E14" s="51"/>
      <c r="F14" s="51"/>
      <c r="G14" s="51"/>
      <c r="H14" s="51"/>
      <c r="I14" s="51"/>
      <c r="J14" s="51"/>
      <c r="K14" s="51"/>
      <c r="L14" s="52"/>
      <c r="M14" s="51"/>
      <c r="N14" s="51"/>
      <c r="O14" s="51"/>
      <c r="P14" s="51"/>
      <c r="Q14" s="51"/>
      <c r="R14" s="51"/>
      <c r="S14" s="51"/>
      <c r="T14" s="51"/>
      <c r="U14" s="51"/>
      <c r="V14" s="51"/>
      <c r="W14" s="52"/>
      <c r="X14" s="51"/>
      <c r="Y14" s="51"/>
      <c r="Z14" s="51"/>
      <c r="AA14" s="51"/>
      <c r="AB14" s="51"/>
      <c r="AC14" s="51"/>
      <c r="AD14" s="51"/>
      <c r="AE14" s="51"/>
      <c r="AF14" s="51"/>
      <c r="AG14" s="51"/>
      <c r="AH14" s="54"/>
      <c r="AI14" s="54"/>
    </row>
    <row r="15" spans="1:37" s="18" customFormat="1" ht="99.75" customHeight="1" x14ac:dyDescent="0.2">
      <c r="A15" s="322" t="s">
        <v>28</v>
      </c>
      <c r="B15" s="322"/>
      <c r="C15" s="322"/>
      <c r="D15" s="322"/>
      <c r="E15" s="335" t="s">
        <v>149</v>
      </c>
      <c r="F15" s="336"/>
      <c r="G15" s="336"/>
      <c r="H15" s="336"/>
      <c r="I15" s="336"/>
      <c r="J15" s="336"/>
      <c r="K15" s="336"/>
      <c r="L15" s="336"/>
      <c r="M15" s="336"/>
      <c r="N15" s="336"/>
      <c r="O15" s="336"/>
      <c r="P15" s="336"/>
      <c r="Q15" s="336"/>
      <c r="R15" s="336"/>
      <c r="S15" s="336"/>
      <c r="T15" s="336"/>
      <c r="U15" s="336"/>
      <c r="V15" s="336"/>
      <c r="W15" s="336"/>
      <c r="X15" s="336"/>
      <c r="Y15" s="336"/>
      <c r="Z15" s="336"/>
      <c r="AA15" s="336"/>
      <c r="AB15" s="336"/>
      <c r="AC15" s="336"/>
      <c r="AD15" s="336"/>
      <c r="AE15" s="336"/>
      <c r="AF15" s="336"/>
      <c r="AG15" s="337"/>
      <c r="AH15" s="17"/>
      <c r="AI15" s="17"/>
      <c r="AJ15" s="17"/>
      <c r="AK15" s="17"/>
    </row>
    <row r="16" spans="1:37" s="18" customFormat="1" ht="37.5" customHeight="1" x14ac:dyDescent="0.2">
      <c r="A16" s="323"/>
      <c r="B16" s="323"/>
      <c r="C16" s="323"/>
      <c r="D16" s="323"/>
      <c r="E16" s="330"/>
      <c r="F16" s="331"/>
      <c r="G16" s="331"/>
      <c r="H16" s="331"/>
      <c r="I16" s="331"/>
      <c r="J16" s="331"/>
      <c r="K16" s="331"/>
      <c r="L16" s="331"/>
      <c r="M16" s="331"/>
      <c r="N16" s="331"/>
      <c r="O16" s="331"/>
      <c r="P16" s="331"/>
      <c r="Q16" s="331"/>
      <c r="R16" s="331"/>
      <c r="S16" s="331"/>
      <c r="T16" s="331"/>
      <c r="U16" s="331"/>
      <c r="V16" s="331"/>
      <c r="W16" s="331"/>
      <c r="X16" s="331"/>
      <c r="Y16" s="331"/>
      <c r="Z16" s="331"/>
      <c r="AA16" s="331"/>
      <c r="AB16" s="331"/>
      <c r="AC16" s="331"/>
      <c r="AD16" s="331"/>
      <c r="AE16" s="331"/>
      <c r="AF16" s="331"/>
      <c r="AG16" s="332"/>
      <c r="AH16" s="17"/>
      <c r="AI16" s="17"/>
      <c r="AJ16" s="17"/>
      <c r="AK16" s="17"/>
    </row>
    <row r="17" spans="1:37" s="18" customFormat="1" ht="12.75" x14ac:dyDescent="0.2">
      <c r="C17" s="17"/>
      <c r="D17" s="17"/>
      <c r="E17" s="17"/>
      <c r="F17" s="17"/>
      <c r="G17" s="17"/>
      <c r="H17" s="17"/>
      <c r="I17" s="17"/>
      <c r="J17" s="17"/>
      <c r="K17" s="17"/>
      <c r="L17" s="17"/>
      <c r="M17" s="17"/>
      <c r="N17" s="17"/>
      <c r="O17" s="17"/>
      <c r="P17" s="17"/>
      <c r="Q17" s="17"/>
      <c r="R17" s="17"/>
      <c r="S17" s="17"/>
      <c r="T17" s="17"/>
      <c r="U17" s="17"/>
      <c r="V17" s="17"/>
      <c r="W17" s="17"/>
      <c r="X17" s="17"/>
      <c r="Y17" s="17"/>
      <c r="Z17" s="17"/>
      <c r="AA17" s="17"/>
      <c r="AB17" s="17"/>
      <c r="AC17" s="17"/>
      <c r="AD17" s="17"/>
      <c r="AE17" s="17"/>
      <c r="AF17" s="17"/>
      <c r="AG17" s="17"/>
      <c r="AH17" s="17"/>
      <c r="AI17" s="17"/>
      <c r="AJ17" s="17"/>
      <c r="AK17" s="17"/>
    </row>
    <row r="18" spans="1:37" s="18" customFormat="1" ht="12.75" x14ac:dyDescent="0.2">
      <c r="C18" s="17"/>
      <c r="D18" s="17"/>
      <c r="E18" s="17"/>
      <c r="F18" s="17"/>
      <c r="G18" s="17"/>
      <c r="H18" s="17"/>
      <c r="I18" s="17"/>
      <c r="J18" s="17"/>
      <c r="K18" s="17"/>
      <c r="L18" s="17"/>
      <c r="M18" s="17"/>
      <c r="N18" s="17"/>
      <c r="O18" s="17"/>
      <c r="P18" s="17"/>
      <c r="Q18" s="17"/>
      <c r="R18" s="17"/>
      <c r="S18" s="17"/>
      <c r="T18" s="17"/>
      <c r="U18" s="17"/>
      <c r="V18" s="17"/>
      <c r="W18" s="17"/>
      <c r="X18" s="17"/>
      <c r="Y18" s="17"/>
      <c r="Z18" s="17"/>
      <c r="AA18" s="17"/>
      <c r="AB18" s="17"/>
      <c r="AC18" s="17"/>
      <c r="AD18" s="17"/>
      <c r="AE18" s="17"/>
      <c r="AF18" s="17"/>
      <c r="AG18" s="17"/>
      <c r="AH18" s="17"/>
      <c r="AI18" s="17"/>
      <c r="AJ18" s="17"/>
      <c r="AK18" s="17"/>
    </row>
    <row r="19" spans="1:37" s="18" customFormat="1" ht="12.75" x14ac:dyDescent="0.2">
      <c r="C19" s="17"/>
      <c r="D19" s="17"/>
      <c r="E19" s="17"/>
      <c r="F19" s="17"/>
      <c r="G19" s="17"/>
      <c r="H19" s="17"/>
      <c r="I19" s="17"/>
      <c r="J19" s="17"/>
      <c r="K19" s="17"/>
      <c r="L19" s="17"/>
      <c r="M19" s="17"/>
      <c r="N19" s="17"/>
      <c r="O19" s="17"/>
      <c r="P19" s="17"/>
      <c r="Q19" s="17"/>
      <c r="R19" s="17"/>
      <c r="S19" s="17"/>
      <c r="T19" s="17"/>
      <c r="U19" s="17"/>
      <c r="V19" s="17"/>
      <c r="W19" s="17"/>
      <c r="X19" s="17"/>
      <c r="Y19" s="17"/>
      <c r="Z19" s="17"/>
      <c r="AA19" s="17"/>
      <c r="AB19" s="17"/>
      <c r="AC19" s="17"/>
      <c r="AD19" s="17"/>
      <c r="AE19" s="17"/>
      <c r="AF19" s="17"/>
      <c r="AG19" s="17"/>
      <c r="AH19" s="17"/>
      <c r="AI19" s="17"/>
      <c r="AJ19" s="17"/>
      <c r="AK19" s="17"/>
    </row>
    <row r="20" spans="1:37" s="18" customFormat="1" ht="12.75" x14ac:dyDescent="0.2">
      <c r="C20" s="17"/>
      <c r="D20" s="17"/>
      <c r="E20" s="17"/>
      <c r="F20" s="17"/>
      <c r="G20" s="17"/>
      <c r="H20" s="17"/>
      <c r="I20" s="17"/>
      <c r="J20" s="17"/>
      <c r="K20" s="17"/>
      <c r="L20" s="17"/>
      <c r="M20" s="17"/>
      <c r="N20" s="17"/>
      <c r="O20" s="17"/>
      <c r="P20" s="17"/>
      <c r="Q20" s="17"/>
      <c r="R20" s="17"/>
      <c r="S20" s="17"/>
      <c r="T20" s="17"/>
      <c r="U20" s="17"/>
      <c r="V20" s="17"/>
      <c r="W20" s="17"/>
      <c r="X20" s="17"/>
      <c r="Y20" s="17"/>
      <c r="Z20" s="17"/>
      <c r="AA20" s="17"/>
      <c r="AB20" s="17"/>
      <c r="AC20" s="17"/>
      <c r="AD20" s="17"/>
      <c r="AE20" s="17"/>
      <c r="AF20" s="17"/>
      <c r="AG20" s="17"/>
      <c r="AH20" s="17"/>
      <c r="AI20" s="17"/>
      <c r="AJ20" s="17"/>
      <c r="AK20" s="17"/>
    </row>
    <row r="21" spans="1:37" s="18" customFormat="1" ht="15.75" customHeight="1" x14ac:dyDescent="0.2">
      <c r="C21" s="17"/>
      <c r="D21" s="17"/>
      <c r="E21" s="17"/>
      <c r="F21" s="17"/>
      <c r="G21" s="17"/>
      <c r="H21" s="17"/>
      <c r="I21" s="17"/>
      <c r="J21" s="17"/>
      <c r="K21" s="17"/>
      <c r="L21" s="17"/>
      <c r="M21" s="17"/>
      <c r="N21" s="17"/>
      <c r="O21" s="17"/>
      <c r="P21" s="17"/>
      <c r="Q21" s="57"/>
      <c r="R21" s="17"/>
      <c r="S21" s="17"/>
      <c r="T21" s="17"/>
      <c r="U21" s="17"/>
      <c r="V21" s="17"/>
      <c r="W21" s="17"/>
      <c r="X21" s="17"/>
      <c r="Y21" s="17"/>
      <c r="Z21" s="17"/>
      <c r="AA21" s="17"/>
      <c r="AB21" s="17"/>
      <c r="AC21" s="17"/>
      <c r="AD21" s="17"/>
      <c r="AE21" s="17"/>
      <c r="AF21" s="17"/>
      <c r="AG21" s="17"/>
      <c r="AH21" s="17"/>
      <c r="AI21" s="17"/>
      <c r="AJ21" s="17"/>
      <c r="AK21" s="17"/>
    </row>
    <row r="22" spans="1:37" s="18" customFormat="1" ht="12" customHeight="1" x14ac:dyDescent="0.2">
      <c r="C22" s="17"/>
      <c r="D22" s="17"/>
      <c r="E22" s="17"/>
      <c r="F22" s="17"/>
      <c r="G22" s="17"/>
      <c r="H22" s="17"/>
      <c r="I22" s="17"/>
      <c r="J22" s="17"/>
      <c r="K22" s="17"/>
      <c r="L22" s="17"/>
      <c r="M22" s="17"/>
      <c r="N22" s="17"/>
      <c r="O22" s="17"/>
      <c r="P22" s="17"/>
      <c r="Q22" s="57"/>
      <c r="R22" s="17"/>
      <c r="S22" s="17"/>
      <c r="T22" s="17"/>
      <c r="U22" s="17"/>
      <c r="V22" s="17"/>
      <c r="W22" s="17"/>
      <c r="X22" s="17"/>
      <c r="Y22" s="17"/>
      <c r="Z22" s="17"/>
      <c r="AA22" s="17"/>
      <c r="AB22" s="17"/>
      <c r="AC22" s="17"/>
      <c r="AD22" s="17"/>
      <c r="AE22" s="17"/>
      <c r="AF22" s="17"/>
      <c r="AG22" s="17"/>
      <c r="AH22" s="17"/>
      <c r="AI22" s="17"/>
      <c r="AJ22" s="17"/>
      <c r="AK22" s="17"/>
    </row>
    <row r="23" spans="1:37" s="18" customFormat="1" ht="26.25" customHeight="1" x14ac:dyDescent="0.2">
      <c r="A23" s="333" t="str">
        <f>MXTitle</f>
        <v>Software Requirements Matrix</v>
      </c>
      <c r="B23" s="334"/>
      <c r="C23" s="334"/>
      <c r="D23" s="334"/>
      <c r="E23" s="334"/>
      <c r="F23" s="334"/>
      <c r="G23" s="334"/>
      <c r="H23" s="334"/>
      <c r="I23" s="334"/>
      <c r="J23" s="334"/>
      <c r="K23" s="334"/>
      <c r="L23" s="334"/>
      <c r="M23" s="334"/>
      <c r="N23" s="334"/>
      <c r="O23" s="334"/>
      <c r="P23" s="334"/>
      <c r="Q23" s="334"/>
      <c r="R23" s="334"/>
      <c r="S23" s="334"/>
      <c r="T23" s="334"/>
      <c r="U23" s="334"/>
      <c r="V23" s="334"/>
      <c r="W23" s="334"/>
      <c r="X23" s="334"/>
      <c r="Y23" s="334"/>
      <c r="Z23" s="334"/>
      <c r="AA23" s="334"/>
      <c r="AB23" s="334"/>
      <c r="AC23" s="334"/>
      <c r="AD23" s="334"/>
      <c r="AE23" s="334"/>
      <c r="AF23" s="334"/>
      <c r="AG23" s="334"/>
      <c r="AH23" s="17"/>
      <c r="AI23" s="17"/>
      <c r="AJ23" s="17"/>
      <c r="AK23" s="17"/>
    </row>
    <row r="24" spans="1:37" s="86" customFormat="1" ht="26.25" x14ac:dyDescent="0.2">
      <c r="B24" s="83"/>
      <c r="C24" s="84"/>
      <c r="D24" s="84"/>
      <c r="E24" s="84"/>
      <c r="F24" s="84"/>
      <c r="G24" s="84"/>
      <c r="H24" s="84"/>
      <c r="I24" s="84"/>
      <c r="K24" s="85"/>
      <c r="L24" s="87" t="s">
        <v>85</v>
      </c>
      <c r="M24" s="89"/>
      <c r="N24" s="89"/>
      <c r="O24" s="317" t="s">
        <v>100</v>
      </c>
      <c r="P24" s="317"/>
      <c r="Q24" s="317"/>
      <c r="R24" s="317"/>
      <c r="S24" s="317"/>
      <c r="T24" s="317"/>
      <c r="U24" s="317"/>
      <c r="Z24" s="84"/>
      <c r="AA24" s="84"/>
      <c r="AB24" s="84"/>
      <c r="AC24" s="84"/>
      <c r="AD24" s="84"/>
      <c r="AE24" s="84"/>
      <c r="AF24" s="84"/>
      <c r="AG24" s="84"/>
      <c r="AH24" s="84"/>
      <c r="AI24" s="88"/>
      <c r="AJ24" s="88"/>
      <c r="AK24" s="88"/>
    </row>
    <row r="25" spans="1:37" s="18" customFormat="1" ht="12.75" x14ac:dyDescent="0.2">
      <c r="C25" s="17"/>
      <c r="D25" s="17"/>
      <c r="E25" s="17"/>
      <c r="F25" s="17"/>
      <c r="G25" s="17"/>
      <c r="H25" s="17"/>
      <c r="I25" s="17"/>
      <c r="J25" s="17"/>
      <c r="K25" s="17"/>
      <c r="L25" s="17"/>
      <c r="M25" s="17"/>
      <c r="N25" s="17"/>
      <c r="O25" s="17"/>
      <c r="P25" s="17"/>
      <c r="Q25" s="17"/>
      <c r="R25" s="17"/>
      <c r="S25" s="17"/>
      <c r="T25" s="17"/>
      <c r="U25" s="17"/>
      <c r="V25" s="17"/>
      <c r="W25" s="17"/>
      <c r="X25" s="17"/>
      <c r="Y25" s="17"/>
      <c r="Z25" s="17"/>
      <c r="AA25" s="17"/>
      <c r="AB25" s="17"/>
      <c r="AC25" s="17"/>
      <c r="AD25" s="17"/>
      <c r="AE25" s="17"/>
      <c r="AF25" s="17"/>
      <c r="AG25" s="17"/>
      <c r="AH25" s="17"/>
      <c r="AI25" s="17"/>
      <c r="AJ25" s="17"/>
      <c r="AK25" s="17"/>
    </row>
    <row r="26" spans="1:37" x14ac:dyDescent="0.2"/>
    <row r="27" spans="1:37" hidden="1" x14ac:dyDescent="0.2"/>
    <row r="28" spans="1:37" hidden="1" x14ac:dyDescent="0.2"/>
    <row r="29" spans="1:37" hidden="1" x14ac:dyDescent="0.2"/>
    <row r="30" spans="1:37" hidden="1" x14ac:dyDescent="0.2"/>
    <row r="31" spans="1:37" hidden="1" x14ac:dyDescent="0.2"/>
    <row r="32" spans="1:37" hidden="1" x14ac:dyDescent="0.2"/>
    <row r="33" hidden="1" x14ac:dyDescent="0.2"/>
    <row r="34" hidden="1" x14ac:dyDescent="0.2"/>
    <row r="35" hidden="1" x14ac:dyDescent="0.2"/>
    <row r="36" hidden="1" x14ac:dyDescent="0.2"/>
    <row r="37" hidden="1" x14ac:dyDescent="0.2"/>
    <row r="38" hidden="1" x14ac:dyDescent="0.2"/>
    <row r="39" hidden="1" x14ac:dyDescent="0.2"/>
    <row r="40" hidden="1" x14ac:dyDescent="0.2"/>
    <row r="41" hidden="1" x14ac:dyDescent="0.2"/>
    <row r="42" hidden="1" x14ac:dyDescent="0.2"/>
    <row r="43" hidden="1" x14ac:dyDescent="0.2"/>
    <row r="44" hidden="1" x14ac:dyDescent="0.2"/>
    <row r="45" hidden="1" x14ac:dyDescent="0.2"/>
    <row r="46" hidden="1" x14ac:dyDescent="0.2"/>
    <row r="47" hidden="1" x14ac:dyDescent="0.2"/>
    <row r="48" hidden="1" x14ac:dyDescent="0.2"/>
    <row r="49" hidden="1" x14ac:dyDescent="0.2"/>
    <row r="50" hidden="1" x14ac:dyDescent="0.2"/>
    <row r="51" hidden="1" x14ac:dyDescent="0.2"/>
    <row r="52" hidden="1" x14ac:dyDescent="0.2"/>
    <row r="53" hidden="1" x14ac:dyDescent="0.2"/>
    <row r="54" hidden="1" x14ac:dyDescent="0.2"/>
    <row r="55" hidden="1" x14ac:dyDescent="0.2"/>
    <row r="56" hidden="1" x14ac:dyDescent="0.2"/>
    <row r="57" hidden="1" x14ac:dyDescent="0.2"/>
    <row r="58" hidden="1" x14ac:dyDescent="0.2"/>
    <row r="59" hidden="1" x14ac:dyDescent="0.2"/>
    <row r="60" hidden="1" x14ac:dyDescent="0.2"/>
    <row r="61" hidden="1" x14ac:dyDescent="0.2"/>
    <row r="62" hidden="1" x14ac:dyDescent="0.2"/>
    <row r="63" hidden="1" x14ac:dyDescent="0.2"/>
    <row r="64" hidden="1" x14ac:dyDescent="0.2"/>
    <row r="65" hidden="1" x14ac:dyDescent="0.2"/>
    <row r="66" hidden="1" x14ac:dyDescent="0.2"/>
    <row r="67" hidden="1" x14ac:dyDescent="0.2"/>
    <row r="68" hidden="1" x14ac:dyDescent="0.2"/>
    <row r="69" hidden="1" x14ac:dyDescent="0.2"/>
    <row r="70" hidden="1" x14ac:dyDescent="0.2"/>
    <row r="71" hidden="1" x14ac:dyDescent="0.2"/>
    <row r="72" hidden="1" x14ac:dyDescent="0.2"/>
    <row r="73" hidden="1" x14ac:dyDescent="0.2"/>
    <row r="74" hidden="1" x14ac:dyDescent="0.2"/>
    <row r="75" hidden="1" x14ac:dyDescent="0.2"/>
    <row r="76" hidden="1" x14ac:dyDescent="0.2"/>
    <row r="77" hidden="1" x14ac:dyDescent="0.2"/>
    <row r="78" hidden="1" x14ac:dyDescent="0.2"/>
    <row r="79" hidden="1" x14ac:dyDescent="0.2"/>
    <row r="80" hidden="1" x14ac:dyDescent="0.2"/>
    <row r="81" hidden="1" x14ac:dyDescent="0.2"/>
    <row r="82" hidden="1" x14ac:dyDescent="0.2"/>
    <row r="83" hidden="1" x14ac:dyDescent="0.2"/>
    <row r="84" hidden="1" x14ac:dyDescent="0.2"/>
    <row r="85" hidden="1" x14ac:dyDescent="0.2"/>
    <row r="86" hidden="1" x14ac:dyDescent="0.2"/>
    <row r="87" hidden="1" x14ac:dyDescent="0.2"/>
    <row r="88" hidden="1" x14ac:dyDescent="0.2"/>
    <row r="89" hidden="1" x14ac:dyDescent="0.2"/>
    <row r="90" hidden="1" x14ac:dyDescent="0.2"/>
    <row r="91" hidden="1" x14ac:dyDescent="0.2"/>
    <row r="92" hidden="1" x14ac:dyDescent="0.2"/>
    <row r="93" hidden="1" x14ac:dyDescent="0.2"/>
    <row r="94" hidden="1" x14ac:dyDescent="0.2"/>
    <row r="95" hidden="1" x14ac:dyDescent="0.2"/>
    <row r="96" hidden="1" x14ac:dyDescent="0.2"/>
    <row r="97" hidden="1" x14ac:dyDescent="0.2"/>
    <row r="98" hidden="1" x14ac:dyDescent="0.2"/>
    <row r="99" hidden="1" x14ac:dyDescent="0.2"/>
    <row r="100" hidden="1" x14ac:dyDescent="0.2"/>
    <row r="101" hidden="1" x14ac:dyDescent="0.2"/>
    <row r="102" hidden="1" x14ac:dyDescent="0.2"/>
    <row r="103" hidden="1" x14ac:dyDescent="0.2"/>
    <row r="104" hidden="1" x14ac:dyDescent="0.2"/>
    <row r="105" hidden="1" x14ac:dyDescent="0.2"/>
    <row r="106" hidden="1" x14ac:dyDescent="0.2"/>
    <row r="107" hidden="1" x14ac:dyDescent="0.2"/>
    <row r="108" hidden="1" x14ac:dyDescent="0.2"/>
    <row r="109" hidden="1" x14ac:dyDescent="0.2"/>
    <row r="110" hidden="1" x14ac:dyDescent="0.2"/>
    <row r="111" hidden="1" x14ac:dyDescent="0.2"/>
    <row r="112" hidden="1" x14ac:dyDescent="0.2"/>
    <row r="113" hidden="1" x14ac:dyDescent="0.2"/>
    <row r="114" hidden="1" x14ac:dyDescent="0.2"/>
    <row r="115" hidden="1" x14ac:dyDescent="0.2"/>
    <row r="116" hidden="1" x14ac:dyDescent="0.2"/>
  </sheetData>
  <sheetProtection formatCells="0" formatRows="0" insertColumns="0" insertRows="0" insertHyperlinks="0" deleteRows="0" selectLockedCells="1" sort="0" autoFilter="0" pivotTables="0"/>
  <dataConsolidate/>
  <mergeCells count="32">
    <mergeCell ref="W9:AG9"/>
    <mergeCell ref="O24:U24"/>
    <mergeCell ref="F10:K10"/>
    <mergeCell ref="A10:E10"/>
    <mergeCell ref="A15:D16"/>
    <mergeCell ref="A13:K13"/>
    <mergeCell ref="W13:AG13"/>
    <mergeCell ref="L13:V13"/>
    <mergeCell ref="W10:AG10"/>
    <mergeCell ref="E16:AG16"/>
    <mergeCell ref="A23:AG23"/>
    <mergeCell ref="E15:AG15"/>
    <mergeCell ref="A12:AG12"/>
    <mergeCell ref="L9:V9"/>
    <mergeCell ref="L10:V10"/>
    <mergeCell ref="A9:K9"/>
    <mergeCell ref="A4:V4"/>
    <mergeCell ref="AB4:AG4"/>
    <mergeCell ref="W5:AA5"/>
    <mergeCell ref="W4:AA4"/>
    <mergeCell ref="AE7:AG7"/>
    <mergeCell ref="AB7:AD7"/>
    <mergeCell ref="A5:V5"/>
    <mergeCell ref="A6:D6"/>
    <mergeCell ref="W7:AA7"/>
    <mergeCell ref="AB5:AG5"/>
    <mergeCell ref="E6:V6"/>
    <mergeCell ref="E7:V7"/>
    <mergeCell ref="AE6:AG6"/>
    <mergeCell ref="AB6:AD6"/>
    <mergeCell ref="W6:AA6"/>
    <mergeCell ref="A7:D7"/>
  </mergeCells>
  <phoneticPr fontId="6" type="noConversion"/>
  <pageMargins left="0.25" right="0.25" top="0.39370078740157499" bottom="0.39370078740157499" header="0.19684930008748899" footer="0.19684930008748899"/>
  <pageSetup paperSize="9" orientation="portrait" r:id="rId1"/>
  <headerFooter alignWithMargins="0">
    <oddFooter>&amp;C&amp;8Copyright Veoneer Inc., All Rights Reserved&amp;R&amp;P</oddFooter>
  </headerFooter>
  <ignoredErrors>
    <ignoredError sqref="A23:IV23" unlockedFormula="1"/>
    <ignoredError sqref="AD3" evalError="1"/>
  </ignoredErrors>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9" tint="0.59999389629810485"/>
  </sheetPr>
  <dimension ref="A1:BH172"/>
  <sheetViews>
    <sheetView showGridLines="0" topLeftCell="A16" zoomScaleNormal="100" workbookViewId="0">
      <selection activeCell="G23" sqref="G23:AF23"/>
    </sheetView>
  </sheetViews>
  <sheetFormatPr defaultColWidth="0" defaultRowHeight="14.25" zeroHeight="1" x14ac:dyDescent="0.2"/>
  <cols>
    <col min="1" max="33" width="2.75" style="16" customWidth="1"/>
    <col min="34" max="34" width="1.25" style="16" customWidth="1"/>
    <col min="35" max="60" width="3.125" style="16" hidden="1" customWidth="1"/>
    <col min="61" max="16384" width="0" style="16" hidden="1"/>
  </cols>
  <sheetData>
    <row r="1" spans="1:37" s="1" customFormat="1" x14ac:dyDescent="0.2">
      <c r="C1" s="2"/>
      <c r="D1" s="2"/>
      <c r="E1" s="2"/>
      <c r="F1" s="2"/>
      <c r="G1" s="3"/>
      <c r="H1" s="4"/>
      <c r="I1" s="4"/>
      <c r="J1" s="4"/>
      <c r="K1" s="4"/>
      <c r="L1" s="4"/>
      <c r="M1" s="4"/>
      <c r="N1" s="4"/>
      <c r="O1" s="4"/>
      <c r="P1" s="5"/>
      <c r="Q1" s="5"/>
      <c r="R1" s="5"/>
      <c r="S1" s="5"/>
      <c r="T1" s="5"/>
      <c r="U1" s="5"/>
      <c r="V1" s="5"/>
      <c r="W1" s="5"/>
      <c r="X1" s="5"/>
      <c r="Y1" s="5"/>
      <c r="Z1" s="5"/>
      <c r="AA1" s="5"/>
      <c r="AB1" s="5"/>
      <c r="AC1" s="5"/>
      <c r="AD1" s="5"/>
      <c r="AE1" s="5"/>
      <c r="AF1" s="5"/>
      <c r="AG1" s="5"/>
      <c r="AH1" s="5"/>
      <c r="AI1" s="5"/>
      <c r="AJ1" s="5"/>
      <c r="AK1" s="5"/>
    </row>
    <row r="2" spans="1:37" s="1" customFormat="1" x14ac:dyDescent="0.2">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row>
    <row r="3" spans="1:37" s="7" customFormat="1" x14ac:dyDescent="0.2">
      <c r="C3" s="8"/>
      <c r="D3" s="8"/>
      <c r="E3" s="8"/>
      <c r="F3" s="8"/>
      <c r="G3" s="8"/>
      <c r="H3" s="8"/>
      <c r="I3" s="8"/>
      <c r="J3" s="8"/>
      <c r="K3" s="8"/>
      <c r="L3" s="8"/>
      <c r="M3" s="8"/>
      <c r="N3" s="8"/>
      <c r="O3" s="8"/>
      <c r="P3" s="8"/>
      <c r="Q3" s="8"/>
      <c r="R3" s="8"/>
      <c r="S3" s="8"/>
      <c r="T3" s="8"/>
      <c r="U3" s="8"/>
      <c r="V3" s="8"/>
      <c r="W3" s="8"/>
      <c r="X3" s="8"/>
      <c r="Y3" s="8"/>
      <c r="Z3" s="8"/>
      <c r="AA3" s="8"/>
      <c r="AB3" s="8"/>
      <c r="AC3" s="8"/>
      <c r="AD3" s="9" t="str">
        <f ca="1">FileName</f>
        <v>SRM.xlsm</v>
      </c>
      <c r="AE3" s="8"/>
      <c r="AF3" s="8"/>
      <c r="AG3" s="8"/>
      <c r="AH3" s="8"/>
      <c r="AI3" s="8"/>
      <c r="AJ3" s="8"/>
      <c r="AK3" s="8"/>
    </row>
    <row r="4" spans="1:37" s="7" customFormat="1" ht="11.1" customHeight="1" x14ac:dyDescent="0.2">
      <c r="A4" s="365"/>
      <c r="B4" s="365"/>
      <c r="C4" s="365"/>
      <c r="D4" s="365"/>
      <c r="E4" s="365"/>
      <c r="F4" s="365"/>
      <c r="G4" s="365"/>
      <c r="H4" s="365"/>
      <c r="I4" s="365"/>
      <c r="J4" s="365"/>
      <c r="K4" s="365"/>
      <c r="L4" s="365"/>
      <c r="M4" s="365"/>
      <c r="N4" s="365"/>
      <c r="O4" s="365"/>
      <c r="P4" s="365"/>
      <c r="Q4" s="365"/>
      <c r="R4" s="365"/>
      <c r="S4" s="365"/>
      <c r="T4" s="365"/>
      <c r="U4" s="365"/>
      <c r="V4" s="365"/>
      <c r="W4" s="362"/>
      <c r="X4" s="362"/>
      <c r="Y4" s="362"/>
      <c r="Z4" s="362"/>
      <c r="AA4" s="362"/>
      <c r="AB4" s="360"/>
      <c r="AC4" s="360"/>
      <c r="AD4" s="360"/>
      <c r="AE4" s="360"/>
      <c r="AF4" s="360"/>
      <c r="AG4" s="360"/>
      <c r="AH4" s="10"/>
      <c r="AI4" s="10"/>
      <c r="AJ4" s="10"/>
      <c r="AK4" s="8"/>
    </row>
    <row r="5" spans="1:37" s="12" customFormat="1" ht="12.75" x14ac:dyDescent="0.2">
      <c r="A5" s="361"/>
      <c r="B5" s="361"/>
      <c r="C5" s="361"/>
      <c r="D5" s="361"/>
      <c r="E5" s="361"/>
      <c r="F5" s="361"/>
      <c r="G5" s="361"/>
      <c r="H5" s="361"/>
      <c r="I5" s="361"/>
      <c r="J5" s="361"/>
      <c r="K5" s="361"/>
      <c r="L5" s="361"/>
      <c r="M5" s="361"/>
      <c r="N5" s="361"/>
      <c r="O5" s="361"/>
      <c r="P5" s="361"/>
      <c r="Q5" s="361"/>
      <c r="R5" s="361"/>
      <c r="S5" s="361"/>
      <c r="T5" s="361"/>
      <c r="U5" s="361"/>
      <c r="V5" s="361"/>
      <c r="W5" s="363"/>
      <c r="X5" s="363"/>
      <c r="Y5" s="363"/>
      <c r="Z5" s="363"/>
      <c r="AA5" s="363"/>
      <c r="AB5" s="361"/>
      <c r="AC5" s="361"/>
      <c r="AD5" s="361"/>
      <c r="AE5" s="361"/>
      <c r="AF5" s="361"/>
      <c r="AG5" s="361"/>
      <c r="AH5" s="11"/>
      <c r="AI5" s="11"/>
      <c r="AJ5" s="11"/>
      <c r="AK5" s="11"/>
    </row>
    <row r="6" spans="1:37" s="7" customFormat="1" ht="11.1" customHeight="1" x14ac:dyDescent="0.2">
      <c r="A6" s="364"/>
      <c r="B6" s="364"/>
      <c r="C6" s="364"/>
      <c r="D6" s="364"/>
      <c r="E6" s="364"/>
      <c r="F6" s="364"/>
      <c r="G6" s="364"/>
      <c r="H6" s="364"/>
      <c r="I6" s="364"/>
      <c r="J6" s="364"/>
      <c r="K6" s="364"/>
      <c r="L6" s="364"/>
      <c r="M6" s="364"/>
      <c r="N6" s="364"/>
      <c r="O6" s="364"/>
      <c r="P6" s="364"/>
      <c r="Q6" s="364"/>
      <c r="R6" s="364"/>
      <c r="S6" s="364"/>
      <c r="T6" s="364"/>
      <c r="U6" s="364"/>
      <c r="V6" s="364"/>
      <c r="W6" s="365"/>
      <c r="X6" s="365"/>
      <c r="Y6" s="365"/>
      <c r="Z6" s="365"/>
      <c r="AA6" s="365"/>
      <c r="AB6" s="362"/>
      <c r="AC6" s="362"/>
      <c r="AD6" s="362"/>
      <c r="AE6" s="362"/>
      <c r="AF6" s="362"/>
      <c r="AG6" s="362"/>
      <c r="AH6" s="8"/>
      <c r="AI6" s="8"/>
      <c r="AJ6" s="8"/>
      <c r="AK6" s="8"/>
    </row>
    <row r="7" spans="1:37" s="12" customFormat="1" ht="12.75" x14ac:dyDescent="0.2">
      <c r="A7" s="363"/>
      <c r="B7" s="363"/>
      <c r="C7" s="363"/>
      <c r="D7" s="363"/>
      <c r="E7" s="363"/>
      <c r="F7" s="363"/>
      <c r="G7" s="363"/>
      <c r="H7" s="363"/>
      <c r="I7" s="363"/>
      <c r="J7" s="363"/>
      <c r="K7" s="363"/>
      <c r="L7" s="363"/>
      <c r="M7" s="363"/>
      <c r="N7" s="363"/>
      <c r="O7" s="363"/>
      <c r="P7" s="363"/>
      <c r="Q7" s="363"/>
      <c r="R7" s="363"/>
      <c r="S7" s="363"/>
      <c r="T7" s="363"/>
      <c r="U7" s="363"/>
      <c r="V7" s="363"/>
      <c r="W7" s="363"/>
      <c r="X7" s="363"/>
      <c r="Y7" s="363"/>
      <c r="Z7" s="363"/>
      <c r="AA7" s="363"/>
      <c r="AB7" s="363"/>
      <c r="AC7" s="363"/>
      <c r="AD7" s="363"/>
      <c r="AE7" s="363"/>
      <c r="AF7" s="363"/>
      <c r="AG7" s="363"/>
      <c r="AH7" s="11"/>
      <c r="AI7" s="11"/>
      <c r="AJ7" s="11"/>
      <c r="AK7" s="11"/>
    </row>
    <row r="8" spans="1:37" s="43" customFormat="1" ht="11.1" customHeight="1" x14ac:dyDescent="0.2">
      <c r="A8" s="364"/>
      <c r="B8" s="364"/>
      <c r="C8" s="364"/>
      <c r="D8" s="364"/>
      <c r="E8" s="364"/>
      <c r="F8" s="364"/>
      <c r="G8" s="364"/>
      <c r="H8" s="364"/>
      <c r="I8" s="364"/>
      <c r="J8" s="364"/>
      <c r="K8" s="364"/>
      <c r="L8" s="364"/>
      <c r="M8" s="364"/>
      <c r="N8" s="364"/>
      <c r="O8" s="364"/>
      <c r="P8" s="364"/>
      <c r="Q8" s="364"/>
      <c r="R8" s="364"/>
      <c r="S8" s="364"/>
      <c r="T8" s="364"/>
      <c r="U8" s="364"/>
      <c r="V8" s="364"/>
      <c r="W8" s="364"/>
      <c r="X8" s="364"/>
      <c r="Y8" s="364"/>
      <c r="Z8" s="364"/>
      <c r="AA8" s="364"/>
      <c r="AB8" s="364"/>
      <c r="AC8" s="364"/>
      <c r="AD8" s="364"/>
      <c r="AE8" s="364"/>
      <c r="AF8" s="364"/>
      <c r="AG8" s="364"/>
      <c r="AH8" s="225"/>
      <c r="AI8" s="225"/>
      <c r="AJ8" s="225"/>
      <c r="AK8" s="225"/>
    </row>
    <row r="9" spans="1:37" s="227" customFormat="1" ht="12.75" x14ac:dyDescent="0.2">
      <c r="A9" s="367"/>
      <c r="B9" s="367"/>
      <c r="C9" s="367"/>
      <c r="D9" s="367"/>
      <c r="E9" s="367"/>
      <c r="F9" s="367"/>
      <c r="G9" s="367"/>
      <c r="H9" s="367"/>
      <c r="I9" s="367"/>
      <c r="J9" s="367"/>
      <c r="K9" s="367"/>
      <c r="L9" s="367"/>
      <c r="M9" s="367"/>
      <c r="N9" s="367"/>
      <c r="O9" s="367"/>
      <c r="P9" s="367"/>
      <c r="Q9" s="367"/>
      <c r="R9" s="367"/>
      <c r="S9" s="367"/>
      <c r="T9" s="367"/>
      <c r="U9" s="367"/>
      <c r="V9" s="367"/>
      <c r="W9" s="367"/>
      <c r="X9" s="367"/>
      <c r="Y9" s="367"/>
      <c r="Z9" s="367"/>
      <c r="AA9" s="367"/>
      <c r="AB9" s="367"/>
      <c r="AC9" s="367"/>
      <c r="AD9" s="367"/>
      <c r="AE9" s="367"/>
      <c r="AF9" s="367"/>
      <c r="AG9" s="367"/>
      <c r="AH9" s="226"/>
      <c r="AI9" s="226"/>
      <c r="AJ9" s="226"/>
    </row>
    <row r="10" spans="1:37" x14ac:dyDescent="0.2"/>
    <row r="11" spans="1:37" x14ac:dyDescent="0.2"/>
    <row r="12" spans="1:37" ht="26.25" x14ac:dyDescent="0.2">
      <c r="B12" s="19" t="s">
        <v>16</v>
      </c>
      <c r="C12" s="20"/>
      <c r="D12" s="20"/>
      <c r="E12" s="20"/>
      <c r="F12" s="20"/>
      <c r="G12" s="20"/>
      <c r="H12" s="20"/>
      <c r="I12" s="20"/>
      <c r="J12" s="20"/>
      <c r="K12" s="20"/>
      <c r="L12" s="20"/>
      <c r="M12" s="20"/>
      <c r="N12" s="20"/>
      <c r="O12" s="20"/>
      <c r="P12" s="20"/>
      <c r="Q12" s="20"/>
      <c r="R12" s="20"/>
      <c r="S12" s="20"/>
      <c r="T12" s="20"/>
      <c r="U12" s="20"/>
      <c r="V12" s="20"/>
      <c r="W12" s="20"/>
      <c r="X12" s="20"/>
      <c r="Y12" s="20"/>
      <c r="Z12" s="20"/>
      <c r="AA12" s="20"/>
      <c r="AB12" s="20"/>
      <c r="AC12" s="20"/>
      <c r="AD12" s="20"/>
      <c r="AE12" s="20"/>
      <c r="AF12" s="20"/>
    </row>
    <row r="13" spans="1:37" x14ac:dyDescent="0.2"/>
    <row r="14" spans="1:37" ht="20.25" x14ac:dyDescent="0.2">
      <c r="B14" s="21" t="s">
        <v>17</v>
      </c>
      <c r="C14" s="22"/>
    </row>
    <row r="15" spans="1:37" x14ac:dyDescent="0.2">
      <c r="B15" s="347" t="s">
        <v>7</v>
      </c>
      <c r="C15" s="366"/>
      <c r="D15" s="366"/>
      <c r="E15" s="366"/>
      <c r="F15" s="366"/>
      <c r="G15" s="347" t="s">
        <v>6</v>
      </c>
      <c r="H15" s="347"/>
      <c r="I15" s="347"/>
      <c r="J15" s="347"/>
      <c r="K15" s="347"/>
      <c r="L15" s="347"/>
      <c r="M15" s="347"/>
      <c r="N15" s="347"/>
      <c r="O15" s="347"/>
      <c r="P15" s="347"/>
      <c r="Q15" s="347"/>
      <c r="R15" s="347"/>
      <c r="S15" s="347"/>
      <c r="T15" s="347"/>
      <c r="U15" s="347"/>
      <c r="V15" s="347"/>
      <c r="W15" s="347"/>
      <c r="X15" s="347"/>
      <c r="Y15" s="347"/>
      <c r="Z15" s="347"/>
      <c r="AA15" s="347"/>
      <c r="AB15" s="347"/>
      <c r="AC15" s="347"/>
      <c r="AD15" s="347"/>
      <c r="AE15" s="347"/>
      <c r="AF15" s="347"/>
    </row>
    <row r="16" spans="1:37" ht="24" customHeight="1" x14ac:dyDescent="0.2">
      <c r="B16" s="356" t="s">
        <v>37</v>
      </c>
      <c r="C16" s="356"/>
      <c r="D16" s="356"/>
      <c r="E16" s="356"/>
      <c r="F16" s="356"/>
      <c r="G16" s="342" t="s">
        <v>40</v>
      </c>
      <c r="H16" s="342"/>
      <c r="I16" s="342"/>
      <c r="J16" s="342"/>
      <c r="K16" s="342"/>
      <c r="L16" s="342"/>
      <c r="M16" s="342"/>
      <c r="N16" s="342"/>
      <c r="O16" s="342"/>
      <c r="P16" s="342"/>
      <c r="Q16" s="342"/>
      <c r="R16" s="342"/>
      <c r="S16" s="342"/>
      <c r="T16" s="342"/>
      <c r="U16" s="342"/>
      <c r="V16" s="342"/>
      <c r="W16" s="342"/>
      <c r="X16" s="342"/>
      <c r="Y16" s="342"/>
      <c r="Z16" s="342"/>
      <c r="AA16" s="342"/>
      <c r="AB16" s="342"/>
      <c r="AC16" s="342"/>
      <c r="AD16" s="342"/>
      <c r="AE16" s="342"/>
      <c r="AF16" s="342"/>
    </row>
    <row r="17" spans="1:45" ht="24" customHeight="1" x14ac:dyDescent="0.2">
      <c r="B17" s="356" t="s">
        <v>38</v>
      </c>
      <c r="C17" s="356"/>
      <c r="D17" s="356"/>
      <c r="E17" s="356"/>
      <c r="F17" s="356"/>
      <c r="G17" s="342" t="s">
        <v>39</v>
      </c>
      <c r="H17" s="342"/>
      <c r="I17" s="342"/>
      <c r="J17" s="342"/>
      <c r="K17" s="342"/>
      <c r="L17" s="342"/>
      <c r="M17" s="342"/>
      <c r="N17" s="342"/>
      <c r="O17" s="342"/>
      <c r="P17" s="342"/>
      <c r="Q17" s="342"/>
      <c r="R17" s="342"/>
      <c r="S17" s="342"/>
      <c r="T17" s="342"/>
      <c r="U17" s="342"/>
      <c r="V17" s="342"/>
      <c r="W17" s="342"/>
      <c r="X17" s="342"/>
      <c r="Y17" s="342"/>
      <c r="Z17" s="342"/>
      <c r="AA17" s="342"/>
      <c r="AB17" s="342"/>
      <c r="AC17" s="342"/>
      <c r="AD17" s="342"/>
      <c r="AE17" s="342"/>
      <c r="AF17" s="342"/>
    </row>
    <row r="18" spans="1:45" ht="24" customHeight="1" x14ac:dyDescent="0.2">
      <c r="B18" s="356" t="s">
        <v>87</v>
      </c>
      <c r="C18" s="356"/>
      <c r="D18" s="356"/>
      <c r="E18" s="356"/>
      <c r="F18" s="356"/>
      <c r="G18" s="342" t="s">
        <v>92</v>
      </c>
      <c r="H18" s="342"/>
      <c r="I18" s="342"/>
      <c r="J18" s="342"/>
      <c r="K18" s="342"/>
      <c r="L18" s="342"/>
      <c r="M18" s="342"/>
      <c r="N18" s="342"/>
      <c r="O18" s="342"/>
      <c r="P18" s="342"/>
      <c r="Q18" s="342"/>
      <c r="R18" s="342"/>
      <c r="S18" s="342"/>
      <c r="T18" s="342"/>
      <c r="U18" s="342"/>
      <c r="V18" s="342"/>
      <c r="W18" s="342"/>
      <c r="X18" s="342"/>
      <c r="Y18" s="342"/>
      <c r="Z18" s="342"/>
      <c r="AA18" s="342"/>
      <c r="AB18" s="342"/>
      <c r="AC18" s="342"/>
      <c r="AD18" s="342"/>
      <c r="AE18" s="342"/>
      <c r="AF18" s="342"/>
    </row>
    <row r="19" spans="1:45" ht="24" customHeight="1" x14ac:dyDescent="0.2">
      <c r="B19" s="354" t="s">
        <v>93</v>
      </c>
      <c r="C19" s="354"/>
      <c r="D19" s="354"/>
      <c r="E19" s="354"/>
      <c r="F19" s="354"/>
      <c r="G19" s="355" t="s">
        <v>133</v>
      </c>
      <c r="H19" s="342"/>
      <c r="I19" s="342"/>
      <c r="J19" s="342"/>
      <c r="K19" s="342"/>
      <c r="L19" s="342"/>
      <c r="M19" s="342"/>
      <c r="N19" s="342"/>
      <c r="O19" s="342"/>
      <c r="P19" s="342"/>
      <c r="Q19" s="342"/>
      <c r="R19" s="342"/>
      <c r="S19" s="342"/>
      <c r="T19" s="342"/>
      <c r="U19" s="342"/>
      <c r="V19" s="342"/>
      <c r="W19" s="342"/>
      <c r="X19" s="342"/>
      <c r="Y19" s="342"/>
      <c r="Z19" s="342"/>
      <c r="AA19" s="342"/>
      <c r="AB19" s="342"/>
      <c r="AC19" s="342"/>
      <c r="AD19" s="342"/>
      <c r="AE19" s="342"/>
      <c r="AF19" s="342"/>
      <c r="AS19" s="23"/>
    </row>
    <row r="20" spans="1:45" ht="24" customHeight="1" x14ac:dyDescent="0.2">
      <c r="B20" s="368" t="s">
        <v>151</v>
      </c>
      <c r="C20" s="354"/>
      <c r="D20" s="354"/>
      <c r="E20" s="354"/>
      <c r="F20" s="354"/>
      <c r="G20" s="355" t="s">
        <v>134</v>
      </c>
      <c r="H20" s="342"/>
      <c r="I20" s="342"/>
      <c r="J20" s="342"/>
      <c r="K20" s="342"/>
      <c r="L20" s="342"/>
      <c r="M20" s="342"/>
      <c r="N20" s="342"/>
      <c r="O20" s="342"/>
      <c r="P20" s="342"/>
      <c r="Q20" s="342"/>
      <c r="R20" s="342"/>
      <c r="S20" s="342"/>
      <c r="T20" s="342"/>
      <c r="U20" s="342"/>
      <c r="V20" s="342"/>
      <c r="W20" s="342"/>
      <c r="X20" s="342"/>
      <c r="Y20" s="342"/>
      <c r="Z20" s="342"/>
      <c r="AA20" s="342"/>
      <c r="AB20" s="342"/>
      <c r="AC20" s="342"/>
      <c r="AD20" s="342"/>
      <c r="AE20" s="342"/>
      <c r="AF20" s="342"/>
      <c r="AS20" s="23"/>
    </row>
    <row r="21" spans="1:45" ht="24" customHeight="1" x14ac:dyDescent="0.2">
      <c r="B21" s="354" t="s">
        <v>88</v>
      </c>
      <c r="C21" s="354"/>
      <c r="D21" s="354"/>
      <c r="E21" s="354"/>
      <c r="F21" s="354"/>
      <c r="G21" s="355" t="s">
        <v>169</v>
      </c>
      <c r="H21" s="342"/>
      <c r="I21" s="342"/>
      <c r="J21" s="342"/>
      <c r="K21" s="342"/>
      <c r="L21" s="342"/>
      <c r="M21" s="342"/>
      <c r="N21" s="342"/>
      <c r="O21" s="342"/>
      <c r="P21" s="342"/>
      <c r="Q21" s="342"/>
      <c r="R21" s="342"/>
      <c r="S21" s="342"/>
      <c r="T21" s="342"/>
      <c r="U21" s="342"/>
      <c r="V21" s="342"/>
      <c r="W21" s="342"/>
      <c r="X21" s="342"/>
      <c r="Y21" s="342"/>
      <c r="Z21" s="342"/>
      <c r="AA21" s="342"/>
      <c r="AB21" s="342"/>
      <c r="AC21" s="342"/>
      <c r="AD21" s="342"/>
      <c r="AE21" s="342"/>
      <c r="AF21" s="342"/>
      <c r="AS21" s="23"/>
    </row>
    <row r="22" spans="1:45" ht="24" customHeight="1" x14ac:dyDescent="0.2">
      <c r="B22" s="356" t="s">
        <v>89</v>
      </c>
      <c r="C22" s="356"/>
      <c r="D22" s="356"/>
      <c r="E22" s="356"/>
      <c r="F22" s="356"/>
      <c r="G22" s="342" t="s">
        <v>94</v>
      </c>
      <c r="H22" s="342"/>
      <c r="I22" s="342"/>
      <c r="J22" s="342"/>
      <c r="K22" s="342"/>
      <c r="L22" s="342"/>
      <c r="M22" s="342"/>
      <c r="N22" s="342"/>
      <c r="O22" s="342"/>
      <c r="P22" s="342"/>
      <c r="Q22" s="342"/>
      <c r="R22" s="342"/>
      <c r="S22" s="342"/>
      <c r="T22" s="342"/>
      <c r="U22" s="342"/>
      <c r="V22" s="342"/>
      <c r="W22" s="342"/>
      <c r="X22" s="342"/>
      <c r="Y22" s="342"/>
      <c r="Z22" s="342"/>
      <c r="AA22" s="342"/>
      <c r="AB22" s="342"/>
      <c r="AC22" s="342"/>
      <c r="AD22" s="342"/>
      <c r="AE22" s="342"/>
      <c r="AF22" s="342"/>
      <c r="AS22" s="23"/>
    </row>
    <row r="23" spans="1:45" ht="24" customHeight="1" x14ac:dyDescent="0.2">
      <c r="B23" s="354" t="s">
        <v>90</v>
      </c>
      <c r="C23" s="354"/>
      <c r="D23" s="354"/>
      <c r="E23" s="354"/>
      <c r="F23" s="354"/>
      <c r="G23" s="342" t="s">
        <v>91</v>
      </c>
      <c r="H23" s="342"/>
      <c r="I23" s="342"/>
      <c r="J23" s="342"/>
      <c r="K23" s="342"/>
      <c r="L23" s="342"/>
      <c r="M23" s="342"/>
      <c r="N23" s="342"/>
      <c r="O23" s="342"/>
      <c r="P23" s="342"/>
      <c r="Q23" s="342"/>
      <c r="R23" s="342"/>
      <c r="S23" s="342"/>
      <c r="T23" s="342"/>
      <c r="U23" s="342"/>
      <c r="V23" s="342"/>
      <c r="W23" s="342"/>
      <c r="X23" s="342"/>
      <c r="Y23" s="342"/>
      <c r="Z23" s="342"/>
      <c r="AA23" s="342"/>
      <c r="AB23" s="342"/>
      <c r="AC23" s="342"/>
      <c r="AD23" s="342"/>
      <c r="AE23" s="342"/>
      <c r="AF23" s="342"/>
      <c r="AS23" s="23"/>
    </row>
    <row r="24" spans="1:45" x14ac:dyDescent="0.2">
      <c r="C24" s="24"/>
      <c r="I24" s="25"/>
    </row>
    <row r="25" spans="1:45" ht="20.25" x14ac:dyDescent="0.2">
      <c r="A25" s="21"/>
      <c r="B25" s="21" t="s">
        <v>30</v>
      </c>
      <c r="C25" s="24"/>
      <c r="I25" s="25"/>
    </row>
    <row r="26" spans="1:45" x14ac:dyDescent="0.2">
      <c r="B26" s="347" t="s">
        <v>0</v>
      </c>
      <c r="C26" s="359"/>
      <c r="D26" s="359"/>
      <c r="E26" s="347" t="s">
        <v>11</v>
      </c>
      <c r="F26" s="347"/>
      <c r="G26" s="347"/>
      <c r="H26" s="347"/>
      <c r="I26" s="347" t="s">
        <v>12</v>
      </c>
      <c r="J26" s="359"/>
      <c r="K26" s="359"/>
      <c r="L26" s="359"/>
      <c r="M26" s="359"/>
      <c r="N26" s="359"/>
      <c r="O26" s="359"/>
      <c r="P26" s="359"/>
      <c r="Q26" s="359"/>
      <c r="R26" s="347" t="s">
        <v>13</v>
      </c>
      <c r="S26" s="347"/>
      <c r="T26" s="347"/>
      <c r="U26" s="347"/>
      <c r="V26" s="347"/>
      <c r="W26" s="347"/>
      <c r="X26" s="347"/>
      <c r="Y26" s="347"/>
      <c r="Z26" s="347"/>
      <c r="AA26" s="347"/>
      <c r="AB26" s="347"/>
      <c r="AC26" s="347"/>
      <c r="AD26" s="347"/>
      <c r="AE26" s="347"/>
      <c r="AF26" s="347"/>
    </row>
    <row r="27" spans="1:45" x14ac:dyDescent="0.2">
      <c r="B27" s="354"/>
      <c r="C27" s="357"/>
      <c r="D27" s="357"/>
      <c r="E27" s="342"/>
      <c r="F27" s="342"/>
      <c r="G27" s="342"/>
      <c r="H27" s="342"/>
      <c r="I27" s="342" t="s">
        <v>14</v>
      </c>
      <c r="J27" s="358"/>
      <c r="K27" s="358"/>
      <c r="L27" s="358"/>
      <c r="M27" s="358"/>
      <c r="N27" s="358"/>
      <c r="O27" s="358"/>
      <c r="P27" s="358"/>
      <c r="Q27" s="358"/>
      <c r="R27" s="342"/>
      <c r="S27" s="342"/>
      <c r="T27" s="342"/>
      <c r="U27" s="342"/>
      <c r="V27" s="342"/>
      <c r="W27" s="342"/>
      <c r="X27" s="342"/>
      <c r="Y27" s="342"/>
      <c r="Z27" s="342"/>
      <c r="AA27" s="342"/>
      <c r="AB27" s="342"/>
      <c r="AC27" s="342"/>
      <c r="AD27" s="342"/>
      <c r="AE27" s="342"/>
      <c r="AF27" s="342"/>
    </row>
    <row r="28" spans="1:45" x14ac:dyDescent="0.2">
      <c r="B28" s="354"/>
      <c r="C28" s="357"/>
      <c r="D28" s="357"/>
      <c r="E28" s="342"/>
      <c r="F28" s="342"/>
      <c r="G28" s="342"/>
      <c r="H28" s="342"/>
      <c r="I28" s="342"/>
      <c r="J28" s="358"/>
      <c r="K28" s="358"/>
      <c r="L28" s="358"/>
      <c r="M28" s="358"/>
      <c r="N28" s="358"/>
      <c r="O28" s="358"/>
      <c r="P28" s="358"/>
      <c r="Q28" s="358"/>
      <c r="R28" s="342"/>
      <c r="S28" s="342"/>
      <c r="T28" s="342"/>
      <c r="U28" s="342"/>
      <c r="V28" s="342"/>
      <c r="W28" s="342"/>
      <c r="X28" s="342"/>
      <c r="Y28" s="342"/>
      <c r="Z28" s="342"/>
      <c r="AA28" s="342"/>
      <c r="AB28" s="342"/>
      <c r="AC28" s="342"/>
      <c r="AD28" s="342"/>
      <c r="AE28" s="342"/>
      <c r="AF28" s="342"/>
    </row>
    <row r="29" spans="1:45" x14ac:dyDescent="0.2">
      <c r="B29" s="354"/>
      <c r="C29" s="357"/>
      <c r="D29" s="357"/>
      <c r="E29" s="342"/>
      <c r="F29" s="342"/>
      <c r="G29" s="342"/>
      <c r="H29" s="342"/>
      <c r="I29" s="342"/>
      <c r="J29" s="358"/>
      <c r="K29" s="358"/>
      <c r="L29" s="358"/>
      <c r="M29" s="358"/>
      <c r="N29" s="358"/>
      <c r="O29" s="358"/>
      <c r="P29" s="358"/>
      <c r="Q29" s="358"/>
      <c r="R29" s="342"/>
      <c r="S29" s="342"/>
      <c r="T29" s="342"/>
      <c r="U29" s="342"/>
      <c r="V29" s="342"/>
      <c r="W29" s="342"/>
      <c r="X29" s="342"/>
      <c r="Y29" s="342"/>
      <c r="Z29" s="342"/>
      <c r="AA29" s="342"/>
      <c r="AB29" s="342"/>
      <c r="AC29" s="342"/>
      <c r="AD29" s="342"/>
      <c r="AE29" s="342"/>
      <c r="AF29" s="342"/>
    </row>
    <row r="30" spans="1:45" x14ac:dyDescent="0.2">
      <c r="B30" s="354"/>
      <c r="C30" s="357"/>
      <c r="D30" s="357"/>
      <c r="E30" s="342"/>
      <c r="F30" s="342"/>
      <c r="G30" s="342"/>
      <c r="H30" s="342"/>
      <c r="I30" s="342"/>
      <c r="J30" s="358"/>
      <c r="K30" s="358"/>
      <c r="L30" s="358"/>
      <c r="M30" s="358"/>
      <c r="N30" s="358"/>
      <c r="O30" s="358"/>
      <c r="P30" s="358"/>
      <c r="Q30" s="358"/>
      <c r="R30" s="342"/>
      <c r="S30" s="342"/>
      <c r="T30" s="342"/>
      <c r="U30" s="342"/>
      <c r="V30" s="342"/>
      <c r="W30" s="342"/>
      <c r="X30" s="342"/>
      <c r="Y30" s="342"/>
      <c r="Z30" s="342"/>
      <c r="AA30" s="342"/>
      <c r="AB30" s="342"/>
      <c r="AC30" s="342"/>
      <c r="AD30" s="342"/>
      <c r="AE30" s="342"/>
      <c r="AF30" s="342"/>
    </row>
    <row r="31" spans="1:45" x14ac:dyDescent="0.2">
      <c r="B31" s="26" t="s">
        <v>29</v>
      </c>
      <c r="C31" s="27"/>
      <c r="D31" s="27"/>
      <c r="E31" s="28"/>
      <c r="F31" s="28"/>
      <c r="G31" s="28"/>
      <c r="H31" s="28"/>
      <c r="I31" s="28"/>
      <c r="J31" s="29"/>
      <c r="K31" s="29"/>
      <c r="L31" s="29"/>
      <c r="M31" s="29"/>
      <c r="N31" s="29"/>
      <c r="O31" s="29"/>
      <c r="P31" s="29"/>
      <c r="Q31" s="29"/>
      <c r="R31" s="28"/>
      <c r="S31" s="28"/>
      <c r="T31" s="28"/>
      <c r="U31" s="28"/>
      <c r="V31" s="28"/>
      <c r="W31" s="28"/>
      <c r="X31" s="28"/>
      <c r="Y31" s="28"/>
      <c r="Z31" s="28"/>
      <c r="AA31" s="28"/>
      <c r="AB31" s="28"/>
      <c r="AC31" s="28"/>
      <c r="AD31" s="28"/>
      <c r="AE31" s="28"/>
      <c r="AF31" s="28"/>
    </row>
    <row r="32" spans="1:45" x14ac:dyDescent="0.2">
      <c r="C32" s="24"/>
      <c r="I32" s="25"/>
    </row>
    <row r="33" spans="2:33" ht="20.25" x14ac:dyDescent="0.2">
      <c r="B33" s="21" t="s">
        <v>18</v>
      </c>
      <c r="I33" s="25"/>
    </row>
    <row r="34" spans="2:33" ht="21.75" customHeight="1" x14ac:dyDescent="0.2">
      <c r="B34" s="369" t="s">
        <v>86</v>
      </c>
      <c r="C34" s="369"/>
      <c r="D34" s="369"/>
      <c r="E34" s="369"/>
      <c r="F34" s="369"/>
      <c r="G34" s="369"/>
      <c r="H34" s="369"/>
      <c r="I34" s="369"/>
      <c r="J34" s="369"/>
      <c r="K34" s="369"/>
      <c r="L34" s="369"/>
      <c r="M34" s="369"/>
      <c r="N34" s="369"/>
      <c r="O34" s="369"/>
      <c r="P34" s="369"/>
      <c r="Q34" s="369"/>
      <c r="R34" s="369"/>
      <c r="S34" s="369"/>
      <c r="T34" s="369"/>
      <c r="U34" s="369"/>
      <c r="V34" s="369"/>
      <c r="W34" s="369"/>
      <c r="X34" s="369"/>
      <c r="Y34" s="369"/>
      <c r="Z34" s="369"/>
      <c r="AA34" s="369"/>
      <c r="AB34" s="369"/>
      <c r="AC34" s="369"/>
      <c r="AD34" s="369"/>
      <c r="AE34" s="369"/>
      <c r="AF34" s="369"/>
      <c r="AG34" s="30"/>
    </row>
    <row r="35" spans="2:33" x14ac:dyDescent="0.2">
      <c r="J35" s="31"/>
    </row>
    <row r="36" spans="2:33" ht="20.25" x14ac:dyDescent="0.2">
      <c r="B36" s="21" t="s">
        <v>19</v>
      </c>
      <c r="C36" s="22"/>
      <c r="I36" s="25"/>
    </row>
    <row r="37" spans="2:33" ht="24.75" customHeight="1" x14ac:dyDescent="0.2">
      <c r="B37" s="32" t="s">
        <v>31</v>
      </c>
      <c r="C37" s="22"/>
      <c r="I37" s="25"/>
    </row>
    <row r="38" spans="2:33" ht="12.75" customHeight="1" x14ac:dyDescent="0.2">
      <c r="B38" s="347" t="s">
        <v>8</v>
      </c>
      <c r="C38" s="347"/>
      <c r="D38" s="347"/>
      <c r="E38" s="347" t="s">
        <v>9</v>
      </c>
      <c r="F38" s="359"/>
      <c r="G38" s="359"/>
      <c r="H38" s="359"/>
      <c r="I38" s="359"/>
      <c r="J38" s="359"/>
      <c r="K38" s="359"/>
      <c r="L38" s="359"/>
      <c r="M38" s="359"/>
      <c r="N38" s="359"/>
      <c r="O38" s="359"/>
      <c r="P38" s="359"/>
      <c r="Q38" s="359"/>
      <c r="R38" s="359"/>
      <c r="S38" s="359"/>
      <c r="T38" s="359"/>
      <c r="U38" s="359"/>
      <c r="V38" s="359"/>
      <c r="W38" s="359"/>
      <c r="X38" s="359"/>
      <c r="Y38" s="347" t="s">
        <v>10</v>
      </c>
      <c r="Z38" s="347"/>
      <c r="AA38" s="347"/>
      <c r="AB38" s="347"/>
      <c r="AC38" s="347"/>
      <c r="AD38" s="347"/>
      <c r="AE38" s="347"/>
      <c r="AF38" s="347"/>
    </row>
    <row r="39" spans="2:33" x14ac:dyDescent="0.2">
      <c r="B39" s="348"/>
      <c r="C39" s="348"/>
      <c r="D39" s="348"/>
      <c r="E39" s="342"/>
      <c r="F39" s="343"/>
      <c r="G39" s="343"/>
      <c r="H39" s="343"/>
      <c r="I39" s="343"/>
      <c r="J39" s="343"/>
      <c r="K39" s="343"/>
      <c r="L39" s="343"/>
      <c r="M39" s="343"/>
      <c r="N39" s="343"/>
      <c r="O39" s="343"/>
      <c r="P39" s="343"/>
      <c r="Q39" s="343"/>
      <c r="R39" s="343"/>
      <c r="S39" s="343"/>
      <c r="T39" s="343"/>
      <c r="U39" s="343"/>
      <c r="V39" s="343"/>
      <c r="W39" s="343"/>
      <c r="X39" s="343"/>
      <c r="Y39" s="342"/>
      <c r="Z39" s="343"/>
      <c r="AA39" s="343"/>
      <c r="AB39" s="343"/>
      <c r="AC39" s="343"/>
      <c r="AD39" s="343"/>
      <c r="AE39" s="343"/>
      <c r="AF39" s="343"/>
    </row>
    <row r="40" spans="2:33" x14ac:dyDescent="0.2">
      <c r="B40" s="348"/>
      <c r="C40" s="348"/>
      <c r="D40" s="348"/>
      <c r="E40" s="342"/>
      <c r="F40" s="343"/>
      <c r="G40" s="343"/>
      <c r="H40" s="343"/>
      <c r="I40" s="343"/>
      <c r="J40" s="343"/>
      <c r="K40" s="343"/>
      <c r="L40" s="343"/>
      <c r="M40" s="343"/>
      <c r="N40" s="343"/>
      <c r="O40" s="343"/>
      <c r="P40" s="343"/>
      <c r="Q40" s="343"/>
      <c r="R40" s="343"/>
      <c r="S40" s="343"/>
      <c r="T40" s="343"/>
      <c r="U40" s="343"/>
      <c r="V40" s="343"/>
      <c r="W40" s="343"/>
      <c r="X40" s="343"/>
      <c r="Y40" s="342"/>
      <c r="Z40" s="343"/>
      <c r="AA40" s="343"/>
      <c r="AB40" s="343"/>
      <c r="AC40" s="343"/>
      <c r="AD40" s="343"/>
      <c r="AE40" s="343"/>
      <c r="AF40" s="343"/>
    </row>
    <row r="41" spans="2:33" x14ac:dyDescent="0.2">
      <c r="B41" s="348"/>
      <c r="C41" s="348"/>
      <c r="D41" s="348"/>
      <c r="E41" s="342"/>
      <c r="F41" s="343"/>
      <c r="G41" s="343"/>
      <c r="H41" s="343"/>
      <c r="I41" s="343"/>
      <c r="J41" s="343"/>
      <c r="K41" s="343"/>
      <c r="L41" s="343"/>
      <c r="M41" s="343"/>
      <c r="N41" s="343"/>
      <c r="O41" s="343"/>
      <c r="P41" s="343"/>
      <c r="Q41" s="343"/>
      <c r="R41" s="343"/>
      <c r="S41" s="343"/>
      <c r="T41" s="343"/>
      <c r="U41" s="343"/>
      <c r="V41" s="343"/>
      <c r="W41" s="343"/>
      <c r="X41" s="343"/>
      <c r="Y41" s="342"/>
      <c r="Z41" s="343"/>
      <c r="AA41" s="343"/>
      <c r="AB41" s="343"/>
      <c r="AC41" s="343"/>
      <c r="AD41" s="343"/>
      <c r="AE41" s="343"/>
      <c r="AF41" s="343"/>
    </row>
    <row r="42" spans="2:33" x14ac:dyDescent="0.2">
      <c r="B42" s="348"/>
      <c r="C42" s="348"/>
      <c r="D42" s="348"/>
      <c r="E42" s="342"/>
      <c r="F42" s="343"/>
      <c r="G42" s="343"/>
      <c r="H42" s="343"/>
      <c r="I42" s="343"/>
      <c r="J42" s="343"/>
      <c r="K42" s="343"/>
      <c r="L42" s="343"/>
      <c r="M42" s="343"/>
      <c r="N42" s="343"/>
      <c r="O42" s="343"/>
      <c r="P42" s="343"/>
      <c r="Q42" s="343"/>
      <c r="R42" s="343"/>
      <c r="S42" s="343"/>
      <c r="T42" s="343"/>
      <c r="U42" s="343"/>
      <c r="V42" s="343"/>
      <c r="W42" s="343"/>
      <c r="X42" s="343"/>
      <c r="Y42" s="342"/>
      <c r="Z42" s="343"/>
      <c r="AA42" s="343"/>
      <c r="AB42" s="343"/>
      <c r="AC42" s="343"/>
      <c r="AD42" s="343"/>
      <c r="AE42" s="343"/>
      <c r="AF42" s="343"/>
    </row>
    <row r="43" spans="2:33" ht="24.75" customHeight="1" x14ac:dyDescent="0.2">
      <c r="B43" s="32" t="s">
        <v>32</v>
      </c>
      <c r="C43" s="22"/>
      <c r="I43" s="25"/>
    </row>
    <row r="44" spans="2:33" ht="12.75" customHeight="1" x14ac:dyDescent="0.2">
      <c r="B44" s="347" t="s">
        <v>8</v>
      </c>
      <c r="C44" s="347"/>
      <c r="D44" s="347"/>
      <c r="E44" s="347" t="s">
        <v>9</v>
      </c>
      <c r="F44" s="359"/>
      <c r="G44" s="359"/>
      <c r="H44" s="359"/>
      <c r="I44" s="359"/>
      <c r="J44" s="359"/>
      <c r="K44" s="359"/>
      <c r="L44" s="359"/>
      <c r="M44" s="359"/>
      <c r="N44" s="359"/>
      <c r="O44" s="359"/>
      <c r="P44" s="359"/>
      <c r="Q44" s="359"/>
      <c r="R44" s="359"/>
      <c r="S44" s="359"/>
      <c r="T44" s="359"/>
      <c r="U44" s="359"/>
      <c r="V44" s="359"/>
      <c r="W44" s="359"/>
      <c r="X44" s="359"/>
      <c r="Y44" s="347" t="s">
        <v>10</v>
      </c>
      <c r="Z44" s="347"/>
      <c r="AA44" s="347"/>
      <c r="AB44" s="347"/>
      <c r="AC44" s="347"/>
      <c r="AD44" s="347"/>
      <c r="AE44" s="347"/>
      <c r="AF44" s="347"/>
    </row>
    <row r="45" spans="2:33" x14ac:dyDescent="0.2">
      <c r="B45" s="348"/>
      <c r="C45" s="348"/>
      <c r="D45" s="348"/>
      <c r="E45" s="342"/>
      <c r="F45" s="343"/>
      <c r="G45" s="343"/>
      <c r="H45" s="343"/>
      <c r="I45" s="343"/>
      <c r="J45" s="343"/>
      <c r="K45" s="343"/>
      <c r="L45" s="343"/>
      <c r="M45" s="343"/>
      <c r="N45" s="343"/>
      <c r="O45" s="343"/>
      <c r="P45" s="343"/>
      <c r="Q45" s="343"/>
      <c r="R45" s="343"/>
      <c r="S45" s="343"/>
      <c r="T45" s="343"/>
      <c r="U45" s="343"/>
      <c r="V45" s="343"/>
      <c r="W45" s="343"/>
      <c r="X45" s="343"/>
      <c r="Y45" s="342"/>
      <c r="Z45" s="343"/>
      <c r="AA45" s="343"/>
      <c r="AB45" s="343"/>
      <c r="AC45" s="343"/>
      <c r="AD45" s="343"/>
      <c r="AE45" s="343"/>
      <c r="AF45" s="343"/>
    </row>
    <row r="46" spans="2:33" x14ac:dyDescent="0.2">
      <c r="B46" s="348"/>
      <c r="C46" s="348"/>
      <c r="D46" s="348"/>
      <c r="E46" s="342"/>
      <c r="F46" s="343"/>
      <c r="G46" s="343"/>
      <c r="H46" s="343"/>
      <c r="I46" s="343"/>
      <c r="J46" s="343"/>
      <c r="K46" s="343"/>
      <c r="L46" s="343"/>
      <c r="M46" s="343"/>
      <c r="N46" s="343"/>
      <c r="O46" s="343"/>
      <c r="P46" s="343"/>
      <c r="Q46" s="343"/>
      <c r="R46" s="343"/>
      <c r="S46" s="343"/>
      <c r="T46" s="343"/>
      <c r="U46" s="343"/>
      <c r="V46" s="343"/>
      <c r="W46" s="343"/>
      <c r="X46" s="343"/>
      <c r="Y46" s="342"/>
      <c r="Z46" s="343"/>
      <c r="AA46" s="343"/>
      <c r="AB46" s="343"/>
      <c r="AC46" s="343"/>
      <c r="AD46" s="343"/>
      <c r="AE46" s="343"/>
      <c r="AF46" s="343"/>
    </row>
    <row r="47" spans="2:33" x14ac:dyDescent="0.2">
      <c r="B47" s="348"/>
      <c r="C47" s="348"/>
      <c r="D47" s="348"/>
      <c r="E47" s="342"/>
      <c r="F47" s="343"/>
      <c r="G47" s="343"/>
      <c r="H47" s="343"/>
      <c r="I47" s="343"/>
      <c r="J47" s="343"/>
      <c r="K47" s="343"/>
      <c r="L47" s="343"/>
      <c r="M47" s="343"/>
      <c r="N47" s="343"/>
      <c r="O47" s="343"/>
      <c r="P47" s="343"/>
      <c r="Q47" s="343"/>
      <c r="R47" s="343"/>
      <c r="S47" s="343"/>
      <c r="T47" s="343"/>
      <c r="U47" s="343"/>
      <c r="V47" s="343"/>
      <c r="W47" s="343"/>
      <c r="X47" s="343"/>
      <c r="Y47" s="342"/>
      <c r="Z47" s="343"/>
      <c r="AA47" s="343"/>
      <c r="AB47" s="343"/>
      <c r="AC47" s="343"/>
      <c r="AD47" s="343"/>
      <c r="AE47" s="343"/>
      <c r="AF47" s="343"/>
    </row>
    <row r="48" spans="2:33" x14ac:dyDescent="0.2">
      <c r="B48" s="348"/>
      <c r="C48" s="348"/>
      <c r="D48" s="348"/>
      <c r="E48" s="342"/>
      <c r="F48" s="343"/>
      <c r="G48" s="343"/>
      <c r="H48" s="343"/>
      <c r="I48" s="343"/>
      <c r="J48" s="343"/>
      <c r="K48" s="343"/>
      <c r="L48" s="343"/>
      <c r="M48" s="343"/>
      <c r="N48" s="343"/>
      <c r="O48" s="343"/>
      <c r="P48" s="343"/>
      <c r="Q48" s="343"/>
      <c r="R48" s="343"/>
      <c r="S48" s="343"/>
      <c r="T48" s="343"/>
      <c r="U48" s="343"/>
      <c r="V48" s="343"/>
      <c r="W48" s="343"/>
      <c r="X48" s="343"/>
      <c r="Y48" s="342"/>
      <c r="Z48" s="343"/>
      <c r="AA48" s="343"/>
      <c r="AB48" s="343"/>
      <c r="AC48" s="343"/>
      <c r="AD48" s="343"/>
      <c r="AE48" s="343"/>
      <c r="AF48" s="343"/>
    </row>
    <row r="49" spans="2:32" x14ac:dyDescent="0.2">
      <c r="C49" s="24"/>
      <c r="I49" s="25"/>
    </row>
    <row r="50" spans="2:32" ht="20.25" x14ac:dyDescent="0.2">
      <c r="B50" s="21" t="s">
        <v>34</v>
      </c>
      <c r="C50" s="22"/>
      <c r="I50" s="25"/>
    </row>
    <row r="51" spans="2:32" ht="12.75" customHeight="1" x14ac:dyDescent="0.2">
      <c r="B51" s="347" t="s">
        <v>33</v>
      </c>
      <c r="C51" s="347"/>
      <c r="D51" s="347"/>
      <c r="E51" s="347"/>
      <c r="F51" s="347"/>
      <c r="G51" s="347"/>
      <c r="H51" s="352"/>
      <c r="I51" s="352"/>
      <c r="J51" s="352"/>
      <c r="K51" s="352"/>
      <c r="L51" s="352"/>
      <c r="M51" s="352"/>
      <c r="N51" s="352"/>
      <c r="O51" s="352"/>
      <c r="P51" s="352"/>
      <c r="Q51" s="352"/>
      <c r="R51" s="352"/>
      <c r="S51" s="352"/>
      <c r="T51" s="352"/>
      <c r="U51" s="352"/>
      <c r="V51" s="352"/>
      <c r="W51" s="352"/>
      <c r="X51" s="352"/>
      <c r="Y51" s="352"/>
      <c r="Z51" s="352"/>
      <c r="AA51" s="352"/>
      <c r="AB51" s="352"/>
      <c r="AC51" s="352"/>
      <c r="AD51" s="352"/>
      <c r="AE51" s="352"/>
      <c r="AF51" s="352"/>
    </row>
    <row r="52" spans="2:32" x14ac:dyDescent="0.2">
      <c r="B52" s="344"/>
      <c r="C52" s="345"/>
      <c r="D52" s="345"/>
      <c r="E52" s="345"/>
      <c r="F52" s="345"/>
      <c r="G52" s="346"/>
      <c r="H52" s="349"/>
      <c r="I52" s="350"/>
      <c r="J52" s="350"/>
      <c r="K52" s="350"/>
      <c r="L52" s="350"/>
      <c r="M52" s="350"/>
      <c r="N52" s="350"/>
      <c r="O52" s="350"/>
      <c r="P52" s="350"/>
      <c r="Q52" s="350"/>
      <c r="R52" s="350"/>
      <c r="S52" s="350"/>
      <c r="T52" s="350"/>
      <c r="U52" s="350"/>
      <c r="V52" s="350"/>
      <c r="W52" s="350"/>
      <c r="X52" s="350"/>
      <c r="Y52" s="350"/>
      <c r="Z52" s="350"/>
      <c r="AA52" s="350"/>
      <c r="AB52" s="350"/>
      <c r="AC52" s="350"/>
      <c r="AD52" s="350"/>
      <c r="AE52" s="350"/>
      <c r="AF52" s="351"/>
    </row>
    <row r="53" spans="2:32" x14ac:dyDescent="0.2">
      <c r="B53" s="344"/>
      <c r="C53" s="345"/>
      <c r="D53" s="345"/>
      <c r="E53" s="345"/>
      <c r="F53" s="345"/>
      <c r="G53" s="346"/>
      <c r="H53" s="349"/>
      <c r="I53" s="350"/>
      <c r="J53" s="350"/>
      <c r="K53" s="350"/>
      <c r="L53" s="350"/>
      <c r="M53" s="350"/>
      <c r="N53" s="350"/>
      <c r="O53" s="350"/>
      <c r="P53" s="350"/>
      <c r="Q53" s="350"/>
      <c r="R53" s="350"/>
      <c r="S53" s="350"/>
      <c r="T53" s="350"/>
      <c r="U53" s="350"/>
      <c r="V53" s="350"/>
      <c r="W53" s="350"/>
      <c r="X53" s="350"/>
      <c r="Y53" s="350"/>
      <c r="Z53" s="350"/>
      <c r="AA53" s="350"/>
      <c r="AB53" s="350"/>
      <c r="AC53" s="350"/>
      <c r="AD53" s="350"/>
      <c r="AE53" s="350"/>
      <c r="AF53" s="351"/>
    </row>
    <row r="54" spans="2:32" x14ac:dyDescent="0.2">
      <c r="B54" s="344"/>
      <c r="C54" s="345"/>
      <c r="D54" s="345"/>
      <c r="E54" s="345"/>
      <c r="F54" s="345"/>
      <c r="G54" s="346"/>
      <c r="H54" s="349"/>
      <c r="I54" s="350"/>
      <c r="J54" s="350"/>
      <c r="K54" s="350"/>
      <c r="L54" s="350"/>
      <c r="M54" s="350"/>
      <c r="N54" s="350"/>
      <c r="O54" s="350"/>
      <c r="P54" s="350"/>
      <c r="Q54" s="350"/>
      <c r="R54" s="350"/>
      <c r="S54" s="350"/>
      <c r="T54" s="350"/>
      <c r="U54" s="350"/>
      <c r="V54" s="350"/>
      <c r="W54" s="350"/>
      <c r="X54" s="350"/>
      <c r="Y54" s="350"/>
      <c r="Z54" s="350"/>
      <c r="AA54" s="350"/>
      <c r="AB54" s="350"/>
      <c r="AC54" s="350"/>
      <c r="AD54" s="350"/>
      <c r="AE54" s="350"/>
      <c r="AF54" s="351"/>
    </row>
    <row r="55" spans="2:32" x14ac:dyDescent="0.2">
      <c r="B55" s="344"/>
      <c r="C55" s="345"/>
      <c r="D55" s="345"/>
      <c r="E55" s="345"/>
      <c r="F55" s="345"/>
      <c r="G55" s="346"/>
      <c r="H55" s="349"/>
      <c r="I55" s="350"/>
      <c r="J55" s="350"/>
      <c r="K55" s="350"/>
      <c r="L55" s="350"/>
      <c r="M55" s="350"/>
      <c r="N55" s="350"/>
      <c r="O55" s="350"/>
      <c r="P55" s="350"/>
      <c r="Q55" s="350"/>
      <c r="R55" s="350"/>
      <c r="S55" s="350"/>
      <c r="T55" s="350"/>
      <c r="U55" s="350"/>
      <c r="V55" s="350"/>
      <c r="W55" s="350"/>
      <c r="X55" s="350"/>
      <c r="Y55" s="350"/>
      <c r="Z55" s="350"/>
      <c r="AA55" s="350"/>
      <c r="AB55" s="350"/>
      <c r="AC55" s="350"/>
      <c r="AD55" s="350"/>
      <c r="AE55" s="350"/>
      <c r="AF55" s="351"/>
    </row>
    <row r="56" spans="2:32" x14ac:dyDescent="0.2">
      <c r="B56" s="344"/>
      <c r="C56" s="345"/>
      <c r="D56" s="345"/>
      <c r="E56" s="345"/>
      <c r="F56" s="345"/>
      <c r="G56" s="346"/>
      <c r="H56" s="349"/>
      <c r="I56" s="350"/>
      <c r="J56" s="350"/>
      <c r="K56" s="350"/>
      <c r="L56" s="350"/>
      <c r="M56" s="350"/>
      <c r="N56" s="350"/>
      <c r="O56" s="350"/>
      <c r="P56" s="350"/>
      <c r="Q56" s="350"/>
      <c r="R56" s="350"/>
      <c r="S56" s="350"/>
      <c r="T56" s="350"/>
      <c r="U56" s="350"/>
      <c r="V56" s="350"/>
      <c r="W56" s="350"/>
      <c r="X56" s="350"/>
      <c r="Y56" s="350"/>
      <c r="Z56" s="350"/>
      <c r="AA56" s="350"/>
      <c r="AB56" s="350"/>
      <c r="AC56" s="350"/>
      <c r="AD56" s="350"/>
      <c r="AE56" s="350"/>
      <c r="AF56" s="351"/>
    </row>
    <row r="57" spans="2:32" x14ac:dyDescent="0.2">
      <c r="B57" s="28"/>
      <c r="C57" s="28"/>
      <c r="D57" s="28"/>
      <c r="E57" s="28"/>
      <c r="F57" s="28"/>
      <c r="G57" s="28"/>
      <c r="H57" s="33"/>
      <c r="I57" s="33"/>
      <c r="J57" s="33"/>
      <c r="K57" s="33"/>
      <c r="L57" s="33"/>
      <c r="M57" s="33"/>
      <c r="N57" s="33"/>
      <c r="O57" s="33"/>
      <c r="P57" s="33"/>
      <c r="Q57" s="33"/>
      <c r="R57" s="33"/>
      <c r="S57" s="33"/>
      <c r="T57" s="33"/>
      <c r="U57" s="33"/>
      <c r="V57" s="33"/>
      <c r="W57" s="33"/>
      <c r="X57" s="33"/>
      <c r="Y57" s="33"/>
      <c r="Z57" s="33"/>
      <c r="AA57" s="33"/>
      <c r="AB57" s="33"/>
      <c r="AC57" s="33"/>
      <c r="AD57" s="33"/>
      <c r="AE57" s="33"/>
      <c r="AF57" s="33"/>
    </row>
    <row r="58" spans="2:32" x14ac:dyDescent="0.2">
      <c r="B58" s="28"/>
      <c r="C58" s="28"/>
      <c r="D58" s="28"/>
      <c r="E58" s="28"/>
      <c r="F58" s="28"/>
      <c r="G58" s="28"/>
      <c r="H58" s="33"/>
      <c r="I58" s="33"/>
      <c r="J58" s="33"/>
      <c r="K58" s="33"/>
      <c r="L58" s="33"/>
      <c r="M58" s="33"/>
      <c r="N58" s="33"/>
      <c r="O58" s="33"/>
      <c r="P58" s="33"/>
      <c r="Q58" s="33"/>
      <c r="R58" s="33"/>
      <c r="S58" s="33"/>
      <c r="T58" s="33"/>
      <c r="U58" s="33"/>
      <c r="V58" s="33"/>
      <c r="W58" s="33"/>
      <c r="X58" s="33"/>
      <c r="Y58" s="33"/>
      <c r="Z58" s="33"/>
      <c r="AA58" s="33"/>
      <c r="AB58" s="33"/>
      <c r="AC58" s="33"/>
      <c r="AD58" s="33"/>
      <c r="AE58" s="33"/>
      <c r="AF58" s="33"/>
    </row>
    <row r="59" spans="2:32" ht="26.25" x14ac:dyDescent="0.2">
      <c r="B59" s="34" t="s">
        <v>35</v>
      </c>
      <c r="C59" s="35"/>
      <c r="D59" s="35"/>
      <c r="E59" s="35"/>
      <c r="F59" s="35"/>
      <c r="G59" s="35"/>
      <c r="H59" s="36"/>
      <c r="I59" s="36"/>
      <c r="J59" s="36"/>
      <c r="K59" s="36"/>
      <c r="L59" s="36"/>
      <c r="M59" s="36"/>
      <c r="N59" s="36"/>
      <c r="O59" s="36"/>
      <c r="P59" s="36"/>
      <c r="Q59" s="36"/>
      <c r="R59" s="36"/>
      <c r="S59" s="36"/>
      <c r="T59" s="36"/>
      <c r="U59" s="36"/>
      <c r="V59" s="36"/>
      <c r="W59" s="36"/>
      <c r="X59" s="36"/>
      <c r="Y59" s="36"/>
      <c r="Z59" s="36"/>
      <c r="AA59" s="36"/>
      <c r="AB59" s="36"/>
      <c r="AC59" s="36"/>
      <c r="AD59" s="36"/>
      <c r="AE59" s="36"/>
      <c r="AF59" s="36"/>
    </row>
    <row r="60" spans="2:32" ht="15.75" customHeight="1" x14ac:dyDescent="0.2">
      <c r="B60" s="37"/>
      <c r="C60" s="28"/>
      <c r="D60" s="28"/>
      <c r="E60" s="28"/>
      <c r="F60" s="28"/>
      <c r="G60" s="28"/>
      <c r="H60" s="33"/>
      <c r="I60" s="33"/>
      <c r="J60" s="33"/>
      <c r="K60" s="33"/>
      <c r="L60" s="33"/>
      <c r="M60" s="33"/>
      <c r="N60" s="33"/>
      <c r="O60" s="33"/>
      <c r="P60" s="33"/>
      <c r="Q60" s="33"/>
      <c r="R60" s="33"/>
      <c r="S60" s="33"/>
      <c r="T60" s="33"/>
      <c r="U60" s="33"/>
      <c r="V60" s="33"/>
      <c r="W60" s="33"/>
      <c r="X60" s="33"/>
      <c r="Y60" s="33"/>
      <c r="Z60" s="33"/>
      <c r="AA60" s="33"/>
      <c r="AB60" s="33"/>
      <c r="AC60" s="33"/>
      <c r="AD60" s="33"/>
      <c r="AE60" s="33"/>
      <c r="AF60" s="33"/>
    </row>
    <row r="61" spans="2:32" x14ac:dyDescent="0.2">
      <c r="B61" s="353" t="s">
        <v>95</v>
      </c>
      <c r="C61" s="353"/>
      <c r="D61" s="353"/>
      <c r="E61" s="353"/>
      <c r="F61" s="353"/>
      <c r="G61" s="353"/>
      <c r="H61" s="353"/>
      <c r="I61" s="353"/>
      <c r="J61" s="353"/>
      <c r="K61" s="353"/>
      <c r="L61" s="353"/>
      <c r="M61" s="353"/>
      <c r="N61" s="353"/>
      <c r="O61" s="353"/>
      <c r="P61" s="353"/>
      <c r="Q61" s="353"/>
      <c r="R61" s="353"/>
      <c r="S61" s="353"/>
      <c r="T61" s="353"/>
      <c r="U61" s="353"/>
      <c r="V61" s="353"/>
      <c r="W61" s="353"/>
      <c r="X61" s="353"/>
      <c r="Y61" s="353"/>
      <c r="Z61" s="353"/>
      <c r="AA61" s="353"/>
      <c r="AB61" s="353"/>
      <c r="AC61" s="353"/>
      <c r="AD61" s="353"/>
      <c r="AE61" s="353"/>
      <c r="AF61" s="353"/>
    </row>
    <row r="62" spans="2:32" ht="12.75" customHeight="1" x14ac:dyDescent="0.2">
      <c r="B62" s="38"/>
      <c r="C62" s="38"/>
      <c r="D62" s="38"/>
      <c r="E62" s="38"/>
      <c r="F62" s="38"/>
      <c r="G62" s="38"/>
      <c r="H62" s="39"/>
      <c r="I62" s="39"/>
      <c r="J62" s="39"/>
      <c r="K62" s="39"/>
      <c r="L62" s="39"/>
      <c r="M62" s="39"/>
      <c r="N62" s="39"/>
      <c r="O62" s="39"/>
      <c r="P62" s="39"/>
      <c r="Q62" s="39"/>
      <c r="R62" s="39"/>
      <c r="S62" s="39"/>
      <c r="T62" s="39"/>
      <c r="U62" s="39"/>
      <c r="V62" s="39"/>
      <c r="W62" s="39"/>
      <c r="X62" s="39"/>
      <c r="Y62" s="39"/>
      <c r="Z62" s="39"/>
      <c r="AA62" s="39"/>
      <c r="AB62" s="39"/>
      <c r="AC62" s="39"/>
      <c r="AD62" s="39"/>
      <c r="AE62" s="39"/>
      <c r="AF62" s="39"/>
    </row>
    <row r="63" spans="2:32" ht="12.75" customHeight="1" x14ac:dyDescent="0.2">
      <c r="B63" s="38"/>
      <c r="C63" s="38"/>
      <c r="D63" s="38"/>
      <c r="E63" s="38"/>
      <c r="F63" s="38"/>
      <c r="G63" s="38"/>
      <c r="H63" s="39"/>
      <c r="I63" s="39"/>
      <c r="J63" s="39"/>
      <c r="K63" s="39"/>
      <c r="L63" s="39"/>
      <c r="M63" s="39"/>
      <c r="N63" s="39"/>
      <c r="O63" s="39"/>
      <c r="P63" s="39"/>
      <c r="Q63" s="39"/>
      <c r="R63" s="39"/>
      <c r="S63" s="39"/>
      <c r="T63" s="39"/>
      <c r="U63" s="39"/>
      <c r="V63" s="39"/>
      <c r="W63" s="39"/>
      <c r="X63" s="39"/>
      <c r="Y63" s="39"/>
      <c r="Z63" s="39"/>
      <c r="AA63" s="39"/>
      <c r="AB63" s="39"/>
      <c r="AC63" s="39"/>
      <c r="AD63" s="39"/>
      <c r="AE63" s="39"/>
      <c r="AF63" s="39"/>
    </row>
    <row r="64" spans="2:32" x14ac:dyDescent="0.2">
      <c r="B64" s="38"/>
      <c r="C64" s="38"/>
      <c r="D64" s="38"/>
      <c r="E64" s="38"/>
      <c r="F64" s="38"/>
      <c r="G64" s="38"/>
      <c r="H64" s="39"/>
      <c r="I64" s="39"/>
      <c r="J64" s="39"/>
      <c r="K64" s="39"/>
      <c r="L64" s="39"/>
      <c r="M64" s="39"/>
      <c r="N64" s="39"/>
      <c r="O64" s="39"/>
      <c r="P64" s="39"/>
      <c r="Q64" s="39"/>
      <c r="R64" s="39"/>
      <c r="S64" s="39"/>
      <c r="T64" s="39"/>
      <c r="U64" s="39"/>
      <c r="V64" s="39"/>
      <c r="W64" s="39"/>
      <c r="X64" s="39"/>
      <c r="Y64" s="39"/>
      <c r="Z64" s="39"/>
      <c r="AA64" s="39"/>
      <c r="AB64" s="39"/>
      <c r="AC64" s="39"/>
      <c r="AD64" s="39"/>
      <c r="AE64" s="39"/>
      <c r="AF64" s="39"/>
    </row>
    <row r="65" spans="2:34" ht="12.75" customHeight="1" x14ac:dyDescent="0.2">
      <c r="B65" s="38"/>
      <c r="C65" s="38"/>
      <c r="D65" s="38"/>
      <c r="E65" s="38"/>
      <c r="F65" s="38"/>
      <c r="G65" s="38"/>
      <c r="H65" s="39"/>
      <c r="I65" s="39"/>
      <c r="J65" s="39"/>
      <c r="K65" s="39"/>
      <c r="L65" s="39"/>
      <c r="M65" s="39"/>
      <c r="N65" s="39"/>
      <c r="O65" s="39"/>
      <c r="P65" s="39"/>
      <c r="Q65" s="39"/>
      <c r="R65" s="39"/>
      <c r="S65" s="39"/>
      <c r="T65" s="39"/>
      <c r="U65" s="39"/>
      <c r="V65" s="39"/>
      <c r="W65" s="39"/>
      <c r="X65" s="39"/>
      <c r="Y65" s="39"/>
      <c r="Z65" s="39"/>
      <c r="AA65" s="39"/>
      <c r="AB65" s="39"/>
      <c r="AC65" s="39"/>
      <c r="AD65" s="39"/>
      <c r="AE65" s="39"/>
      <c r="AF65" s="39"/>
    </row>
    <row r="66" spans="2:34" ht="12.75" customHeight="1" x14ac:dyDescent="0.2">
      <c r="B66" s="38"/>
      <c r="C66" s="38"/>
      <c r="D66" s="38"/>
      <c r="E66" s="38"/>
      <c r="F66" s="38"/>
      <c r="G66" s="38"/>
      <c r="H66" s="39"/>
      <c r="I66" s="39"/>
      <c r="J66" s="39"/>
      <c r="K66" s="39"/>
      <c r="L66" s="39"/>
      <c r="M66" s="39"/>
      <c r="N66" s="39"/>
      <c r="O66" s="39"/>
      <c r="P66" s="39"/>
      <c r="Q66" s="39"/>
      <c r="R66" s="39"/>
      <c r="S66" s="39"/>
      <c r="T66" s="39"/>
      <c r="U66" s="39"/>
      <c r="V66" s="39"/>
      <c r="W66" s="39"/>
      <c r="X66" s="39"/>
      <c r="Y66" s="39"/>
      <c r="Z66" s="39"/>
      <c r="AA66" s="39"/>
      <c r="AB66" s="39"/>
      <c r="AC66" s="39"/>
      <c r="AD66" s="39"/>
      <c r="AE66" s="39"/>
      <c r="AF66" s="39"/>
    </row>
    <row r="67" spans="2:34" x14ac:dyDescent="0.2">
      <c r="B67" s="38"/>
      <c r="C67" s="38"/>
      <c r="D67" s="38"/>
      <c r="E67" s="38"/>
      <c r="F67" s="38"/>
      <c r="G67" s="38"/>
      <c r="H67" s="39"/>
      <c r="I67" s="39"/>
      <c r="J67" s="39"/>
      <c r="K67" s="39"/>
      <c r="L67" s="39"/>
      <c r="M67" s="39"/>
      <c r="N67" s="39"/>
      <c r="O67" s="39"/>
      <c r="P67" s="39"/>
      <c r="Q67" s="39"/>
      <c r="R67" s="39"/>
      <c r="S67" s="39"/>
      <c r="T67" s="39"/>
      <c r="U67" s="39"/>
      <c r="V67" s="39"/>
      <c r="W67" s="39"/>
      <c r="X67" s="39"/>
      <c r="Y67" s="39"/>
      <c r="Z67" s="39"/>
      <c r="AA67" s="39"/>
      <c r="AB67" s="39"/>
      <c r="AC67" s="39"/>
      <c r="AD67" s="39"/>
      <c r="AE67" s="39"/>
      <c r="AF67" s="39"/>
    </row>
    <row r="68" spans="2:34" ht="16.5" customHeight="1" x14ac:dyDescent="0.2">
      <c r="B68" s="38"/>
      <c r="C68" s="38"/>
      <c r="D68" s="38"/>
      <c r="E68" s="38"/>
      <c r="F68" s="38"/>
      <c r="G68" s="38"/>
      <c r="H68" s="39"/>
      <c r="I68" s="39"/>
      <c r="J68" s="39"/>
      <c r="K68" s="39"/>
      <c r="L68" s="39"/>
      <c r="M68" s="39"/>
      <c r="N68" s="39"/>
      <c r="O68" s="39"/>
      <c r="P68" s="39"/>
      <c r="Q68" s="39"/>
      <c r="R68" s="39"/>
      <c r="S68" s="39"/>
      <c r="T68" s="39"/>
      <c r="U68" s="39"/>
      <c r="V68" s="39"/>
      <c r="W68" s="39"/>
      <c r="X68" s="39"/>
      <c r="Y68" s="39"/>
      <c r="Z68" s="39"/>
      <c r="AA68" s="39"/>
      <c r="AB68" s="39"/>
      <c r="AC68" s="39"/>
      <c r="AD68" s="39"/>
      <c r="AE68" s="39"/>
      <c r="AF68" s="39"/>
    </row>
    <row r="69" spans="2:34" ht="123.75" customHeight="1" x14ac:dyDescent="0.2">
      <c r="B69" s="38"/>
      <c r="C69" s="38"/>
      <c r="D69" s="38"/>
      <c r="E69" s="38"/>
      <c r="F69" s="38"/>
      <c r="G69" s="38"/>
      <c r="H69" s="39"/>
      <c r="I69" s="39"/>
      <c r="J69" s="39"/>
      <c r="K69" s="39"/>
      <c r="L69" s="39"/>
      <c r="M69" s="39"/>
      <c r="N69" s="39"/>
      <c r="O69" s="39"/>
      <c r="P69" s="39"/>
      <c r="Q69" s="39"/>
      <c r="R69" s="39"/>
      <c r="S69" s="39"/>
      <c r="T69" s="39"/>
      <c r="U69" s="39"/>
      <c r="V69" s="39"/>
      <c r="W69" s="39"/>
      <c r="X69" s="39"/>
      <c r="Y69" s="39"/>
      <c r="Z69" s="39"/>
      <c r="AA69" s="39"/>
      <c r="AB69" s="39"/>
      <c r="AC69" s="39"/>
      <c r="AD69" s="39"/>
      <c r="AE69" s="39"/>
      <c r="AF69" s="39"/>
    </row>
    <row r="70" spans="2:34" x14ac:dyDescent="0.2">
      <c r="B70" s="38"/>
      <c r="C70" s="38"/>
      <c r="D70" s="38"/>
      <c r="E70" s="38"/>
      <c r="F70" s="38"/>
      <c r="G70" s="38"/>
      <c r="H70" s="39"/>
      <c r="I70" s="39"/>
      <c r="J70" s="39"/>
      <c r="K70" s="39"/>
      <c r="L70" s="39"/>
      <c r="M70" s="39"/>
      <c r="N70" s="39"/>
      <c r="O70" s="39"/>
      <c r="P70" s="39"/>
      <c r="Q70" s="39"/>
      <c r="R70" s="39"/>
      <c r="S70" s="39"/>
      <c r="T70" s="39"/>
      <c r="U70" s="39"/>
      <c r="V70" s="39"/>
      <c r="W70" s="39"/>
      <c r="X70" s="39"/>
      <c r="Y70" s="39"/>
      <c r="Z70" s="39"/>
      <c r="AA70" s="39"/>
      <c r="AB70" s="39"/>
      <c r="AC70" s="39"/>
      <c r="AD70" s="39"/>
      <c r="AE70" s="39"/>
      <c r="AF70" s="39"/>
    </row>
    <row r="71" spans="2:34" x14ac:dyDescent="0.2">
      <c r="B71" s="38"/>
      <c r="C71" s="38"/>
      <c r="D71" s="38"/>
      <c r="E71" s="38"/>
      <c r="F71" s="38"/>
      <c r="G71" s="38"/>
      <c r="H71" s="39"/>
      <c r="I71" s="39"/>
      <c r="J71" s="39"/>
      <c r="K71" s="39"/>
      <c r="L71" s="39"/>
      <c r="M71" s="39"/>
      <c r="N71" s="39"/>
      <c r="O71" s="39"/>
      <c r="P71" s="39"/>
      <c r="Q71" s="39"/>
      <c r="R71" s="39"/>
      <c r="S71" s="39"/>
      <c r="T71" s="39"/>
      <c r="U71" s="39"/>
      <c r="V71" s="39"/>
      <c r="W71" s="39"/>
      <c r="X71" s="39"/>
      <c r="Y71" s="39"/>
      <c r="Z71" s="39"/>
      <c r="AA71" s="39"/>
      <c r="AB71" s="39"/>
      <c r="AC71" s="39"/>
      <c r="AD71" s="39"/>
      <c r="AE71" s="39"/>
      <c r="AF71" s="39"/>
    </row>
    <row r="72" spans="2:34" x14ac:dyDescent="0.2">
      <c r="B72" s="38"/>
      <c r="C72" s="38"/>
      <c r="D72" s="38"/>
      <c r="E72" s="38"/>
      <c r="F72" s="38"/>
      <c r="G72" s="38"/>
      <c r="H72" s="39"/>
      <c r="I72" s="39"/>
      <c r="J72" s="39"/>
      <c r="K72" s="39"/>
      <c r="L72" s="39"/>
      <c r="M72" s="39"/>
      <c r="N72" s="39"/>
      <c r="O72" s="39"/>
      <c r="P72" s="39"/>
      <c r="Q72" s="39"/>
      <c r="R72" s="39"/>
      <c r="S72" s="39"/>
      <c r="T72" s="39"/>
      <c r="U72" s="39"/>
      <c r="V72" s="39"/>
      <c r="W72" s="39"/>
      <c r="X72" s="39"/>
      <c r="Y72" s="39"/>
      <c r="Z72" s="39"/>
      <c r="AA72" s="39"/>
      <c r="AB72" s="39"/>
      <c r="AC72" s="39"/>
      <c r="AD72" s="39"/>
      <c r="AE72" s="39"/>
      <c r="AF72" s="39"/>
    </row>
    <row r="73" spans="2:34" ht="13.5" customHeight="1" x14ac:dyDescent="0.2">
      <c r="B73" s="38"/>
      <c r="C73" s="38"/>
      <c r="D73" s="38"/>
      <c r="E73" s="38"/>
      <c r="F73" s="38"/>
      <c r="G73" s="38"/>
      <c r="H73" s="39"/>
      <c r="I73" s="39"/>
      <c r="J73" s="39"/>
      <c r="K73" s="39"/>
      <c r="L73" s="39"/>
      <c r="M73" s="39"/>
      <c r="N73" s="39"/>
      <c r="O73" s="39"/>
      <c r="P73" s="39"/>
      <c r="Q73" s="39"/>
      <c r="R73" s="39"/>
      <c r="S73" s="39"/>
      <c r="T73" s="39"/>
      <c r="U73" s="39"/>
      <c r="V73" s="39"/>
      <c r="W73" s="39"/>
      <c r="X73" s="39"/>
      <c r="Y73" s="39"/>
      <c r="Z73" s="39"/>
      <c r="AA73" s="39"/>
      <c r="AB73" s="39"/>
      <c r="AC73" s="39"/>
      <c r="AD73" s="39"/>
      <c r="AE73" s="39"/>
      <c r="AF73" s="39"/>
    </row>
    <row r="74" spans="2:34" ht="12" customHeight="1" x14ac:dyDescent="0.2"/>
    <row r="75" spans="2:34" ht="409.5" hidden="1" customHeight="1" x14ac:dyDescent="0.2">
      <c r="F75" s="40"/>
      <c r="G75" s="40"/>
      <c r="H75" s="40"/>
      <c r="I75" s="40"/>
      <c r="J75" s="40"/>
      <c r="K75" s="40"/>
      <c r="L75" s="40"/>
      <c r="M75" s="40"/>
      <c r="N75" s="40"/>
      <c r="O75" s="40"/>
      <c r="P75" s="40"/>
      <c r="Q75" s="40"/>
      <c r="R75" s="40"/>
      <c r="S75" s="40"/>
      <c r="T75" s="40"/>
      <c r="U75" s="40"/>
      <c r="V75" s="40"/>
      <c r="W75" s="40"/>
      <c r="X75" s="40"/>
      <c r="Y75" s="40"/>
      <c r="Z75" s="40"/>
      <c r="AA75" s="40"/>
      <c r="AB75" s="40"/>
      <c r="AC75" s="40"/>
      <c r="AD75" s="40"/>
      <c r="AE75" s="40"/>
      <c r="AF75" s="40"/>
      <c r="AG75" s="40"/>
      <c r="AH75" s="40"/>
    </row>
    <row r="76" spans="2:34" ht="12.75" hidden="1" customHeight="1" x14ac:dyDescent="0.2">
      <c r="F76" s="40"/>
      <c r="G76" s="41"/>
      <c r="H76" s="41"/>
      <c r="I76" s="41"/>
      <c r="J76" s="41"/>
      <c r="K76" s="41"/>
      <c r="L76" s="41"/>
      <c r="M76" s="41"/>
      <c r="N76" s="41"/>
      <c r="O76" s="41"/>
      <c r="P76" s="41"/>
      <c r="Q76" s="41"/>
      <c r="R76" s="41"/>
      <c r="S76" s="41"/>
      <c r="T76" s="41"/>
      <c r="U76" s="41"/>
      <c r="V76" s="41"/>
      <c r="W76" s="41"/>
      <c r="X76" s="41"/>
      <c r="Y76" s="41"/>
      <c r="Z76" s="41"/>
      <c r="AA76" s="41"/>
      <c r="AB76" s="41"/>
      <c r="AC76" s="41"/>
      <c r="AD76" s="41"/>
      <c r="AE76" s="41"/>
      <c r="AF76" s="41"/>
      <c r="AG76" s="41"/>
      <c r="AH76" s="40"/>
    </row>
    <row r="77" spans="2:34" ht="12.75" hidden="1" customHeight="1" x14ac:dyDescent="0.2">
      <c r="F77" s="40"/>
      <c r="G77" s="38"/>
      <c r="H77" s="38"/>
      <c r="I77" s="38"/>
      <c r="J77" s="38"/>
      <c r="K77" s="38"/>
      <c r="L77" s="38"/>
      <c r="M77" s="38"/>
      <c r="N77" s="38"/>
      <c r="O77" s="38"/>
      <c r="P77" s="38"/>
      <c r="Q77" s="38"/>
      <c r="R77" s="38"/>
      <c r="S77" s="38"/>
      <c r="T77" s="38"/>
      <c r="U77" s="38"/>
      <c r="V77" s="38"/>
      <c r="W77" s="38"/>
      <c r="X77" s="38"/>
      <c r="Y77" s="38"/>
      <c r="Z77" s="38"/>
      <c r="AA77" s="38"/>
      <c r="AB77" s="38"/>
      <c r="AC77" s="38"/>
      <c r="AD77" s="38"/>
      <c r="AE77" s="38"/>
      <c r="AF77" s="38"/>
      <c r="AG77" s="38"/>
      <c r="AH77" s="40"/>
    </row>
    <row r="78" spans="2:34" hidden="1" x14ac:dyDescent="0.2">
      <c r="F78" s="40"/>
      <c r="G78" s="38"/>
      <c r="H78" s="38"/>
      <c r="I78" s="38"/>
      <c r="J78" s="38"/>
      <c r="K78" s="38"/>
      <c r="L78" s="38"/>
      <c r="M78" s="38"/>
      <c r="N78" s="38"/>
      <c r="O78" s="38"/>
      <c r="P78" s="38"/>
      <c r="Q78" s="38"/>
      <c r="R78" s="38"/>
      <c r="S78" s="38"/>
      <c r="T78" s="38"/>
      <c r="U78" s="38"/>
      <c r="V78" s="38"/>
      <c r="W78" s="38"/>
      <c r="X78" s="38"/>
      <c r="Y78" s="38"/>
      <c r="Z78" s="38"/>
      <c r="AA78" s="38"/>
      <c r="AB78" s="38"/>
      <c r="AC78" s="38"/>
      <c r="AD78" s="38"/>
      <c r="AE78" s="38"/>
      <c r="AF78" s="38"/>
      <c r="AG78" s="38"/>
      <c r="AH78" s="40"/>
    </row>
    <row r="79" spans="2:34" hidden="1" x14ac:dyDescent="0.2">
      <c r="F79" s="42"/>
      <c r="G79" s="42"/>
      <c r="H79" s="42"/>
      <c r="I79" s="42"/>
      <c r="J79" s="40"/>
      <c r="K79" s="40"/>
      <c r="L79" s="40"/>
      <c r="M79" s="40"/>
      <c r="N79" s="40"/>
      <c r="O79" s="40"/>
      <c r="P79" s="40"/>
      <c r="Q79" s="40"/>
      <c r="R79" s="40"/>
      <c r="S79" s="42"/>
      <c r="T79" s="42"/>
      <c r="U79" s="42"/>
      <c r="V79" s="42"/>
      <c r="W79" s="42"/>
      <c r="X79" s="42"/>
      <c r="Y79" s="42"/>
      <c r="Z79" s="42"/>
      <c r="AA79" s="42"/>
      <c r="AB79" s="42"/>
      <c r="AC79" s="42"/>
      <c r="AD79" s="42"/>
      <c r="AE79" s="42"/>
      <c r="AF79" s="42"/>
      <c r="AG79" s="42"/>
      <c r="AH79" s="40"/>
    </row>
    <row r="80" spans="2:34" hidden="1" x14ac:dyDescent="0.2">
      <c r="F80" s="42"/>
      <c r="G80" s="42"/>
      <c r="H80" s="42"/>
      <c r="I80" s="42"/>
      <c r="J80" s="40"/>
      <c r="K80" s="40"/>
      <c r="L80" s="40"/>
      <c r="M80" s="40"/>
      <c r="N80" s="40"/>
      <c r="O80" s="40"/>
      <c r="P80" s="40"/>
      <c r="Q80" s="40"/>
      <c r="R80" s="40"/>
      <c r="S80" s="42"/>
      <c r="T80" s="42"/>
      <c r="U80" s="42"/>
      <c r="V80" s="42"/>
      <c r="W80" s="42"/>
      <c r="X80" s="42"/>
      <c r="Y80" s="42"/>
      <c r="Z80" s="42"/>
      <c r="AA80" s="42"/>
      <c r="AB80" s="42"/>
      <c r="AC80" s="42"/>
      <c r="AD80" s="42"/>
      <c r="AE80" s="42"/>
      <c r="AF80" s="42"/>
      <c r="AG80" s="42"/>
      <c r="AH80" s="40"/>
    </row>
    <row r="81" spans="6:34" hidden="1" x14ac:dyDescent="0.2">
      <c r="F81" s="43"/>
      <c r="G81" s="43"/>
      <c r="H81" s="43"/>
      <c r="I81" s="43"/>
      <c r="J81" s="43"/>
      <c r="K81" s="43"/>
      <c r="R81" s="43"/>
      <c r="S81" s="42"/>
      <c r="T81" s="42"/>
      <c r="U81" s="42"/>
      <c r="V81" s="42"/>
      <c r="W81" s="42"/>
      <c r="X81" s="42"/>
      <c r="Y81" s="42"/>
      <c r="Z81" s="42"/>
      <c r="AA81" s="42"/>
      <c r="AB81" s="42"/>
      <c r="AC81" s="42"/>
      <c r="AD81" s="42"/>
      <c r="AE81" s="42"/>
      <c r="AF81" s="42"/>
      <c r="AG81" s="42"/>
      <c r="AH81" s="43"/>
    </row>
    <row r="82" spans="6:34" hidden="1" x14ac:dyDescent="0.2">
      <c r="R82" s="43"/>
      <c r="S82" s="43"/>
      <c r="T82" s="43"/>
      <c r="U82" s="43"/>
      <c r="V82" s="43"/>
      <c r="W82" s="43"/>
      <c r="X82" s="43"/>
      <c r="Y82" s="43"/>
      <c r="Z82" s="43"/>
      <c r="AA82" s="43"/>
      <c r="AB82" s="43"/>
      <c r="AC82" s="43"/>
      <c r="AD82" s="43"/>
      <c r="AE82" s="43"/>
      <c r="AF82" s="43"/>
      <c r="AG82" s="43"/>
      <c r="AH82" s="43"/>
    </row>
    <row r="83" spans="6:34" hidden="1" x14ac:dyDescent="0.2">
      <c r="R83" s="43"/>
      <c r="S83" s="43"/>
      <c r="T83" s="43"/>
      <c r="U83" s="43"/>
      <c r="V83" s="43"/>
      <c r="W83" s="43"/>
      <c r="X83" s="43"/>
      <c r="Y83" s="43"/>
      <c r="Z83" s="43"/>
      <c r="AA83" s="43"/>
      <c r="AB83" s="43"/>
      <c r="AC83" s="43"/>
      <c r="AD83" s="43"/>
      <c r="AE83" s="43"/>
      <c r="AF83" s="43"/>
      <c r="AG83" s="43"/>
      <c r="AH83" s="43"/>
    </row>
    <row r="84" spans="6:34" hidden="1" x14ac:dyDescent="0.2"/>
    <row r="85" spans="6:34" hidden="1" x14ac:dyDescent="0.2"/>
    <row r="86" spans="6:34" hidden="1" x14ac:dyDescent="0.2"/>
    <row r="87" spans="6:34" hidden="1" x14ac:dyDescent="0.2"/>
    <row r="88" spans="6:34" hidden="1" x14ac:dyDescent="0.2"/>
    <row r="89" spans="6:34" hidden="1" x14ac:dyDescent="0.2"/>
    <row r="90" spans="6:34" hidden="1" x14ac:dyDescent="0.2"/>
    <row r="91" spans="6:34" hidden="1" x14ac:dyDescent="0.2"/>
    <row r="92" spans="6:34" hidden="1" x14ac:dyDescent="0.2"/>
    <row r="93" spans="6:34" hidden="1" x14ac:dyDescent="0.2"/>
    <row r="94" spans="6:34" hidden="1" x14ac:dyDescent="0.2"/>
    <row r="95" spans="6:34" hidden="1" x14ac:dyDescent="0.2"/>
    <row r="96" spans="6:34" hidden="1" x14ac:dyDescent="0.2"/>
    <row r="97" hidden="1" x14ac:dyDescent="0.2"/>
    <row r="98" hidden="1" x14ac:dyDescent="0.2"/>
    <row r="99" hidden="1" x14ac:dyDescent="0.2"/>
    <row r="100" hidden="1" x14ac:dyDescent="0.2"/>
    <row r="101" hidden="1" x14ac:dyDescent="0.2"/>
    <row r="102" hidden="1" x14ac:dyDescent="0.2"/>
    <row r="103" hidden="1" x14ac:dyDescent="0.2"/>
    <row r="104" hidden="1" x14ac:dyDescent="0.2"/>
    <row r="105" hidden="1" x14ac:dyDescent="0.2"/>
    <row r="106" hidden="1" x14ac:dyDescent="0.2"/>
    <row r="107" hidden="1" x14ac:dyDescent="0.2"/>
    <row r="108" hidden="1" x14ac:dyDescent="0.2"/>
    <row r="109" hidden="1" x14ac:dyDescent="0.2"/>
    <row r="110" hidden="1" x14ac:dyDescent="0.2"/>
    <row r="111" hidden="1" x14ac:dyDescent="0.2"/>
    <row r="112" hidden="1" x14ac:dyDescent="0.2"/>
    <row r="113" hidden="1" x14ac:dyDescent="0.2"/>
    <row r="114" hidden="1" x14ac:dyDescent="0.2"/>
    <row r="115" hidden="1" x14ac:dyDescent="0.2"/>
    <row r="116" hidden="1" x14ac:dyDescent="0.2"/>
    <row r="117" hidden="1" x14ac:dyDescent="0.2"/>
    <row r="118" hidden="1" x14ac:dyDescent="0.2"/>
    <row r="119" hidden="1" x14ac:dyDescent="0.2"/>
    <row r="120" hidden="1" x14ac:dyDescent="0.2"/>
    <row r="121" hidden="1" x14ac:dyDescent="0.2"/>
    <row r="122" hidden="1" x14ac:dyDescent="0.2"/>
    <row r="123" hidden="1" x14ac:dyDescent="0.2"/>
    <row r="124" hidden="1" x14ac:dyDescent="0.2"/>
    <row r="125" hidden="1" x14ac:dyDescent="0.2"/>
    <row r="126" hidden="1" x14ac:dyDescent="0.2"/>
    <row r="127" hidden="1" x14ac:dyDescent="0.2"/>
    <row r="128" hidden="1" x14ac:dyDescent="0.2"/>
    <row r="129" hidden="1" x14ac:dyDescent="0.2"/>
    <row r="130" hidden="1" x14ac:dyDescent="0.2"/>
    <row r="131" hidden="1" x14ac:dyDescent="0.2"/>
    <row r="132" hidden="1" x14ac:dyDescent="0.2"/>
    <row r="133" hidden="1" x14ac:dyDescent="0.2"/>
    <row r="134" hidden="1" x14ac:dyDescent="0.2"/>
    <row r="135" hidden="1" x14ac:dyDescent="0.2"/>
    <row r="136" hidden="1" x14ac:dyDescent="0.2"/>
    <row r="137" hidden="1" x14ac:dyDescent="0.2"/>
    <row r="138" hidden="1" x14ac:dyDescent="0.2"/>
    <row r="139" hidden="1" x14ac:dyDescent="0.2"/>
    <row r="140" hidden="1" x14ac:dyDescent="0.2"/>
    <row r="141" hidden="1" x14ac:dyDescent="0.2"/>
    <row r="142" hidden="1" x14ac:dyDescent="0.2"/>
    <row r="143" hidden="1" x14ac:dyDescent="0.2"/>
    <row r="144" hidden="1" x14ac:dyDescent="0.2"/>
    <row r="145" hidden="1" x14ac:dyDescent="0.2"/>
    <row r="146" hidden="1" x14ac:dyDescent="0.2"/>
    <row r="147" hidden="1" x14ac:dyDescent="0.2"/>
    <row r="148" hidden="1" x14ac:dyDescent="0.2"/>
    <row r="149" hidden="1" x14ac:dyDescent="0.2"/>
    <row r="150" hidden="1" x14ac:dyDescent="0.2"/>
    <row r="151" hidden="1" x14ac:dyDescent="0.2"/>
    <row r="152" hidden="1" x14ac:dyDescent="0.2"/>
    <row r="153" hidden="1" x14ac:dyDescent="0.2"/>
    <row r="154" hidden="1" x14ac:dyDescent="0.2"/>
    <row r="155" hidden="1" x14ac:dyDescent="0.2"/>
    <row r="156" hidden="1" x14ac:dyDescent="0.2"/>
    <row r="157" hidden="1" x14ac:dyDescent="0.2"/>
    <row r="158" hidden="1" x14ac:dyDescent="0.2"/>
    <row r="159" hidden="1" x14ac:dyDescent="0.2"/>
    <row r="160" hidden="1" x14ac:dyDescent="0.2"/>
    <row r="161" hidden="1" x14ac:dyDescent="0.2"/>
    <row r="162" hidden="1" x14ac:dyDescent="0.2"/>
    <row r="163" hidden="1" x14ac:dyDescent="0.2"/>
    <row r="164" hidden="1" x14ac:dyDescent="0.2"/>
    <row r="165" hidden="1" x14ac:dyDescent="0.2"/>
    <row r="166" hidden="1" x14ac:dyDescent="0.2"/>
    <row r="167" hidden="1" x14ac:dyDescent="0.2"/>
    <row r="168" hidden="1" x14ac:dyDescent="0.2"/>
    <row r="169" hidden="1" x14ac:dyDescent="0.2"/>
    <row r="170" hidden="1" x14ac:dyDescent="0.2"/>
    <row r="171" hidden="1" x14ac:dyDescent="0.2"/>
    <row r="172" hidden="1" x14ac:dyDescent="0.2"/>
  </sheetData>
  <sheetProtection formatCells="0" formatRows="0" insertColumns="0" insertRows="0" insertHyperlinks="0" deleteRows="0" selectLockedCells="1" sort="0" autoFilter="0" pivotTables="0"/>
  <mergeCells count="100">
    <mergeCell ref="B34:AF34"/>
    <mergeCell ref="R29:AF29"/>
    <mergeCell ref="E30:H30"/>
    <mergeCell ref="B38:D38"/>
    <mergeCell ref="R30:AF30"/>
    <mergeCell ref="Y38:AF38"/>
    <mergeCell ref="B29:D29"/>
    <mergeCell ref="E45:X45"/>
    <mergeCell ref="B41:D41"/>
    <mergeCell ref="Y39:AF39"/>
    <mergeCell ref="Y40:AF40"/>
    <mergeCell ref="B42:D42"/>
    <mergeCell ref="Y44:AF44"/>
    <mergeCell ref="E44:X44"/>
    <mergeCell ref="Y45:AF45"/>
    <mergeCell ref="Y41:AF41"/>
    <mergeCell ref="Y42:AF42"/>
    <mergeCell ref="B40:D40"/>
    <mergeCell ref="B39:D39"/>
    <mergeCell ref="E39:X39"/>
    <mergeCell ref="E40:X40"/>
    <mergeCell ref="E41:X41"/>
    <mergeCell ref="E42:X42"/>
    <mergeCell ref="A9:AG9"/>
    <mergeCell ref="B26:D26"/>
    <mergeCell ref="B18:F18"/>
    <mergeCell ref="G18:AF18"/>
    <mergeCell ref="G15:AF15"/>
    <mergeCell ref="G16:AF16"/>
    <mergeCell ref="G20:AF20"/>
    <mergeCell ref="B20:F20"/>
    <mergeCell ref="G17:AF17"/>
    <mergeCell ref="B16:F16"/>
    <mergeCell ref="E26:H26"/>
    <mergeCell ref="I26:Q26"/>
    <mergeCell ref="G19:AF19"/>
    <mergeCell ref="B17:F17"/>
    <mergeCell ref="B19:F19"/>
    <mergeCell ref="R26:AF26"/>
    <mergeCell ref="A7:D7"/>
    <mergeCell ref="W6:AA6"/>
    <mergeCell ref="AB7:AD7"/>
    <mergeCell ref="E7:V7"/>
    <mergeCell ref="W4:AA4"/>
    <mergeCell ref="E46:X46"/>
    <mergeCell ref="AB4:AG4"/>
    <mergeCell ref="AB5:AG5"/>
    <mergeCell ref="AE6:AG6"/>
    <mergeCell ref="AE7:AG7"/>
    <mergeCell ref="A8:AG8"/>
    <mergeCell ref="AB6:AD6"/>
    <mergeCell ref="A4:V4"/>
    <mergeCell ref="A5:V5"/>
    <mergeCell ref="E6:V6"/>
    <mergeCell ref="W7:AA7"/>
    <mergeCell ref="W5:AA5"/>
    <mergeCell ref="A6:D6"/>
    <mergeCell ref="B15:F15"/>
    <mergeCell ref="E29:H29"/>
    <mergeCell ref="I29:Q29"/>
    <mergeCell ref="E27:H27"/>
    <mergeCell ref="R27:AF27"/>
    <mergeCell ref="B28:D28"/>
    <mergeCell ref="I28:Q28"/>
    <mergeCell ref="B27:D27"/>
    <mergeCell ref="I27:Q27"/>
    <mergeCell ref="E28:H28"/>
    <mergeCell ref="R28:AF28"/>
    <mergeCell ref="B21:F21"/>
    <mergeCell ref="G21:AF21"/>
    <mergeCell ref="B22:F22"/>
    <mergeCell ref="Y47:AF47"/>
    <mergeCell ref="G22:AF22"/>
    <mergeCell ref="B23:F23"/>
    <mergeCell ref="G23:AF23"/>
    <mergeCell ref="B45:D45"/>
    <mergeCell ref="B47:D47"/>
    <mergeCell ref="B44:D44"/>
    <mergeCell ref="B46:D46"/>
    <mergeCell ref="Y46:AF46"/>
    <mergeCell ref="E47:X47"/>
    <mergeCell ref="B30:D30"/>
    <mergeCell ref="I30:Q30"/>
    <mergeCell ref="E38:X38"/>
    <mergeCell ref="B61:AF61"/>
    <mergeCell ref="B53:G53"/>
    <mergeCell ref="H53:AF53"/>
    <mergeCell ref="H54:AF54"/>
    <mergeCell ref="B52:G52"/>
    <mergeCell ref="B56:G56"/>
    <mergeCell ref="H56:AF56"/>
    <mergeCell ref="B55:G55"/>
    <mergeCell ref="H55:AF55"/>
    <mergeCell ref="E48:X48"/>
    <mergeCell ref="Y48:AF48"/>
    <mergeCell ref="B54:G54"/>
    <mergeCell ref="B51:G51"/>
    <mergeCell ref="B48:D48"/>
    <mergeCell ref="H52:AF52"/>
    <mergeCell ref="H51:AF51"/>
  </mergeCells>
  <phoneticPr fontId="6" type="noConversion"/>
  <hyperlinks>
    <hyperlink ref="B61" location="'User Guide'!A1" display="See user guide sheet" xr:uid="{00000000-0004-0000-0100-000000000000}"/>
  </hyperlinks>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Reserved&amp;LExxxxxx rev xxx ver xxx&amp;R&amp;P</oddFooter>
  </headerFooter>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5">
    <tabColor theme="9" tint="0.59999389629810485"/>
  </sheetPr>
  <dimension ref="A1:Q35"/>
  <sheetViews>
    <sheetView zoomScale="80" workbookViewId="0">
      <selection activeCell="A6" sqref="A6:K6"/>
    </sheetView>
  </sheetViews>
  <sheetFormatPr defaultColWidth="0" defaultRowHeight="14.25" zeroHeight="1" x14ac:dyDescent="0.2"/>
  <cols>
    <col min="1" max="1" width="47.125" style="91" bestFit="1" customWidth="1"/>
    <col min="2" max="2" width="14.25" style="91" customWidth="1"/>
    <col min="3" max="3" width="23.75" style="91" customWidth="1"/>
    <col min="4" max="4" width="14.625" style="91" customWidth="1"/>
    <col min="5" max="5" width="16.75" style="91" hidden="1" customWidth="1"/>
    <col min="6" max="6" width="17.5" style="91" customWidth="1"/>
    <col min="7" max="7" width="19.75" style="91" customWidth="1"/>
    <col min="8" max="8" width="16.25" style="91" customWidth="1"/>
    <col min="9" max="9" width="14.125" style="91" customWidth="1"/>
    <col min="10" max="10" width="15.625" style="91" customWidth="1"/>
    <col min="11" max="11" width="13.25" style="91" customWidth="1"/>
    <col min="12" max="14" width="11.25" style="91" customWidth="1"/>
    <col min="15" max="15" width="12" style="91" customWidth="1"/>
    <col min="16" max="16" width="15.25" style="91" customWidth="1"/>
    <col min="17" max="17" width="12.625" style="91" customWidth="1"/>
    <col min="18" max="18" width="14.125" style="91" customWidth="1"/>
    <col min="19" max="20" width="11.25" style="91" customWidth="1"/>
    <col min="21" max="23" width="10" style="91" customWidth="1"/>
    <col min="24" max="16384" width="0" style="91" hidden="1"/>
  </cols>
  <sheetData>
    <row r="1" spans="1:17" ht="26.25" x14ac:dyDescent="0.2">
      <c r="A1" s="370" t="s">
        <v>42</v>
      </c>
      <c r="B1" s="370"/>
      <c r="C1" s="370"/>
      <c r="D1" s="370"/>
      <c r="E1" s="370"/>
      <c r="F1" s="370"/>
      <c r="G1" s="370"/>
      <c r="H1" s="370"/>
      <c r="I1" s="370"/>
      <c r="J1" s="370"/>
      <c r="K1" s="370"/>
      <c r="L1" s="37"/>
      <c r="M1" s="37"/>
    </row>
    <row r="2" spans="1:17" s="92" customFormat="1" ht="48.75" customHeight="1" x14ac:dyDescent="0.2">
      <c r="A2" s="371" t="s">
        <v>186</v>
      </c>
      <c r="B2" s="371"/>
      <c r="C2" s="371"/>
      <c r="D2" s="371"/>
      <c r="E2" s="371"/>
      <c r="F2" s="371"/>
      <c r="G2" s="371"/>
      <c r="H2" s="371"/>
      <c r="I2" s="371"/>
      <c r="J2" s="371"/>
      <c r="K2" s="371"/>
      <c r="L2" s="132"/>
      <c r="M2" s="132"/>
    </row>
    <row r="3" spans="1:17" ht="110.25" customHeight="1" x14ac:dyDescent="0.2">
      <c r="A3" s="371" t="s">
        <v>150</v>
      </c>
      <c r="B3" s="371"/>
      <c r="C3" s="371"/>
      <c r="D3" s="371"/>
      <c r="E3" s="371"/>
      <c r="F3" s="371"/>
      <c r="G3" s="371"/>
      <c r="H3" s="371"/>
      <c r="I3" s="371"/>
      <c r="J3" s="371"/>
      <c r="K3" s="371"/>
      <c r="L3" s="371"/>
      <c r="M3" s="371"/>
    </row>
    <row r="4" spans="1:17" ht="74.25" customHeight="1" x14ac:dyDescent="0.2">
      <c r="A4" s="371" t="s">
        <v>187</v>
      </c>
      <c r="B4" s="371"/>
      <c r="C4" s="371"/>
      <c r="D4" s="371"/>
      <c r="E4" s="371"/>
      <c r="F4" s="371"/>
      <c r="G4" s="371"/>
      <c r="H4" s="371"/>
      <c r="I4" s="371"/>
      <c r="J4" s="371"/>
      <c r="K4" s="371"/>
      <c r="L4" s="371"/>
      <c r="M4" s="371"/>
      <c r="N4" s="133"/>
    </row>
    <row r="5" spans="1:17" ht="69.75" customHeight="1" x14ac:dyDescent="0.2">
      <c r="A5" s="371" t="s">
        <v>188</v>
      </c>
      <c r="B5" s="371"/>
      <c r="C5" s="371"/>
      <c r="D5" s="371"/>
      <c r="E5" s="371"/>
      <c r="F5" s="371"/>
      <c r="G5" s="371"/>
      <c r="H5" s="371"/>
      <c r="I5" s="371"/>
      <c r="J5" s="371"/>
      <c r="K5" s="371"/>
      <c r="L5" s="371"/>
      <c r="M5" s="371"/>
      <c r="N5" s="133"/>
    </row>
    <row r="6" spans="1:17" ht="40.5" customHeight="1" x14ac:dyDescent="0.2">
      <c r="A6" s="371" t="s">
        <v>210</v>
      </c>
      <c r="B6" s="371"/>
      <c r="C6" s="371"/>
      <c r="D6" s="371"/>
      <c r="E6" s="371"/>
      <c r="F6" s="371"/>
      <c r="G6" s="371"/>
      <c r="H6" s="371"/>
      <c r="I6" s="371"/>
      <c r="J6" s="371"/>
      <c r="K6" s="371"/>
      <c r="L6" s="300"/>
      <c r="M6" s="300"/>
      <c r="N6" s="300"/>
      <c r="O6" s="300"/>
      <c r="P6" s="300"/>
      <c r="Q6" s="300"/>
    </row>
    <row r="7" spans="1:17" x14ac:dyDescent="0.2">
      <c r="A7" s="126"/>
      <c r="B7" s="125"/>
      <c r="C7" s="125"/>
      <c r="D7" s="125"/>
      <c r="E7" s="125"/>
      <c r="F7" s="125"/>
      <c r="G7" s="125"/>
      <c r="H7" s="125"/>
      <c r="I7" s="125"/>
      <c r="J7" s="125"/>
      <c r="K7" s="125"/>
      <c r="L7" s="125"/>
      <c r="M7" s="125"/>
      <c r="N7" s="125"/>
    </row>
    <row r="8" spans="1:17" ht="39" customHeight="1" x14ac:dyDescent="0.2">
      <c r="A8" s="370" t="s">
        <v>145</v>
      </c>
      <c r="B8" s="370"/>
      <c r="C8" s="370"/>
      <c r="D8" s="370"/>
      <c r="E8" s="370"/>
      <c r="F8" s="370"/>
      <c r="G8" s="370"/>
      <c r="H8" s="370"/>
      <c r="I8" s="370"/>
      <c r="J8" s="370"/>
      <c r="K8" s="370"/>
      <c r="L8" s="370"/>
      <c r="M8" s="370"/>
      <c r="N8" s="96"/>
    </row>
    <row r="9" spans="1:17" ht="60" customHeight="1" thickBot="1" x14ac:dyDescent="0.25">
      <c r="B9" s="95"/>
      <c r="C9" s="95"/>
      <c r="D9" s="95"/>
      <c r="E9" s="95"/>
      <c r="F9" s="374" t="s">
        <v>135</v>
      </c>
      <c r="G9" s="375"/>
      <c r="H9" s="375"/>
      <c r="I9" s="376"/>
    </row>
    <row r="10" spans="1:17" s="93" customFormat="1" ht="131.25" customHeight="1" x14ac:dyDescent="0.2">
      <c r="A10" s="372" t="s">
        <v>139</v>
      </c>
      <c r="B10" s="106" t="s">
        <v>43</v>
      </c>
      <c r="C10" s="105" t="s">
        <v>45</v>
      </c>
      <c r="D10" s="105" t="s">
        <v>46</v>
      </c>
      <c r="E10" s="104" t="s">
        <v>47</v>
      </c>
      <c r="F10" s="102" t="s">
        <v>48</v>
      </c>
      <c r="G10" s="102" t="s">
        <v>49</v>
      </c>
      <c r="H10" s="101" t="s">
        <v>50</v>
      </c>
    </row>
    <row r="11" spans="1:17" ht="82.5" customHeight="1" x14ac:dyDescent="0.4">
      <c r="A11" s="373"/>
      <c r="B11" s="229" t="s">
        <v>136</v>
      </c>
      <c r="C11" s="229" t="s">
        <v>140</v>
      </c>
      <c r="D11" s="229" t="s">
        <v>141</v>
      </c>
      <c r="E11" s="98" t="s">
        <v>51</v>
      </c>
      <c r="F11" s="229" t="s">
        <v>142</v>
      </c>
      <c r="G11" s="229" t="s">
        <v>143</v>
      </c>
      <c r="H11" s="229" t="s">
        <v>144</v>
      </c>
      <c r="I11" s="97"/>
      <c r="J11" s="97"/>
      <c r="K11" s="97"/>
      <c r="L11" s="97"/>
      <c r="M11" s="97"/>
      <c r="N11" s="96"/>
    </row>
    <row r="12" spans="1:17" ht="12.75" customHeight="1" x14ac:dyDescent="0.2">
      <c r="A12" s="96"/>
      <c r="B12" s="96"/>
      <c r="C12" s="96"/>
      <c r="D12" s="96"/>
      <c r="E12" s="96"/>
      <c r="F12" s="96"/>
      <c r="G12" s="96"/>
      <c r="H12" s="96"/>
      <c r="I12" s="96"/>
      <c r="J12" s="96"/>
      <c r="K12" s="96"/>
      <c r="L12" s="96"/>
      <c r="M12" s="96"/>
      <c r="N12" s="96"/>
    </row>
    <row r="13" spans="1:17" ht="12.75" customHeight="1" x14ac:dyDescent="0.2">
      <c r="A13" s="96"/>
      <c r="B13" s="96"/>
      <c r="C13" s="96"/>
      <c r="D13" s="96"/>
      <c r="E13" s="96"/>
      <c r="F13" s="96"/>
      <c r="G13" s="96"/>
      <c r="H13" s="96"/>
      <c r="I13" s="96"/>
      <c r="J13" s="96"/>
      <c r="K13" s="96"/>
      <c r="L13" s="96"/>
      <c r="M13" s="96"/>
      <c r="N13" s="96"/>
    </row>
    <row r="14" spans="1:17" ht="26.25" x14ac:dyDescent="0.2">
      <c r="A14" s="370" t="s">
        <v>146</v>
      </c>
      <c r="B14" s="370"/>
      <c r="C14" s="370"/>
      <c r="D14" s="370"/>
      <c r="E14" s="370"/>
      <c r="F14" s="370"/>
      <c r="G14" s="370"/>
      <c r="H14" s="370"/>
      <c r="I14" s="370"/>
      <c r="J14" s="370"/>
      <c r="K14" s="370"/>
      <c r="L14" s="370"/>
      <c r="M14" s="370"/>
    </row>
    <row r="15" spans="1:17" s="94" customFormat="1" ht="74.25" customHeight="1" x14ac:dyDescent="0.2">
      <c r="B15" s="379" t="s">
        <v>178</v>
      </c>
      <c r="C15" s="380"/>
      <c r="D15" s="380"/>
      <c r="E15" s="380"/>
      <c r="F15" s="380"/>
      <c r="G15" s="380"/>
      <c r="M15" s="377" t="s">
        <v>157</v>
      </c>
      <c r="N15" s="378"/>
      <c r="P15" s="99" t="s">
        <v>158</v>
      </c>
    </row>
    <row r="16" spans="1:17" ht="154.5" customHeight="1" x14ac:dyDescent="0.2">
      <c r="B16" s="236" t="s">
        <v>52</v>
      </c>
      <c r="C16" s="236" t="s">
        <v>53</v>
      </c>
      <c r="D16" s="236" t="s">
        <v>54</v>
      </c>
      <c r="E16" s="236" t="s">
        <v>55</v>
      </c>
      <c r="F16" s="236" t="s">
        <v>177</v>
      </c>
      <c r="G16" s="236" t="s">
        <v>179</v>
      </c>
      <c r="H16" s="236" t="s">
        <v>192</v>
      </c>
      <c r="I16" s="236" t="s">
        <v>181</v>
      </c>
      <c r="J16" s="236" t="s">
        <v>56</v>
      </c>
      <c r="K16" s="236" t="s">
        <v>57</v>
      </c>
      <c r="L16" s="236" t="s">
        <v>58</v>
      </c>
      <c r="M16" s="235" t="s">
        <v>153</v>
      </c>
      <c r="N16" s="234" t="s">
        <v>154</v>
      </c>
      <c r="O16" s="235" t="s">
        <v>155</v>
      </c>
      <c r="P16" s="234" t="s">
        <v>156</v>
      </c>
    </row>
    <row r="17" spans="1:16" s="103" customFormat="1" ht="127.5" x14ac:dyDescent="0.2">
      <c r="A17" s="231" t="s">
        <v>147</v>
      </c>
      <c r="B17" s="100" t="s">
        <v>59</v>
      </c>
      <c r="C17" s="100" t="s">
        <v>60</v>
      </c>
      <c r="D17" s="99" t="s">
        <v>132</v>
      </c>
      <c r="E17" s="100" t="s">
        <v>61</v>
      </c>
      <c r="F17" s="99" t="s">
        <v>198</v>
      </c>
      <c r="G17" s="99" t="s">
        <v>185</v>
      </c>
      <c r="H17" s="228" t="s">
        <v>194</v>
      </c>
      <c r="I17" s="228" t="s">
        <v>193</v>
      </c>
      <c r="J17" s="228" t="s">
        <v>182</v>
      </c>
      <c r="K17" s="229" t="s">
        <v>183</v>
      </c>
      <c r="L17" s="229" t="s">
        <v>184</v>
      </c>
      <c r="M17" s="233" t="s">
        <v>180</v>
      </c>
      <c r="N17" s="233" t="s">
        <v>154</v>
      </c>
      <c r="O17" s="232" t="s">
        <v>168</v>
      </c>
      <c r="P17" s="233" t="s">
        <v>159</v>
      </c>
    </row>
    <row r="18" spans="1:16" x14ac:dyDescent="0.2"/>
    <row r="19" spans="1:16" ht="15" x14ac:dyDescent="0.2">
      <c r="A19" s="90"/>
    </row>
    <row r="20" spans="1:16" x14ac:dyDescent="0.2"/>
    <row r="21" spans="1:16" x14ac:dyDescent="0.2"/>
    <row r="22" spans="1:16" x14ac:dyDescent="0.2"/>
    <row r="23" spans="1:16" x14ac:dyDescent="0.2"/>
    <row r="24" spans="1:16" x14ac:dyDescent="0.2"/>
    <row r="25" spans="1:16" x14ac:dyDescent="0.2"/>
    <row r="26" spans="1:16" x14ac:dyDescent="0.2"/>
    <row r="27" spans="1:16" x14ac:dyDescent="0.2"/>
    <row r="28" spans="1:16" x14ac:dyDescent="0.2"/>
    <row r="29" spans="1:16" x14ac:dyDescent="0.2"/>
    <row r="30" spans="1:16" x14ac:dyDescent="0.2"/>
    <row r="31" spans="1:16" x14ac:dyDescent="0.2"/>
    <row r="32" spans="1:16" x14ac:dyDescent="0.2"/>
    <row r="33" x14ac:dyDescent="0.2"/>
    <row r="34" x14ac:dyDescent="0.2"/>
    <row r="35" x14ac:dyDescent="0.2"/>
  </sheetData>
  <mergeCells count="17">
    <mergeCell ref="M15:N15"/>
    <mergeCell ref="A6:K6"/>
    <mergeCell ref="B15:G15"/>
    <mergeCell ref="A5:K5"/>
    <mergeCell ref="L5:M5"/>
    <mergeCell ref="A1:K1"/>
    <mergeCell ref="A8:K8"/>
    <mergeCell ref="L8:M8"/>
    <mergeCell ref="A14:K14"/>
    <mergeCell ref="L14:M14"/>
    <mergeCell ref="A2:K2"/>
    <mergeCell ref="A3:K3"/>
    <mergeCell ref="L3:M3"/>
    <mergeCell ref="A4:K4"/>
    <mergeCell ref="L4:M4"/>
    <mergeCell ref="A10:A11"/>
    <mergeCell ref="F9:I9"/>
  </mergeCells>
  <pageMargins left="0.75" right="0.75" top="1" bottom="1" header="0.4921259845" footer="0.4921259845"/>
  <pageSetup paperSize="9" orientation="portrait" r:id="rId1"/>
  <headerFooter alignWithMargins="0">
    <oddFooter>&amp;LExxxxxx rev xxx ver xxx&amp;R&amp;P</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1">
    <tabColor theme="4" tint="0.39997558519241921"/>
    <outlinePr summaryBelow="0" summaryRight="0"/>
  </sheetPr>
  <dimension ref="A1:V111"/>
  <sheetViews>
    <sheetView tabSelected="1" zoomScale="70" zoomScaleNormal="70" workbookViewId="0">
      <pane xSplit="1" ySplit="1" topLeftCell="B2" activePane="bottomRight" state="frozen"/>
      <selection pane="topRight" activeCell="B1" sqref="B1"/>
      <selection pane="bottomLeft" activeCell="A2" sqref="A2"/>
      <selection pane="bottomRight" activeCell="B1" sqref="B1:C1"/>
    </sheetView>
  </sheetViews>
  <sheetFormatPr defaultRowHeight="15" zeroHeight="1" outlineLevelRow="1" x14ac:dyDescent="0.2"/>
  <cols>
    <col min="1" max="1" width="49.25" style="115" customWidth="1"/>
    <col min="2" max="2" width="11.375" style="112" customWidth="1"/>
    <col min="3" max="3" width="14.625" style="112" bestFit="1" customWidth="1"/>
    <col min="4" max="4" width="12.875" style="112" customWidth="1"/>
    <col min="5" max="5" width="15.625" style="112" bestFit="1" customWidth="1"/>
    <col min="6" max="6" width="11.375" style="113" customWidth="1"/>
    <col min="7" max="7" width="12.25" style="113" customWidth="1"/>
    <col min="8" max="8" width="12.75" style="113" bestFit="1" customWidth="1"/>
    <col min="9" max="9" width="11.375" style="113" customWidth="1"/>
    <col min="10" max="10" width="12.875" style="113" customWidth="1"/>
    <col min="11" max="11" width="13.375" style="113" customWidth="1"/>
    <col min="12" max="12" width="13" style="112" customWidth="1"/>
    <col min="13" max="16" width="11.375" style="114" customWidth="1"/>
    <col min="17" max="17" width="14.75" style="114" bestFit="1" customWidth="1"/>
    <col min="18" max="18" width="16.375" style="114" customWidth="1"/>
    <col min="19" max="19" width="16.25" style="114" bestFit="1" customWidth="1"/>
    <col min="20" max="20" width="13.875" style="114" customWidth="1"/>
    <col min="21" max="21" width="14.375" style="114" customWidth="1"/>
    <col min="22" max="22" width="14.5" style="114" customWidth="1"/>
    <col min="23" max="16384" width="9" style="114"/>
  </cols>
  <sheetData>
    <row r="1" spans="1:22" ht="12" customHeight="1" x14ac:dyDescent="0.2">
      <c r="A1" s="240" t="s">
        <v>148</v>
      </c>
      <c r="B1" s="382" t="str">
        <f>SWVersion</f>
        <v>tbd</v>
      </c>
      <c r="C1" s="383"/>
      <c r="D1" s="239"/>
      <c r="E1" s="239"/>
      <c r="F1" s="241"/>
      <c r="G1" s="241"/>
      <c r="H1" s="241"/>
      <c r="I1" s="241"/>
      <c r="J1" s="241"/>
      <c r="K1" s="241"/>
      <c r="L1" s="239"/>
      <c r="M1" s="242"/>
      <c r="N1" s="242"/>
      <c r="O1" s="242"/>
      <c r="P1" s="242"/>
      <c r="Q1" s="242"/>
      <c r="R1" s="242"/>
      <c r="S1" s="242"/>
      <c r="T1" s="242"/>
      <c r="U1" s="242"/>
      <c r="V1" s="242"/>
    </row>
    <row r="2" spans="1:22" ht="30.75" customHeight="1" thickBot="1" x14ac:dyDescent="0.25">
      <c r="A2" s="239"/>
      <c r="B2" s="239"/>
      <c r="C2" s="239"/>
      <c r="D2" s="239"/>
      <c r="E2" s="239"/>
      <c r="F2" s="241"/>
      <c r="G2" s="241"/>
      <c r="H2" s="241"/>
      <c r="I2" s="241"/>
      <c r="J2" s="241"/>
      <c r="K2" s="241"/>
      <c r="L2" s="239"/>
      <c r="M2" s="242"/>
      <c r="N2" s="242"/>
      <c r="O2" s="242"/>
      <c r="P2" s="242"/>
      <c r="Q2" s="242"/>
      <c r="R2" s="242"/>
      <c r="S2" s="242"/>
      <c r="T2" s="242"/>
      <c r="U2" s="242"/>
      <c r="V2" s="242"/>
    </row>
    <row r="3" spans="1:22" ht="58.5" customHeight="1" thickBot="1" x14ac:dyDescent="0.25">
      <c r="A3" s="239"/>
      <c r="B3" s="239"/>
      <c r="C3" s="393" t="s">
        <v>127</v>
      </c>
      <c r="D3" s="394"/>
      <c r="E3" s="394"/>
      <c r="F3" s="394"/>
      <c r="G3" s="394"/>
      <c r="H3" s="394"/>
      <c r="I3" s="394"/>
      <c r="J3" s="394"/>
      <c r="K3" s="394"/>
      <c r="L3" s="395"/>
      <c r="M3" s="242"/>
      <c r="N3" s="390" t="s">
        <v>162</v>
      </c>
      <c r="O3" s="391"/>
      <c r="P3" s="392"/>
      <c r="Q3" s="391" t="s">
        <v>161</v>
      </c>
      <c r="R3" s="391"/>
      <c r="S3" s="243" t="s">
        <v>163</v>
      </c>
      <c r="T3" s="387" t="s">
        <v>127</v>
      </c>
      <c r="U3" s="388"/>
      <c r="V3" s="389"/>
    </row>
    <row r="4" spans="1:22" s="116" customFormat="1" ht="133.5" thickBot="1" x14ac:dyDescent="0.25">
      <c r="A4" s="244" t="s">
        <v>43</v>
      </c>
      <c r="B4" s="245" t="s">
        <v>115</v>
      </c>
      <c r="C4" s="246" t="s">
        <v>128</v>
      </c>
      <c r="D4" s="246" t="s">
        <v>201</v>
      </c>
      <c r="E4" s="246" t="s">
        <v>202</v>
      </c>
      <c r="F4" s="246" t="s">
        <v>129</v>
      </c>
      <c r="G4" s="246" t="s">
        <v>203</v>
      </c>
      <c r="H4" s="246" t="s">
        <v>204</v>
      </c>
      <c r="I4" s="246" t="s">
        <v>130</v>
      </c>
      <c r="J4" s="246" t="s">
        <v>205</v>
      </c>
      <c r="K4" s="246" t="s">
        <v>206</v>
      </c>
      <c r="L4" s="246" t="s">
        <v>131</v>
      </c>
      <c r="M4" s="247" t="s">
        <v>44</v>
      </c>
      <c r="N4" s="248" t="s">
        <v>124</v>
      </c>
      <c r="O4" s="249" t="s">
        <v>125</v>
      </c>
      <c r="P4" s="250" t="s">
        <v>126</v>
      </c>
      <c r="Q4" s="248" t="s">
        <v>176</v>
      </c>
      <c r="R4" s="250" t="s">
        <v>175</v>
      </c>
      <c r="S4" s="251" t="s">
        <v>174</v>
      </c>
      <c r="T4" s="252" t="s">
        <v>160</v>
      </c>
      <c r="U4" s="253" t="s">
        <v>171</v>
      </c>
      <c r="V4" s="254" t="s">
        <v>155</v>
      </c>
    </row>
    <row r="5" spans="1:22" ht="14.25" x14ac:dyDescent="0.2">
      <c r="A5" s="255"/>
      <c r="B5" s="256"/>
      <c r="C5" s="256"/>
      <c r="D5" s="257"/>
      <c r="E5" s="258"/>
      <c r="F5" s="256"/>
      <c r="G5" s="257"/>
      <c r="H5" s="258"/>
      <c r="I5" s="256"/>
      <c r="J5" s="257"/>
      <c r="K5" s="258"/>
      <c r="L5" s="256"/>
      <c r="M5" s="259"/>
      <c r="N5" s="260"/>
      <c r="O5" s="256"/>
      <c r="P5" s="261"/>
      <c r="Q5" s="262"/>
      <c r="R5" s="263"/>
      <c r="S5" s="264"/>
      <c r="T5" s="265"/>
      <c r="U5" s="266"/>
      <c r="V5" s="267"/>
    </row>
    <row r="6" spans="1:22" thickBot="1" x14ac:dyDescent="0.25">
      <c r="A6" s="255"/>
      <c r="B6" s="256"/>
      <c r="C6" s="256"/>
      <c r="D6" s="268"/>
      <c r="E6" s="258"/>
      <c r="F6" s="256"/>
      <c r="G6" s="257"/>
      <c r="H6" s="258"/>
      <c r="I6" s="256"/>
      <c r="J6" s="257"/>
      <c r="K6" s="258"/>
      <c r="L6" s="256"/>
      <c r="M6" s="259"/>
      <c r="N6" s="260"/>
      <c r="O6" s="256"/>
      <c r="P6" s="261"/>
      <c r="Q6" s="262"/>
      <c r="R6" s="263"/>
      <c r="S6" s="264"/>
      <c r="T6" s="269"/>
      <c r="U6" s="270"/>
      <c r="V6" s="271"/>
    </row>
    <row r="7" spans="1:22" ht="14.25" x14ac:dyDescent="0.2">
      <c r="A7" s="272" t="s">
        <v>98</v>
      </c>
      <c r="B7" s="273">
        <v>0</v>
      </c>
      <c r="C7" s="274">
        <v>0</v>
      </c>
      <c r="D7" s="275">
        <v>0</v>
      </c>
      <c r="E7" s="276">
        <v>0</v>
      </c>
      <c r="F7" s="274">
        <v>0</v>
      </c>
      <c r="G7" s="275">
        <v>0</v>
      </c>
      <c r="H7" s="277">
        <v>0</v>
      </c>
      <c r="I7" s="274">
        <v>0</v>
      </c>
      <c r="J7" s="275">
        <v>0</v>
      </c>
      <c r="K7" s="276">
        <v>0</v>
      </c>
      <c r="L7" s="274">
        <v>0</v>
      </c>
      <c r="M7" s="278">
        <v>0</v>
      </c>
      <c r="N7" s="279">
        <v>0</v>
      </c>
      <c r="O7" s="274">
        <v>0</v>
      </c>
      <c r="P7" s="280">
        <v>0</v>
      </c>
      <c r="Q7" s="281">
        <v>0</v>
      </c>
      <c r="R7" s="282">
        <v>0</v>
      </c>
      <c r="S7" s="279">
        <v>0</v>
      </c>
      <c r="T7" s="279">
        <v>0</v>
      </c>
      <c r="U7" s="274">
        <v>0</v>
      </c>
      <c r="V7" s="280">
        <v>0</v>
      </c>
    </row>
    <row r="8" spans="1:22" s="239" customFormat="1" ht="13.5" thickBot="1" x14ac:dyDescent="0.25">
      <c r="A8" s="283" t="s">
        <v>170</v>
      </c>
      <c r="B8" s="284">
        <f>B7</f>
        <v>0</v>
      </c>
      <c r="C8" s="284" t="e">
        <f t="shared" ref="C8:L8" si="0">INT(LEFT(C7,FIND("(",C$7)-2))</f>
        <v>#VALUE!</v>
      </c>
      <c r="D8" s="285" t="e">
        <f t="shared" si="0"/>
        <v>#VALUE!</v>
      </c>
      <c r="E8" s="286" t="e">
        <f t="shared" si="0"/>
        <v>#VALUE!</v>
      </c>
      <c r="F8" s="284" t="e">
        <f>INT(LEFT(F7,FIND("(",F$7)-2))</f>
        <v>#VALUE!</v>
      </c>
      <c r="G8" s="285" t="e">
        <f t="shared" si="0"/>
        <v>#VALUE!</v>
      </c>
      <c r="H8" s="287" t="e">
        <f t="shared" si="0"/>
        <v>#VALUE!</v>
      </c>
      <c r="I8" s="284" t="e">
        <f t="shared" si="0"/>
        <v>#VALUE!</v>
      </c>
      <c r="J8" s="285" t="e">
        <f t="shared" si="0"/>
        <v>#VALUE!</v>
      </c>
      <c r="K8" s="287" t="e">
        <f t="shared" si="0"/>
        <v>#VALUE!</v>
      </c>
      <c r="L8" s="284" t="e">
        <f t="shared" si="0"/>
        <v>#VALUE!</v>
      </c>
      <c r="M8" s="288">
        <f>M7</f>
        <v>0</v>
      </c>
      <c r="N8" s="289" t="e">
        <f t="shared" ref="N8:V8" si="1">INT(LEFT(N7,FIND("(",N$7)-2))</f>
        <v>#VALUE!</v>
      </c>
      <c r="O8" s="284" t="e">
        <f t="shared" si="1"/>
        <v>#VALUE!</v>
      </c>
      <c r="P8" s="290" t="e">
        <f t="shared" si="1"/>
        <v>#VALUE!</v>
      </c>
      <c r="Q8" s="291" t="e">
        <f t="shared" si="1"/>
        <v>#VALUE!</v>
      </c>
      <c r="R8" s="292" t="e">
        <f t="shared" si="1"/>
        <v>#VALUE!</v>
      </c>
      <c r="S8" s="293" t="e">
        <f t="shared" si="1"/>
        <v>#VALUE!</v>
      </c>
      <c r="T8" s="293" t="e">
        <f t="shared" si="1"/>
        <v>#VALUE!</v>
      </c>
      <c r="U8" s="293" t="e">
        <f t="shared" si="1"/>
        <v>#VALUE!</v>
      </c>
      <c r="V8" s="294" t="e">
        <f t="shared" si="1"/>
        <v>#VALUE!</v>
      </c>
    </row>
    <row r="9" spans="1:22" ht="14.25" x14ac:dyDescent="0.2">
      <c r="A9" s="112"/>
      <c r="F9" s="112"/>
      <c r="L9" s="113"/>
      <c r="M9" s="112"/>
    </row>
    <row r="10" spans="1:22" thickBot="1" x14ac:dyDescent="0.25">
      <c r="A10" s="112"/>
    </row>
    <row r="11" spans="1:22" ht="23.25" thickTop="1" x14ac:dyDescent="0.2">
      <c r="A11" s="134" t="s">
        <v>113</v>
      </c>
      <c r="B11" s="135"/>
      <c r="C11" s="135"/>
      <c r="D11" s="136" t="str">
        <f>A11</f>
        <v>Requirements test plan</v>
      </c>
      <c r="E11" s="136"/>
      <c r="F11" s="136"/>
      <c r="G11" s="137"/>
      <c r="H11" s="137"/>
      <c r="I11" s="138"/>
      <c r="J11" s="154"/>
      <c r="K11" s="136" t="str">
        <f>$A$18</f>
        <v>Functional / Non-functional requirements</v>
      </c>
      <c r="L11" s="155"/>
      <c r="M11" s="155"/>
      <c r="N11" s="155"/>
      <c r="O11" s="155"/>
      <c r="P11" s="156"/>
    </row>
    <row r="12" spans="1:22" ht="15.75" outlineLevel="1" x14ac:dyDescent="0.2">
      <c r="A12" s="295" t="s">
        <v>190</v>
      </c>
      <c r="B12" s="140" t="e">
        <f xml:space="preserve"> D8 - S8</f>
        <v>#VALUE!</v>
      </c>
      <c r="C12" s="141"/>
      <c r="D12" s="141"/>
      <c r="E12" s="142"/>
      <c r="F12" s="142"/>
      <c r="G12" s="142"/>
      <c r="H12" s="142"/>
      <c r="I12" s="143"/>
      <c r="J12" s="157"/>
      <c r="K12" s="146"/>
      <c r="L12" s="141"/>
      <c r="M12" s="146"/>
      <c r="N12" s="146"/>
      <c r="O12" s="146"/>
      <c r="P12" s="158"/>
    </row>
    <row r="13" spans="1:22" ht="15.75" outlineLevel="1" x14ac:dyDescent="0.2">
      <c r="A13" s="295" t="s">
        <v>191</v>
      </c>
      <c r="B13" s="140" t="e">
        <f>E8-S8</f>
        <v>#VALUE!</v>
      </c>
      <c r="C13" s="141"/>
      <c r="D13" s="141"/>
      <c r="E13" s="142"/>
      <c r="F13" s="142"/>
      <c r="G13" s="142"/>
      <c r="H13" s="142"/>
      <c r="I13" s="143"/>
      <c r="J13" s="157"/>
      <c r="K13" s="146"/>
      <c r="L13" s="141"/>
      <c r="M13" s="146"/>
      <c r="N13" s="146"/>
      <c r="O13" s="146"/>
      <c r="P13" s="158"/>
    </row>
    <row r="14" spans="1:22" ht="15.75" outlineLevel="1" x14ac:dyDescent="0.2">
      <c r="A14" s="295" t="s">
        <v>189</v>
      </c>
      <c r="B14" s="140" t="e">
        <f>S8</f>
        <v>#VALUE!</v>
      </c>
      <c r="C14" s="141"/>
      <c r="D14" s="141"/>
      <c r="E14" s="142"/>
      <c r="F14" s="142"/>
      <c r="G14" s="142"/>
      <c r="H14" s="142"/>
      <c r="I14" s="143"/>
      <c r="J14" s="157"/>
      <c r="K14" s="146"/>
      <c r="L14" s="141"/>
      <c r="M14" s="146"/>
      <c r="N14" s="146"/>
      <c r="O14" s="146"/>
      <c r="P14" s="158"/>
    </row>
    <row r="15" spans="1:22" ht="15.75" outlineLevel="1" x14ac:dyDescent="0.2">
      <c r="A15" s="230" t="s">
        <v>137</v>
      </c>
      <c r="B15" s="144" t="e">
        <f>F8</f>
        <v>#VALUE!</v>
      </c>
      <c r="C15" s="141"/>
      <c r="D15" s="141"/>
      <c r="E15" s="142"/>
      <c r="F15" s="142"/>
      <c r="G15" s="142"/>
      <c r="H15" s="142"/>
      <c r="I15" s="143"/>
      <c r="J15" s="157"/>
      <c r="K15" s="146"/>
      <c r="L15" s="141"/>
      <c r="M15" s="146"/>
      <c r="N15" s="146"/>
      <c r="O15" s="146"/>
      <c r="P15" s="158"/>
    </row>
    <row r="16" spans="1:22" ht="14.25" outlineLevel="1" x14ac:dyDescent="0.2">
      <c r="A16" s="145"/>
      <c r="B16" s="146"/>
      <c r="C16" s="141"/>
      <c r="D16" s="141"/>
      <c r="E16" s="142"/>
      <c r="F16" s="142"/>
      <c r="G16" s="142"/>
      <c r="H16" s="142"/>
      <c r="I16" s="143"/>
      <c r="J16" s="157"/>
      <c r="K16" s="146"/>
      <c r="L16" s="141"/>
      <c r="M16" s="146"/>
      <c r="N16" s="146"/>
      <c r="O16" s="146"/>
      <c r="P16" s="158"/>
    </row>
    <row r="17" spans="1:20" ht="14.25" outlineLevel="1" x14ac:dyDescent="0.2">
      <c r="A17" s="145"/>
      <c r="B17" s="146"/>
      <c r="C17" s="141"/>
      <c r="D17" s="141"/>
      <c r="E17" s="142"/>
      <c r="F17" s="142"/>
      <c r="G17" s="142"/>
      <c r="H17" s="142"/>
      <c r="I17" s="143"/>
      <c r="J17" s="157"/>
      <c r="K17" s="146"/>
      <c r="L17" s="141"/>
      <c r="M17" s="146"/>
      <c r="N17" s="146"/>
      <c r="O17" s="146"/>
      <c r="P17" s="158"/>
    </row>
    <row r="18" spans="1:20" ht="22.5" outlineLevel="1" x14ac:dyDescent="0.2">
      <c r="A18" s="147" t="s">
        <v>114</v>
      </c>
      <c r="B18" s="141"/>
      <c r="C18" s="141"/>
      <c r="D18" s="141"/>
      <c r="E18" s="142"/>
      <c r="F18" s="142"/>
      <c r="G18" s="142"/>
      <c r="H18" s="142"/>
      <c r="I18" s="143"/>
      <c r="J18" s="157"/>
      <c r="K18" s="146"/>
      <c r="L18" s="141"/>
      <c r="M18" s="146"/>
      <c r="N18" s="146"/>
      <c r="O18" s="146"/>
      <c r="P18" s="158"/>
    </row>
    <row r="19" spans="1:20" ht="15.75" outlineLevel="1" x14ac:dyDescent="0.2">
      <c r="A19" s="139" t="s">
        <v>107</v>
      </c>
      <c r="B19" s="140" t="e">
        <f>INT(RIGHT(B7,FIND("/",B$7)-2))</f>
        <v>#VALUE!</v>
      </c>
      <c r="C19" s="141"/>
      <c r="D19" s="141"/>
      <c r="E19" s="142"/>
      <c r="F19" s="142"/>
      <c r="G19" s="142"/>
      <c r="H19" s="142"/>
      <c r="I19" s="143"/>
      <c r="J19" s="157"/>
      <c r="K19" s="146"/>
      <c r="L19" s="141"/>
      <c r="M19" s="146"/>
      <c r="N19" s="146"/>
      <c r="O19" s="146"/>
      <c r="P19" s="158"/>
    </row>
    <row r="20" spans="1:20" ht="15.75" outlineLevel="1" x14ac:dyDescent="0.2">
      <c r="A20" s="139" t="s">
        <v>116</v>
      </c>
      <c r="B20" s="140" t="e">
        <f>INT(LEFT(B7,FIND("/",B$7)-2)) - INT(RIGHT(B7,FIND("/",B$7)-2))</f>
        <v>#VALUE!</v>
      </c>
      <c r="C20" s="141"/>
      <c r="D20" s="141"/>
      <c r="E20" s="142"/>
      <c r="F20" s="142"/>
      <c r="G20" s="142"/>
      <c r="H20" s="142"/>
      <c r="I20" s="143"/>
      <c r="J20" s="157"/>
      <c r="K20" s="146"/>
      <c r="L20" s="141"/>
      <c r="M20" s="146"/>
      <c r="N20" s="146"/>
      <c r="O20" s="146"/>
      <c r="P20" s="158"/>
    </row>
    <row r="21" spans="1:20" outlineLevel="1" x14ac:dyDescent="0.2">
      <c r="A21" s="148"/>
      <c r="B21" s="141"/>
      <c r="C21" s="141"/>
      <c r="D21" s="141"/>
      <c r="E21" s="142"/>
      <c r="F21" s="142"/>
      <c r="G21" s="142"/>
      <c r="H21" s="142"/>
      <c r="I21" s="143"/>
      <c r="J21" s="157"/>
      <c r="K21" s="146"/>
      <c r="L21" s="141"/>
      <c r="M21" s="146"/>
      <c r="N21" s="146"/>
      <c r="O21" s="146"/>
      <c r="P21" s="158"/>
    </row>
    <row r="22" spans="1:20" outlineLevel="1" x14ac:dyDescent="0.2">
      <c r="A22" s="148"/>
      <c r="B22" s="141"/>
      <c r="C22" s="141"/>
      <c r="D22" s="141"/>
      <c r="E22" s="142"/>
      <c r="F22" s="142"/>
      <c r="G22" s="142"/>
      <c r="H22" s="142"/>
      <c r="I22" s="143"/>
      <c r="J22" s="157"/>
      <c r="K22" s="146"/>
      <c r="L22" s="141"/>
      <c r="M22" s="146"/>
      <c r="N22" s="146"/>
      <c r="O22" s="146"/>
      <c r="P22" s="158"/>
    </row>
    <row r="23" spans="1:20" outlineLevel="1" x14ac:dyDescent="0.2">
      <c r="A23" s="149"/>
      <c r="B23" s="141"/>
      <c r="C23" s="141"/>
      <c r="D23" s="141"/>
      <c r="E23" s="142"/>
      <c r="F23" s="142"/>
      <c r="G23" s="142"/>
      <c r="H23" s="142"/>
      <c r="I23" s="143"/>
      <c r="J23" s="157"/>
      <c r="K23" s="146"/>
      <c r="L23" s="141"/>
      <c r="M23" s="146"/>
      <c r="N23" s="146"/>
      <c r="O23" s="146"/>
      <c r="P23" s="158"/>
    </row>
    <row r="24" spans="1:20" ht="15.75" outlineLevel="1" thickBot="1" x14ac:dyDescent="0.25">
      <c r="A24" s="150"/>
      <c r="B24" s="151"/>
      <c r="C24" s="151"/>
      <c r="D24" s="151"/>
      <c r="E24" s="152"/>
      <c r="F24" s="152"/>
      <c r="G24" s="152"/>
      <c r="H24" s="152"/>
      <c r="I24" s="153"/>
      <c r="J24" s="159"/>
      <c r="K24" s="160"/>
      <c r="L24" s="151"/>
      <c r="M24" s="160"/>
      <c r="N24" s="160"/>
      <c r="O24" s="160"/>
      <c r="P24" s="161"/>
    </row>
    <row r="25" spans="1:20" s="117" customFormat="1" ht="23.25" thickTop="1" x14ac:dyDescent="0.2">
      <c r="A25" s="162"/>
      <c r="B25" s="163"/>
      <c r="C25" s="163"/>
      <c r="D25" s="163"/>
      <c r="E25" s="163"/>
      <c r="F25" s="163"/>
      <c r="G25" s="163"/>
      <c r="H25" s="163"/>
      <c r="I25" s="163"/>
      <c r="J25" s="163"/>
      <c r="K25" s="163"/>
      <c r="L25" s="163"/>
      <c r="M25" s="163"/>
      <c r="N25" s="163"/>
      <c r="O25" s="163"/>
      <c r="P25" s="164"/>
      <c r="Q25" s="114"/>
      <c r="R25" s="114"/>
      <c r="S25" s="114"/>
      <c r="T25" s="114"/>
    </row>
    <row r="26" spans="1:20" outlineLevel="1" x14ac:dyDescent="0.2">
      <c r="A26" s="165"/>
      <c r="B26" s="166"/>
      <c r="C26" s="166"/>
      <c r="D26" s="166"/>
      <c r="E26" s="166"/>
      <c r="F26" s="166"/>
      <c r="G26" s="166"/>
      <c r="H26" s="166"/>
      <c r="I26" s="166"/>
      <c r="J26" s="166"/>
      <c r="K26" s="166"/>
      <c r="L26" s="166"/>
      <c r="M26" s="166"/>
      <c r="N26" s="166"/>
      <c r="O26" s="166"/>
      <c r="P26" s="167"/>
    </row>
    <row r="27" spans="1:20" ht="22.5" outlineLevel="1" x14ac:dyDescent="0.2">
      <c r="A27" s="168" t="s">
        <v>172</v>
      </c>
      <c r="B27" s="166"/>
      <c r="C27" s="166"/>
      <c r="D27" s="169" t="str">
        <f>A27</f>
        <v>Other tests progress</v>
      </c>
      <c r="E27" s="169"/>
      <c r="F27" s="170"/>
      <c r="G27" s="170"/>
      <c r="H27" s="170"/>
      <c r="I27" s="170"/>
      <c r="J27" s="170"/>
      <c r="K27" s="166"/>
      <c r="L27" s="169" t="str">
        <f>$A$33</f>
        <v>Qualification tests progress</v>
      </c>
      <c r="M27" s="166"/>
      <c r="N27" s="180"/>
      <c r="O27" s="180"/>
      <c r="P27" s="181"/>
    </row>
    <row r="28" spans="1:20" ht="15.75" outlineLevel="1" x14ac:dyDescent="0.2">
      <c r="A28" s="172" t="s">
        <v>117</v>
      </c>
      <c r="B28" s="173" t="e">
        <f>J8</f>
        <v>#VALUE!</v>
      </c>
      <c r="C28" s="170"/>
      <c r="D28" s="166"/>
      <c r="E28" s="166"/>
      <c r="F28" s="170"/>
      <c r="G28" s="170"/>
      <c r="H28" s="170"/>
      <c r="I28" s="170"/>
      <c r="J28" s="170"/>
      <c r="K28" s="170"/>
      <c r="L28" s="166"/>
      <c r="M28" s="180"/>
      <c r="N28" s="180"/>
      <c r="O28" s="180"/>
      <c r="P28" s="181"/>
    </row>
    <row r="29" spans="1:20" ht="30" outlineLevel="1" x14ac:dyDescent="0.2">
      <c r="A29" s="174" t="s">
        <v>118</v>
      </c>
      <c r="B29" s="173" t="e">
        <f>Q8</f>
        <v>#VALUE!</v>
      </c>
      <c r="C29" s="170"/>
      <c r="D29" s="170"/>
      <c r="E29" s="170"/>
      <c r="F29" s="170"/>
      <c r="G29" s="170"/>
      <c r="H29" s="170"/>
      <c r="I29" s="170"/>
      <c r="J29" s="170"/>
      <c r="K29" s="170"/>
      <c r="L29" s="170"/>
      <c r="M29" s="170"/>
      <c r="N29" s="170"/>
      <c r="O29" s="170"/>
      <c r="P29" s="171"/>
    </row>
    <row r="30" spans="1:20" ht="48" customHeight="1" outlineLevel="1" x14ac:dyDescent="0.2">
      <c r="A30" s="172" t="s">
        <v>119</v>
      </c>
      <c r="B30" s="173" t="e">
        <f>D8-B28-B29</f>
        <v>#VALUE!</v>
      </c>
      <c r="C30" s="170"/>
      <c r="D30" s="166"/>
      <c r="E30" s="166"/>
      <c r="F30" s="170"/>
      <c r="G30" s="170"/>
      <c r="H30" s="170"/>
      <c r="I30" s="170"/>
      <c r="J30" s="170"/>
      <c r="K30" s="170"/>
      <c r="L30" s="166"/>
      <c r="M30" s="180"/>
      <c r="N30" s="180"/>
      <c r="O30" s="180"/>
      <c r="P30" s="181"/>
    </row>
    <row r="31" spans="1:20" ht="14.25" outlineLevel="1" x14ac:dyDescent="0.2">
      <c r="A31" s="175"/>
      <c r="B31" s="170"/>
      <c r="C31" s="170"/>
      <c r="D31" s="170"/>
      <c r="E31" s="170"/>
      <c r="F31" s="170"/>
      <c r="G31" s="170"/>
      <c r="H31" s="170"/>
      <c r="I31" s="170"/>
      <c r="J31" s="170"/>
      <c r="K31" s="170"/>
      <c r="L31" s="166"/>
      <c r="M31" s="180"/>
      <c r="N31" s="180"/>
      <c r="O31" s="180"/>
      <c r="P31" s="181"/>
    </row>
    <row r="32" spans="1:20" ht="14.25" outlineLevel="1" x14ac:dyDescent="0.2">
      <c r="A32" s="175"/>
      <c r="B32" s="170"/>
      <c r="C32" s="170"/>
      <c r="D32" s="170"/>
      <c r="E32" s="170"/>
      <c r="F32" s="170"/>
      <c r="G32" s="170"/>
      <c r="H32" s="170"/>
      <c r="I32" s="170"/>
      <c r="J32" s="170"/>
      <c r="K32" s="170"/>
      <c r="L32" s="166"/>
      <c r="M32" s="180"/>
      <c r="N32" s="180"/>
      <c r="O32" s="180"/>
      <c r="P32" s="181"/>
    </row>
    <row r="33" spans="1:16" ht="22.5" outlineLevel="1" x14ac:dyDescent="0.2">
      <c r="A33" s="168" t="s">
        <v>173</v>
      </c>
      <c r="B33" s="166"/>
      <c r="C33" s="166"/>
      <c r="D33" s="166"/>
      <c r="E33" s="166"/>
      <c r="F33" s="170"/>
      <c r="G33" s="170"/>
      <c r="H33" s="170"/>
      <c r="I33" s="170"/>
      <c r="J33" s="170"/>
      <c r="K33" s="170"/>
      <c r="L33" s="166"/>
      <c r="M33" s="180"/>
      <c r="N33" s="180"/>
      <c r="O33" s="180"/>
      <c r="P33" s="181"/>
    </row>
    <row r="34" spans="1:16" ht="15.75" outlineLevel="1" x14ac:dyDescent="0.2">
      <c r="A34" s="172" t="s">
        <v>117</v>
      </c>
      <c r="B34" s="173" t="e">
        <f>K8</f>
        <v>#VALUE!</v>
      </c>
      <c r="C34" s="166"/>
      <c r="D34" s="166"/>
      <c r="E34" s="166"/>
      <c r="F34" s="170"/>
      <c r="G34" s="170"/>
      <c r="H34" s="170"/>
      <c r="I34" s="170"/>
      <c r="J34" s="170"/>
      <c r="K34" s="170"/>
      <c r="L34" s="166"/>
      <c r="M34" s="180"/>
      <c r="N34" s="180"/>
      <c r="O34" s="180"/>
      <c r="P34" s="181"/>
    </row>
    <row r="35" spans="1:16" ht="30" outlineLevel="1" x14ac:dyDescent="0.2">
      <c r="A35" s="174" t="s">
        <v>118</v>
      </c>
      <c r="B35" s="173" t="e">
        <f>R8</f>
        <v>#VALUE!</v>
      </c>
      <c r="C35" s="170"/>
      <c r="D35" s="166"/>
      <c r="E35" s="166"/>
      <c r="F35" s="170"/>
      <c r="G35" s="170"/>
      <c r="H35" s="170"/>
      <c r="I35" s="170"/>
      <c r="J35" s="170"/>
      <c r="K35" s="170"/>
      <c r="L35" s="166"/>
      <c r="M35" s="180"/>
      <c r="N35" s="180"/>
      <c r="O35" s="180"/>
      <c r="P35" s="181"/>
    </row>
    <row r="36" spans="1:16" ht="21" customHeight="1" outlineLevel="1" x14ac:dyDescent="0.2">
      <c r="A36" s="172" t="s">
        <v>119</v>
      </c>
      <c r="B36" s="173" t="e">
        <f>E8-B34-B35</f>
        <v>#VALUE!</v>
      </c>
      <c r="C36" s="166"/>
      <c r="D36" s="166"/>
      <c r="E36" s="166"/>
      <c r="F36" s="170"/>
      <c r="G36" s="170"/>
      <c r="H36" s="170"/>
      <c r="I36" s="170"/>
      <c r="J36" s="170"/>
      <c r="K36" s="170"/>
      <c r="L36" s="166"/>
      <c r="M36" s="180"/>
      <c r="N36" s="180"/>
      <c r="O36" s="180"/>
      <c r="P36" s="181"/>
    </row>
    <row r="37" spans="1:16" outlineLevel="1" x14ac:dyDescent="0.2">
      <c r="A37" s="176"/>
      <c r="B37" s="166"/>
      <c r="C37" s="166"/>
      <c r="D37" s="166"/>
      <c r="E37" s="166"/>
      <c r="F37" s="170"/>
      <c r="G37" s="170"/>
      <c r="H37" s="170"/>
      <c r="I37" s="170"/>
      <c r="J37" s="170"/>
      <c r="K37" s="170"/>
      <c r="L37" s="166"/>
      <c r="M37" s="180"/>
      <c r="N37" s="180"/>
      <c r="O37" s="180"/>
      <c r="P37" s="181"/>
    </row>
    <row r="38" spans="1:16" ht="16.5" outlineLevel="1" thickBot="1" x14ac:dyDescent="0.25">
      <c r="A38" s="177"/>
      <c r="B38" s="178"/>
      <c r="C38" s="178"/>
      <c r="D38" s="178"/>
      <c r="E38" s="178"/>
      <c r="F38" s="179"/>
      <c r="G38" s="179"/>
      <c r="H38" s="179"/>
      <c r="I38" s="179"/>
      <c r="J38" s="179"/>
      <c r="K38" s="179"/>
      <c r="L38" s="178"/>
      <c r="M38" s="182"/>
      <c r="N38" s="182"/>
      <c r="O38" s="182"/>
      <c r="P38" s="183"/>
    </row>
    <row r="39" spans="1:16" ht="23.25" thickTop="1" x14ac:dyDescent="0.2">
      <c r="A39" s="184"/>
      <c r="B39" s="185"/>
      <c r="C39" s="185"/>
      <c r="D39" s="185" t="str">
        <f>A45</f>
        <v>Requirements tests results</v>
      </c>
      <c r="E39" s="185"/>
      <c r="F39" s="185"/>
      <c r="G39" s="185"/>
      <c r="H39" s="185"/>
      <c r="I39" s="185"/>
      <c r="J39" s="185"/>
      <c r="K39" s="185"/>
      <c r="L39" s="185"/>
      <c r="M39" s="185"/>
      <c r="N39" s="185"/>
      <c r="O39" s="185"/>
      <c r="P39" s="186"/>
    </row>
    <row r="40" spans="1:16" outlineLevel="1" x14ac:dyDescent="0.2">
      <c r="A40" s="187"/>
      <c r="B40" s="188"/>
      <c r="C40" s="188"/>
      <c r="D40" s="188"/>
      <c r="E40" s="188"/>
      <c r="F40" s="188"/>
      <c r="G40" s="188"/>
      <c r="H40" s="188"/>
      <c r="I40" s="188"/>
      <c r="J40" s="188"/>
      <c r="K40" s="188"/>
      <c r="L40" s="188"/>
      <c r="M40" s="188"/>
      <c r="N40" s="188"/>
      <c r="O40" s="188"/>
      <c r="P40" s="189"/>
    </row>
    <row r="41" spans="1:16" ht="15.75" outlineLevel="1" x14ac:dyDescent="0.2">
      <c r="A41" s="187"/>
      <c r="B41" s="188"/>
      <c r="C41" s="188"/>
      <c r="D41" s="188"/>
      <c r="E41" s="190"/>
      <c r="F41" s="191"/>
      <c r="G41" s="191"/>
      <c r="H41" s="191"/>
      <c r="I41" s="192"/>
      <c r="J41" s="191"/>
      <c r="K41" s="191"/>
      <c r="L41" s="188"/>
      <c r="M41" s="193"/>
      <c r="N41" s="193"/>
      <c r="O41" s="193"/>
      <c r="P41" s="194"/>
    </row>
    <row r="42" spans="1:16" ht="15.75" outlineLevel="1" x14ac:dyDescent="0.2">
      <c r="A42" s="187"/>
      <c r="B42" s="188"/>
      <c r="C42" s="188"/>
      <c r="D42" s="188"/>
      <c r="E42" s="190"/>
      <c r="F42" s="191"/>
      <c r="G42" s="191"/>
      <c r="H42" s="191"/>
      <c r="I42" s="192"/>
      <c r="J42" s="191"/>
      <c r="K42" s="191"/>
      <c r="L42" s="188"/>
      <c r="M42" s="193"/>
      <c r="N42" s="193"/>
      <c r="O42" s="193"/>
      <c r="P42" s="194"/>
    </row>
    <row r="43" spans="1:16" ht="15.75" outlineLevel="1" x14ac:dyDescent="0.2">
      <c r="A43" s="187"/>
      <c r="B43" s="188"/>
      <c r="C43" s="188"/>
      <c r="D43" s="188"/>
      <c r="E43" s="190"/>
      <c r="F43" s="191"/>
      <c r="G43" s="191"/>
      <c r="H43" s="191"/>
      <c r="I43" s="192"/>
      <c r="J43" s="191"/>
      <c r="K43" s="191"/>
      <c r="L43" s="188"/>
      <c r="M43" s="193"/>
      <c r="N43" s="193"/>
      <c r="O43" s="193"/>
      <c r="P43" s="194"/>
    </row>
    <row r="44" spans="1:16" ht="15.75" outlineLevel="1" x14ac:dyDescent="0.2">
      <c r="A44" s="187"/>
      <c r="B44" s="188"/>
      <c r="C44" s="188"/>
      <c r="D44" s="188"/>
      <c r="E44" s="190"/>
      <c r="F44" s="191"/>
      <c r="G44" s="191"/>
      <c r="H44" s="191"/>
      <c r="I44" s="192"/>
      <c r="J44" s="191"/>
      <c r="K44" s="191"/>
      <c r="L44" s="188"/>
      <c r="M44" s="193"/>
      <c r="N44" s="193"/>
      <c r="O44" s="193"/>
      <c r="P44" s="194"/>
    </row>
    <row r="45" spans="1:16" ht="22.5" outlineLevel="1" x14ac:dyDescent="0.2">
      <c r="A45" s="195" t="s">
        <v>121</v>
      </c>
      <c r="B45" s="188"/>
      <c r="C45" s="188"/>
      <c r="D45" s="188"/>
      <c r="E45" s="188"/>
      <c r="F45" s="191"/>
      <c r="G45" s="191"/>
      <c r="H45" s="191"/>
      <c r="I45" s="191"/>
      <c r="J45" s="191"/>
      <c r="K45" s="191"/>
      <c r="L45" s="188"/>
      <c r="M45" s="193"/>
      <c r="N45" s="193"/>
      <c r="O45" s="193"/>
      <c r="P45" s="194"/>
    </row>
    <row r="46" spans="1:16" ht="15.75" outlineLevel="1" x14ac:dyDescent="0.2">
      <c r="A46" s="196" t="s">
        <v>101</v>
      </c>
      <c r="B46" s="197" t="e">
        <f>N8</f>
        <v>#VALUE!</v>
      </c>
      <c r="C46" s="188"/>
      <c r="D46" s="188"/>
      <c r="E46" s="188"/>
      <c r="F46" s="191"/>
      <c r="G46" s="191"/>
      <c r="H46" s="191"/>
      <c r="I46" s="191"/>
      <c r="J46" s="191"/>
      <c r="K46" s="191"/>
      <c r="L46" s="188"/>
      <c r="M46" s="193"/>
      <c r="N46" s="193"/>
      <c r="O46" s="193"/>
      <c r="P46" s="194"/>
    </row>
    <row r="47" spans="1:16" ht="15.75" outlineLevel="1" x14ac:dyDescent="0.2">
      <c r="A47" s="196" t="s">
        <v>102</v>
      </c>
      <c r="B47" s="197" t="e">
        <f>O8</f>
        <v>#VALUE!</v>
      </c>
      <c r="C47" s="188"/>
      <c r="D47" s="188"/>
      <c r="E47" s="188"/>
      <c r="F47" s="191"/>
      <c r="G47" s="191"/>
      <c r="H47" s="191"/>
      <c r="I47" s="191"/>
      <c r="J47" s="191"/>
      <c r="K47" s="191"/>
      <c r="L47" s="188"/>
      <c r="M47" s="193"/>
      <c r="N47" s="193"/>
      <c r="O47" s="193"/>
      <c r="P47" s="194"/>
    </row>
    <row r="48" spans="1:16" ht="15.75" outlineLevel="1" x14ac:dyDescent="0.2">
      <c r="A48" s="196" t="s">
        <v>104</v>
      </c>
      <c r="B48" s="197" t="e">
        <f>P8</f>
        <v>#VALUE!</v>
      </c>
      <c r="C48" s="188"/>
      <c r="D48" s="188"/>
      <c r="E48" s="188"/>
      <c r="F48" s="191"/>
      <c r="G48" s="191"/>
      <c r="H48" s="191"/>
      <c r="I48" s="191"/>
      <c r="J48" s="191"/>
      <c r="K48" s="191"/>
      <c r="L48" s="188"/>
      <c r="M48" s="193"/>
      <c r="N48" s="193"/>
      <c r="O48" s="193"/>
      <c r="P48" s="194"/>
    </row>
    <row r="49" spans="1:16" ht="16.5" outlineLevel="1" thickBot="1" x14ac:dyDescent="0.25">
      <c r="A49" s="196" t="s">
        <v>122</v>
      </c>
      <c r="B49" s="197" t="e">
        <f>L8-B47</f>
        <v>#VALUE!</v>
      </c>
      <c r="C49" s="188"/>
      <c r="D49" s="188"/>
      <c r="E49" s="188"/>
      <c r="F49" s="191"/>
      <c r="G49" s="191"/>
      <c r="H49" s="191"/>
      <c r="I49" s="191"/>
      <c r="J49" s="191"/>
      <c r="K49" s="191"/>
      <c r="L49" s="188"/>
      <c r="M49" s="193"/>
      <c r="N49" s="193"/>
      <c r="O49" s="193"/>
      <c r="P49" s="194"/>
    </row>
    <row r="50" spans="1:16" ht="17.25" outlineLevel="1" thickTop="1" thickBot="1" x14ac:dyDescent="0.25">
      <c r="A50" s="198" t="s">
        <v>103</v>
      </c>
      <c r="B50" s="199" t="e">
        <f>SUM(B46:B49)</f>
        <v>#VALUE!</v>
      </c>
      <c r="C50" s="188"/>
      <c r="D50" s="188"/>
      <c r="E50" s="188"/>
      <c r="F50" s="191"/>
      <c r="G50" s="191"/>
      <c r="H50" s="191"/>
      <c r="I50" s="191"/>
      <c r="J50" s="191"/>
      <c r="K50" s="191"/>
      <c r="L50" s="188"/>
      <c r="M50" s="193"/>
      <c r="N50" s="193"/>
      <c r="O50" s="193"/>
      <c r="P50" s="194"/>
    </row>
    <row r="51" spans="1:16" ht="15.75" outlineLevel="1" thickTop="1" x14ac:dyDescent="0.2">
      <c r="A51" s="200"/>
      <c r="B51" s="188"/>
      <c r="C51" s="188"/>
      <c r="D51" s="188"/>
      <c r="E51" s="188"/>
      <c r="F51" s="191"/>
      <c r="G51" s="191"/>
      <c r="H51" s="191"/>
      <c r="I51" s="191"/>
      <c r="J51" s="191"/>
      <c r="K51" s="191"/>
      <c r="L51" s="188"/>
      <c r="M51" s="193"/>
      <c r="N51" s="193"/>
      <c r="O51" s="193"/>
      <c r="P51" s="194"/>
    </row>
    <row r="52" spans="1:16" outlineLevel="1" x14ac:dyDescent="0.2">
      <c r="A52" s="200"/>
      <c r="B52" s="188"/>
      <c r="C52" s="188"/>
      <c r="D52" s="188"/>
      <c r="E52" s="188"/>
      <c r="F52" s="191"/>
      <c r="G52" s="191"/>
      <c r="H52" s="191"/>
      <c r="I52" s="191"/>
      <c r="J52" s="191"/>
      <c r="K52" s="191"/>
      <c r="L52" s="188"/>
      <c r="M52" s="193"/>
      <c r="N52" s="193"/>
      <c r="O52" s="193"/>
      <c r="P52" s="194"/>
    </row>
    <row r="53" spans="1:16" outlineLevel="1" x14ac:dyDescent="0.2">
      <c r="A53" s="200"/>
      <c r="B53" s="188"/>
      <c r="C53" s="188"/>
      <c r="D53" s="188"/>
      <c r="E53" s="188"/>
      <c r="F53" s="191"/>
      <c r="G53" s="191"/>
      <c r="H53" s="191"/>
      <c r="I53" s="191"/>
      <c r="J53" s="191"/>
      <c r="K53" s="191"/>
      <c r="L53" s="188"/>
      <c r="M53" s="193"/>
      <c r="N53" s="193"/>
      <c r="O53" s="193"/>
      <c r="P53" s="194"/>
    </row>
    <row r="54" spans="1:16" outlineLevel="1" x14ac:dyDescent="0.2">
      <c r="A54" s="200"/>
      <c r="B54" s="188"/>
      <c r="C54" s="188"/>
      <c r="D54" s="188"/>
      <c r="E54" s="188"/>
      <c r="F54" s="191"/>
      <c r="G54" s="191"/>
      <c r="H54" s="191"/>
      <c r="I54" s="191"/>
      <c r="J54" s="191"/>
      <c r="K54" s="191"/>
      <c r="L54" s="188"/>
      <c r="M54" s="193"/>
      <c r="N54" s="193"/>
      <c r="O54" s="193"/>
      <c r="P54" s="194"/>
    </row>
    <row r="55" spans="1:16" ht="15.75" outlineLevel="1" thickBot="1" x14ac:dyDescent="0.25">
      <c r="A55" s="201"/>
      <c r="B55" s="202"/>
      <c r="C55" s="202"/>
      <c r="D55" s="202"/>
      <c r="E55" s="202"/>
      <c r="F55" s="203"/>
      <c r="G55" s="203"/>
      <c r="H55" s="203"/>
      <c r="I55" s="203"/>
      <c r="J55" s="203"/>
      <c r="K55" s="203"/>
      <c r="L55" s="202"/>
      <c r="M55" s="204"/>
      <c r="N55" s="204"/>
      <c r="O55" s="204"/>
      <c r="P55" s="205"/>
    </row>
    <row r="56" spans="1:16" ht="23.25" thickTop="1" x14ac:dyDescent="0.2">
      <c r="A56" s="206" t="s">
        <v>108</v>
      </c>
      <c r="B56" s="207"/>
      <c r="C56" s="207"/>
      <c r="D56" s="207"/>
      <c r="E56" s="207"/>
      <c r="F56" s="208"/>
      <c r="G56" s="208"/>
      <c r="H56" s="208"/>
      <c r="I56" s="208"/>
      <c r="J56" s="208"/>
      <c r="K56" s="208"/>
      <c r="L56" s="207"/>
      <c r="M56" s="209"/>
      <c r="N56" s="209"/>
      <c r="O56" s="209"/>
      <c r="P56" s="210"/>
    </row>
    <row r="57" spans="1:16" ht="22.5" outlineLevel="1" x14ac:dyDescent="0.2">
      <c r="A57" s="211"/>
      <c r="B57" s="212"/>
      <c r="C57" s="212"/>
      <c r="D57" s="212"/>
      <c r="E57" s="212"/>
      <c r="F57" s="213"/>
      <c r="G57" s="213"/>
      <c r="H57" s="213"/>
      <c r="I57" s="213"/>
      <c r="J57" s="213"/>
      <c r="K57" s="213"/>
      <c r="L57" s="212"/>
      <c r="M57" s="214"/>
      <c r="N57" s="214"/>
      <c r="O57" s="214"/>
      <c r="P57" s="215"/>
    </row>
    <row r="58" spans="1:16" outlineLevel="1" x14ac:dyDescent="0.2">
      <c r="A58" s="216" t="s">
        <v>109</v>
      </c>
      <c r="B58" s="124" t="e">
        <f>IF((NbOfFunctionalReqs+NbOfNonFunctionalReqs)=C8,"OK","NOK")</f>
        <v>#VALUE!</v>
      </c>
      <c r="C58" s="384" t="e">
        <f>IF((NbOfFunctionalReqs+NbOfNonFunctionalReqs)=C8,"",(NbOfFunctionalReqs+NbOfNonFunctionalReqs)-C8 &amp;" requirements are not implemented")</f>
        <v>#VALUE!</v>
      </c>
      <c r="D58" s="385"/>
      <c r="E58" s="385"/>
      <c r="F58" s="385"/>
      <c r="G58" s="385"/>
      <c r="H58" s="385"/>
      <c r="I58" s="385"/>
      <c r="J58" s="386"/>
      <c r="K58" s="213"/>
      <c r="L58" s="212"/>
      <c r="M58" s="214"/>
      <c r="N58" s="214"/>
      <c r="O58" s="214"/>
      <c r="P58" s="215"/>
    </row>
    <row r="59" spans="1:16" outlineLevel="1" x14ac:dyDescent="0.2">
      <c r="A59" s="216" t="s">
        <v>111</v>
      </c>
      <c r="B59" s="124" t="e">
        <f>IF(B15-ReqNotApproved&lt;=0,"OK","NOK")</f>
        <v>#VALUE!</v>
      </c>
      <c r="C59" s="381" t="e">
        <f>IF(B15-ReqNotApproved&lt;=0,"",B15-ReqNotApproved &amp;" ("&amp;ROUNDUP((B15-ReqNotApproved)/(NbOfFunctionalReqs+NbOfNonFunctionalReqs)*100,0)&amp;"%) requirements have no TestScope")</f>
        <v>#VALUE!</v>
      </c>
      <c r="D59" s="381"/>
      <c r="E59" s="381"/>
      <c r="F59" s="381"/>
      <c r="G59" s="381"/>
      <c r="H59" s="381"/>
      <c r="I59" s="381"/>
      <c r="J59" s="381"/>
      <c r="K59" s="213"/>
      <c r="L59" s="212"/>
      <c r="M59" s="214"/>
      <c r="N59" s="214"/>
      <c r="O59" s="214"/>
      <c r="P59" s="215"/>
    </row>
    <row r="60" spans="1:16" outlineLevel="1" x14ac:dyDescent="0.2">
      <c r="A60" s="216" t="s">
        <v>110</v>
      </c>
      <c r="B60" s="124" t="str">
        <f>IF(-ReqNotApproved=0,"OK","NOK")</f>
        <v>OK</v>
      </c>
      <c r="C60" s="381" t="str">
        <f>IF(ReqNotApproved=0,"",ReqNotApproved &amp;" ("&amp;ROUNDUP((ReqNotApproved)/(NbOfFunctionalReqs+NbOfNonFunctionalReqs)*100,0)&amp;"%) requirements are not yet fully reviewed")</f>
        <v/>
      </c>
      <c r="D60" s="381"/>
      <c r="E60" s="381"/>
      <c r="F60" s="381"/>
      <c r="G60" s="381"/>
      <c r="H60" s="381"/>
      <c r="I60" s="381"/>
      <c r="J60" s="381"/>
      <c r="K60" s="213"/>
      <c r="L60" s="212"/>
      <c r="M60" s="214"/>
      <c r="N60" s="214"/>
      <c r="O60" s="214"/>
      <c r="P60" s="215"/>
    </row>
    <row r="61" spans="1:16" ht="29.25" customHeight="1" outlineLevel="1" x14ac:dyDescent="0.2">
      <c r="A61" s="296" t="s">
        <v>195</v>
      </c>
      <c r="B61" s="124" t="e">
        <f>IF(B30=0,"OK","NOK")</f>
        <v>#VALUE!</v>
      </c>
      <c r="C61" s="381" t="e">
        <f>IF(B61="OK","",B30 &amp; " ("&amp;ROUNDUP(B30/D8*100,0)&amp;"%) requirements without other test/artifact specification")</f>
        <v>#VALUE!</v>
      </c>
      <c r="D61" s="381"/>
      <c r="E61" s="381"/>
      <c r="F61" s="381"/>
      <c r="G61" s="381"/>
      <c r="H61" s="381"/>
      <c r="I61" s="381"/>
      <c r="J61" s="381"/>
      <c r="K61" s="213"/>
      <c r="L61" s="212"/>
      <c r="M61" s="214"/>
      <c r="N61" s="214"/>
      <c r="O61" s="214"/>
      <c r="P61" s="215"/>
    </row>
    <row r="62" spans="1:16" ht="30" outlineLevel="1" x14ac:dyDescent="0.2">
      <c r="A62" s="296" t="s">
        <v>199</v>
      </c>
      <c r="B62" s="124" t="e">
        <f>IF(B36=0,"OK","NOK")</f>
        <v>#VALUE!</v>
      </c>
      <c r="C62" s="381" t="e">
        <f>IF(B62="OK","",B36&amp;" ("&amp;ROUNDUP(B36/E8*100,0)&amp;"%) requirements without qualification test specification")</f>
        <v>#VALUE!</v>
      </c>
      <c r="D62" s="381"/>
      <c r="E62" s="381"/>
      <c r="F62" s="381"/>
      <c r="G62" s="381"/>
      <c r="H62" s="381"/>
      <c r="I62" s="381"/>
      <c r="J62" s="381"/>
      <c r="K62" s="213"/>
      <c r="L62" s="212"/>
      <c r="M62" s="214"/>
      <c r="N62" s="214"/>
      <c r="O62" s="214"/>
      <c r="P62" s="215"/>
    </row>
    <row r="63" spans="1:16" outlineLevel="1" x14ac:dyDescent="0.2">
      <c r="A63" s="297" t="s">
        <v>197</v>
      </c>
      <c r="B63" s="124" t="e">
        <f>IF(B29+B30=0,"OK","NOK")</f>
        <v>#VALUE!</v>
      </c>
      <c r="C63" s="381" t="e">
        <f>IF(B63="OK","",B29+B30 &amp;" ("&amp;ROUNDUP((B29+B30)/D8*100,0)&amp;"%) requirements are not yet tested by other tests/artifacts")</f>
        <v>#VALUE!</v>
      </c>
      <c r="D63" s="381"/>
      <c r="E63" s="381"/>
      <c r="F63" s="381"/>
      <c r="G63" s="381"/>
      <c r="H63" s="381"/>
      <c r="I63" s="381"/>
      <c r="J63" s="381"/>
      <c r="K63" s="213"/>
      <c r="L63" s="212"/>
      <c r="M63" s="214"/>
      <c r="N63" s="214"/>
      <c r="O63" s="214"/>
      <c r="P63" s="215"/>
    </row>
    <row r="64" spans="1:16" outlineLevel="1" x14ac:dyDescent="0.2">
      <c r="A64" s="297" t="s">
        <v>196</v>
      </c>
      <c r="B64" s="124" t="e">
        <f>IF(B35+B36=0,"OK","NOK")</f>
        <v>#VALUE!</v>
      </c>
      <c r="C64" s="381" t="e">
        <f>IF(B64="OK","",B35+B36 &amp;" ("&amp;ROUNDUP((B35+B36)/E8*100,0)&amp;"%) requirements are not yet tested by qualification")</f>
        <v>#VALUE!</v>
      </c>
      <c r="D64" s="381"/>
      <c r="E64" s="381"/>
      <c r="F64" s="381"/>
      <c r="G64" s="381"/>
      <c r="H64" s="381"/>
      <c r="I64" s="381"/>
      <c r="J64" s="381"/>
      <c r="K64" s="213"/>
      <c r="L64" s="212"/>
      <c r="M64" s="214"/>
      <c r="N64" s="214"/>
      <c r="O64" s="214"/>
      <c r="P64" s="215"/>
    </row>
    <row r="65" spans="1:16" ht="15.75" outlineLevel="1" thickBot="1" x14ac:dyDescent="0.25">
      <c r="A65" s="217"/>
      <c r="B65" s="218"/>
      <c r="C65" s="218"/>
      <c r="D65" s="218"/>
      <c r="E65" s="218"/>
      <c r="F65" s="219"/>
      <c r="G65" s="219"/>
      <c r="H65" s="219"/>
      <c r="I65" s="219"/>
      <c r="J65" s="219"/>
      <c r="K65" s="219"/>
      <c r="L65" s="218"/>
      <c r="M65" s="220"/>
      <c r="N65" s="220"/>
      <c r="O65" s="220"/>
      <c r="P65" s="221"/>
    </row>
    <row r="66" spans="1:16" ht="15.75" hidden="1" thickTop="1" x14ac:dyDescent="0.2"/>
    <row r="67" spans="1:16" hidden="1" x14ac:dyDescent="0.2"/>
    <row r="68" spans="1:16" ht="15.75" thickTop="1" x14ac:dyDescent="0.2"/>
    <row r="69" spans="1:16" x14ac:dyDescent="0.2"/>
    <row r="70" spans="1:16" x14ac:dyDescent="0.2"/>
    <row r="71" spans="1:16" x14ac:dyDescent="0.2"/>
    <row r="72" spans="1:16" x14ac:dyDescent="0.2"/>
    <row r="73" spans="1:16" x14ac:dyDescent="0.2"/>
    <row r="74" spans="1:16" x14ac:dyDescent="0.2"/>
    <row r="75" spans="1:16" x14ac:dyDescent="0.2"/>
    <row r="76" spans="1:16" x14ac:dyDescent="0.2"/>
    <row r="77" spans="1:16" x14ac:dyDescent="0.2"/>
    <row r="78" spans="1:16" x14ac:dyDescent="0.2"/>
    <row r="79" spans="1:16" x14ac:dyDescent="0.2"/>
    <row r="80" spans="1:16" x14ac:dyDescent="0.2"/>
    <row r="81" x14ac:dyDescent="0.2"/>
    <row r="82" x14ac:dyDescent="0.2"/>
    <row r="83" x14ac:dyDescent="0.2"/>
    <row r="84" x14ac:dyDescent="0.2"/>
    <row r="85" x14ac:dyDescent="0.2"/>
    <row r="86" x14ac:dyDescent="0.2"/>
    <row r="87" x14ac:dyDescent="0.2"/>
    <row r="88" x14ac:dyDescent="0.2"/>
    <row r="89" x14ac:dyDescent="0.2"/>
    <row r="90" x14ac:dyDescent="0.2"/>
    <row r="91" x14ac:dyDescent="0.2"/>
    <row r="92" x14ac:dyDescent="0.2"/>
    <row r="93" x14ac:dyDescent="0.2"/>
    <row r="94" x14ac:dyDescent="0.2"/>
    <row r="95" x14ac:dyDescent="0.2"/>
    <row r="96" x14ac:dyDescent="0.2"/>
    <row r="97" x14ac:dyDescent="0.2"/>
    <row r="98" x14ac:dyDescent="0.2"/>
    <row r="99" x14ac:dyDescent="0.2"/>
    <row r="100" x14ac:dyDescent="0.2"/>
    <row r="101" x14ac:dyDescent="0.2"/>
    <row r="102" x14ac:dyDescent="0.2"/>
    <row r="103" x14ac:dyDescent="0.2"/>
    <row r="104" x14ac:dyDescent="0.2"/>
    <row r="105" x14ac:dyDescent="0.2"/>
    <row r="106" x14ac:dyDescent="0.2"/>
    <row r="107" x14ac:dyDescent="0.2"/>
    <row r="108" x14ac:dyDescent="0.2"/>
    <row r="109" x14ac:dyDescent="0.2"/>
    <row r="110" x14ac:dyDescent="0.2"/>
    <row r="111" x14ac:dyDescent="0.2"/>
  </sheetData>
  <mergeCells count="12">
    <mergeCell ref="T3:V3"/>
    <mergeCell ref="C62:J62"/>
    <mergeCell ref="N3:P3"/>
    <mergeCell ref="C3:L3"/>
    <mergeCell ref="Q3:R3"/>
    <mergeCell ref="C64:J64"/>
    <mergeCell ref="C63:J63"/>
    <mergeCell ref="B1:C1"/>
    <mergeCell ref="C58:J58"/>
    <mergeCell ref="C59:J59"/>
    <mergeCell ref="C60:J60"/>
    <mergeCell ref="C61:J61"/>
  </mergeCells>
  <conditionalFormatting sqref="B58">
    <cfRule type="iconSet" priority="10">
      <iconSet>
        <cfvo type="percent" val="0"/>
        <cfvo type="percent" val="33"/>
        <cfvo type="percent" val="67"/>
      </iconSet>
    </cfRule>
    <cfRule type="cellIs" dxfId="8" priority="13" stopIfTrue="1" operator="equal">
      <formula>"OK"</formula>
    </cfRule>
  </conditionalFormatting>
  <conditionalFormatting sqref="B59">
    <cfRule type="cellIs" dxfId="7" priority="11" stopIfTrue="1" operator="equal">
      <formula>"OK"</formula>
    </cfRule>
  </conditionalFormatting>
  <conditionalFormatting sqref="B60">
    <cfRule type="iconSet" priority="8">
      <iconSet>
        <cfvo type="percent" val="0"/>
        <cfvo type="percent" val="33"/>
        <cfvo type="percent" val="67"/>
      </iconSet>
    </cfRule>
    <cfRule type="cellIs" dxfId="6" priority="9" stopIfTrue="1" operator="equal">
      <formula>"OK"</formula>
    </cfRule>
  </conditionalFormatting>
  <conditionalFormatting sqref="B61 B63:B64">
    <cfRule type="iconSet" priority="6">
      <iconSet>
        <cfvo type="percent" val="0"/>
        <cfvo type="percent" val="33"/>
        <cfvo type="percent" val="67"/>
      </iconSet>
    </cfRule>
    <cfRule type="cellIs" dxfId="5" priority="7" stopIfTrue="1" operator="equal">
      <formula>"OK"</formula>
    </cfRule>
  </conditionalFormatting>
  <conditionalFormatting sqref="B1:C1">
    <cfRule type="cellIs" dxfId="4" priority="5" stopIfTrue="1" operator="equal">
      <formula>"tbd"</formula>
    </cfRule>
  </conditionalFormatting>
  <conditionalFormatting sqref="B62">
    <cfRule type="iconSet" priority="1">
      <iconSet>
        <cfvo type="percent" val="0"/>
        <cfvo type="percent" val="33"/>
        <cfvo type="percent" val="67"/>
      </iconSet>
    </cfRule>
    <cfRule type="cellIs" dxfId="3" priority="2" stopIfTrue="1" operator="equal">
      <formula>"OK"</formula>
    </cfRule>
  </conditionalFormatting>
  <pageMargins left="0.75" right="0.75" top="1" bottom="1" header="0.4921259845" footer="0.4921259845"/>
  <pageSetup scale="34" orientation="portrait" r:id="rId1"/>
  <headerFooter alignWithMargins="0">
    <oddFooter>&amp;LExxxxxx rev xxx ver xxx&amp;R&amp;P</oddFooter>
  </headerFooter>
  <drawing r:id="rId2"/>
  <legacyDrawing r:id="rId3"/>
  <controls>
    <mc:AlternateContent xmlns:mc="http://schemas.openxmlformats.org/markup-compatibility/2006">
      <mc:Choice Requires="x14">
        <control shapeId="20482" r:id="rId4" name="ImportSRM">
          <controlPr defaultSize="0" autoLine="0" r:id="rId5">
            <anchor moveWithCells="1">
              <from>
                <xdr:col>5</xdr:col>
                <xdr:colOff>180975</xdr:colOff>
                <xdr:row>1</xdr:row>
                <xdr:rowOff>9525</xdr:rowOff>
              </from>
              <to>
                <xdr:col>6</xdr:col>
                <xdr:colOff>800100</xdr:colOff>
                <xdr:row>1</xdr:row>
                <xdr:rowOff>361950</xdr:rowOff>
              </to>
            </anchor>
          </controlPr>
        </control>
      </mc:Choice>
      <mc:Fallback>
        <control shapeId="20482" r:id="rId4" name="ImportSRM"/>
      </mc:Fallback>
    </mc:AlternateContent>
    <mc:AlternateContent xmlns:mc="http://schemas.openxmlformats.org/markup-compatibility/2006">
      <mc:Choice Requires="x14">
        <control shapeId="20481" r:id="rId6" name="UpdateStatisticsButton">
          <controlPr defaultSize="0" autoLine="0" r:id="rId7">
            <anchor moveWithCells="1">
              <from>
                <xdr:col>3</xdr:col>
                <xdr:colOff>161925</xdr:colOff>
                <xdr:row>1</xdr:row>
                <xdr:rowOff>9525</xdr:rowOff>
              </from>
              <to>
                <xdr:col>4</xdr:col>
                <xdr:colOff>676275</xdr:colOff>
                <xdr:row>1</xdr:row>
                <xdr:rowOff>361950</xdr:rowOff>
              </to>
            </anchor>
          </controlPr>
        </control>
      </mc:Choice>
      <mc:Fallback>
        <control shapeId="20481" r:id="rId6" name="UpdateStatisticsButton"/>
      </mc:Fallback>
    </mc:AlternateContent>
    <mc:AlternateContent xmlns:mc="http://schemas.openxmlformats.org/markup-compatibility/2006">
      <mc:Choice Requires="x14">
        <control shapeId="20483" r:id="rId8" name="Button 3">
          <controlPr defaultSize="0" print="0" autoFill="0" autoPict="0" macro="[0]!Feuil1.NOK_List_Click">
            <anchor moveWithCells="1" sizeWithCells="1">
              <from>
                <xdr:col>7</xdr:col>
                <xdr:colOff>219075</xdr:colOff>
                <xdr:row>1</xdr:row>
                <xdr:rowOff>0</xdr:rowOff>
              </from>
              <to>
                <xdr:col>9</xdr:col>
                <xdr:colOff>66675</xdr:colOff>
                <xdr:row>1</xdr:row>
                <xdr:rowOff>342900</xdr:rowOff>
              </to>
            </anchor>
          </controlPr>
        </control>
      </mc:Choice>
    </mc:AlternateContent>
    <mc:AlternateContent xmlns:mc="http://schemas.openxmlformats.org/markup-compatibility/2006">
      <mc:Choice Requires="x14">
        <control shapeId="1243199" r:id="rId9" name="Button 1087">
          <controlPr defaultSize="0" print="0" autoFill="0" autoPict="0" macro="[0]!Feuil1.Req_Test_Status_Click" altText="Generate Requirements Test Status">
            <anchor moveWithCells="1">
              <from>
                <xdr:col>9</xdr:col>
                <xdr:colOff>228600</xdr:colOff>
                <xdr:row>1</xdr:row>
                <xdr:rowOff>9525</xdr:rowOff>
              </from>
              <to>
                <xdr:col>11</xdr:col>
                <xdr:colOff>438150</xdr:colOff>
                <xdr:row>1</xdr:row>
                <xdr:rowOff>342900</xdr:rowOff>
              </to>
            </anchor>
          </controlPr>
        </control>
      </mc:Choice>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38">
    <tabColor theme="4" tint="0.39997558519241921"/>
  </sheetPr>
  <dimension ref="A1:O200"/>
  <sheetViews>
    <sheetView showGridLines="0" zoomScale="90" zoomScaleNormal="90" workbookViewId="0">
      <pane ySplit="4" topLeftCell="A5" activePane="bottomLeft" state="frozen"/>
      <selection activeCell="B1" sqref="B1"/>
      <selection pane="bottomLeft" activeCell="I21" sqref="I21"/>
    </sheetView>
  </sheetViews>
  <sheetFormatPr defaultColWidth="0" defaultRowHeight="14.25" x14ac:dyDescent="0.2"/>
  <cols>
    <col min="1" max="1" width="34.125" style="60" customWidth="1"/>
    <col min="2" max="3" width="9.625" style="61" customWidth="1"/>
    <col min="4" max="4" width="5.625" style="61" customWidth="1"/>
    <col min="5" max="5" width="9.625" style="61" customWidth="1"/>
    <col min="6" max="6" width="11.25" style="62" customWidth="1"/>
    <col min="7" max="7" width="12.75" style="63" customWidth="1"/>
    <col min="8" max="8" width="13.25" style="62" customWidth="1"/>
    <col min="9" max="9" width="26.5" style="62" customWidth="1"/>
    <col min="10" max="11" width="11.25" style="62" customWidth="1"/>
    <col min="12" max="12" width="11.875" style="62" customWidth="1"/>
    <col min="13" max="14" width="11.25" style="62" customWidth="1"/>
    <col min="15" max="15" width="10" style="62" customWidth="1"/>
    <col min="16" max="16384" width="0" style="62" hidden="1"/>
  </cols>
  <sheetData>
    <row r="1" spans="1:15" customFormat="1" ht="15" customHeight="1" x14ac:dyDescent="0.2">
      <c r="A1" s="399" t="s">
        <v>148</v>
      </c>
      <c r="B1" s="400"/>
      <c r="C1" s="401" t="str">
        <f>SWVersion</f>
        <v>tbd</v>
      </c>
      <c r="D1" s="402"/>
      <c r="E1" s="61"/>
    </row>
    <row r="2" spans="1:15" customFormat="1" ht="60" customHeight="1" x14ac:dyDescent="0.2">
      <c r="A2" s="60"/>
      <c r="B2" s="60"/>
      <c r="C2" s="60"/>
      <c r="D2" s="60"/>
      <c r="E2" s="396" t="s">
        <v>138</v>
      </c>
      <c r="F2" s="397"/>
      <c r="G2" s="397"/>
      <c r="H2" s="398"/>
      <c r="M2" s="403"/>
      <c r="N2" s="403"/>
      <c r="O2" s="403"/>
    </row>
    <row r="3" spans="1:15" s="59" customFormat="1" ht="151.5" customHeight="1" x14ac:dyDescent="0.2">
      <c r="A3" s="127" t="s">
        <v>43</v>
      </c>
      <c r="B3" s="222" t="s">
        <v>45</v>
      </c>
      <c r="C3" s="222" t="s">
        <v>46</v>
      </c>
      <c r="D3" s="223" t="s">
        <v>62</v>
      </c>
      <c r="E3" s="224" t="s">
        <v>207</v>
      </c>
      <c r="F3" s="224" t="s">
        <v>63</v>
      </c>
      <c r="G3" s="224" t="s">
        <v>50</v>
      </c>
      <c r="M3" s="404" t="s">
        <v>112</v>
      </c>
      <c r="N3" s="404"/>
      <c r="O3" s="404"/>
    </row>
    <row r="4" spans="1:15" ht="15.75" x14ac:dyDescent="0.25">
      <c r="A4" s="122" t="s">
        <v>98</v>
      </c>
      <c r="B4" s="110">
        <f>SUM(B5:B199)</f>
        <v>0</v>
      </c>
      <c r="C4" s="110">
        <f>SUM(C5:C199)</f>
        <v>0</v>
      </c>
      <c r="D4" s="110">
        <f>SUM(D5:D199)</f>
        <v>0</v>
      </c>
      <c r="E4" s="110">
        <f>SUM(E5:E199)</f>
        <v>0</v>
      </c>
      <c r="F4" s="110">
        <f>SUM(F5:F199)</f>
        <v>0</v>
      </c>
      <c r="G4" s="110">
        <f>B4-SUM(C4:F4)</f>
        <v>0</v>
      </c>
      <c r="L4" s="61"/>
      <c r="M4" s="404"/>
      <c r="N4" s="404"/>
      <c r="O4" s="404"/>
    </row>
    <row r="5" spans="1:15" ht="19.5" x14ac:dyDescent="0.3">
      <c r="A5" s="118"/>
      <c r="B5" s="119"/>
      <c r="C5" s="119"/>
      <c r="D5" s="119"/>
      <c r="E5" s="119"/>
      <c r="F5" s="120"/>
      <c r="G5" s="121"/>
      <c r="I5" s="107" t="s">
        <v>106</v>
      </c>
      <c r="J5" s="61"/>
      <c r="K5" s="61"/>
      <c r="L5" s="61"/>
      <c r="M5" s="61"/>
    </row>
    <row r="6" spans="1:15" ht="15" x14ac:dyDescent="0.25">
      <c r="A6" s="118"/>
      <c r="B6" s="119"/>
      <c r="C6" s="119"/>
      <c r="D6" s="119"/>
      <c r="E6" s="119"/>
      <c r="F6" s="120"/>
      <c r="G6" s="121"/>
      <c r="I6" s="108" t="s">
        <v>96</v>
      </c>
      <c r="J6" s="109" t="e">
        <f>ROUNDDOWN((F4+G4)/B4*100,0)/100</f>
        <v>#DIV/0!</v>
      </c>
      <c r="K6" s="61"/>
      <c r="L6" s="61"/>
      <c r="M6" s="61"/>
    </row>
    <row r="7" spans="1:15" ht="15.75" x14ac:dyDescent="0.25">
      <c r="A7" s="118"/>
      <c r="B7" s="119"/>
      <c r="C7" s="119"/>
      <c r="D7" s="119"/>
      <c r="E7" s="119"/>
      <c r="F7" s="120"/>
      <c r="G7" s="121"/>
      <c r="I7" s="108" t="s">
        <v>97</v>
      </c>
      <c r="J7" s="110">
        <f>SUM(C4:E4)</f>
        <v>0</v>
      </c>
      <c r="K7" s="61"/>
      <c r="L7" s="61"/>
      <c r="M7" s="61"/>
    </row>
    <row r="8" spans="1:15" x14ac:dyDescent="0.2">
      <c r="A8" s="118"/>
      <c r="B8" s="119"/>
      <c r="C8" s="119"/>
      <c r="D8" s="119"/>
      <c r="E8" s="119"/>
      <c r="F8" s="120"/>
      <c r="G8" s="121"/>
      <c r="I8" s="111"/>
      <c r="J8" s="61"/>
      <c r="K8" s="61"/>
      <c r="L8" s="61"/>
      <c r="M8" s="61"/>
    </row>
    <row r="9" spans="1:15" ht="19.5" x14ac:dyDescent="0.3">
      <c r="A9" s="118"/>
      <c r="B9" s="119"/>
      <c r="C9" s="119"/>
      <c r="D9" s="119"/>
      <c r="E9" s="119"/>
      <c r="F9" s="120"/>
      <c r="G9" s="121"/>
      <c r="I9" s="107" t="s">
        <v>99</v>
      </c>
      <c r="J9" s="61"/>
      <c r="K9" s="61"/>
      <c r="L9" s="61"/>
      <c r="M9" s="61"/>
    </row>
    <row r="10" spans="1:15" ht="15" x14ac:dyDescent="0.25">
      <c r="A10" s="118"/>
      <c r="B10" s="119"/>
      <c r="C10" s="119"/>
      <c r="D10" s="119"/>
      <c r="E10" s="119"/>
      <c r="F10" s="120"/>
      <c r="G10" s="121"/>
      <c r="I10" s="108" t="s">
        <v>96</v>
      </c>
      <c r="J10" s="109" t="e">
        <f>ROUNDDOWN(G4/B4*100,0)/100</f>
        <v>#DIV/0!</v>
      </c>
      <c r="K10" s="61"/>
      <c r="L10" s="61"/>
      <c r="M10" s="61"/>
    </row>
    <row r="11" spans="1:15" ht="15.75" x14ac:dyDescent="0.25">
      <c r="A11" s="118"/>
      <c r="B11" s="119"/>
      <c r="C11" s="119"/>
      <c r="D11" s="119"/>
      <c r="E11" s="119"/>
      <c r="F11" s="120"/>
      <c r="G11" s="121"/>
      <c r="I11" s="108" t="s">
        <v>97</v>
      </c>
      <c r="J11" s="110">
        <f>SUM(C4:F4)</f>
        <v>0</v>
      </c>
      <c r="K11" s="61"/>
    </row>
    <row r="12" spans="1:15" x14ac:dyDescent="0.2">
      <c r="A12" s="118"/>
      <c r="B12" s="119"/>
      <c r="C12" s="119"/>
      <c r="D12" s="119"/>
      <c r="E12" s="119"/>
      <c r="F12" s="120"/>
      <c r="G12" s="121"/>
      <c r="I12" s="61"/>
    </row>
    <row r="13" spans="1:15" x14ac:dyDescent="0.2">
      <c r="A13" s="118"/>
      <c r="B13" s="119"/>
      <c r="C13" s="119"/>
      <c r="D13" s="119"/>
      <c r="E13" s="119"/>
      <c r="F13" s="120"/>
      <c r="G13" s="121"/>
      <c r="I13" s="61"/>
    </row>
    <row r="14" spans="1:15" x14ac:dyDescent="0.2">
      <c r="A14" s="118"/>
      <c r="B14" s="119"/>
      <c r="C14" s="119"/>
      <c r="D14" s="119"/>
      <c r="E14" s="119"/>
      <c r="F14" s="120"/>
      <c r="G14" s="121"/>
      <c r="I14" s="61"/>
    </row>
    <row r="15" spans="1:15" x14ac:dyDescent="0.2">
      <c r="A15" s="118"/>
      <c r="B15" s="119"/>
      <c r="C15" s="119"/>
      <c r="D15" s="119"/>
      <c r="E15" s="119"/>
      <c r="F15" s="120"/>
      <c r="G15" s="121"/>
      <c r="I15" s="61"/>
    </row>
    <row r="16" spans="1:15" x14ac:dyDescent="0.2">
      <c r="A16" s="118"/>
      <c r="B16" s="119"/>
      <c r="C16" s="119"/>
      <c r="D16" s="119"/>
      <c r="E16" s="119"/>
      <c r="F16" s="120"/>
      <c r="G16" s="121"/>
    </row>
    <row r="17" spans="1:7" x14ac:dyDescent="0.2">
      <c r="A17" s="118"/>
      <c r="B17" s="119"/>
      <c r="C17" s="119"/>
      <c r="D17" s="119"/>
      <c r="E17" s="119"/>
      <c r="F17" s="120"/>
      <c r="G17" s="121"/>
    </row>
    <row r="18" spans="1:7" x14ac:dyDescent="0.2">
      <c r="A18" s="118"/>
      <c r="B18" s="119"/>
      <c r="C18" s="119"/>
      <c r="D18" s="119"/>
      <c r="E18" s="119"/>
      <c r="F18" s="120"/>
      <c r="G18" s="121"/>
    </row>
    <row r="19" spans="1:7" x14ac:dyDescent="0.2">
      <c r="A19" s="118"/>
      <c r="B19" s="119"/>
      <c r="C19" s="119"/>
      <c r="D19" s="119"/>
      <c r="E19" s="119"/>
      <c r="F19" s="120"/>
      <c r="G19" s="121"/>
    </row>
    <row r="20" spans="1:7" x14ac:dyDescent="0.2">
      <c r="A20" s="118"/>
      <c r="B20" s="119"/>
      <c r="C20" s="119"/>
      <c r="D20" s="119"/>
      <c r="E20" s="119"/>
      <c r="F20" s="120"/>
      <c r="G20" s="121"/>
    </row>
    <row r="21" spans="1:7" x14ac:dyDescent="0.2">
      <c r="A21" s="118"/>
      <c r="B21" s="119"/>
      <c r="C21" s="119"/>
      <c r="D21" s="119"/>
      <c r="E21" s="119"/>
      <c r="F21" s="120"/>
      <c r="G21" s="121"/>
    </row>
    <row r="22" spans="1:7" x14ac:dyDescent="0.2">
      <c r="A22" s="118"/>
      <c r="B22" s="119"/>
      <c r="C22" s="119"/>
      <c r="D22" s="119"/>
      <c r="E22" s="119"/>
      <c r="F22" s="120"/>
      <c r="G22" s="121"/>
    </row>
    <row r="23" spans="1:7" x14ac:dyDescent="0.2">
      <c r="A23" s="118"/>
      <c r="B23" s="119"/>
      <c r="C23" s="119"/>
      <c r="D23" s="119"/>
      <c r="E23" s="119"/>
      <c r="F23" s="120"/>
      <c r="G23" s="121"/>
    </row>
    <row r="24" spans="1:7" x14ac:dyDescent="0.2">
      <c r="A24" s="118"/>
      <c r="B24" s="119"/>
      <c r="C24" s="119"/>
      <c r="D24" s="119"/>
      <c r="E24" s="119"/>
      <c r="F24" s="120"/>
      <c r="G24" s="121"/>
    </row>
    <row r="25" spans="1:7" x14ac:dyDescent="0.2">
      <c r="A25" s="118"/>
      <c r="B25" s="119"/>
      <c r="C25" s="119"/>
      <c r="D25" s="119"/>
      <c r="E25" s="119"/>
      <c r="F25" s="120"/>
      <c r="G25" s="121"/>
    </row>
    <row r="26" spans="1:7" x14ac:dyDescent="0.2">
      <c r="A26" s="118"/>
      <c r="B26" s="119"/>
      <c r="C26" s="119"/>
      <c r="D26" s="119"/>
      <c r="E26" s="119"/>
      <c r="F26" s="120"/>
      <c r="G26" s="121"/>
    </row>
    <row r="27" spans="1:7" x14ac:dyDescent="0.2">
      <c r="A27" s="118"/>
      <c r="B27" s="119"/>
      <c r="C27" s="119"/>
      <c r="D27" s="119"/>
      <c r="E27" s="119"/>
      <c r="F27" s="120"/>
      <c r="G27" s="121"/>
    </row>
    <row r="28" spans="1:7" x14ac:dyDescent="0.2">
      <c r="A28" s="118"/>
      <c r="B28" s="119"/>
      <c r="C28" s="119"/>
      <c r="D28" s="119"/>
      <c r="E28" s="119"/>
      <c r="F28" s="120"/>
      <c r="G28" s="121"/>
    </row>
    <row r="29" spans="1:7" x14ac:dyDescent="0.2">
      <c r="A29" s="118"/>
      <c r="B29" s="119"/>
      <c r="C29" s="119"/>
      <c r="D29" s="119"/>
      <c r="E29" s="119"/>
      <c r="F29" s="120"/>
      <c r="G29" s="121"/>
    </row>
    <row r="30" spans="1:7" x14ac:dyDescent="0.2">
      <c r="A30" s="118"/>
      <c r="B30" s="119"/>
      <c r="C30" s="119"/>
      <c r="D30" s="119"/>
      <c r="E30" s="119"/>
      <c r="F30" s="120"/>
      <c r="G30" s="121"/>
    </row>
    <row r="31" spans="1:7" x14ac:dyDescent="0.2">
      <c r="A31" s="118"/>
      <c r="B31" s="119"/>
      <c r="C31" s="119"/>
      <c r="D31" s="119"/>
      <c r="E31" s="119"/>
      <c r="F31" s="120"/>
      <c r="G31" s="121"/>
    </row>
    <row r="32" spans="1:7" x14ac:dyDescent="0.2">
      <c r="A32" s="118"/>
      <c r="B32" s="119"/>
      <c r="C32" s="119"/>
      <c r="D32" s="119"/>
      <c r="E32" s="119"/>
      <c r="F32" s="120"/>
      <c r="G32" s="121"/>
    </row>
    <row r="33" spans="1:7" x14ac:dyDescent="0.2">
      <c r="A33" s="118"/>
      <c r="B33" s="119"/>
      <c r="C33" s="119"/>
      <c r="D33" s="119"/>
      <c r="E33" s="119"/>
      <c r="F33" s="120"/>
      <c r="G33" s="121"/>
    </row>
    <row r="34" spans="1:7" x14ac:dyDescent="0.2">
      <c r="A34" s="118"/>
      <c r="B34" s="119"/>
      <c r="C34" s="119"/>
      <c r="D34" s="119"/>
      <c r="E34" s="119"/>
      <c r="F34" s="120"/>
      <c r="G34" s="121"/>
    </row>
    <row r="35" spans="1:7" x14ac:dyDescent="0.2">
      <c r="A35" s="118"/>
      <c r="B35" s="119"/>
      <c r="C35" s="119"/>
      <c r="D35" s="119"/>
      <c r="E35" s="119"/>
      <c r="F35" s="120"/>
      <c r="G35" s="121"/>
    </row>
    <row r="36" spans="1:7" x14ac:dyDescent="0.2">
      <c r="A36" s="118"/>
      <c r="B36" s="119"/>
      <c r="C36" s="119"/>
      <c r="D36" s="119"/>
      <c r="E36" s="119"/>
      <c r="F36" s="120"/>
      <c r="G36" s="121"/>
    </row>
    <row r="37" spans="1:7" x14ac:dyDescent="0.2">
      <c r="A37" s="118"/>
      <c r="B37" s="119"/>
      <c r="C37" s="119"/>
      <c r="D37" s="119"/>
      <c r="E37" s="119"/>
      <c r="F37" s="120"/>
      <c r="G37" s="121"/>
    </row>
    <row r="38" spans="1:7" x14ac:dyDescent="0.2">
      <c r="A38" s="118"/>
      <c r="B38" s="119"/>
      <c r="C38" s="119"/>
      <c r="D38" s="119"/>
      <c r="E38" s="119"/>
      <c r="F38" s="120"/>
      <c r="G38" s="121"/>
    </row>
    <row r="39" spans="1:7" x14ac:dyDescent="0.2">
      <c r="A39" s="118"/>
      <c r="B39" s="119"/>
      <c r="C39" s="119"/>
      <c r="D39" s="119"/>
      <c r="E39" s="119"/>
      <c r="F39" s="120"/>
      <c r="G39" s="121"/>
    </row>
    <row r="40" spans="1:7" x14ac:dyDescent="0.2">
      <c r="A40" s="118"/>
      <c r="B40" s="119"/>
      <c r="C40" s="119"/>
      <c r="D40" s="119"/>
      <c r="E40" s="119"/>
      <c r="F40" s="120"/>
      <c r="G40" s="121"/>
    </row>
    <row r="41" spans="1:7" x14ac:dyDescent="0.2">
      <c r="A41" s="118"/>
      <c r="B41" s="119"/>
      <c r="C41" s="119"/>
      <c r="D41" s="119"/>
      <c r="E41" s="119"/>
      <c r="F41" s="120"/>
      <c r="G41" s="121"/>
    </row>
    <row r="42" spans="1:7" x14ac:dyDescent="0.2">
      <c r="A42" s="118"/>
      <c r="B42" s="119"/>
      <c r="C42" s="119"/>
      <c r="D42" s="119"/>
      <c r="E42" s="119"/>
      <c r="F42" s="120"/>
      <c r="G42" s="121"/>
    </row>
    <row r="43" spans="1:7" x14ac:dyDescent="0.2">
      <c r="A43" s="118"/>
      <c r="B43" s="119"/>
      <c r="C43" s="119"/>
      <c r="D43" s="119"/>
      <c r="E43" s="119"/>
      <c r="F43" s="120"/>
      <c r="G43" s="121"/>
    </row>
    <row r="44" spans="1:7" x14ac:dyDescent="0.2">
      <c r="A44" s="118"/>
      <c r="B44" s="119"/>
      <c r="C44" s="119"/>
      <c r="D44" s="119"/>
      <c r="E44" s="119"/>
      <c r="F44" s="120"/>
      <c r="G44" s="121"/>
    </row>
    <row r="45" spans="1:7" x14ac:dyDescent="0.2">
      <c r="A45" s="118"/>
      <c r="B45" s="119"/>
      <c r="C45" s="119"/>
      <c r="D45" s="119"/>
      <c r="E45" s="119"/>
      <c r="F45" s="120"/>
      <c r="G45" s="121"/>
    </row>
    <row r="46" spans="1:7" x14ac:dyDescent="0.2">
      <c r="A46" s="118"/>
      <c r="B46" s="119"/>
      <c r="C46" s="119"/>
      <c r="D46" s="119"/>
      <c r="E46" s="119"/>
      <c r="F46" s="120"/>
      <c r="G46" s="121"/>
    </row>
    <row r="47" spans="1:7" x14ac:dyDescent="0.2">
      <c r="A47" s="118"/>
      <c r="B47" s="119"/>
      <c r="C47" s="119"/>
      <c r="D47" s="119"/>
      <c r="E47" s="119"/>
      <c r="F47" s="120"/>
      <c r="G47" s="121"/>
    </row>
    <row r="48" spans="1:7" x14ac:dyDescent="0.2">
      <c r="A48" s="118"/>
      <c r="B48" s="119"/>
      <c r="C48" s="119"/>
      <c r="D48" s="119"/>
      <c r="E48" s="119"/>
      <c r="F48" s="120"/>
      <c r="G48" s="121"/>
    </row>
    <row r="49" spans="1:7" x14ac:dyDescent="0.2">
      <c r="A49" s="118"/>
      <c r="B49" s="119"/>
      <c r="C49" s="119"/>
      <c r="D49" s="119"/>
      <c r="E49" s="119"/>
      <c r="F49" s="120"/>
      <c r="G49" s="121"/>
    </row>
    <row r="50" spans="1:7" x14ac:dyDescent="0.2">
      <c r="A50" s="118"/>
      <c r="B50" s="119"/>
      <c r="C50" s="119"/>
      <c r="D50" s="119"/>
      <c r="E50" s="119"/>
      <c r="F50" s="120"/>
      <c r="G50" s="121"/>
    </row>
    <row r="51" spans="1:7" x14ac:dyDescent="0.2">
      <c r="A51" s="118"/>
      <c r="B51" s="119"/>
      <c r="C51" s="119"/>
      <c r="D51" s="119"/>
      <c r="E51" s="119"/>
      <c r="F51" s="120"/>
      <c r="G51" s="121"/>
    </row>
    <row r="52" spans="1:7" x14ac:dyDescent="0.2">
      <c r="A52" s="118"/>
      <c r="B52" s="119"/>
      <c r="C52" s="119"/>
      <c r="D52" s="119"/>
      <c r="E52" s="119"/>
      <c r="F52" s="120"/>
      <c r="G52" s="121"/>
    </row>
    <row r="53" spans="1:7" x14ac:dyDescent="0.2">
      <c r="A53" s="118"/>
      <c r="B53" s="119"/>
      <c r="C53" s="119"/>
      <c r="D53" s="119"/>
      <c r="E53" s="119"/>
      <c r="F53" s="120"/>
      <c r="G53" s="121"/>
    </row>
    <row r="54" spans="1:7" x14ac:dyDescent="0.2">
      <c r="A54" s="118"/>
      <c r="B54" s="119"/>
      <c r="C54" s="119"/>
      <c r="D54" s="119"/>
      <c r="E54" s="119"/>
      <c r="F54" s="120"/>
      <c r="G54" s="121"/>
    </row>
    <row r="55" spans="1:7" x14ac:dyDescent="0.2">
      <c r="A55" s="118"/>
      <c r="B55" s="119"/>
      <c r="C55" s="119"/>
      <c r="D55" s="119"/>
      <c r="E55" s="119"/>
      <c r="F55" s="120"/>
      <c r="G55" s="121"/>
    </row>
    <row r="56" spans="1:7" x14ac:dyDescent="0.2">
      <c r="A56" s="118"/>
      <c r="B56" s="119"/>
      <c r="C56" s="119"/>
      <c r="D56" s="119"/>
      <c r="E56" s="119"/>
      <c r="F56" s="120"/>
      <c r="G56" s="121"/>
    </row>
    <row r="57" spans="1:7" x14ac:dyDescent="0.2">
      <c r="A57" s="118"/>
      <c r="B57" s="119"/>
      <c r="C57" s="119"/>
      <c r="D57" s="119"/>
      <c r="E57" s="119"/>
      <c r="F57" s="120"/>
      <c r="G57" s="121"/>
    </row>
    <row r="58" spans="1:7" x14ac:dyDescent="0.2">
      <c r="A58" s="118"/>
      <c r="B58" s="119"/>
      <c r="C58" s="119"/>
      <c r="D58" s="119"/>
      <c r="E58" s="119"/>
      <c r="F58" s="120"/>
      <c r="G58" s="121"/>
    </row>
    <row r="59" spans="1:7" x14ac:dyDescent="0.2">
      <c r="A59" s="118"/>
      <c r="B59" s="119"/>
      <c r="C59" s="119"/>
      <c r="D59" s="119"/>
      <c r="E59" s="119"/>
      <c r="F59" s="120"/>
      <c r="G59" s="121"/>
    </row>
    <row r="60" spans="1:7" x14ac:dyDescent="0.2">
      <c r="A60" s="118"/>
      <c r="B60" s="119"/>
      <c r="C60" s="119"/>
      <c r="D60" s="119"/>
      <c r="E60" s="119"/>
      <c r="F60" s="120"/>
      <c r="G60" s="121"/>
    </row>
    <row r="61" spans="1:7" x14ac:dyDescent="0.2">
      <c r="A61" s="118"/>
      <c r="B61" s="119"/>
      <c r="C61" s="119"/>
      <c r="D61" s="119"/>
      <c r="E61" s="119"/>
      <c r="F61" s="120"/>
      <c r="G61" s="121"/>
    </row>
    <row r="62" spans="1:7" x14ac:dyDescent="0.2">
      <c r="A62" s="118"/>
      <c r="B62" s="119"/>
      <c r="C62" s="119"/>
      <c r="D62" s="119"/>
      <c r="E62" s="119"/>
      <c r="F62" s="120"/>
      <c r="G62" s="121"/>
    </row>
    <row r="63" spans="1:7" x14ac:dyDescent="0.2">
      <c r="A63" s="118"/>
      <c r="B63" s="119"/>
      <c r="C63" s="119"/>
      <c r="D63" s="119"/>
      <c r="E63" s="119"/>
      <c r="F63" s="120"/>
      <c r="G63" s="121"/>
    </row>
    <row r="64" spans="1:7" x14ac:dyDescent="0.2">
      <c r="A64" s="118"/>
      <c r="B64" s="119"/>
      <c r="C64" s="119"/>
      <c r="D64" s="119"/>
      <c r="E64" s="119"/>
      <c r="F64" s="120"/>
      <c r="G64" s="121"/>
    </row>
    <row r="65" spans="1:7" x14ac:dyDescent="0.2">
      <c r="A65" s="118"/>
      <c r="B65" s="119"/>
      <c r="C65" s="119"/>
      <c r="D65" s="119"/>
      <c r="E65" s="119"/>
      <c r="F65" s="120"/>
      <c r="G65" s="121"/>
    </row>
    <row r="66" spans="1:7" x14ac:dyDescent="0.2">
      <c r="A66" s="118"/>
      <c r="B66" s="119"/>
      <c r="C66" s="119"/>
      <c r="D66" s="119"/>
      <c r="E66" s="119"/>
      <c r="F66" s="120"/>
      <c r="G66" s="121"/>
    </row>
    <row r="67" spans="1:7" x14ac:dyDescent="0.2">
      <c r="A67" s="118"/>
      <c r="B67" s="119"/>
      <c r="C67" s="119"/>
      <c r="D67" s="119"/>
      <c r="E67" s="119"/>
      <c r="F67" s="120"/>
      <c r="G67" s="121"/>
    </row>
    <row r="68" spans="1:7" x14ac:dyDescent="0.2">
      <c r="A68" s="118"/>
      <c r="B68" s="119"/>
      <c r="C68" s="119"/>
      <c r="D68" s="119"/>
      <c r="E68" s="119"/>
      <c r="F68" s="120"/>
      <c r="G68" s="121"/>
    </row>
    <row r="69" spans="1:7" x14ac:dyDescent="0.2">
      <c r="A69" s="118"/>
      <c r="B69" s="119"/>
      <c r="C69" s="119"/>
      <c r="D69" s="119"/>
      <c r="E69" s="119"/>
      <c r="F69" s="120"/>
      <c r="G69" s="121"/>
    </row>
    <row r="70" spans="1:7" x14ac:dyDescent="0.2">
      <c r="A70" s="118"/>
      <c r="B70" s="119"/>
      <c r="C70" s="119"/>
      <c r="D70" s="119"/>
      <c r="E70" s="119"/>
      <c r="F70" s="120"/>
      <c r="G70" s="121"/>
    </row>
    <row r="71" spans="1:7" x14ac:dyDescent="0.2">
      <c r="A71" s="118"/>
      <c r="B71" s="119"/>
      <c r="C71" s="119"/>
      <c r="D71" s="119"/>
      <c r="E71" s="119"/>
      <c r="F71" s="120"/>
      <c r="G71" s="121"/>
    </row>
    <row r="72" spans="1:7" x14ac:dyDescent="0.2">
      <c r="A72" s="118"/>
      <c r="B72" s="119"/>
      <c r="C72" s="119"/>
      <c r="D72" s="119"/>
      <c r="E72" s="119"/>
      <c r="F72" s="120"/>
      <c r="G72" s="121"/>
    </row>
    <row r="73" spans="1:7" x14ac:dyDescent="0.2">
      <c r="A73" s="118"/>
      <c r="B73" s="119"/>
      <c r="C73" s="119"/>
      <c r="D73" s="119"/>
      <c r="E73" s="119"/>
      <c r="F73" s="120"/>
      <c r="G73" s="121"/>
    </row>
    <row r="74" spans="1:7" x14ac:dyDescent="0.2">
      <c r="A74" s="118"/>
      <c r="B74" s="119"/>
      <c r="C74" s="119"/>
      <c r="D74" s="119"/>
      <c r="E74" s="119"/>
      <c r="F74" s="120"/>
      <c r="G74" s="121"/>
    </row>
    <row r="75" spans="1:7" x14ac:dyDescent="0.2">
      <c r="A75" s="118"/>
      <c r="B75" s="119"/>
      <c r="C75" s="119"/>
      <c r="D75" s="119"/>
      <c r="E75" s="119"/>
      <c r="F75" s="120"/>
      <c r="G75" s="121"/>
    </row>
    <row r="76" spans="1:7" x14ac:dyDescent="0.2">
      <c r="A76" s="118"/>
      <c r="B76" s="119"/>
      <c r="C76" s="119"/>
      <c r="D76" s="119"/>
      <c r="E76" s="119"/>
      <c r="F76" s="120"/>
      <c r="G76" s="121"/>
    </row>
    <row r="77" spans="1:7" x14ac:dyDescent="0.2">
      <c r="A77" s="118"/>
      <c r="B77" s="119"/>
      <c r="C77" s="119"/>
      <c r="D77" s="119"/>
      <c r="E77" s="119"/>
      <c r="F77" s="120"/>
      <c r="G77" s="121"/>
    </row>
    <row r="78" spans="1:7" x14ac:dyDescent="0.2">
      <c r="A78" s="118"/>
      <c r="B78" s="119"/>
      <c r="C78" s="119"/>
      <c r="D78" s="119"/>
      <c r="E78" s="119"/>
      <c r="F78" s="120"/>
      <c r="G78" s="121"/>
    </row>
    <row r="79" spans="1:7" x14ac:dyDescent="0.2">
      <c r="A79" s="118"/>
      <c r="B79" s="119"/>
      <c r="C79" s="119"/>
      <c r="D79" s="119"/>
      <c r="E79" s="119"/>
      <c r="F79" s="120"/>
      <c r="G79" s="121"/>
    </row>
    <row r="80" spans="1:7" x14ac:dyDescent="0.2">
      <c r="A80" s="118"/>
      <c r="B80" s="119"/>
      <c r="C80" s="119"/>
      <c r="D80" s="119"/>
      <c r="E80" s="119"/>
      <c r="F80" s="120"/>
      <c r="G80" s="121"/>
    </row>
    <row r="81" spans="1:7" x14ac:dyDescent="0.2">
      <c r="A81" s="118"/>
      <c r="B81" s="119"/>
      <c r="C81" s="119"/>
      <c r="D81" s="119"/>
      <c r="E81" s="119"/>
      <c r="F81" s="120"/>
      <c r="G81" s="121"/>
    </row>
    <row r="82" spans="1:7" x14ac:dyDescent="0.2">
      <c r="A82" s="118"/>
      <c r="B82" s="119"/>
      <c r="C82" s="119"/>
      <c r="D82" s="119"/>
      <c r="E82" s="119"/>
      <c r="F82" s="120"/>
      <c r="G82" s="121"/>
    </row>
    <row r="83" spans="1:7" x14ac:dyDescent="0.2">
      <c r="A83" s="118"/>
      <c r="B83" s="119"/>
      <c r="C83" s="119"/>
      <c r="D83" s="119"/>
      <c r="E83" s="119"/>
      <c r="F83" s="120"/>
      <c r="G83" s="121"/>
    </row>
    <row r="84" spans="1:7" x14ac:dyDescent="0.2">
      <c r="A84" s="118"/>
      <c r="B84" s="119"/>
      <c r="C84" s="119"/>
      <c r="D84" s="119"/>
      <c r="E84" s="119"/>
      <c r="F84" s="120"/>
      <c r="G84" s="121"/>
    </row>
    <row r="85" spans="1:7" x14ac:dyDescent="0.2">
      <c r="A85" s="118"/>
      <c r="B85" s="119"/>
      <c r="C85" s="119"/>
      <c r="D85" s="119"/>
      <c r="E85" s="119"/>
      <c r="F85" s="120"/>
      <c r="G85" s="121"/>
    </row>
    <row r="86" spans="1:7" x14ac:dyDescent="0.2">
      <c r="A86" s="118"/>
      <c r="B86" s="119"/>
      <c r="C86" s="119"/>
      <c r="D86" s="119"/>
      <c r="E86" s="119"/>
      <c r="F86" s="120"/>
      <c r="G86" s="121"/>
    </row>
    <row r="87" spans="1:7" x14ac:dyDescent="0.2">
      <c r="A87" s="118"/>
      <c r="B87" s="119"/>
      <c r="C87" s="119"/>
      <c r="D87" s="119"/>
      <c r="E87" s="119"/>
      <c r="F87" s="120"/>
      <c r="G87" s="121"/>
    </row>
    <row r="88" spans="1:7" x14ac:dyDescent="0.2">
      <c r="A88" s="118"/>
      <c r="B88" s="119"/>
      <c r="C88" s="119"/>
      <c r="D88" s="119"/>
      <c r="E88" s="119"/>
      <c r="F88" s="120"/>
      <c r="G88" s="121"/>
    </row>
    <row r="89" spans="1:7" x14ac:dyDescent="0.2">
      <c r="A89" s="118"/>
      <c r="B89" s="119"/>
      <c r="C89" s="119"/>
      <c r="D89" s="119"/>
      <c r="E89" s="119"/>
      <c r="F89" s="120"/>
      <c r="G89" s="121"/>
    </row>
    <row r="90" spans="1:7" x14ac:dyDescent="0.2">
      <c r="A90" s="118"/>
      <c r="B90" s="119"/>
      <c r="C90" s="119"/>
      <c r="D90" s="119"/>
      <c r="E90" s="119"/>
      <c r="F90" s="120"/>
      <c r="G90" s="121"/>
    </row>
    <row r="91" spans="1:7" x14ac:dyDescent="0.2">
      <c r="A91" s="118"/>
      <c r="B91" s="119"/>
      <c r="C91" s="119"/>
      <c r="D91" s="119"/>
      <c r="E91" s="119"/>
      <c r="F91" s="120"/>
      <c r="G91" s="121"/>
    </row>
    <row r="92" spans="1:7" x14ac:dyDescent="0.2">
      <c r="A92" s="118"/>
      <c r="B92" s="119"/>
      <c r="C92" s="119"/>
      <c r="D92" s="119"/>
      <c r="E92" s="119"/>
      <c r="F92" s="120"/>
      <c r="G92" s="121"/>
    </row>
    <row r="93" spans="1:7" x14ac:dyDescent="0.2">
      <c r="A93" s="118"/>
      <c r="B93" s="119"/>
      <c r="C93" s="119"/>
      <c r="D93" s="119"/>
      <c r="E93" s="119"/>
      <c r="F93" s="120"/>
      <c r="G93" s="121"/>
    </row>
    <row r="94" spans="1:7" x14ac:dyDescent="0.2">
      <c r="A94" s="118"/>
      <c r="B94" s="119"/>
      <c r="C94" s="119"/>
      <c r="D94" s="119"/>
      <c r="E94" s="119"/>
      <c r="F94" s="120"/>
      <c r="G94" s="121"/>
    </row>
    <row r="95" spans="1:7" x14ac:dyDescent="0.2">
      <c r="A95" s="118"/>
      <c r="B95" s="119"/>
      <c r="C95" s="119"/>
      <c r="D95" s="119"/>
      <c r="E95" s="119"/>
      <c r="F95" s="120"/>
      <c r="G95" s="121"/>
    </row>
    <row r="96" spans="1:7" x14ac:dyDescent="0.2">
      <c r="A96" s="118"/>
      <c r="B96" s="119"/>
      <c r="C96" s="119"/>
      <c r="D96" s="119"/>
      <c r="E96" s="119"/>
      <c r="F96" s="120"/>
      <c r="G96" s="121"/>
    </row>
    <row r="97" spans="1:9" x14ac:dyDescent="0.2">
      <c r="A97" s="118"/>
      <c r="B97" s="119"/>
      <c r="C97" s="119"/>
      <c r="D97" s="119"/>
      <c r="E97" s="119"/>
      <c r="F97" s="120"/>
      <c r="G97" s="121"/>
    </row>
    <row r="98" spans="1:9" x14ac:dyDescent="0.2">
      <c r="A98" s="118"/>
      <c r="B98" s="119"/>
      <c r="C98" s="119"/>
      <c r="D98" s="119"/>
      <c r="E98" s="119"/>
      <c r="F98" s="120"/>
      <c r="G98" s="121"/>
      <c r="I98" s="61"/>
    </row>
    <row r="99" spans="1:9" x14ac:dyDescent="0.2">
      <c r="A99" s="118"/>
      <c r="B99" s="119"/>
      <c r="C99" s="119"/>
      <c r="D99" s="119"/>
      <c r="E99" s="119"/>
      <c r="F99" s="120"/>
      <c r="G99" s="121"/>
      <c r="I99" s="61"/>
    </row>
    <row r="100" spans="1:9" x14ac:dyDescent="0.2">
      <c r="A100" s="118"/>
      <c r="B100" s="119"/>
      <c r="C100" s="119"/>
      <c r="D100" s="119"/>
      <c r="E100" s="119"/>
      <c r="F100" s="120"/>
      <c r="G100" s="121"/>
    </row>
    <row r="101" spans="1:9" x14ac:dyDescent="0.2">
      <c r="A101" s="118"/>
      <c r="B101" s="119"/>
      <c r="C101" s="119"/>
      <c r="D101" s="119"/>
      <c r="E101" s="119"/>
      <c r="F101" s="120"/>
      <c r="G101" s="121"/>
    </row>
    <row r="102" spans="1:9" x14ac:dyDescent="0.2">
      <c r="A102" s="118"/>
      <c r="B102" s="119"/>
      <c r="C102" s="119"/>
      <c r="D102" s="119"/>
      <c r="E102" s="119"/>
      <c r="F102" s="120"/>
      <c r="G102" s="121"/>
    </row>
    <row r="103" spans="1:9" x14ac:dyDescent="0.2">
      <c r="A103" s="118"/>
      <c r="B103" s="119"/>
      <c r="C103" s="119"/>
      <c r="D103" s="119"/>
      <c r="E103" s="119"/>
      <c r="F103" s="120"/>
      <c r="G103" s="121"/>
    </row>
    <row r="104" spans="1:9" x14ac:dyDescent="0.2">
      <c r="A104" s="118"/>
      <c r="B104" s="119"/>
      <c r="C104" s="119"/>
      <c r="D104" s="119"/>
      <c r="E104" s="119"/>
      <c r="F104" s="120"/>
      <c r="G104" s="121"/>
    </row>
    <row r="105" spans="1:9" x14ac:dyDescent="0.2">
      <c r="A105" s="118"/>
      <c r="B105" s="119"/>
      <c r="C105" s="119"/>
      <c r="D105" s="119"/>
      <c r="E105" s="119"/>
      <c r="F105" s="120"/>
      <c r="G105" s="121"/>
    </row>
    <row r="106" spans="1:9" x14ac:dyDescent="0.2">
      <c r="A106" s="118"/>
      <c r="B106" s="119"/>
      <c r="C106" s="119"/>
      <c r="D106" s="119"/>
      <c r="E106" s="119"/>
      <c r="F106" s="120"/>
      <c r="G106" s="121"/>
    </row>
    <row r="107" spans="1:9" x14ac:dyDescent="0.2">
      <c r="A107" s="118"/>
      <c r="B107" s="119"/>
      <c r="C107" s="119"/>
      <c r="D107" s="119"/>
      <c r="E107" s="119"/>
      <c r="F107" s="120"/>
      <c r="G107" s="121"/>
    </row>
    <row r="108" spans="1:9" x14ac:dyDescent="0.2">
      <c r="A108" s="118"/>
      <c r="B108" s="119"/>
      <c r="C108" s="119"/>
      <c r="D108" s="119"/>
      <c r="E108" s="119"/>
      <c r="F108" s="120"/>
      <c r="G108" s="121"/>
    </row>
    <row r="109" spans="1:9" x14ac:dyDescent="0.2">
      <c r="A109" s="118"/>
      <c r="B109" s="119"/>
      <c r="C109" s="119"/>
      <c r="D109" s="119"/>
      <c r="E109" s="119"/>
      <c r="F109" s="120"/>
      <c r="G109" s="121"/>
    </row>
    <row r="110" spans="1:9" x14ac:dyDescent="0.2">
      <c r="A110" s="118"/>
      <c r="B110" s="119"/>
      <c r="C110" s="119"/>
      <c r="D110" s="119"/>
      <c r="E110" s="119"/>
      <c r="F110" s="120"/>
      <c r="G110" s="121"/>
    </row>
    <row r="111" spans="1:9" x14ac:dyDescent="0.2">
      <c r="A111" s="118"/>
      <c r="B111" s="119"/>
      <c r="C111" s="119"/>
      <c r="D111" s="119"/>
      <c r="E111" s="119"/>
      <c r="F111" s="120"/>
      <c r="G111" s="121"/>
    </row>
    <row r="112" spans="1:9" x14ac:dyDescent="0.2">
      <c r="A112" s="118"/>
      <c r="B112" s="119"/>
      <c r="C112" s="119"/>
      <c r="D112" s="119"/>
      <c r="E112" s="119"/>
      <c r="F112" s="120"/>
      <c r="G112" s="121"/>
    </row>
    <row r="113" spans="1:7" x14ac:dyDescent="0.2">
      <c r="A113" s="118"/>
      <c r="B113" s="119"/>
      <c r="C113" s="119"/>
      <c r="D113" s="119"/>
      <c r="E113" s="119"/>
      <c r="F113" s="120"/>
      <c r="G113" s="121"/>
    </row>
    <row r="114" spans="1:7" x14ac:dyDescent="0.2">
      <c r="A114" s="118"/>
      <c r="B114" s="119"/>
      <c r="C114" s="119"/>
      <c r="D114" s="119"/>
      <c r="E114" s="119"/>
      <c r="F114" s="120"/>
      <c r="G114" s="121"/>
    </row>
    <row r="115" spans="1:7" x14ac:dyDescent="0.2">
      <c r="A115" s="118"/>
      <c r="B115" s="119"/>
      <c r="C115" s="119"/>
      <c r="D115" s="119"/>
      <c r="E115" s="119"/>
      <c r="F115" s="120"/>
      <c r="G115" s="121"/>
    </row>
    <row r="116" spans="1:7" x14ac:dyDescent="0.2">
      <c r="A116" s="118"/>
      <c r="B116" s="119"/>
      <c r="C116" s="119"/>
      <c r="D116" s="119"/>
      <c r="E116" s="119"/>
      <c r="F116" s="120"/>
      <c r="G116" s="121"/>
    </row>
    <row r="117" spans="1:7" x14ac:dyDescent="0.2">
      <c r="A117" s="118"/>
      <c r="B117" s="119"/>
      <c r="C117" s="119"/>
      <c r="D117" s="119"/>
      <c r="E117" s="119"/>
      <c r="F117" s="120"/>
      <c r="G117" s="121"/>
    </row>
    <row r="118" spans="1:7" x14ac:dyDescent="0.2">
      <c r="A118" s="118"/>
      <c r="B118" s="119"/>
      <c r="C118" s="119"/>
      <c r="D118" s="119"/>
      <c r="E118" s="119"/>
      <c r="F118" s="120"/>
      <c r="G118" s="121"/>
    </row>
    <row r="119" spans="1:7" x14ac:dyDescent="0.2">
      <c r="A119" s="118"/>
      <c r="B119" s="119"/>
      <c r="C119" s="119"/>
      <c r="D119" s="119"/>
      <c r="E119" s="119"/>
      <c r="F119" s="120"/>
      <c r="G119" s="121"/>
    </row>
    <row r="120" spans="1:7" x14ac:dyDescent="0.2">
      <c r="A120" s="118"/>
      <c r="B120" s="119"/>
      <c r="C120" s="119"/>
      <c r="D120" s="119"/>
      <c r="E120" s="119"/>
      <c r="F120" s="120"/>
      <c r="G120" s="121"/>
    </row>
    <row r="121" spans="1:7" x14ac:dyDescent="0.2">
      <c r="A121" s="118"/>
      <c r="B121" s="119"/>
      <c r="C121" s="119"/>
      <c r="D121" s="119"/>
      <c r="E121" s="119"/>
      <c r="F121" s="120"/>
      <c r="G121" s="121"/>
    </row>
    <row r="122" spans="1:7" x14ac:dyDescent="0.2">
      <c r="A122" s="118"/>
      <c r="B122" s="119"/>
      <c r="C122" s="119"/>
      <c r="D122" s="119"/>
      <c r="E122" s="119"/>
      <c r="F122" s="120"/>
      <c r="G122" s="121"/>
    </row>
    <row r="123" spans="1:7" x14ac:dyDescent="0.2">
      <c r="A123" s="118"/>
      <c r="B123" s="119"/>
      <c r="C123" s="119"/>
      <c r="D123" s="119"/>
      <c r="E123" s="119"/>
      <c r="F123" s="120"/>
      <c r="G123" s="121"/>
    </row>
    <row r="124" spans="1:7" x14ac:dyDescent="0.2">
      <c r="A124" s="118"/>
      <c r="B124" s="119"/>
      <c r="C124" s="119"/>
      <c r="D124" s="119"/>
      <c r="E124" s="119"/>
      <c r="F124" s="120"/>
      <c r="G124" s="121"/>
    </row>
    <row r="125" spans="1:7" x14ac:dyDescent="0.2">
      <c r="A125" s="118"/>
      <c r="B125" s="119"/>
      <c r="C125" s="119"/>
      <c r="D125" s="119"/>
      <c r="E125" s="119"/>
      <c r="F125" s="120"/>
      <c r="G125" s="121"/>
    </row>
    <row r="126" spans="1:7" x14ac:dyDescent="0.2">
      <c r="A126" s="118"/>
      <c r="B126" s="119"/>
      <c r="C126" s="119"/>
      <c r="D126" s="119"/>
      <c r="E126" s="119"/>
      <c r="F126" s="120"/>
      <c r="G126" s="121"/>
    </row>
    <row r="127" spans="1:7" x14ac:dyDescent="0.2">
      <c r="A127" s="118"/>
      <c r="B127" s="119"/>
      <c r="C127" s="119"/>
      <c r="D127" s="119"/>
      <c r="E127" s="119"/>
      <c r="F127" s="120"/>
      <c r="G127" s="121"/>
    </row>
    <row r="128" spans="1:7" x14ac:dyDescent="0.2">
      <c r="A128" s="118"/>
      <c r="B128" s="119"/>
      <c r="C128" s="119"/>
      <c r="D128" s="119"/>
      <c r="E128" s="119"/>
      <c r="F128" s="120"/>
      <c r="G128" s="121"/>
    </row>
    <row r="129" spans="1:7" x14ac:dyDescent="0.2">
      <c r="A129" s="118"/>
      <c r="B129" s="119"/>
      <c r="C129" s="119"/>
      <c r="D129" s="119"/>
      <c r="E129" s="119"/>
      <c r="F129" s="120"/>
      <c r="G129" s="121"/>
    </row>
    <row r="130" spans="1:7" x14ac:dyDescent="0.2">
      <c r="A130" s="118"/>
      <c r="B130" s="119"/>
      <c r="C130" s="119"/>
      <c r="D130" s="119"/>
      <c r="E130" s="119"/>
      <c r="F130" s="120"/>
      <c r="G130" s="121"/>
    </row>
    <row r="131" spans="1:7" x14ac:dyDescent="0.2">
      <c r="A131" s="118"/>
      <c r="B131" s="119"/>
      <c r="C131" s="119"/>
      <c r="D131" s="119"/>
      <c r="E131" s="119"/>
      <c r="F131" s="120"/>
      <c r="G131" s="121"/>
    </row>
    <row r="132" spans="1:7" x14ac:dyDescent="0.2">
      <c r="A132" s="118"/>
      <c r="B132" s="119"/>
      <c r="C132" s="119"/>
      <c r="D132" s="119"/>
      <c r="E132" s="119"/>
      <c r="F132" s="120"/>
      <c r="G132" s="121"/>
    </row>
    <row r="133" spans="1:7" x14ac:dyDescent="0.2">
      <c r="A133" s="118"/>
      <c r="B133" s="119"/>
      <c r="C133" s="119"/>
      <c r="D133" s="119"/>
      <c r="E133" s="119"/>
      <c r="F133" s="120"/>
      <c r="G133" s="121"/>
    </row>
    <row r="134" spans="1:7" x14ac:dyDescent="0.2">
      <c r="A134" s="118"/>
      <c r="B134" s="119"/>
      <c r="C134" s="119"/>
      <c r="D134" s="119"/>
      <c r="E134" s="119"/>
      <c r="F134" s="120"/>
      <c r="G134" s="121"/>
    </row>
    <row r="135" spans="1:7" x14ac:dyDescent="0.2">
      <c r="A135" s="118"/>
      <c r="B135" s="119"/>
      <c r="C135" s="119"/>
      <c r="D135" s="119"/>
      <c r="E135" s="119"/>
      <c r="F135" s="120"/>
      <c r="G135" s="121"/>
    </row>
    <row r="136" spans="1:7" x14ac:dyDescent="0.2">
      <c r="A136" s="118"/>
      <c r="B136" s="119"/>
      <c r="C136" s="119"/>
      <c r="D136" s="119"/>
      <c r="E136" s="119"/>
      <c r="F136" s="120"/>
      <c r="G136" s="121"/>
    </row>
    <row r="137" spans="1:7" x14ac:dyDescent="0.2">
      <c r="A137" s="118"/>
      <c r="B137" s="119"/>
      <c r="C137" s="119"/>
      <c r="D137" s="119"/>
      <c r="E137" s="119"/>
      <c r="F137" s="120"/>
      <c r="G137" s="121"/>
    </row>
    <row r="138" spans="1:7" x14ac:dyDescent="0.2">
      <c r="A138" s="118"/>
      <c r="B138" s="119"/>
      <c r="C138" s="119"/>
      <c r="D138" s="119"/>
      <c r="E138" s="119"/>
      <c r="F138" s="120"/>
      <c r="G138" s="121"/>
    </row>
    <row r="139" spans="1:7" x14ac:dyDescent="0.2">
      <c r="A139" s="118"/>
      <c r="B139" s="119"/>
      <c r="C139" s="119"/>
      <c r="D139" s="119"/>
      <c r="E139" s="119"/>
      <c r="F139" s="120"/>
      <c r="G139" s="121"/>
    </row>
    <row r="140" spans="1:7" x14ac:dyDescent="0.2">
      <c r="A140" s="118"/>
      <c r="B140" s="119"/>
      <c r="C140" s="119"/>
      <c r="D140" s="119"/>
      <c r="E140" s="119"/>
      <c r="F140" s="120"/>
      <c r="G140" s="121"/>
    </row>
    <row r="141" spans="1:7" x14ac:dyDescent="0.2">
      <c r="A141" s="118"/>
      <c r="B141" s="119"/>
      <c r="C141" s="119"/>
      <c r="D141" s="119"/>
      <c r="E141" s="119"/>
      <c r="F141" s="120"/>
      <c r="G141" s="121"/>
    </row>
    <row r="142" spans="1:7" x14ac:dyDescent="0.2">
      <c r="A142" s="118"/>
      <c r="B142" s="119"/>
      <c r="C142" s="119"/>
      <c r="D142" s="119"/>
      <c r="E142" s="119"/>
      <c r="F142" s="120"/>
      <c r="G142" s="121"/>
    </row>
    <row r="143" spans="1:7" x14ac:dyDescent="0.2">
      <c r="A143" s="118"/>
      <c r="B143" s="119"/>
      <c r="C143" s="119"/>
      <c r="D143" s="119"/>
      <c r="E143" s="119"/>
      <c r="F143" s="120"/>
      <c r="G143" s="121"/>
    </row>
    <row r="144" spans="1:7" x14ac:dyDescent="0.2">
      <c r="A144" s="118"/>
      <c r="B144" s="119"/>
      <c r="C144" s="119"/>
      <c r="D144" s="119"/>
      <c r="E144" s="119"/>
      <c r="F144" s="120"/>
      <c r="G144" s="121"/>
    </row>
    <row r="145" spans="1:7" x14ac:dyDescent="0.2">
      <c r="A145" s="118"/>
      <c r="B145" s="119"/>
      <c r="C145" s="119"/>
      <c r="D145" s="119"/>
      <c r="E145" s="119"/>
      <c r="F145" s="120"/>
      <c r="G145" s="121"/>
    </row>
    <row r="146" spans="1:7" x14ac:dyDescent="0.2">
      <c r="A146" s="118"/>
      <c r="B146" s="119"/>
      <c r="C146" s="119"/>
      <c r="D146" s="119"/>
      <c r="E146" s="119"/>
      <c r="F146" s="120"/>
      <c r="G146" s="121"/>
    </row>
    <row r="147" spans="1:7" x14ac:dyDescent="0.2">
      <c r="A147" s="118"/>
      <c r="B147" s="119"/>
      <c r="C147" s="119"/>
      <c r="D147" s="119"/>
      <c r="E147" s="119"/>
      <c r="F147" s="120"/>
      <c r="G147" s="121"/>
    </row>
    <row r="148" spans="1:7" x14ac:dyDescent="0.2">
      <c r="A148" s="118"/>
      <c r="B148" s="119"/>
      <c r="C148" s="119"/>
      <c r="D148" s="119"/>
      <c r="E148" s="119"/>
      <c r="F148" s="120"/>
      <c r="G148" s="121"/>
    </row>
    <row r="149" spans="1:7" x14ac:dyDescent="0.2">
      <c r="A149" s="118"/>
      <c r="B149" s="119"/>
      <c r="C149" s="119"/>
      <c r="D149" s="119"/>
      <c r="E149" s="119"/>
      <c r="F149" s="120"/>
      <c r="G149" s="121"/>
    </row>
    <row r="150" spans="1:7" x14ac:dyDescent="0.2">
      <c r="A150" s="118"/>
      <c r="B150" s="119"/>
      <c r="C150" s="119"/>
      <c r="D150" s="119"/>
      <c r="E150" s="119"/>
      <c r="F150" s="120"/>
      <c r="G150" s="121"/>
    </row>
    <row r="151" spans="1:7" x14ac:dyDescent="0.2">
      <c r="A151" s="118"/>
      <c r="B151" s="119"/>
      <c r="C151" s="119"/>
      <c r="D151" s="119"/>
      <c r="E151" s="119"/>
      <c r="F151" s="120"/>
      <c r="G151" s="121"/>
    </row>
    <row r="152" spans="1:7" x14ac:dyDescent="0.2">
      <c r="A152" s="118"/>
      <c r="B152" s="119"/>
      <c r="C152" s="119"/>
      <c r="D152" s="119"/>
      <c r="E152" s="119"/>
      <c r="F152" s="120"/>
      <c r="G152" s="121"/>
    </row>
    <row r="153" spans="1:7" x14ac:dyDescent="0.2">
      <c r="A153" s="118"/>
      <c r="B153" s="119"/>
      <c r="C153" s="119"/>
      <c r="D153" s="119"/>
      <c r="E153" s="119"/>
      <c r="F153" s="120"/>
      <c r="G153" s="121"/>
    </row>
    <row r="154" spans="1:7" x14ac:dyDescent="0.2">
      <c r="A154" s="118"/>
      <c r="B154" s="119"/>
      <c r="C154" s="119"/>
      <c r="D154" s="119"/>
      <c r="E154" s="119"/>
      <c r="F154" s="120"/>
      <c r="G154" s="121"/>
    </row>
    <row r="155" spans="1:7" x14ac:dyDescent="0.2">
      <c r="A155" s="118"/>
      <c r="B155" s="119"/>
      <c r="C155" s="119"/>
      <c r="D155" s="119"/>
      <c r="E155" s="119"/>
      <c r="F155" s="120"/>
      <c r="G155" s="121"/>
    </row>
    <row r="156" spans="1:7" x14ac:dyDescent="0.2">
      <c r="A156" s="118"/>
      <c r="B156" s="119"/>
      <c r="C156" s="119"/>
      <c r="D156" s="119"/>
      <c r="E156" s="119"/>
      <c r="F156" s="120"/>
      <c r="G156" s="121"/>
    </row>
    <row r="157" spans="1:7" x14ac:dyDescent="0.2">
      <c r="A157" s="118"/>
      <c r="B157" s="119"/>
      <c r="C157" s="119"/>
      <c r="D157" s="119"/>
      <c r="E157" s="119"/>
      <c r="F157" s="120"/>
      <c r="G157" s="121"/>
    </row>
    <row r="158" spans="1:7" x14ac:dyDescent="0.2">
      <c r="A158" s="118"/>
      <c r="B158" s="119"/>
      <c r="C158" s="119"/>
      <c r="D158" s="119"/>
      <c r="E158" s="119"/>
      <c r="F158" s="120"/>
      <c r="G158" s="121"/>
    </row>
    <row r="159" spans="1:7" x14ac:dyDescent="0.2">
      <c r="A159" s="118"/>
      <c r="B159" s="119"/>
      <c r="C159" s="119"/>
      <c r="D159" s="119"/>
      <c r="E159" s="119"/>
      <c r="F159" s="120"/>
      <c r="G159" s="121"/>
    </row>
    <row r="160" spans="1:7" x14ac:dyDescent="0.2">
      <c r="A160" s="118"/>
      <c r="B160" s="119"/>
      <c r="C160" s="119"/>
      <c r="D160" s="119"/>
      <c r="E160" s="119"/>
      <c r="F160" s="120"/>
      <c r="G160" s="121"/>
    </row>
    <row r="161" spans="1:7" x14ac:dyDescent="0.2">
      <c r="A161" s="118"/>
      <c r="B161" s="119"/>
      <c r="C161" s="119"/>
      <c r="D161" s="119"/>
      <c r="E161" s="119"/>
      <c r="F161" s="120"/>
      <c r="G161" s="121"/>
    </row>
    <row r="162" spans="1:7" x14ac:dyDescent="0.2">
      <c r="A162" s="118"/>
      <c r="B162" s="119"/>
      <c r="C162" s="119"/>
      <c r="D162" s="119"/>
      <c r="E162" s="119"/>
      <c r="F162" s="120"/>
      <c r="G162" s="121"/>
    </row>
    <row r="163" spans="1:7" x14ac:dyDescent="0.2">
      <c r="A163" s="118"/>
      <c r="B163" s="119"/>
      <c r="C163" s="119"/>
      <c r="D163" s="119"/>
      <c r="E163" s="119"/>
      <c r="F163" s="120"/>
      <c r="G163" s="121"/>
    </row>
    <row r="164" spans="1:7" x14ac:dyDescent="0.2">
      <c r="A164" s="118"/>
      <c r="B164" s="119"/>
      <c r="C164" s="119"/>
      <c r="D164" s="119"/>
      <c r="E164" s="119"/>
      <c r="F164" s="120"/>
      <c r="G164" s="121"/>
    </row>
    <row r="165" spans="1:7" x14ac:dyDescent="0.2">
      <c r="A165" s="118"/>
      <c r="B165" s="119"/>
      <c r="C165" s="119"/>
      <c r="D165" s="119"/>
      <c r="E165" s="119"/>
      <c r="F165" s="120"/>
      <c r="G165" s="121"/>
    </row>
    <row r="166" spans="1:7" x14ac:dyDescent="0.2">
      <c r="A166" s="118"/>
      <c r="B166" s="119"/>
      <c r="C166" s="119"/>
      <c r="D166" s="119"/>
      <c r="E166" s="119"/>
      <c r="F166" s="120"/>
      <c r="G166" s="121"/>
    </row>
    <row r="167" spans="1:7" x14ac:dyDescent="0.2">
      <c r="A167" s="118"/>
      <c r="B167" s="119"/>
      <c r="C167" s="119"/>
      <c r="D167" s="119"/>
      <c r="E167" s="119"/>
      <c r="F167" s="120"/>
      <c r="G167" s="121"/>
    </row>
    <row r="168" spans="1:7" x14ac:dyDescent="0.2">
      <c r="A168" s="118"/>
      <c r="B168" s="119"/>
      <c r="C168" s="119"/>
      <c r="D168" s="119"/>
      <c r="E168" s="119"/>
      <c r="F168" s="120"/>
      <c r="G168" s="121"/>
    </row>
    <row r="169" spans="1:7" x14ac:dyDescent="0.2">
      <c r="A169" s="118"/>
      <c r="B169" s="119"/>
      <c r="C169" s="119"/>
      <c r="D169" s="119"/>
      <c r="E169" s="119"/>
      <c r="F169" s="120"/>
      <c r="G169" s="121"/>
    </row>
    <row r="170" spans="1:7" x14ac:dyDescent="0.2">
      <c r="A170" s="118"/>
      <c r="B170" s="119"/>
      <c r="C170" s="119"/>
      <c r="D170" s="119"/>
      <c r="E170" s="119"/>
      <c r="F170" s="120"/>
      <c r="G170" s="121"/>
    </row>
    <row r="171" spans="1:7" x14ac:dyDescent="0.2">
      <c r="A171" s="118"/>
      <c r="B171" s="119"/>
      <c r="C171" s="119"/>
      <c r="D171" s="119"/>
      <c r="E171" s="119"/>
      <c r="F171" s="120"/>
      <c r="G171" s="121"/>
    </row>
    <row r="172" spans="1:7" x14ac:dyDescent="0.2">
      <c r="A172" s="118"/>
      <c r="B172" s="119"/>
      <c r="C172" s="119"/>
      <c r="D172" s="119"/>
      <c r="E172" s="119"/>
      <c r="F172" s="120"/>
      <c r="G172" s="121"/>
    </row>
    <row r="173" spans="1:7" x14ac:dyDescent="0.2">
      <c r="A173" s="118"/>
      <c r="B173" s="119"/>
      <c r="C173" s="119"/>
      <c r="D173" s="119"/>
      <c r="E173" s="119"/>
      <c r="F173" s="120"/>
      <c r="G173" s="121"/>
    </row>
    <row r="174" spans="1:7" x14ac:dyDescent="0.2">
      <c r="A174" s="118"/>
      <c r="B174" s="119"/>
      <c r="C174" s="119"/>
      <c r="D174" s="119"/>
      <c r="E174" s="119"/>
      <c r="F174" s="120"/>
      <c r="G174" s="121"/>
    </row>
    <row r="175" spans="1:7" x14ac:dyDescent="0.2">
      <c r="A175" s="118"/>
      <c r="B175" s="119"/>
      <c r="C175" s="119"/>
      <c r="D175" s="119"/>
      <c r="E175" s="119"/>
      <c r="F175" s="120"/>
      <c r="G175" s="121"/>
    </row>
    <row r="176" spans="1:7" x14ac:dyDescent="0.2">
      <c r="A176" s="118"/>
      <c r="B176" s="119"/>
      <c r="C176" s="119"/>
      <c r="D176" s="119"/>
      <c r="E176" s="119"/>
      <c r="F176" s="120"/>
      <c r="G176" s="121"/>
    </row>
    <row r="177" spans="1:7" x14ac:dyDescent="0.2">
      <c r="A177" s="118"/>
      <c r="B177" s="119"/>
      <c r="C177" s="119"/>
      <c r="D177" s="119"/>
      <c r="E177" s="119"/>
      <c r="F177" s="120"/>
      <c r="G177" s="121"/>
    </row>
    <row r="178" spans="1:7" x14ac:dyDescent="0.2">
      <c r="A178" s="118"/>
      <c r="B178" s="119"/>
      <c r="C178" s="119"/>
      <c r="D178" s="119"/>
      <c r="E178" s="119"/>
      <c r="F178" s="120"/>
      <c r="G178" s="121"/>
    </row>
    <row r="179" spans="1:7" x14ac:dyDescent="0.2">
      <c r="A179" s="118"/>
      <c r="B179" s="119"/>
      <c r="C179" s="119"/>
      <c r="D179" s="119"/>
      <c r="E179" s="119"/>
      <c r="F179" s="120"/>
      <c r="G179" s="121"/>
    </row>
    <row r="180" spans="1:7" x14ac:dyDescent="0.2">
      <c r="A180" s="118"/>
      <c r="B180" s="119"/>
      <c r="C180" s="119"/>
      <c r="D180" s="119"/>
      <c r="E180" s="119"/>
      <c r="F180" s="120"/>
      <c r="G180" s="121"/>
    </row>
    <row r="181" spans="1:7" x14ac:dyDescent="0.2">
      <c r="A181" s="118"/>
      <c r="B181" s="119"/>
      <c r="C181" s="119"/>
      <c r="D181" s="119"/>
      <c r="E181" s="119"/>
      <c r="F181" s="120"/>
      <c r="G181" s="121"/>
    </row>
    <row r="182" spans="1:7" x14ac:dyDescent="0.2">
      <c r="A182" s="118"/>
      <c r="B182" s="119"/>
      <c r="C182" s="119"/>
      <c r="D182" s="119"/>
      <c r="E182" s="119"/>
      <c r="F182" s="120"/>
      <c r="G182" s="121"/>
    </row>
    <row r="183" spans="1:7" x14ac:dyDescent="0.2">
      <c r="A183" s="118"/>
      <c r="B183" s="119"/>
      <c r="C183" s="119"/>
      <c r="D183" s="119"/>
      <c r="E183" s="119"/>
      <c r="F183" s="120"/>
      <c r="G183" s="121"/>
    </row>
    <row r="184" spans="1:7" x14ac:dyDescent="0.2">
      <c r="A184" s="118"/>
      <c r="B184" s="119"/>
      <c r="C184" s="119"/>
      <c r="D184" s="119"/>
      <c r="E184" s="119"/>
      <c r="F184" s="120"/>
      <c r="G184" s="121"/>
    </row>
    <row r="185" spans="1:7" x14ac:dyDescent="0.2">
      <c r="A185" s="118"/>
      <c r="B185" s="119"/>
      <c r="C185" s="119"/>
      <c r="D185" s="119"/>
      <c r="E185" s="119"/>
      <c r="F185" s="120"/>
      <c r="G185" s="121"/>
    </row>
    <row r="186" spans="1:7" x14ac:dyDescent="0.2">
      <c r="A186" s="118"/>
      <c r="B186" s="119"/>
      <c r="C186" s="119"/>
      <c r="D186" s="119"/>
      <c r="E186" s="119"/>
      <c r="F186" s="120"/>
      <c r="G186" s="121"/>
    </row>
    <row r="187" spans="1:7" x14ac:dyDescent="0.2">
      <c r="A187" s="118"/>
      <c r="B187" s="119"/>
      <c r="C187" s="119"/>
      <c r="D187" s="119"/>
      <c r="E187" s="119"/>
      <c r="F187" s="120"/>
      <c r="G187" s="121"/>
    </row>
    <row r="188" spans="1:7" x14ac:dyDescent="0.2">
      <c r="A188" s="118"/>
      <c r="B188" s="119"/>
      <c r="C188" s="119"/>
      <c r="D188" s="119"/>
      <c r="E188" s="119"/>
      <c r="F188" s="120"/>
      <c r="G188" s="121"/>
    </row>
    <row r="189" spans="1:7" x14ac:dyDescent="0.2">
      <c r="A189" s="118"/>
      <c r="B189" s="119"/>
      <c r="C189" s="119"/>
      <c r="D189" s="119"/>
      <c r="E189" s="119"/>
      <c r="F189" s="120"/>
      <c r="G189" s="121"/>
    </row>
    <row r="190" spans="1:7" x14ac:dyDescent="0.2">
      <c r="A190" s="118"/>
      <c r="B190" s="119"/>
      <c r="C190" s="119"/>
      <c r="D190" s="119"/>
      <c r="E190" s="119"/>
      <c r="F190" s="120"/>
      <c r="G190" s="121"/>
    </row>
    <row r="191" spans="1:7" x14ac:dyDescent="0.2">
      <c r="A191" s="118"/>
      <c r="B191" s="119"/>
      <c r="C191" s="119"/>
      <c r="D191" s="119"/>
      <c r="E191" s="119"/>
      <c r="F191" s="120"/>
      <c r="G191" s="121"/>
    </row>
    <row r="192" spans="1:7" x14ac:dyDescent="0.2">
      <c r="A192" s="118"/>
      <c r="B192" s="119"/>
      <c r="C192" s="119"/>
      <c r="D192" s="119"/>
      <c r="E192" s="119"/>
      <c r="F192" s="120"/>
      <c r="G192" s="121"/>
    </row>
    <row r="193" spans="1:7" x14ac:dyDescent="0.2">
      <c r="A193" s="118"/>
      <c r="B193" s="119"/>
      <c r="C193" s="119"/>
      <c r="D193" s="119"/>
      <c r="E193" s="119"/>
      <c r="F193" s="120"/>
      <c r="G193" s="121"/>
    </row>
    <row r="194" spans="1:7" x14ac:dyDescent="0.2">
      <c r="A194" s="118"/>
      <c r="B194" s="119"/>
      <c r="C194" s="119"/>
      <c r="D194" s="119"/>
      <c r="E194" s="119"/>
      <c r="F194" s="120"/>
      <c r="G194" s="121"/>
    </row>
    <row r="195" spans="1:7" x14ac:dyDescent="0.2">
      <c r="A195" s="118"/>
      <c r="B195" s="119"/>
      <c r="C195" s="119"/>
      <c r="D195" s="119"/>
      <c r="E195" s="119"/>
      <c r="F195" s="120"/>
      <c r="G195" s="121"/>
    </row>
    <row r="196" spans="1:7" x14ac:dyDescent="0.2">
      <c r="A196" s="118"/>
      <c r="B196" s="119"/>
      <c r="C196" s="119"/>
      <c r="D196" s="119"/>
      <c r="E196" s="119"/>
      <c r="F196" s="120"/>
      <c r="G196" s="121"/>
    </row>
    <row r="197" spans="1:7" x14ac:dyDescent="0.2">
      <c r="A197" s="118"/>
      <c r="B197" s="119"/>
      <c r="C197" s="119"/>
      <c r="D197" s="119"/>
      <c r="E197" s="119"/>
      <c r="F197" s="120"/>
      <c r="G197" s="121"/>
    </row>
    <row r="198" spans="1:7" x14ac:dyDescent="0.2">
      <c r="A198" s="118"/>
      <c r="B198" s="119"/>
      <c r="C198" s="119"/>
      <c r="D198" s="119"/>
      <c r="E198" s="119"/>
      <c r="F198" s="120"/>
      <c r="G198" s="121"/>
    </row>
    <row r="199" spans="1:7" x14ac:dyDescent="0.2">
      <c r="A199" s="118"/>
      <c r="B199" s="119"/>
      <c r="C199" s="119"/>
      <c r="D199" s="119"/>
      <c r="E199" s="119"/>
      <c r="F199" s="120"/>
      <c r="G199" s="121"/>
    </row>
    <row r="200" spans="1:7" x14ac:dyDescent="0.2">
      <c r="A200" s="131" t="s">
        <v>200</v>
      </c>
      <c r="B200" s="128"/>
      <c r="C200" s="128"/>
      <c r="D200" s="128"/>
      <c r="E200" s="128"/>
      <c r="F200" s="129"/>
      <c r="G200" s="130"/>
    </row>
  </sheetData>
  <mergeCells count="5">
    <mergeCell ref="E2:H2"/>
    <mergeCell ref="A1:B1"/>
    <mergeCell ref="C1:D1"/>
    <mergeCell ref="M2:O2"/>
    <mergeCell ref="M3:O4"/>
  </mergeCells>
  <conditionalFormatting sqref="C4">
    <cfRule type="cellIs" dxfId="2" priority="3" stopIfTrue="1" operator="notEqual">
      <formula>0</formula>
    </cfRule>
  </conditionalFormatting>
  <conditionalFormatting sqref="D4">
    <cfRule type="cellIs" dxfId="1" priority="2" stopIfTrue="1" operator="notEqual">
      <formula>0</formula>
    </cfRule>
  </conditionalFormatting>
  <conditionalFormatting sqref="E4">
    <cfRule type="cellIs" dxfId="0" priority="1" stopIfTrue="1" operator="notEqual">
      <formula>0</formula>
    </cfRule>
  </conditionalFormatting>
  <pageMargins left="0.75" right="0.75" top="1" bottom="1" header="0.4921259845" footer="0.4921259845"/>
  <pageSetup scale="73" orientation="portrait" r:id="rId1"/>
  <headerFooter alignWithMargins="0">
    <oddFooter>&amp;LExxxxxx rev xxx ver xxx&amp;R&amp;P</oddFooter>
  </headerFooter>
  <colBreaks count="1" manualBreakCount="1">
    <brk id="8" max="49" man="1"/>
  </colBreaks>
  <drawing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tabColor theme="4" tint="0.39997558519241921"/>
  </sheetPr>
  <dimension ref="A2:E10"/>
  <sheetViews>
    <sheetView workbookViewId="0">
      <selection activeCell="B13" sqref="B13"/>
    </sheetView>
  </sheetViews>
  <sheetFormatPr defaultRowHeight="14.25" x14ac:dyDescent="0.2"/>
  <sheetData>
    <row r="2" spans="1:5" ht="27" x14ac:dyDescent="0.35">
      <c r="A2" s="123" t="s">
        <v>120</v>
      </c>
    </row>
    <row r="4" spans="1:5" ht="27" x14ac:dyDescent="0.35">
      <c r="E4" s="123" t="s">
        <v>105</v>
      </c>
    </row>
    <row r="6" spans="1:5" ht="18" x14ac:dyDescent="0.25">
      <c r="A6" s="238" t="s">
        <v>164</v>
      </c>
      <c r="B6" s="237"/>
      <c r="C6" s="237"/>
      <c r="D6" s="237"/>
      <c r="E6" s="237"/>
    </row>
    <row r="8" spans="1:5" ht="18" x14ac:dyDescent="0.25">
      <c r="A8" s="237" t="s">
        <v>165</v>
      </c>
      <c r="B8" s="237"/>
      <c r="C8" s="237"/>
      <c r="D8" s="237"/>
      <c r="E8" s="237"/>
    </row>
    <row r="9" spans="1:5" ht="18" x14ac:dyDescent="0.25">
      <c r="A9" s="237" t="s">
        <v>166</v>
      </c>
      <c r="B9" s="237"/>
      <c r="C9" s="237"/>
      <c r="D9" s="237"/>
      <c r="E9" s="237"/>
    </row>
    <row r="10" spans="1:5" ht="18" x14ac:dyDescent="0.25">
      <c r="A10" s="237" t="s">
        <v>167</v>
      </c>
      <c r="B10" s="237"/>
      <c r="C10" s="237"/>
      <c r="D10" s="237"/>
      <c r="E10" s="237"/>
    </row>
  </sheetData>
  <pageMargins left="0.7" right="0.7" top="0.75" bottom="0.75" header="0.3" footer="0.3"/>
  <pageSetup paperSize="9" orientation="portrait" r:id="rId1"/>
  <headerFooter>
    <oddFooter>&amp;LExxxxxx rev xxx ver xxx&amp;R&amp;P</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theme="4" tint="0.39997558519241921"/>
  </sheetPr>
  <dimension ref="A3:E7"/>
  <sheetViews>
    <sheetView workbookViewId="0">
      <selection activeCell="A7" sqref="A7"/>
    </sheetView>
  </sheetViews>
  <sheetFormatPr defaultRowHeight="12.75" x14ac:dyDescent="0.2"/>
  <cols>
    <col min="1" max="16384" width="9" style="299"/>
  </cols>
  <sheetData>
    <row r="3" spans="1:5" ht="27" x14ac:dyDescent="0.35">
      <c r="A3" s="298" t="s">
        <v>120</v>
      </c>
    </row>
    <row r="5" spans="1:5" ht="27" x14ac:dyDescent="0.35">
      <c r="E5" s="298" t="s">
        <v>208</v>
      </c>
    </row>
    <row r="7" spans="1:5" ht="27" x14ac:dyDescent="0.35">
      <c r="A7" s="298" t="s">
        <v>209</v>
      </c>
    </row>
  </sheetData>
  <pageMargins left="0.7" right="0.7" top="0.75" bottom="0.75" header="0.3" footer="0.3"/>
  <pageSetup paperSize="9" orientation="portrait" r:id="rId1"/>
  <headerFooter>
    <oddFooter>&amp;LE905722 rev xxx ver xxx&amp;R&amp;P</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euil3"/>
  <dimension ref="A1"/>
  <sheetViews>
    <sheetView workbookViewId="0">
      <selection activeCell="E9" sqref="E9"/>
    </sheetView>
  </sheetViews>
  <sheetFormatPr defaultColWidth="11.25" defaultRowHeight="14.25" x14ac:dyDescent="0.2"/>
  <sheetData/>
  <pageMargins left="0.75" right="0.75" top="1" bottom="1" header="0.4921259845" footer="0.4921259845"/>
  <pageSetup paperSize="9" orientation="portrait" r:id="rId1"/>
  <headerFooter alignWithMargins="0">
    <oddFooter>&amp;LExxxxxx rev xxx ver xxx&amp;R&amp;P</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Feuil4">
    <tabColor theme="9" tint="0.59999389629810485"/>
  </sheetPr>
  <dimension ref="A1:B21"/>
  <sheetViews>
    <sheetView workbookViewId="0">
      <selection activeCell="A20" sqref="A20"/>
    </sheetView>
  </sheetViews>
  <sheetFormatPr defaultColWidth="11.25" defaultRowHeight="14.25" x14ac:dyDescent="0.2"/>
  <cols>
    <col min="1" max="1" width="39.5" customWidth="1"/>
  </cols>
  <sheetData>
    <row r="1" spans="1:2" x14ac:dyDescent="0.2">
      <c r="A1" t="s">
        <v>64</v>
      </c>
    </row>
    <row r="2" spans="1:2" x14ac:dyDescent="0.2">
      <c r="A2" t="s">
        <v>65</v>
      </c>
    </row>
    <row r="3" spans="1:2" s="65" customFormat="1" ht="19.5" thickBot="1" x14ac:dyDescent="0.35">
      <c r="A3" s="64" t="s">
        <v>66</v>
      </c>
      <c r="B3" s="65" t="s">
        <v>67</v>
      </c>
    </row>
    <row r="4" spans="1:2" s="65" customFormat="1" ht="16.5" thickTop="1" x14ac:dyDescent="0.25">
      <c r="A4" s="66" t="s">
        <v>68</v>
      </c>
      <c r="B4" s="65" t="s">
        <v>67</v>
      </c>
    </row>
    <row r="5" spans="1:2" x14ac:dyDescent="0.2">
      <c r="A5" s="67" t="s">
        <v>69</v>
      </c>
      <c r="B5" t="s">
        <v>67</v>
      </c>
    </row>
    <row r="6" spans="1:2" x14ac:dyDescent="0.2">
      <c r="A6" s="68" t="s">
        <v>70</v>
      </c>
      <c r="B6" t="s">
        <v>67</v>
      </c>
    </row>
    <row r="7" spans="1:2" x14ac:dyDescent="0.2">
      <c r="A7" s="69" t="s">
        <v>71</v>
      </c>
      <c r="B7" t="s">
        <v>67</v>
      </c>
    </row>
    <row r="8" spans="1:2" x14ac:dyDescent="0.2">
      <c r="A8" s="70" t="s">
        <v>72</v>
      </c>
      <c r="B8" t="s">
        <v>67</v>
      </c>
    </row>
    <row r="9" spans="1:2" x14ac:dyDescent="0.2">
      <c r="A9" s="71" t="s">
        <v>73</v>
      </c>
      <c r="B9" t="s">
        <v>67</v>
      </c>
    </row>
    <row r="10" spans="1:2" x14ac:dyDescent="0.2">
      <c r="A10" s="72" t="s">
        <v>74</v>
      </c>
      <c r="B10" t="s">
        <v>67</v>
      </c>
    </row>
    <row r="11" spans="1:2" x14ac:dyDescent="0.2">
      <c r="A11" s="73" t="s">
        <v>75</v>
      </c>
      <c r="B11" t="s">
        <v>67</v>
      </c>
    </row>
    <row r="12" spans="1:2" x14ac:dyDescent="0.2">
      <c r="A12" s="74" t="s">
        <v>76</v>
      </c>
      <c r="B12" t="s">
        <v>67</v>
      </c>
    </row>
    <row r="13" spans="1:2" x14ac:dyDescent="0.2">
      <c r="A13" s="75" t="s">
        <v>77</v>
      </c>
      <c r="B13" t="s">
        <v>67</v>
      </c>
    </row>
    <row r="14" spans="1:2" ht="48.75" x14ac:dyDescent="0.2">
      <c r="A14" s="76" t="s">
        <v>78</v>
      </c>
    </row>
    <row r="15" spans="1:2" x14ac:dyDescent="0.2">
      <c r="A15" s="77" t="s">
        <v>79</v>
      </c>
    </row>
    <row r="17" spans="1:1" x14ac:dyDescent="0.2">
      <c r="A17" s="78" t="s">
        <v>80</v>
      </c>
    </row>
    <row r="18" spans="1:1" x14ac:dyDescent="0.2">
      <c r="A18" s="79" t="s">
        <v>81</v>
      </c>
    </row>
    <row r="19" spans="1:1" x14ac:dyDescent="0.2">
      <c r="A19" s="80" t="s">
        <v>82</v>
      </c>
    </row>
    <row r="20" spans="1:1" x14ac:dyDescent="0.2">
      <c r="A20" s="81" t="s">
        <v>83</v>
      </c>
    </row>
    <row r="21" spans="1:1" x14ac:dyDescent="0.2">
      <c r="A21" s="82" t="s">
        <v>84</v>
      </c>
    </row>
  </sheetData>
  <pageMargins left="0.75" right="0.75" top="1" bottom="1" header="0.4921259845" footer="0.4921259845"/>
  <pageSetup paperSize="9" orientation="portrait" r:id="rId1"/>
  <headerFooter alignWithMargins="0">
    <oddFooter>&amp;LExxxxxx rev xxx ver xxx&amp;R&amp;P</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34</vt:i4>
      </vt:variant>
    </vt:vector>
  </HeadingPairs>
  <TitlesOfParts>
    <vt:vector size="43" baseType="lpstr">
      <vt:lpstr>FrontPage</vt:lpstr>
      <vt:lpstr>General info</vt:lpstr>
      <vt:lpstr>User Guide</vt:lpstr>
      <vt:lpstr>Statistics</vt:lpstr>
      <vt:lpstr>Requirement Status</vt:lpstr>
      <vt:lpstr>Incomplete Req List</vt:lpstr>
      <vt:lpstr>Req Test Status</vt:lpstr>
      <vt:lpstr>Feuil1</vt:lpstr>
      <vt:lpstr>Styles</vt:lpstr>
      <vt:lpstr>FileName</vt:lpstr>
      <vt:lpstr>IntTests_ExistButNotTested</vt:lpstr>
      <vt:lpstr>IntTests_NotExist</vt:lpstr>
      <vt:lpstr>IntTests_Tested</vt:lpstr>
      <vt:lpstr>MXActual_state_Released</vt:lpstr>
      <vt:lpstr>MXAuthority</vt:lpstr>
      <vt:lpstr>MXCurrent.Localized</vt:lpstr>
      <vt:lpstr>MXName</vt:lpstr>
      <vt:lpstr>MXRevision</vt:lpstr>
      <vt:lpstr>MXTitle</vt:lpstr>
      <vt:lpstr>MXVersion</vt:lpstr>
      <vt:lpstr>NbOfFunctionalReqs</vt:lpstr>
      <vt:lpstr>NbOfNonFunctionalReqs</vt:lpstr>
      <vt:lpstr>PLMDocAuthor</vt:lpstr>
      <vt:lpstr>'Requirement Status'!Print_Area</vt:lpstr>
      <vt:lpstr>Statistics!Print_Area</vt:lpstr>
      <vt:lpstr>'General info'!Print_Titles</vt:lpstr>
      <vt:lpstr>ReqNotApproved</vt:lpstr>
      <vt:lpstr>ReqNotReviewed</vt:lpstr>
      <vt:lpstr>ReqStatus_LastTableRow</vt:lpstr>
      <vt:lpstr>ReqTestedByIntCumulated</vt:lpstr>
      <vt:lpstr>START_REPORT</vt:lpstr>
      <vt:lpstr>SumForStatistics</vt:lpstr>
      <vt:lpstr>SWVersion</vt:lpstr>
      <vt:lpstr>TemplateRef</vt:lpstr>
      <vt:lpstr>TestsResults_NOK</vt:lpstr>
      <vt:lpstr>TestsResults_NotTested</vt:lpstr>
      <vt:lpstr>TestsResults_OK</vt:lpstr>
      <vt:lpstr>TestsResults_PartiallyOK</vt:lpstr>
      <vt:lpstr>'Requirement Status'!TitleModuleName</vt:lpstr>
      <vt:lpstr>Statistics!TitleModuleName</vt:lpstr>
      <vt:lpstr>VerifTests_ExistButNotTested</vt:lpstr>
      <vt:lpstr>VerifTests_NotExist</vt:lpstr>
      <vt:lpstr>VerifTests_Tested</vt:lpstr>
    </vt:vector>
  </TitlesOfParts>
  <Company>Autoliv Electronics AB</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Cyril Jouhanneau</dc:creator>
  <cp:lastModifiedBy>Francine Chambin</cp:lastModifiedBy>
  <cp:lastPrinted>2018-06-07T10:08:42Z</cp:lastPrinted>
  <dcterms:created xsi:type="dcterms:W3CDTF">2008-08-11T11:06:44Z</dcterms:created>
  <dcterms:modified xsi:type="dcterms:W3CDTF">2018-07-18T15:23:19Z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XAccess Type">
    <vt:lpwstr>Inherited</vt:lpwstr>
  </property>
  <property fmtid="{D5CDD505-2E9C-101B-9397-08002B2CF9AE}" pid="3" name="MXActiveVersion">
    <vt:lpwstr>2</vt:lpwstr>
  </property>
  <property fmtid="{D5CDD505-2E9C-101B-9397-08002B2CF9AE}" pid="4" name="MXActual_state_Preliminary">
    <vt:lpwstr>09/10/12 13:59</vt:lpwstr>
  </property>
  <property fmtid="{D5CDD505-2E9C-101B-9397-08002B2CF9AE}" pid="5" name="MXActual_state_Released" linkTarget="MXActual_state_Released">
    <vt:lpwstr>#NAME?</vt:lpwstr>
  </property>
  <property fmtid="{D5CDD505-2E9C-101B-9397-08002B2CF9AE}" pid="6" name="MXActual_state_Superceded">
    <vt:lpwstr>N/A</vt:lpwstr>
  </property>
  <property fmtid="{D5CDD505-2E9C-101B-9397-08002B2CF9AE}" pid="7" name="MXalvApplicationVersion">
    <vt:lpwstr/>
  </property>
  <property fmtid="{D5CDD505-2E9C-101B-9397-08002B2CF9AE}" pid="8" name="MXalvChangeDescription">
    <vt:lpwstr/>
  </property>
  <property fmtid="{D5CDD505-2E9C-101B-9397-08002B2CF9AE}" pid="9" name="MXAuthority" linkTarget="MXAuthority">
    <vt:lpwstr>#NAME?</vt:lpwstr>
  </property>
  <property fmtid="{D5CDD505-2E9C-101B-9397-08002B2CF9AE}" pid="10" name="MXAuthority_BusinessUnit">
    <vt:lpwstr/>
  </property>
  <property fmtid="{D5CDD505-2E9C-101B-9397-08002B2CF9AE}" pid="11" name="MXAuthority_Description">
    <vt:lpwstr>Tools used in AEE-C</vt:lpwstr>
  </property>
  <property fmtid="{D5CDD505-2E9C-101B-9397-08002B2CF9AE}" pid="12" name="MXAuthority_Owner">
    <vt:lpwstr>Philippe Merrien</vt:lpwstr>
  </property>
  <property fmtid="{D5CDD505-2E9C-101B-9397-08002B2CF9AE}" pid="13" name="MXAuthority_Program">
    <vt:lpwstr/>
  </property>
  <property fmtid="{D5CDD505-2E9C-101B-9397-08002B2CF9AE}" pid="14" name="MXCheckin Date">
    <vt:lpwstr>2012-12-20</vt:lpwstr>
  </property>
  <property fmtid="{D5CDD505-2E9C-101B-9397-08002B2CF9AE}" pid="15" name="MXCheckin Reason">
    <vt:lpwstr/>
  </property>
  <property fmtid="{D5CDD505-2E9C-101B-9397-08002B2CF9AE}" pid="16" name="MXCheckin User">
    <vt:lpwstr> Name</vt:lpwstr>
  </property>
  <property fmtid="{D5CDD505-2E9C-101B-9397-08002B2CF9AE}" pid="17" name="MXCurrent">
    <vt:lpwstr>Preliminary</vt:lpwstr>
  </property>
  <property fmtid="{D5CDD505-2E9C-101B-9397-08002B2CF9AE}" pid="18" name="MXCurrent.Localized" linkTarget="MXCurrent.Localized">
    <vt:lpwstr>#NAME?</vt:lpwstr>
  </property>
  <property fmtid="{D5CDD505-2E9C-101B-9397-08002B2CF9AE}" pid="19" name="MXDescription">
    <vt:lpwstr/>
  </property>
  <property fmtid="{D5CDD505-2E9C-101B-9397-08002B2CF9AE}" pid="20" name="MXDesignated User">
    <vt:lpwstr>Unassigned</vt:lpwstr>
  </property>
  <property fmtid="{D5CDD505-2E9C-101B-9397-08002B2CF9AE}" pid="21" name="MXEmail">
    <vt:lpwstr> </vt:lpwstr>
  </property>
  <property fmtid="{D5CDD505-2E9C-101B-9397-08002B2CF9AE}" pid="22" name="MXFirstName">
    <vt:lpwstr> </vt:lpwstr>
  </property>
  <property fmtid="{D5CDD505-2E9C-101B-9397-08002B2CF9AE}" pid="23" name="MXIs Version Object">
    <vt:lpwstr>False</vt:lpwstr>
  </property>
  <property fmtid="{D5CDD505-2E9C-101B-9397-08002B2CF9AE}" pid="24" name="MXLanguage">
    <vt:lpwstr>English</vt:lpwstr>
  </property>
  <property fmtid="{D5CDD505-2E9C-101B-9397-08002B2CF9AE}" pid="25" name="MXLastName">
    <vt:lpwstr> </vt:lpwstr>
  </property>
  <property fmtid="{D5CDD505-2E9C-101B-9397-08002B2CF9AE}" pid="26" name="MXLatestVersion">
    <vt:lpwstr>2</vt:lpwstr>
  </property>
  <property fmtid="{D5CDD505-2E9C-101B-9397-08002B2CF9AE}" pid="27" name="MXMiddleName">
    <vt:lpwstr/>
  </property>
  <property fmtid="{D5CDD505-2E9C-101B-9397-08002B2CF9AE}" pid="28" name="MXMove Files To Version">
    <vt:lpwstr>False</vt:lpwstr>
  </property>
  <property fmtid="{D5CDD505-2E9C-101B-9397-08002B2CF9AE}" pid="29" name="MXName" linkTarget="MXName">
    <vt:lpwstr>#NAME?</vt:lpwstr>
  </property>
  <property fmtid="{D5CDD505-2E9C-101B-9397-08002B2CF9AE}" pid="30" name="MXOriginator">
    <vt:lpwstr>Francine Chambin</vt:lpwstr>
  </property>
  <property fmtid="{D5CDD505-2E9C-101B-9397-08002B2CF9AE}" pid="31" name="MXPolicy" linkTarget="MXPolicy">
    <vt:lpwstr>#REF!</vt:lpwstr>
  </property>
  <property fmtid="{D5CDD505-2E9C-101B-9397-08002B2CF9AE}" pid="32" name="MXPolicy.Localized">
    <vt:lpwstr>NoReview Document</vt:lpwstr>
  </property>
  <property fmtid="{D5CDD505-2E9C-101B-9397-08002B2CF9AE}" pid="33" name="MXRevision" linkTarget="MXRevision">
    <vt:lpwstr>#NAME?</vt:lpwstr>
  </property>
  <property fmtid="{D5CDD505-2E9C-101B-9397-08002B2CF9AE}" pid="34" name="MXRoute_In-Work_date">
    <vt:lpwstr/>
  </property>
  <property fmtid="{D5CDD505-2E9C-101B-9397-08002B2CF9AE}" pid="35" name="MXRoute_In-Work_name">
    <vt:lpwstr/>
  </property>
  <property fmtid="{D5CDD505-2E9C-101B-9397-08002B2CF9AE}" pid="36" name="MXRoute_Released_date">
    <vt:lpwstr/>
  </property>
  <property fmtid="{D5CDD505-2E9C-101B-9397-08002B2CF9AE}" pid="37" name="MXRoute_Released_name">
    <vt:lpwstr/>
  </property>
  <property fmtid="{D5CDD505-2E9C-101B-9397-08002B2CF9AE}" pid="38" name="MXRoute_Superseded_date">
    <vt:lpwstr/>
  </property>
  <property fmtid="{D5CDD505-2E9C-101B-9397-08002B2CF9AE}" pid="39" name="MXRoute_Superseded_name">
    <vt:lpwstr/>
  </property>
  <property fmtid="{D5CDD505-2E9C-101B-9397-08002B2CF9AE}" pid="40" name="MXSignatures_state_Preliminary">
    <vt:lpwstr/>
  </property>
  <property fmtid="{D5CDD505-2E9C-101B-9397-08002B2CF9AE}" pid="41" name="MXSignatures_state_Released">
    <vt:lpwstr/>
  </property>
  <property fmtid="{D5CDD505-2E9C-101B-9397-08002B2CF9AE}" pid="42" name="MXSignatures_state_Superceded">
    <vt:lpwstr/>
  </property>
  <property fmtid="{D5CDD505-2E9C-101B-9397-08002B2CF9AE}" pid="43" name="MXSuspend Versioning">
    <vt:lpwstr>False</vt:lpwstr>
  </property>
  <property fmtid="{D5CDD505-2E9C-101B-9397-08002B2CF9AE}" pid="44" name="MXTitle" linkTarget="MXTitle">
    <vt:lpwstr>Software Requirements Matrix</vt:lpwstr>
  </property>
  <property fmtid="{D5CDD505-2E9C-101B-9397-08002B2CF9AE}" pid="45" name="MXType">
    <vt:lpwstr>alvInformation</vt:lpwstr>
  </property>
  <property fmtid="{D5CDD505-2E9C-101B-9397-08002B2CF9AE}" pid="46" name="MXType.Localized" linkTarget="MXType.Localized">
    <vt:lpwstr>#REF!</vt:lpwstr>
  </property>
  <property fmtid="{D5CDD505-2E9C-101B-9397-08002B2CF9AE}" pid="47" name="MXUser">
    <vt:lpwstr>Francine Chambin</vt:lpwstr>
  </property>
  <property fmtid="{D5CDD505-2E9C-101B-9397-08002B2CF9AE}" pid="48" name="MXVersion" linkTarget="MXVersion">
    <vt:lpwstr>#NAME?</vt:lpwstr>
  </property>
  <property fmtid="{D5CDD505-2E9C-101B-9397-08002B2CF9AE}" pid="49" name="MXAuthority_LocalNumber">
    <vt:lpwstr/>
  </property>
</Properties>
</file>