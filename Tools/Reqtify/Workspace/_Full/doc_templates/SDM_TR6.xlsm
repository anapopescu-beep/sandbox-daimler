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S:\Tools\Reqtify\Workspace\_Full\doc_templates\"/>
    </mc:Choice>
  </mc:AlternateContent>
  <xr:revisionPtr revIDLastSave="0" documentId="13_ncr:1_{C8514ECD-2E20-42BB-A360-6EA654776EF7}" xr6:coauthVersionLast="46" xr6:coauthVersionMax="46" xr10:uidLastSave="{00000000-0000-0000-0000-000000000000}"/>
  <bookViews>
    <workbookView xWindow="28680" yWindow="-120" windowWidth="29040" windowHeight="15840" tabRatio="787" activeTab="3" xr2:uid="{00000000-000D-0000-FFFF-FFFF00000000}"/>
  </bookViews>
  <sheets>
    <sheet name="FrontPage" sheetId="4" r:id="rId1"/>
    <sheet name="General info" sheetId="11" r:id="rId2"/>
    <sheet name="User Guide" sheetId="14" r:id="rId3"/>
    <sheet name="Statistics" sheetId="15" r:id="rId4"/>
    <sheet name="Incomplete Desig Elements List" sheetId="34" r:id="rId5"/>
    <sheet name="Feuil1" sheetId="48" r:id="rId6"/>
    <sheet name="Styles" sheetId="19" r:id="rId7"/>
  </sheets>
  <definedNames>
    <definedName name="_xlnm._FilterDatabase" localSheetId="5" hidden="1">Feuil1!$A$2:$K$2</definedName>
    <definedName name="_xlnm._FilterDatabase" localSheetId="3" hidden="1">Statistics!$A$4:$J$4</definedName>
    <definedName name="CoveredByLowReq">Statistics!$D$7</definedName>
    <definedName name="CoveredReq">Statistics!$E$7</definedName>
    <definedName name="DesiredDiscipline">Statistics!$B$1</definedName>
    <definedName name="Discipline">Statistics!#REF!</definedName>
    <definedName name="FileName">FrontPage!$AD$3</definedName>
    <definedName name="FunctReq">Statistics!#REF!</definedName>
    <definedName name="ImplementedReq">Statistics!$C$7</definedName>
    <definedName name="ListOfDisciplines">Statistics!#REF!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OKFunctReq">Statistics!$M$7</definedName>
    <definedName name="NOKReq">Statistics!$J$7</definedName>
    <definedName name="NonFunctReq">Statistics!#REF!</definedName>
    <definedName name="OKFunctReq">Statistics!$K$7</definedName>
    <definedName name="OKReq">Statistics!$H$7</definedName>
    <definedName name="PartialOKFunctReq">Statistics!$L$7</definedName>
    <definedName name="PartialOKReq">Statistics!$I$7</definedName>
    <definedName name="PLMDocAuthor">FrontPage!$F$10</definedName>
    <definedName name="_xlnm.Print_Area" localSheetId="2">'User Guide'!$A$1:$S$15</definedName>
    <definedName name="_xlnm.Print_Titles" localSheetId="1">'General info'!$1:$10</definedName>
    <definedName name="START_REPORT">Feuil1!$A$1</definedName>
    <definedName name="SumForStatistics">Statistics!$A$7</definedName>
    <definedName name="SWVersion">FrontPage!$O$24</definedName>
    <definedName name="TemplateRef">FrontPage!$W$7</definedName>
    <definedName name="TestedReq">Statistics!$F$7</definedName>
    <definedName name="TitleCoveredByTests">Statistics!$E$4</definedName>
    <definedName name="TitleCumulatedNOK">Statistics!$J$4</definedName>
    <definedName name="TitleCumulatedOK">Statistics!$H$4</definedName>
    <definedName name="TitleCumulatedPartiallyOK">Statistics!$I$4</definedName>
    <definedName name="TitleCumulatedTested">Statistics!$G$4</definedName>
    <definedName name="TitleFnctCumulatedNOK">Statistics!$M$4</definedName>
    <definedName name="TitleFnctCumulatedOK">Statistics!$K$4</definedName>
    <definedName name="TitleFnctCumulatedPartiallyOK">Statistics!$L$4</definedName>
    <definedName name="TitleImplemented">Statistics!$C$4</definedName>
    <definedName name="TitleImplementingUpReq">Statistics!$D$4</definedName>
    <definedName name="TitleListOfDisciplines">Statistics!#REF!</definedName>
    <definedName name="TitleModuleName">Statistics!$A$4</definedName>
    <definedName name="TitleReqNumber">Statistics!$B$4</definedName>
    <definedName name="TitleTested">Statistics!$F$4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1" i="15" l="1"/>
  <c r="B50" i="15"/>
  <c r="B49" i="15"/>
  <c r="B34" i="15"/>
  <c r="B33" i="15"/>
  <c r="B32" i="15"/>
  <c r="A2" i="15" l="1"/>
  <c r="A23" i="4" l="1"/>
  <c r="B13" i="15"/>
  <c r="B14" i="15" s="1"/>
  <c r="G13" i="15"/>
  <c r="G14" i="15" s="1"/>
  <c r="K1" i="15"/>
  <c r="AD3" i="4"/>
  <c r="AD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W7" authorId="0" shapeId="0" xr:uid="{00000000-0006-0000-0000-00000100000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5"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5" authorId="0" shapeId="0" xr:uid="{00000000-0006-0000-0100-000004000000}">
      <text>
        <r>
          <rPr>
            <sz val="8"/>
            <color indexed="81"/>
            <rFont val="Tahoma"/>
            <family val="2"/>
          </rPr>
          <t>Date when the Revision is released</t>
        </r>
      </text>
    </comment>
    <comment ref="I25" authorId="0" shapeId="0" xr:uid="{00000000-0006-0000-0100-000005000000}">
      <text>
        <r>
          <rPr>
            <sz val="8"/>
            <color indexed="81"/>
            <rFont val="Tahoma"/>
            <family val="2"/>
          </rPr>
          <t>Author of the document. Authors if several.</t>
        </r>
      </text>
    </comment>
    <comment ref="R25" authorId="0" shapeId="0" xr:uid="{00000000-0006-0000-0100-000006000000}">
      <text>
        <r>
          <rPr>
            <sz val="8"/>
            <color indexed="81"/>
            <rFont val="Tahoma"/>
            <family val="2"/>
          </rPr>
          <t>Description or comment on the version. E.g. updated after meeting etc.</t>
        </r>
      </text>
    </comment>
    <comment ref="B37"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7" authorId="0" shapeId="0" xr:uid="{00000000-0006-0000-0100-000008000000}">
      <text>
        <r>
          <rPr>
            <sz val="8"/>
            <color indexed="81"/>
            <rFont val="Tahoma"/>
            <family val="2"/>
          </rPr>
          <t>Title of reference documents.</t>
        </r>
      </text>
    </comment>
    <comment ref="Y37" authorId="0" shapeId="0" xr:uid="{00000000-0006-0000-0100-000009000000}">
      <text>
        <r>
          <rPr>
            <sz val="8"/>
            <color indexed="81"/>
            <rFont val="Tahoma"/>
            <family val="2"/>
          </rPr>
          <t>Reference number, e.g. E123456 and revision of the reference.</t>
        </r>
      </text>
    </comment>
    <comment ref="B43"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3" authorId="0" shapeId="0" xr:uid="{00000000-0006-0000-0100-00000B000000}">
      <text>
        <r>
          <rPr>
            <sz val="8"/>
            <color indexed="81"/>
            <rFont val="Tahoma"/>
            <family val="2"/>
          </rPr>
          <t>Title of reference documents.</t>
        </r>
      </text>
    </comment>
    <comment ref="Y43"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 authorId="0" shapeId="0" xr:uid="{00000000-0006-0000-0300-000001000000}">
      <text>
        <r>
          <rPr>
            <sz val="9"/>
            <color indexed="81"/>
            <rFont val="Tahoma"/>
            <family val="2"/>
          </rPr>
          <t>number of Architecture  elements</t>
        </r>
      </text>
    </comment>
    <comment ref="C4" authorId="0" shapeId="0" xr:uid="{00000000-0006-0000-0300-000002000000}">
      <text>
        <r>
          <rPr>
            <sz val="9"/>
            <color indexed="81"/>
            <rFont val="Tahoma"/>
            <family val="2"/>
          </rPr>
          <t>number and % of Detailed Design Elements Implemented by Lower Levels</t>
        </r>
      </text>
    </comment>
    <comment ref="D4" authorId="0" shapeId="0" xr:uid="{00000000-0006-0000-0300-000003000000}">
      <text>
        <r>
          <rPr>
            <sz val="9"/>
            <color indexed="81"/>
            <rFont val="Tahoma"/>
            <family val="2"/>
          </rPr>
          <t>number and % of Architecture Elements Implementing the upper level requirements (upstream coverage information)</t>
        </r>
      </text>
    </comment>
    <comment ref="E4" authorId="0" shapeId="0" xr:uid="{00000000-0006-0000-0300-000004000000}">
      <text>
        <r>
          <rPr>
            <sz val="9"/>
            <color indexed="81"/>
            <rFont val="Tahoma"/>
            <family val="2"/>
          </rPr>
          <t>number and % of  Architecture Element covered by a test case.</t>
        </r>
      </text>
    </comment>
    <comment ref="F4" authorId="0" shapeId="0" xr:uid="{00000000-0006-0000-0300-000005000000}">
      <text>
        <r>
          <rPr>
            <sz val="9"/>
            <color indexed="81"/>
            <rFont val="Tahoma"/>
            <family val="2"/>
          </rPr>
          <t>number and % of  Architecture Elements  tested (OK, NOK or partially OK) only for this Matrix on this version</t>
        </r>
      </text>
    </comment>
    <comment ref="G4" authorId="0" shapeId="0" xr:uid="{00000000-0006-0000-0300-000006000000}">
      <text>
        <r>
          <rPr>
            <sz val="9"/>
            <color indexed="81"/>
            <rFont val="Tahoma"/>
            <family val="2"/>
          </rPr>
          <t>number and % of Requirements  tested on this version plus other previous versions (thanks to "import SaRM" button)</t>
        </r>
      </text>
    </comment>
    <comment ref="H4" authorId="0" shapeId="0" xr:uid="{00000000-0006-0000-0300-000007000000}">
      <text>
        <r>
          <rPr>
            <sz val="9"/>
            <color indexed="81"/>
            <rFont val="Tahoma"/>
            <family val="2"/>
          </rPr>
          <t>number and % of Requirements which have all its tests performed and successfully "OK" on this version plus other previous versions (thanks to "import SaRM" button)</t>
        </r>
      </text>
    </comment>
    <comment ref="I4" authorId="0" shapeId="0" xr:uid="{00000000-0006-0000-0300-000008000000}">
      <text>
        <r>
          <rPr>
            <sz val="9"/>
            <color indexed="81"/>
            <rFont val="Tahoma"/>
            <family val="2"/>
          </rPr>
          <t xml:space="preserve">number and % of Requirements which have:
- no "NOK" test and 
- not all its tests "OK" (req not fully tested)
on this version plus the other previous versions (thanks to "import SaRM" button)
</t>
        </r>
      </text>
    </comment>
    <comment ref="J4" authorId="0" shapeId="0" xr:uid="{00000000-0006-0000-0300-000009000000}">
      <text>
        <r>
          <rPr>
            <sz val="9"/>
            <color indexed="81"/>
            <rFont val="Tahoma"/>
            <family val="2"/>
          </rPr>
          <t>number and % of Requirements which have one of its test results with "NOK" on this version plus other previous versions (thanks to "import SaRM" button)</t>
        </r>
      </text>
    </comment>
  </commentList>
</comments>
</file>

<file path=xl/sharedStrings.xml><?xml version="1.0" encoding="utf-8"?>
<sst xmlns="http://schemas.openxmlformats.org/spreadsheetml/2006/main" count="179" uniqueCount="155">
  <si>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</si>
  <si>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</si>
  <si>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</si>
  <si>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</si>
  <si>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</si>
  <si>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</si>
  <si>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</si>
  <si>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</si>
  <si>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</si>
  <si>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</si>
  <si>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</si>
  <si>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</si>
  <si>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</si>
  <si>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</si>
  <si>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</si>
  <si>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</si>
  <si>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</si>
  <si>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</si>
  <si>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</si>
  <si>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</si>
  <si>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</si>
  <si>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</si>
  <si>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</si>
  <si>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</si>
  <si>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</si>
  <si>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</si>
  <si>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</si>
  <si>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</si>
  <si>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</si>
  <si>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</si>
  <si>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</si>
  <si>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</si>
  <si>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</si>
  <si>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</si>
  <si>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Name</t>
  </si>
  <si>
    <t>FrontPage</t>
  </si>
  <si>
    <t>General info</t>
  </si>
  <si>
    <t>This sheet : contains history, reference, purpose, scope, definition and guide</t>
  </si>
  <si>
    <t>The front page contains information about the document.
Note : the blue cells are automatically filled by PLM and/or formula</t>
  </si>
  <si>
    <t>1. HOW to use "Statistics" sheet...</t>
  </si>
  <si>
    <t>Implemented</t>
  </si>
  <si>
    <t>Test Id</t>
  </si>
  <si>
    <t>Result</t>
  </si>
  <si>
    <t>Justification</t>
  </si>
  <si>
    <t>Issue</t>
  </si>
  <si>
    <t>Comment</t>
  </si>
  <si>
    <t xml:space="preserve">if a test result is "failed" (NOK) or not done then an issue is needed </t>
  </si>
  <si>
    <t xml:space="preserve">if OK is extracted, the cell is green, the test is successfull. </t>
  </si>
  <si>
    <t xml:space="preserve"> </t>
  </si>
  <si>
    <t xml:space="preserve">if NOK is extracted, the cell is red, the test is failed. </t>
  </si>
  <si>
    <t>This document has been generated by Reqtify</t>
  </si>
  <si>
    <t>%endheader</t>
  </si>
  <si>
    <t>title</t>
  </si>
  <si>
    <t>PAGE BREAK</t>
  </si>
  <si>
    <t>sect1</t>
  </si>
  <si>
    <t>sect2</t>
  </si>
  <si>
    <t>sect3</t>
  </si>
  <si>
    <t>sect4</t>
  </si>
  <si>
    <t>sect5</t>
  </si>
  <si>
    <t>sect6</t>
  </si>
  <si>
    <t>sect7</t>
  </si>
  <si>
    <t>sect8</t>
  </si>
  <si>
    <t>sect9</t>
  </si>
  <si>
    <t>entry</t>
  </si>
  <si>
    <t>tableTitle</t>
  </si>
  <si>
    <t>para</t>
  </si>
  <si>
    <t>OK style</t>
  </si>
  <si>
    <t>NOK style</t>
  </si>
  <si>
    <t>Inconsistent style</t>
  </si>
  <si>
    <t>Without format but centered</t>
  </si>
  <si>
    <t>Tested previously</t>
  </si>
  <si>
    <t>CA (caution) style</t>
  </si>
  <si>
    <t>NA (not applicale) style</t>
  </si>
  <si>
    <t>for</t>
  </si>
  <si>
    <t>User Guide</t>
  </si>
  <si>
    <t>Explanation about this document</t>
  </si>
  <si>
    <t>Statistics</t>
  </si>
  <si>
    <t>Styles</t>
  </si>
  <si>
    <t>Styles for this document</t>
  </si>
  <si>
    <t>Other sheets…</t>
  </si>
  <si>
    <t>Automatic generated sheets</t>
  </si>
  <si>
    <t>The purpose of this document is to have a summary about customer requirements</t>
  </si>
  <si>
    <t>See User Guide sheet</t>
  </si>
  <si>
    <t>THIS SHEET IS AUTOMATICALLY CLEARED AND FILLED BY THE COMMAND BUTTON :</t>
  </si>
  <si>
    <t>Total (in number)</t>
  </si>
  <si>
    <t>Total (in %)</t>
  </si>
  <si>
    <t>Tested</t>
  </si>
  <si>
    <t>Tested (cumulated)</t>
  </si>
  <si>
    <t>Tested OK (cumulated)</t>
  </si>
  <si>
    <t>Tested NOK (cumulated)</t>
  </si>
  <si>
    <t>Tested partially OK (cumulated)</t>
  </si>
  <si>
    <t>Not implemented</t>
  </si>
  <si>
    <t>Current release</t>
  </si>
  <si>
    <t>tbd</t>
  </si>
  <si>
    <t>Feuil1</t>
  </si>
  <si>
    <t>Covered by a test</t>
  </si>
  <si>
    <t xml:space="preserve">if CA (Caution) is extracted, the cell is orange, the test must be analyzed to decide if it is OK or NOK.  </t>
  </si>
  <si>
    <t xml:space="preserve">if NS (Not Started) is extracted, the cell is orange, is-it normal? NA or empty would be better? </t>
  </si>
  <si>
    <t xml:space="preserve">NA (Not Applicale) is extracted, the cell is gray, the test is counted with OK results for statistic. </t>
  </si>
  <si>
    <t>if "In Progress" is extracted, the cell is orange.</t>
  </si>
  <si>
    <t>CA or NS or In Progress is counted as empty result</t>
  </si>
  <si>
    <t>Summary about requirements coverages</t>
  </si>
  <si>
    <t>Test File</t>
  </si>
  <si>
    <t>File Name</t>
  </si>
  <si>
    <t>Implemented By</t>
  </si>
  <si>
    <t>Generate List of Incomplete Architecture Elements</t>
  </si>
  <si>
    <t xml:space="preserve">1. After having required the Architecture Matrix through Reqtify project and waiting few minutes, a ArchM report is ready to be opened but sheets are not correctly named (Feuil1, Feuil2,…). </t>
  </si>
  <si>
    <r>
      <t>2. You must click on button "</t>
    </r>
    <r>
      <rPr>
        <b/>
        <sz val="10"/>
        <rFont val="Arial"/>
        <family val="2"/>
      </rPr>
      <t>Update Statistics</t>
    </r>
    <r>
      <rPr>
        <sz val="10"/>
        <rFont val="Arial"/>
        <family val="2"/>
      </rPr>
      <t xml:space="preserve">"… A progress bar appears… All statistics are updated and every sheet (correponding to every Architecture file) is updated. </t>
    </r>
  </si>
  <si>
    <t>3. You may click on button "Import ArchM"… Give the name of a previous ArchM… A progress bar appears… 
If some tests are not performed again on this version for this ArchM but available on a previous version/ArchM, this ArchM will be filled with the results found for the previous version/ArchM with the mention "OK" or "NOK" on "version number".
To have the correct "version number", don't forget to correctly inform the "version" in the title given by the "1st page" sheet.</t>
  </si>
  <si>
    <t xml:space="preserve">
 </t>
  </si>
  <si>
    <t>The ArchM lists every architecture element extracted from Architecture file(s).</t>
  </si>
  <si>
    <t>HOW the "Incomplete Arch. Elements List" sheet is filled?</t>
  </si>
  <si>
    <t>The Architecture element will have to be copied and pasted in the "Incomplete Arch. Elements List" sheet:</t>
  </si>
  <si>
    <t xml:space="preserve">  - if no upper requirement is present (the corresponding cell will have the inconsistent style),</t>
  </si>
  <si>
    <t xml:space="preserve">  - if the architecture element is not implemented by Detailed Design (the corresponding cell will have the inconsistent style),</t>
  </si>
  <si>
    <t xml:space="preserve">  - if no test is present (the corresponding cell will have the inconsistent style).</t>
  </si>
  <si>
    <t>4. You may click on button "Generate List of Incomplete Architecture Elements"… It displays all "incomplete" Architecture elements in the "Incomplete Arch. Elements List" sheet.
The Architecture element will have to be copied and pasted in the "Incomplete Arch. Elements List" sheet:
  - if no upper requirement is present (the corresponding cell will have the inconsistent style),
  - if the architecture element is not implemented by Detailed Design (the corresponding cell will have the inconsistent style),
  - if no test is present (the corresponding cell will have the inconsistent style).</t>
  </si>
  <si>
    <t>Upstream Coverage Requirement Id</t>
  </si>
  <si>
    <t>"Implemented by" Description</t>
  </si>
  <si>
    <t>2. How every Architecture sheet is filled...</t>
  </si>
  <si>
    <t>For every Architecture element, write …</t>
  </si>
  <si>
    <t>Detailed Design Identifier implementing the Architecture element</t>
  </si>
  <si>
    <t>The Architecture element Identifier</t>
  </si>
  <si>
    <t>Test results</t>
  </si>
  <si>
    <t xml:space="preserve">The Requirement Identifier implemented by the Architecture element </t>
  </si>
  <si>
    <t xml:space="preserve">Test Identifier testing  the Architecture element </t>
  </si>
  <si>
    <t>if a test result is "failed" (NOK) or not done then a justification is needed.</t>
  </si>
  <si>
    <t>Hyperlink to test file</t>
  </si>
  <si>
    <t>Architecture Id</t>
  </si>
  <si>
    <t>Architecture Description</t>
  </si>
  <si>
    <t>Description corresponding to the Identifier in column 3</t>
  </si>
  <si>
    <t>Description corresponding to the Identifier in column 2</t>
  </si>
  <si>
    <t>Incomplete Arch. Elements List</t>
  </si>
  <si>
    <t>List of "incomplete" Architecture elements (see "User Guide" tab)</t>
  </si>
  <si>
    <t>Design Elements Number</t>
  </si>
  <si>
    <t>Design Elements Tested (cumulated)</t>
  </si>
  <si>
    <t>Detailed Design Traceability to Upper Level(Software Architecture)</t>
  </si>
  <si>
    <t>No. of Design Requirements that are Implementing a Software Architecture Requirement</t>
  </si>
  <si>
    <t>No. of Design Requirements that are not covering a Software Architecture Requirement</t>
  </si>
  <si>
    <t>Detailed Design Traceability to Lower Level(Code Implementation)</t>
  </si>
  <si>
    <t>Unit Tests Results</t>
  </si>
  <si>
    <t>Passed</t>
  </si>
  <si>
    <t>Failed</t>
  </si>
  <si>
    <t>Not Tested</t>
  </si>
  <si>
    <t>Satisfying Upper level elements</t>
  </si>
  <si>
    <t>Unit Tests Status</t>
  </si>
  <si>
    <t>Integration Test Specification and Test Result are available</t>
  </si>
  <si>
    <t>Integration Test Specification is available but Test Result is not available</t>
  </si>
  <si>
    <t>Integration Test Specification and Test Result are not available</t>
  </si>
  <si>
    <r>
      <t xml:space="preserve">See </t>
    </r>
    <r>
      <rPr>
        <sz val="8"/>
        <color rgb="FF7030A0"/>
        <rFont val="Arial"/>
        <family val="2"/>
      </rPr>
      <t>PCIM</t>
    </r>
    <r>
      <rPr>
        <sz val="8"/>
        <rFont val="Arial"/>
        <family val="2"/>
      </rPr>
      <t xml:space="preserve"> for the roles and </t>
    </r>
    <r>
      <rPr>
        <sz val="8"/>
        <color rgb="FF7030A0"/>
        <rFont val="Arial"/>
        <family val="2"/>
      </rPr>
      <t xml:space="preserve">Project Members List </t>
    </r>
    <r>
      <rPr>
        <sz val="8"/>
        <rFont val="Arial"/>
        <family val="2"/>
      </rPr>
      <t>for the name of people</t>
    </r>
  </si>
  <si>
    <t>Process and method</t>
  </si>
  <si>
    <t>TBD</t>
  </si>
  <si>
    <t>Draft</t>
  </si>
  <si>
    <t>AEF1126</t>
  </si>
  <si>
    <t>SW00TEM007 Generic Excel 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</si>
</sst>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66"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name val="Arial"/>
      <family val="2"/>
    </font>
    <font>
      <b/>
      <sz val="12"/>
      <name val="Arial"/>
      <family val="2"/>
    </font>
    <font>
      <u/>
      <sz val="10"/>
      <name val="Arial"/>
      <family val="2"/>
    </font>
    <font>
      <b/>
      <u/>
      <sz val="10"/>
      <name val="Arial"/>
      <family val="2"/>
    </font>
    <font>
      <b/>
      <sz val="8"/>
      <name val="Arial"/>
      <family val="2"/>
    </font>
    <font>
      <sz val="11"/>
      <name val="Arial"/>
      <family val="2"/>
    </font>
    <font>
      <sz val="12"/>
      <name val="Arial"/>
      <family val="2"/>
    </font>
    <font>
      <u/>
      <sz val="10"/>
      <color indexed="12"/>
      <name val="Arial"/>
      <family val="2"/>
    </font>
    <font>
      <sz val="10"/>
      <name val="Arial"/>
      <family val="2"/>
    </font>
    <font>
      <sz val="9"/>
      <color indexed="81"/>
      <name val="Tahoma"/>
      <family val="2"/>
    </font>
    <font>
      <b/>
      <sz val="14"/>
      <color indexed="9"/>
      <name val="Calibri"/>
      <family val="2"/>
    </font>
    <font>
      <b/>
      <sz val="14"/>
      <name val="Arial"/>
      <family val="2"/>
    </font>
    <font>
      <sz val="11"/>
      <color theme="1"/>
      <name val="Calibri"/>
      <family val="2"/>
      <scheme val="minor"/>
    </font>
    <font>
      <sz val="11"/>
      <color theme="0"/>
      <name val="Calibri"/>
      <family val="2"/>
      <scheme val="minor"/>
    </font>
    <font>
      <b/>
      <sz val="11"/>
      <color rgb="FFFA7D00"/>
      <name val="Calibri"/>
      <family val="2"/>
      <scheme val="minor"/>
    </font>
    <font>
      <b/>
      <sz val="12"/>
      <color rgb="FFFA7D00"/>
      <name val="Calibri"/>
      <family val="2"/>
      <scheme val="minor"/>
    </font>
    <font>
      <b/>
      <sz val="12"/>
      <color theme="0"/>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22"/>
      <color rgb="FFFF0000"/>
      <name val="Arial"/>
      <family val="2"/>
    </font>
    <font>
      <b/>
      <sz val="11"/>
      <color theme="6" tint="-0.499984740745262"/>
      <name val="Calibri"/>
      <family val="2"/>
      <scheme val="minor"/>
    </font>
    <font>
      <b/>
      <sz val="11"/>
      <color theme="3" tint="-0.249977111117893"/>
      <name val="Calibri"/>
      <family val="2"/>
      <scheme val="minor"/>
    </font>
    <font>
      <b/>
      <sz val="11"/>
      <color rgb="FFFF0000"/>
      <name val="Calibri"/>
      <family val="2"/>
      <scheme val="minor"/>
    </font>
    <font>
      <b/>
      <sz val="12"/>
      <color theme="3"/>
      <name val="Calibri"/>
      <family val="2"/>
      <scheme val="minor"/>
    </font>
    <font>
      <sz val="11"/>
      <name val="Calibri"/>
      <family val="2"/>
      <scheme val="minor"/>
    </font>
    <font>
      <sz val="12"/>
      <name val="Calibri"/>
      <family val="2"/>
      <scheme val="minor"/>
    </font>
    <font>
      <sz val="12"/>
      <color rgb="FFFF0000"/>
      <name val="Calibri"/>
      <family val="2"/>
      <scheme val="minor"/>
    </font>
    <font>
      <b/>
      <sz val="10"/>
      <color rgb="FFFFFFFF"/>
      <name val="Arial"/>
      <family val="2"/>
    </font>
    <font>
      <sz val="10"/>
      <color rgb="FFFFFFFF"/>
      <name val="Arial"/>
      <family val="2"/>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sz val="10"/>
      <color rgb="FF000000"/>
      <name val="Arial"/>
      <family val="2"/>
    </font>
    <font>
      <sz val="14"/>
      <name val="Arial"/>
      <family val="2"/>
    </font>
    <font>
      <u/>
      <sz val="14"/>
      <name val="Arial"/>
      <family val="2"/>
    </font>
    <font>
      <sz val="8"/>
      <color rgb="FF7030A0"/>
      <name val="Arial"/>
      <family val="2"/>
    </font>
  </fonts>
  <fills count="37">
    <fill>
      <patternFill patternType="none"/>
    </fill>
    <fill>
      <patternFill patternType="gray125"/>
    </fill>
    <fill>
      <patternFill patternType="solid">
        <fgColor indexed="51"/>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23"/>
        <bgColor indexed="64"/>
      </patternFill>
    </fill>
    <fill>
      <patternFill patternType="solid">
        <fgColor indexed="11"/>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8"/>
        <bgColor indexed="64"/>
      </patternFill>
    </fill>
    <fill>
      <patternFill patternType="solid">
        <fgColor indexed="65"/>
        <bgColor indexed="10"/>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9"/>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theme="9" tint="0.79998168889431442"/>
        <bgColor indexed="64"/>
      </patternFill>
    </fill>
    <fill>
      <patternFill patternType="solid">
        <fgColor rgb="FFEBF1DE"/>
        <bgColor indexed="64"/>
      </patternFill>
    </fill>
    <fill>
      <patternFill patternType="solid">
        <fgColor rgb="FFF2F2F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7999816888943144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bottom/>
      <diagonal/>
    </border>
    <border>
      <left/>
      <right/>
      <top/>
      <bottom style="thick">
        <color theme="0"/>
      </bottom>
      <diagonal/>
    </border>
    <border>
      <left style="thick">
        <color theme="0"/>
      </left>
      <right/>
      <top style="thick">
        <color theme="0"/>
      </top>
      <bottom/>
      <diagonal/>
    </border>
    <border>
      <left/>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style="thick">
        <color theme="0"/>
      </bottom>
      <diagonal/>
    </border>
    <border>
      <left/>
      <right style="thick">
        <color theme="0"/>
      </right>
      <top/>
      <bottom style="thick">
        <color theme="0"/>
      </bottom>
      <diagonal/>
    </border>
    <border>
      <left/>
      <right/>
      <top/>
      <bottom style="thin">
        <color theme="0"/>
      </bottom>
      <diagonal/>
    </border>
    <border>
      <left style="thick">
        <color theme="0"/>
      </left>
      <right style="thin">
        <color indexed="64"/>
      </right>
      <top style="thin">
        <color indexed="64"/>
      </top>
      <bottom/>
      <diagonal/>
    </border>
    <border>
      <left style="thick">
        <color theme="0"/>
      </left>
      <right style="thin">
        <color indexed="64"/>
      </right>
      <top style="medium">
        <color indexed="64"/>
      </top>
      <bottom style="thin">
        <color indexed="64"/>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s>
  <cellStyleXfs count="84">
    <xf numFmtId="0" fontId="0" fillId="0" borderId="0"/>
    <xf numFmtId="0" fontId="31" fillId="15" borderId="0" applyNumberFormat="0" applyBorder="0" applyAlignment="0" applyProtection="0"/>
    <xf numFmtId="0" fontId="31" fillId="16" borderId="0" applyNumberFormat="0" applyBorder="0" applyAlignment="0" applyProtection="0"/>
    <xf numFmtId="0" fontId="31" fillId="17"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2" fillId="20" borderId="0" applyNumberFormat="0" applyBorder="0" applyAlignment="0" applyProtection="0"/>
    <xf numFmtId="0" fontId="32" fillId="21"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4" fillId="2" borderId="1">
      <alignment horizontal="center" vertical="center"/>
    </xf>
    <xf numFmtId="0" fontId="33" fillId="24" borderId="16" applyNumberFormat="0" applyAlignment="0" applyProtection="0"/>
    <xf numFmtId="0" fontId="34" fillId="24" borderId="16" applyNumberFormat="0" applyAlignment="0" applyProtection="0"/>
    <xf numFmtId="0" fontId="35" fillId="25" borderId="17" applyNumberFormat="0" applyAlignment="0" applyProtection="0"/>
    <xf numFmtId="0" fontId="3" fillId="0" borderId="1"/>
    <xf numFmtId="0" fontId="6" fillId="0" borderId="1"/>
    <xf numFmtId="0" fontId="6" fillId="0" borderId="1"/>
    <xf numFmtId="0" fontId="6" fillId="0" borderId="1"/>
    <xf numFmtId="0" fontId="6" fillId="0" borderId="1"/>
    <xf numFmtId="0" fontId="6" fillId="0" borderId="1"/>
    <xf numFmtId="0" fontId="27" fillId="0" borderId="1"/>
    <xf numFmtId="0" fontId="36" fillId="0" borderId="0" applyNumberFormat="0" applyFill="0" applyBorder="0" applyAlignment="0" applyProtection="0"/>
    <xf numFmtId="0" fontId="37" fillId="0" borderId="0" applyNumberFormat="0" applyFill="0" applyBorder="0" applyAlignment="0" applyProtection="0"/>
    <xf numFmtId="0" fontId="26" fillId="0" borderId="0" applyNumberFormat="0" applyFill="0" applyBorder="0" applyAlignment="0" applyProtection="0">
      <alignment vertical="top"/>
      <protection locked="0"/>
    </xf>
    <xf numFmtId="0" fontId="3" fillId="3" borderId="1">
      <alignment horizontal="center"/>
    </xf>
    <xf numFmtId="0" fontId="6" fillId="3" borderId="1">
      <alignment horizontal="center"/>
    </xf>
    <xf numFmtId="0" fontId="6" fillId="3" borderId="1">
      <alignment horizontal="center"/>
    </xf>
    <xf numFmtId="0" fontId="6" fillId="3" borderId="1">
      <alignment horizontal="center"/>
    </xf>
    <xf numFmtId="0" fontId="38" fillId="26" borderId="16" applyNumberFormat="0" applyAlignment="0" applyProtection="0"/>
    <xf numFmtId="0" fontId="4" fillId="4" borderId="1">
      <alignment horizontal="center" vertical="center"/>
    </xf>
    <xf numFmtId="0" fontId="4" fillId="5" borderId="1">
      <alignment horizontal="center"/>
    </xf>
    <xf numFmtId="0" fontId="6" fillId="0" borderId="0"/>
    <xf numFmtId="0" fontId="6" fillId="0" borderId="0"/>
    <xf numFmtId="0" fontId="6" fillId="0" borderId="0"/>
    <xf numFmtId="0" fontId="6" fillId="0" borderId="0"/>
    <xf numFmtId="0" fontId="6" fillId="0" borderId="0"/>
    <xf numFmtId="10" fontId="24" fillId="0" borderId="0"/>
    <xf numFmtId="0" fontId="3" fillId="0" borderId="0"/>
    <xf numFmtId="0" fontId="4" fillId="6" borderId="1">
      <alignment horizontal="center"/>
    </xf>
    <xf numFmtId="0" fontId="39" fillId="24" borderId="18" applyNumberFormat="0" applyAlignment="0" applyProtection="0"/>
    <xf numFmtId="0" fontId="6" fillId="0" borderId="0"/>
    <xf numFmtId="0" fontId="6" fillId="0" borderId="0"/>
    <xf numFmtId="10" fontId="3" fillId="0" borderId="0" applyFont="0" applyFill="0" applyBorder="0" applyAlignment="0" applyProtection="0"/>
    <xf numFmtId="9" fontId="6" fillId="0" borderId="0" applyFont="0" applyFill="0" applyBorder="0" applyAlignment="0" applyProtection="0"/>
    <xf numFmtId="0" fontId="20" fillId="0" borderId="0">
      <alignment horizontal="center"/>
    </xf>
    <xf numFmtId="0" fontId="20" fillId="0" borderId="1"/>
    <xf numFmtId="0" fontId="4" fillId="0" borderId="0"/>
    <xf numFmtId="0" fontId="21"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4" fillId="0" borderId="1">
      <alignment horizontal="center" textRotation="60"/>
    </xf>
    <xf numFmtId="0" fontId="13" fillId="7" borderId="1">
      <alignment horizontal="center"/>
    </xf>
    <xf numFmtId="0" fontId="40" fillId="0" borderId="0" applyNumberFormat="0" applyFill="0" applyBorder="0" applyAlignment="0" applyProtection="0"/>
    <xf numFmtId="0" fontId="9" fillId="0" borderId="2"/>
    <xf numFmtId="0" fontId="41" fillId="0" borderId="0" applyNumberFormat="0" applyFill="0" applyBorder="0" applyAlignment="0" applyProtection="0"/>
    <xf numFmtId="49" fontId="3" fillId="0" borderId="1">
      <alignment horizontal="center"/>
    </xf>
    <xf numFmtId="0" fontId="6" fillId="0" borderId="1">
      <alignment horizontal="center"/>
    </xf>
    <xf numFmtId="0" fontId="6" fillId="0" borderId="1">
      <alignment horizontal="center"/>
    </xf>
    <xf numFmtId="0" fontId="6" fillId="0" borderId="1">
      <alignment horizontal="center"/>
    </xf>
    <xf numFmtId="0" fontId="6" fillId="0" borderId="1">
      <alignment horizontal="center"/>
    </xf>
    <xf numFmtId="0" fontId="6" fillId="0" borderId="1">
      <alignment horizontal="center"/>
    </xf>
    <xf numFmtId="0" fontId="27" fillId="0" borderId="1">
      <alignment horizontal="center"/>
    </xf>
  </cellStyleXfs>
  <cellXfs count="317">
    <xf numFmtId="0" fontId="0" fillId="0" borderId="0" xfId="0"/>
    <xf numFmtId="0" fontId="0" fillId="0" borderId="0" xfId="0" applyAlignment="1">
      <alignment vertical="center"/>
    </xf>
    <xf numFmtId="0" fontId="0" fillId="0" borderId="0" xfId="0" applyAlignment="1" applyProtection="1">
      <alignment vertical="center"/>
    </xf>
    <xf numFmtId="0" fontId="7" fillId="0" borderId="0" xfId="0" applyFont="1" applyFill="1" applyAlignment="1" applyProtection="1">
      <alignment vertical="center" wrapText="1"/>
    </xf>
    <xf numFmtId="164" fontId="7" fillId="0" borderId="0" xfId="0" applyNumberFormat="1" applyFont="1" applyFill="1" applyBorder="1" applyAlignment="1" applyProtection="1">
      <alignment horizontal="center" vertical="center" wrapText="1"/>
    </xf>
    <xf numFmtId="20" fontId="7" fillId="0" borderId="0" xfId="0" applyNumberFormat="1" applyFont="1" applyFill="1" applyBorder="1" applyAlignment="1" applyProtection="1">
      <alignment vertical="center" wrapText="1"/>
    </xf>
    <xf numFmtId="0" fontId="7" fillId="0" borderId="0" xfId="0" applyFont="1" applyFill="1" applyBorder="1" applyAlignment="1" applyProtection="1">
      <alignment horizontal="left" vertical="center" wrapText="1"/>
    </xf>
    <xf numFmtId="0" fontId="3" fillId="0" borderId="0" xfId="0" applyFont="1" applyFill="1" applyAlignment="1" applyProtection="1">
      <alignment vertical="center"/>
    </xf>
    <xf numFmtId="0" fontId="0" fillId="0" borderId="0" xfId="0" applyBorder="1" applyAlignment="1" applyProtection="1">
      <alignment vertical="center"/>
    </xf>
    <xf numFmtId="0" fontId="3" fillId="0" borderId="0" xfId="0" applyFont="1" applyFill="1" applyBorder="1" applyAlignment="1" applyProtection="1">
      <alignment vertical="center"/>
    </xf>
    <xf numFmtId="0" fontId="42" fillId="0" borderId="0" xfId="0" applyFont="1" applyFill="1" applyBorder="1" applyAlignment="1" applyProtection="1">
      <alignment horizontal="right" vertical="center"/>
    </xf>
    <xf numFmtId="0" fontId="8" fillId="0" borderId="0" xfId="0" applyFont="1" applyBorder="1" applyAlignment="1" applyProtection="1">
      <alignment horizontal="left" vertical="center" wrapText="1"/>
    </xf>
    <xf numFmtId="0" fontId="6" fillId="0" borderId="0" xfId="0" applyFont="1" applyFill="1" applyBorder="1" applyAlignment="1" applyProtection="1">
      <alignment vertical="center" shrinkToFit="1"/>
    </xf>
    <xf numFmtId="0" fontId="6" fillId="0" borderId="0" xfId="0" applyFont="1" applyBorder="1" applyAlignment="1" applyProtection="1">
      <alignment vertical="center" shrinkToFit="1"/>
    </xf>
    <xf numFmtId="0" fontId="6" fillId="0" borderId="0" xfId="0" applyFont="1" applyFill="1" applyAlignment="1" applyProtection="1">
      <alignment vertical="center" shrinkToFit="1"/>
    </xf>
    <xf numFmtId="0" fontId="6" fillId="0" borderId="0" xfId="0" applyFont="1" applyAlignment="1" applyProtection="1">
      <alignment vertical="center" shrinkToFit="1"/>
    </xf>
    <xf numFmtId="0" fontId="3" fillId="0" borderId="0" xfId="0" applyFont="1" applyFill="1" applyAlignment="1" applyProtection="1">
      <alignment vertical="center"/>
      <protection locked="0"/>
    </xf>
    <xf numFmtId="0" fontId="0" fillId="0" borderId="0" xfId="0" applyAlignment="1" applyProtection="1">
      <alignment vertical="center"/>
      <protection locked="0"/>
    </xf>
    <xf numFmtId="0" fontId="6" fillId="0" borderId="0" xfId="0" applyFont="1" applyFill="1" applyAlignment="1" applyProtection="1">
      <alignment vertical="center"/>
      <protection locked="0"/>
    </xf>
    <xf numFmtId="0" fontId="6" fillId="0" borderId="0" xfId="0" applyFont="1" applyAlignment="1" applyProtection="1">
      <alignment vertical="center"/>
      <protection locked="0"/>
    </xf>
    <xf numFmtId="0" fontId="43" fillId="0" borderId="19" xfId="0" applyFont="1" applyBorder="1" applyAlignment="1" applyProtection="1">
      <alignment vertical="center"/>
      <protection locked="0"/>
    </xf>
    <xf numFmtId="0" fontId="0" fillId="0" borderId="19" xfId="0" applyBorder="1" applyAlignment="1" applyProtection="1">
      <alignment vertical="center"/>
      <protection locked="0"/>
    </xf>
    <xf numFmtId="0" fontId="14"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6" fillId="0" borderId="0" xfId="0" applyFont="1" applyAlignment="1" applyProtection="1">
      <alignment horizontal="left" vertical="center"/>
      <protection locked="0"/>
    </xf>
    <xf numFmtId="0" fontId="11" fillId="0" borderId="0" xfId="0" applyFont="1" applyAlignment="1" applyProtection="1">
      <alignment vertical="center"/>
      <protection locked="0"/>
    </xf>
    <xf numFmtId="0" fontId="4" fillId="0" borderId="0" xfId="0" applyFont="1" applyAlignment="1" applyProtection="1">
      <alignment vertical="center"/>
      <protection locked="0"/>
    </xf>
    <xf numFmtId="49" fontId="18" fillId="0" borderId="0" xfId="0" applyNumberFormat="1" applyFont="1" applyFill="1" applyBorder="1" applyAlignment="1" applyProtection="1">
      <alignment horizontal="left" vertical="center"/>
      <protection locked="0"/>
    </xf>
    <xf numFmtId="49" fontId="6" fillId="0" borderId="0" xfId="0" applyNumberFormat="1" applyFont="1" applyFill="1" applyBorder="1" applyAlignment="1">
      <alignment horizontal="center" vertical="center" wrapText="1"/>
    </xf>
    <xf numFmtId="49" fontId="6" fillId="0" borderId="0" xfId="0" applyNumberFormat="1" applyFont="1" applyFill="1" applyBorder="1" applyAlignment="1" applyProtection="1">
      <alignment horizontal="left" vertical="center" wrapText="1"/>
      <protection locked="0"/>
    </xf>
    <xf numFmtId="49" fontId="6" fillId="0" borderId="0" xfId="0" applyNumberFormat="1" applyFont="1" applyFill="1" applyBorder="1" applyAlignment="1">
      <alignment horizontal="left" vertical="center" wrapText="1"/>
    </xf>
    <xf numFmtId="49" fontId="16"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7" fillId="0" borderId="0" xfId="0" applyFont="1" applyAlignment="1" applyProtection="1">
      <alignment horizontal="left" vertical="center"/>
      <protection locked="0"/>
    </xf>
    <xf numFmtId="0" fontId="0" fillId="0" borderId="0" xfId="0" applyBorder="1" applyAlignment="1">
      <alignment horizontal="left" vertical="center" wrapText="1"/>
    </xf>
    <xf numFmtId="0" fontId="43" fillId="0" borderId="3" xfId="0" applyFont="1" applyBorder="1" applyAlignment="1" applyProtection="1">
      <alignment vertical="center"/>
      <protection locked="0"/>
    </xf>
    <xf numFmtId="49" fontId="6"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3" fillId="0" borderId="0" xfId="0" applyFont="1" applyBorder="1" applyAlignment="1" applyProtection="1">
      <alignment vertical="center"/>
      <protection locked="0"/>
    </xf>
    <xf numFmtId="49" fontId="6"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6"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6" fillId="0" borderId="0" xfId="0" applyFont="1" applyFill="1" applyAlignment="1" applyProtection="1">
      <alignment vertical="center"/>
    </xf>
    <xf numFmtId="0" fontId="6" fillId="0" borderId="0" xfId="0" applyFont="1" applyAlignment="1" applyProtection="1">
      <alignment vertical="center"/>
    </xf>
    <xf numFmtId="0" fontId="13" fillId="0" borderId="0" xfId="0" applyFont="1" applyBorder="1" applyAlignment="1" applyProtection="1">
      <alignment horizontal="left" vertical="center" shrinkToFit="1"/>
    </xf>
    <xf numFmtId="0" fontId="4" fillId="0" borderId="0" xfId="0" applyFont="1" applyBorder="1" applyAlignment="1" applyProtection="1">
      <alignment horizontal="left" vertical="center" shrinkToFit="1"/>
    </xf>
    <xf numFmtId="0" fontId="6" fillId="0" borderId="0" xfId="0" applyFont="1" applyFill="1" applyAlignment="1" applyProtection="1">
      <alignment vertical="center" shrinkToFit="1"/>
      <protection locked="0"/>
    </xf>
    <xf numFmtId="0" fontId="6" fillId="0" borderId="0" xfId="0" applyFont="1" applyAlignment="1" applyProtection="1">
      <alignment vertical="center" shrinkToFit="1"/>
      <protection locked="0"/>
    </xf>
    <xf numFmtId="0" fontId="44" fillId="0" borderId="4" xfId="0" applyFont="1" applyFill="1" applyBorder="1" applyAlignment="1" applyProtection="1">
      <alignment horizontal="left" vertical="center" wrapText="1" shrinkToFit="1"/>
      <protection locked="0"/>
    </xf>
    <xf numFmtId="0" fontId="45" fillId="0" borderId="0" xfId="0" applyFont="1" applyFill="1" applyBorder="1" applyAlignment="1" applyProtection="1">
      <alignment horizontal="left" vertical="center" shrinkToFit="1"/>
      <protection locked="0"/>
    </xf>
    <xf numFmtId="0" fontId="44" fillId="0" borderId="0" xfId="0" applyFont="1" applyFill="1" applyBorder="1" applyAlignment="1" applyProtection="1">
      <alignment horizontal="left" vertical="center" wrapText="1" shrinkToFit="1"/>
      <protection locked="0"/>
    </xf>
    <xf numFmtId="0" fontId="45" fillId="0" borderId="5" xfId="0" applyFont="1" applyFill="1" applyBorder="1" applyAlignment="1" applyProtection="1">
      <alignment horizontal="left" vertical="center" shrinkToFit="1"/>
      <protection locked="0"/>
    </xf>
    <xf numFmtId="0" fontId="3"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2" fillId="0" borderId="0" xfId="0" applyFont="1" applyFill="1" applyAlignment="1" applyProtection="1">
      <alignment horizontal="center" vertical="center"/>
      <protection locked="0"/>
    </xf>
    <xf numFmtId="0" fontId="46" fillId="0" borderId="0" xfId="0" quotePrefix="1" applyFont="1" applyFill="1" applyBorder="1" applyAlignment="1" applyProtection="1">
      <alignment horizontal="right" vertical="center"/>
    </xf>
    <xf numFmtId="0" fontId="0" fillId="0" borderId="0" xfId="0" applyAlignment="1">
      <alignment horizontal="left" vertical="center"/>
    </xf>
    <xf numFmtId="0" fontId="19" fillId="0" borderId="0" xfId="0" applyFont="1" applyBorder="1" applyAlignment="1">
      <alignment horizontal="center" vertical="center" wrapText="1"/>
    </xf>
    <xf numFmtId="0" fontId="0" fillId="0" borderId="0" xfId="0" applyAlignment="1">
      <alignment horizontal="left" vertical="top"/>
    </xf>
    <xf numFmtId="0" fontId="0" fillId="0" borderId="0" xfId="0" applyBorder="1" applyAlignment="1">
      <alignment vertical="center" wrapText="1"/>
    </xf>
    <xf numFmtId="0" fontId="10" fillId="8" borderId="1" xfId="72" applyFont="1" applyFill="1">
      <alignment horizontal="center" textRotation="60"/>
    </xf>
    <xf numFmtId="49" fontId="23" fillId="0" borderId="0" xfId="0" applyNumberFormat="1" applyFont="1" applyFill="1" applyAlignment="1">
      <alignment horizontal="center" vertical="center" wrapText="1"/>
    </xf>
    <xf numFmtId="49" fontId="23" fillId="9" borderId="0" xfId="0" applyNumberFormat="1" applyFont="1" applyFill="1" applyBorder="1" applyAlignment="1">
      <alignment horizontal="center" vertical="center" wrapText="1"/>
    </xf>
    <xf numFmtId="49" fontId="23" fillId="5" borderId="0" xfId="0" applyNumberFormat="1" applyFont="1" applyFill="1" applyBorder="1" applyAlignment="1">
      <alignment horizontal="center" vertical="center" wrapText="1"/>
    </xf>
    <xf numFmtId="0" fontId="23" fillId="2" borderId="0" xfId="10" applyFont="1" applyBorder="1" applyAlignment="1">
      <alignment horizontal="center" vertical="center" wrapText="1"/>
    </xf>
    <xf numFmtId="0" fontId="23" fillId="4" borderId="0" xfId="29" applyFont="1" applyBorder="1" applyAlignment="1">
      <alignment horizontal="center" vertical="center" wrapText="1"/>
    </xf>
    <xf numFmtId="0" fontId="9" fillId="0" borderId="2" xfId="75" applyFont="1" applyFill="1"/>
    <xf numFmtId="0" fontId="0" fillId="0" borderId="0" xfId="0" applyFill="1"/>
    <xf numFmtId="0" fontId="20" fillId="0" borderId="1" xfId="45"/>
    <xf numFmtId="0" fontId="4" fillId="0" borderId="0" xfId="46"/>
    <xf numFmtId="0" fontId="21" fillId="0" borderId="0" xfId="47"/>
    <xf numFmtId="0" fontId="3" fillId="0" borderId="0" xfId="48"/>
    <xf numFmtId="0" fontId="3" fillId="0" borderId="0" xfId="52"/>
    <xf numFmtId="0" fontId="3" fillId="0" borderId="0" xfId="56"/>
    <xf numFmtId="0" fontId="3" fillId="0" borderId="0" xfId="60"/>
    <xf numFmtId="0" fontId="3" fillId="0" borderId="0" xfId="64"/>
    <xf numFmtId="0" fontId="3" fillId="0" borderId="0" xfId="68"/>
    <xf numFmtId="0" fontId="3" fillId="0" borderId="1" xfId="14" applyFont="1"/>
    <xf numFmtId="49" fontId="3" fillId="0" borderId="1" xfId="77">
      <alignment horizontal="center"/>
    </xf>
    <xf numFmtId="0" fontId="4" fillId="6" borderId="1" xfId="38">
      <alignment horizontal="center"/>
    </xf>
    <xf numFmtId="0" fontId="4" fillId="5" borderId="1" xfId="30">
      <alignment horizontal="center"/>
    </xf>
    <xf numFmtId="0" fontId="3" fillId="3" borderId="1" xfId="24">
      <alignment horizontal="center"/>
    </xf>
    <xf numFmtId="0" fontId="13" fillId="7" borderId="1" xfId="73">
      <alignment horizontal="center"/>
    </xf>
    <xf numFmtId="0" fontId="4" fillId="2" borderId="1" xfId="10">
      <alignment horizontal="center" vertical="center"/>
    </xf>
    <xf numFmtId="0" fontId="4" fillId="4" borderId="1" xfId="29" applyFont="1">
      <alignment horizontal="center" vertical="center"/>
    </xf>
    <xf numFmtId="0" fontId="0" fillId="27" borderId="0" xfId="0" applyFill="1" applyAlignment="1">
      <alignment vertical="center"/>
    </xf>
    <xf numFmtId="0" fontId="20" fillId="27" borderId="0" xfId="0" applyFont="1" applyFill="1" applyAlignment="1">
      <alignment vertical="center" textRotation="60"/>
    </xf>
    <xf numFmtId="0" fontId="13" fillId="0" borderId="0" xfId="0" applyFont="1" applyAlignment="1" applyProtection="1">
      <alignment vertical="center"/>
      <protection locked="0"/>
    </xf>
    <xf numFmtId="0" fontId="12" fillId="0" borderId="0" xfId="0" applyFont="1" applyFill="1" applyAlignment="1" applyProtection="1">
      <alignment vertical="center" wrapText="1"/>
      <protection locked="0"/>
    </xf>
    <xf numFmtId="0" fontId="13" fillId="0" borderId="0" xfId="0" applyFont="1" applyAlignment="1">
      <alignment vertical="center" wrapText="1"/>
    </xf>
    <xf numFmtId="0" fontId="12" fillId="0" borderId="0" xfId="0" applyFont="1" applyAlignment="1">
      <alignment vertical="center" wrapText="1"/>
    </xf>
    <xf numFmtId="0" fontId="12" fillId="0" borderId="0" xfId="0" applyFont="1" applyBorder="1" applyAlignment="1">
      <alignment vertical="center"/>
    </xf>
    <xf numFmtId="0" fontId="12" fillId="0" borderId="0" xfId="0" applyFont="1" applyBorder="1" applyAlignment="1">
      <alignment vertical="center" wrapText="1"/>
    </xf>
    <xf numFmtId="0" fontId="13" fillId="0" borderId="0" xfId="0" applyFont="1" applyFill="1" applyAlignment="1" applyProtection="1">
      <alignment vertical="center"/>
      <protection locked="0"/>
    </xf>
    <xf numFmtId="0" fontId="47" fillId="0" borderId="0" xfId="0" applyFont="1"/>
    <xf numFmtId="0" fontId="4" fillId="27" borderId="0" xfId="0" applyFont="1" applyFill="1" applyAlignment="1">
      <alignment horizontal="center" vertical="center"/>
    </xf>
    <xf numFmtId="1" fontId="4" fillId="10" borderId="8" xfId="0" applyNumberFormat="1" applyFont="1" applyFill="1" applyBorder="1" applyAlignment="1">
      <alignment horizontal="center" vertical="center"/>
    </xf>
    <xf numFmtId="0" fontId="4" fillId="10" borderId="8" xfId="0" applyNumberFormat="1" applyFont="1" applyFill="1" applyBorder="1" applyAlignment="1">
      <alignment horizontal="center" vertical="center"/>
    </xf>
    <xf numFmtId="0" fontId="4" fillId="11" borderId="8" xfId="0" applyFont="1" applyFill="1" applyBorder="1" applyAlignment="1">
      <alignment horizontal="center" vertical="center"/>
    </xf>
    <xf numFmtId="0" fontId="33" fillId="24" borderId="1" xfId="11" applyNumberFormat="1" applyBorder="1" applyAlignment="1">
      <alignment horizontal="center" vertical="center"/>
    </xf>
    <xf numFmtId="0" fontId="48" fillId="24" borderId="1" xfId="11" applyNumberFormat="1" applyFont="1" applyBorder="1" applyAlignment="1">
      <alignment horizontal="center" vertical="center"/>
    </xf>
    <xf numFmtId="0" fontId="49" fillId="24" borderId="1" xfId="11" applyNumberFormat="1" applyFont="1" applyBorder="1" applyAlignment="1">
      <alignment horizontal="center" vertical="center"/>
    </xf>
    <xf numFmtId="1" fontId="33" fillId="24" borderId="1" xfId="11" applyNumberFormat="1" applyBorder="1" applyAlignment="1">
      <alignment horizontal="center" vertical="center"/>
    </xf>
    <xf numFmtId="2" fontId="4" fillId="27" borderId="0" xfId="0" applyNumberFormat="1" applyFont="1" applyFill="1" applyAlignment="1">
      <alignment horizontal="center" vertical="center"/>
    </xf>
    <xf numFmtId="0" fontId="0" fillId="0" borderId="0" xfId="0" applyNumberFormat="1" applyFill="1" applyAlignment="1">
      <alignment vertical="center"/>
    </xf>
    <xf numFmtId="0" fontId="31" fillId="17" borderId="0" xfId="3" applyNumberFormat="1" applyBorder="1" applyAlignment="1">
      <alignment horizontal="center" vertical="center"/>
    </xf>
    <xf numFmtId="0" fontId="31" fillId="29" borderId="0" xfId="3" applyNumberFormat="1" applyFill="1" applyBorder="1" applyAlignment="1">
      <alignment vertical="center"/>
    </xf>
    <xf numFmtId="0" fontId="31" fillId="17" borderId="0" xfId="3" applyNumberFormat="1" applyBorder="1" applyAlignment="1">
      <alignment vertical="center"/>
    </xf>
    <xf numFmtId="0" fontId="31" fillId="17" borderId="20" xfId="3" applyNumberFormat="1" applyBorder="1" applyAlignment="1">
      <alignment horizontal="left" vertical="center"/>
    </xf>
    <xf numFmtId="0" fontId="31" fillId="17" borderId="20" xfId="3" applyNumberFormat="1" applyBorder="1" applyAlignment="1">
      <alignment vertical="center"/>
    </xf>
    <xf numFmtId="0" fontId="31" fillId="17" borderId="21" xfId="3" applyNumberFormat="1" applyBorder="1" applyAlignment="1">
      <alignment horizontal="center" vertical="center"/>
    </xf>
    <xf numFmtId="0" fontId="40" fillId="28" borderId="22" xfId="74" applyFill="1" applyBorder="1" applyAlignment="1">
      <alignment vertical="center"/>
    </xf>
    <xf numFmtId="0" fontId="40" fillId="28" borderId="23" xfId="74" applyFill="1" applyBorder="1" applyAlignment="1">
      <alignment vertical="center"/>
    </xf>
    <xf numFmtId="0" fontId="0" fillId="28" borderId="0" xfId="0" applyNumberFormat="1" applyFill="1" applyBorder="1" applyAlignment="1">
      <alignment horizontal="center" vertical="center"/>
    </xf>
    <xf numFmtId="0" fontId="40" fillId="28" borderId="0" xfId="74" applyFill="1" applyBorder="1" applyAlignment="1">
      <alignment vertical="center"/>
    </xf>
    <xf numFmtId="0" fontId="51" fillId="28" borderId="0" xfId="21" applyNumberFormat="1" applyFont="1" applyFill="1" applyBorder="1" applyAlignment="1">
      <alignment horizontal="left" vertical="center"/>
    </xf>
    <xf numFmtId="0" fontId="0" fillId="28" borderId="0" xfId="0" applyNumberFormat="1" applyFill="1" applyBorder="1" applyAlignment="1">
      <alignment horizontal="right" vertical="center"/>
    </xf>
    <xf numFmtId="0" fontId="40" fillId="28" borderId="20" xfId="74" applyFill="1" applyBorder="1" applyAlignment="1">
      <alignment vertical="center"/>
    </xf>
    <xf numFmtId="0" fontId="25" fillId="28" borderId="20" xfId="0" applyNumberFormat="1" applyFont="1" applyFill="1" applyBorder="1" applyAlignment="1">
      <alignment horizontal="center" vertical="center"/>
    </xf>
    <xf numFmtId="0" fontId="0" fillId="27" borderId="20" xfId="0" applyFill="1" applyBorder="1" applyAlignment="1">
      <alignment horizontal="center" vertical="center"/>
    </xf>
    <xf numFmtId="1" fontId="0" fillId="27" borderId="0" xfId="0" applyNumberFormat="1" applyFill="1" applyBorder="1" applyAlignment="1">
      <alignment horizontal="center" vertical="center"/>
    </xf>
    <xf numFmtId="0" fontId="0" fillId="27" borderId="0" xfId="0" applyNumberFormat="1" applyFill="1" applyBorder="1" applyAlignment="1">
      <alignment horizontal="center" vertical="center"/>
    </xf>
    <xf numFmtId="10" fontId="0" fillId="27" borderId="0" xfId="0" applyNumberFormat="1" applyFill="1" applyBorder="1" applyAlignment="1">
      <alignment horizontal="center" vertical="center"/>
    </xf>
    <xf numFmtId="0" fontId="0" fillId="27" borderId="0" xfId="0" applyNumberFormat="1" applyFill="1" applyBorder="1" applyAlignment="1">
      <alignment horizontal="right" vertical="center"/>
    </xf>
    <xf numFmtId="0" fontId="0" fillId="27" borderId="0" xfId="0" applyFill="1" applyBorder="1" applyAlignment="1">
      <alignment vertical="center"/>
    </xf>
    <xf numFmtId="0" fontId="0" fillId="27" borderId="0" xfId="0" applyFill="1" applyBorder="1" applyAlignment="1">
      <alignment horizontal="right" vertical="center"/>
    </xf>
    <xf numFmtId="0" fontId="0" fillId="27" borderId="25" xfId="0" applyFill="1" applyBorder="1" applyAlignment="1">
      <alignment vertical="center"/>
    </xf>
    <xf numFmtId="0" fontId="31" fillId="17" borderId="25" xfId="3" applyNumberFormat="1" applyBorder="1" applyAlignment="1">
      <alignment horizontal="left" vertical="center"/>
    </xf>
    <xf numFmtId="0" fontId="31" fillId="17" borderId="25" xfId="3" applyNumberFormat="1" applyBorder="1" applyAlignment="1">
      <alignment horizontal="center" vertical="center"/>
    </xf>
    <xf numFmtId="0" fontId="31" fillId="17" borderId="26" xfId="3" applyNumberFormat="1" applyBorder="1" applyAlignment="1">
      <alignment vertical="center"/>
    </xf>
    <xf numFmtId="0" fontId="31" fillId="17" borderId="21" xfId="3" applyNumberFormat="1" applyBorder="1" applyAlignment="1">
      <alignment vertical="center"/>
    </xf>
    <xf numFmtId="0" fontId="31" fillId="17" borderId="27" xfId="3" applyNumberFormat="1" applyBorder="1" applyAlignment="1">
      <alignment horizontal="center" vertical="center"/>
    </xf>
    <xf numFmtId="0" fontId="25" fillId="27" borderId="0" xfId="0" applyFont="1" applyFill="1" applyAlignment="1">
      <alignment vertical="center"/>
    </xf>
    <xf numFmtId="0" fontId="31" fillId="18" borderId="28" xfId="4" applyNumberFormat="1" applyBorder="1" applyAlignment="1">
      <alignment horizontal="right" vertical="center"/>
    </xf>
    <xf numFmtId="0" fontId="31" fillId="18" borderId="0" xfId="4" applyBorder="1" applyAlignment="1">
      <alignment horizontal="center" vertical="center"/>
    </xf>
    <xf numFmtId="1" fontId="31" fillId="18" borderId="21" xfId="4" applyNumberFormat="1" applyBorder="1" applyAlignment="1">
      <alignment horizontal="center" vertical="center"/>
    </xf>
    <xf numFmtId="0" fontId="31" fillId="18" borderId="21" xfId="4" applyNumberFormat="1" applyBorder="1" applyAlignment="1">
      <alignment horizontal="center" vertical="center"/>
    </xf>
    <xf numFmtId="10" fontId="31" fillId="18" borderId="21" xfId="4" applyNumberFormat="1" applyBorder="1" applyAlignment="1">
      <alignment horizontal="center" vertical="center"/>
    </xf>
    <xf numFmtId="0" fontId="31" fillId="18" borderId="21" xfId="4" applyNumberFormat="1" applyBorder="1" applyAlignment="1">
      <alignment horizontal="right" vertical="center"/>
    </xf>
    <xf numFmtId="0" fontId="31" fillId="18" borderId="21" xfId="4" applyBorder="1" applyAlignment="1">
      <alignment vertical="center"/>
    </xf>
    <xf numFmtId="0" fontId="31" fillId="18" borderId="21" xfId="4" applyBorder="1" applyAlignment="1">
      <alignment horizontal="right" vertical="center"/>
    </xf>
    <xf numFmtId="1" fontId="31" fillId="18" borderId="0" xfId="4" applyNumberFormat="1" applyBorder="1" applyAlignment="1">
      <alignment horizontal="center" vertical="center"/>
    </xf>
    <xf numFmtId="0" fontId="31" fillId="18" borderId="0" xfId="4" applyNumberFormat="1" applyBorder="1" applyAlignment="1">
      <alignment horizontal="center" vertical="center"/>
    </xf>
    <xf numFmtId="10" fontId="31" fillId="18" borderId="0" xfId="4" applyNumberFormat="1" applyBorder="1" applyAlignment="1">
      <alignment horizontal="center" vertical="center"/>
    </xf>
    <xf numFmtId="0" fontId="31" fillId="18" borderId="0" xfId="4" applyNumberFormat="1" applyBorder="1" applyAlignment="1">
      <alignment horizontal="right" vertical="center"/>
    </xf>
    <xf numFmtId="0" fontId="31" fillId="18" borderId="0" xfId="4" applyBorder="1" applyAlignment="1">
      <alignment vertical="center"/>
    </xf>
    <xf numFmtId="0" fontId="31" fillId="18" borderId="0" xfId="4" applyBorder="1" applyAlignment="1">
      <alignment horizontal="right" vertical="center"/>
    </xf>
    <xf numFmtId="0" fontId="31" fillId="18" borderId="21" xfId="4" applyBorder="1" applyAlignment="1">
      <alignment horizontal="center" vertical="center"/>
    </xf>
    <xf numFmtId="0" fontId="0" fillId="27" borderId="21" xfId="0" applyFill="1" applyBorder="1" applyAlignment="1">
      <alignment vertical="center"/>
    </xf>
    <xf numFmtId="0" fontId="40" fillId="17" borderId="20" xfId="74" applyNumberFormat="1" applyFill="1" applyBorder="1" applyAlignment="1">
      <alignment horizontal="left" vertical="center"/>
    </xf>
    <xf numFmtId="0" fontId="40" fillId="17" borderId="0" xfId="74" applyNumberFormat="1" applyFill="1" applyBorder="1" applyAlignment="1">
      <alignment horizontal="left" vertical="center"/>
    </xf>
    <xf numFmtId="0" fontId="0" fillId="27" borderId="23" xfId="0" applyFill="1" applyBorder="1" applyAlignment="1">
      <alignment vertical="center"/>
    </xf>
    <xf numFmtId="0" fontId="22" fillId="10" borderId="29" xfId="22" applyFont="1" applyFill="1" applyBorder="1" applyAlignment="1">
      <alignment horizontal="left" vertical="center"/>
    </xf>
    <xf numFmtId="1" fontId="3" fillId="10" borderId="7" xfId="0" applyNumberFormat="1" applyFont="1" applyFill="1" applyBorder="1" applyAlignment="1">
      <alignment horizontal="center" vertical="center"/>
    </xf>
    <xf numFmtId="0" fontId="3" fillId="10" borderId="7" xfId="0" applyNumberFormat="1" applyFont="1" applyFill="1" applyBorder="1" applyAlignment="1">
      <alignment horizontal="center" vertical="center"/>
    </xf>
    <xf numFmtId="10" fontId="3" fillId="10" borderId="7" xfId="0" applyNumberFormat="1" applyFont="1" applyFill="1" applyBorder="1" applyAlignment="1">
      <alignment horizontal="center" vertical="center"/>
    </xf>
    <xf numFmtId="0" fontId="3" fillId="11" borderId="7" xfId="0" applyFont="1" applyFill="1" applyBorder="1" applyAlignment="1">
      <alignment horizontal="center" vertical="center"/>
    </xf>
    <xf numFmtId="2" fontId="52" fillId="23" borderId="1" xfId="9" applyNumberFormat="1" applyFont="1" applyBorder="1" applyAlignment="1">
      <alignment horizontal="center" vertical="center" wrapText="1"/>
    </xf>
    <xf numFmtId="0" fontId="53" fillId="18" borderId="20" xfId="4" applyFont="1" applyBorder="1" applyAlignment="1">
      <alignment horizontal="center" vertical="center"/>
    </xf>
    <xf numFmtId="0" fontId="53" fillId="18" borderId="0" xfId="4" applyFont="1" applyBorder="1" applyAlignment="1">
      <alignment horizontal="center" vertical="center"/>
    </xf>
    <xf numFmtId="0" fontId="53" fillId="23" borderId="24" xfId="9" applyFont="1" applyBorder="1" applyAlignment="1">
      <alignment horizontal="center" vertical="center" wrapText="1"/>
    </xf>
    <xf numFmtId="0" fontId="53" fillId="23" borderId="1" xfId="9" applyFont="1" applyBorder="1" applyAlignment="1">
      <alignment horizontal="center" vertical="center" wrapText="1"/>
    </xf>
    <xf numFmtId="0" fontId="53" fillId="23" borderId="30" xfId="9" applyFont="1" applyBorder="1" applyAlignment="1">
      <alignment horizontal="center" vertical="center" wrapText="1"/>
    </xf>
    <xf numFmtId="2" fontId="53" fillId="23" borderId="1" xfId="9" applyNumberFormat="1" applyFont="1" applyBorder="1" applyAlignment="1">
      <alignment horizontal="center" vertical="center" wrapText="1"/>
    </xf>
    <xf numFmtId="0" fontId="3" fillId="0" borderId="0" xfId="37"/>
    <xf numFmtId="0" fontId="40" fillId="18" borderId="20" xfId="74" applyFill="1" applyBorder="1" applyAlignment="1">
      <alignment horizontal="left" vertical="center"/>
    </xf>
    <xf numFmtId="0" fontId="54" fillId="27" borderId="0" xfId="76" quotePrefix="1" applyFont="1" applyFill="1" applyAlignment="1">
      <alignment vertical="center"/>
    </xf>
    <xf numFmtId="0" fontId="31" fillId="15" borderId="0" xfId="1" quotePrefix="1" applyNumberFormat="1" applyAlignment="1">
      <alignment horizontal="center" vertical="center" wrapText="1"/>
    </xf>
    <xf numFmtId="10" fontId="31" fillId="15" borderId="0" xfId="1" applyNumberFormat="1" applyAlignment="1">
      <alignment horizontal="center" vertical="center"/>
    </xf>
    <xf numFmtId="0" fontId="31" fillId="15" borderId="0" xfId="1" applyNumberFormat="1" applyBorder="1" applyAlignment="1">
      <alignment horizontal="right" vertical="center"/>
    </xf>
    <xf numFmtId="0" fontId="31" fillId="15" borderId="0" xfId="1" applyBorder="1" applyAlignment="1">
      <alignment vertical="center"/>
    </xf>
    <xf numFmtId="0" fontId="31" fillId="15" borderId="0" xfId="1" applyBorder="1" applyAlignment="1">
      <alignment horizontal="right" vertical="center"/>
    </xf>
    <xf numFmtId="0" fontId="31" fillId="17" borderId="0" xfId="3" applyNumberFormat="1" applyBorder="1" applyAlignment="1">
      <alignment horizontal="left" vertical="center"/>
    </xf>
    <xf numFmtId="0" fontId="52" fillId="22" borderId="1" xfId="8" applyNumberFormat="1" applyFont="1" applyBorder="1" applyAlignment="1">
      <alignment horizontal="center" vertical="center" wrapText="1"/>
    </xf>
    <xf numFmtId="0" fontId="40" fillId="16" borderId="20" xfId="74" applyNumberFormat="1" applyFill="1" applyBorder="1" applyAlignment="1">
      <alignment horizontal="left" vertical="center"/>
    </xf>
    <xf numFmtId="0" fontId="31" fillId="16" borderId="0" xfId="2" applyNumberFormat="1" applyBorder="1" applyAlignment="1">
      <alignment horizontal="left" vertical="center"/>
    </xf>
    <xf numFmtId="0" fontId="31" fillId="16" borderId="20" xfId="2" applyNumberFormat="1" applyBorder="1" applyAlignment="1">
      <alignment vertical="center"/>
    </xf>
    <xf numFmtId="0" fontId="31" fillId="16" borderId="0" xfId="2" applyNumberFormat="1" applyBorder="1" applyAlignment="1">
      <alignment vertical="center"/>
    </xf>
    <xf numFmtId="0" fontId="52" fillId="21" borderId="1" xfId="7" applyNumberFormat="1" applyFont="1" applyBorder="1" applyAlignment="1">
      <alignment horizontal="center" vertical="center" wrapText="1"/>
    </xf>
    <xf numFmtId="0" fontId="31" fillId="16" borderId="26" xfId="2" applyNumberFormat="1" applyBorder="1" applyAlignment="1">
      <alignment vertical="center"/>
    </xf>
    <xf numFmtId="0" fontId="31" fillId="16" borderId="21" xfId="2" applyNumberFormat="1" applyBorder="1" applyAlignment="1">
      <alignment vertical="center"/>
    </xf>
    <xf numFmtId="0" fontId="4" fillId="0" borderId="0" xfId="37" applyFont="1"/>
    <xf numFmtId="0" fontId="55" fillId="8" borderId="0" xfId="37" applyFont="1" applyFill="1"/>
    <xf numFmtId="0" fontId="56" fillId="8" borderId="0" xfId="37" applyFont="1" applyFill="1"/>
    <xf numFmtId="0" fontId="37" fillId="10" borderId="29" xfId="22" applyFill="1" applyBorder="1" applyAlignment="1">
      <alignment horizontal="left" vertical="center"/>
    </xf>
    <xf numFmtId="49" fontId="56" fillId="8" borderId="0" xfId="37" applyNumberFormat="1" applyFont="1" applyFill="1"/>
    <xf numFmtId="49" fontId="3" fillId="0" borderId="0" xfId="37" applyNumberFormat="1"/>
    <xf numFmtId="0" fontId="3" fillId="0" borderId="0" xfId="0" applyFont="1" applyFill="1" applyBorder="1" applyAlignment="1" applyProtection="1">
      <alignment vertical="center"/>
      <protection locked="0"/>
    </xf>
    <xf numFmtId="0" fontId="6" fillId="0" borderId="0" xfId="0" applyFont="1" applyFill="1" applyBorder="1" applyAlignment="1" applyProtection="1">
      <alignment vertical="center"/>
      <protection locked="0"/>
    </xf>
    <xf numFmtId="0" fontId="6" fillId="0" borderId="0" xfId="0" applyFont="1" applyBorder="1" applyAlignment="1" applyProtection="1">
      <alignment vertical="center"/>
      <protection locked="0"/>
    </xf>
    <xf numFmtId="0" fontId="5" fillId="0" borderId="0" xfId="0" applyFont="1" applyFill="1" applyAlignment="1">
      <alignment vertical="center" wrapText="1"/>
    </xf>
    <xf numFmtId="49" fontId="5" fillId="0" borderId="0" xfId="0" applyNumberFormat="1" applyFont="1" applyFill="1" applyAlignment="1">
      <alignment horizontal="center" vertical="center" wrapText="1"/>
    </xf>
    <xf numFmtId="49" fontId="5" fillId="0" borderId="0" xfId="0" applyNumberFormat="1" applyFont="1" applyAlignment="1">
      <alignment horizontal="center" vertical="center" wrapText="1"/>
    </xf>
    <xf numFmtId="0" fontId="3" fillId="0" borderId="0" xfId="0" applyFont="1" applyBorder="1" applyAlignment="1">
      <alignment horizontal="left" vertical="center" wrapText="1"/>
    </xf>
    <xf numFmtId="0" fontId="6" fillId="0" borderId="0" xfId="0" applyFont="1" applyAlignment="1">
      <alignment horizontal="left" vertical="top" wrapText="1"/>
    </xf>
    <xf numFmtId="0" fontId="55" fillId="8" borderId="1" xfId="72" applyFont="1" applyFill="1">
      <alignment horizontal="center" textRotation="60"/>
    </xf>
    <xf numFmtId="0" fontId="23" fillId="0" borderId="0" xfId="10" applyFont="1" applyFill="1" applyBorder="1" applyAlignment="1">
      <alignment horizontal="center" vertical="center" wrapText="1"/>
    </xf>
    <xf numFmtId="0" fontId="30" fillId="0" borderId="0" xfId="37" applyFont="1" applyAlignment="1">
      <alignment horizontal="centerContinuous" vertical="center"/>
    </xf>
    <xf numFmtId="0" fontId="25" fillId="0" borderId="0" xfId="0" applyFont="1"/>
    <xf numFmtId="0" fontId="63" fillId="0" borderId="0" xfId="0" applyFont="1"/>
    <xf numFmtId="0" fontId="63" fillId="0" borderId="0" xfId="0" applyFont="1" applyAlignment="1"/>
    <xf numFmtId="0" fontId="64" fillId="0" borderId="0" xfId="0" applyFont="1"/>
    <xf numFmtId="49" fontId="23" fillId="0" borderId="0" xfId="0" applyNumberFormat="1" applyFont="1" applyFill="1" applyBorder="1" applyAlignment="1">
      <alignment horizontal="center" vertical="center" wrapText="1"/>
    </xf>
    <xf numFmtId="0" fontId="5" fillId="0" borderId="0" xfId="0" applyFont="1" applyBorder="1" applyAlignment="1">
      <alignment horizontal="center" vertical="center" wrapText="1"/>
    </xf>
    <xf numFmtId="0" fontId="2" fillId="19" borderId="1" xfId="5" applyNumberFormat="1" applyFont="1" applyBorder="1" applyAlignment="1">
      <alignment horizontal="center" vertical="center" wrapText="1"/>
    </xf>
    <xf numFmtId="10" fontId="4" fillId="10" borderId="1" xfId="0" applyNumberFormat="1" applyFont="1" applyFill="1" applyBorder="1" applyAlignment="1">
      <alignment horizontal="center" vertical="center"/>
    </xf>
    <xf numFmtId="10" fontId="4" fillId="11" borderId="1" xfId="0" applyNumberFormat="1" applyFont="1" applyFill="1" applyBorder="1" applyAlignment="1">
      <alignment horizontal="center" vertical="center"/>
    </xf>
    <xf numFmtId="0" fontId="2" fillId="19" borderId="24" xfId="5" applyNumberFormat="1" applyFont="1" applyBorder="1" applyAlignment="1">
      <alignment horizontal="left" vertical="center" wrapText="1"/>
    </xf>
    <xf numFmtId="0" fontId="40" fillId="36" borderId="22" xfId="74" applyFill="1" applyBorder="1" applyAlignment="1">
      <alignment vertical="center"/>
    </xf>
    <xf numFmtId="0" fontId="40" fillId="36" borderId="23" xfId="74" applyFill="1" applyBorder="1" applyAlignment="1">
      <alignment vertical="center"/>
    </xf>
    <xf numFmtId="0" fontId="40" fillId="36" borderId="20" xfId="74" applyFill="1" applyBorder="1" applyAlignment="1">
      <alignment vertical="center"/>
    </xf>
    <xf numFmtId="0" fontId="0" fillId="36" borderId="0" xfId="0" applyNumberFormat="1" applyFill="1" applyBorder="1" applyAlignment="1">
      <alignment horizontal="center" vertical="center"/>
    </xf>
    <xf numFmtId="0" fontId="40" fillId="36" borderId="0" xfId="74" applyFill="1" applyBorder="1" applyAlignment="1">
      <alignment vertical="center"/>
    </xf>
    <xf numFmtId="0" fontId="51" fillId="36" borderId="0" xfId="21" applyNumberFormat="1" applyFont="1" applyFill="1" applyBorder="1" applyAlignment="1">
      <alignment horizontal="left" vertical="center"/>
    </xf>
    <xf numFmtId="0" fontId="0" fillId="36" borderId="0" xfId="0" applyNumberFormat="1" applyFill="1" applyBorder="1" applyAlignment="1">
      <alignment horizontal="right" vertical="center"/>
    </xf>
    <xf numFmtId="0" fontId="25" fillId="36" borderId="20" xfId="0" applyNumberFormat="1" applyFont="1" applyFill="1" applyBorder="1" applyAlignment="1">
      <alignment horizontal="center" vertical="center"/>
    </xf>
    <xf numFmtId="0" fontId="2" fillId="34" borderId="1" xfId="5" applyNumberFormat="1" applyFont="1" applyFill="1" applyBorder="1" applyAlignment="1">
      <alignment horizontal="center" vertical="center" wrapText="1"/>
    </xf>
    <xf numFmtId="0" fontId="48" fillId="0" borderId="1" xfId="11" applyNumberFormat="1" applyFont="1" applyFill="1" applyBorder="1" applyAlignment="1">
      <alignment horizontal="center" vertical="center"/>
    </xf>
    <xf numFmtId="0" fontId="49" fillId="0" borderId="1" xfId="11" applyNumberFormat="1" applyFont="1" applyFill="1" applyBorder="1" applyAlignment="1">
      <alignment horizontal="center" vertical="center"/>
    </xf>
    <xf numFmtId="0" fontId="1" fillId="34" borderId="24" xfId="5" applyNumberFormat="1" applyFont="1" applyFill="1" applyBorder="1" applyAlignment="1">
      <alignment horizontal="left" vertical="center" wrapText="1"/>
    </xf>
    <xf numFmtId="1" fontId="50" fillId="0" borderId="1" xfId="11" applyNumberFormat="1" applyFont="1" applyFill="1" applyBorder="1" applyAlignment="1">
      <alignment horizontal="center" vertical="center"/>
    </xf>
    <xf numFmtId="1" fontId="50" fillId="30" borderId="1" xfId="11" applyNumberFormat="1" applyFont="1" applyFill="1" applyBorder="1" applyAlignment="1">
      <alignment horizontal="center" vertical="center"/>
    </xf>
    <xf numFmtId="0" fontId="8" fillId="0" borderId="11" xfId="0" applyFont="1" applyBorder="1" applyAlignment="1" applyProtection="1">
      <alignment horizontal="left" vertical="center" shrinkToFit="1"/>
    </xf>
    <xf numFmtId="0" fontId="8" fillId="0" borderId="10" xfId="0" applyFont="1" applyBorder="1" applyAlignment="1" applyProtection="1">
      <alignment horizontal="left" vertical="center" shrinkToFit="1"/>
    </xf>
    <xf numFmtId="0" fontId="8" fillId="0" borderId="12" xfId="0" applyFont="1" applyBorder="1" applyAlignment="1" applyProtection="1">
      <alignment horizontal="left" vertical="center" shrinkToFit="1"/>
    </xf>
    <xf numFmtId="0" fontId="8" fillId="0" borderId="11" xfId="0" applyFont="1" applyFill="1" applyBorder="1" applyAlignment="1" applyProtection="1">
      <alignment horizontal="left" vertical="center" shrinkToFit="1"/>
    </xf>
    <xf numFmtId="0" fontId="8" fillId="0" borderId="10" xfId="0" applyFont="1" applyFill="1" applyBorder="1" applyAlignment="1" applyProtection="1">
      <alignment horizontal="left" vertical="center" shrinkToFit="1"/>
    </xf>
    <xf numFmtId="0" fontId="8" fillId="0" borderId="12" xfId="0" applyFont="1" applyFill="1" applyBorder="1" applyAlignment="1" applyProtection="1">
      <alignment horizontal="left" vertical="center" shrinkToFit="1"/>
    </xf>
    <xf numFmtId="0" fontId="58" fillId="0" borderId="13" xfId="0" applyFont="1" applyBorder="1" applyAlignment="1" applyProtection="1">
      <alignment horizontal="left" vertical="center" shrinkToFit="1"/>
    </xf>
    <xf numFmtId="0" fontId="58" fillId="0" borderId="3" xfId="0" applyFont="1" applyBorder="1" applyAlignment="1" applyProtection="1">
      <alignment horizontal="left" vertical="center" shrinkToFit="1"/>
    </xf>
    <xf numFmtId="0" fontId="58" fillId="0" borderId="14" xfId="0" applyFont="1" applyBorder="1" applyAlignment="1" applyProtection="1">
      <alignment horizontal="left" vertical="center" shrinkToFit="1"/>
    </xf>
    <xf numFmtId="0" fontId="8" fillId="0" borderId="11" xfId="0" applyFont="1" applyBorder="1" applyAlignment="1" applyProtection="1">
      <alignment horizontal="left" vertical="center" wrapText="1"/>
    </xf>
    <xf numFmtId="0" fontId="8" fillId="0" borderId="10" xfId="0" applyFont="1" applyBorder="1" applyAlignment="1" applyProtection="1">
      <alignment horizontal="left" vertical="center" wrapText="1"/>
    </xf>
    <xf numFmtId="0" fontId="8" fillId="0" borderId="12" xfId="0" applyFont="1" applyBorder="1" applyAlignment="1" applyProtection="1">
      <alignment horizontal="left" vertical="center" wrapText="1"/>
    </xf>
    <xf numFmtId="0" fontId="58" fillId="0" borderId="13" xfId="0" applyFont="1" applyBorder="1" applyAlignment="1" applyProtection="1">
      <alignment horizontal="left" vertical="center" wrapText="1" shrinkToFit="1"/>
    </xf>
    <xf numFmtId="0" fontId="57" fillId="31" borderId="4" xfId="0" applyFont="1" applyFill="1" applyBorder="1" applyAlignment="1" applyProtection="1">
      <alignment horizontal="center" vertical="center" shrinkToFit="1"/>
      <protection locked="0"/>
    </xf>
    <xf numFmtId="0" fontId="57" fillId="31" borderId="0" xfId="0" applyFont="1" applyFill="1" applyBorder="1" applyAlignment="1" applyProtection="1">
      <alignment horizontal="center" vertical="center" shrinkToFit="1"/>
      <protection locked="0"/>
    </xf>
    <xf numFmtId="0" fontId="57" fillId="31" borderId="5" xfId="0" applyFont="1" applyFill="1" applyBorder="1" applyAlignment="1" applyProtection="1">
      <alignment horizontal="center" vertical="center" shrinkToFit="1"/>
      <protection locked="0"/>
    </xf>
    <xf numFmtId="0" fontId="59" fillId="26" borderId="31" xfId="28" applyFont="1" applyBorder="1" applyAlignment="1">
      <alignment horizontal="center" vertical="center"/>
    </xf>
    <xf numFmtId="0" fontId="59" fillId="26" borderId="32" xfId="28" applyFont="1" applyBorder="1" applyAlignment="1">
      <alignment horizontal="center" vertical="center"/>
    </xf>
    <xf numFmtId="0" fontId="59" fillId="26" borderId="33" xfId="28" applyFont="1" applyBorder="1" applyAlignment="1">
      <alignment horizontal="center" vertical="center"/>
    </xf>
    <xf numFmtId="0" fontId="60" fillId="0" borderId="3" xfId="0" applyFont="1" applyFill="1" applyBorder="1" applyAlignment="1" applyProtection="1">
      <alignment horizontal="left" vertical="top" wrapText="1" shrinkToFit="1"/>
      <protection locked="0"/>
    </xf>
    <xf numFmtId="0" fontId="60" fillId="0" borderId="14" xfId="0" applyFont="1" applyFill="1" applyBorder="1" applyAlignment="1" applyProtection="1">
      <alignment horizontal="left" vertical="top" wrapText="1" shrinkToFit="1"/>
      <protection locked="0"/>
    </xf>
    <xf numFmtId="0" fontId="6" fillId="0" borderId="13" xfId="0" applyFont="1" applyFill="1" applyBorder="1" applyAlignment="1" applyProtection="1">
      <alignment horizontal="right" vertical="top" wrapText="1" shrinkToFit="1"/>
      <protection locked="0"/>
    </xf>
    <xf numFmtId="0" fontId="6" fillId="0" borderId="3" xfId="0" applyFont="1" applyFill="1" applyBorder="1" applyAlignment="1" applyProtection="1">
      <alignment horizontal="right" vertical="top" wrapText="1" shrinkToFit="1"/>
      <protection locked="0"/>
    </xf>
    <xf numFmtId="0" fontId="57" fillId="31" borderId="10" xfId="0" applyFont="1" applyFill="1" applyBorder="1" applyAlignment="1" applyProtection="1">
      <alignment horizontal="center" vertical="center" wrapText="1"/>
      <protection locked="0"/>
    </xf>
    <xf numFmtId="0" fontId="57" fillId="31" borderId="12" xfId="0" applyFont="1" applyFill="1" applyBorder="1" applyAlignment="1" applyProtection="1">
      <alignment horizontal="center" vertical="center" wrapText="1"/>
      <protection locked="0"/>
    </xf>
    <xf numFmtId="0" fontId="57" fillId="31" borderId="0" xfId="0" applyFont="1" applyFill="1" applyBorder="1" applyAlignment="1" applyProtection="1">
      <alignment horizontal="center" vertical="center" wrapText="1"/>
      <protection locked="0"/>
    </xf>
    <xf numFmtId="0" fontId="57" fillId="31" borderId="5" xfId="0" applyFont="1" applyFill="1" applyBorder="1" applyAlignment="1" applyProtection="1">
      <alignment horizontal="center" vertical="center" wrapText="1"/>
      <protection locked="0"/>
    </xf>
    <xf numFmtId="0" fontId="5" fillId="0" borderId="3" xfId="0" applyFont="1" applyBorder="1" applyAlignment="1" applyProtection="1">
      <alignment horizontal="left" vertical="top" wrapText="1" shrinkToFit="1"/>
      <protection locked="0"/>
    </xf>
    <xf numFmtId="0" fontId="23" fillId="0" borderId="3" xfId="0" applyFont="1" applyBorder="1" applyAlignment="1" applyProtection="1">
      <alignment horizontal="left" vertical="top" shrinkToFit="1"/>
      <protection locked="0"/>
    </xf>
    <xf numFmtId="0" fontId="23" fillId="0" borderId="14" xfId="0" applyFont="1" applyBorder="1" applyAlignment="1" applyProtection="1">
      <alignment horizontal="left" vertical="top" shrinkToFit="1"/>
      <protection locked="0"/>
    </xf>
    <xf numFmtId="0" fontId="6" fillId="0" borderId="13" xfId="0" applyFont="1" applyFill="1" applyBorder="1" applyAlignment="1" applyProtection="1">
      <alignment horizontal="left" vertical="top"/>
      <protection locked="0"/>
    </xf>
    <xf numFmtId="0" fontId="6" fillId="0" borderId="3" xfId="0" applyFont="1" applyFill="1" applyBorder="1" applyAlignment="1" applyProtection="1">
      <alignment horizontal="left" vertical="top"/>
      <protection locked="0"/>
    </xf>
    <xf numFmtId="0" fontId="6" fillId="0" borderId="14" xfId="0" applyFont="1" applyFill="1" applyBorder="1" applyAlignment="1" applyProtection="1">
      <alignment horizontal="left" vertical="top"/>
      <protection locked="0"/>
    </xf>
    <xf numFmtId="0" fontId="12" fillId="0" borderId="0" xfId="0" applyFont="1" applyFill="1" applyAlignment="1" applyProtection="1">
      <alignment horizontal="center" vertical="center" wrapText="1"/>
      <protection locked="0"/>
    </xf>
    <xf numFmtId="0" fontId="3" fillId="0" borderId="11" xfId="0" applyFont="1" applyFill="1" applyBorder="1" applyAlignment="1" applyProtection="1">
      <alignment horizontal="left" vertical="top" wrapText="1"/>
      <protection locked="0"/>
    </xf>
    <xf numFmtId="0" fontId="6" fillId="0" borderId="10" xfId="0" applyFont="1" applyFill="1" applyBorder="1" applyAlignment="1" applyProtection="1">
      <alignment horizontal="left" vertical="top" wrapText="1"/>
      <protection locked="0"/>
    </xf>
    <xf numFmtId="0" fontId="6" fillId="0" borderId="12" xfId="0" applyFont="1" applyFill="1" applyBorder="1" applyAlignment="1" applyProtection="1">
      <alignment horizontal="left" vertical="top" wrapText="1"/>
      <protection locked="0"/>
    </xf>
    <xf numFmtId="0" fontId="57" fillId="31" borderId="11" xfId="0" applyFont="1" applyFill="1" applyBorder="1" applyAlignment="1" applyProtection="1">
      <alignment horizontal="center" vertical="center" shrinkToFit="1"/>
      <protection locked="0"/>
    </xf>
    <xf numFmtId="0" fontId="57" fillId="31" borderId="10" xfId="0" applyFont="1" applyFill="1" applyBorder="1" applyAlignment="1" applyProtection="1">
      <alignment horizontal="center" vertical="center" shrinkToFit="1"/>
      <protection locked="0"/>
    </xf>
    <xf numFmtId="0" fontId="57" fillId="31" borderId="12" xfId="0" applyFont="1" applyFill="1" applyBorder="1" applyAlignment="1" applyProtection="1">
      <alignment horizontal="center" vertical="center" shrinkToFit="1"/>
      <protection locked="0"/>
    </xf>
    <xf numFmtId="0" fontId="5" fillId="0" borderId="3" xfId="0" applyFont="1" applyBorder="1" applyAlignment="1" applyProtection="1">
      <alignment horizontal="center" vertical="top" wrapText="1" shrinkToFit="1"/>
      <protection locked="0"/>
    </xf>
    <xf numFmtId="0" fontId="5" fillId="0" borderId="14" xfId="0" applyFont="1" applyBorder="1" applyAlignment="1" applyProtection="1">
      <alignment horizontal="center" vertical="top" wrapText="1" shrinkToFit="1"/>
      <protection locked="0"/>
    </xf>
    <xf numFmtId="49" fontId="3" fillId="0" borderId="6" xfId="0" applyNumberFormat="1" applyFont="1" applyFill="1" applyBorder="1" applyAlignment="1" applyProtection="1">
      <alignment horizontal="left" vertical="center" wrapText="1"/>
      <protection locked="0"/>
    </xf>
    <xf numFmtId="49" fontId="6" fillId="0" borderId="9" xfId="0" applyNumberFormat="1" applyFont="1" applyFill="1" applyBorder="1" applyAlignment="1" applyProtection="1">
      <alignment horizontal="left" vertical="center" wrapText="1"/>
      <protection locked="0"/>
    </xf>
    <xf numFmtId="49" fontId="6" fillId="0" borderId="15" xfId="0" applyNumberFormat="1" applyFont="1" applyFill="1" applyBorder="1" applyAlignment="1" applyProtection="1">
      <alignment horizontal="left" vertical="center" wrapText="1"/>
      <protection locked="0"/>
    </xf>
    <xf numFmtId="0" fontId="37" fillId="0" borderId="0" xfId="22" applyBorder="1" applyAlignment="1">
      <alignment horizontal="center" vertical="center"/>
    </xf>
    <xf numFmtId="49" fontId="3" fillId="34" borderId="6" xfId="0" applyNumberFormat="1" applyFont="1" applyFill="1" applyBorder="1" applyAlignment="1" applyProtection="1">
      <alignment horizontal="center" vertical="center" wrapText="1"/>
      <protection locked="0"/>
    </xf>
    <xf numFmtId="49" fontId="6" fillId="34" borderId="9" xfId="0" applyNumberFormat="1" applyFont="1" applyFill="1" applyBorder="1" applyAlignment="1" applyProtection="1">
      <alignment horizontal="center" vertical="center" wrapText="1"/>
      <protection locked="0"/>
    </xf>
    <xf numFmtId="49" fontId="6" fillId="34" borderId="15" xfId="0" applyNumberFormat="1" applyFont="1" applyFill="1" applyBorder="1" applyAlignment="1" applyProtection="1">
      <alignment horizontal="center" vertical="center" wrapText="1"/>
      <protection locked="0"/>
    </xf>
    <xf numFmtId="49" fontId="6" fillId="35" borderId="6" xfId="0" applyNumberFormat="1" applyFont="1" applyFill="1" applyBorder="1" applyAlignment="1" applyProtection="1">
      <alignment horizontal="center" vertical="center" wrapText="1"/>
      <protection locked="0"/>
    </xf>
    <xf numFmtId="49" fontId="6" fillId="35" borderId="9" xfId="0" applyNumberFormat="1" applyFont="1" applyFill="1" applyBorder="1" applyAlignment="1" applyProtection="1">
      <alignment horizontal="center" vertical="center" wrapText="1"/>
      <protection locked="0"/>
    </xf>
    <xf numFmtId="49" fontId="6" fillId="35" borderId="15" xfId="0" applyNumberFormat="1" applyFont="1" applyFill="1" applyBorder="1" applyAlignment="1" applyProtection="1">
      <alignment horizontal="center" vertical="center" wrapText="1"/>
      <protection locked="0"/>
    </xf>
    <xf numFmtId="49" fontId="6" fillId="0" borderId="6" xfId="0" applyNumberFormat="1" applyFont="1" applyFill="1" applyBorder="1" applyAlignment="1" applyProtection="1">
      <alignment horizontal="left" vertical="center" wrapText="1"/>
      <protection locked="0"/>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15" xfId="0" applyBorder="1" applyAlignment="1">
      <alignment horizontal="left" vertical="center" wrapText="1"/>
    </xf>
    <xf numFmtId="0" fontId="10" fillId="13" borderId="6" xfId="0" applyFont="1" applyFill="1" applyBorder="1" applyAlignment="1" applyProtection="1">
      <alignment horizontal="center" vertical="center" wrapText="1"/>
      <protection locked="0"/>
    </xf>
    <xf numFmtId="0" fontId="10" fillId="13" borderId="9" xfId="0" applyFont="1" applyFill="1" applyBorder="1" applyAlignment="1" applyProtection="1">
      <alignment horizontal="center" vertical="center" wrapText="1"/>
      <protection locked="0"/>
    </xf>
    <xf numFmtId="0" fontId="10" fillId="13" borderId="15" xfId="0" applyFont="1" applyFill="1" applyBorder="1" applyAlignment="1" applyProtection="1">
      <alignment horizontal="center" vertical="center" wrapText="1"/>
      <protection locked="0"/>
    </xf>
    <xf numFmtId="0" fontId="61" fillId="33" borderId="6" xfId="0" applyFont="1" applyFill="1" applyBorder="1" applyAlignment="1">
      <alignment horizontal="center" vertical="center" wrapText="1"/>
    </xf>
    <xf numFmtId="0" fontId="61" fillId="33" borderId="9" xfId="0" applyFont="1" applyFill="1" applyBorder="1" applyAlignment="1">
      <alignment horizontal="center" vertical="center" wrapText="1"/>
    </xf>
    <xf numFmtId="0" fontId="61" fillId="33" borderId="15" xfId="0" applyFont="1" applyFill="1" applyBorder="1" applyAlignment="1">
      <alignment horizontal="center" vertical="center" wrapText="1"/>
    </xf>
    <xf numFmtId="49" fontId="16" fillId="0" borderId="0" xfId="0" applyNumberFormat="1" applyFont="1" applyFill="1" applyAlignment="1" applyProtection="1">
      <alignment horizontal="left" vertical="center" wrapText="1"/>
      <protection locked="0"/>
    </xf>
    <xf numFmtId="49" fontId="6" fillId="0" borderId="6" xfId="0" applyNumberFormat="1" applyFont="1" applyFill="1" applyBorder="1" applyAlignment="1" applyProtection="1">
      <alignment vertical="center" wrapText="1"/>
      <protection locked="0"/>
    </xf>
    <xf numFmtId="49" fontId="6" fillId="0" borderId="9" xfId="0" applyNumberFormat="1" applyFont="1" applyFill="1" applyBorder="1" applyAlignment="1" applyProtection="1">
      <alignment vertical="center" wrapText="1"/>
      <protection locked="0"/>
    </xf>
    <xf numFmtId="49" fontId="6" fillId="0" borderId="15" xfId="0" applyNumberFormat="1" applyFont="1" applyFill="1" applyBorder="1" applyAlignment="1" applyProtection="1">
      <alignment vertical="center" wrapText="1"/>
      <protection locked="0"/>
    </xf>
    <xf numFmtId="49" fontId="6" fillId="32" borderId="6" xfId="0" applyNumberFormat="1" applyFont="1" applyFill="1" applyBorder="1" applyAlignment="1" applyProtection="1">
      <alignment horizontal="center" vertical="center" wrapText="1"/>
      <protection locked="0"/>
    </xf>
    <xf numFmtId="49" fontId="6" fillId="32" borderId="9" xfId="0" applyNumberFormat="1" applyFont="1" applyFill="1" applyBorder="1" applyAlignment="1" applyProtection="1">
      <alignment horizontal="center" vertical="center" wrapText="1"/>
      <protection locked="0"/>
    </xf>
    <xf numFmtId="49" fontId="6" fillId="32" borderId="15" xfId="0" applyNumberFormat="1" applyFont="1" applyFill="1" applyBorder="1" applyAlignment="1" applyProtection="1">
      <alignment horizontal="center" vertical="center" wrapText="1"/>
      <protection locked="0"/>
    </xf>
    <xf numFmtId="49" fontId="6" fillId="34" borderId="6" xfId="0" applyNumberFormat="1" applyFont="1" applyFill="1" applyBorder="1" applyAlignment="1" applyProtection="1">
      <alignment horizontal="center" vertical="center" wrapText="1"/>
      <protection locked="0"/>
    </xf>
    <xf numFmtId="49" fontId="6" fillId="0" borderId="6" xfId="0" applyNumberFormat="1" applyFont="1" applyFill="1" applyBorder="1" applyAlignment="1" applyProtection="1">
      <alignment horizontal="center" vertical="center" wrapText="1"/>
      <protection locked="0"/>
    </xf>
    <xf numFmtId="49" fontId="6" fillId="0" borderId="9" xfId="0" applyNumberFormat="1" applyFont="1" applyFill="1" applyBorder="1" applyAlignment="1" applyProtection="1">
      <alignment horizontal="center" vertical="center" wrapText="1"/>
      <protection locked="0"/>
    </xf>
    <xf numFmtId="49" fontId="6" fillId="0" borderId="15" xfId="0" applyNumberFormat="1" applyFont="1" applyFill="1" applyBorder="1" applyAlignment="1" applyProtection="1">
      <alignment horizontal="center" vertical="center" wrapText="1"/>
      <protection locked="0"/>
    </xf>
    <xf numFmtId="0" fontId="58" fillId="14" borderId="0" xfId="0" applyFont="1" applyFill="1" applyBorder="1" applyAlignment="1" applyProtection="1">
      <alignment horizontal="left" vertical="center" shrinkToFit="1"/>
    </xf>
    <xf numFmtId="0" fontId="13" fillId="14" borderId="0" xfId="0" applyFont="1" applyFill="1" applyBorder="1" applyAlignment="1" applyProtection="1">
      <alignment horizontal="left" vertical="center" shrinkToFit="1"/>
    </xf>
    <xf numFmtId="0" fontId="8" fillId="14" borderId="0" xfId="0" applyFont="1" applyFill="1" applyBorder="1" applyAlignment="1" applyProtection="1">
      <alignment horizontal="left" vertical="center" shrinkToFit="1"/>
    </xf>
    <xf numFmtId="0" fontId="8" fillId="14" borderId="0" xfId="0" applyFont="1" applyFill="1" applyBorder="1" applyAlignment="1" applyProtection="1">
      <alignment horizontal="left" vertical="center" wrapText="1"/>
    </xf>
    <xf numFmtId="0" fontId="8" fillId="0" borderId="0" xfId="0" applyFont="1" applyBorder="1" applyAlignment="1" applyProtection="1">
      <alignment horizontal="left" vertical="center" shrinkToFit="1"/>
    </xf>
    <xf numFmtId="0" fontId="58" fillId="0" borderId="0" xfId="0" applyFont="1" applyBorder="1" applyAlignment="1" applyProtection="1">
      <alignment horizontal="left" vertical="center" shrinkToFit="1"/>
    </xf>
    <xf numFmtId="0" fontId="8" fillId="0" borderId="0" xfId="0" applyFont="1" applyFill="1" applyBorder="1" applyAlignment="1" applyProtection="1">
      <alignment horizontal="left" vertical="center" shrinkToFit="1"/>
    </xf>
    <xf numFmtId="0" fontId="40" fillId="12" borderId="0" xfId="74" applyFill="1" applyBorder="1" applyAlignment="1">
      <alignment horizontal="center"/>
    </xf>
    <xf numFmtId="0" fontId="4" fillId="0" borderId="3" xfId="0" applyFont="1" applyFill="1" applyBorder="1" applyAlignment="1">
      <alignment horizontal="center" vertical="center" wrapText="1"/>
    </xf>
    <xf numFmtId="0" fontId="3" fillId="0" borderId="0" xfId="0" applyFont="1" applyBorder="1" applyAlignment="1">
      <alignment horizontal="left" vertical="center" wrapText="1"/>
    </xf>
    <xf numFmtId="0" fontId="3" fillId="0" borderId="0" xfId="0" applyFont="1" applyAlignment="1">
      <alignment horizontal="left" vertical="top" wrapText="1"/>
    </xf>
    <xf numFmtId="0" fontId="6" fillId="0" borderId="0" xfId="0" applyFont="1" applyAlignment="1">
      <alignment horizontal="left" vertical="top" wrapText="1"/>
    </xf>
    <xf numFmtId="0" fontId="0" fillId="0" borderId="0" xfId="0" applyAlignment="1">
      <alignment vertical="center" wrapText="1"/>
    </xf>
    <xf numFmtId="0" fontId="3" fillId="0" borderId="0" xfId="0" applyFont="1" applyAlignment="1">
      <alignment vertical="center" wrapText="1"/>
    </xf>
    <xf numFmtId="0" fontId="6" fillId="0" borderId="0" xfId="0" applyFont="1" applyAlignment="1">
      <alignment vertical="center" wrapText="1"/>
    </xf>
    <xf numFmtId="0" fontId="39" fillId="24" borderId="1" xfId="39" applyNumberFormat="1" applyFont="1" applyBorder="1" applyAlignment="1">
      <alignment horizontal="center" vertical="center" wrapText="1"/>
    </xf>
    <xf numFmtId="0" fontId="29" fillId="20" borderId="6" xfId="6" applyNumberFormat="1" applyFont="1" applyBorder="1" applyAlignment="1" applyProtection="1">
      <alignment horizontal="center" vertical="center" wrapText="1"/>
      <protection locked="0"/>
    </xf>
    <xf numFmtId="0" fontId="29" fillId="20" borderId="15" xfId="6" applyNumberFormat="1" applyFont="1" applyBorder="1" applyAlignment="1" applyProtection="1">
      <alignment horizontal="center" vertical="center" wrapText="1"/>
      <protection locked="0"/>
    </xf>
  </cellXfs>
  <cellStyles count="84">
    <cellStyle name="20% - Accent1" xfId="1" builtinId="30"/>
    <cellStyle name="20% - Accent2" xfId="2" builtinId="34"/>
    <cellStyle name="20% - Accent3" xfId="3" builtinId="38"/>
    <cellStyle name="20% - Accent6" xfId="4" builtinId="50"/>
    <cellStyle name="40% - Accent6" xfId="5" builtinId="51"/>
    <cellStyle name="Accent1" xfId="6" builtinId="29"/>
    <cellStyle name="Accent2" xfId="7" builtinId="33"/>
    <cellStyle name="Accent3" xfId="8" builtinId="37"/>
    <cellStyle name="Accent6" xfId="9" builtinId="49"/>
    <cellStyle name="CA style" xfId="10" xr:uid="{00000000-0005-0000-0000-000009000000}"/>
    <cellStyle name="Calculation" xfId="11" builtinId="22"/>
    <cellStyle name="Calculation 2" xfId="12" xr:uid="{00000000-0005-0000-0000-00000B000000}"/>
    <cellStyle name="Check Cell 2" xfId="13" xr:uid="{00000000-0005-0000-0000-00000C000000}"/>
    <cellStyle name="entry" xfId="14" xr:uid="{00000000-0005-0000-0000-00000D000000}"/>
    <cellStyle name="entry 2" xfId="15" xr:uid="{00000000-0005-0000-0000-00000E000000}"/>
    <cellStyle name="entry 2 2" xfId="16" xr:uid="{00000000-0005-0000-0000-00000F000000}"/>
    <cellStyle name="entry 3" xfId="17" xr:uid="{00000000-0005-0000-0000-000010000000}"/>
    <cellStyle name="entry 3 2" xfId="18" xr:uid="{00000000-0005-0000-0000-000011000000}"/>
    <cellStyle name="entry 4" xfId="19" xr:uid="{00000000-0005-0000-0000-000012000000}"/>
    <cellStyle name="entry 5" xfId="20" xr:uid="{00000000-0005-0000-0000-000013000000}"/>
    <cellStyle name="Heading 4" xfId="21" builtinId="19"/>
    <cellStyle name="Hyperlink" xfId="22" builtinId="8"/>
    <cellStyle name="Hyperlink 2" xfId="23" xr:uid="{00000000-0005-0000-0000-000016000000}"/>
    <cellStyle name="Inconsistent style" xfId="24" xr:uid="{00000000-0005-0000-0000-000017000000}"/>
    <cellStyle name="Inconsistent style 2" xfId="25" xr:uid="{00000000-0005-0000-0000-000018000000}"/>
    <cellStyle name="Inconsistent style 2 2" xfId="26" xr:uid="{00000000-0005-0000-0000-000019000000}"/>
    <cellStyle name="Inconsistent style 3" xfId="27" xr:uid="{00000000-0005-0000-0000-00001A000000}"/>
    <cellStyle name="Input" xfId="28" builtinId="20"/>
    <cellStyle name="NA style" xfId="29" xr:uid="{00000000-0005-0000-0000-00001C000000}"/>
    <cellStyle name="NOK style" xfId="30" xr:uid="{00000000-0005-0000-0000-00001D000000}"/>
    <cellStyle name="Normal" xfId="0" builtinId="0"/>
    <cellStyle name="Normal 2" xfId="31" xr:uid="{00000000-0005-0000-0000-00001F000000}"/>
    <cellStyle name="Normal 2 2" xfId="32" xr:uid="{00000000-0005-0000-0000-000020000000}"/>
    <cellStyle name="Normal 3" xfId="33" xr:uid="{00000000-0005-0000-0000-000021000000}"/>
    <cellStyle name="Normal 3 2" xfId="34" xr:uid="{00000000-0005-0000-0000-000022000000}"/>
    <cellStyle name="Normal 4" xfId="35" xr:uid="{00000000-0005-0000-0000-000023000000}"/>
    <cellStyle name="Normal 5" xfId="36" xr:uid="{00000000-0005-0000-0000-000024000000}"/>
    <cellStyle name="Normal 6" xfId="37" xr:uid="{00000000-0005-0000-0000-000025000000}"/>
    <cellStyle name="OK style" xfId="38" xr:uid="{00000000-0005-0000-0000-000026000000}"/>
    <cellStyle name="Output 2" xfId="39" xr:uid="{00000000-0005-0000-0000-000027000000}"/>
    <cellStyle name="para" xfId="40" xr:uid="{00000000-0005-0000-0000-000028000000}"/>
    <cellStyle name="para 2" xfId="41" xr:uid="{00000000-0005-0000-0000-000029000000}"/>
    <cellStyle name="Percent" xfId="42" builtinId="5" customBuiltin="1"/>
    <cellStyle name="Percent 2" xfId="43" xr:uid="{00000000-0005-0000-0000-00002B000000}"/>
    <cellStyle name="sect" xfId="44" xr:uid="{00000000-0005-0000-0000-00002C000000}"/>
    <cellStyle name="sect1" xfId="45" xr:uid="{00000000-0005-0000-0000-00002D000000}"/>
    <cellStyle name="sect2" xfId="46" xr:uid="{00000000-0005-0000-0000-00002E000000}"/>
    <cellStyle name="sect3" xfId="47" xr:uid="{00000000-0005-0000-0000-00002F000000}"/>
    <cellStyle name="sect4" xfId="48" xr:uid="{00000000-0005-0000-0000-000030000000}"/>
    <cellStyle name="sect4 2" xfId="49" xr:uid="{00000000-0005-0000-0000-000031000000}"/>
    <cellStyle name="sect4 2 2" xfId="50" xr:uid="{00000000-0005-0000-0000-000032000000}"/>
    <cellStyle name="sect4 3" xfId="51" xr:uid="{00000000-0005-0000-0000-000033000000}"/>
    <cellStyle name="sect5" xfId="52" xr:uid="{00000000-0005-0000-0000-000034000000}"/>
    <cellStyle name="sect5 2" xfId="53" xr:uid="{00000000-0005-0000-0000-000035000000}"/>
    <cellStyle name="sect5 2 2" xfId="54" xr:uid="{00000000-0005-0000-0000-000036000000}"/>
    <cellStyle name="sect5 3" xfId="55" xr:uid="{00000000-0005-0000-0000-000037000000}"/>
    <cellStyle name="sect6" xfId="56" xr:uid="{00000000-0005-0000-0000-000038000000}"/>
    <cellStyle name="sect6 2" xfId="57" xr:uid="{00000000-0005-0000-0000-000039000000}"/>
    <cellStyle name="sect6 2 2" xfId="58" xr:uid="{00000000-0005-0000-0000-00003A000000}"/>
    <cellStyle name="sect6 3" xfId="59" xr:uid="{00000000-0005-0000-0000-00003B000000}"/>
    <cellStyle name="sect7" xfId="60" xr:uid="{00000000-0005-0000-0000-00003C000000}"/>
    <cellStyle name="sect7 2" xfId="61" xr:uid="{00000000-0005-0000-0000-00003D000000}"/>
    <cellStyle name="sect7 2 2" xfId="62" xr:uid="{00000000-0005-0000-0000-00003E000000}"/>
    <cellStyle name="sect7 3" xfId="63" xr:uid="{00000000-0005-0000-0000-00003F000000}"/>
    <cellStyle name="sect8" xfId="64" xr:uid="{00000000-0005-0000-0000-000040000000}"/>
    <cellStyle name="sect8 2" xfId="65" xr:uid="{00000000-0005-0000-0000-000041000000}"/>
    <cellStyle name="sect8 2 2" xfId="66" xr:uid="{00000000-0005-0000-0000-000042000000}"/>
    <cellStyle name="sect8 3" xfId="67" xr:uid="{00000000-0005-0000-0000-000043000000}"/>
    <cellStyle name="sect9" xfId="68" xr:uid="{00000000-0005-0000-0000-000044000000}"/>
    <cellStyle name="sect9 2" xfId="69" xr:uid="{00000000-0005-0000-0000-000045000000}"/>
    <cellStyle name="sect9 2 2" xfId="70" xr:uid="{00000000-0005-0000-0000-000046000000}"/>
    <cellStyle name="sect9 3" xfId="71" xr:uid="{00000000-0005-0000-0000-000047000000}"/>
    <cellStyle name="tableTitle" xfId="72" xr:uid="{00000000-0005-0000-0000-000048000000}"/>
    <cellStyle name="Tested Previously" xfId="73" xr:uid="{00000000-0005-0000-0000-000049000000}"/>
    <cellStyle name="Title" xfId="74" builtinId="15"/>
    <cellStyle name="title 2" xfId="75" xr:uid="{00000000-0005-0000-0000-00004B000000}"/>
    <cellStyle name="Warning Text" xfId="76" builtinId="11"/>
    <cellStyle name="Without format but centered" xfId="77" xr:uid="{00000000-0005-0000-0000-00004D000000}"/>
    <cellStyle name="Without format but centered 2" xfId="78" xr:uid="{00000000-0005-0000-0000-00004E000000}"/>
    <cellStyle name="Without format but centered 2 2" xfId="79" xr:uid="{00000000-0005-0000-0000-00004F000000}"/>
    <cellStyle name="Without format but centered 3" xfId="80" xr:uid="{00000000-0005-0000-0000-000050000000}"/>
    <cellStyle name="Without format but centered 3 2" xfId="81" xr:uid="{00000000-0005-0000-0000-000051000000}"/>
    <cellStyle name="Without format but centered 4" xfId="82" xr:uid="{00000000-0005-0000-0000-000052000000}"/>
    <cellStyle name="Without format but centered 5" xfId="83" xr:uid="{00000000-0005-0000-0000-00005300000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883761785800629"/>
          <c:y val="0.17491688276238571"/>
          <c:w val="0.35172964756035097"/>
          <c:h val="0.61069598645896095"/>
        </c:manualLayout>
      </c:layout>
      <c:pieChart>
        <c:varyColors val="1"/>
        <c:ser>
          <c:idx val="1"/>
          <c:order val="0"/>
          <c:tx>
            <c:strRef>
              <c:f>Statistics!$A$30</c:f>
              <c:strCache>
                <c:ptCount val="1"/>
                <c:pt idx="0">
                  <c:v>Unit Tests Status</c:v>
                </c:pt>
              </c:strCache>
            </c:strRef>
          </c:tx>
          <c:dPt>
            <c:idx val="0"/>
            <c:bubble3D val="0"/>
            <c:spPr>
              <a:solidFill>
                <a:srgbClr val="00B050"/>
              </a:solidFill>
            </c:spPr>
            <c:extLst>
              <c:ext xmlns:c16="http://schemas.microsoft.com/office/drawing/2014/chart" uri="{C3380CC4-5D6E-409C-BE32-E72D297353CC}">
                <c16:uniqueId val="{0000001C-C123-4A7A-9361-46C615AF7343}"/>
              </c:ext>
            </c:extLst>
          </c:dPt>
          <c:dPt>
            <c:idx val="1"/>
            <c:bubble3D val="0"/>
            <c:spPr>
              <a:solidFill>
                <a:srgbClr val="00B0F0"/>
              </a:solidFill>
            </c:spPr>
            <c:extLst>
              <c:ext xmlns:c16="http://schemas.microsoft.com/office/drawing/2014/chart" uri="{C3380CC4-5D6E-409C-BE32-E72D297353CC}">
                <c16:uniqueId val="{0000001D-C123-4A7A-9361-46C615AF7343}"/>
              </c:ext>
            </c:extLst>
          </c:dPt>
          <c:dPt>
            <c:idx val="2"/>
            <c:bubble3D val="0"/>
            <c:spPr>
              <a:solidFill>
                <a:srgbClr val="FF0000"/>
              </a:solidFill>
            </c:spPr>
            <c:extLst>
              <c:ext xmlns:c16="http://schemas.microsoft.com/office/drawing/2014/chart" uri="{C3380CC4-5D6E-409C-BE32-E72D297353CC}">
                <c16:uniqueId val="{0000001E-C123-4A7A-9361-46C615AF7343}"/>
              </c:ext>
            </c:extLst>
          </c:dPt>
          <c:dPt>
            <c:idx val="3"/>
            <c:bubble3D val="0"/>
            <c:spPr>
              <a:solidFill>
                <a:schemeClr val="accent6">
                  <a:lumMod val="75000"/>
                </a:schemeClr>
              </a:solidFill>
            </c:spPr>
            <c:extLst>
              <c:ext xmlns:c16="http://schemas.microsoft.com/office/drawing/2014/chart" uri="{C3380CC4-5D6E-409C-BE32-E72D297353CC}">
                <c16:uniqueId val="{0000001F-C123-4A7A-9361-46C615AF7343}"/>
              </c:ext>
            </c:extLst>
          </c:dPt>
          <c:dPt>
            <c:idx val="4"/>
            <c:bubble3D val="0"/>
            <c:spPr>
              <a:solidFill>
                <a:schemeClr val="accent6">
                  <a:lumMod val="50000"/>
                </a:schemeClr>
              </a:solidFill>
            </c:spPr>
            <c:extLst>
              <c:ext xmlns:c16="http://schemas.microsoft.com/office/drawing/2014/chart" uri="{C3380CC4-5D6E-409C-BE32-E72D297353CC}">
                <c16:uniqueId val="{00000020-C123-4A7A-9361-46C615AF7343}"/>
              </c:ext>
            </c:extLst>
          </c:dPt>
          <c:dPt>
            <c:idx val="5"/>
            <c:bubble3D val="0"/>
            <c:spPr>
              <a:solidFill>
                <a:srgbClr val="FFFF00"/>
              </a:solidFill>
            </c:spPr>
            <c:extLst>
              <c:ext xmlns:c16="http://schemas.microsoft.com/office/drawing/2014/chart" uri="{C3380CC4-5D6E-409C-BE32-E72D297353CC}">
                <c16:uniqueId val="{00000021-C123-4A7A-9361-46C615AF7343}"/>
              </c:ext>
            </c:extLst>
          </c:dPt>
          <c:dLbls>
            <c:spPr>
              <a:noFill/>
              <a:ln>
                <a:noFill/>
              </a:ln>
              <a:effectLst/>
            </c:spPr>
            <c:dLblPos val="inEnd"/>
            <c:showLegendKey val="0"/>
            <c:showVal val="1"/>
            <c:showCatName val="0"/>
            <c:showSerName val="0"/>
            <c:showPercent val="1"/>
            <c:showBubbleSize val="0"/>
            <c:showLeaderLines val="1"/>
            <c:extLst>
              <c:ext xmlns:c15="http://schemas.microsoft.com/office/drawing/2012/chart" uri="{CE6537A1-D6FC-4f65-9D91-7224C49458BB}"/>
            </c:extLst>
          </c:dLbls>
          <c:cat>
            <c:strRef>
              <c:f>Statistics!$A$32:$A$37</c:f>
              <c:strCache>
                <c:ptCount val="3"/>
                <c:pt idx="0">
                  <c:v>Integration Test Specification and Test Result are available</c:v>
                </c:pt>
                <c:pt idx="1">
                  <c:v>Integration Test Specification is available but Test Result is not available</c:v>
                </c:pt>
                <c:pt idx="2">
                  <c:v>Integration Test Specification and Test Result are not available</c:v>
                </c:pt>
              </c:strCache>
            </c:strRef>
          </c:cat>
          <c:val>
            <c:numRef>
              <c:f>Statistics!$B$32:$B$37</c:f>
              <c:numCache>
                <c:formatCode>General</c:formatCode>
                <c:ptCount val="6"/>
                <c:pt idx="0">
                  <c:v>0</c:v>
                </c:pt>
                <c:pt idx="1">
                  <c:v>0</c:v>
                </c:pt>
                <c:pt idx="2" formatCode="0">
                  <c:v>0</c:v>
                </c:pt>
              </c:numCache>
            </c:numRef>
          </c:val>
          <c:extLst>
            <c:ext xmlns:c16="http://schemas.microsoft.com/office/drawing/2014/chart" uri="{C3380CC4-5D6E-409C-BE32-E72D297353CC}">
              <c16:uniqueId val="{0000001B-C123-4A7A-9361-46C615AF7343}"/>
            </c:ext>
          </c:extLst>
        </c:ser>
        <c:dLbls>
          <c:dLblPos val="inEnd"/>
          <c:showLegendKey val="0"/>
          <c:showVal val="0"/>
          <c:showCatName val="0"/>
          <c:showSerName val="0"/>
          <c:showPercent val="1"/>
          <c:showBubbleSize val="0"/>
          <c:showLeaderLines val="1"/>
        </c:dLbls>
        <c:firstSliceAng val="0"/>
      </c:pieChart>
      <c:spPr>
        <a:ln>
          <a:noFill/>
        </a:ln>
      </c:spPr>
    </c:plotArea>
    <c:legend>
      <c:legendPos val="b"/>
      <c:legendEntry>
        <c:idx val="3"/>
        <c:delete val="1"/>
      </c:legendEntry>
      <c:legendEntry>
        <c:idx val="4"/>
        <c:delete val="1"/>
      </c:legendEntry>
      <c:legendEntry>
        <c:idx val="5"/>
        <c:delete val="1"/>
      </c:legendEntry>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0636979166666667"/>
          <c:y val="0.24676805555555556"/>
          <c:w val="0.37844114583333333"/>
          <c:h val="0.6055058333333333"/>
        </c:manualLayout>
      </c:layout>
      <c:pieChart>
        <c:varyColors val="1"/>
        <c:ser>
          <c:idx val="1"/>
          <c:order val="0"/>
          <c:tx>
            <c:strRef>
              <c:f>Statistics!$F$11</c:f>
              <c:strCache>
                <c:ptCount val="1"/>
                <c:pt idx="0">
                  <c:v>Detailed Design Traceability to Lower Level(Code Implementation)</c:v>
                </c:pt>
              </c:strCache>
            </c:strRef>
          </c:tx>
          <c:dLbls>
            <c:spPr>
              <a:noFill/>
              <a:ln>
                <a:noFill/>
              </a:ln>
              <a:effectLst/>
            </c:spPr>
            <c:dLblPos val="inEnd"/>
            <c:showLegendKey val="0"/>
            <c:showVal val="1"/>
            <c:showCatName val="0"/>
            <c:showSerName val="0"/>
            <c:showPercent val="1"/>
            <c:showBubbleSize val="0"/>
            <c:showLeaderLines val="1"/>
            <c:extLst>
              <c:ext xmlns:c15="http://schemas.microsoft.com/office/drawing/2012/chart" uri="{CE6537A1-D6FC-4f65-9D91-7224C49458BB}"/>
            </c:extLst>
          </c:dLbls>
          <c:cat>
            <c:strRef>
              <c:f>Statistics!$F$13:$F$14</c:f>
              <c:strCache>
                <c:ptCount val="2"/>
                <c:pt idx="0">
                  <c:v>Implemented</c:v>
                </c:pt>
                <c:pt idx="1">
                  <c:v>Not implemented</c:v>
                </c:pt>
              </c:strCache>
            </c:strRef>
          </c:cat>
          <c:val>
            <c:numRef>
              <c:f>Statistics!$G$13:$G$14</c:f>
              <c:numCache>
                <c:formatCode>0</c:formatCode>
                <c:ptCount val="2"/>
                <c:pt idx="0" formatCode="General">
                  <c:v>0</c:v>
                </c:pt>
                <c:pt idx="1">
                  <c:v>0</c:v>
                </c:pt>
              </c:numCache>
            </c:numRef>
          </c:val>
          <c:extLst>
            <c:ext xmlns:c16="http://schemas.microsoft.com/office/drawing/2014/chart" uri="{C3380CC4-5D6E-409C-BE32-E72D297353CC}">
              <c16:uniqueId val="{00000009-667A-432E-8DB8-54874399DB44}"/>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495850694444444"/>
          <c:y val="0.22560138888888889"/>
          <c:w val="0.3833123263888889"/>
          <c:h val="0.61329972222222218"/>
        </c:manualLayout>
      </c:layout>
      <c:pieChart>
        <c:varyColors val="1"/>
        <c:ser>
          <c:idx val="1"/>
          <c:order val="0"/>
          <c:tx>
            <c:strRef>
              <c:f>Statistics!$A$11</c:f>
              <c:strCache>
                <c:ptCount val="1"/>
                <c:pt idx="0">
                  <c:v>Detailed Design Traceability to Upper Level(Software Architecture)</c:v>
                </c:pt>
              </c:strCache>
            </c:strRef>
          </c:tx>
          <c:dLbls>
            <c:spPr>
              <a:noFill/>
              <a:ln>
                <a:noFill/>
              </a:ln>
              <a:effectLst/>
            </c:spPr>
            <c:dLblPos val="inEnd"/>
            <c:showLegendKey val="0"/>
            <c:showVal val="1"/>
            <c:showCatName val="0"/>
            <c:showSerName val="0"/>
            <c:showPercent val="1"/>
            <c:showBubbleSize val="0"/>
            <c:showLeaderLines val="1"/>
            <c:extLst>
              <c:ext xmlns:c15="http://schemas.microsoft.com/office/drawing/2012/chart" uri="{CE6537A1-D6FC-4f65-9D91-7224C49458BB}"/>
            </c:extLst>
          </c:dLbls>
          <c:cat>
            <c:strRef>
              <c:f>Statistics!$A$13:$A$14</c:f>
              <c:strCache>
                <c:ptCount val="2"/>
                <c:pt idx="0">
                  <c:v>No. of Design Requirements that are Implementing a Software Architecture Requirement</c:v>
                </c:pt>
                <c:pt idx="1">
                  <c:v>No. of Design Requirements that are not covering a Software Architecture Requirement</c:v>
                </c:pt>
              </c:strCache>
            </c:strRef>
          </c:cat>
          <c:val>
            <c:numRef>
              <c:f>Statistics!$B$13:$B$14</c:f>
              <c:numCache>
                <c:formatCode>0</c:formatCode>
                <c:ptCount val="2"/>
                <c:pt idx="0" formatCode="General">
                  <c:v>0</c:v>
                </c:pt>
                <c:pt idx="1">
                  <c:v>0</c:v>
                </c:pt>
              </c:numCache>
            </c:numRef>
          </c:val>
          <c:extLst>
            <c:ext xmlns:c16="http://schemas.microsoft.com/office/drawing/2014/chart" uri="{C3380CC4-5D6E-409C-BE32-E72D297353CC}">
              <c16:uniqueId val="{00000009-AACA-468F-A061-7537BB9E23A4}"/>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706374405673304"/>
          <c:y val="0.27386142227462867"/>
          <c:w val="0.35673108227899103"/>
          <c:h val="0.62139251523063532"/>
        </c:manualLayout>
      </c:layout>
      <c:pieChart>
        <c:varyColors val="1"/>
        <c:ser>
          <c:idx val="1"/>
          <c:order val="0"/>
          <c:tx>
            <c:strRef>
              <c:f>Statistics!$A$47</c:f>
              <c:strCache>
                <c:ptCount val="1"/>
                <c:pt idx="0">
                  <c:v>Unit Tests Results</c:v>
                </c:pt>
              </c:strCache>
            </c:strRef>
          </c:tx>
          <c:dPt>
            <c:idx val="0"/>
            <c:bubble3D val="0"/>
            <c:spPr>
              <a:solidFill>
                <a:srgbClr val="00B050"/>
              </a:solidFill>
            </c:spPr>
            <c:extLst>
              <c:ext xmlns:c16="http://schemas.microsoft.com/office/drawing/2014/chart" uri="{C3380CC4-5D6E-409C-BE32-E72D297353CC}">
                <c16:uniqueId val="{0000001C-C123-4A7A-9361-46C615AF7343}"/>
              </c:ext>
            </c:extLst>
          </c:dPt>
          <c:dPt>
            <c:idx val="1"/>
            <c:bubble3D val="0"/>
            <c:spPr>
              <a:solidFill>
                <a:srgbClr val="00B0F0"/>
              </a:solidFill>
            </c:spPr>
            <c:extLst>
              <c:ext xmlns:c16="http://schemas.microsoft.com/office/drawing/2014/chart" uri="{C3380CC4-5D6E-409C-BE32-E72D297353CC}">
                <c16:uniqueId val="{0000001D-C123-4A7A-9361-46C615AF7343}"/>
              </c:ext>
            </c:extLst>
          </c:dPt>
          <c:dPt>
            <c:idx val="2"/>
            <c:bubble3D val="0"/>
            <c:spPr>
              <a:solidFill>
                <a:srgbClr val="FF0000"/>
              </a:solidFill>
            </c:spPr>
            <c:extLst>
              <c:ext xmlns:c16="http://schemas.microsoft.com/office/drawing/2014/chart" uri="{C3380CC4-5D6E-409C-BE32-E72D297353CC}">
                <c16:uniqueId val="{0000001E-C123-4A7A-9361-46C615AF7343}"/>
              </c:ext>
            </c:extLst>
          </c:dPt>
          <c:dPt>
            <c:idx val="3"/>
            <c:bubble3D val="0"/>
            <c:spPr>
              <a:solidFill>
                <a:schemeClr val="accent6">
                  <a:lumMod val="75000"/>
                </a:schemeClr>
              </a:solidFill>
            </c:spPr>
            <c:extLst>
              <c:ext xmlns:c16="http://schemas.microsoft.com/office/drawing/2014/chart" uri="{C3380CC4-5D6E-409C-BE32-E72D297353CC}">
                <c16:uniqueId val="{0000001F-C123-4A7A-9361-46C615AF7343}"/>
              </c:ext>
            </c:extLst>
          </c:dPt>
          <c:dPt>
            <c:idx val="4"/>
            <c:bubble3D val="0"/>
            <c:spPr>
              <a:solidFill>
                <a:schemeClr val="accent6">
                  <a:lumMod val="50000"/>
                </a:schemeClr>
              </a:solidFill>
            </c:spPr>
            <c:extLst>
              <c:ext xmlns:c16="http://schemas.microsoft.com/office/drawing/2014/chart" uri="{C3380CC4-5D6E-409C-BE32-E72D297353CC}">
                <c16:uniqueId val="{00000020-C123-4A7A-9361-46C615AF7343}"/>
              </c:ext>
            </c:extLst>
          </c:dPt>
          <c:dPt>
            <c:idx val="5"/>
            <c:bubble3D val="0"/>
            <c:spPr>
              <a:solidFill>
                <a:srgbClr val="FFFF00"/>
              </a:solidFill>
            </c:spPr>
            <c:extLst>
              <c:ext xmlns:c16="http://schemas.microsoft.com/office/drawing/2014/chart" uri="{C3380CC4-5D6E-409C-BE32-E72D297353CC}">
                <c16:uniqueId val="{00000021-C123-4A7A-9361-46C615AF7343}"/>
              </c:ext>
            </c:extLst>
          </c:dPt>
          <c:dLbls>
            <c:spPr>
              <a:noFill/>
              <a:ln>
                <a:noFill/>
              </a:ln>
              <a:effectLst/>
            </c:spPr>
            <c:dLblPos val="inEnd"/>
            <c:showLegendKey val="0"/>
            <c:showVal val="1"/>
            <c:showCatName val="0"/>
            <c:showSerName val="0"/>
            <c:showPercent val="1"/>
            <c:showBubbleSize val="0"/>
            <c:showLeaderLines val="1"/>
            <c:extLst>
              <c:ext xmlns:c15="http://schemas.microsoft.com/office/drawing/2012/chart" uri="{CE6537A1-D6FC-4f65-9D91-7224C49458BB}"/>
            </c:extLst>
          </c:dLbls>
          <c:cat>
            <c:strRef>
              <c:f>Statistics!$A$49:$A$51</c:f>
              <c:strCache>
                <c:ptCount val="3"/>
                <c:pt idx="0">
                  <c:v>Passed</c:v>
                </c:pt>
                <c:pt idx="1">
                  <c:v>Failed</c:v>
                </c:pt>
                <c:pt idx="2">
                  <c:v>Not Tested</c:v>
                </c:pt>
              </c:strCache>
            </c:strRef>
          </c:cat>
          <c:val>
            <c:numRef>
              <c:f>Statistics!$B$49:$B$51</c:f>
              <c:numCache>
                <c:formatCode>General</c:formatCode>
                <c:ptCount val="3"/>
                <c:pt idx="0">
                  <c:v>0</c:v>
                </c:pt>
                <c:pt idx="1">
                  <c:v>0</c:v>
                </c:pt>
                <c:pt idx="2" formatCode="0">
                  <c:v>0</c:v>
                </c:pt>
              </c:numCache>
            </c:numRef>
          </c:val>
          <c:extLst>
            <c:ext xmlns:c16="http://schemas.microsoft.com/office/drawing/2014/chart" uri="{C3380CC4-5D6E-409C-BE32-E72D297353CC}">
              <c16:uniqueId val="{0000001B-C123-4A7A-9361-46C615AF7343}"/>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459" name="Picture 12">
          <a:extLst>
            <a:ext uri="{FF2B5EF4-FFF2-40B4-BE49-F238E27FC236}">
              <a16:creationId xmlns:a16="http://schemas.microsoft.com/office/drawing/2014/main" id="{00000000-0008-0000-0000-0000B30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460" name="Picture 13">
          <a:extLst>
            <a:ext uri="{FF2B5EF4-FFF2-40B4-BE49-F238E27FC236}">
              <a16:creationId xmlns:a16="http://schemas.microsoft.com/office/drawing/2014/main" id="{00000000-0008-0000-0000-0000B405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813" name="Picture 1">
          <a:extLst>
            <a:ext uri="{FF2B5EF4-FFF2-40B4-BE49-F238E27FC236}">
              <a16:creationId xmlns:a16="http://schemas.microsoft.com/office/drawing/2014/main" id="{00000000-0008-0000-0100-0000C53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814" name="Picture 2">
          <a:extLst>
            <a:ext uri="{FF2B5EF4-FFF2-40B4-BE49-F238E27FC236}">
              <a16:creationId xmlns:a16="http://schemas.microsoft.com/office/drawing/2014/main" id="{00000000-0008-0000-0100-0000C63D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38100</xdr:rowOff>
        </xdr:from>
        <xdr:to>
          <xdr:col>2</xdr:col>
          <xdr:colOff>171450</xdr:colOff>
          <xdr:row>0</xdr:row>
          <xdr:rowOff>400050</xdr:rowOff>
        </xdr:to>
        <xdr:sp macro="" textlink="">
          <xdr:nvSpPr>
            <xdr:cNvPr id="19457" name="UpdateStatisticsButton"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0</xdr:row>
          <xdr:rowOff>38100</xdr:rowOff>
        </xdr:from>
        <xdr:to>
          <xdr:col>3</xdr:col>
          <xdr:colOff>742950</xdr:colOff>
          <xdr:row>0</xdr:row>
          <xdr:rowOff>400050</xdr:rowOff>
        </xdr:to>
        <xdr:sp macro="" textlink="">
          <xdr:nvSpPr>
            <xdr:cNvPr id="19458" name="ImportArchMButton"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981075</xdr:colOff>
          <xdr:row>0</xdr:row>
          <xdr:rowOff>47625</xdr:rowOff>
        </xdr:from>
        <xdr:to>
          <xdr:col>5</xdr:col>
          <xdr:colOff>723900</xdr:colOff>
          <xdr:row>0</xdr:row>
          <xdr:rowOff>390525</xdr:rowOff>
        </xdr:to>
        <xdr:sp macro="" textlink="">
          <xdr:nvSpPr>
            <xdr:cNvPr id="19459" name="Button 3" descr="Generate List of Incomplete Architecture Elements"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List of Incomplete DesignElements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twoCellAnchor>
    <xdr:from>
      <xdr:col>5</xdr:col>
      <xdr:colOff>650875</xdr:colOff>
      <xdr:row>29</xdr:row>
      <xdr:rowOff>174625</xdr:rowOff>
    </xdr:from>
    <xdr:to>
      <xdr:col>12</xdr:col>
      <xdr:colOff>391075</xdr:colOff>
      <xdr:row>45</xdr:row>
      <xdr:rowOff>2725</xdr:rowOff>
    </xdr:to>
    <xdr:graphicFrame macro="">
      <xdr:nvGraphicFramePr>
        <xdr:cNvPr id="20325" name="Chart 1">
          <a:extLst>
            <a:ext uri="{FF2B5EF4-FFF2-40B4-BE49-F238E27FC236}">
              <a16:creationId xmlns:a16="http://schemas.microsoft.com/office/drawing/2014/main" id="{00000000-0008-0000-0300-000065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825500</xdr:colOff>
      <xdr:row>14</xdr:row>
      <xdr:rowOff>136525</xdr:rowOff>
    </xdr:from>
    <xdr:to>
      <xdr:col>12</xdr:col>
      <xdr:colOff>121200</xdr:colOff>
      <xdr:row>28</xdr:row>
      <xdr:rowOff>574225</xdr:rowOff>
    </xdr:to>
    <xdr:graphicFrame macro="">
      <xdr:nvGraphicFramePr>
        <xdr:cNvPr id="20328" name="Chart 8">
          <a:extLst>
            <a:ext uri="{FF2B5EF4-FFF2-40B4-BE49-F238E27FC236}">
              <a16:creationId xmlns:a16="http://schemas.microsoft.com/office/drawing/2014/main" id="{00000000-0008-0000-0300-000068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606424</xdr:colOff>
      <xdr:row>14</xdr:row>
      <xdr:rowOff>133349</xdr:rowOff>
    </xdr:from>
    <xdr:to>
      <xdr:col>2</xdr:col>
      <xdr:colOff>638724</xdr:colOff>
      <xdr:row>28</xdr:row>
      <xdr:rowOff>571049</xdr:rowOff>
    </xdr:to>
    <xdr:graphicFrame macro="">
      <xdr:nvGraphicFramePr>
        <xdr:cNvPr id="20329" name="Chart 8">
          <a:extLst>
            <a:ext uri="{FF2B5EF4-FFF2-40B4-BE49-F238E27FC236}">
              <a16:creationId xmlns:a16="http://schemas.microsoft.com/office/drawing/2014/main" id="{00000000-0008-0000-0300-000069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650875</xdr:colOff>
      <xdr:row>46</xdr:row>
      <xdr:rowOff>174625</xdr:rowOff>
    </xdr:from>
    <xdr:to>
      <xdr:col>12</xdr:col>
      <xdr:colOff>391075</xdr:colOff>
      <xdr:row>62</xdr:row>
      <xdr:rowOff>2725</xdr:rowOff>
    </xdr:to>
    <xdr:graphicFrame macro="">
      <xdr:nvGraphicFramePr>
        <xdr:cNvPr id="8" name="Chart 1">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topLeftCell="A22" zoomScaleNormal="100" workbookViewId="0">
      <selection activeCell="W8" sqref="W8"/>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59" t="str">
        <f ca="1">MID(CELL("filename"),FIND("[",CELL("filename"))+1,FIND("]",CELL("filename"))-FIND("[",CELL("filename"))-1)</f>
        <v>PSE_1P1P_SBE_SW_Design_Matrix_TR6.xlsm</v>
      </c>
      <c r="AE3" s="9"/>
      <c r="AF3" s="9"/>
      <c r="AG3" s="9"/>
      <c r="AH3" s="9"/>
      <c r="AI3" s="9"/>
      <c r="AJ3" s="9"/>
      <c r="AK3" s="9"/>
    </row>
    <row r="4" spans="1:37" s="8" customFormat="1" ht="11.1" customHeight="1" x14ac:dyDescent="0.2">
      <c r="A4" s="226" t="s">
        <v>1</v>
      </c>
      <c r="B4" s="227"/>
      <c r="C4" s="227"/>
      <c r="D4" s="227"/>
      <c r="E4" s="227"/>
      <c r="F4" s="227"/>
      <c r="G4" s="227"/>
      <c r="H4" s="227"/>
      <c r="I4" s="227"/>
      <c r="J4" s="227"/>
      <c r="K4" s="227"/>
      <c r="L4" s="227"/>
      <c r="M4" s="227"/>
      <c r="N4" s="227"/>
      <c r="O4" s="227"/>
      <c r="P4" s="227"/>
      <c r="Q4" s="227"/>
      <c r="R4" s="227"/>
      <c r="S4" s="227"/>
      <c r="T4" s="227"/>
      <c r="U4" s="227"/>
      <c r="V4" s="228"/>
      <c r="W4" s="235" t="s">
        <v>2</v>
      </c>
      <c r="X4" s="236"/>
      <c r="Y4" s="236"/>
      <c r="Z4" s="236"/>
      <c r="AA4" s="237"/>
      <c r="AB4" s="229" t="s">
        <v>20</v>
      </c>
      <c r="AC4" s="230"/>
      <c r="AD4" s="230"/>
      <c r="AE4" s="230"/>
      <c r="AF4" s="230"/>
      <c r="AG4" s="231"/>
      <c r="AH4" s="11"/>
      <c r="AI4" s="11"/>
      <c r="AJ4" s="11"/>
      <c r="AK4" s="9"/>
    </row>
    <row r="5" spans="1:37" s="13" customFormat="1" ht="12.75" customHeight="1" x14ac:dyDescent="0.2">
      <c r="A5" s="232" t="s">
        <v>150</v>
      </c>
      <c r="B5" s="233"/>
      <c r="C5" s="233"/>
      <c r="D5" s="233"/>
      <c r="E5" s="233"/>
      <c r="F5" s="233"/>
      <c r="G5" s="233"/>
      <c r="H5" s="233"/>
      <c r="I5" s="233"/>
      <c r="J5" s="233"/>
      <c r="K5" s="233"/>
      <c r="L5" s="233"/>
      <c r="M5" s="233"/>
      <c r="N5" s="233"/>
      <c r="O5" s="233"/>
      <c r="P5" s="233"/>
      <c r="Q5" s="233"/>
      <c r="R5" s="233"/>
      <c r="S5" s="233"/>
      <c r="T5" s="233"/>
      <c r="U5" s="233"/>
      <c r="V5" s="234"/>
      <c r="W5" s="232" t="s">
        <v>152</v>
      </c>
      <c r="X5" s="233"/>
      <c r="Y5" s="233"/>
      <c r="Z5" s="233"/>
      <c r="AA5" s="234"/>
      <c r="AB5" s="232" t="s">
        <v>151</v>
      </c>
      <c r="AC5" s="233"/>
      <c r="AD5" s="233"/>
      <c r="AE5" s="233"/>
      <c r="AF5" s="233"/>
      <c r="AG5" s="234"/>
      <c r="AH5" s="12"/>
      <c r="AI5" s="12"/>
      <c r="AJ5" s="12"/>
      <c r="AK5" s="12"/>
    </row>
    <row r="6" spans="1:37" s="46" customFormat="1" ht="11.1" customHeight="1" x14ac:dyDescent="0.2">
      <c r="A6" s="235" t="s">
        <v>3</v>
      </c>
      <c r="B6" s="236"/>
      <c r="C6" s="236"/>
      <c r="D6" s="237"/>
      <c r="E6" s="235" t="s">
        <v>4</v>
      </c>
      <c r="F6" s="236"/>
      <c r="G6" s="236"/>
      <c r="H6" s="236"/>
      <c r="I6" s="236"/>
      <c r="J6" s="236"/>
      <c r="K6" s="236"/>
      <c r="L6" s="236"/>
      <c r="M6" s="236"/>
      <c r="N6" s="236"/>
      <c r="O6" s="236"/>
      <c r="P6" s="236"/>
      <c r="Q6" s="236"/>
      <c r="R6" s="236"/>
      <c r="S6" s="236"/>
      <c r="T6" s="236"/>
      <c r="U6" s="236"/>
      <c r="V6" s="237"/>
      <c r="W6" s="226" t="s">
        <v>15</v>
      </c>
      <c r="X6" s="227"/>
      <c r="Y6" s="227"/>
      <c r="Z6" s="227"/>
      <c r="AA6" s="228"/>
      <c r="AB6" s="235" t="s">
        <v>0</v>
      </c>
      <c r="AC6" s="236"/>
      <c r="AD6" s="237"/>
      <c r="AE6" s="235" t="s">
        <v>5</v>
      </c>
      <c r="AF6" s="236"/>
      <c r="AG6" s="237"/>
      <c r="AH6" s="45"/>
      <c r="AI6" s="45"/>
      <c r="AJ6" s="45"/>
      <c r="AK6" s="45"/>
    </row>
    <row r="7" spans="1:37" s="15" customFormat="1" ht="28.5" customHeight="1" x14ac:dyDescent="0.2">
      <c r="A7" s="232" t="s">
        <v>151</v>
      </c>
      <c r="B7" s="233"/>
      <c r="C7" s="233"/>
      <c r="D7" s="234"/>
      <c r="E7" s="232" t="s">
        <v>154</v>
      </c>
      <c r="F7" s="233"/>
      <c r="G7" s="233"/>
      <c r="H7" s="233"/>
      <c r="I7" s="233"/>
      <c r="J7" s="233"/>
      <c r="K7" s="233"/>
      <c r="L7" s="233"/>
      <c r="M7" s="233"/>
      <c r="N7" s="233"/>
      <c r="O7" s="233"/>
      <c r="P7" s="233"/>
      <c r="Q7" s="233"/>
      <c r="R7" s="233"/>
      <c r="S7" s="233"/>
      <c r="T7" s="233"/>
      <c r="U7" s="233"/>
      <c r="V7" s="234"/>
      <c r="W7" s="238" t="s">
        <v>153</v>
      </c>
      <c r="X7" s="233"/>
      <c r="Y7" s="233"/>
      <c r="Z7" s="233"/>
      <c r="AA7" s="234"/>
      <c r="AB7" s="232" t="s">
        <v>151</v>
      </c>
      <c r="AC7" s="233"/>
      <c r="AD7" s="234"/>
      <c r="AE7" s="232" t="s">
        <v>151</v>
      </c>
      <c r="AF7" s="233"/>
      <c r="AG7" s="234"/>
      <c r="AH7" s="14"/>
      <c r="AI7" s="14"/>
      <c r="AJ7" s="14"/>
      <c r="AK7" s="14"/>
    </row>
    <row r="8" spans="1:37" s="13" customFormat="1" x14ac:dyDescent="0.2">
      <c r="A8" s="47"/>
      <c r="B8" s="47"/>
      <c r="C8" s="47"/>
      <c r="D8" s="47"/>
      <c r="E8" s="47"/>
      <c r="F8" s="47"/>
      <c r="G8" s="47"/>
      <c r="H8" s="47"/>
      <c r="I8" s="47"/>
      <c r="J8" s="47"/>
      <c r="K8" s="47"/>
      <c r="L8" s="47"/>
      <c r="M8" s="47"/>
      <c r="N8" s="47"/>
      <c r="O8" s="47"/>
      <c r="P8" s="47"/>
      <c r="Q8" s="47"/>
      <c r="R8" s="47"/>
      <c r="S8" s="47"/>
      <c r="T8" s="47"/>
      <c r="U8" s="47"/>
      <c r="V8" s="47"/>
      <c r="W8" s="48"/>
      <c r="X8" s="48"/>
      <c r="Y8" s="48"/>
      <c r="Z8" s="48"/>
      <c r="AA8" s="48"/>
      <c r="AB8" s="47"/>
      <c r="AC8" s="47"/>
      <c r="AD8" s="47"/>
      <c r="AE8" s="47"/>
      <c r="AF8" s="47"/>
      <c r="AG8" s="47"/>
      <c r="AH8" s="12"/>
      <c r="AI8" s="12"/>
      <c r="AJ8" s="12"/>
      <c r="AK8" s="12"/>
    </row>
    <row r="9" spans="1:37" ht="11.1" customHeight="1" x14ac:dyDescent="0.2">
      <c r="A9" s="239" t="s">
        <v>21</v>
      </c>
      <c r="B9" s="240"/>
      <c r="C9" s="240"/>
      <c r="D9" s="240"/>
      <c r="E9" s="240"/>
      <c r="F9" s="240"/>
      <c r="G9" s="240"/>
      <c r="H9" s="240"/>
      <c r="I9" s="240"/>
      <c r="J9" s="240"/>
      <c r="K9" s="241"/>
      <c r="L9" s="239" t="s">
        <v>22</v>
      </c>
      <c r="M9" s="240"/>
      <c r="N9" s="240"/>
      <c r="O9" s="240"/>
      <c r="P9" s="240"/>
      <c r="Q9" s="240"/>
      <c r="R9" s="240"/>
      <c r="S9" s="240"/>
      <c r="T9" s="240"/>
      <c r="U9" s="240"/>
      <c r="V9" s="241"/>
      <c r="W9" s="239" t="s">
        <v>23</v>
      </c>
      <c r="X9" s="240"/>
      <c r="Y9" s="240"/>
      <c r="Z9" s="240"/>
      <c r="AA9" s="240"/>
      <c r="AB9" s="240"/>
      <c r="AC9" s="240"/>
      <c r="AD9" s="240"/>
      <c r="AE9" s="240"/>
      <c r="AF9" s="240"/>
      <c r="AG9" s="241"/>
      <c r="AH9" s="16"/>
      <c r="AI9" s="16"/>
    </row>
    <row r="10" spans="1:37" s="50" customFormat="1" ht="28.5" customHeight="1" x14ac:dyDescent="0.2">
      <c r="A10" s="247" t="s">
        <v>33</v>
      </c>
      <c r="B10" s="248"/>
      <c r="C10" s="248"/>
      <c r="D10" s="248"/>
      <c r="E10" s="248"/>
      <c r="F10" s="245" t="s">
        <v>34</v>
      </c>
      <c r="G10" s="245"/>
      <c r="H10" s="245"/>
      <c r="I10" s="245"/>
      <c r="J10" s="245"/>
      <c r="K10" s="246"/>
      <c r="L10" s="253" t="s">
        <v>149</v>
      </c>
      <c r="M10" s="254"/>
      <c r="N10" s="254"/>
      <c r="O10" s="254"/>
      <c r="P10" s="254"/>
      <c r="Q10" s="254"/>
      <c r="R10" s="254"/>
      <c r="S10" s="254"/>
      <c r="T10" s="254"/>
      <c r="U10" s="254"/>
      <c r="V10" s="255"/>
      <c r="W10" s="253" t="s">
        <v>149</v>
      </c>
      <c r="X10" s="254"/>
      <c r="Y10" s="254"/>
      <c r="Z10" s="254"/>
      <c r="AA10" s="254"/>
      <c r="AB10" s="254"/>
      <c r="AC10" s="254"/>
      <c r="AD10" s="254"/>
      <c r="AE10" s="254"/>
      <c r="AF10" s="254"/>
      <c r="AG10" s="255"/>
      <c r="AH10" s="49"/>
      <c r="AI10" s="49"/>
    </row>
    <row r="11" spans="1:37" s="56" customFormat="1" ht="4.5" customHeight="1" x14ac:dyDescent="0.2">
      <c r="A11" s="51"/>
      <c r="B11" s="52"/>
      <c r="C11" s="52"/>
      <c r="D11" s="52"/>
      <c r="E11" s="52"/>
      <c r="F11" s="52"/>
      <c r="G11" s="52"/>
      <c r="H11" s="52"/>
      <c r="I11" s="52"/>
      <c r="J11" s="52"/>
      <c r="K11" s="52"/>
      <c r="L11" s="53"/>
      <c r="M11" s="52"/>
      <c r="N11" s="52"/>
      <c r="O11" s="52"/>
      <c r="P11" s="52"/>
      <c r="Q11" s="52"/>
      <c r="R11" s="52"/>
      <c r="S11" s="52"/>
      <c r="T11" s="52"/>
      <c r="U11" s="52"/>
      <c r="V11" s="52"/>
      <c r="W11" s="53"/>
      <c r="X11" s="52"/>
      <c r="Y11" s="52"/>
      <c r="Z11" s="52"/>
      <c r="AA11" s="52"/>
      <c r="AB11" s="52"/>
      <c r="AC11" s="52"/>
      <c r="AD11" s="52"/>
      <c r="AE11" s="52"/>
      <c r="AF11" s="52"/>
      <c r="AG11" s="54"/>
      <c r="AH11" s="55"/>
      <c r="AI11" s="55"/>
    </row>
    <row r="12" spans="1:37" s="57" customFormat="1" ht="11.1" customHeight="1" x14ac:dyDescent="0.2">
      <c r="A12" s="263" t="s">
        <v>24</v>
      </c>
      <c r="B12" s="264"/>
      <c r="C12" s="264"/>
      <c r="D12" s="264"/>
      <c r="E12" s="264"/>
      <c r="F12" s="264"/>
      <c r="G12" s="264"/>
      <c r="H12" s="264"/>
      <c r="I12" s="264"/>
      <c r="J12" s="264"/>
      <c r="K12" s="264"/>
      <c r="L12" s="264"/>
      <c r="M12" s="264"/>
      <c r="N12" s="264"/>
      <c r="O12" s="264"/>
      <c r="P12" s="264"/>
      <c r="Q12" s="264"/>
      <c r="R12" s="264"/>
      <c r="S12" s="264"/>
      <c r="T12" s="264"/>
      <c r="U12" s="264"/>
      <c r="V12" s="264"/>
      <c r="W12" s="264"/>
      <c r="X12" s="264"/>
      <c r="Y12" s="264"/>
      <c r="Z12" s="264"/>
      <c r="AA12" s="264"/>
      <c r="AB12" s="264"/>
      <c r="AC12" s="264"/>
      <c r="AD12" s="264"/>
      <c r="AE12" s="264"/>
      <c r="AF12" s="264"/>
      <c r="AG12" s="265"/>
      <c r="AH12" s="16"/>
      <c r="AI12" s="16"/>
      <c r="AJ12" s="16"/>
      <c r="AK12" s="16"/>
    </row>
    <row r="13" spans="1:37" s="50" customFormat="1" ht="28.5" customHeight="1" x14ac:dyDescent="0.2">
      <c r="A13" s="266" t="s">
        <v>149</v>
      </c>
      <c r="B13" s="266"/>
      <c r="C13" s="266"/>
      <c r="D13" s="266"/>
      <c r="E13" s="266"/>
      <c r="F13" s="266"/>
      <c r="G13" s="266"/>
      <c r="H13" s="266"/>
      <c r="I13" s="266"/>
      <c r="J13" s="266"/>
      <c r="K13" s="266"/>
      <c r="L13" s="266"/>
      <c r="M13" s="266"/>
      <c r="N13" s="266"/>
      <c r="O13" s="266"/>
      <c r="P13" s="266"/>
      <c r="Q13" s="266"/>
      <c r="R13" s="266"/>
      <c r="S13" s="266"/>
      <c r="T13" s="266"/>
      <c r="U13" s="266"/>
      <c r="V13" s="266"/>
      <c r="W13" s="266"/>
      <c r="X13" s="266"/>
      <c r="Y13" s="266"/>
      <c r="Z13" s="266"/>
      <c r="AA13" s="266"/>
      <c r="AB13" s="266"/>
      <c r="AC13" s="266"/>
      <c r="AD13" s="266"/>
      <c r="AE13" s="266"/>
      <c r="AF13" s="266"/>
      <c r="AG13" s="267"/>
      <c r="AH13" s="49"/>
      <c r="AI13" s="49"/>
      <c r="AJ13" s="49"/>
      <c r="AK13" s="49"/>
    </row>
    <row r="14" spans="1:37" s="56" customFormat="1" ht="4.5" customHeight="1" x14ac:dyDescent="0.2">
      <c r="A14" s="53"/>
      <c r="B14" s="52"/>
      <c r="C14" s="52"/>
      <c r="D14" s="52"/>
      <c r="E14" s="52"/>
      <c r="F14" s="52"/>
      <c r="G14" s="52"/>
      <c r="H14" s="52"/>
      <c r="I14" s="52"/>
      <c r="J14" s="52"/>
      <c r="K14" s="52"/>
      <c r="L14" s="53"/>
      <c r="M14" s="52"/>
      <c r="N14" s="52"/>
      <c r="O14" s="52"/>
      <c r="P14" s="52"/>
      <c r="Q14" s="52"/>
      <c r="R14" s="52"/>
      <c r="S14" s="52"/>
      <c r="T14" s="52"/>
      <c r="U14" s="52"/>
      <c r="V14" s="52"/>
      <c r="W14" s="53"/>
      <c r="X14" s="52"/>
      <c r="Y14" s="52"/>
      <c r="Z14" s="52"/>
      <c r="AA14" s="52"/>
      <c r="AB14" s="52"/>
      <c r="AC14" s="52"/>
      <c r="AD14" s="52"/>
      <c r="AE14" s="52"/>
      <c r="AF14" s="52"/>
      <c r="AG14" s="52"/>
      <c r="AH14" s="55"/>
      <c r="AI14" s="55"/>
    </row>
    <row r="15" spans="1:37" s="19" customFormat="1" ht="73.5" customHeight="1" x14ac:dyDescent="0.2">
      <c r="A15" s="249" t="s">
        <v>25</v>
      </c>
      <c r="B15" s="249"/>
      <c r="C15" s="249"/>
      <c r="D15" s="250"/>
      <c r="E15" s="260"/>
      <c r="F15" s="261"/>
      <c r="G15" s="261"/>
      <c r="H15" s="261"/>
      <c r="I15" s="261"/>
      <c r="J15" s="261"/>
      <c r="K15" s="261"/>
      <c r="L15" s="261"/>
      <c r="M15" s="261"/>
      <c r="N15" s="261"/>
      <c r="O15" s="261"/>
      <c r="P15" s="261"/>
      <c r="Q15" s="261"/>
      <c r="R15" s="261"/>
      <c r="S15" s="261"/>
      <c r="T15" s="261"/>
      <c r="U15" s="261"/>
      <c r="V15" s="261"/>
      <c r="W15" s="261"/>
      <c r="X15" s="261"/>
      <c r="Y15" s="261"/>
      <c r="Z15" s="261"/>
      <c r="AA15" s="261"/>
      <c r="AB15" s="261"/>
      <c r="AC15" s="261"/>
      <c r="AD15" s="261"/>
      <c r="AE15" s="261"/>
      <c r="AF15" s="261"/>
      <c r="AG15" s="262"/>
      <c r="AH15" s="18"/>
      <c r="AI15" s="18"/>
      <c r="AJ15" s="18"/>
      <c r="AK15" s="18"/>
    </row>
    <row r="16" spans="1:37" s="19" customFormat="1" ht="37.5" customHeight="1" x14ac:dyDescent="0.2">
      <c r="A16" s="251"/>
      <c r="B16" s="251"/>
      <c r="C16" s="251"/>
      <c r="D16" s="252"/>
      <c r="E16" s="256"/>
      <c r="F16" s="257"/>
      <c r="G16" s="257"/>
      <c r="H16" s="257"/>
      <c r="I16" s="257"/>
      <c r="J16" s="257"/>
      <c r="K16" s="257"/>
      <c r="L16" s="257"/>
      <c r="M16" s="257"/>
      <c r="N16" s="257"/>
      <c r="O16" s="257"/>
      <c r="P16" s="257"/>
      <c r="Q16" s="257"/>
      <c r="R16" s="257"/>
      <c r="S16" s="257"/>
      <c r="T16" s="257"/>
      <c r="U16" s="257"/>
      <c r="V16" s="257"/>
      <c r="W16" s="257"/>
      <c r="X16" s="257"/>
      <c r="Y16" s="257"/>
      <c r="Z16" s="257"/>
      <c r="AA16" s="257"/>
      <c r="AB16" s="257"/>
      <c r="AC16" s="257"/>
      <c r="AD16" s="257"/>
      <c r="AE16" s="257"/>
      <c r="AF16" s="257"/>
      <c r="AG16" s="258"/>
      <c r="AH16" s="18"/>
      <c r="AI16" s="18"/>
      <c r="AJ16" s="18"/>
      <c r="AK16" s="18"/>
    </row>
    <row r="17" spans="1:37" s="19" customFormat="1" x14ac:dyDescent="0.2">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row>
    <row r="18" spans="1:37" s="19" customFormat="1" x14ac:dyDescent="0.2">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row>
    <row r="19" spans="1:37" s="19" customFormat="1" x14ac:dyDescent="0.2">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row>
    <row r="20" spans="1:37" s="19" customFormat="1" x14ac:dyDescent="0.2">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row>
    <row r="21" spans="1:37" s="19" customFormat="1" ht="15.75" customHeight="1" x14ac:dyDescent="0.2">
      <c r="C21" s="18"/>
      <c r="D21" s="18"/>
      <c r="E21" s="18"/>
      <c r="F21" s="18"/>
      <c r="G21" s="18"/>
      <c r="H21" s="18"/>
      <c r="I21" s="18"/>
      <c r="J21" s="18"/>
      <c r="K21" s="18"/>
      <c r="L21" s="18"/>
      <c r="M21" s="18"/>
      <c r="N21" s="18"/>
      <c r="O21" s="18"/>
      <c r="P21" s="18"/>
      <c r="Q21" s="58"/>
      <c r="R21" s="18"/>
      <c r="S21" s="18"/>
      <c r="T21" s="18"/>
      <c r="U21" s="18"/>
      <c r="V21" s="18"/>
      <c r="W21" s="18"/>
      <c r="X21" s="18"/>
      <c r="Y21" s="18"/>
      <c r="Z21" s="18"/>
      <c r="AA21" s="18"/>
      <c r="AB21" s="18"/>
      <c r="AC21" s="18"/>
      <c r="AD21" s="18"/>
      <c r="AE21" s="18"/>
      <c r="AF21" s="18"/>
      <c r="AG21" s="18"/>
      <c r="AH21" s="18"/>
      <c r="AI21" s="18"/>
      <c r="AJ21" s="18"/>
      <c r="AK21" s="18"/>
    </row>
    <row r="22" spans="1:37" s="19" customFormat="1" ht="12" customHeight="1" x14ac:dyDescent="0.2">
      <c r="C22" s="18"/>
      <c r="D22" s="18"/>
      <c r="E22" s="18"/>
      <c r="F22" s="18"/>
      <c r="G22" s="18"/>
      <c r="H22" s="18"/>
      <c r="I22" s="18"/>
      <c r="J22" s="18"/>
      <c r="K22" s="18"/>
      <c r="L22" s="18"/>
      <c r="M22" s="18"/>
      <c r="N22" s="18"/>
      <c r="O22" s="18"/>
      <c r="P22" s="18"/>
      <c r="Q22" s="58"/>
      <c r="R22" s="18"/>
      <c r="S22" s="18"/>
      <c r="T22" s="18"/>
      <c r="U22" s="18"/>
      <c r="V22" s="18"/>
      <c r="W22" s="18"/>
      <c r="X22" s="18"/>
      <c r="Y22" s="18"/>
      <c r="Z22" s="18"/>
      <c r="AA22" s="18"/>
      <c r="AB22" s="18"/>
      <c r="AC22" s="18"/>
      <c r="AD22" s="18"/>
      <c r="AE22" s="18"/>
      <c r="AF22" s="18"/>
      <c r="AG22" s="18"/>
      <c r="AH22" s="18"/>
      <c r="AI22" s="18"/>
      <c r="AJ22" s="18"/>
      <c r="AK22" s="18"/>
    </row>
    <row r="23" spans="1:37" s="19" customFormat="1" ht="60" customHeight="1" x14ac:dyDescent="0.2">
      <c r="A23" s="259" t="str">
        <f>MXTitle</f>
        <v>SW00TEM007 Generic Excel Template</v>
      </c>
      <c r="B23" s="259"/>
      <c r="C23" s="259"/>
      <c r="D23" s="259"/>
      <c r="E23" s="259"/>
      <c r="F23" s="259"/>
      <c r="G23" s="259"/>
      <c r="H23" s="259"/>
      <c r="I23" s="259"/>
      <c r="J23" s="259"/>
      <c r="K23" s="259"/>
      <c r="L23" s="259"/>
      <c r="M23" s="259"/>
      <c r="N23" s="259"/>
      <c r="O23" s="259"/>
      <c r="P23" s="259"/>
      <c r="Q23" s="259"/>
      <c r="R23" s="259"/>
      <c r="S23" s="259"/>
      <c r="T23" s="259"/>
      <c r="U23" s="259"/>
      <c r="V23" s="259"/>
      <c r="W23" s="259"/>
      <c r="X23" s="259"/>
      <c r="Y23" s="259"/>
      <c r="Z23" s="259"/>
      <c r="AA23" s="259"/>
      <c r="AB23" s="259"/>
      <c r="AC23" s="259"/>
      <c r="AD23" s="259"/>
      <c r="AE23" s="259"/>
      <c r="AF23" s="259"/>
      <c r="AG23" s="259"/>
      <c r="AH23" s="18"/>
      <c r="AI23" s="18"/>
      <c r="AJ23" s="18"/>
      <c r="AK23" s="18"/>
    </row>
    <row r="24" spans="1:37" s="91" customFormat="1" ht="26.25" x14ac:dyDescent="0.2">
      <c r="B24" s="92"/>
      <c r="C24" s="93"/>
      <c r="D24" s="93"/>
      <c r="E24" s="93"/>
      <c r="F24" s="93"/>
      <c r="G24" s="93"/>
      <c r="H24" s="93"/>
      <c r="I24" s="93"/>
      <c r="K24" s="94"/>
      <c r="L24" s="95" t="s">
        <v>73</v>
      </c>
      <c r="M24" s="96"/>
      <c r="N24" s="96"/>
      <c r="O24" s="242" t="s">
        <v>93</v>
      </c>
      <c r="P24" s="243"/>
      <c r="Q24" s="243"/>
      <c r="R24" s="243"/>
      <c r="S24" s="243"/>
      <c r="T24" s="243"/>
      <c r="U24" s="244"/>
      <c r="Z24" s="93"/>
      <c r="AA24" s="93"/>
      <c r="AB24" s="93"/>
      <c r="AC24" s="93"/>
      <c r="AD24" s="93"/>
      <c r="AE24" s="93"/>
      <c r="AF24" s="93"/>
      <c r="AG24" s="93"/>
      <c r="AH24" s="93"/>
      <c r="AI24" s="97"/>
      <c r="AJ24" s="97"/>
      <c r="AK24" s="97"/>
    </row>
    <row r="25" spans="1:37" s="19" customFormat="1" x14ac:dyDescent="0.2">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row>
    <row r="26" spans="1:37" x14ac:dyDescent="0.2"/>
  </sheetData>
  <sheetProtection formatCells="0" formatRows="0" insertColumns="0" insertRows="0" insertHyperlinks="0" deleteRows="0" selectLockedCells="1" sort="0" autoFilter="0" pivotTables="0"/>
  <dataConsolidate/>
  <mergeCells count="30">
    <mergeCell ref="W9:AG9"/>
    <mergeCell ref="O24:U24"/>
    <mergeCell ref="F10:K10"/>
    <mergeCell ref="A10:E10"/>
    <mergeCell ref="A15:D16"/>
    <mergeCell ref="W10:AG10"/>
    <mergeCell ref="E16:AG16"/>
    <mergeCell ref="A23:AG23"/>
    <mergeCell ref="E15:AG15"/>
    <mergeCell ref="A12:AG12"/>
    <mergeCell ref="L9:V9"/>
    <mergeCell ref="L10:V10"/>
    <mergeCell ref="A9:K9"/>
    <mergeCell ref="A13:AG13"/>
    <mergeCell ref="A4:V4"/>
    <mergeCell ref="AB4:AG4"/>
    <mergeCell ref="W5:AA5"/>
    <mergeCell ref="W4:AA4"/>
    <mergeCell ref="AE7:AG7"/>
    <mergeCell ref="AB7:AD7"/>
    <mergeCell ref="A5:V5"/>
    <mergeCell ref="A6:D6"/>
    <mergeCell ref="W7:AA7"/>
    <mergeCell ref="AB5:AG5"/>
    <mergeCell ref="E6:V6"/>
    <mergeCell ref="E7:V7"/>
    <mergeCell ref="AE6:AG6"/>
    <mergeCell ref="AB6:AD6"/>
    <mergeCell ref="W6:AA6"/>
    <mergeCell ref="A7:D7"/>
  </mergeCells>
  <phoneticPr fontId="5"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ignoredErrors>
    <ignoredError sqref="AH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4"/>
  <sheetViews>
    <sheetView showGridLines="0" zoomScaleNormal="100" workbookViewId="0">
      <selection activeCell="A4" sqref="A4:XFD10"/>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10" t="str">
        <f ca="1">FileName</f>
        <v>PSE_1P1P_SBE_SW_Design_Matrix_TR6.xlsm</v>
      </c>
      <c r="AE3" s="9"/>
      <c r="AF3" s="9"/>
      <c r="AG3" s="9"/>
      <c r="AH3" s="9"/>
      <c r="AI3" s="9"/>
      <c r="AJ3" s="9"/>
      <c r="AK3" s="9"/>
    </row>
    <row r="4" spans="1:37" s="8" customFormat="1" ht="11.1" customHeight="1" x14ac:dyDescent="0.2">
      <c r="A4" s="303"/>
      <c r="B4" s="303"/>
      <c r="C4" s="303"/>
      <c r="D4" s="303"/>
      <c r="E4" s="303"/>
      <c r="F4" s="303"/>
      <c r="G4" s="303"/>
      <c r="H4" s="303"/>
      <c r="I4" s="303"/>
      <c r="J4" s="303"/>
      <c r="K4" s="303"/>
      <c r="L4" s="303"/>
      <c r="M4" s="303"/>
      <c r="N4" s="303"/>
      <c r="O4" s="303"/>
      <c r="P4" s="303"/>
      <c r="Q4" s="303"/>
      <c r="R4" s="303"/>
      <c r="S4" s="303"/>
      <c r="T4" s="303"/>
      <c r="U4" s="303"/>
      <c r="V4" s="303"/>
      <c r="W4" s="302"/>
      <c r="X4" s="302"/>
      <c r="Y4" s="302"/>
      <c r="Z4" s="302"/>
      <c r="AA4" s="302"/>
      <c r="AB4" s="305"/>
      <c r="AC4" s="305"/>
      <c r="AD4" s="305"/>
      <c r="AE4" s="305"/>
      <c r="AF4" s="305"/>
      <c r="AG4" s="305"/>
      <c r="AH4" s="11"/>
      <c r="AI4" s="11"/>
      <c r="AJ4" s="11"/>
      <c r="AK4" s="9"/>
    </row>
    <row r="5" spans="1:37" s="13" customFormat="1" x14ac:dyDescent="0.2">
      <c r="A5" s="304"/>
      <c r="B5" s="304"/>
      <c r="C5" s="304"/>
      <c r="D5" s="304"/>
      <c r="E5" s="304"/>
      <c r="F5" s="304"/>
      <c r="G5" s="304"/>
      <c r="H5" s="304"/>
      <c r="I5" s="304"/>
      <c r="J5" s="304"/>
      <c r="K5" s="304"/>
      <c r="L5" s="304"/>
      <c r="M5" s="304"/>
      <c r="N5" s="304"/>
      <c r="O5" s="304"/>
      <c r="P5" s="304"/>
      <c r="Q5" s="304"/>
      <c r="R5" s="304"/>
      <c r="S5" s="304"/>
      <c r="T5" s="304"/>
      <c r="U5" s="304"/>
      <c r="V5" s="304"/>
      <c r="W5" s="299"/>
      <c r="X5" s="299"/>
      <c r="Y5" s="299"/>
      <c r="Z5" s="299"/>
      <c r="AA5" s="299"/>
      <c r="AB5" s="304"/>
      <c r="AC5" s="304"/>
      <c r="AD5" s="304"/>
      <c r="AE5" s="304"/>
      <c r="AF5" s="304"/>
      <c r="AG5" s="304"/>
      <c r="AH5" s="12"/>
      <c r="AI5" s="12"/>
      <c r="AJ5" s="12"/>
      <c r="AK5" s="12"/>
    </row>
    <row r="6" spans="1:37" s="8" customFormat="1" ht="11.1" customHeight="1" x14ac:dyDescent="0.2">
      <c r="A6" s="301"/>
      <c r="B6" s="301"/>
      <c r="C6" s="301"/>
      <c r="D6" s="301"/>
      <c r="E6" s="301"/>
      <c r="F6" s="301"/>
      <c r="G6" s="301"/>
      <c r="H6" s="301"/>
      <c r="I6" s="301"/>
      <c r="J6" s="301"/>
      <c r="K6" s="301"/>
      <c r="L6" s="301"/>
      <c r="M6" s="301"/>
      <c r="N6" s="301"/>
      <c r="O6" s="301"/>
      <c r="P6" s="301"/>
      <c r="Q6" s="301"/>
      <c r="R6" s="301"/>
      <c r="S6" s="301"/>
      <c r="T6" s="301"/>
      <c r="U6" s="301"/>
      <c r="V6" s="301"/>
      <c r="W6" s="303"/>
      <c r="X6" s="303"/>
      <c r="Y6" s="303"/>
      <c r="Z6" s="303"/>
      <c r="AA6" s="303"/>
      <c r="AB6" s="302"/>
      <c r="AC6" s="302"/>
      <c r="AD6" s="302"/>
      <c r="AE6" s="302"/>
      <c r="AF6" s="302"/>
      <c r="AG6" s="302"/>
      <c r="AH6" s="9"/>
      <c r="AI6" s="9"/>
      <c r="AJ6" s="9"/>
      <c r="AK6" s="9"/>
    </row>
    <row r="7" spans="1:37" s="13" customFormat="1" x14ac:dyDescent="0.2">
      <c r="A7" s="299"/>
      <c r="B7" s="299"/>
      <c r="C7" s="299"/>
      <c r="D7" s="299"/>
      <c r="E7" s="299"/>
      <c r="F7" s="299"/>
      <c r="G7" s="299"/>
      <c r="H7" s="299"/>
      <c r="I7" s="299"/>
      <c r="J7" s="299"/>
      <c r="K7" s="299"/>
      <c r="L7" s="299"/>
      <c r="M7" s="299"/>
      <c r="N7" s="299"/>
      <c r="O7" s="299"/>
      <c r="P7" s="299"/>
      <c r="Q7" s="299"/>
      <c r="R7" s="299"/>
      <c r="S7" s="299"/>
      <c r="T7" s="299"/>
      <c r="U7" s="299"/>
      <c r="V7" s="299"/>
      <c r="W7" s="299"/>
      <c r="X7" s="299"/>
      <c r="Y7" s="299"/>
      <c r="Z7" s="299"/>
      <c r="AA7" s="299"/>
      <c r="AB7" s="299"/>
      <c r="AC7" s="299"/>
      <c r="AD7" s="299"/>
      <c r="AE7" s="299"/>
      <c r="AF7" s="299"/>
      <c r="AG7" s="299"/>
      <c r="AH7" s="12"/>
      <c r="AI7" s="12"/>
      <c r="AJ7" s="12"/>
      <c r="AK7" s="12"/>
    </row>
    <row r="8" spans="1:37" s="44" customFormat="1" ht="11.1" customHeight="1" x14ac:dyDescent="0.2">
      <c r="A8" s="301"/>
      <c r="B8" s="301"/>
      <c r="C8" s="301"/>
      <c r="D8" s="301"/>
      <c r="E8" s="301"/>
      <c r="F8" s="301"/>
      <c r="G8" s="301"/>
      <c r="H8" s="301"/>
      <c r="I8" s="301"/>
      <c r="J8" s="301"/>
      <c r="K8" s="301"/>
      <c r="L8" s="301"/>
      <c r="M8" s="301"/>
      <c r="N8" s="301"/>
      <c r="O8" s="301"/>
      <c r="P8" s="301"/>
      <c r="Q8" s="301"/>
      <c r="R8" s="301"/>
      <c r="S8" s="301"/>
      <c r="T8" s="301"/>
      <c r="U8" s="301"/>
      <c r="V8" s="301"/>
      <c r="W8" s="301"/>
      <c r="X8" s="301"/>
      <c r="Y8" s="301"/>
      <c r="Z8" s="301"/>
      <c r="AA8" s="301"/>
      <c r="AB8" s="301"/>
      <c r="AC8" s="301"/>
      <c r="AD8" s="301"/>
      <c r="AE8" s="301"/>
      <c r="AF8" s="301"/>
      <c r="AG8" s="301"/>
      <c r="AH8" s="191"/>
      <c r="AI8" s="191"/>
      <c r="AJ8" s="191"/>
      <c r="AK8" s="191"/>
    </row>
    <row r="9" spans="1:37" s="193" customFormat="1" x14ac:dyDescent="0.2">
      <c r="A9" s="300"/>
      <c r="B9" s="300"/>
      <c r="C9" s="300"/>
      <c r="D9" s="300"/>
      <c r="E9" s="300"/>
      <c r="F9" s="300"/>
      <c r="G9" s="300"/>
      <c r="H9" s="300"/>
      <c r="I9" s="300"/>
      <c r="J9" s="300"/>
      <c r="K9" s="300"/>
      <c r="L9" s="300"/>
      <c r="M9" s="300"/>
      <c r="N9" s="300"/>
      <c r="O9" s="300"/>
      <c r="P9" s="300"/>
      <c r="Q9" s="300"/>
      <c r="R9" s="300"/>
      <c r="S9" s="300"/>
      <c r="T9" s="300"/>
      <c r="U9" s="300"/>
      <c r="V9" s="300"/>
      <c r="W9" s="300"/>
      <c r="X9" s="300"/>
      <c r="Y9" s="300"/>
      <c r="Z9" s="300"/>
      <c r="AA9" s="300"/>
      <c r="AB9" s="300"/>
      <c r="AC9" s="300"/>
      <c r="AD9" s="300"/>
      <c r="AE9" s="300"/>
      <c r="AF9" s="300"/>
      <c r="AG9" s="300"/>
      <c r="AH9" s="192"/>
      <c r="AI9" s="192"/>
      <c r="AJ9" s="192"/>
    </row>
    <row r="10" spans="1:37" x14ac:dyDescent="0.2"/>
    <row r="11" spans="1:37" x14ac:dyDescent="0.2"/>
    <row r="12" spans="1:37" ht="26.25" x14ac:dyDescent="0.2">
      <c r="B12" s="20" t="s">
        <v>16</v>
      </c>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row>
    <row r="13" spans="1:37" x14ac:dyDescent="0.2"/>
    <row r="14" spans="1:37" ht="20.25" x14ac:dyDescent="0.2">
      <c r="B14" s="22" t="s">
        <v>17</v>
      </c>
      <c r="C14" s="23"/>
    </row>
    <row r="15" spans="1:37" ht="12.75" customHeight="1" x14ac:dyDescent="0.2">
      <c r="B15" s="282" t="s">
        <v>7</v>
      </c>
      <c r="C15" s="283"/>
      <c r="D15" s="283"/>
      <c r="E15" s="283"/>
      <c r="F15" s="284"/>
      <c r="G15" s="282" t="s">
        <v>6</v>
      </c>
      <c r="H15" s="283"/>
      <c r="I15" s="283"/>
      <c r="J15" s="283"/>
      <c r="K15" s="283"/>
      <c r="L15" s="283"/>
      <c r="M15" s="283"/>
      <c r="N15" s="283"/>
      <c r="O15" s="283"/>
      <c r="P15" s="283"/>
      <c r="Q15" s="283"/>
      <c r="R15" s="283"/>
      <c r="S15" s="283"/>
      <c r="T15" s="283"/>
      <c r="U15" s="283"/>
      <c r="V15" s="283"/>
      <c r="W15" s="283"/>
      <c r="X15" s="283"/>
      <c r="Y15" s="283"/>
      <c r="Z15" s="283"/>
      <c r="AA15" s="283"/>
      <c r="AB15" s="283"/>
      <c r="AC15" s="283"/>
      <c r="AD15" s="283"/>
      <c r="AE15" s="283"/>
      <c r="AF15" s="284"/>
    </row>
    <row r="16" spans="1:37" ht="24" customHeight="1" x14ac:dyDescent="0.2">
      <c r="B16" s="292" t="s">
        <v>35</v>
      </c>
      <c r="C16" s="293"/>
      <c r="D16" s="293"/>
      <c r="E16" s="293"/>
      <c r="F16" s="294"/>
      <c r="G16" s="278" t="s">
        <v>38</v>
      </c>
      <c r="H16" s="269"/>
      <c r="I16" s="269"/>
      <c r="J16" s="269"/>
      <c r="K16" s="269"/>
      <c r="L16" s="269"/>
      <c r="M16" s="269"/>
      <c r="N16" s="269"/>
      <c r="O16" s="269"/>
      <c r="P16" s="269"/>
      <c r="Q16" s="269"/>
      <c r="R16" s="269"/>
      <c r="S16" s="269"/>
      <c r="T16" s="269"/>
      <c r="U16" s="269"/>
      <c r="V16" s="269"/>
      <c r="W16" s="269"/>
      <c r="X16" s="269"/>
      <c r="Y16" s="269"/>
      <c r="Z16" s="269"/>
      <c r="AA16" s="269"/>
      <c r="AB16" s="269"/>
      <c r="AC16" s="269"/>
      <c r="AD16" s="269"/>
      <c r="AE16" s="269"/>
      <c r="AF16" s="270"/>
    </row>
    <row r="17" spans="1:45" ht="24" customHeight="1" x14ac:dyDescent="0.2">
      <c r="B17" s="292" t="s">
        <v>36</v>
      </c>
      <c r="C17" s="293"/>
      <c r="D17" s="293"/>
      <c r="E17" s="293"/>
      <c r="F17" s="294"/>
      <c r="G17" s="278" t="s">
        <v>37</v>
      </c>
      <c r="H17" s="269"/>
      <c r="I17" s="269"/>
      <c r="J17" s="269"/>
      <c r="K17" s="269"/>
      <c r="L17" s="269"/>
      <c r="M17" s="269"/>
      <c r="N17" s="269"/>
      <c r="O17" s="269"/>
      <c r="P17" s="269"/>
      <c r="Q17" s="269"/>
      <c r="R17" s="269"/>
      <c r="S17" s="269"/>
      <c r="T17" s="269"/>
      <c r="U17" s="269"/>
      <c r="V17" s="269"/>
      <c r="W17" s="269"/>
      <c r="X17" s="269"/>
      <c r="Y17" s="269"/>
      <c r="Z17" s="269"/>
      <c r="AA17" s="269"/>
      <c r="AB17" s="269"/>
      <c r="AC17" s="269"/>
      <c r="AD17" s="269"/>
      <c r="AE17" s="269"/>
      <c r="AF17" s="270"/>
    </row>
    <row r="18" spans="1:45" ht="24" customHeight="1" x14ac:dyDescent="0.2">
      <c r="B18" s="292" t="s">
        <v>74</v>
      </c>
      <c r="C18" s="293"/>
      <c r="D18" s="293"/>
      <c r="E18" s="293"/>
      <c r="F18" s="294"/>
      <c r="G18" s="278" t="s">
        <v>75</v>
      </c>
      <c r="H18" s="269"/>
      <c r="I18" s="269"/>
      <c r="J18" s="269"/>
      <c r="K18" s="269"/>
      <c r="L18" s="269"/>
      <c r="M18" s="269"/>
      <c r="N18" s="269"/>
      <c r="O18" s="269"/>
      <c r="P18" s="269"/>
      <c r="Q18" s="269"/>
      <c r="R18" s="269"/>
      <c r="S18" s="269"/>
      <c r="T18" s="269"/>
      <c r="U18" s="269"/>
      <c r="V18" s="269"/>
      <c r="W18" s="269"/>
      <c r="X18" s="269"/>
      <c r="Y18" s="269"/>
      <c r="Z18" s="269"/>
      <c r="AA18" s="269"/>
      <c r="AB18" s="269"/>
      <c r="AC18" s="269"/>
      <c r="AD18" s="269"/>
      <c r="AE18" s="269"/>
      <c r="AF18" s="270"/>
    </row>
    <row r="19" spans="1:45" ht="24" customHeight="1" x14ac:dyDescent="0.2">
      <c r="B19" s="295" t="s">
        <v>76</v>
      </c>
      <c r="C19" s="273"/>
      <c r="D19" s="273"/>
      <c r="E19" s="273"/>
      <c r="F19" s="274"/>
      <c r="G19" s="268" t="s">
        <v>101</v>
      </c>
      <c r="H19" s="269"/>
      <c r="I19" s="269"/>
      <c r="J19" s="269"/>
      <c r="K19" s="269"/>
      <c r="L19" s="269"/>
      <c r="M19" s="269"/>
      <c r="N19" s="269"/>
      <c r="O19" s="269"/>
      <c r="P19" s="269"/>
      <c r="Q19" s="269"/>
      <c r="R19" s="269"/>
      <c r="S19" s="269"/>
      <c r="T19" s="269"/>
      <c r="U19" s="269"/>
      <c r="V19" s="269"/>
      <c r="W19" s="269"/>
      <c r="X19" s="269"/>
      <c r="Y19" s="269"/>
      <c r="Z19" s="269"/>
      <c r="AA19" s="269"/>
      <c r="AB19" s="269"/>
      <c r="AC19" s="269"/>
      <c r="AD19" s="269"/>
      <c r="AE19" s="269"/>
      <c r="AF19" s="270"/>
      <c r="AS19" s="24"/>
    </row>
    <row r="20" spans="1:45" ht="38.25" customHeight="1" x14ac:dyDescent="0.2">
      <c r="B20" s="272" t="s">
        <v>132</v>
      </c>
      <c r="C20" s="273"/>
      <c r="D20" s="273"/>
      <c r="E20" s="273"/>
      <c r="F20" s="274"/>
      <c r="G20" s="268" t="s">
        <v>133</v>
      </c>
      <c r="H20" s="269"/>
      <c r="I20" s="269"/>
      <c r="J20" s="269"/>
      <c r="K20" s="269"/>
      <c r="L20" s="269"/>
      <c r="M20" s="269"/>
      <c r="N20" s="269"/>
      <c r="O20" s="269"/>
      <c r="P20" s="269"/>
      <c r="Q20" s="269"/>
      <c r="R20" s="269"/>
      <c r="S20" s="269"/>
      <c r="T20" s="269"/>
      <c r="U20" s="269"/>
      <c r="V20" s="269"/>
      <c r="W20" s="269"/>
      <c r="X20" s="269"/>
      <c r="Y20" s="269"/>
      <c r="Z20" s="269"/>
      <c r="AA20" s="269"/>
      <c r="AB20" s="269"/>
      <c r="AC20" s="269"/>
      <c r="AD20" s="269"/>
      <c r="AE20" s="269"/>
      <c r="AF20" s="270"/>
      <c r="AS20" s="24"/>
    </row>
    <row r="21" spans="1:45" ht="24" customHeight="1" x14ac:dyDescent="0.2">
      <c r="B21" s="275" t="s">
        <v>77</v>
      </c>
      <c r="C21" s="276"/>
      <c r="D21" s="276"/>
      <c r="E21" s="276"/>
      <c r="F21" s="277"/>
      <c r="G21" s="278" t="s">
        <v>78</v>
      </c>
      <c r="H21" s="269"/>
      <c r="I21" s="269"/>
      <c r="J21" s="269"/>
      <c r="K21" s="269"/>
      <c r="L21" s="269"/>
      <c r="M21" s="269"/>
      <c r="N21" s="269"/>
      <c r="O21" s="269"/>
      <c r="P21" s="269"/>
      <c r="Q21" s="269"/>
      <c r="R21" s="269"/>
      <c r="S21" s="269"/>
      <c r="T21" s="269"/>
      <c r="U21" s="269"/>
      <c r="V21" s="269"/>
      <c r="W21" s="269"/>
      <c r="X21" s="269"/>
      <c r="Y21" s="269"/>
      <c r="Z21" s="269"/>
      <c r="AA21" s="269"/>
      <c r="AB21" s="269"/>
      <c r="AC21" s="269"/>
      <c r="AD21" s="269"/>
      <c r="AE21" s="269"/>
      <c r="AF21" s="270"/>
      <c r="AS21" s="24"/>
    </row>
    <row r="22" spans="1:45" ht="24" customHeight="1" x14ac:dyDescent="0.2">
      <c r="B22" s="275" t="s">
        <v>79</v>
      </c>
      <c r="C22" s="276"/>
      <c r="D22" s="276"/>
      <c r="E22" s="276"/>
      <c r="F22" s="277"/>
      <c r="G22" s="278" t="s">
        <v>80</v>
      </c>
      <c r="H22" s="269"/>
      <c r="I22" s="269"/>
      <c r="J22" s="269"/>
      <c r="K22" s="269"/>
      <c r="L22" s="269"/>
      <c r="M22" s="269"/>
      <c r="N22" s="269"/>
      <c r="O22" s="269"/>
      <c r="P22" s="269"/>
      <c r="Q22" s="269"/>
      <c r="R22" s="269"/>
      <c r="S22" s="269"/>
      <c r="T22" s="269"/>
      <c r="U22" s="269"/>
      <c r="V22" s="269"/>
      <c r="W22" s="269"/>
      <c r="X22" s="269"/>
      <c r="Y22" s="269"/>
      <c r="Z22" s="269"/>
      <c r="AA22" s="269"/>
      <c r="AB22" s="269"/>
      <c r="AC22" s="269"/>
      <c r="AD22" s="269"/>
      <c r="AE22" s="269"/>
      <c r="AF22" s="270"/>
      <c r="AS22" s="24"/>
    </row>
    <row r="23" spans="1:45" x14ac:dyDescent="0.2">
      <c r="C23" s="25"/>
      <c r="I23" s="26"/>
    </row>
    <row r="24" spans="1:45" ht="20.25" x14ac:dyDescent="0.2">
      <c r="A24" s="22"/>
      <c r="B24" s="22" t="s">
        <v>27</v>
      </c>
      <c r="C24" s="25"/>
      <c r="I24" s="26"/>
    </row>
    <row r="25" spans="1:45" ht="12.75" customHeight="1" x14ac:dyDescent="0.2">
      <c r="B25" s="282" t="s">
        <v>0</v>
      </c>
      <c r="C25" s="283"/>
      <c r="D25" s="284"/>
      <c r="E25" s="282" t="s">
        <v>11</v>
      </c>
      <c r="F25" s="283"/>
      <c r="G25" s="283"/>
      <c r="H25" s="284"/>
      <c r="I25" s="282" t="s">
        <v>12</v>
      </c>
      <c r="J25" s="283"/>
      <c r="K25" s="283"/>
      <c r="L25" s="283"/>
      <c r="M25" s="283"/>
      <c r="N25" s="283"/>
      <c r="O25" s="283"/>
      <c r="P25" s="283"/>
      <c r="Q25" s="284"/>
      <c r="R25" s="282" t="s">
        <v>13</v>
      </c>
      <c r="S25" s="283"/>
      <c r="T25" s="283"/>
      <c r="U25" s="283"/>
      <c r="V25" s="283"/>
      <c r="W25" s="283"/>
      <c r="X25" s="283"/>
      <c r="Y25" s="283"/>
      <c r="Z25" s="283"/>
      <c r="AA25" s="283"/>
      <c r="AB25" s="283"/>
      <c r="AC25" s="283"/>
      <c r="AD25" s="283"/>
      <c r="AE25" s="283"/>
      <c r="AF25" s="284"/>
    </row>
    <row r="26" spans="1:45" ht="12.75" customHeight="1" x14ac:dyDescent="0.2">
      <c r="B26" s="296"/>
      <c r="C26" s="297"/>
      <c r="D26" s="298"/>
      <c r="E26" s="278"/>
      <c r="F26" s="269"/>
      <c r="G26" s="269"/>
      <c r="H26" s="270"/>
      <c r="I26" s="278" t="s">
        <v>14</v>
      </c>
      <c r="J26" s="269"/>
      <c r="K26" s="269"/>
      <c r="L26" s="269"/>
      <c r="M26" s="269"/>
      <c r="N26" s="269"/>
      <c r="O26" s="269"/>
      <c r="P26" s="269"/>
      <c r="Q26" s="270"/>
      <c r="R26" s="278"/>
      <c r="S26" s="269"/>
      <c r="T26" s="269"/>
      <c r="U26" s="269"/>
      <c r="V26" s="269"/>
      <c r="W26" s="269"/>
      <c r="X26" s="269"/>
      <c r="Y26" s="269"/>
      <c r="Z26" s="269"/>
      <c r="AA26" s="269"/>
      <c r="AB26" s="269"/>
      <c r="AC26" s="269"/>
      <c r="AD26" s="269"/>
      <c r="AE26" s="269"/>
      <c r="AF26" s="270"/>
    </row>
    <row r="27" spans="1:45" x14ac:dyDescent="0.2">
      <c r="B27" s="296"/>
      <c r="C27" s="297"/>
      <c r="D27" s="298"/>
      <c r="E27" s="278"/>
      <c r="F27" s="269"/>
      <c r="G27" s="269"/>
      <c r="H27" s="270"/>
      <c r="I27" s="278"/>
      <c r="J27" s="269"/>
      <c r="K27" s="269"/>
      <c r="L27" s="269"/>
      <c r="M27" s="269"/>
      <c r="N27" s="269"/>
      <c r="O27" s="269"/>
      <c r="P27" s="269"/>
      <c r="Q27" s="270"/>
      <c r="R27" s="278"/>
      <c r="S27" s="269"/>
      <c r="T27" s="269"/>
      <c r="U27" s="269"/>
      <c r="V27" s="269"/>
      <c r="W27" s="269"/>
      <c r="X27" s="269"/>
      <c r="Y27" s="269"/>
      <c r="Z27" s="269"/>
      <c r="AA27" s="269"/>
      <c r="AB27" s="269"/>
      <c r="AC27" s="269"/>
      <c r="AD27" s="269"/>
      <c r="AE27" s="269"/>
      <c r="AF27" s="270"/>
    </row>
    <row r="28" spans="1:45" x14ac:dyDescent="0.2">
      <c r="B28" s="296"/>
      <c r="C28" s="297"/>
      <c r="D28" s="298"/>
      <c r="E28" s="278"/>
      <c r="F28" s="269"/>
      <c r="G28" s="269"/>
      <c r="H28" s="270"/>
      <c r="I28" s="278"/>
      <c r="J28" s="269"/>
      <c r="K28" s="269"/>
      <c r="L28" s="269"/>
      <c r="M28" s="269"/>
      <c r="N28" s="269"/>
      <c r="O28" s="269"/>
      <c r="P28" s="269"/>
      <c r="Q28" s="270"/>
      <c r="R28" s="278"/>
      <c r="S28" s="269"/>
      <c r="T28" s="269"/>
      <c r="U28" s="269"/>
      <c r="V28" s="269"/>
      <c r="W28" s="269"/>
      <c r="X28" s="269"/>
      <c r="Y28" s="269"/>
      <c r="Z28" s="269"/>
      <c r="AA28" s="269"/>
      <c r="AB28" s="269"/>
      <c r="AC28" s="269"/>
      <c r="AD28" s="269"/>
      <c r="AE28" s="269"/>
      <c r="AF28" s="270"/>
    </row>
    <row r="29" spans="1:45" x14ac:dyDescent="0.2">
      <c r="B29" s="296"/>
      <c r="C29" s="297"/>
      <c r="D29" s="298"/>
      <c r="E29" s="278"/>
      <c r="F29" s="269"/>
      <c r="G29" s="269"/>
      <c r="H29" s="270"/>
      <c r="I29" s="278"/>
      <c r="J29" s="269"/>
      <c r="K29" s="269"/>
      <c r="L29" s="269"/>
      <c r="M29" s="269"/>
      <c r="N29" s="269"/>
      <c r="O29" s="269"/>
      <c r="P29" s="269"/>
      <c r="Q29" s="270"/>
      <c r="R29" s="278"/>
      <c r="S29" s="269"/>
      <c r="T29" s="269"/>
      <c r="U29" s="269"/>
      <c r="V29" s="269"/>
      <c r="W29" s="269"/>
      <c r="X29" s="269"/>
      <c r="Y29" s="269"/>
      <c r="Z29" s="269"/>
      <c r="AA29" s="269"/>
      <c r="AB29" s="269"/>
      <c r="AC29" s="269"/>
      <c r="AD29" s="269"/>
      <c r="AE29" s="269"/>
      <c r="AF29" s="270"/>
    </row>
    <row r="30" spans="1:45" x14ac:dyDescent="0.2">
      <c r="B30" s="27" t="s">
        <v>26</v>
      </c>
      <c r="C30" s="28"/>
      <c r="D30" s="28"/>
      <c r="E30" s="29"/>
      <c r="F30" s="29"/>
      <c r="G30" s="29"/>
      <c r="H30" s="29"/>
      <c r="I30" s="29"/>
      <c r="J30" s="30"/>
      <c r="K30" s="30"/>
      <c r="L30" s="30"/>
      <c r="M30" s="30"/>
      <c r="N30" s="30"/>
      <c r="O30" s="30"/>
      <c r="P30" s="30"/>
      <c r="Q30" s="30"/>
      <c r="R30" s="29"/>
      <c r="S30" s="29"/>
      <c r="T30" s="29"/>
      <c r="U30" s="29"/>
      <c r="V30" s="29"/>
      <c r="W30" s="29"/>
      <c r="X30" s="29"/>
      <c r="Y30" s="29"/>
      <c r="Z30" s="29"/>
      <c r="AA30" s="29"/>
      <c r="AB30" s="29"/>
      <c r="AC30" s="29"/>
      <c r="AD30" s="29"/>
      <c r="AE30" s="29"/>
      <c r="AF30" s="29"/>
    </row>
    <row r="31" spans="1:45" x14ac:dyDescent="0.2">
      <c r="C31" s="25"/>
      <c r="I31" s="26"/>
    </row>
    <row r="32" spans="1:45" ht="20.25" x14ac:dyDescent="0.2">
      <c r="B32" s="22" t="s">
        <v>18</v>
      </c>
      <c r="I32" s="26"/>
    </row>
    <row r="33" spans="2:33" ht="21.75" customHeight="1" x14ac:dyDescent="0.2">
      <c r="B33" s="288" t="s">
        <v>81</v>
      </c>
      <c r="C33" s="288"/>
      <c r="D33" s="288"/>
      <c r="E33" s="288"/>
      <c r="F33" s="288"/>
      <c r="G33" s="288"/>
      <c r="H33" s="288"/>
      <c r="I33" s="288"/>
      <c r="J33" s="288"/>
      <c r="K33" s="288"/>
      <c r="L33" s="288"/>
      <c r="M33" s="288"/>
      <c r="N33" s="288"/>
      <c r="O33" s="288"/>
      <c r="P33" s="288"/>
      <c r="Q33" s="288"/>
      <c r="R33" s="288"/>
      <c r="S33" s="288"/>
      <c r="T33" s="288"/>
      <c r="U33" s="288"/>
      <c r="V33" s="288"/>
      <c r="W33" s="288"/>
      <c r="X33" s="288"/>
      <c r="Y33" s="288"/>
      <c r="Z33" s="288"/>
      <c r="AA33" s="288"/>
      <c r="AB33" s="288"/>
      <c r="AC33" s="288"/>
      <c r="AD33" s="288"/>
      <c r="AE33" s="288"/>
      <c r="AF33" s="288"/>
      <c r="AG33" s="31"/>
    </row>
    <row r="34" spans="2:33" x14ac:dyDescent="0.2">
      <c r="J34" s="32"/>
    </row>
    <row r="35" spans="2:33" ht="20.25" x14ac:dyDescent="0.2">
      <c r="B35" s="22" t="s">
        <v>19</v>
      </c>
      <c r="C35" s="23"/>
      <c r="I35" s="26"/>
    </row>
    <row r="36" spans="2:33" ht="24.75" customHeight="1" x14ac:dyDescent="0.2">
      <c r="B36" s="33" t="s">
        <v>28</v>
      </c>
      <c r="C36" s="23"/>
      <c r="I36" s="26"/>
    </row>
    <row r="37" spans="2:33" ht="12.75" customHeight="1" x14ac:dyDescent="0.2">
      <c r="B37" s="282" t="s">
        <v>8</v>
      </c>
      <c r="C37" s="283"/>
      <c r="D37" s="284"/>
      <c r="E37" s="282" t="s">
        <v>9</v>
      </c>
      <c r="F37" s="283"/>
      <c r="G37" s="283"/>
      <c r="H37" s="283"/>
      <c r="I37" s="283"/>
      <c r="J37" s="283"/>
      <c r="K37" s="283"/>
      <c r="L37" s="283"/>
      <c r="M37" s="283"/>
      <c r="N37" s="283"/>
      <c r="O37" s="283"/>
      <c r="P37" s="283"/>
      <c r="Q37" s="283"/>
      <c r="R37" s="283"/>
      <c r="S37" s="283"/>
      <c r="T37" s="283"/>
      <c r="U37" s="283"/>
      <c r="V37" s="283"/>
      <c r="W37" s="283"/>
      <c r="X37" s="284"/>
      <c r="Y37" s="282" t="s">
        <v>10</v>
      </c>
      <c r="Z37" s="283"/>
      <c r="AA37" s="283"/>
      <c r="AB37" s="283"/>
      <c r="AC37" s="283"/>
      <c r="AD37" s="283"/>
      <c r="AE37" s="283"/>
      <c r="AF37" s="284"/>
    </row>
    <row r="38" spans="2:33" x14ac:dyDescent="0.2">
      <c r="B38" s="289"/>
      <c r="C38" s="290"/>
      <c r="D38" s="291"/>
      <c r="E38" s="278"/>
      <c r="F38" s="269"/>
      <c r="G38" s="269"/>
      <c r="H38" s="269"/>
      <c r="I38" s="269"/>
      <c r="J38" s="269"/>
      <c r="K38" s="269"/>
      <c r="L38" s="269"/>
      <c r="M38" s="269"/>
      <c r="N38" s="269"/>
      <c r="O38" s="269"/>
      <c r="P38" s="269"/>
      <c r="Q38" s="269"/>
      <c r="R38" s="269"/>
      <c r="S38" s="269"/>
      <c r="T38" s="269"/>
      <c r="U38" s="269"/>
      <c r="V38" s="269"/>
      <c r="W38" s="269"/>
      <c r="X38" s="270"/>
      <c r="Y38" s="278"/>
      <c r="Z38" s="269"/>
      <c r="AA38" s="269"/>
      <c r="AB38" s="269"/>
      <c r="AC38" s="269"/>
      <c r="AD38" s="269"/>
      <c r="AE38" s="269"/>
      <c r="AF38" s="270"/>
    </row>
    <row r="39" spans="2:33" x14ac:dyDescent="0.2">
      <c r="B39" s="289"/>
      <c r="C39" s="290"/>
      <c r="D39" s="291"/>
      <c r="E39" s="278"/>
      <c r="F39" s="269"/>
      <c r="G39" s="269"/>
      <c r="H39" s="269"/>
      <c r="I39" s="269"/>
      <c r="J39" s="269"/>
      <c r="K39" s="269"/>
      <c r="L39" s="269"/>
      <c r="M39" s="269"/>
      <c r="N39" s="269"/>
      <c r="O39" s="269"/>
      <c r="P39" s="269"/>
      <c r="Q39" s="269"/>
      <c r="R39" s="269"/>
      <c r="S39" s="269"/>
      <c r="T39" s="269"/>
      <c r="U39" s="269"/>
      <c r="V39" s="269"/>
      <c r="W39" s="269"/>
      <c r="X39" s="270"/>
      <c r="Y39" s="278"/>
      <c r="Z39" s="269"/>
      <c r="AA39" s="269"/>
      <c r="AB39" s="269"/>
      <c r="AC39" s="269"/>
      <c r="AD39" s="269"/>
      <c r="AE39" s="269"/>
      <c r="AF39" s="270"/>
    </row>
    <row r="40" spans="2:33" x14ac:dyDescent="0.2">
      <c r="B40" s="289"/>
      <c r="C40" s="290"/>
      <c r="D40" s="291"/>
      <c r="E40" s="278"/>
      <c r="F40" s="269"/>
      <c r="G40" s="269"/>
      <c r="H40" s="269"/>
      <c r="I40" s="269"/>
      <c r="J40" s="269"/>
      <c r="K40" s="269"/>
      <c r="L40" s="269"/>
      <c r="M40" s="269"/>
      <c r="N40" s="269"/>
      <c r="O40" s="269"/>
      <c r="P40" s="269"/>
      <c r="Q40" s="269"/>
      <c r="R40" s="269"/>
      <c r="S40" s="269"/>
      <c r="T40" s="269"/>
      <c r="U40" s="269"/>
      <c r="V40" s="269"/>
      <c r="W40" s="269"/>
      <c r="X40" s="270"/>
      <c r="Y40" s="278"/>
      <c r="Z40" s="269"/>
      <c r="AA40" s="269"/>
      <c r="AB40" s="269"/>
      <c r="AC40" s="269"/>
      <c r="AD40" s="269"/>
      <c r="AE40" s="269"/>
      <c r="AF40" s="270"/>
    </row>
    <row r="41" spans="2:33" x14ac:dyDescent="0.2">
      <c r="B41" s="289"/>
      <c r="C41" s="290"/>
      <c r="D41" s="291"/>
      <c r="E41" s="278"/>
      <c r="F41" s="269"/>
      <c r="G41" s="269"/>
      <c r="H41" s="269"/>
      <c r="I41" s="269"/>
      <c r="J41" s="269"/>
      <c r="K41" s="269"/>
      <c r="L41" s="269"/>
      <c r="M41" s="269"/>
      <c r="N41" s="269"/>
      <c r="O41" s="269"/>
      <c r="P41" s="269"/>
      <c r="Q41" s="269"/>
      <c r="R41" s="269"/>
      <c r="S41" s="269"/>
      <c r="T41" s="269"/>
      <c r="U41" s="269"/>
      <c r="V41" s="269"/>
      <c r="W41" s="269"/>
      <c r="X41" s="270"/>
      <c r="Y41" s="278"/>
      <c r="Z41" s="269"/>
      <c r="AA41" s="269"/>
      <c r="AB41" s="269"/>
      <c r="AC41" s="269"/>
      <c r="AD41" s="269"/>
      <c r="AE41" s="269"/>
      <c r="AF41" s="270"/>
    </row>
    <row r="42" spans="2:33" ht="24.75" customHeight="1" x14ac:dyDescent="0.2">
      <c r="B42" s="33" t="s">
        <v>29</v>
      </c>
      <c r="C42" s="23"/>
      <c r="I42" s="26"/>
    </row>
    <row r="43" spans="2:33" ht="12.75" customHeight="1" x14ac:dyDescent="0.2">
      <c r="B43" s="282" t="s">
        <v>8</v>
      </c>
      <c r="C43" s="283"/>
      <c r="D43" s="284"/>
      <c r="E43" s="282" t="s">
        <v>9</v>
      </c>
      <c r="F43" s="283"/>
      <c r="G43" s="283"/>
      <c r="H43" s="283"/>
      <c r="I43" s="283"/>
      <c r="J43" s="283"/>
      <c r="K43" s="283"/>
      <c r="L43" s="283"/>
      <c r="M43" s="283"/>
      <c r="N43" s="283"/>
      <c r="O43" s="283"/>
      <c r="P43" s="283"/>
      <c r="Q43" s="283"/>
      <c r="R43" s="283"/>
      <c r="S43" s="283"/>
      <c r="T43" s="283"/>
      <c r="U43" s="283"/>
      <c r="V43" s="283"/>
      <c r="W43" s="283"/>
      <c r="X43" s="284"/>
      <c r="Y43" s="282" t="s">
        <v>10</v>
      </c>
      <c r="Z43" s="283"/>
      <c r="AA43" s="283"/>
      <c r="AB43" s="283"/>
      <c r="AC43" s="283"/>
      <c r="AD43" s="283"/>
      <c r="AE43" s="283"/>
      <c r="AF43" s="284"/>
    </row>
    <row r="44" spans="2:33" x14ac:dyDescent="0.2">
      <c r="B44" s="289"/>
      <c r="C44" s="290"/>
      <c r="D44" s="291"/>
      <c r="E44" s="278"/>
      <c r="F44" s="269"/>
      <c r="G44" s="269"/>
      <c r="H44" s="269"/>
      <c r="I44" s="269"/>
      <c r="J44" s="269"/>
      <c r="K44" s="269"/>
      <c r="L44" s="269"/>
      <c r="M44" s="269"/>
      <c r="N44" s="269"/>
      <c r="O44" s="269"/>
      <c r="P44" s="269"/>
      <c r="Q44" s="269"/>
      <c r="R44" s="269"/>
      <c r="S44" s="269"/>
      <c r="T44" s="269"/>
      <c r="U44" s="269"/>
      <c r="V44" s="269"/>
      <c r="W44" s="269"/>
      <c r="X44" s="270"/>
      <c r="Y44" s="278"/>
      <c r="Z44" s="269"/>
      <c r="AA44" s="269"/>
      <c r="AB44" s="269"/>
      <c r="AC44" s="269"/>
      <c r="AD44" s="269"/>
      <c r="AE44" s="269"/>
      <c r="AF44" s="270"/>
    </row>
    <row r="45" spans="2:33" x14ac:dyDescent="0.2">
      <c r="B45" s="289"/>
      <c r="C45" s="290"/>
      <c r="D45" s="291"/>
      <c r="E45" s="278"/>
      <c r="F45" s="269"/>
      <c r="G45" s="269"/>
      <c r="H45" s="269"/>
      <c r="I45" s="269"/>
      <c r="J45" s="269"/>
      <c r="K45" s="269"/>
      <c r="L45" s="269"/>
      <c r="M45" s="269"/>
      <c r="N45" s="269"/>
      <c r="O45" s="269"/>
      <c r="P45" s="269"/>
      <c r="Q45" s="269"/>
      <c r="R45" s="269"/>
      <c r="S45" s="269"/>
      <c r="T45" s="269"/>
      <c r="U45" s="269"/>
      <c r="V45" s="269"/>
      <c r="W45" s="269"/>
      <c r="X45" s="270"/>
      <c r="Y45" s="278"/>
      <c r="Z45" s="269"/>
      <c r="AA45" s="269"/>
      <c r="AB45" s="269"/>
      <c r="AC45" s="269"/>
      <c r="AD45" s="269"/>
      <c r="AE45" s="269"/>
      <c r="AF45" s="270"/>
    </row>
    <row r="46" spans="2:33" x14ac:dyDescent="0.2">
      <c r="B46" s="289"/>
      <c r="C46" s="290"/>
      <c r="D46" s="291"/>
      <c r="E46" s="278"/>
      <c r="F46" s="269"/>
      <c r="G46" s="269"/>
      <c r="H46" s="269"/>
      <c r="I46" s="269"/>
      <c r="J46" s="269"/>
      <c r="K46" s="269"/>
      <c r="L46" s="269"/>
      <c r="M46" s="269"/>
      <c r="N46" s="269"/>
      <c r="O46" s="269"/>
      <c r="P46" s="269"/>
      <c r="Q46" s="269"/>
      <c r="R46" s="269"/>
      <c r="S46" s="269"/>
      <c r="T46" s="269"/>
      <c r="U46" s="269"/>
      <c r="V46" s="269"/>
      <c r="W46" s="269"/>
      <c r="X46" s="270"/>
      <c r="Y46" s="278"/>
      <c r="Z46" s="269"/>
      <c r="AA46" s="269"/>
      <c r="AB46" s="269"/>
      <c r="AC46" s="269"/>
      <c r="AD46" s="269"/>
      <c r="AE46" s="269"/>
      <c r="AF46" s="270"/>
    </row>
    <row r="47" spans="2:33" x14ac:dyDescent="0.2">
      <c r="B47" s="289"/>
      <c r="C47" s="290"/>
      <c r="D47" s="291"/>
      <c r="E47" s="278"/>
      <c r="F47" s="269"/>
      <c r="G47" s="269"/>
      <c r="H47" s="269"/>
      <c r="I47" s="269"/>
      <c r="J47" s="269"/>
      <c r="K47" s="269"/>
      <c r="L47" s="269"/>
      <c r="M47" s="269"/>
      <c r="N47" s="269"/>
      <c r="O47" s="269"/>
      <c r="P47" s="269"/>
      <c r="Q47" s="269"/>
      <c r="R47" s="269"/>
      <c r="S47" s="269"/>
      <c r="T47" s="269"/>
      <c r="U47" s="269"/>
      <c r="V47" s="269"/>
      <c r="W47" s="269"/>
      <c r="X47" s="270"/>
      <c r="Y47" s="278"/>
      <c r="Z47" s="269"/>
      <c r="AA47" s="269"/>
      <c r="AB47" s="269"/>
      <c r="AC47" s="269"/>
      <c r="AD47" s="269"/>
      <c r="AE47" s="269"/>
      <c r="AF47" s="270"/>
    </row>
    <row r="48" spans="2:33" x14ac:dyDescent="0.2">
      <c r="C48" s="25"/>
      <c r="I48" s="26"/>
    </row>
    <row r="49" spans="2:32" ht="20.25" x14ac:dyDescent="0.2">
      <c r="B49" s="22" t="s">
        <v>31</v>
      </c>
      <c r="C49" s="23"/>
      <c r="I49" s="26"/>
    </row>
    <row r="50" spans="2:32" ht="12.75" customHeight="1" x14ac:dyDescent="0.2">
      <c r="B50" s="282" t="s">
        <v>30</v>
      </c>
      <c r="C50" s="283"/>
      <c r="D50" s="283"/>
      <c r="E50" s="283"/>
      <c r="F50" s="283"/>
      <c r="G50" s="284"/>
      <c r="H50" s="285"/>
      <c r="I50" s="286"/>
      <c r="J50" s="286"/>
      <c r="K50" s="286"/>
      <c r="L50" s="286"/>
      <c r="M50" s="286"/>
      <c r="N50" s="286"/>
      <c r="O50" s="286"/>
      <c r="P50" s="286"/>
      <c r="Q50" s="286"/>
      <c r="R50" s="286"/>
      <c r="S50" s="286"/>
      <c r="T50" s="286"/>
      <c r="U50" s="286"/>
      <c r="V50" s="286"/>
      <c r="W50" s="286"/>
      <c r="X50" s="286"/>
      <c r="Y50" s="286"/>
      <c r="Z50" s="286"/>
      <c r="AA50" s="286"/>
      <c r="AB50" s="286"/>
      <c r="AC50" s="286"/>
      <c r="AD50" s="286"/>
      <c r="AE50" s="286"/>
      <c r="AF50" s="287"/>
    </row>
    <row r="51" spans="2:32" x14ac:dyDescent="0.2">
      <c r="B51" s="278"/>
      <c r="C51" s="269"/>
      <c r="D51" s="269"/>
      <c r="E51" s="269"/>
      <c r="F51" s="269"/>
      <c r="G51" s="270"/>
      <c r="H51" s="279"/>
      <c r="I51" s="280"/>
      <c r="J51" s="280"/>
      <c r="K51" s="280"/>
      <c r="L51" s="280"/>
      <c r="M51" s="280"/>
      <c r="N51" s="280"/>
      <c r="O51" s="280"/>
      <c r="P51" s="280"/>
      <c r="Q51" s="280"/>
      <c r="R51" s="280"/>
      <c r="S51" s="280"/>
      <c r="T51" s="280"/>
      <c r="U51" s="280"/>
      <c r="V51" s="280"/>
      <c r="W51" s="280"/>
      <c r="X51" s="280"/>
      <c r="Y51" s="280"/>
      <c r="Z51" s="280"/>
      <c r="AA51" s="280"/>
      <c r="AB51" s="280"/>
      <c r="AC51" s="280"/>
      <c r="AD51" s="280"/>
      <c r="AE51" s="280"/>
      <c r="AF51" s="281"/>
    </row>
    <row r="52" spans="2:32" x14ac:dyDescent="0.2">
      <c r="B52" s="278"/>
      <c r="C52" s="269"/>
      <c r="D52" s="269"/>
      <c r="E52" s="269"/>
      <c r="F52" s="269"/>
      <c r="G52" s="270"/>
      <c r="H52" s="279"/>
      <c r="I52" s="280"/>
      <c r="J52" s="280"/>
      <c r="K52" s="280"/>
      <c r="L52" s="280"/>
      <c r="M52" s="280"/>
      <c r="N52" s="280"/>
      <c r="O52" s="280"/>
      <c r="P52" s="280"/>
      <c r="Q52" s="280"/>
      <c r="R52" s="280"/>
      <c r="S52" s="280"/>
      <c r="T52" s="280"/>
      <c r="U52" s="280"/>
      <c r="V52" s="280"/>
      <c r="W52" s="280"/>
      <c r="X52" s="280"/>
      <c r="Y52" s="280"/>
      <c r="Z52" s="280"/>
      <c r="AA52" s="280"/>
      <c r="AB52" s="280"/>
      <c r="AC52" s="280"/>
      <c r="AD52" s="280"/>
      <c r="AE52" s="280"/>
      <c r="AF52" s="281"/>
    </row>
    <row r="53" spans="2:32" x14ac:dyDescent="0.2">
      <c r="B53" s="278"/>
      <c r="C53" s="269"/>
      <c r="D53" s="269"/>
      <c r="E53" s="269"/>
      <c r="F53" s="269"/>
      <c r="G53" s="270"/>
      <c r="H53" s="279"/>
      <c r="I53" s="280"/>
      <c r="J53" s="280"/>
      <c r="K53" s="280"/>
      <c r="L53" s="280"/>
      <c r="M53" s="280"/>
      <c r="N53" s="280"/>
      <c r="O53" s="280"/>
      <c r="P53" s="280"/>
      <c r="Q53" s="280"/>
      <c r="R53" s="280"/>
      <c r="S53" s="280"/>
      <c r="T53" s="280"/>
      <c r="U53" s="280"/>
      <c r="V53" s="280"/>
      <c r="W53" s="280"/>
      <c r="X53" s="280"/>
      <c r="Y53" s="280"/>
      <c r="Z53" s="280"/>
      <c r="AA53" s="280"/>
      <c r="AB53" s="280"/>
      <c r="AC53" s="280"/>
      <c r="AD53" s="280"/>
      <c r="AE53" s="280"/>
      <c r="AF53" s="281"/>
    </row>
    <row r="54" spans="2:32" x14ac:dyDescent="0.2">
      <c r="B54" s="278"/>
      <c r="C54" s="269"/>
      <c r="D54" s="269"/>
      <c r="E54" s="269"/>
      <c r="F54" s="269"/>
      <c r="G54" s="270"/>
      <c r="H54" s="279"/>
      <c r="I54" s="280"/>
      <c r="J54" s="280"/>
      <c r="K54" s="280"/>
      <c r="L54" s="280"/>
      <c r="M54" s="280"/>
      <c r="N54" s="280"/>
      <c r="O54" s="280"/>
      <c r="P54" s="280"/>
      <c r="Q54" s="280"/>
      <c r="R54" s="280"/>
      <c r="S54" s="280"/>
      <c r="T54" s="280"/>
      <c r="U54" s="280"/>
      <c r="V54" s="280"/>
      <c r="W54" s="280"/>
      <c r="X54" s="280"/>
      <c r="Y54" s="280"/>
      <c r="Z54" s="280"/>
      <c r="AA54" s="280"/>
      <c r="AB54" s="280"/>
      <c r="AC54" s="280"/>
      <c r="AD54" s="280"/>
      <c r="AE54" s="280"/>
      <c r="AF54" s="281"/>
    </row>
    <row r="55" spans="2:32" x14ac:dyDescent="0.2">
      <c r="B55" s="278"/>
      <c r="C55" s="269"/>
      <c r="D55" s="269"/>
      <c r="E55" s="269"/>
      <c r="F55" s="269"/>
      <c r="G55" s="270"/>
      <c r="H55" s="279"/>
      <c r="I55" s="280"/>
      <c r="J55" s="280"/>
      <c r="K55" s="280"/>
      <c r="L55" s="280"/>
      <c r="M55" s="280"/>
      <c r="N55" s="280"/>
      <c r="O55" s="280"/>
      <c r="P55" s="280"/>
      <c r="Q55" s="280"/>
      <c r="R55" s="280"/>
      <c r="S55" s="280"/>
      <c r="T55" s="280"/>
      <c r="U55" s="280"/>
      <c r="V55" s="280"/>
      <c r="W55" s="280"/>
      <c r="X55" s="280"/>
      <c r="Y55" s="280"/>
      <c r="Z55" s="280"/>
      <c r="AA55" s="280"/>
      <c r="AB55" s="280"/>
      <c r="AC55" s="280"/>
      <c r="AD55" s="280"/>
      <c r="AE55" s="280"/>
      <c r="AF55" s="281"/>
    </row>
    <row r="56" spans="2:32" x14ac:dyDescent="0.2">
      <c r="B56" s="29"/>
      <c r="C56" s="29"/>
      <c r="D56" s="29"/>
      <c r="E56" s="29"/>
      <c r="F56" s="29"/>
      <c r="G56" s="29"/>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row>
    <row r="57" spans="2:32" x14ac:dyDescent="0.2">
      <c r="B57" s="29"/>
      <c r="C57" s="29"/>
      <c r="D57" s="29"/>
      <c r="E57" s="29"/>
      <c r="F57" s="29"/>
      <c r="G57" s="29"/>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row>
    <row r="58" spans="2:32" ht="26.25" x14ac:dyDescent="0.2">
      <c r="B58" s="35" t="s">
        <v>32</v>
      </c>
      <c r="C58" s="36"/>
      <c r="D58" s="36"/>
      <c r="E58" s="36"/>
      <c r="F58" s="36"/>
      <c r="G58" s="36"/>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row>
    <row r="59" spans="2:32" ht="15.75" customHeight="1" x14ac:dyDescent="0.2">
      <c r="B59" s="38"/>
      <c r="C59" s="29"/>
      <c r="D59" s="29"/>
      <c r="E59" s="29"/>
      <c r="F59" s="29"/>
      <c r="G59" s="29"/>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row>
    <row r="60" spans="2:32" x14ac:dyDescent="0.2">
      <c r="B60" s="39"/>
      <c r="C60" s="39"/>
      <c r="D60" s="39"/>
      <c r="E60" s="39"/>
      <c r="F60" s="39"/>
      <c r="G60" s="39"/>
      <c r="H60" s="40"/>
      <c r="I60" s="40"/>
      <c r="J60" s="40"/>
      <c r="K60" s="40"/>
      <c r="L60" s="40"/>
      <c r="N60" s="271" t="s">
        <v>82</v>
      </c>
      <c r="O60" s="271"/>
      <c r="P60" s="271"/>
      <c r="Q60" s="271"/>
      <c r="R60" s="271"/>
      <c r="S60" s="271"/>
      <c r="T60" s="271"/>
      <c r="W60" s="40"/>
      <c r="X60" s="40"/>
      <c r="Y60" s="40"/>
      <c r="Z60" s="40"/>
      <c r="AA60" s="40"/>
      <c r="AB60" s="40"/>
      <c r="AC60" s="40"/>
      <c r="AD60" s="40"/>
      <c r="AE60" s="40"/>
      <c r="AF60" s="40"/>
    </row>
    <row r="61" spans="2:32" x14ac:dyDescent="0.2">
      <c r="B61" s="39"/>
      <c r="C61" s="39"/>
      <c r="D61" s="39"/>
      <c r="E61" s="39"/>
      <c r="F61" s="39"/>
      <c r="G61" s="39"/>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row>
    <row r="62" spans="2:32" x14ac:dyDescent="0.2">
      <c r="B62" s="39"/>
      <c r="C62" s="39"/>
      <c r="D62" s="39"/>
      <c r="E62" s="39"/>
      <c r="F62" s="39"/>
      <c r="G62" s="39"/>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row>
    <row r="63" spans="2:32" x14ac:dyDescent="0.2">
      <c r="B63" s="39"/>
      <c r="C63" s="39"/>
      <c r="D63" s="39"/>
      <c r="E63" s="39"/>
      <c r="F63" s="39"/>
      <c r="G63" s="39"/>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row>
    <row r="64" spans="2:32" hidden="1" x14ac:dyDescent="0.2">
      <c r="B64" s="39"/>
      <c r="C64" s="39"/>
      <c r="D64" s="39"/>
      <c r="E64" s="39"/>
      <c r="F64" s="39"/>
      <c r="G64" s="39"/>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row>
    <row r="65" spans="2:34" hidden="1" x14ac:dyDescent="0.2">
      <c r="B65" s="39"/>
      <c r="C65" s="39"/>
      <c r="D65" s="39"/>
      <c r="E65" s="39"/>
      <c r="F65" s="39"/>
      <c r="G65" s="39"/>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row>
    <row r="66" spans="2:34" hidden="1" x14ac:dyDescent="0.2">
      <c r="B66" s="39"/>
      <c r="C66" s="39"/>
      <c r="D66" s="39"/>
      <c r="E66" s="39"/>
      <c r="F66" s="39"/>
      <c r="G66" s="39"/>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row>
    <row r="67" spans="2:34" hidden="1" x14ac:dyDescent="0.2">
      <c r="B67" s="39"/>
      <c r="C67" s="39"/>
      <c r="D67" s="39"/>
      <c r="E67" s="39"/>
      <c r="F67" s="39"/>
      <c r="G67" s="39"/>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row>
    <row r="68" spans="2:34" hidden="1" x14ac:dyDescent="0.2">
      <c r="B68" s="39"/>
      <c r="C68" s="39"/>
      <c r="D68" s="39"/>
      <c r="E68" s="39"/>
      <c r="F68" s="39"/>
      <c r="G68" s="39"/>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row>
    <row r="69" spans="2:34" hidden="1" x14ac:dyDescent="0.2">
      <c r="B69" s="39"/>
      <c r="C69" s="39"/>
      <c r="D69" s="39"/>
      <c r="E69" s="39"/>
      <c r="F69" s="39"/>
      <c r="G69" s="39"/>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row>
    <row r="70" spans="2:34" hidden="1" x14ac:dyDescent="0.2">
      <c r="B70" s="39"/>
      <c r="C70" s="39"/>
      <c r="D70" s="39"/>
      <c r="E70" s="39"/>
      <c r="F70" s="39"/>
      <c r="G70" s="39"/>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row>
    <row r="71" spans="2:34" hidden="1" x14ac:dyDescent="0.2">
      <c r="B71" s="39"/>
      <c r="C71" s="39"/>
      <c r="D71" s="39"/>
      <c r="E71" s="39"/>
      <c r="F71" s="39"/>
      <c r="G71" s="39"/>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row>
    <row r="72" spans="2:34" hidden="1" x14ac:dyDescent="0.2">
      <c r="B72" s="39"/>
      <c r="C72" s="39"/>
      <c r="D72" s="39"/>
      <c r="E72" s="39"/>
      <c r="F72" s="39"/>
      <c r="G72" s="39"/>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row>
    <row r="73" spans="2:34" ht="12" hidden="1" customHeight="1" x14ac:dyDescent="0.2"/>
    <row r="74" spans="2:34" hidden="1" x14ac:dyDescent="0.2">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row>
    <row r="75" spans="2:34" ht="12.75" hidden="1" customHeight="1" x14ac:dyDescent="0.2">
      <c r="F75" s="41"/>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1"/>
    </row>
    <row r="76" spans="2:34" ht="12.75" hidden="1" customHeight="1" x14ac:dyDescent="0.2">
      <c r="F76" s="41"/>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41"/>
    </row>
    <row r="77" spans="2:34" hidden="1" x14ac:dyDescent="0.2">
      <c r="F77" s="41"/>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41"/>
    </row>
    <row r="78" spans="2:34" hidden="1" x14ac:dyDescent="0.2">
      <c r="F78" s="43"/>
      <c r="G78" s="43"/>
      <c r="H78" s="43"/>
      <c r="I78" s="43"/>
      <c r="J78" s="41"/>
      <c r="K78" s="41"/>
      <c r="L78" s="41"/>
      <c r="M78" s="41"/>
      <c r="N78" s="41"/>
      <c r="O78" s="41"/>
      <c r="P78" s="41"/>
      <c r="Q78" s="41"/>
      <c r="R78" s="41"/>
      <c r="S78" s="43"/>
      <c r="T78" s="43"/>
      <c r="U78" s="43"/>
      <c r="V78" s="43"/>
      <c r="W78" s="43"/>
      <c r="X78" s="43"/>
      <c r="Y78" s="43"/>
      <c r="Z78" s="43"/>
      <c r="AA78" s="43"/>
      <c r="AB78" s="43"/>
      <c r="AC78" s="43"/>
      <c r="AD78" s="43"/>
      <c r="AE78" s="43"/>
      <c r="AF78" s="43"/>
      <c r="AG78" s="43"/>
      <c r="AH78" s="41"/>
    </row>
    <row r="79" spans="2:34" hidden="1" x14ac:dyDescent="0.2">
      <c r="F79" s="43"/>
      <c r="G79" s="43"/>
      <c r="H79" s="43"/>
      <c r="I79" s="43"/>
      <c r="J79" s="41"/>
      <c r="K79" s="41"/>
      <c r="L79" s="41"/>
      <c r="M79" s="41"/>
      <c r="N79" s="41"/>
      <c r="O79" s="41"/>
      <c r="P79" s="41"/>
      <c r="Q79" s="41"/>
      <c r="R79" s="41"/>
      <c r="S79" s="43"/>
      <c r="T79" s="43"/>
      <c r="U79" s="43"/>
      <c r="V79" s="43"/>
      <c r="W79" s="43"/>
      <c r="X79" s="43"/>
      <c r="Y79" s="43"/>
      <c r="Z79" s="43"/>
      <c r="AA79" s="43"/>
      <c r="AB79" s="43"/>
      <c r="AC79" s="43"/>
      <c r="AD79" s="43"/>
      <c r="AE79" s="43"/>
      <c r="AF79" s="43"/>
      <c r="AG79" s="43"/>
      <c r="AH79" s="41"/>
    </row>
    <row r="80" spans="2:34" hidden="1" x14ac:dyDescent="0.2">
      <c r="F80" s="44"/>
      <c r="G80" s="44"/>
      <c r="H80" s="44"/>
      <c r="I80" s="44"/>
      <c r="J80" s="44"/>
      <c r="K80" s="44"/>
      <c r="R80" s="44"/>
      <c r="S80" s="43"/>
      <c r="T80" s="43"/>
      <c r="U80" s="43"/>
      <c r="V80" s="43"/>
      <c r="W80" s="43"/>
      <c r="X80" s="43"/>
      <c r="Y80" s="43"/>
      <c r="Z80" s="43"/>
      <c r="AA80" s="43"/>
      <c r="AB80" s="43"/>
      <c r="AC80" s="43"/>
      <c r="AD80" s="43"/>
      <c r="AE80" s="43"/>
      <c r="AF80" s="43"/>
      <c r="AG80" s="43"/>
      <c r="AH80" s="44"/>
    </row>
    <row r="81" spans="18:34" hidden="1" x14ac:dyDescent="0.2">
      <c r="R81" s="44"/>
      <c r="S81" s="44"/>
      <c r="T81" s="44"/>
      <c r="U81" s="44"/>
      <c r="V81" s="44"/>
      <c r="W81" s="44"/>
      <c r="X81" s="44"/>
      <c r="Y81" s="44"/>
      <c r="Z81" s="44"/>
      <c r="AA81" s="44"/>
      <c r="AB81" s="44"/>
      <c r="AC81" s="44"/>
      <c r="AD81" s="44"/>
      <c r="AE81" s="44"/>
      <c r="AF81" s="44"/>
      <c r="AG81" s="44"/>
      <c r="AH81" s="44"/>
    </row>
    <row r="82" spans="18:34" hidden="1" x14ac:dyDescent="0.2">
      <c r="R82" s="44"/>
      <c r="S82" s="44"/>
      <c r="T82" s="44"/>
      <c r="U82" s="44"/>
      <c r="V82" s="44"/>
      <c r="W82" s="44"/>
      <c r="X82" s="44"/>
      <c r="Y82" s="44"/>
      <c r="Z82" s="44"/>
      <c r="AA82" s="44"/>
      <c r="AB82" s="44"/>
      <c r="AC82" s="44"/>
      <c r="AD82" s="44"/>
      <c r="AE82" s="44"/>
      <c r="AF82" s="44"/>
      <c r="AG82" s="44"/>
      <c r="AH82" s="44"/>
    </row>
    <row r="174" x14ac:dyDescent="0.2"/>
  </sheetData>
  <sheetProtection formatCells="0" formatRows="0" insertColumns="0" insertRows="0" insertHyperlinks="0" deleteRows="0" selectLockedCells="1" sort="0" autoFilter="0" pivotTables="0"/>
  <mergeCells count="98">
    <mergeCell ref="E41:X41"/>
    <mergeCell ref="Y41:AF41"/>
    <mergeCell ref="B47:D47"/>
    <mergeCell ref="B44:D44"/>
    <mergeCell ref="B46:D46"/>
    <mergeCell ref="B43:D43"/>
    <mergeCell ref="Y45:AF45"/>
    <mergeCell ref="E45:X45"/>
    <mergeCell ref="E47:X47"/>
    <mergeCell ref="E46:X46"/>
    <mergeCell ref="Y44:AF44"/>
    <mergeCell ref="Y46:AF46"/>
    <mergeCell ref="Y47:AF47"/>
    <mergeCell ref="E43:X43"/>
    <mergeCell ref="E44:X44"/>
    <mergeCell ref="B29:D29"/>
    <mergeCell ref="I29:Q29"/>
    <mergeCell ref="B27:D27"/>
    <mergeCell ref="I27:Q27"/>
    <mergeCell ref="B28:D28"/>
    <mergeCell ref="E28:H28"/>
    <mergeCell ref="I26:Q26"/>
    <mergeCell ref="E27:H27"/>
    <mergeCell ref="E29:H29"/>
    <mergeCell ref="I28:Q28"/>
    <mergeCell ref="R28:AF28"/>
    <mergeCell ref="E26:H26"/>
    <mergeCell ref="AB6:AD6"/>
    <mergeCell ref="AB7:AD7"/>
    <mergeCell ref="A4:V4"/>
    <mergeCell ref="A5:V5"/>
    <mergeCell ref="W4:AA4"/>
    <mergeCell ref="W5:AA5"/>
    <mergeCell ref="A6:D6"/>
    <mergeCell ref="W6:AA6"/>
    <mergeCell ref="E6:V6"/>
    <mergeCell ref="AB4:AG4"/>
    <mergeCell ref="AB5:AG5"/>
    <mergeCell ref="AE6:AG6"/>
    <mergeCell ref="AE7:AG7"/>
    <mergeCell ref="W7:AA7"/>
    <mergeCell ref="G15:AF15"/>
    <mergeCell ref="G16:AF16"/>
    <mergeCell ref="G17:AF17"/>
    <mergeCell ref="B16:F16"/>
    <mergeCell ref="E7:V7"/>
    <mergeCell ref="B17:F17"/>
    <mergeCell ref="A7:D7"/>
    <mergeCell ref="A9:AG9"/>
    <mergeCell ref="A8:AG8"/>
    <mergeCell ref="B39:D39"/>
    <mergeCell ref="E39:X39"/>
    <mergeCell ref="E40:X40"/>
    <mergeCell ref="B41:D41"/>
    <mergeCell ref="B15:F15"/>
    <mergeCell ref="B25:D25"/>
    <mergeCell ref="I25:Q25"/>
    <mergeCell ref="R25:AF25"/>
    <mergeCell ref="E25:H25"/>
    <mergeCell ref="B18:F18"/>
    <mergeCell ref="G18:AF18"/>
    <mergeCell ref="B19:F19"/>
    <mergeCell ref="R26:AF26"/>
    <mergeCell ref="B37:D37"/>
    <mergeCell ref="E37:X37"/>
    <mergeCell ref="B26:D26"/>
    <mergeCell ref="B53:G53"/>
    <mergeCell ref="H53:AF53"/>
    <mergeCell ref="B51:G51"/>
    <mergeCell ref="H51:AF51"/>
    <mergeCell ref="R27:AF27"/>
    <mergeCell ref="B33:AF33"/>
    <mergeCell ref="Y43:AF43"/>
    <mergeCell ref="R29:AF29"/>
    <mergeCell ref="B45:D45"/>
    <mergeCell ref="Y40:AF40"/>
    <mergeCell ref="B40:D40"/>
    <mergeCell ref="Y38:AF38"/>
    <mergeCell ref="Y39:AF39"/>
    <mergeCell ref="Y37:AF37"/>
    <mergeCell ref="B38:D38"/>
    <mergeCell ref="E38:X38"/>
    <mergeCell ref="G19:AF19"/>
    <mergeCell ref="N60:T60"/>
    <mergeCell ref="B20:F20"/>
    <mergeCell ref="G20:AF20"/>
    <mergeCell ref="B21:F21"/>
    <mergeCell ref="G21:AF21"/>
    <mergeCell ref="B22:F22"/>
    <mergeCell ref="G22:AF22"/>
    <mergeCell ref="B52:G52"/>
    <mergeCell ref="H52:AF52"/>
    <mergeCell ref="B50:G50"/>
    <mergeCell ref="B55:G55"/>
    <mergeCell ref="H50:AF50"/>
    <mergeCell ref="H55:AF55"/>
    <mergeCell ref="B54:G54"/>
    <mergeCell ref="H54:AF54"/>
  </mergeCells>
  <phoneticPr fontId="5" type="noConversion"/>
  <hyperlinks>
    <hyperlink ref="N60"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S24"/>
  <sheetViews>
    <sheetView zoomScale="80" zoomScaleNormal="80" zoomScaleSheetLayoutView="90" workbookViewId="0">
      <selection activeCell="A6" sqref="A6:S6"/>
    </sheetView>
  </sheetViews>
  <sheetFormatPr defaultColWidth="0" defaultRowHeight="12.75" zeroHeight="1" x14ac:dyDescent="0.2"/>
  <cols>
    <col min="1" max="1" width="24.85546875" bestFit="1" customWidth="1"/>
    <col min="2" max="2" width="13.85546875" bestFit="1" customWidth="1"/>
    <col min="3" max="3" width="15" customWidth="1"/>
    <col min="4" max="4" width="13.7109375" bestFit="1" customWidth="1"/>
    <col min="5" max="5" width="19.5703125" bestFit="1" customWidth="1"/>
    <col min="6" max="6" width="34.5703125" customWidth="1"/>
    <col min="7" max="8" width="13.5703125" bestFit="1" customWidth="1"/>
    <col min="9" max="9" width="23.5703125" customWidth="1"/>
    <col min="10" max="10" width="15.85546875" bestFit="1" customWidth="1"/>
    <col min="11" max="11" width="12.140625" bestFit="1" customWidth="1"/>
    <col min="12" max="12" width="13.85546875" bestFit="1" customWidth="1"/>
    <col min="13" max="13" width="4.140625" bestFit="1" customWidth="1"/>
    <col min="14" max="18" width="15" customWidth="1"/>
    <col min="19" max="19" width="11.28515625" customWidth="1"/>
  </cols>
  <sheetData>
    <row r="1" spans="1:19" ht="22.5" x14ac:dyDescent="0.3">
      <c r="A1" s="306" t="s">
        <v>39</v>
      </c>
      <c r="B1" s="306"/>
      <c r="C1" s="306"/>
      <c r="D1" s="306"/>
      <c r="E1" s="306"/>
      <c r="F1" s="306"/>
      <c r="G1" s="306"/>
      <c r="H1" s="306"/>
      <c r="I1" s="306"/>
      <c r="J1" s="306"/>
      <c r="K1" s="306"/>
      <c r="L1" s="306"/>
      <c r="M1" s="306"/>
      <c r="N1" s="306"/>
      <c r="O1" s="306"/>
      <c r="P1" s="306"/>
      <c r="Q1" s="306"/>
      <c r="R1" s="306"/>
      <c r="S1" s="306"/>
    </row>
    <row r="2" spans="1:19" s="60" customFormat="1" ht="37.5" customHeight="1" x14ac:dyDescent="0.2">
      <c r="A2" s="308" t="s">
        <v>106</v>
      </c>
      <c r="B2" s="308"/>
      <c r="C2" s="308"/>
      <c r="D2" s="308"/>
      <c r="E2" s="308"/>
      <c r="F2" s="308"/>
      <c r="G2" s="308"/>
      <c r="H2" s="308"/>
      <c r="I2" s="308"/>
      <c r="J2" s="308"/>
      <c r="K2" s="308"/>
      <c r="L2" s="308"/>
      <c r="M2" s="308"/>
      <c r="N2" s="308"/>
      <c r="O2" s="308"/>
      <c r="P2" s="308"/>
      <c r="Q2" s="308"/>
      <c r="R2" s="308"/>
      <c r="S2" s="308"/>
    </row>
    <row r="3" spans="1:19" s="60" customFormat="1" ht="37.5" customHeight="1" x14ac:dyDescent="0.2">
      <c r="A3" s="308" t="s">
        <v>107</v>
      </c>
      <c r="B3" s="308"/>
      <c r="C3" s="308"/>
      <c r="D3" s="308"/>
      <c r="E3" s="308"/>
      <c r="F3" s="308"/>
      <c r="G3" s="308"/>
      <c r="H3" s="308"/>
      <c r="I3" s="308"/>
      <c r="J3" s="308"/>
      <c r="K3" s="308"/>
      <c r="L3" s="308"/>
      <c r="M3" s="308"/>
      <c r="N3" s="308"/>
      <c r="O3" s="308"/>
      <c r="P3" s="308"/>
      <c r="Q3" s="308"/>
      <c r="R3" s="308"/>
      <c r="S3" s="308"/>
    </row>
    <row r="4" spans="1:19" x14ac:dyDescent="0.2">
      <c r="A4" s="308" t="s">
        <v>110</v>
      </c>
      <c r="B4" s="308"/>
      <c r="C4" s="308"/>
      <c r="D4" s="308"/>
      <c r="E4" s="308"/>
      <c r="F4" s="308"/>
      <c r="G4" s="308"/>
      <c r="H4" s="308"/>
      <c r="I4" s="308"/>
      <c r="J4" s="308"/>
      <c r="K4" s="308"/>
      <c r="L4" s="308"/>
      <c r="M4" s="308"/>
      <c r="N4" s="197"/>
      <c r="O4" s="197"/>
      <c r="P4" s="197"/>
      <c r="Q4" s="197"/>
      <c r="R4" s="197"/>
    </row>
    <row r="5" spans="1:19" s="62" customFormat="1" x14ac:dyDescent="0.2">
      <c r="A5" s="309" t="s">
        <v>109</v>
      </c>
      <c r="B5" s="310"/>
      <c r="C5" s="310"/>
      <c r="D5" s="310"/>
      <c r="E5" s="310"/>
      <c r="F5" s="310"/>
      <c r="G5" s="310"/>
      <c r="H5" s="310"/>
      <c r="I5" s="310"/>
      <c r="J5" s="310"/>
      <c r="K5" s="310"/>
      <c r="L5" s="310"/>
      <c r="M5" s="310"/>
      <c r="N5" s="198"/>
      <c r="O5" s="198"/>
      <c r="P5" s="198"/>
      <c r="Q5" s="198"/>
      <c r="R5" s="198"/>
    </row>
    <row r="6" spans="1:19" ht="67.5" customHeight="1" x14ac:dyDescent="0.2">
      <c r="A6" s="311" t="s">
        <v>108</v>
      </c>
      <c r="B6" s="311"/>
      <c r="C6" s="311"/>
      <c r="D6" s="311"/>
      <c r="E6" s="311"/>
      <c r="F6" s="311"/>
      <c r="G6" s="311"/>
      <c r="H6" s="311"/>
      <c r="I6" s="311"/>
      <c r="J6" s="311"/>
      <c r="K6" s="311"/>
      <c r="L6" s="311"/>
      <c r="M6" s="311"/>
      <c r="N6" s="311"/>
      <c r="O6" s="311"/>
      <c r="P6" s="311"/>
      <c r="Q6" s="311"/>
      <c r="R6" s="311"/>
      <c r="S6" s="311"/>
    </row>
    <row r="7" spans="1:19" ht="86.25" customHeight="1" x14ac:dyDescent="0.2">
      <c r="A7" s="312" t="s">
        <v>116</v>
      </c>
      <c r="B7" s="313"/>
      <c r="C7" s="313"/>
      <c r="D7" s="313"/>
      <c r="E7" s="313"/>
      <c r="F7" s="313"/>
      <c r="G7" s="313"/>
      <c r="H7" s="313"/>
      <c r="I7" s="313"/>
      <c r="J7" s="313"/>
      <c r="K7" s="313"/>
      <c r="L7" s="313"/>
      <c r="M7" s="313"/>
      <c r="N7" s="313"/>
      <c r="O7" s="313"/>
      <c r="P7" s="313"/>
      <c r="Q7" s="313"/>
      <c r="R7" s="313"/>
      <c r="S7" s="313"/>
    </row>
    <row r="8" spans="1:19" ht="22.5" x14ac:dyDescent="0.3">
      <c r="A8" s="306" t="s">
        <v>119</v>
      </c>
      <c r="B8" s="306"/>
      <c r="C8" s="306"/>
      <c r="D8" s="306"/>
      <c r="E8" s="306"/>
      <c r="F8" s="306"/>
      <c r="G8" s="306"/>
      <c r="H8" s="306"/>
      <c r="I8" s="306"/>
      <c r="J8" s="306"/>
      <c r="K8" s="306"/>
      <c r="L8" s="306"/>
      <c r="M8" s="306"/>
      <c r="N8" s="306"/>
      <c r="O8" s="306"/>
      <c r="P8" s="306"/>
      <c r="Q8" s="306"/>
      <c r="R8" s="306"/>
      <c r="S8" s="306"/>
    </row>
    <row r="9" spans="1:19" s="1" customFormat="1" x14ac:dyDescent="0.2">
      <c r="B9" s="307"/>
      <c r="C9" s="307"/>
      <c r="D9" s="307"/>
      <c r="E9" s="307"/>
      <c r="F9" s="307"/>
      <c r="G9" s="307"/>
      <c r="H9" s="63"/>
      <c r="O9" s="206"/>
      <c r="P9" s="206"/>
      <c r="Q9" s="206"/>
      <c r="R9" s="206"/>
    </row>
    <row r="10" spans="1:19" ht="157.5" x14ac:dyDescent="0.2">
      <c r="B10" s="199" t="s">
        <v>117</v>
      </c>
      <c r="C10" s="199" t="s">
        <v>128</v>
      </c>
      <c r="D10" s="199" t="s">
        <v>104</v>
      </c>
      <c r="E10" s="199" t="s">
        <v>41</v>
      </c>
      <c r="F10" s="199" t="s">
        <v>42</v>
      </c>
      <c r="G10" s="199" t="s">
        <v>43</v>
      </c>
      <c r="H10" s="199" t="s">
        <v>44</v>
      </c>
      <c r="I10" s="199" t="s">
        <v>45</v>
      </c>
      <c r="J10" s="199" t="s">
        <v>102</v>
      </c>
      <c r="K10" s="199" t="s">
        <v>129</v>
      </c>
      <c r="L10" s="199" t="s">
        <v>118</v>
      </c>
      <c r="M10" s="64" t="s">
        <v>45</v>
      </c>
    </row>
    <row r="11" spans="1:19" s="1" customFormat="1" ht="56.25" x14ac:dyDescent="0.2">
      <c r="A11" s="194" t="s">
        <v>120</v>
      </c>
      <c r="B11" s="195" t="s">
        <v>124</v>
      </c>
      <c r="C11" s="195" t="s">
        <v>122</v>
      </c>
      <c r="D11" s="195" t="s">
        <v>121</v>
      </c>
      <c r="E11" s="195" t="s">
        <v>125</v>
      </c>
      <c r="F11" s="196" t="s">
        <v>123</v>
      </c>
      <c r="G11" s="207" t="s">
        <v>126</v>
      </c>
      <c r="H11" s="61" t="s">
        <v>46</v>
      </c>
      <c r="I11"/>
      <c r="J11" s="207" t="s">
        <v>127</v>
      </c>
      <c r="K11" s="195" t="s">
        <v>131</v>
      </c>
      <c r="L11" s="195" t="s">
        <v>130</v>
      </c>
      <c r="M11" s="195"/>
      <c r="N11" s="195"/>
      <c r="O11" s="195"/>
      <c r="P11" s="195"/>
      <c r="Q11" s="195"/>
      <c r="R11" s="195"/>
      <c r="S11"/>
    </row>
    <row r="12" spans="1:19" ht="22.5" x14ac:dyDescent="0.2">
      <c r="D12" s="65"/>
      <c r="E12" s="65"/>
      <c r="F12" s="66" t="s">
        <v>47</v>
      </c>
      <c r="G12" s="65" t="s">
        <v>48</v>
      </c>
    </row>
    <row r="13" spans="1:19" ht="22.5" x14ac:dyDescent="0.2">
      <c r="F13" s="67" t="s">
        <v>49</v>
      </c>
      <c r="G13" s="65"/>
    </row>
    <row r="14" spans="1:19" ht="33.75" x14ac:dyDescent="0.2">
      <c r="F14" s="68" t="s">
        <v>96</v>
      </c>
      <c r="I14" s="68" t="s">
        <v>100</v>
      </c>
      <c r="N14" s="200"/>
      <c r="O14" s="200"/>
      <c r="P14" s="200"/>
      <c r="Q14" s="200"/>
      <c r="R14" s="200"/>
    </row>
    <row r="15" spans="1:19" ht="33.75" x14ac:dyDescent="0.2">
      <c r="F15" s="69" t="s">
        <v>98</v>
      </c>
      <c r="N15" s="71"/>
      <c r="O15" s="71"/>
      <c r="P15" s="71"/>
      <c r="Q15" s="71"/>
      <c r="R15" s="71"/>
    </row>
    <row r="16" spans="1:19" ht="33.75" x14ac:dyDescent="0.2">
      <c r="F16" s="68" t="s">
        <v>97</v>
      </c>
      <c r="I16" s="68" t="s">
        <v>100</v>
      </c>
      <c r="N16" s="200"/>
      <c r="O16" s="200"/>
      <c r="P16" s="200"/>
      <c r="Q16" s="200"/>
      <c r="R16" s="200"/>
    </row>
    <row r="17" spans="6:18" ht="22.5" x14ac:dyDescent="0.2">
      <c r="F17" s="68" t="s">
        <v>99</v>
      </c>
      <c r="I17" s="68" t="s">
        <v>100</v>
      </c>
      <c r="N17" s="200"/>
      <c r="O17" s="200"/>
      <c r="P17" s="200"/>
      <c r="Q17" s="200"/>
      <c r="R17" s="200"/>
    </row>
    <row r="18" spans="6:18" x14ac:dyDescent="0.2"/>
    <row r="19" spans="6:18" x14ac:dyDescent="0.2"/>
    <row r="20" spans="6:18" x14ac:dyDescent="0.2"/>
    <row r="21" spans="6:18" x14ac:dyDescent="0.2"/>
    <row r="22" spans="6:18" x14ac:dyDescent="0.2"/>
    <row r="23" spans="6:18" x14ac:dyDescent="0.2"/>
    <row r="24" spans="6:18" x14ac:dyDescent="0.2"/>
  </sheetData>
  <mergeCells count="9">
    <mergeCell ref="A8:S8"/>
    <mergeCell ref="B9:G9"/>
    <mergeCell ref="A1:S1"/>
    <mergeCell ref="A2:S2"/>
    <mergeCell ref="A5:M5"/>
    <mergeCell ref="A6:S6"/>
    <mergeCell ref="A7:S7"/>
    <mergeCell ref="A4:M4"/>
    <mergeCell ref="A3:S3"/>
  </mergeCells>
  <pageMargins left="0.75" right="0.75" top="1" bottom="1" header="0.4921259845" footer="0.4921259845"/>
  <pageSetup paperSize="9" scale="51" orientation="portrait" r:id="rId1"/>
  <headerFooter alignWithMargins="0">
    <oddFooter>&amp;LE905722 rev xxx ver xxx&amp;R&amp;P</oddFooter>
  </headerFooter>
  <rowBreaks count="1" manualBreakCount="1">
    <brk id="7" max="16383" man="1"/>
  </rowBreaks>
  <colBreaks count="1" manualBreakCount="1">
    <brk id="18" max="14"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heetPr>
  <dimension ref="A1:AF123"/>
  <sheetViews>
    <sheetView showGridLines="0" tabSelected="1" zoomScale="75" zoomScaleNormal="75" workbookViewId="0">
      <pane ySplit="4" topLeftCell="A5" activePane="bottomLeft" state="frozen"/>
      <selection pane="bottomLeft" activeCell="P9" sqref="P9"/>
    </sheetView>
  </sheetViews>
  <sheetFormatPr defaultColWidth="0" defaultRowHeight="12.75" zeroHeight="1" outlineLevelRow="1" x14ac:dyDescent="0.2"/>
  <cols>
    <col min="1" max="1" width="66.28515625" style="123" customWidth="1"/>
    <col min="2" max="2" width="19.5703125" style="124" customWidth="1"/>
    <col min="3" max="3" width="17.7109375" style="125" customWidth="1"/>
    <col min="4" max="4" width="16.85546875" style="126" customWidth="1"/>
    <col min="5" max="5" width="15.5703125" style="127" customWidth="1"/>
    <col min="6" max="6" width="17.85546875" style="127" customWidth="1"/>
    <col min="7" max="7" width="16.5703125" style="128" customWidth="1"/>
    <col min="8" max="8" width="15.5703125" style="129" customWidth="1"/>
    <col min="9" max="9" width="15.5703125" style="129" hidden="1" customWidth="1"/>
    <col min="10" max="11" width="15.5703125" style="129" customWidth="1"/>
    <col min="12" max="12" width="15.5703125" style="128" customWidth="1"/>
    <col min="13" max="13" width="15.5703125" style="130" customWidth="1"/>
    <col min="14" max="18" width="11.42578125" style="89" customWidth="1"/>
    <col min="19" max="16384" width="0" style="89" hidden="1"/>
  </cols>
  <sheetData>
    <row r="1" spans="1:32" s="136" customFormat="1" ht="40.5" customHeight="1" x14ac:dyDescent="0.2">
      <c r="A1" s="171"/>
      <c r="B1" s="171"/>
      <c r="C1" s="171"/>
      <c r="D1" s="172"/>
      <c r="E1" s="173"/>
      <c r="F1" s="173"/>
      <c r="G1" s="174"/>
      <c r="H1" s="175"/>
      <c r="I1" s="315" t="s">
        <v>92</v>
      </c>
      <c r="J1" s="316"/>
      <c r="K1" s="314" t="str">
        <f>SWVersion</f>
        <v>tbd</v>
      </c>
      <c r="L1" s="314"/>
      <c r="M1" s="172"/>
      <c r="AF1" s="170"/>
    </row>
    <row r="2" spans="1:32" ht="22.5" x14ac:dyDescent="0.2">
      <c r="A2" s="169" t="str">
        <f>"Metrics "</f>
        <v xml:space="preserve">Metrics </v>
      </c>
      <c r="B2" s="145"/>
      <c r="C2" s="145"/>
      <c r="D2" s="145"/>
      <c r="E2" s="145"/>
      <c r="F2" s="145"/>
      <c r="G2" s="145"/>
      <c r="H2" s="145"/>
      <c r="I2" s="145"/>
      <c r="J2" s="145"/>
      <c r="K2" s="145"/>
      <c r="L2" s="145"/>
      <c r="M2" s="145"/>
    </row>
    <row r="3" spans="1:32" s="136" customFormat="1" ht="15.75" customHeight="1" outlineLevel="1" x14ac:dyDescent="0.2">
      <c r="A3" s="162"/>
      <c r="B3" s="163"/>
      <c r="C3" s="137"/>
      <c r="D3" s="137"/>
      <c r="E3" s="137"/>
      <c r="F3" s="137"/>
      <c r="G3" s="137"/>
      <c r="H3" s="137"/>
      <c r="I3" s="137"/>
      <c r="J3" s="137"/>
      <c r="K3" s="148"/>
      <c r="L3" s="148"/>
      <c r="M3" s="145"/>
    </row>
    <row r="4" spans="1:32" s="90" customFormat="1" ht="99" customHeight="1" outlineLevel="1" x14ac:dyDescent="0.2">
      <c r="A4" s="164" t="s">
        <v>103</v>
      </c>
      <c r="B4" s="165" t="s">
        <v>134</v>
      </c>
      <c r="C4" s="165" t="s">
        <v>104</v>
      </c>
      <c r="D4" s="165" t="s">
        <v>144</v>
      </c>
      <c r="E4" s="165" t="s">
        <v>95</v>
      </c>
      <c r="F4" s="165" t="s">
        <v>86</v>
      </c>
      <c r="G4" s="165" t="s">
        <v>87</v>
      </c>
      <c r="H4" s="165" t="s">
        <v>88</v>
      </c>
      <c r="I4" s="165" t="s">
        <v>90</v>
      </c>
      <c r="J4" s="165" t="s">
        <v>89</v>
      </c>
      <c r="K4" s="145"/>
      <c r="L4" s="145"/>
      <c r="M4" s="145"/>
    </row>
    <row r="5" spans="1:32" ht="15" outlineLevel="1" x14ac:dyDescent="0.2">
      <c r="A5" s="188"/>
      <c r="B5" s="157"/>
      <c r="C5" s="158"/>
      <c r="D5" s="158"/>
      <c r="E5" s="159"/>
      <c r="F5" s="158"/>
      <c r="G5" s="158"/>
      <c r="H5" s="160"/>
      <c r="I5" s="160"/>
      <c r="J5" s="160"/>
      <c r="K5" s="145"/>
      <c r="L5" s="145"/>
      <c r="M5" s="145"/>
    </row>
    <row r="6" spans="1:32" ht="15.75" outlineLevel="1" thickBot="1" x14ac:dyDescent="0.25">
      <c r="A6" s="156"/>
      <c r="B6" s="157"/>
      <c r="C6" s="158"/>
      <c r="D6" s="158"/>
      <c r="E6" s="159"/>
      <c r="F6" s="158"/>
      <c r="G6" s="158"/>
      <c r="H6" s="160"/>
      <c r="I6" s="160"/>
      <c r="J6" s="160"/>
      <c r="K6" s="145"/>
      <c r="L6" s="145"/>
      <c r="M6" s="145"/>
    </row>
    <row r="7" spans="1:32" s="99" customFormat="1" ht="15.75" outlineLevel="1" x14ac:dyDescent="0.2">
      <c r="A7" s="166" t="s">
        <v>84</v>
      </c>
      <c r="B7" s="100">
        <v>0</v>
      </c>
      <c r="C7" s="101">
        <v>0</v>
      </c>
      <c r="D7" s="101">
        <v>0</v>
      </c>
      <c r="E7" s="101">
        <v>0</v>
      </c>
      <c r="F7" s="101">
        <v>0</v>
      </c>
      <c r="G7" s="101">
        <v>0</v>
      </c>
      <c r="H7" s="102">
        <v>0</v>
      </c>
      <c r="I7" s="102">
        <v>0</v>
      </c>
      <c r="J7" s="102">
        <v>0</v>
      </c>
      <c r="K7" s="145"/>
      <c r="L7" s="145"/>
      <c r="M7" s="145"/>
    </row>
    <row r="8" spans="1:32" s="107" customFormat="1" ht="15.75" outlineLevel="1" x14ac:dyDescent="0.2">
      <c r="A8" s="167" t="s">
        <v>85</v>
      </c>
      <c r="B8" s="161"/>
      <c r="C8" s="209"/>
      <c r="D8" s="209"/>
      <c r="E8" s="209"/>
      <c r="F8" s="209"/>
      <c r="G8" s="209"/>
      <c r="H8" s="210"/>
      <c r="I8" s="210"/>
      <c r="J8" s="210"/>
      <c r="K8" s="145"/>
      <c r="L8" s="145"/>
      <c r="M8" s="145"/>
    </row>
    <row r="9" spans="1:32" s="152" customFormat="1" ht="15.75" outlineLevel="1" thickBot="1" x14ac:dyDescent="0.25">
      <c r="A9" s="138"/>
      <c r="B9" s="145"/>
      <c r="C9" s="146"/>
      <c r="D9" s="147"/>
      <c r="E9" s="148"/>
      <c r="F9" s="148"/>
      <c r="G9" s="149"/>
      <c r="H9" s="150"/>
      <c r="I9" s="150"/>
      <c r="J9" s="150"/>
      <c r="K9" s="150"/>
      <c r="L9" s="149"/>
      <c r="M9" s="145"/>
    </row>
    <row r="10" spans="1:32" s="155" customFormat="1" ht="16.5" outlineLevel="1" thickTop="1" thickBot="1" x14ac:dyDescent="0.25">
      <c r="A10" s="151"/>
      <c r="B10" s="139"/>
      <c r="C10" s="140"/>
      <c r="D10" s="141"/>
      <c r="E10" s="142"/>
      <c r="F10" s="142"/>
      <c r="G10" s="143"/>
      <c r="H10" s="144"/>
      <c r="I10" s="144"/>
      <c r="J10" s="144"/>
      <c r="K10" s="144"/>
      <c r="L10" s="143"/>
      <c r="M10" s="144"/>
    </row>
    <row r="11" spans="1:32" s="108" customFormat="1" ht="23.25" thickTop="1" x14ac:dyDescent="0.2">
      <c r="A11" s="178" t="s">
        <v>136</v>
      </c>
      <c r="B11" s="179"/>
      <c r="C11" s="179"/>
      <c r="D11" s="179"/>
      <c r="E11" s="179"/>
      <c r="F11" s="153" t="s">
        <v>139</v>
      </c>
      <c r="G11" s="154"/>
      <c r="H11" s="109"/>
      <c r="I11" s="154"/>
      <c r="J11" s="109"/>
      <c r="K11" s="109"/>
      <c r="L11" s="109"/>
      <c r="M11" s="131"/>
    </row>
    <row r="12" spans="1:32" s="108" customFormat="1" ht="15" outlineLevel="1" x14ac:dyDescent="0.2">
      <c r="A12" s="180"/>
      <c r="B12" s="181"/>
      <c r="C12" s="181"/>
      <c r="D12" s="181"/>
      <c r="E12" s="181"/>
      <c r="F12" s="112"/>
      <c r="G12" s="176"/>
      <c r="H12" s="109"/>
      <c r="I12" s="109"/>
      <c r="J12" s="109"/>
      <c r="K12" s="109"/>
      <c r="L12" s="109"/>
      <c r="M12" s="131"/>
    </row>
    <row r="13" spans="1:32" s="108" customFormat="1" ht="30" outlineLevel="1" x14ac:dyDescent="0.2">
      <c r="A13" s="182" t="s">
        <v>137</v>
      </c>
      <c r="B13" s="103">
        <f>CoveredByLowReq</f>
        <v>0</v>
      </c>
      <c r="C13" s="181"/>
      <c r="D13" s="181"/>
      <c r="E13" s="181"/>
      <c r="F13" s="177" t="s">
        <v>40</v>
      </c>
      <c r="G13" s="103">
        <f>ImplementedReq</f>
        <v>0</v>
      </c>
      <c r="H13" s="109"/>
      <c r="I13" s="110"/>
      <c r="J13" s="109"/>
      <c r="K13" s="109"/>
      <c r="L13" s="109"/>
      <c r="M13" s="131"/>
    </row>
    <row r="14" spans="1:32" s="108" customFormat="1" ht="30" outlineLevel="1" x14ac:dyDescent="0.2">
      <c r="A14" s="182" t="s">
        <v>138</v>
      </c>
      <c r="B14" s="106">
        <f>B7-B13</f>
        <v>0</v>
      </c>
      <c r="C14" s="181"/>
      <c r="D14" s="181"/>
      <c r="E14" s="181"/>
      <c r="F14" s="177" t="s">
        <v>91</v>
      </c>
      <c r="G14" s="106">
        <f>B7-G13</f>
        <v>0</v>
      </c>
      <c r="H14" s="109"/>
      <c r="I14" s="110"/>
      <c r="J14" s="109"/>
      <c r="K14" s="109"/>
      <c r="L14" s="109"/>
      <c r="M14" s="131"/>
    </row>
    <row r="15" spans="1:32" s="108" customFormat="1" ht="15" outlineLevel="1" x14ac:dyDescent="0.2">
      <c r="A15" s="180"/>
      <c r="B15" s="181"/>
      <c r="C15" s="181"/>
      <c r="D15" s="181"/>
      <c r="E15" s="181"/>
      <c r="F15" s="112"/>
      <c r="G15" s="109"/>
      <c r="H15" s="109"/>
      <c r="I15" s="110"/>
      <c r="J15" s="109"/>
      <c r="K15" s="109"/>
      <c r="L15" s="109"/>
      <c r="M15" s="131"/>
    </row>
    <row r="16" spans="1:32" s="108" customFormat="1" ht="54" customHeight="1" outlineLevel="1" x14ac:dyDescent="0.2">
      <c r="A16" s="180"/>
      <c r="B16" s="181"/>
      <c r="C16" s="181"/>
      <c r="D16" s="181"/>
      <c r="E16" s="181"/>
      <c r="F16" s="112"/>
      <c r="G16" s="109"/>
      <c r="H16" s="109"/>
      <c r="I16" s="109"/>
      <c r="J16" s="109"/>
      <c r="K16" s="109"/>
      <c r="L16" s="109"/>
      <c r="M16" s="131"/>
    </row>
    <row r="17" spans="1:14" s="108" customFormat="1" ht="15" outlineLevel="1" x14ac:dyDescent="0.2">
      <c r="A17" s="180"/>
      <c r="B17" s="181"/>
      <c r="C17" s="181"/>
      <c r="D17" s="181"/>
      <c r="E17" s="181"/>
      <c r="F17" s="113"/>
      <c r="G17" s="109"/>
      <c r="H17" s="109"/>
      <c r="I17" s="110"/>
      <c r="J17" s="109"/>
      <c r="K17" s="109"/>
      <c r="L17" s="109"/>
      <c r="M17" s="132"/>
    </row>
    <row r="18" spans="1:14" s="108" customFormat="1" ht="15" outlineLevel="1" x14ac:dyDescent="0.2">
      <c r="A18" s="180"/>
      <c r="B18" s="181"/>
      <c r="C18" s="181"/>
      <c r="D18" s="181"/>
      <c r="E18" s="181"/>
      <c r="F18" s="113"/>
      <c r="G18" s="109"/>
      <c r="H18" s="109"/>
      <c r="I18" s="110"/>
      <c r="J18" s="109"/>
      <c r="K18" s="109"/>
      <c r="L18" s="109"/>
      <c r="M18" s="132"/>
    </row>
    <row r="19" spans="1:14" s="108" customFormat="1" ht="15" outlineLevel="1" x14ac:dyDescent="0.2">
      <c r="A19" s="180"/>
      <c r="B19" s="181"/>
      <c r="C19" s="181"/>
      <c r="D19" s="181"/>
      <c r="E19" s="181"/>
      <c r="F19" s="113"/>
      <c r="G19" s="109"/>
      <c r="H19" s="109"/>
      <c r="I19" s="110"/>
      <c r="J19" s="109"/>
      <c r="K19" s="109"/>
      <c r="L19" s="109"/>
      <c r="M19" s="132"/>
    </row>
    <row r="20" spans="1:14" s="108" customFormat="1" ht="15" outlineLevel="1" x14ac:dyDescent="0.2">
      <c r="A20" s="180"/>
      <c r="B20" s="181"/>
      <c r="C20" s="181"/>
      <c r="D20" s="181"/>
      <c r="E20" s="181"/>
      <c r="F20" s="113"/>
      <c r="G20" s="109"/>
      <c r="H20" s="109"/>
      <c r="I20" s="110"/>
      <c r="J20" s="109"/>
      <c r="K20" s="109"/>
      <c r="L20" s="109"/>
      <c r="M20" s="132"/>
    </row>
    <row r="21" spans="1:14" s="108" customFormat="1" ht="15" outlineLevel="1" x14ac:dyDescent="0.2">
      <c r="A21" s="180"/>
      <c r="B21" s="181"/>
      <c r="C21" s="181"/>
      <c r="D21" s="181"/>
      <c r="E21" s="181"/>
      <c r="F21" s="113"/>
      <c r="G21" s="109"/>
      <c r="H21" s="109"/>
      <c r="I21" s="110"/>
      <c r="J21" s="109"/>
      <c r="K21" s="109"/>
      <c r="L21" s="109"/>
      <c r="M21" s="132"/>
    </row>
    <row r="22" spans="1:14" s="108" customFormat="1" ht="15" outlineLevel="1" x14ac:dyDescent="0.2">
      <c r="A22" s="180"/>
      <c r="B22" s="181"/>
      <c r="C22" s="181"/>
      <c r="D22" s="181"/>
      <c r="E22" s="181"/>
      <c r="F22" s="113"/>
      <c r="G22" s="109"/>
      <c r="H22" s="109"/>
      <c r="I22" s="110"/>
      <c r="J22" s="109"/>
      <c r="K22" s="109"/>
      <c r="L22" s="109"/>
      <c r="M22" s="132"/>
    </row>
    <row r="23" spans="1:14" s="108" customFormat="1" ht="15" outlineLevel="1" x14ac:dyDescent="0.2">
      <c r="A23" s="180"/>
      <c r="B23" s="181"/>
      <c r="C23" s="181"/>
      <c r="D23" s="181"/>
      <c r="E23" s="181"/>
      <c r="F23" s="113"/>
      <c r="G23" s="109"/>
      <c r="H23" s="109"/>
      <c r="I23" s="111"/>
      <c r="J23" s="109"/>
      <c r="K23" s="109"/>
      <c r="L23" s="109"/>
      <c r="M23" s="132"/>
    </row>
    <row r="24" spans="1:14" s="108" customFormat="1" ht="15" outlineLevel="1" x14ac:dyDescent="0.2">
      <c r="A24" s="180"/>
      <c r="B24" s="181"/>
      <c r="C24" s="181"/>
      <c r="D24" s="181"/>
      <c r="E24" s="181"/>
      <c r="F24" s="113"/>
      <c r="G24" s="109"/>
      <c r="H24" s="109"/>
      <c r="I24" s="111"/>
      <c r="J24" s="109"/>
      <c r="K24" s="109"/>
      <c r="L24" s="109"/>
      <c r="M24" s="132"/>
    </row>
    <row r="25" spans="1:14" s="108" customFormat="1" ht="15" outlineLevel="1" x14ac:dyDescent="0.2">
      <c r="A25" s="180"/>
      <c r="B25" s="181"/>
      <c r="C25" s="181"/>
      <c r="D25" s="181"/>
      <c r="E25" s="181"/>
      <c r="F25" s="113"/>
      <c r="G25" s="109"/>
      <c r="H25" s="109"/>
      <c r="I25" s="111"/>
      <c r="J25" s="109"/>
      <c r="K25" s="109"/>
      <c r="L25" s="109"/>
      <c r="M25" s="132"/>
    </row>
    <row r="26" spans="1:14" s="108" customFormat="1" ht="15" outlineLevel="1" x14ac:dyDescent="0.2">
      <c r="A26" s="180"/>
      <c r="B26" s="181"/>
      <c r="C26" s="181"/>
      <c r="D26" s="181"/>
      <c r="E26" s="181"/>
      <c r="F26" s="113"/>
      <c r="G26" s="109"/>
      <c r="H26" s="109"/>
      <c r="I26" s="111"/>
      <c r="J26" s="109"/>
      <c r="K26" s="109"/>
      <c r="L26" s="109"/>
      <c r="M26" s="132"/>
    </row>
    <row r="27" spans="1:14" s="108" customFormat="1" ht="15" outlineLevel="1" x14ac:dyDescent="0.2">
      <c r="A27" s="180"/>
      <c r="B27" s="181"/>
      <c r="C27" s="181"/>
      <c r="D27" s="181"/>
      <c r="E27" s="181"/>
      <c r="F27" s="113"/>
      <c r="G27" s="109"/>
      <c r="H27" s="109"/>
      <c r="I27" s="111"/>
      <c r="J27" s="109"/>
      <c r="K27" s="109"/>
      <c r="L27" s="109"/>
      <c r="M27" s="132"/>
    </row>
    <row r="28" spans="1:14" s="108" customFormat="1" ht="15" outlineLevel="1" x14ac:dyDescent="0.2">
      <c r="A28" s="180"/>
      <c r="B28" s="181"/>
      <c r="C28" s="181"/>
      <c r="D28" s="181"/>
      <c r="E28" s="181"/>
      <c r="F28" s="113"/>
      <c r="G28" s="109"/>
      <c r="H28" s="109"/>
      <c r="I28" s="111"/>
      <c r="J28" s="109"/>
      <c r="K28" s="109"/>
      <c r="L28" s="109"/>
      <c r="M28" s="132"/>
    </row>
    <row r="29" spans="1:14" s="108" customFormat="1" ht="49.5" customHeight="1" outlineLevel="1" thickBot="1" x14ac:dyDescent="0.25">
      <c r="A29" s="183"/>
      <c r="B29" s="184"/>
      <c r="C29" s="184"/>
      <c r="D29" s="184"/>
      <c r="E29" s="184"/>
      <c r="F29" s="133"/>
      <c r="G29" s="114"/>
      <c r="H29" s="114"/>
      <c r="I29" s="134"/>
      <c r="J29" s="114"/>
      <c r="K29" s="114"/>
      <c r="L29" s="114"/>
      <c r="M29" s="135"/>
    </row>
    <row r="30" spans="1:14" s="108" customFormat="1" ht="23.25" thickTop="1" x14ac:dyDescent="0.2">
      <c r="A30" s="212" t="s">
        <v>145</v>
      </c>
      <c r="B30" s="213"/>
      <c r="C30" s="213"/>
      <c r="D30" s="213"/>
      <c r="E30" s="213"/>
      <c r="F30" s="213"/>
      <c r="G30" s="213"/>
      <c r="H30" s="213"/>
      <c r="I30" s="213"/>
      <c r="J30" s="213"/>
      <c r="K30" s="213"/>
      <c r="L30" s="213"/>
      <c r="M30" s="213"/>
      <c r="N30" s="89"/>
    </row>
    <row r="31" spans="1:14" s="108" customFormat="1" ht="30" outlineLevel="1" x14ac:dyDescent="0.2">
      <c r="A31" s="214"/>
      <c r="B31" s="220" t="s">
        <v>135</v>
      </c>
      <c r="C31" s="215"/>
      <c r="D31" s="216"/>
      <c r="E31" s="216"/>
      <c r="F31" s="216"/>
      <c r="G31" s="216"/>
      <c r="H31" s="216"/>
      <c r="I31" s="216"/>
      <c r="J31" s="216"/>
      <c r="K31" s="216"/>
      <c r="L31" s="216"/>
      <c r="M31" s="216"/>
      <c r="N31" s="89"/>
    </row>
    <row r="32" spans="1:14" s="108" customFormat="1" ht="15.75" outlineLevel="1" x14ac:dyDescent="0.2">
      <c r="A32" s="223" t="s">
        <v>146</v>
      </c>
      <c r="B32" s="221">
        <f>TestedReq</f>
        <v>0</v>
      </c>
      <c r="C32" s="215"/>
      <c r="D32" s="215"/>
      <c r="E32" s="217"/>
      <c r="F32" s="218"/>
      <c r="G32" s="218"/>
      <c r="H32" s="218"/>
      <c r="I32" s="218"/>
      <c r="J32" s="218"/>
      <c r="K32" s="218"/>
      <c r="L32" s="218"/>
      <c r="M32" s="218"/>
      <c r="N32" s="89"/>
    </row>
    <row r="33" spans="1:14" s="108" customFormat="1" ht="30" outlineLevel="1" x14ac:dyDescent="0.2">
      <c r="A33" s="223" t="s">
        <v>147</v>
      </c>
      <c r="B33" s="222">
        <f>CoveredReq-TestedReq</f>
        <v>0</v>
      </c>
      <c r="C33" s="215"/>
      <c r="D33" s="215"/>
      <c r="E33" s="217"/>
      <c r="F33" s="218"/>
      <c r="G33" s="218"/>
      <c r="H33" s="218"/>
      <c r="I33" s="218"/>
      <c r="J33" s="218"/>
      <c r="K33" s="218"/>
      <c r="L33" s="218"/>
      <c r="M33" s="218"/>
      <c r="N33" s="89"/>
    </row>
    <row r="34" spans="1:14" s="108" customFormat="1" ht="15.75" outlineLevel="1" x14ac:dyDescent="0.2">
      <c r="A34" s="223" t="s">
        <v>148</v>
      </c>
      <c r="B34" s="224">
        <f>B7-CoveredReq</f>
        <v>0</v>
      </c>
      <c r="C34" s="215"/>
      <c r="D34" s="215"/>
      <c r="E34" s="217"/>
      <c r="F34" s="218"/>
      <c r="G34" s="218"/>
      <c r="H34" s="218"/>
      <c r="I34" s="218"/>
      <c r="J34" s="218"/>
      <c r="K34" s="218"/>
      <c r="L34" s="218"/>
      <c r="M34" s="218"/>
      <c r="N34" s="89"/>
    </row>
    <row r="35" spans="1:14" s="108" customFormat="1" ht="15.75" outlineLevel="1" x14ac:dyDescent="0.2">
      <c r="A35" s="215"/>
      <c r="B35" s="215"/>
      <c r="C35" s="215"/>
      <c r="D35" s="215"/>
      <c r="E35" s="217"/>
      <c r="F35" s="218"/>
      <c r="G35" s="218"/>
      <c r="H35" s="218"/>
      <c r="I35" s="218"/>
      <c r="J35" s="218"/>
      <c r="K35" s="218"/>
      <c r="L35" s="218"/>
      <c r="M35" s="218"/>
      <c r="N35" s="89"/>
    </row>
    <row r="36" spans="1:14" s="108" customFormat="1" ht="36" customHeight="1" outlineLevel="1" x14ac:dyDescent="0.2">
      <c r="A36" s="215"/>
      <c r="B36" s="215"/>
      <c r="C36" s="215"/>
      <c r="D36" s="215"/>
      <c r="E36" s="215"/>
      <c r="F36" s="218"/>
      <c r="G36" s="218"/>
      <c r="H36" s="218"/>
      <c r="I36" s="218"/>
      <c r="J36" s="218"/>
      <c r="K36" s="218"/>
      <c r="L36" s="218"/>
      <c r="M36" s="218"/>
      <c r="N36" s="89"/>
    </row>
    <row r="37" spans="1:14" s="108" customFormat="1" ht="15" outlineLevel="1" x14ac:dyDescent="0.2">
      <c r="A37" s="219"/>
      <c r="B37" s="215"/>
      <c r="C37" s="215"/>
      <c r="D37" s="215"/>
      <c r="E37" s="215"/>
      <c r="F37" s="218"/>
      <c r="G37" s="218"/>
      <c r="H37" s="218"/>
      <c r="I37" s="218"/>
      <c r="J37" s="218"/>
      <c r="K37" s="218"/>
      <c r="L37" s="218"/>
      <c r="M37" s="218"/>
      <c r="N37" s="89"/>
    </row>
    <row r="38" spans="1:14" s="108" customFormat="1" ht="15" outlineLevel="1" x14ac:dyDescent="0.2">
      <c r="A38" s="219"/>
      <c r="B38" s="215"/>
      <c r="C38" s="215"/>
      <c r="D38" s="215"/>
      <c r="E38" s="215"/>
      <c r="F38" s="218"/>
      <c r="G38" s="218"/>
      <c r="H38" s="218"/>
      <c r="I38" s="218"/>
      <c r="J38" s="218"/>
      <c r="K38" s="218"/>
      <c r="L38" s="218"/>
      <c r="M38" s="218"/>
      <c r="N38" s="89"/>
    </row>
    <row r="39" spans="1:14" s="108" customFormat="1" ht="15" outlineLevel="1" x14ac:dyDescent="0.2">
      <c r="A39" s="219"/>
      <c r="B39" s="215"/>
      <c r="C39" s="215"/>
      <c r="D39" s="215"/>
      <c r="E39" s="215"/>
      <c r="F39" s="218"/>
      <c r="G39" s="218"/>
      <c r="H39" s="218"/>
      <c r="I39" s="218"/>
      <c r="J39" s="218"/>
      <c r="K39" s="218"/>
      <c r="L39" s="218"/>
      <c r="M39" s="218"/>
      <c r="N39" s="89"/>
    </row>
    <row r="40" spans="1:14" s="108" customFormat="1" ht="15" outlineLevel="1" x14ac:dyDescent="0.2">
      <c r="A40" s="219"/>
      <c r="B40" s="215"/>
      <c r="C40" s="215"/>
      <c r="D40" s="215"/>
      <c r="E40" s="215"/>
      <c r="F40" s="218"/>
      <c r="G40" s="218"/>
      <c r="H40" s="218"/>
      <c r="I40" s="218"/>
      <c r="J40" s="218"/>
      <c r="K40" s="218"/>
      <c r="L40" s="218"/>
      <c r="M40" s="218"/>
      <c r="N40" s="89"/>
    </row>
    <row r="41" spans="1:14" s="108" customFormat="1" ht="15" outlineLevel="1" x14ac:dyDescent="0.2">
      <c r="A41" s="219"/>
      <c r="B41" s="215"/>
      <c r="C41" s="215"/>
      <c r="D41" s="215"/>
      <c r="E41" s="215"/>
      <c r="F41" s="218"/>
      <c r="G41" s="218"/>
      <c r="H41" s="218"/>
      <c r="I41" s="218"/>
      <c r="J41" s="218"/>
      <c r="K41" s="218"/>
      <c r="L41" s="218"/>
      <c r="M41" s="218"/>
      <c r="N41" s="89"/>
    </row>
    <row r="42" spans="1:14" s="108" customFormat="1" ht="15" outlineLevel="1" x14ac:dyDescent="0.2">
      <c r="A42" s="219"/>
      <c r="B42" s="215"/>
      <c r="C42" s="215"/>
      <c r="D42" s="215"/>
      <c r="E42" s="215"/>
      <c r="F42" s="218"/>
      <c r="G42" s="218"/>
      <c r="H42" s="218"/>
      <c r="I42" s="218"/>
      <c r="J42" s="218"/>
      <c r="K42" s="218"/>
      <c r="L42" s="218"/>
      <c r="M42" s="218"/>
      <c r="N42" s="89"/>
    </row>
    <row r="43" spans="1:14" s="108" customFormat="1" ht="15" outlineLevel="1" x14ac:dyDescent="0.2">
      <c r="A43" s="219"/>
      <c r="B43" s="215"/>
      <c r="C43" s="215"/>
      <c r="D43" s="215"/>
      <c r="E43" s="215"/>
      <c r="F43" s="218"/>
      <c r="G43" s="218"/>
      <c r="H43" s="218"/>
      <c r="I43" s="218"/>
      <c r="J43" s="218"/>
      <c r="K43" s="218"/>
      <c r="L43" s="218"/>
      <c r="M43" s="218"/>
      <c r="N43" s="89"/>
    </row>
    <row r="44" spans="1:14" s="108" customFormat="1" ht="15" outlineLevel="1" x14ac:dyDescent="0.2">
      <c r="A44" s="219"/>
      <c r="B44" s="215"/>
      <c r="C44" s="215"/>
      <c r="D44" s="215"/>
      <c r="E44" s="215"/>
      <c r="F44" s="218"/>
      <c r="G44" s="218"/>
      <c r="H44" s="218"/>
      <c r="I44" s="218"/>
      <c r="J44" s="218"/>
      <c r="K44" s="218"/>
      <c r="L44" s="218"/>
      <c r="M44" s="218"/>
      <c r="N44" s="89"/>
    </row>
    <row r="45" spans="1:14" s="108" customFormat="1" ht="15" outlineLevel="1" x14ac:dyDescent="0.2">
      <c r="A45" s="219"/>
      <c r="B45" s="215"/>
      <c r="C45" s="215"/>
      <c r="D45" s="215"/>
      <c r="E45" s="215"/>
      <c r="F45" s="218"/>
      <c r="G45" s="218"/>
      <c r="H45" s="218"/>
      <c r="I45" s="218"/>
      <c r="J45" s="218"/>
      <c r="K45" s="218"/>
      <c r="L45" s="218"/>
      <c r="M45" s="218"/>
      <c r="N45" s="89"/>
    </row>
    <row r="46" spans="1:14" s="108" customFormat="1" ht="15.75" outlineLevel="1" thickBot="1" x14ac:dyDescent="0.25">
      <c r="A46" s="219"/>
      <c r="B46" s="215"/>
      <c r="C46" s="215"/>
      <c r="D46" s="215"/>
      <c r="E46" s="215"/>
      <c r="F46" s="218"/>
      <c r="G46" s="218"/>
      <c r="H46" s="218"/>
      <c r="I46" s="218"/>
      <c r="J46" s="218"/>
      <c r="K46" s="218"/>
      <c r="L46" s="218"/>
      <c r="M46" s="218"/>
      <c r="N46" s="89"/>
    </row>
    <row r="47" spans="1:14" ht="23.25" thickTop="1" x14ac:dyDescent="0.2">
      <c r="A47" s="115" t="s">
        <v>140</v>
      </c>
      <c r="B47" s="116"/>
      <c r="C47" s="116"/>
      <c r="D47" s="116"/>
      <c r="E47" s="116"/>
      <c r="F47" s="116"/>
      <c r="G47" s="116"/>
      <c r="H47" s="116"/>
      <c r="I47" s="116"/>
      <c r="J47" s="116"/>
      <c r="K47" s="116"/>
      <c r="L47" s="116"/>
      <c r="M47" s="116"/>
    </row>
    <row r="48" spans="1:14" ht="30" x14ac:dyDescent="0.2">
      <c r="A48" s="121"/>
      <c r="B48" s="208" t="s">
        <v>135</v>
      </c>
      <c r="C48" s="117"/>
      <c r="D48" s="118"/>
      <c r="E48" s="118"/>
      <c r="F48" s="118"/>
      <c r="G48" s="118"/>
      <c r="H48" s="118"/>
      <c r="I48" s="118"/>
      <c r="J48" s="118"/>
      <c r="K48" s="118"/>
      <c r="L48" s="118"/>
      <c r="M48" s="118"/>
    </row>
    <row r="49" spans="1:13" ht="15.75" x14ac:dyDescent="0.2">
      <c r="A49" s="211" t="s">
        <v>141</v>
      </c>
      <c r="B49" s="104">
        <f>OKReq</f>
        <v>0</v>
      </c>
      <c r="C49" s="117"/>
      <c r="D49" s="117"/>
      <c r="E49" s="119"/>
      <c r="F49" s="120"/>
      <c r="G49" s="120"/>
      <c r="H49" s="120"/>
      <c r="I49" s="120"/>
      <c r="J49" s="120"/>
      <c r="K49" s="120"/>
      <c r="L49" s="120"/>
      <c r="M49" s="120"/>
    </row>
    <row r="50" spans="1:13" ht="15.75" x14ac:dyDescent="0.2">
      <c r="A50" s="211" t="s">
        <v>142</v>
      </c>
      <c r="B50" s="105">
        <f>NOKReq</f>
        <v>0</v>
      </c>
      <c r="C50" s="117"/>
      <c r="D50" s="117"/>
      <c r="E50" s="119"/>
      <c r="F50" s="120"/>
      <c r="G50" s="120"/>
      <c r="H50" s="120"/>
      <c r="I50" s="120"/>
      <c r="J50" s="120"/>
      <c r="K50" s="120"/>
      <c r="L50" s="120"/>
      <c r="M50" s="120"/>
    </row>
    <row r="51" spans="1:13" ht="15.75" x14ac:dyDescent="0.2">
      <c r="A51" s="211" t="s">
        <v>143</v>
      </c>
      <c r="B51" s="225">
        <f>B7-OKReq-NOKReq</f>
        <v>0</v>
      </c>
      <c r="C51" s="117"/>
      <c r="D51" s="117"/>
      <c r="E51" s="119"/>
      <c r="F51" s="120"/>
      <c r="G51" s="120"/>
      <c r="H51" s="120"/>
      <c r="I51" s="120"/>
      <c r="J51" s="120"/>
      <c r="K51" s="120"/>
      <c r="L51" s="120"/>
      <c r="M51" s="120"/>
    </row>
    <row r="52" spans="1:13" ht="15.75" x14ac:dyDescent="0.2">
      <c r="A52" s="117"/>
      <c r="B52" s="117"/>
      <c r="C52" s="117"/>
      <c r="D52" s="117"/>
      <c r="E52" s="119"/>
      <c r="F52" s="120"/>
      <c r="G52" s="120"/>
      <c r="H52" s="120"/>
      <c r="I52" s="120"/>
      <c r="J52" s="120"/>
      <c r="K52" s="120"/>
      <c r="L52" s="120"/>
      <c r="M52" s="120"/>
    </row>
    <row r="53" spans="1:13" x14ac:dyDescent="0.2">
      <c r="A53" s="117"/>
      <c r="B53" s="117"/>
      <c r="C53" s="117"/>
      <c r="D53" s="117"/>
      <c r="E53" s="117"/>
      <c r="F53" s="120"/>
      <c r="G53" s="120"/>
      <c r="H53" s="120"/>
      <c r="I53" s="120"/>
      <c r="J53" s="120"/>
      <c r="K53" s="120"/>
      <c r="L53" s="120"/>
      <c r="M53" s="120"/>
    </row>
    <row r="54" spans="1:13" ht="44.25" customHeight="1" x14ac:dyDescent="0.2">
      <c r="A54" s="122"/>
      <c r="B54" s="117"/>
      <c r="C54" s="117"/>
      <c r="D54" s="117"/>
      <c r="E54" s="117"/>
      <c r="F54" s="120"/>
      <c r="G54" s="120"/>
      <c r="H54" s="120"/>
      <c r="I54" s="120"/>
      <c r="J54" s="120"/>
      <c r="K54" s="120"/>
      <c r="L54" s="120"/>
      <c r="M54" s="120"/>
    </row>
    <row r="55" spans="1:13" ht="15" x14ac:dyDescent="0.2">
      <c r="A55" s="122"/>
      <c r="B55" s="117"/>
      <c r="C55" s="117"/>
      <c r="D55" s="117"/>
      <c r="E55" s="117"/>
      <c r="F55" s="120"/>
      <c r="G55" s="120"/>
      <c r="H55" s="120"/>
      <c r="I55" s="120"/>
      <c r="J55" s="120"/>
      <c r="K55" s="120"/>
      <c r="L55" s="120"/>
      <c r="M55" s="120"/>
    </row>
    <row r="56" spans="1:13" ht="15" x14ac:dyDescent="0.2">
      <c r="A56" s="122"/>
      <c r="B56" s="117"/>
      <c r="C56" s="117"/>
      <c r="D56" s="117"/>
      <c r="E56" s="117"/>
      <c r="F56" s="120"/>
      <c r="G56" s="120"/>
      <c r="H56" s="120"/>
      <c r="I56" s="120"/>
      <c r="J56" s="120"/>
      <c r="K56" s="120"/>
      <c r="L56" s="120"/>
      <c r="M56" s="120"/>
    </row>
    <row r="57" spans="1:13" ht="15" x14ac:dyDescent="0.2">
      <c r="A57" s="122"/>
      <c r="B57" s="117"/>
      <c r="C57" s="117"/>
      <c r="D57" s="117"/>
      <c r="E57" s="117"/>
      <c r="F57" s="120"/>
      <c r="G57" s="120"/>
      <c r="H57" s="120"/>
      <c r="I57" s="120"/>
      <c r="J57" s="120"/>
      <c r="K57" s="120"/>
      <c r="L57" s="120"/>
      <c r="M57" s="120"/>
    </row>
    <row r="58" spans="1:13" ht="15" x14ac:dyDescent="0.2">
      <c r="A58" s="122"/>
      <c r="B58" s="117"/>
      <c r="C58" s="117"/>
      <c r="D58" s="117"/>
      <c r="E58" s="117"/>
      <c r="F58" s="120"/>
      <c r="G58" s="120"/>
      <c r="H58" s="120"/>
      <c r="I58" s="120"/>
      <c r="J58" s="120"/>
      <c r="K58" s="120"/>
      <c r="L58" s="120"/>
      <c r="M58" s="120"/>
    </row>
    <row r="59" spans="1:13" ht="15" x14ac:dyDescent="0.2">
      <c r="A59" s="122"/>
      <c r="B59" s="117"/>
      <c r="C59" s="117"/>
      <c r="D59" s="117"/>
      <c r="E59" s="117"/>
      <c r="F59" s="120"/>
      <c r="G59" s="120"/>
      <c r="H59" s="120"/>
      <c r="I59" s="120"/>
      <c r="J59" s="120"/>
      <c r="K59" s="120"/>
      <c r="L59" s="120"/>
      <c r="M59" s="120"/>
    </row>
    <row r="60" spans="1:13" ht="15" x14ac:dyDescent="0.2">
      <c r="A60" s="122"/>
      <c r="B60" s="117"/>
      <c r="C60" s="117"/>
      <c r="D60" s="117"/>
      <c r="E60" s="117"/>
      <c r="F60" s="120"/>
      <c r="G60" s="120"/>
      <c r="H60" s="120"/>
      <c r="I60" s="120"/>
      <c r="J60" s="120"/>
      <c r="K60" s="120"/>
      <c r="L60" s="120"/>
      <c r="M60" s="120"/>
    </row>
    <row r="61" spans="1:13" ht="15" x14ac:dyDescent="0.2">
      <c r="A61" s="122"/>
      <c r="B61" s="117"/>
      <c r="C61" s="117"/>
      <c r="D61" s="117"/>
      <c r="E61" s="117"/>
      <c r="F61" s="120"/>
      <c r="G61" s="120"/>
      <c r="H61" s="120"/>
      <c r="I61" s="120"/>
      <c r="J61" s="120"/>
      <c r="K61" s="120"/>
      <c r="L61" s="120"/>
      <c r="M61" s="120"/>
    </row>
    <row r="62" spans="1:13" ht="15" x14ac:dyDescent="0.2">
      <c r="A62" s="122"/>
      <c r="B62" s="117"/>
      <c r="C62" s="117"/>
      <c r="D62" s="117"/>
      <c r="E62" s="117"/>
      <c r="F62" s="120"/>
      <c r="G62" s="120"/>
      <c r="H62" s="120"/>
      <c r="I62" s="120"/>
      <c r="J62" s="120"/>
      <c r="K62" s="120"/>
      <c r="L62" s="120"/>
      <c r="M62" s="120"/>
    </row>
    <row r="63" spans="1:13" ht="15" x14ac:dyDescent="0.2">
      <c r="A63" s="122"/>
      <c r="B63" s="117"/>
      <c r="C63" s="117"/>
      <c r="D63" s="117"/>
      <c r="E63" s="117"/>
      <c r="F63" s="120"/>
      <c r="G63" s="120"/>
      <c r="H63" s="120"/>
      <c r="I63" s="120"/>
      <c r="J63" s="120"/>
      <c r="K63" s="120"/>
      <c r="L63" s="120"/>
      <c r="M63" s="120"/>
    </row>
    <row r="64" spans="1:13"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sheetData>
  <autoFilter ref="A4:J4" xr:uid="{00000000-0009-0000-0000-000003000000}"/>
  <mergeCells count="2">
    <mergeCell ref="K1:L1"/>
    <mergeCell ref="I1:J1"/>
  </mergeCells>
  <conditionalFormatting sqref="K1">
    <cfRule type="cellIs" dxfId="0" priority="1" stopIfTrue="1" operator="equal">
      <formula>"tbd"</formula>
    </cfRule>
  </conditionalFormatting>
  <dataValidations count="1">
    <dataValidation type="list" allowBlank="1" showInputMessage="1" showErrorMessage="1" sqref="B1" xr:uid="{00000000-0002-0000-0300-000000000000}">
      <formula1>#REF!</formula1>
    </dataValidation>
  </dataValidations>
  <pageMargins left="0.75" right="0.75" top="1" bottom="1" header="0.4921259845" footer="0.4921259845"/>
  <pageSetup scale="38" orientation="portrait" r:id="rId1"/>
  <headerFooter alignWithMargins="0">
    <oddFooter>&amp;LE905722 rev xxx ver xxx&amp;R&amp;P</oddFooter>
  </headerFooter>
  <drawing r:id="rId2"/>
  <legacyDrawing r:id="rId3"/>
  <controls>
    <mc:AlternateContent xmlns:mc="http://schemas.openxmlformats.org/markup-compatibility/2006">
      <mc:Choice Requires="x14">
        <control shapeId="19458" r:id="rId4" name="ImportArchMButton">
          <controlPr defaultSize="0" autoLine="0" r:id="rId5">
            <anchor moveWithCells="1">
              <from>
                <xdr:col>2</xdr:col>
                <xdr:colOff>457200</xdr:colOff>
                <xdr:row>0</xdr:row>
                <xdr:rowOff>38100</xdr:rowOff>
              </from>
              <to>
                <xdr:col>3</xdr:col>
                <xdr:colOff>742950</xdr:colOff>
                <xdr:row>0</xdr:row>
                <xdr:rowOff>400050</xdr:rowOff>
              </to>
            </anchor>
          </controlPr>
        </control>
      </mc:Choice>
      <mc:Fallback>
        <control shapeId="19458" r:id="rId4" name="ImportArchMButton"/>
      </mc:Fallback>
    </mc:AlternateContent>
    <mc:AlternateContent xmlns:mc="http://schemas.openxmlformats.org/markup-compatibility/2006">
      <mc:Choice Requires="x14">
        <control shapeId="19457" r:id="rId6" name="UpdateStatisticsButton">
          <controlPr defaultSize="0" autoLine="0" r:id="rId7">
            <anchor moveWithCells="1">
              <from>
                <xdr:col>1</xdr:col>
                <xdr:colOff>9525</xdr:colOff>
                <xdr:row>0</xdr:row>
                <xdr:rowOff>38100</xdr:rowOff>
              </from>
              <to>
                <xdr:col>2</xdr:col>
                <xdr:colOff>171450</xdr:colOff>
                <xdr:row>0</xdr:row>
                <xdr:rowOff>400050</xdr:rowOff>
              </to>
            </anchor>
          </controlPr>
        </control>
      </mc:Choice>
      <mc:Fallback>
        <control shapeId="19457" r:id="rId6" name="UpdateStatisticsButton"/>
      </mc:Fallback>
    </mc:AlternateContent>
    <mc:AlternateContent xmlns:mc="http://schemas.openxmlformats.org/markup-compatibility/2006">
      <mc:Choice Requires="x14">
        <control shapeId="19459" r:id="rId8" name="Button 3">
          <controlPr defaultSize="0" print="0" autoFill="0" autoPict="0" macro="[0]!Feuil1.NOK_List_Click" altText="Generate List of Incomplete Architecture Elements">
            <anchor moveWithCells="1">
              <from>
                <xdr:col>3</xdr:col>
                <xdr:colOff>981075</xdr:colOff>
                <xdr:row>0</xdr:row>
                <xdr:rowOff>47625</xdr:rowOff>
              </from>
              <to>
                <xdr:col>5</xdr:col>
                <xdr:colOff>723900</xdr:colOff>
                <xdr:row>0</xdr:row>
                <xdr:rowOff>390525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39997558519241921"/>
  </sheetPr>
  <dimension ref="A3:R12"/>
  <sheetViews>
    <sheetView workbookViewId="0">
      <selection activeCell="J37" sqref="J37"/>
    </sheetView>
  </sheetViews>
  <sheetFormatPr defaultRowHeight="12.75" x14ac:dyDescent="0.2"/>
  <sheetData>
    <row r="3" spans="1:18" ht="27" x14ac:dyDescent="0.35">
      <c r="A3" s="98" t="s">
        <v>83</v>
      </c>
    </row>
    <row r="5" spans="1:18" ht="27" x14ac:dyDescent="0.35">
      <c r="E5" s="98" t="s">
        <v>105</v>
      </c>
    </row>
    <row r="7" spans="1:18" ht="18" x14ac:dyDescent="0.25">
      <c r="A7" s="205" t="s">
        <v>111</v>
      </c>
      <c r="B7" s="203"/>
      <c r="C7" s="203"/>
      <c r="D7" s="203"/>
      <c r="E7" s="203"/>
      <c r="F7" s="203"/>
      <c r="G7" s="203"/>
      <c r="H7" s="203"/>
      <c r="I7" s="203"/>
      <c r="J7" s="203"/>
      <c r="K7" s="203"/>
      <c r="L7" s="203"/>
      <c r="M7" s="203"/>
      <c r="N7" s="203"/>
      <c r="O7" s="203"/>
      <c r="P7" s="203"/>
      <c r="Q7" s="203"/>
      <c r="R7" s="203"/>
    </row>
    <row r="8" spans="1:18" ht="18" x14ac:dyDescent="0.25">
      <c r="A8" s="204" t="s">
        <v>112</v>
      </c>
      <c r="B8" s="203"/>
      <c r="C8" s="203"/>
      <c r="D8" s="203"/>
      <c r="E8" s="203"/>
      <c r="F8" s="203"/>
      <c r="G8" s="203"/>
      <c r="H8" s="203"/>
      <c r="I8" s="203"/>
      <c r="J8" s="203"/>
      <c r="K8" s="203"/>
      <c r="L8" s="203"/>
      <c r="M8" s="203"/>
      <c r="N8" s="203"/>
      <c r="O8" s="203"/>
      <c r="P8" s="203"/>
      <c r="Q8" s="203"/>
      <c r="R8" s="203"/>
    </row>
    <row r="9" spans="1:18" ht="18" x14ac:dyDescent="0.25">
      <c r="A9" s="203" t="s">
        <v>113</v>
      </c>
      <c r="B9" s="203"/>
      <c r="C9" s="203"/>
      <c r="D9" s="203"/>
      <c r="E9" s="203"/>
      <c r="F9" s="203"/>
      <c r="G9" s="203"/>
      <c r="H9" s="203"/>
      <c r="I9" s="203"/>
      <c r="J9" s="203"/>
      <c r="K9" s="203"/>
      <c r="L9" s="203"/>
      <c r="M9" s="203"/>
      <c r="N9" s="203"/>
      <c r="O9" s="203"/>
      <c r="P9" s="203"/>
      <c r="Q9" s="203"/>
      <c r="R9" s="203"/>
    </row>
    <row r="10" spans="1:18" ht="18" x14ac:dyDescent="0.25">
      <c r="A10" s="203" t="s">
        <v>114</v>
      </c>
      <c r="B10" s="203"/>
      <c r="C10" s="203"/>
      <c r="D10" s="203"/>
      <c r="E10" s="203"/>
      <c r="F10" s="203"/>
      <c r="G10" s="203"/>
      <c r="H10" s="203"/>
      <c r="I10" s="203"/>
      <c r="J10" s="203"/>
      <c r="K10" s="203"/>
      <c r="L10" s="203"/>
      <c r="M10" s="203"/>
      <c r="N10" s="203"/>
      <c r="O10" s="203"/>
      <c r="P10" s="203"/>
      <c r="Q10" s="203"/>
      <c r="R10" s="203"/>
    </row>
    <row r="11" spans="1:18" ht="18" x14ac:dyDescent="0.25">
      <c r="A11" s="203" t="s">
        <v>115</v>
      </c>
      <c r="B11" s="203"/>
      <c r="C11" s="203"/>
      <c r="D11" s="203"/>
      <c r="E11" s="203"/>
      <c r="F11" s="203"/>
      <c r="G11" s="203"/>
      <c r="H11" s="203"/>
      <c r="I11" s="203"/>
      <c r="J11" s="203"/>
      <c r="K11" s="203"/>
      <c r="L11" s="203"/>
      <c r="M11" s="203"/>
      <c r="N11" s="203"/>
      <c r="O11" s="203"/>
      <c r="P11" s="203"/>
      <c r="Q11" s="203"/>
      <c r="R11" s="203"/>
    </row>
    <row r="12" spans="1:18" ht="15" x14ac:dyDescent="0.2">
      <c r="A12" s="202"/>
      <c r="B12" s="202"/>
      <c r="C12" s="202"/>
      <c r="D12" s="202"/>
      <c r="E12" s="202"/>
      <c r="F12" s="202"/>
      <c r="G12" s="202"/>
      <c r="H12" s="202"/>
      <c r="I12" s="202"/>
      <c r="J12" s="202"/>
      <c r="K12" s="202"/>
      <c r="L12" s="202"/>
      <c r="M12" s="202"/>
      <c r="N12" s="202"/>
    </row>
  </sheetData>
  <pageMargins left="0.7" right="0.7" top="0.75" bottom="0.75" header="0.3" footer="0.3"/>
  <pageSetup paperSize="9" orientation="portrait" r:id="rId1"/>
  <headerFooter>
    <oddFooter>&amp;LE905722 rev xxx ver xxx&amp;R&amp;P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3"/>
  <dimension ref="A1:K2"/>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1.42578125" style="185"/>
    <col min="2" max="9" width="11.42578125" style="168"/>
    <col min="10" max="10" width="22.7109375" style="168" customWidth="1"/>
    <col min="11" max="11" width="11.42578125" style="190"/>
    <col min="12" max="16384" width="11.42578125" style="168"/>
  </cols>
  <sheetData>
    <row r="1" spans="1:11" ht="18" x14ac:dyDescent="0.2">
      <c r="A1" s="201" t="s">
        <v>94</v>
      </c>
      <c r="B1" s="201"/>
      <c r="C1" s="201"/>
      <c r="D1" s="201"/>
      <c r="E1" s="201"/>
      <c r="F1" s="201"/>
      <c r="G1" s="201"/>
      <c r="H1" s="201"/>
      <c r="I1" s="201"/>
      <c r="J1" s="201"/>
      <c r="K1" s="201"/>
    </row>
    <row r="2" spans="1:11" x14ac:dyDescent="0.2">
      <c r="A2" s="186"/>
      <c r="B2" s="187"/>
      <c r="C2" s="187"/>
      <c r="D2" s="187"/>
      <c r="E2" s="187"/>
      <c r="F2" s="187"/>
      <c r="G2" s="187"/>
      <c r="H2" s="187"/>
      <c r="I2" s="187"/>
      <c r="J2" s="187"/>
      <c r="K2" s="189"/>
    </row>
  </sheetData>
  <autoFilter ref="A2:K2" xr:uid="{00000000-0009-0000-0000-000005000000}"/>
  <pageMargins left="0.75" right="0.75" top="1" bottom="1" header="0.4921259845" footer="0.4921259845"/>
  <pageSetup paperSize="9" orientation="portrait" r:id="rId1"/>
  <headerFooter alignWithMargins="0">
    <oddFooter>&amp;LE905722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dimension ref="A1:B23"/>
  <sheetViews>
    <sheetView topLeftCell="A7" workbookViewId="0">
      <selection activeCell="A20" sqref="A20"/>
    </sheetView>
  </sheetViews>
  <sheetFormatPr defaultColWidth="11.42578125" defaultRowHeight="12.75" x14ac:dyDescent="0.2"/>
  <cols>
    <col min="1" max="1" width="39.5703125" bestFit="1" customWidth="1"/>
  </cols>
  <sheetData>
    <row r="1" spans="1:2" x14ac:dyDescent="0.2">
      <c r="A1" t="s">
        <v>50</v>
      </c>
    </row>
    <row r="2" spans="1:2" x14ac:dyDescent="0.2">
      <c r="A2" t="s">
        <v>51</v>
      </c>
    </row>
    <row r="3" spans="1:2" s="71" customFormat="1" ht="19.5" thickBot="1" x14ac:dyDescent="0.35">
      <c r="A3" s="70" t="s">
        <v>52</v>
      </c>
      <c r="B3" s="71" t="s">
        <v>53</v>
      </c>
    </row>
    <row r="4" spans="1:2" s="71" customFormat="1" ht="16.5" thickTop="1" x14ac:dyDescent="0.25">
      <c r="A4" s="72" t="s">
        <v>54</v>
      </c>
      <c r="B4" s="71" t="s">
        <v>53</v>
      </c>
    </row>
    <row r="5" spans="1:2" x14ac:dyDescent="0.2">
      <c r="A5" s="73" t="s">
        <v>55</v>
      </c>
      <c r="B5" t="s">
        <v>53</v>
      </c>
    </row>
    <row r="6" spans="1:2" x14ac:dyDescent="0.2">
      <c r="A6" s="74" t="s">
        <v>56</v>
      </c>
      <c r="B6" t="s">
        <v>53</v>
      </c>
    </row>
    <row r="7" spans="1:2" x14ac:dyDescent="0.2">
      <c r="A7" s="75" t="s">
        <v>57</v>
      </c>
      <c r="B7" t="s">
        <v>53</v>
      </c>
    </row>
    <row r="8" spans="1:2" x14ac:dyDescent="0.2">
      <c r="A8" s="76" t="s">
        <v>58</v>
      </c>
      <c r="B8" t="s">
        <v>53</v>
      </c>
    </row>
    <row r="9" spans="1:2" x14ac:dyDescent="0.2">
      <c r="A9" s="77" t="s">
        <v>59</v>
      </c>
      <c r="B9" t="s">
        <v>53</v>
      </c>
    </row>
    <row r="10" spans="1:2" x14ac:dyDescent="0.2">
      <c r="A10" s="78" t="s">
        <v>60</v>
      </c>
      <c r="B10" t="s">
        <v>53</v>
      </c>
    </row>
    <row r="11" spans="1:2" x14ac:dyDescent="0.2">
      <c r="A11" s="79" t="s">
        <v>61</v>
      </c>
      <c r="B11" t="s">
        <v>53</v>
      </c>
    </row>
    <row r="12" spans="1:2" x14ac:dyDescent="0.2">
      <c r="A12" s="80" t="s">
        <v>62</v>
      </c>
      <c r="B12" t="s">
        <v>53</v>
      </c>
    </row>
    <row r="13" spans="1:2" x14ac:dyDescent="0.2">
      <c r="A13" s="81" t="s">
        <v>63</v>
      </c>
      <c r="B13" t="s">
        <v>53</v>
      </c>
    </row>
    <row r="14" spans="1:2" ht="48.75" x14ac:dyDescent="0.2">
      <c r="A14" s="64" t="s">
        <v>64</v>
      </c>
    </row>
    <row r="15" spans="1:2" x14ac:dyDescent="0.2">
      <c r="A15" s="82" t="s">
        <v>65</v>
      </c>
    </row>
    <row r="17" spans="1:1" x14ac:dyDescent="0.2">
      <c r="A17" s="83" t="s">
        <v>66</v>
      </c>
    </row>
    <row r="18" spans="1:1" x14ac:dyDescent="0.2">
      <c r="A18" s="84" t="s">
        <v>67</v>
      </c>
    </row>
    <row r="19" spans="1:1" x14ac:dyDescent="0.2">
      <c r="A19" s="85" t="s">
        <v>68</v>
      </c>
    </row>
    <row r="20" spans="1:1" x14ac:dyDescent="0.2">
      <c r="A20" s="82" t="s">
        <v>69</v>
      </c>
    </row>
    <row r="21" spans="1:1" x14ac:dyDescent="0.2">
      <c r="A21" s="86" t="s">
        <v>70</v>
      </c>
    </row>
    <row r="22" spans="1:1" x14ac:dyDescent="0.2">
      <c r="A22" s="87" t="s">
        <v>71</v>
      </c>
    </row>
    <row r="23" spans="1:1" x14ac:dyDescent="0.2">
      <c r="A23" s="88" t="s">
        <v>72</v>
      </c>
    </row>
  </sheetData>
  <pageMargins left="0.75" right="0.75" top="1" bottom="1" header="0.4921259845" footer="0.4921259845"/>
  <pageSetup paperSize="9" orientation="portrait" r:id="rId1"/>
  <headerFooter alignWithMargins="0">
    <oddFooter>&amp;LE905722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39</vt:i4>
      </vt:variant>
    </vt:vector>
  </HeadingPairs>
  <TitlesOfParts>
    <vt:vector size="46" baseType="lpstr">
      <vt:lpstr>FrontPage</vt:lpstr>
      <vt:lpstr>General info</vt:lpstr>
      <vt:lpstr>User Guide</vt:lpstr>
      <vt:lpstr>Statistics</vt:lpstr>
      <vt:lpstr>Incomplete Desig Elements List</vt:lpstr>
      <vt:lpstr>Feuil1</vt:lpstr>
      <vt:lpstr>Styles</vt:lpstr>
      <vt:lpstr>CoveredByLowReq</vt:lpstr>
      <vt:lpstr>CoveredReq</vt:lpstr>
      <vt:lpstr>DesiredDiscipline</vt:lpstr>
      <vt:lpstr>FileName</vt:lpstr>
      <vt:lpstr>ImplementedReq</vt:lpstr>
      <vt:lpstr>MXActual_state_Released</vt:lpstr>
      <vt:lpstr>MXAuthority</vt:lpstr>
      <vt:lpstr>MXCurrent.Localized</vt:lpstr>
      <vt:lpstr>MXName</vt:lpstr>
      <vt:lpstr>MXRevision</vt:lpstr>
      <vt:lpstr>MXTitle</vt:lpstr>
      <vt:lpstr>MXVersion</vt:lpstr>
      <vt:lpstr>NOKFunctReq</vt:lpstr>
      <vt:lpstr>NOKReq</vt:lpstr>
      <vt:lpstr>OKFunctReq</vt:lpstr>
      <vt:lpstr>OKReq</vt:lpstr>
      <vt:lpstr>PartialOKFunctReq</vt:lpstr>
      <vt:lpstr>PartialOKReq</vt:lpstr>
      <vt:lpstr>PLMDocAuthor</vt:lpstr>
      <vt:lpstr>'User Guide'!Print_Area</vt:lpstr>
      <vt:lpstr>'General info'!Print_Titles</vt:lpstr>
      <vt:lpstr>START_REPORT</vt:lpstr>
      <vt:lpstr>SumForStatistics</vt:lpstr>
      <vt:lpstr>SWVersion</vt:lpstr>
      <vt:lpstr>TemplateRef</vt:lpstr>
      <vt:lpstr>TestedReq</vt:lpstr>
      <vt:lpstr>TitleCoveredByTests</vt:lpstr>
      <vt:lpstr>TitleCumulatedNOK</vt:lpstr>
      <vt:lpstr>TitleCumulatedOK</vt:lpstr>
      <vt:lpstr>TitleCumulatedPartiallyOK</vt:lpstr>
      <vt:lpstr>TitleCumulatedTested</vt:lpstr>
      <vt:lpstr>TitleFnctCumulatedNOK</vt:lpstr>
      <vt:lpstr>TitleFnctCumulatedOK</vt:lpstr>
      <vt:lpstr>TitleFnctCumulatedPartiallyOK</vt:lpstr>
      <vt:lpstr>TitleImplemented</vt:lpstr>
      <vt:lpstr>TitleImplementingUpReq</vt:lpstr>
      <vt:lpstr>TitleModuleName</vt:lpstr>
      <vt:lpstr>TitleReqNumber</vt:lpstr>
      <vt:lpstr>TitleTested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Dan Dustinta</cp:lastModifiedBy>
  <cp:lastPrinted>2011-11-28T23:54:39Z</cp:lastPrinted>
  <dcterms:created xsi:type="dcterms:W3CDTF">2008-08-11T11:06:44Z</dcterms:created>
  <dcterms:modified xsi:type="dcterms:W3CDTF">2021-08-01T11:29:00Z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lpwstr>TBD</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Process and method</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Name</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TBD</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TBD</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SW00TEM007 Generic Excel Template</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TBD</vt:lpwstr>
  </property>
</Properties>
</file>