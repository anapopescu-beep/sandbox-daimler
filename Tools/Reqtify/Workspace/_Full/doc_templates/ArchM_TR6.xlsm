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S:\Tools\Reqtify\Workspace\_Full\doc_templates\"/>
    </mc:Choice>
  </mc:AlternateContent>
  <xr:revisionPtr revIDLastSave="0" documentId="13_ncr:1_{3376907E-0981-4BCA-8BD1-D9A1DCE4F80B}" xr6:coauthVersionLast="46" xr6:coauthVersionMax="46" xr10:uidLastSave="{00000000-0000-0000-0000-000000000000}"/>
  <bookViews>
    <workbookView xWindow="28680" yWindow="-120" windowWidth="29040" windowHeight="15840" tabRatio="787" activeTab="3" xr2:uid="{00000000-000D-0000-FFFF-FFFF00000000}"/>
  </bookViews>
  <sheets>
    <sheet name="FrontPage" sheetId="4" r:id="rId1"/>
    <sheet name="General info" sheetId="11" r:id="rId2"/>
    <sheet name="User Guide" sheetId="14" r:id="rId3"/>
    <sheet name="Statistics" sheetId="15" r:id="rId4"/>
    <sheet name="Incomplete Arch. Elements List" sheetId="34" r:id="rId5"/>
    <sheet name="Feuil1" sheetId="48" r:id="rId6"/>
    <sheet name="Styles" sheetId="19" r:id="rId7"/>
  </sheets>
  <definedNames>
    <definedName name="_xlnm._FilterDatabase" localSheetId="5" hidden="1">Feuil1!$A$2:$K$2</definedName>
    <definedName name="_xlnm._FilterDatabase" localSheetId="3" hidden="1">Statistics!$A$4:$J$4</definedName>
    <definedName name="CoveredByLowReq">Statistics!$D$7</definedName>
    <definedName name="CoveredReq">Statistics!$E$7</definedName>
    <definedName name="DesiredDiscipline">Statistics!$B$1</definedName>
    <definedName name="Discipline">Statistics!#REF!</definedName>
    <definedName name="FileName">FrontPage!$AD$3</definedName>
    <definedName name="FunctReq">Statistics!#REF!</definedName>
    <definedName name="ImplementedReq">Statistics!$C$7</definedName>
    <definedName name="ListOfDisciplines">Statistics!#REF!</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OKFunctReq">Statistics!$M$7</definedName>
    <definedName name="NOKReq">Statistics!$J$7</definedName>
    <definedName name="NonFunctReq">Statistics!#REF!</definedName>
    <definedName name="OKFunctReq">Statistics!$K$7</definedName>
    <definedName name="OKReq">Statistics!$H$7</definedName>
    <definedName name="PartialOKFunctReq">Statistics!$L$7</definedName>
    <definedName name="PartialOKReq">Statistics!$I$7</definedName>
    <definedName name="PLMDocAuthor">FrontPage!$F$10</definedName>
    <definedName name="_xlnm.Print_Area" localSheetId="2">'User Guide'!$A$1:$S$15</definedName>
    <definedName name="_xlnm.Print_Titles" localSheetId="1">'General info'!$1:$10</definedName>
    <definedName name="START_REPORT">Feuil1!$A$1</definedName>
    <definedName name="SumForStatistics">Statistics!$A$7</definedName>
    <definedName name="SWVersion">FrontPage!$O$24</definedName>
    <definedName name="TemplateRef">FrontPage!$W$7</definedName>
    <definedName name="TestedReq">Statistics!$F$7</definedName>
    <definedName name="TitleCoveredByTests">Statistics!$E$4</definedName>
    <definedName name="TitleCumulatedNOK">Statistics!$J$4</definedName>
    <definedName name="TitleCumulatedOK">Statistics!$H$4</definedName>
    <definedName name="TitleCumulatedPartiallyOK">Statistics!$I$4</definedName>
    <definedName name="TitleCumulatedTested">Statistics!$G$4</definedName>
    <definedName name="TitleFnctCumulatedNOK">Statistics!$M$4</definedName>
    <definedName name="TitleFnctCumulatedOK">Statistics!$K$4</definedName>
    <definedName name="TitleFnctCumulatedPartiallyOK">Statistics!$L$4</definedName>
    <definedName name="TitleImplemented">Statistics!$C$4</definedName>
    <definedName name="TitleImplementingUpReq">Statistics!$D$4</definedName>
    <definedName name="TitleListOfDisciplines">Statistics!#REF!</definedName>
    <definedName name="TitleModuleName">Statistics!$A$4</definedName>
    <definedName name="TitleReqNumber">Statistics!$B$4</definedName>
    <definedName name="TitleTested">Statistics!$F$4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9" i="15" l="1"/>
  <c r="B50" i="15"/>
  <c r="B48" i="15"/>
  <c r="B34" i="15"/>
  <c r="B32" i="15"/>
  <c r="B33" i="15"/>
  <c r="A2" i="15" l="1"/>
  <c r="A23" i="4" l="1"/>
  <c r="B13" i="15"/>
  <c r="B14" i="15" s="1"/>
  <c r="F13" i="15"/>
  <c r="F14" i="15" s="1"/>
  <c r="K1" i="15"/>
  <c r="AD3" i="4"/>
  <c r="AD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W7" authorId="0" shapeId="0" xr:uid="{00000000-0006-0000-0000-000001000000}">
      <text>
        <r>
          <rPr>
            <sz val="8"/>
            <color indexed="81"/>
            <rFont val="Tahoma"/>
            <family val="2"/>
          </rPr>
          <t>from e:/MKSProjects/Tools/AEEC/Reqtify_Project_Template/Project_Information/Coverage_Analysis/doc_templates/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5" authorId="0" shapeId="0" xr:uid="{00000000-0006-0000-0100-00000300000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5" authorId="0" shapeId="0" xr:uid="{00000000-0006-0000-0100-000004000000}">
      <text>
        <r>
          <rPr>
            <sz val="8"/>
            <color indexed="81"/>
            <rFont val="Tahoma"/>
            <family val="2"/>
          </rPr>
          <t>Date when the Revision is released</t>
        </r>
      </text>
    </comment>
    <comment ref="I25" authorId="0" shapeId="0" xr:uid="{00000000-0006-0000-0100-000005000000}">
      <text>
        <r>
          <rPr>
            <sz val="8"/>
            <color indexed="81"/>
            <rFont val="Tahoma"/>
            <family val="2"/>
          </rPr>
          <t>Author of the document. Authors if several.</t>
        </r>
      </text>
    </comment>
    <comment ref="R25" authorId="0" shapeId="0" xr:uid="{00000000-0006-0000-0100-000006000000}">
      <text>
        <r>
          <rPr>
            <sz val="8"/>
            <color indexed="81"/>
            <rFont val="Tahoma"/>
            <family val="2"/>
          </rPr>
          <t>Description or comment on the version. E.g. updated after meeting etc.</t>
        </r>
      </text>
    </comment>
    <comment ref="B37" authorId="0" shapeId="0" xr:uid="{00000000-0006-0000-0100-000007000000}">
      <text>
        <r>
          <rPr>
            <sz val="8"/>
            <color indexed="81"/>
            <rFont val="Tahoma"/>
            <family val="2"/>
          </rPr>
          <t>ID of possible reference documents. Any ID can be used, suggestion is [Int1], [Int2] etc. for internal references and [Ext1], [Ext2] etc. for external references</t>
        </r>
      </text>
    </comment>
    <comment ref="E37" authorId="0" shapeId="0" xr:uid="{00000000-0006-0000-0100-000008000000}">
      <text>
        <r>
          <rPr>
            <sz val="8"/>
            <color indexed="81"/>
            <rFont val="Tahoma"/>
            <family val="2"/>
          </rPr>
          <t>Title of reference documents.</t>
        </r>
      </text>
    </comment>
    <comment ref="Y37" authorId="0" shapeId="0" xr:uid="{00000000-0006-0000-0100-000009000000}">
      <text>
        <r>
          <rPr>
            <sz val="8"/>
            <color indexed="81"/>
            <rFont val="Tahoma"/>
            <family val="2"/>
          </rPr>
          <t>Reference number, e.g. E123456 and revision of the reference.</t>
        </r>
      </text>
    </comment>
    <comment ref="B43" authorId="0" shapeId="0" xr:uid="{00000000-0006-0000-0100-00000A000000}">
      <text>
        <r>
          <rPr>
            <sz val="8"/>
            <color indexed="81"/>
            <rFont val="Tahoma"/>
            <family val="2"/>
          </rPr>
          <t>ID of possible reference documents. Any ID can be used, suggestion is [Int1], [Int2] etc. for internal references and [Ext1], [Ext2] etc. for external references</t>
        </r>
      </text>
    </comment>
    <comment ref="E43" authorId="0" shapeId="0" xr:uid="{00000000-0006-0000-0100-00000B000000}">
      <text>
        <r>
          <rPr>
            <sz val="8"/>
            <color indexed="81"/>
            <rFont val="Tahoma"/>
            <family val="2"/>
          </rPr>
          <t>Title of reference documents.</t>
        </r>
      </text>
    </comment>
    <comment ref="Y43" authorId="0" shapeId="0" xr:uid="{00000000-0006-0000-0100-00000C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 authorId="0" shapeId="0" xr:uid="{00000000-0006-0000-0300-000001000000}">
      <text>
        <r>
          <rPr>
            <sz val="9"/>
            <color indexed="81"/>
            <rFont val="Tahoma"/>
            <family val="2"/>
          </rPr>
          <t>number of Architecture  elements</t>
        </r>
      </text>
    </comment>
    <comment ref="C4" authorId="0" shapeId="0" xr:uid="{00000000-0006-0000-0300-000002000000}">
      <text>
        <r>
          <rPr>
            <sz val="9"/>
            <color indexed="81"/>
            <rFont val="Tahoma"/>
            <family val="2"/>
          </rPr>
          <t xml:space="preserve">number and % of Architecture Elements Implemented by Detailed Design </t>
        </r>
      </text>
    </comment>
    <comment ref="D4" authorId="0" shapeId="0" xr:uid="{00000000-0006-0000-0300-000003000000}">
      <text>
        <r>
          <rPr>
            <sz val="9"/>
            <color indexed="81"/>
            <rFont val="Tahoma"/>
            <family val="2"/>
          </rPr>
          <t>number and % of Architecture Elements Implementing the upper level requirements (upstream coverage information)</t>
        </r>
      </text>
    </comment>
    <comment ref="E4" authorId="0" shapeId="0" xr:uid="{00000000-0006-0000-0300-000004000000}">
      <text>
        <r>
          <rPr>
            <sz val="9"/>
            <color indexed="81"/>
            <rFont val="Tahoma"/>
            <family val="2"/>
          </rPr>
          <t>number and % of  Architecture Element covered by a test case.</t>
        </r>
      </text>
    </comment>
    <comment ref="F4" authorId="0" shapeId="0" xr:uid="{00000000-0006-0000-0300-000005000000}">
      <text>
        <r>
          <rPr>
            <sz val="9"/>
            <color indexed="81"/>
            <rFont val="Tahoma"/>
            <family val="2"/>
          </rPr>
          <t>number and % of  Architecture Elements  tested (OK, NOK or partially OK) only for this Matrix on this version</t>
        </r>
      </text>
    </comment>
    <comment ref="G4" authorId="0" shapeId="0" xr:uid="{00000000-0006-0000-0300-000006000000}">
      <text>
        <r>
          <rPr>
            <sz val="9"/>
            <color indexed="81"/>
            <rFont val="Tahoma"/>
            <family val="2"/>
          </rPr>
          <t>number and % of Requirements  tested on this version plus other previous versions (thanks to "import SaRM" button)</t>
        </r>
      </text>
    </comment>
    <comment ref="H4" authorId="0" shapeId="0" xr:uid="{00000000-0006-0000-0300-000007000000}">
      <text>
        <r>
          <rPr>
            <sz val="9"/>
            <color indexed="81"/>
            <rFont val="Tahoma"/>
            <family val="2"/>
          </rPr>
          <t>number and % of Requirements which have all its tests performed and successfully "OK" on this version plus other previous versions (thanks to "import SaRM" button)</t>
        </r>
      </text>
    </comment>
    <comment ref="I4" authorId="0" shapeId="0" xr:uid="{00000000-0006-0000-0300-000008000000}">
      <text>
        <r>
          <rPr>
            <sz val="9"/>
            <color indexed="81"/>
            <rFont val="Tahoma"/>
            <family val="2"/>
          </rPr>
          <t xml:space="preserve">number and % of Requirements which have:
- no "NOK" test and 
- not all its tests "OK" (req not fully tested)
on this version plus the other previous versions (thanks to "import SaRM" button)
</t>
        </r>
      </text>
    </comment>
    <comment ref="J4" authorId="0" shapeId="0" xr:uid="{00000000-0006-0000-0300-000009000000}">
      <text>
        <r>
          <rPr>
            <sz val="9"/>
            <color indexed="81"/>
            <rFont val="Tahoma"/>
            <family val="2"/>
          </rPr>
          <t>number and % of Requirements which have one of its test results with "NOK" on this version plus other previous versions (thanks to "import SaRM" button)</t>
        </r>
      </text>
    </comment>
  </commentList>
</comments>
</file>

<file path=xl/sharedStrings.xml><?xml version="1.0" encoding="utf-8"?>
<sst xmlns="http://schemas.openxmlformats.org/spreadsheetml/2006/main" count="180" uniqueCount="158">
  <si>
    <t>Revision</t>
  </si>
  <si>
    <t>Project Number &amp; Name</t>
  </si>
  <si>
    <t>Document state</t>
  </si>
  <si>
    <t>Document id</t>
  </si>
  <si>
    <t>Document title</t>
  </si>
  <si>
    <t>Version</t>
  </si>
  <si>
    <t>Description/comment</t>
  </si>
  <si>
    <t>Tab</t>
  </si>
  <si>
    <t>ID</t>
  </si>
  <si>
    <t>Title</t>
  </si>
  <si>
    <t>Reference &amp; revision</t>
  </si>
  <si>
    <t>Date</t>
  </si>
  <si>
    <t>Author(s)</t>
  </si>
  <si>
    <t>Description/Comment</t>
  </si>
  <si>
    <t>Title: Name</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</si>
  <si>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</si>
  <si>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</si>
  <si>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</si>
  <si>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</si>
  <si>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</si>
  <si>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</si>
  <si>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</si>
  <si>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</si>
  <si>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</si>
  <si>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</si>
  <si>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</si>
  <si>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</si>
  <si>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</si>
  <si>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</si>
  <si>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</si>
  <si>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</si>
  <si>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</si>
  <si>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</si>
  <si>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</si>
  <si>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</si>
  <si>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</si>
  <si>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This sheet : contains history, reference, purpose, scope, definition and guide</t>
  </si>
  <si>
    <t>The front page contains information about the document.
Note : the blue cells are automatically filled by PLM and/or formula</t>
  </si>
  <si>
    <t>1. HOW to use "Statistics" sheet...</t>
  </si>
  <si>
    <t>Implemented</t>
  </si>
  <si>
    <t>Test Id</t>
  </si>
  <si>
    <t>Result</t>
  </si>
  <si>
    <t>Justification</t>
  </si>
  <si>
    <t>Issue</t>
  </si>
  <si>
    <t>Comment</t>
  </si>
  <si>
    <t xml:space="preserve">if a test result is "failed" (NOK) or not done then an issue is needed </t>
  </si>
  <si>
    <t xml:space="preserve">if OK is extracted, the cell is green, the test is successfull. </t>
  </si>
  <si>
    <t xml:space="preserve"> </t>
  </si>
  <si>
    <t xml:space="preserve">if NOK is extracted, the cell is red, the test is failed. </t>
  </si>
  <si>
    <t>This document has been generated by Reqtify</t>
  </si>
  <si>
    <t>%endheader</t>
  </si>
  <si>
    <t>title</t>
  </si>
  <si>
    <t>PAGE BREAK</t>
  </si>
  <si>
    <t>sect1</t>
  </si>
  <si>
    <t>sect2</t>
  </si>
  <si>
    <t>sect3</t>
  </si>
  <si>
    <t>sect4</t>
  </si>
  <si>
    <t>sect5</t>
  </si>
  <si>
    <t>sect6</t>
  </si>
  <si>
    <t>sect7</t>
  </si>
  <si>
    <t>sect8</t>
  </si>
  <si>
    <t>sect9</t>
  </si>
  <si>
    <t>entry</t>
  </si>
  <si>
    <t>tableTitle</t>
  </si>
  <si>
    <t>para</t>
  </si>
  <si>
    <t>OK style</t>
  </si>
  <si>
    <t>NOK style</t>
  </si>
  <si>
    <t>Inconsistent style</t>
  </si>
  <si>
    <t>Without format but centered</t>
  </si>
  <si>
    <t>Tested previously</t>
  </si>
  <si>
    <t>CA (caution) style</t>
  </si>
  <si>
    <t>NA (not applicale) style</t>
  </si>
  <si>
    <t>for</t>
  </si>
  <si>
    <t>User Guide</t>
  </si>
  <si>
    <t>Explanation about this document</t>
  </si>
  <si>
    <t>Statistics</t>
  </si>
  <si>
    <t>Styles</t>
  </si>
  <si>
    <t>Styles for this document</t>
  </si>
  <si>
    <t>Other sheets…</t>
  </si>
  <si>
    <t>Automatic generated sheets</t>
  </si>
  <si>
    <t>The purpose of this document is to have a summary about customer requirements</t>
  </si>
  <si>
    <t>See User Guide sheet</t>
  </si>
  <si>
    <t>THIS SHEET IS AUTOMATICALLY CLEARED AND FILLED BY THE COMMAND BUTTON :</t>
  </si>
  <si>
    <t>Total (in number)</t>
  </si>
  <si>
    <t>Total (in %)</t>
  </si>
  <si>
    <t>Tested</t>
  </si>
  <si>
    <t>Tested (cumulated)</t>
  </si>
  <si>
    <t>Tested OK (cumulated)</t>
  </si>
  <si>
    <t>Tested NOK (cumulated)</t>
  </si>
  <si>
    <t>Tested partially OK (cumulated)</t>
  </si>
  <si>
    <t>Not implemented</t>
  </si>
  <si>
    <t>Current release</t>
  </si>
  <si>
    <t>tbd</t>
  </si>
  <si>
    <t>Feuil1</t>
  </si>
  <si>
    <t xml:space="preserve">if CA (Caution) is extracted, the cell is orange, the test must be analyzed to decide if it is OK or NOK.  </t>
  </si>
  <si>
    <t xml:space="preserve">if NS (Not Started) is extracted, the cell is orange, is-it normal? NA or empty would be better? </t>
  </si>
  <si>
    <t xml:space="preserve">NA (Not Applicale) is extracted, the cell is gray, the test is counted with OK results for statistic. </t>
  </si>
  <si>
    <t>if "In Progress" is extracted, the cell is orange.</t>
  </si>
  <si>
    <t>CA or NS or In Progress is counted as empty result</t>
  </si>
  <si>
    <t>Summary about requirements coverages</t>
  </si>
  <si>
    <t>Test File</t>
  </si>
  <si>
    <t>File Name</t>
  </si>
  <si>
    <t>Architecture Elements Number</t>
  </si>
  <si>
    <t>Implemented By</t>
  </si>
  <si>
    <t>Architecture Matrix (ArchM)</t>
  </si>
  <si>
    <t>Generate List of Incomplete Architecture Elements</t>
  </si>
  <si>
    <t xml:space="preserve">1. After having required the Architecture Matrix through Reqtify project and waiting few minutes, a ArchM report is ready to be opened but sheets are not correctly named (Feuil1, Feuil2,…). </t>
  </si>
  <si>
    <r>
      <t>2. You must click on button "</t>
    </r>
    <r>
      <rPr>
        <b/>
        <sz val="10"/>
        <rFont val="Arial"/>
        <family val="2"/>
      </rPr>
      <t>Update Statistics</t>
    </r>
    <r>
      <rPr>
        <sz val="10"/>
        <rFont val="Arial"/>
        <family val="2"/>
      </rPr>
      <t xml:space="preserve">"… A progress bar appears… All statistics are updated and every sheet (correponding to every Architecture file) is updated. </t>
    </r>
  </si>
  <si>
    <t>3. You may click on button "Import ArchM"… Give the name of a previous ArchM… A progress bar appears… 
If some tests are not performed again on this version for this ArchM but available on a previous version/ArchM, this ArchM will be filled with the results found for the previous version/ArchM with the mention "OK" or "NOK" on "version number".
To have the correct "version number", don't forget to correctly inform the "version" in the title given by the "1st page" sheet.</t>
  </si>
  <si>
    <t xml:space="preserve">
 </t>
  </si>
  <si>
    <t>The ArchM lists every architecture element extracted from Architecture file(s).</t>
  </si>
  <si>
    <t>HOW the "Incomplete Arch. Elements List" sheet is filled?</t>
  </si>
  <si>
    <t>The Architecture element will have to be copied and pasted in the "Incomplete Arch. Elements List" sheet:</t>
  </si>
  <si>
    <t xml:space="preserve">  - if no upper requirement is present (the corresponding cell will have the inconsistent style),</t>
  </si>
  <si>
    <t xml:space="preserve">  - if the architecture element is not implemented by Detailed Design (the corresponding cell will have the inconsistent style),</t>
  </si>
  <si>
    <t xml:space="preserve">  - if no test is present (the corresponding cell will have the inconsistent style).</t>
  </si>
  <si>
    <t>4. You may click on button "Generate List of Incomplete Architecture Elements"… It displays all "incomplete" Architecture elements in the "Incomplete Arch. Elements List" sheet.
The Architecture element will have to be copied and pasted in the "Incomplete Arch. Elements List" sheet:
  - if no upper requirement is present (the corresponding cell will have the inconsistent style),
  - if the architecture element is not implemented by Detailed Design (the corresponding cell will have the inconsistent style),
  - if no test is present (the corresponding cell will have the inconsistent style).</t>
  </si>
  <si>
    <t>Upstream Coverage Requirement Id</t>
  </si>
  <si>
    <t>"Implemented by" Description</t>
  </si>
  <si>
    <t>2. How every Architecture sheet is filled...</t>
  </si>
  <si>
    <t>For every Architecture element, write …</t>
  </si>
  <si>
    <t>Detailed Design Identifier implementing the Architecture element</t>
  </si>
  <si>
    <t>The Architecture element Identifier</t>
  </si>
  <si>
    <t>Test results</t>
  </si>
  <si>
    <t xml:space="preserve">The Requirement Identifier implemented by the Architecture element </t>
  </si>
  <si>
    <t xml:space="preserve">Test Identifier testing  the Architecture element </t>
  </si>
  <si>
    <t>if a test result is "failed" (NOK) or not done then a justification is needed.</t>
  </si>
  <si>
    <t>Hyperlink to test file</t>
  </si>
  <si>
    <t>Architecture Id</t>
  </si>
  <si>
    <t>Architecture Description</t>
  </si>
  <si>
    <t>Description corresponding to the Identifier in column 3</t>
  </si>
  <si>
    <t>Description corresponding to the Identifier in column 2</t>
  </si>
  <si>
    <t>Incomplete Arch. Elements List</t>
  </si>
  <si>
    <t>List of "incomplete" Architecture elements (see "User Guide" tab)</t>
  </si>
  <si>
    <t>Architecture Traceability to Upper Level(Software Requirements)</t>
  </si>
  <si>
    <t>Architecture Traceability to Lower Level(Detailed Design)</t>
  </si>
  <si>
    <t>Integration Tests Results</t>
  </si>
  <si>
    <t>Passed</t>
  </si>
  <si>
    <t>Not Tested</t>
  </si>
  <si>
    <t>Failed</t>
  </si>
  <si>
    <t>Satisfying Upper level requirement</t>
  </si>
  <si>
    <t>No. of Architecture Requirements that statisfies a Software Requirement</t>
  </si>
  <si>
    <t>No. of Architecture Requirements that are not statisfies a Software Requirement</t>
  </si>
  <si>
    <t>Integration Tests Status</t>
  </si>
  <si>
    <t>Architecture Elements</t>
  </si>
  <si>
    <t xml:space="preserve">Architecture Elements Tested </t>
  </si>
  <si>
    <t>Covered by a Inegration test</t>
  </si>
  <si>
    <t>Integration Test Specification and Test Result are available</t>
  </si>
  <si>
    <t>Integration Test Specification is available but Test Result is not available</t>
  </si>
  <si>
    <t>Integration Test Specification and Test Result are not available</t>
  </si>
  <si>
    <t>ArchM_TR6.xlsm</t>
  </si>
  <si>
    <t>See PCIM for the roles and Project Members List for the name of people</t>
  </si>
  <si>
    <r>
      <t xml:space="preserve">See </t>
    </r>
    <r>
      <rPr>
        <sz val="8"/>
        <color rgb="FF7030A0"/>
        <rFont val="Arial"/>
        <family val="2"/>
      </rPr>
      <t>PCIM</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</si>
  <si>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See PCIM for the roles and </t>
    </r>
    <r>
      <rPr>
        <sz val="10"/>
        <color rgb="FF7030A0"/>
        <rFont val="Arial"/>
        <family val="2"/>
      </rPr>
      <t>Project Members List</t>
    </r>
    <r>
      <rPr>
        <sz val="10"/>
        <rFont val="Arial"/>
        <family val="2"/>
      </rPr>
      <t xml:space="preserve"> for the name of people</t>
    </r>
  </si>
  <si>
    <t>The ARCHM lists the requirements extracted from modules</t>
  </si>
  <si>
    <t>Process and method</t>
  </si>
  <si>
    <t>TBD</t>
  </si>
  <si>
    <t>Draft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</si>
</sst>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68"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name val="Arial"/>
      <family val="2"/>
    </font>
    <font>
      <b/>
      <sz val="12"/>
      <name val="Arial"/>
      <family val="2"/>
    </font>
    <font>
      <u/>
      <sz val="10"/>
      <name val="Arial"/>
      <family val="2"/>
    </font>
    <font>
      <b/>
      <u/>
      <sz val="10"/>
      <name val="Arial"/>
      <family val="2"/>
    </font>
    <font>
      <b/>
      <sz val="8"/>
      <name val="Arial"/>
      <family val="2"/>
    </font>
    <font>
      <sz val="11"/>
      <name val="Arial"/>
      <family val="2"/>
    </font>
    <font>
      <sz val="12"/>
      <name val="Arial"/>
      <family val="2"/>
    </font>
    <font>
      <u/>
      <sz val="10"/>
      <color indexed="12"/>
      <name val="Arial"/>
      <family val="2"/>
    </font>
    <font>
      <sz val="10"/>
      <name val="Arial"/>
      <family val="2"/>
    </font>
    <font>
      <sz val="9"/>
      <color indexed="81"/>
      <name val="Tahoma"/>
      <family val="2"/>
    </font>
    <font>
      <b/>
      <sz val="14"/>
      <color indexed="9"/>
      <name val="Calibri"/>
      <family val="2"/>
    </font>
    <font>
      <b/>
      <sz val="14"/>
      <name val="Arial"/>
      <family val="2"/>
    </font>
    <font>
      <sz val="11"/>
      <color theme="1"/>
      <name val="Calibri"/>
      <family val="2"/>
      <scheme val="minor"/>
    </font>
    <font>
      <sz val="11"/>
      <color theme="0"/>
      <name val="Calibri"/>
      <family val="2"/>
      <scheme val="minor"/>
    </font>
    <font>
      <b/>
      <sz val="11"/>
      <color rgb="FFFA7D00"/>
      <name val="Calibri"/>
      <family val="2"/>
      <scheme val="minor"/>
    </font>
    <font>
      <b/>
      <sz val="12"/>
      <color rgb="FFFA7D00"/>
      <name val="Calibri"/>
      <family val="2"/>
      <scheme val="minor"/>
    </font>
    <font>
      <b/>
      <sz val="12"/>
      <color theme="0"/>
      <name val="Calibri"/>
      <family val="2"/>
      <scheme val="minor"/>
    </font>
    <font>
      <b/>
      <sz val="11"/>
      <color theme="3"/>
      <name val="Calibri"/>
      <family val="2"/>
      <scheme val="minor"/>
    </font>
    <font>
      <u/>
      <sz val="10"/>
      <color theme="10"/>
      <name val="Arial"/>
      <family val="2"/>
    </font>
    <font>
      <sz val="11"/>
      <color rgb="FF3F3F76"/>
      <name val="Calibri"/>
      <family val="2"/>
      <scheme val="minor"/>
    </font>
    <font>
      <b/>
      <sz val="12"/>
      <color rgb="FF3F3F3F"/>
      <name val="Calibri"/>
      <family val="2"/>
      <scheme val="minor"/>
    </font>
    <font>
      <b/>
      <sz val="18"/>
      <color theme="3"/>
      <name val="Cambria"/>
      <family val="2"/>
      <scheme val="major"/>
    </font>
    <font>
      <sz val="11"/>
      <color rgb="FFFF0000"/>
      <name val="Calibri"/>
      <family val="2"/>
      <scheme val="minor"/>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22"/>
      <color rgb="FFFF0000"/>
      <name val="Arial"/>
      <family val="2"/>
    </font>
    <font>
      <b/>
      <sz val="11"/>
      <color theme="6" tint="-0.499984740745262"/>
      <name val="Calibri"/>
      <family val="2"/>
      <scheme val="minor"/>
    </font>
    <font>
      <b/>
      <sz val="11"/>
      <color theme="3" tint="-0.249977111117893"/>
      <name val="Calibri"/>
      <family val="2"/>
      <scheme val="minor"/>
    </font>
    <font>
      <b/>
      <sz val="11"/>
      <color rgb="FFFF0000"/>
      <name val="Calibri"/>
      <family val="2"/>
      <scheme val="minor"/>
    </font>
    <font>
      <b/>
      <sz val="12"/>
      <color theme="3"/>
      <name val="Calibri"/>
      <family val="2"/>
      <scheme val="minor"/>
    </font>
    <font>
      <sz val="11"/>
      <name val="Calibri"/>
      <family val="2"/>
      <scheme val="minor"/>
    </font>
    <font>
      <sz val="12"/>
      <name val="Calibri"/>
      <family val="2"/>
      <scheme val="minor"/>
    </font>
    <font>
      <sz val="12"/>
      <color rgb="FFFF0000"/>
      <name val="Calibri"/>
      <family val="2"/>
      <scheme val="minor"/>
    </font>
    <font>
      <b/>
      <sz val="10"/>
      <color rgb="FFFFFFFF"/>
      <name val="Arial"/>
      <family val="2"/>
    </font>
    <font>
      <sz val="10"/>
      <color rgb="FFFFFFFF"/>
      <name val="Arial"/>
      <family val="2"/>
    </font>
    <font>
      <b/>
      <sz val="8"/>
      <color theme="0"/>
      <name val="Arial"/>
      <family val="2"/>
    </font>
    <font>
      <b/>
      <i/>
      <sz val="10"/>
      <color rgb="FF000080"/>
      <name val="Arial"/>
      <family val="2"/>
    </font>
    <font>
      <b/>
      <sz val="20"/>
      <color rgb="FF3F3F76"/>
      <name val="Calibri"/>
      <family val="2"/>
      <scheme val="minor"/>
    </font>
    <font>
      <sz val="10"/>
      <color rgb="FF000080"/>
      <name val="Arial"/>
      <family val="2"/>
    </font>
    <font>
      <b/>
      <sz val="10"/>
      <color theme="0"/>
      <name val="Arial"/>
      <family val="2"/>
    </font>
    <font>
      <sz val="10"/>
      <color rgb="FF000000"/>
      <name val="Arial"/>
      <family val="2"/>
    </font>
    <font>
      <sz val="14"/>
      <name val="Arial"/>
      <family val="2"/>
    </font>
    <font>
      <u/>
      <sz val="14"/>
      <name val="Arial"/>
      <family val="2"/>
    </font>
    <font>
      <b/>
      <sz val="11"/>
      <color theme="1"/>
      <name val="Calibri"/>
      <family val="2"/>
      <scheme val="minor"/>
    </font>
    <font>
      <sz val="8"/>
      <color rgb="FF7030A0"/>
      <name val="Arial"/>
      <family val="2"/>
    </font>
    <font>
      <sz val="10"/>
      <color rgb="FF7030A0"/>
      <name val="Arial"/>
      <family val="2"/>
    </font>
  </fonts>
  <fills count="38">
    <fill>
      <patternFill patternType="none"/>
    </fill>
    <fill>
      <patternFill patternType="gray125"/>
    </fill>
    <fill>
      <patternFill patternType="solid">
        <fgColor indexed="51"/>
        <bgColor indexed="64"/>
      </patternFill>
    </fill>
    <fill>
      <patternFill patternType="solid">
        <fgColor indexed="52"/>
        <bgColor indexed="64"/>
      </patternFill>
    </fill>
    <fill>
      <patternFill patternType="solid">
        <fgColor indexed="55"/>
        <bgColor indexed="64"/>
      </patternFill>
    </fill>
    <fill>
      <patternFill patternType="solid">
        <fgColor indexed="10"/>
        <bgColor indexed="64"/>
      </patternFill>
    </fill>
    <fill>
      <patternFill patternType="solid">
        <fgColor indexed="50"/>
        <bgColor indexed="64"/>
      </patternFill>
    </fill>
    <fill>
      <patternFill patternType="solid">
        <fgColor indexed="43"/>
        <bgColor indexed="64"/>
      </patternFill>
    </fill>
    <fill>
      <patternFill patternType="solid">
        <fgColor indexed="23"/>
        <bgColor indexed="64"/>
      </patternFill>
    </fill>
    <fill>
      <patternFill patternType="solid">
        <fgColor indexed="11"/>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8"/>
        <bgColor indexed="64"/>
      </patternFill>
    </fill>
    <fill>
      <patternFill patternType="solid">
        <fgColor indexed="65"/>
        <bgColor indexed="10"/>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9"/>
      </patternFill>
    </fill>
    <fill>
      <patternFill patternType="solid">
        <fgColor rgb="FFF2F2F2"/>
      </patternFill>
    </fill>
    <fill>
      <patternFill patternType="solid">
        <fgColor rgb="FFA5A5A5"/>
      </patternFill>
    </fill>
    <fill>
      <patternFill patternType="solid">
        <fgColor rgb="FFFFCC99"/>
      </patternFill>
    </fill>
    <fill>
      <patternFill patternType="solid">
        <fgColor theme="0"/>
        <bgColor indexed="64"/>
      </patternFill>
    </fill>
    <fill>
      <patternFill patternType="solid">
        <fgColor theme="9" tint="0.79998168889431442"/>
        <bgColor indexed="64"/>
      </patternFill>
    </fill>
    <fill>
      <patternFill patternType="solid">
        <fgColor rgb="FFEBF1DE"/>
        <bgColor indexed="64"/>
      </patternFill>
    </fill>
    <fill>
      <patternFill patternType="solid">
        <fgColor rgb="FFF2F2F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4"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thin">
        <color rgb="FF000080"/>
      </bottom>
      <diagonal/>
    </border>
    <border>
      <left style="thick">
        <color theme="0"/>
      </left>
      <right/>
      <top/>
      <bottom/>
      <diagonal/>
    </border>
    <border>
      <left/>
      <right/>
      <top/>
      <bottom style="thick">
        <color theme="0"/>
      </bottom>
      <diagonal/>
    </border>
    <border>
      <left style="thick">
        <color theme="0"/>
      </left>
      <right/>
      <top style="thick">
        <color theme="0"/>
      </top>
      <bottom/>
      <diagonal/>
    </border>
    <border>
      <left/>
      <right/>
      <top style="thick">
        <color theme="0"/>
      </top>
      <bottom/>
      <diagonal/>
    </border>
    <border>
      <left style="thick">
        <color theme="0"/>
      </left>
      <right style="thin">
        <color indexed="64"/>
      </right>
      <top style="thin">
        <color indexed="64"/>
      </top>
      <bottom style="thin">
        <color indexed="64"/>
      </bottom>
      <diagonal/>
    </border>
    <border>
      <left/>
      <right style="thick">
        <color theme="0"/>
      </right>
      <top/>
      <bottom/>
      <diagonal/>
    </border>
    <border>
      <left style="thick">
        <color theme="0"/>
      </left>
      <right/>
      <top/>
      <bottom style="thick">
        <color theme="0"/>
      </bottom>
      <diagonal/>
    </border>
    <border>
      <left/>
      <right style="thick">
        <color theme="0"/>
      </right>
      <top/>
      <bottom style="thick">
        <color theme="0"/>
      </bottom>
      <diagonal/>
    </border>
    <border>
      <left/>
      <right/>
      <top/>
      <bottom style="thin">
        <color theme="0"/>
      </bottom>
      <diagonal/>
    </border>
    <border>
      <left style="thick">
        <color theme="0"/>
      </left>
      <right style="thin">
        <color indexed="64"/>
      </right>
      <top style="thin">
        <color indexed="64"/>
      </top>
      <bottom/>
      <diagonal/>
    </border>
    <border>
      <left style="thick">
        <color theme="0"/>
      </left>
      <right style="thin">
        <color indexed="64"/>
      </right>
      <top style="medium">
        <color indexed="64"/>
      </top>
      <bottom style="thin">
        <color indexed="64"/>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thick">
        <color theme="0"/>
      </left>
      <right/>
      <top style="thin">
        <color indexed="64"/>
      </top>
      <bottom/>
      <diagonal/>
    </border>
  </borders>
  <cellStyleXfs count="84">
    <xf numFmtId="0" fontId="0" fillId="0" borderId="0"/>
    <xf numFmtId="0" fontId="31" fillId="15" borderId="0" applyNumberFormat="0" applyBorder="0" applyAlignment="0" applyProtection="0"/>
    <xf numFmtId="0" fontId="31" fillId="16" borderId="0" applyNumberFormat="0" applyBorder="0" applyAlignment="0" applyProtection="0"/>
    <xf numFmtId="0" fontId="31" fillId="17" borderId="0" applyNumberForma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32" fillId="20" borderId="0" applyNumberFormat="0" applyBorder="0" applyAlignment="0" applyProtection="0"/>
    <xf numFmtId="0" fontId="32" fillId="21"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4" fillId="2" borderId="1">
      <alignment horizontal="center" vertical="center"/>
    </xf>
    <xf numFmtId="0" fontId="33" fillId="24" borderId="16" applyNumberFormat="0" applyAlignment="0" applyProtection="0"/>
    <xf numFmtId="0" fontId="34" fillId="24" borderId="16" applyNumberFormat="0" applyAlignment="0" applyProtection="0"/>
    <xf numFmtId="0" fontId="35" fillId="25" borderId="17" applyNumberFormat="0" applyAlignment="0" applyProtection="0"/>
    <xf numFmtId="0" fontId="3" fillId="0" borderId="1"/>
    <xf numFmtId="0" fontId="6" fillId="0" borderId="1"/>
    <xf numFmtId="0" fontId="6" fillId="0" borderId="1"/>
    <xf numFmtId="0" fontId="6" fillId="0" borderId="1"/>
    <xf numFmtId="0" fontId="6" fillId="0" borderId="1"/>
    <xf numFmtId="0" fontId="6" fillId="0" borderId="1"/>
    <xf numFmtId="0" fontId="27" fillId="0" borderId="1"/>
    <xf numFmtId="0" fontId="36" fillId="0" borderId="0" applyNumberFormat="0" applyFill="0" applyBorder="0" applyAlignment="0" applyProtection="0"/>
    <xf numFmtId="0" fontId="37" fillId="0" borderId="0" applyNumberFormat="0" applyFill="0" applyBorder="0" applyAlignment="0" applyProtection="0"/>
    <xf numFmtId="0" fontId="26" fillId="0" borderId="0" applyNumberFormat="0" applyFill="0" applyBorder="0" applyAlignment="0" applyProtection="0">
      <alignment vertical="top"/>
      <protection locked="0"/>
    </xf>
    <xf numFmtId="0" fontId="3" fillId="3" borderId="1">
      <alignment horizontal="center"/>
    </xf>
    <xf numFmtId="0" fontId="6" fillId="3" borderId="1">
      <alignment horizontal="center"/>
    </xf>
    <xf numFmtId="0" fontId="6" fillId="3" borderId="1">
      <alignment horizontal="center"/>
    </xf>
    <xf numFmtId="0" fontId="6" fillId="3" borderId="1">
      <alignment horizontal="center"/>
    </xf>
    <xf numFmtId="0" fontId="38" fillId="26" borderId="16" applyNumberFormat="0" applyAlignment="0" applyProtection="0"/>
    <xf numFmtId="0" fontId="4" fillId="4" borderId="1">
      <alignment horizontal="center" vertical="center"/>
    </xf>
    <xf numFmtId="0" fontId="4" fillId="5" borderId="1">
      <alignment horizontal="center"/>
    </xf>
    <xf numFmtId="0" fontId="6" fillId="0" borderId="0"/>
    <xf numFmtId="0" fontId="6" fillId="0" borderId="0"/>
    <xf numFmtId="0" fontId="6" fillId="0" borderId="0"/>
    <xf numFmtId="0" fontId="6" fillId="0" borderId="0"/>
    <xf numFmtId="0" fontId="6" fillId="0" borderId="0"/>
    <xf numFmtId="10" fontId="24" fillId="0" borderId="0"/>
    <xf numFmtId="0" fontId="3" fillId="0" borderId="0"/>
    <xf numFmtId="0" fontId="4" fillId="6" borderId="1">
      <alignment horizontal="center"/>
    </xf>
    <xf numFmtId="0" fontId="39" fillId="24" borderId="18" applyNumberFormat="0" applyAlignment="0" applyProtection="0"/>
    <xf numFmtId="0" fontId="6" fillId="0" borderId="0"/>
    <xf numFmtId="0" fontId="6" fillId="0" borderId="0"/>
    <xf numFmtId="10" fontId="3" fillId="0" borderId="0" applyFont="0" applyFill="0" applyBorder="0" applyAlignment="0" applyProtection="0"/>
    <xf numFmtId="9" fontId="6" fillId="0" borderId="0" applyFont="0" applyFill="0" applyBorder="0" applyAlignment="0" applyProtection="0"/>
    <xf numFmtId="0" fontId="20" fillId="0" borderId="0">
      <alignment horizontal="center"/>
    </xf>
    <xf numFmtId="0" fontId="20" fillId="0" borderId="1"/>
    <xf numFmtId="0" fontId="4" fillId="0" borderId="0"/>
    <xf numFmtId="0" fontId="21"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4" fillId="0" borderId="1">
      <alignment horizontal="center" textRotation="60"/>
    </xf>
    <xf numFmtId="0" fontId="13" fillId="7" borderId="1">
      <alignment horizontal="center"/>
    </xf>
    <xf numFmtId="0" fontId="40" fillId="0" borderId="0" applyNumberFormat="0" applyFill="0" applyBorder="0" applyAlignment="0" applyProtection="0"/>
    <xf numFmtId="0" fontId="9" fillId="0" borderId="2"/>
    <xf numFmtId="0" fontId="41" fillId="0" borderId="0" applyNumberFormat="0" applyFill="0" applyBorder="0" applyAlignment="0" applyProtection="0"/>
    <xf numFmtId="49" fontId="3" fillId="0" borderId="1">
      <alignment horizontal="center"/>
    </xf>
    <xf numFmtId="0" fontId="6" fillId="0" borderId="1">
      <alignment horizontal="center"/>
    </xf>
    <xf numFmtId="0" fontId="6" fillId="0" borderId="1">
      <alignment horizontal="center"/>
    </xf>
    <xf numFmtId="0" fontId="6" fillId="0" borderId="1">
      <alignment horizontal="center"/>
    </xf>
    <xf numFmtId="0" fontId="6" fillId="0" borderId="1">
      <alignment horizontal="center"/>
    </xf>
    <xf numFmtId="0" fontId="6" fillId="0" borderId="1">
      <alignment horizontal="center"/>
    </xf>
    <xf numFmtId="0" fontId="27" fillId="0" borderId="1">
      <alignment horizontal="center"/>
    </xf>
  </cellStyleXfs>
  <cellXfs count="328">
    <xf numFmtId="0" fontId="0" fillId="0" borderId="0" xfId="0"/>
    <xf numFmtId="0" fontId="0" fillId="0" borderId="0" xfId="0" applyAlignment="1">
      <alignment vertical="center"/>
    </xf>
    <xf numFmtId="0" fontId="0" fillId="0" borderId="0" xfId="0" applyAlignment="1" applyProtection="1">
      <alignment vertical="center"/>
    </xf>
    <xf numFmtId="0" fontId="7" fillId="0" borderId="0" xfId="0" applyFont="1" applyFill="1" applyAlignment="1" applyProtection="1">
      <alignment vertical="center" wrapText="1"/>
    </xf>
    <xf numFmtId="164" fontId="7" fillId="0" borderId="0" xfId="0" applyNumberFormat="1" applyFont="1" applyFill="1" applyBorder="1" applyAlignment="1" applyProtection="1">
      <alignment horizontal="center" vertical="center" wrapText="1"/>
    </xf>
    <xf numFmtId="20" fontId="7" fillId="0" borderId="0" xfId="0" applyNumberFormat="1" applyFont="1" applyFill="1" applyBorder="1" applyAlignment="1" applyProtection="1">
      <alignment vertical="center" wrapText="1"/>
    </xf>
    <xf numFmtId="0" fontId="7" fillId="0" borderId="0" xfId="0" applyFont="1" applyFill="1" applyBorder="1" applyAlignment="1" applyProtection="1">
      <alignment horizontal="left" vertical="center" wrapText="1"/>
    </xf>
    <xf numFmtId="0" fontId="3" fillId="0" borderId="0" xfId="0" applyFont="1" applyFill="1" applyAlignment="1" applyProtection="1">
      <alignment vertical="center"/>
    </xf>
    <xf numFmtId="0" fontId="0" fillId="0" borderId="0" xfId="0" applyBorder="1" applyAlignment="1" applyProtection="1">
      <alignment vertical="center"/>
    </xf>
    <xf numFmtId="0" fontId="3" fillId="0" borderId="0" xfId="0" applyFont="1" applyFill="1" applyBorder="1" applyAlignment="1" applyProtection="1">
      <alignment vertical="center"/>
    </xf>
    <xf numFmtId="0" fontId="42" fillId="0" borderId="0" xfId="0" applyFont="1" applyFill="1" applyBorder="1" applyAlignment="1" applyProtection="1">
      <alignment horizontal="right" vertical="center"/>
    </xf>
    <xf numFmtId="0" fontId="8" fillId="0" borderId="0" xfId="0" applyFont="1" applyBorder="1" applyAlignment="1" applyProtection="1">
      <alignment horizontal="left" vertical="center" wrapText="1"/>
    </xf>
    <xf numFmtId="0" fontId="6" fillId="0" borderId="0" xfId="0" applyFont="1" applyFill="1" applyBorder="1" applyAlignment="1" applyProtection="1">
      <alignment vertical="center" shrinkToFit="1"/>
    </xf>
    <xf numFmtId="0" fontId="6" fillId="0" borderId="0" xfId="0" applyFont="1" applyBorder="1" applyAlignment="1" applyProtection="1">
      <alignment vertical="center" shrinkToFit="1"/>
    </xf>
    <xf numFmtId="0" fontId="6" fillId="0" borderId="0" xfId="0" applyFont="1" applyFill="1" applyAlignment="1" applyProtection="1">
      <alignment vertical="center" shrinkToFit="1"/>
    </xf>
    <xf numFmtId="0" fontId="6" fillId="0" borderId="0" xfId="0" applyFont="1" applyAlignment="1" applyProtection="1">
      <alignment vertical="center" shrinkToFit="1"/>
    </xf>
    <xf numFmtId="0" fontId="3" fillId="0" borderId="0" xfId="0" applyFont="1" applyFill="1" applyAlignment="1" applyProtection="1">
      <alignment vertical="center"/>
      <protection locked="0"/>
    </xf>
    <xf numFmtId="0" fontId="0" fillId="0" borderId="0" xfId="0" applyAlignment="1" applyProtection="1">
      <alignment vertical="center"/>
      <protection locked="0"/>
    </xf>
    <xf numFmtId="0" fontId="6" fillId="0" borderId="0" xfId="0" applyFont="1" applyFill="1" applyAlignment="1" applyProtection="1">
      <alignment vertical="center"/>
      <protection locked="0"/>
    </xf>
    <xf numFmtId="0" fontId="6" fillId="0" borderId="0" xfId="0" applyFont="1" applyAlignment="1" applyProtection="1">
      <alignment vertical="center"/>
      <protection locked="0"/>
    </xf>
    <xf numFmtId="0" fontId="43" fillId="0" borderId="19" xfId="0" applyFont="1" applyBorder="1" applyAlignment="1" applyProtection="1">
      <alignment vertical="center"/>
      <protection locked="0"/>
    </xf>
    <xf numFmtId="0" fontId="0" fillId="0" borderId="19" xfId="0" applyBorder="1" applyAlignment="1" applyProtection="1">
      <alignment vertical="center"/>
      <protection locked="0"/>
    </xf>
    <xf numFmtId="0" fontId="14" fillId="0" borderId="0" xfId="0" applyFont="1" applyAlignment="1" applyProtection="1">
      <alignment horizontal="left" vertical="center"/>
      <protection locked="0"/>
    </xf>
    <xf numFmtId="0" fontId="9" fillId="0" borderId="0" xfId="0" applyFont="1" applyAlignment="1" applyProtection="1">
      <alignment horizontal="left" vertical="center"/>
      <protection locked="0"/>
    </xf>
    <xf numFmtId="0" fontId="6" fillId="0" borderId="0" xfId="0" applyFont="1" applyAlignment="1" applyProtection="1">
      <alignment horizontal="left" vertical="center"/>
      <protection locked="0"/>
    </xf>
    <xf numFmtId="0" fontId="11" fillId="0" borderId="0" xfId="0" applyFont="1" applyAlignment="1" applyProtection="1">
      <alignment vertical="center"/>
      <protection locked="0"/>
    </xf>
    <xf numFmtId="0" fontId="4" fillId="0" borderId="0" xfId="0" applyFont="1" applyAlignment="1" applyProtection="1">
      <alignment vertical="center"/>
      <protection locked="0"/>
    </xf>
    <xf numFmtId="49" fontId="18" fillId="0" borderId="0" xfId="0" applyNumberFormat="1" applyFont="1" applyFill="1" applyBorder="1" applyAlignment="1" applyProtection="1">
      <alignment horizontal="left" vertical="center"/>
      <protection locked="0"/>
    </xf>
    <xf numFmtId="49" fontId="6" fillId="0" borderId="0" xfId="0" applyNumberFormat="1" applyFont="1" applyFill="1" applyBorder="1" applyAlignment="1">
      <alignment horizontal="center" vertical="center" wrapText="1"/>
    </xf>
    <xf numFmtId="49" fontId="6" fillId="0" borderId="0" xfId="0" applyNumberFormat="1" applyFont="1" applyFill="1" applyBorder="1" applyAlignment="1" applyProtection="1">
      <alignment horizontal="left" vertical="center" wrapText="1"/>
      <protection locked="0"/>
    </xf>
    <xf numFmtId="49" fontId="6" fillId="0" borderId="0" xfId="0" applyNumberFormat="1" applyFont="1" applyFill="1" applyBorder="1" applyAlignment="1">
      <alignment horizontal="left" vertical="center" wrapText="1"/>
    </xf>
    <xf numFmtId="49" fontId="16"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7" fillId="0" borderId="0" xfId="0" applyFont="1" applyAlignment="1" applyProtection="1">
      <alignment horizontal="left" vertical="center"/>
      <protection locked="0"/>
    </xf>
    <xf numFmtId="0" fontId="0" fillId="0" borderId="0" xfId="0" applyBorder="1" applyAlignment="1">
      <alignment horizontal="left" vertical="center" wrapText="1"/>
    </xf>
    <xf numFmtId="0" fontId="43" fillId="0" borderId="3" xfId="0" applyFont="1" applyBorder="1" applyAlignment="1" applyProtection="1">
      <alignment vertical="center"/>
      <protection locked="0"/>
    </xf>
    <xf numFmtId="49" fontId="6" fillId="0" borderId="3" xfId="0" applyNumberFormat="1" applyFont="1" applyFill="1" applyBorder="1" applyAlignment="1" applyProtection="1">
      <alignment horizontal="left" vertical="center" wrapText="1"/>
      <protection locked="0"/>
    </xf>
    <xf numFmtId="0" fontId="0" fillId="0" borderId="3" xfId="0" applyBorder="1" applyAlignment="1">
      <alignment horizontal="left" vertical="center" wrapText="1"/>
    </xf>
    <xf numFmtId="0" fontId="43" fillId="0" borderId="0" xfId="0" applyFont="1" applyBorder="1" applyAlignment="1" applyProtection="1">
      <alignment vertical="center"/>
      <protection locked="0"/>
    </xf>
    <xf numFmtId="49" fontId="6"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6"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6" fillId="0" borderId="0" xfId="0" applyFont="1" applyFill="1" applyAlignment="1" applyProtection="1">
      <alignment vertical="center"/>
    </xf>
    <xf numFmtId="0" fontId="6" fillId="0" borderId="0" xfId="0" applyFont="1" applyAlignment="1" applyProtection="1">
      <alignment vertical="center"/>
    </xf>
    <xf numFmtId="0" fontId="13" fillId="0" borderId="0" xfId="0" applyFont="1" applyBorder="1" applyAlignment="1" applyProtection="1">
      <alignment horizontal="left" vertical="center" shrinkToFit="1"/>
    </xf>
    <xf numFmtId="0" fontId="4" fillId="0" borderId="0" xfId="0" applyFont="1" applyBorder="1" applyAlignment="1" applyProtection="1">
      <alignment horizontal="left" vertical="center" shrinkToFit="1"/>
    </xf>
    <xf numFmtId="0" fontId="6" fillId="0" borderId="0" xfId="0" applyFont="1" applyFill="1" applyAlignment="1" applyProtection="1">
      <alignment vertical="center" shrinkToFit="1"/>
      <protection locked="0"/>
    </xf>
    <xf numFmtId="0" fontId="6" fillId="0" borderId="0" xfId="0" applyFont="1" applyAlignment="1" applyProtection="1">
      <alignment vertical="center" shrinkToFit="1"/>
      <protection locked="0"/>
    </xf>
    <xf numFmtId="0" fontId="44" fillId="0" borderId="4" xfId="0" applyFont="1" applyFill="1" applyBorder="1" applyAlignment="1" applyProtection="1">
      <alignment horizontal="left" vertical="center" wrapText="1" shrinkToFit="1"/>
      <protection locked="0"/>
    </xf>
    <xf numFmtId="0" fontId="45" fillId="0" borderId="0" xfId="0" applyFont="1" applyFill="1" applyBorder="1" applyAlignment="1" applyProtection="1">
      <alignment horizontal="left" vertical="center" shrinkToFit="1"/>
      <protection locked="0"/>
    </xf>
    <xf numFmtId="0" fontId="44" fillId="0" borderId="0" xfId="0" applyFont="1" applyFill="1" applyBorder="1" applyAlignment="1" applyProtection="1">
      <alignment horizontal="left" vertical="center" wrapText="1" shrinkToFit="1"/>
      <protection locked="0"/>
    </xf>
    <xf numFmtId="0" fontId="45" fillId="0" borderId="5" xfId="0" applyFont="1" applyFill="1" applyBorder="1" applyAlignment="1" applyProtection="1">
      <alignment horizontal="left" vertical="center" shrinkToFit="1"/>
      <protection locked="0"/>
    </xf>
    <xf numFmtId="0" fontId="3"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2" fillId="0" borderId="0" xfId="0" applyFont="1" applyFill="1" applyAlignment="1" applyProtection="1">
      <alignment horizontal="center" vertical="center"/>
      <protection locked="0"/>
    </xf>
    <xf numFmtId="0" fontId="46" fillId="0" borderId="0" xfId="0" quotePrefix="1" applyFont="1" applyFill="1" applyBorder="1" applyAlignment="1" applyProtection="1">
      <alignment horizontal="right" vertical="center"/>
    </xf>
    <xf numFmtId="0" fontId="0" fillId="0" borderId="0" xfId="0" applyAlignment="1">
      <alignment horizontal="left" vertical="center"/>
    </xf>
    <xf numFmtId="0" fontId="19" fillId="0" borderId="0" xfId="0" applyFont="1" applyBorder="1" applyAlignment="1">
      <alignment horizontal="center" vertical="center" wrapText="1"/>
    </xf>
    <xf numFmtId="0" fontId="0" fillId="0" borderId="0" xfId="0" applyAlignment="1">
      <alignment horizontal="left" vertical="top"/>
    </xf>
    <xf numFmtId="0" fontId="0" fillId="0" borderId="0" xfId="0" applyBorder="1" applyAlignment="1">
      <alignment vertical="center" wrapText="1"/>
    </xf>
    <xf numFmtId="0" fontId="10" fillId="8" borderId="1" xfId="72" applyFont="1" applyFill="1">
      <alignment horizontal="center" textRotation="60"/>
    </xf>
    <xf numFmtId="49" fontId="23" fillId="0" borderId="0" xfId="0" applyNumberFormat="1" applyFont="1" applyFill="1" applyAlignment="1">
      <alignment horizontal="center" vertical="center" wrapText="1"/>
    </xf>
    <xf numFmtId="49" fontId="23" fillId="9" borderId="0" xfId="0" applyNumberFormat="1" applyFont="1" applyFill="1" applyBorder="1" applyAlignment="1">
      <alignment horizontal="center" vertical="center" wrapText="1"/>
    </xf>
    <xf numFmtId="49" fontId="23" fillId="5" borderId="0" xfId="0" applyNumberFormat="1" applyFont="1" applyFill="1" applyBorder="1" applyAlignment="1">
      <alignment horizontal="center" vertical="center" wrapText="1"/>
    </xf>
    <xf numFmtId="0" fontId="23" fillId="2" borderId="0" xfId="10" applyFont="1" applyBorder="1" applyAlignment="1">
      <alignment horizontal="center" vertical="center" wrapText="1"/>
    </xf>
    <xf numFmtId="0" fontId="23" fillId="4" borderId="0" xfId="29" applyFont="1" applyBorder="1" applyAlignment="1">
      <alignment horizontal="center" vertical="center" wrapText="1"/>
    </xf>
    <xf numFmtId="0" fontId="9" fillId="0" borderId="2" xfId="75" applyFont="1" applyFill="1"/>
    <xf numFmtId="0" fontId="0" fillId="0" borderId="0" xfId="0" applyFill="1"/>
    <xf numFmtId="0" fontId="20" fillId="0" borderId="1" xfId="45"/>
    <xf numFmtId="0" fontId="4" fillId="0" borderId="0" xfId="46"/>
    <xf numFmtId="0" fontId="21" fillId="0" borderId="0" xfId="47"/>
    <xf numFmtId="0" fontId="3" fillId="0" borderId="0" xfId="48"/>
    <xf numFmtId="0" fontId="3" fillId="0" borderId="0" xfId="52"/>
    <xf numFmtId="0" fontId="3" fillId="0" borderId="0" xfId="56"/>
    <xf numFmtId="0" fontId="3" fillId="0" borderId="0" xfId="60"/>
    <xf numFmtId="0" fontId="3" fillId="0" borderId="0" xfId="64"/>
    <xf numFmtId="0" fontId="3" fillId="0" borderId="0" xfId="68"/>
    <xf numFmtId="0" fontId="3" fillId="0" borderId="1" xfId="14" applyFont="1"/>
    <xf numFmtId="49" fontId="3" fillId="0" borderId="1" xfId="77">
      <alignment horizontal="center"/>
    </xf>
    <xf numFmtId="0" fontId="4" fillId="6" borderId="1" xfId="38">
      <alignment horizontal="center"/>
    </xf>
    <xf numFmtId="0" fontId="4" fillId="5" borderId="1" xfId="30">
      <alignment horizontal="center"/>
    </xf>
    <xf numFmtId="0" fontId="3" fillId="3" borderId="1" xfId="24">
      <alignment horizontal="center"/>
    </xf>
    <xf numFmtId="0" fontId="13" fillId="7" borderId="1" xfId="73">
      <alignment horizontal="center"/>
    </xf>
    <xf numFmtId="0" fontId="4" fillId="2" borderId="1" xfId="10">
      <alignment horizontal="center" vertical="center"/>
    </xf>
    <xf numFmtId="0" fontId="4" fillId="4" borderId="1" xfId="29" applyFont="1">
      <alignment horizontal="center" vertical="center"/>
    </xf>
    <xf numFmtId="0" fontId="0" fillId="27" borderId="0" xfId="0" applyFill="1" applyAlignment="1">
      <alignment vertical="center"/>
    </xf>
    <xf numFmtId="0" fontId="20" fillId="27" borderId="0" xfId="0" applyFont="1" applyFill="1" applyAlignment="1">
      <alignment vertical="center" textRotation="60"/>
    </xf>
    <xf numFmtId="0" fontId="13" fillId="0" borderId="0" xfId="0" applyFont="1" applyAlignment="1" applyProtection="1">
      <alignment vertical="center"/>
      <protection locked="0"/>
    </xf>
    <xf numFmtId="0" fontId="12" fillId="0" borderId="0" xfId="0" applyFont="1" applyFill="1" applyAlignment="1" applyProtection="1">
      <alignment vertical="center" wrapText="1"/>
      <protection locked="0"/>
    </xf>
    <xf numFmtId="0" fontId="13" fillId="0" borderId="0" xfId="0" applyFont="1" applyAlignment="1">
      <alignment vertical="center" wrapText="1"/>
    </xf>
    <xf numFmtId="0" fontId="12" fillId="0" borderId="0" xfId="0" applyFont="1" applyAlignment="1">
      <alignment vertical="center" wrapText="1"/>
    </xf>
    <xf numFmtId="0" fontId="12" fillId="0" borderId="0" xfId="0" applyFont="1" applyBorder="1" applyAlignment="1">
      <alignment vertical="center"/>
    </xf>
    <xf numFmtId="0" fontId="12" fillId="0" borderId="0" xfId="0" applyFont="1" applyBorder="1" applyAlignment="1">
      <alignment vertical="center" wrapText="1"/>
    </xf>
    <xf numFmtId="0" fontId="13" fillId="0" borderId="0" xfId="0" applyFont="1" applyFill="1" applyAlignment="1" applyProtection="1">
      <alignment vertical="center"/>
      <protection locked="0"/>
    </xf>
    <xf numFmtId="0" fontId="47" fillId="0" borderId="0" xfId="0" applyFont="1"/>
    <xf numFmtId="0" fontId="4" fillId="27" borderId="0" xfId="0" applyFont="1" applyFill="1" applyAlignment="1">
      <alignment horizontal="center" vertical="center"/>
    </xf>
    <xf numFmtId="1" fontId="4" fillId="10" borderId="8" xfId="0" applyNumberFormat="1" applyFont="1" applyFill="1" applyBorder="1" applyAlignment="1">
      <alignment horizontal="center" vertical="center"/>
    </xf>
    <xf numFmtId="0" fontId="4" fillId="10" borderId="8" xfId="0" applyNumberFormat="1" applyFont="1" applyFill="1" applyBorder="1" applyAlignment="1">
      <alignment horizontal="center" vertical="center"/>
    </xf>
    <xf numFmtId="0" fontId="4" fillId="11" borderId="8" xfId="0" applyFont="1" applyFill="1" applyBorder="1" applyAlignment="1">
      <alignment horizontal="center" vertical="center"/>
    </xf>
    <xf numFmtId="0" fontId="33" fillId="24" borderId="1" xfId="11" applyNumberFormat="1" applyBorder="1" applyAlignment="1">
      <alignment horizontal="center" vertical="center"/>
    </xf>
    <xf numFmtId="0" fontId="48" fillId="24" borderId="1" xfId="11" applyNumberFormat="1" applyFont="1" applyBorder="1" applyAlignment="1">
      <alignment horizontal="center" vertical="center"/>
    </xf>
    <xf numFmtId="1" fontId="33" fillId="24" borderId="1" xfId="11" applyNumberFormat="1" applyBorder="1" applyAlignment="1">
      <alignment horizontal="center" vertical="center"/>
    </xf>
    <xf numFmtId="2" fontId="4" fillId="27" borderId="0" xfId="0" applyNumberFormat="1" applyFont="1" applyFill="1" applyAlignment="1">
      <alignment horizontal="center" vertical="center"/>
    </xf>
    <xf numFmtId="0" fontId="0" fillId="0" borderId="0" xfId="0" applyNumberFormat="1" applyFill="1" applyAlignment="1">
      <alignment vertical="center"/>
    </xf>
    <xf numFmtId="0" fontId="31" fillId="17" borderId="0" xfId="3" applyNumberFormat="1" applyBorder="1" applyAlignment="1">
      <alignment horizontal="center" vertical="center"/>
    </xf>
    <xf numFmtId="0" fontId="31" fillId="29" borderId="0" xfId="3" applyNumberFormat="1" applyFill="1" applyBorder="1" applyAlignment="1">
      <alignment vertical="center"/>
    </xf>
    <xf numFmtId="0" fontId="31" fillId="17" borderId="0" xfId="3" applyNumberFormat="1" applyBorder="1" applyAlignment="1">
      <alignment vertical="center"/>
    </xf>
    <xf numFmtId="0" fontId="31" fillId="17" borderId="20" xfId="3" applyNumberFormat="1" applyBorder="1" applyAlignment="1">
      <alignment horizontal="left" vertical="center"/>
    </xf>
    <xf numFmtId="0" fontId="31" fillId="17" borderId="20" xfId="3" applyNumberFormat="1" applyBorder="1" applyAlignment="1">
      <alignment vertical="center"/>
    </xf>
    <xf numFmtId="0" fontId="31" fillId="17" borderId="21" xfId="3" applyNumberFormat="1" applyBorder="1" applyAlignment="1">
      <alignment horizontal="center" vertical="center"/>
    </xf>
    <xf numFmtId="0" fontId="40" fillId="28" borderId="22" xfId="74" applyFill="1" applyBorder="1" applyAlignment="1">
      <alignment vertical="center"/>
    </xf>
    <xf numFmtId="0" fontId="40" fillId="28" borderId="23" xfId="74" applyFill="1" applyBorder="1" applyAlignment="1">
      <alignment vertical="center"/>
    </xf>
    <xf numFmtId="0" fontId="0" fillId="28" borderId="0" xfId="0" applyNumberFormat="1" applyFill="1" applyBorder="1" applyAlignment="1">
      <alignment horizontal="center" vertical="center"/>
    </xf>
    <xf numFmtId="0" fontId="40" fillId="28" borderId="0" xfId="74" applyFill="1" applyBorder="1" applyAlignment="1">
      <alignment vertical="center"/>
    </xf>
    <xf numFmtId="0" fontId="51" fillId="28" borderId="0" xfId="21" applyNumberFormat="1" applyFont="1" applyFill="1" applyBorder="1" applyAlignment="1">
      <alignment horizontal="left" vertical="center"/>
    </xf>
    <xf numFmtId="0" fontId="0" fillId="28" borderId="0" xfId="0" applyNumberFormat="1" applyFill="1" applyBorder="1" applyAlignment="1">
      <alignment horizontal="right" vertical="center"/>
    </xf>
    <xf numFmtId="0" fontId="40" fillId="28" borderId="20" xfId="74" applyFill="1" applyBorder="1" applyAlignment="1">
      <alignment vertical="center"/>
    </xf>
    <xf numFmtId="0" fontId="25" fillId="28" borderId="20" xfId="0" applyNumberFormat="1" applyFont="1" applyFill="1" applyBorder="1" applyAlignment="1">
      <alignment horizontal="center" vertical="center"/>
    </xf>
    <xf numFmtId="0" fontId="0" fillId="27" borderId="20" xfId="0" applyFill="1" applyBorder="1" applyAlignment="1">
      <alignment horizontal="center" vertical="center"/>
    </xf>
    <xf numFmtId="1" fontId="0" fillId="27" borderId="0" xfId="0" applyNumberFormat="1" applyFill="1" applyBorder="1" applyAlignment="1">
      <alignment horizontal="center" vertical="center"/>
    </xf>
    <xf numFmtId="0" fontId="0" fillId="27" borderId="0" xfId="0" applyNumberFormat="1" applyFill="1" applyBorder="1" applyAlignment="1">
      <alignment horizontal="center" vertical="center"/>
    </xf>
    <xf numFmtId="10" fontId="0" fillId="27" borderId="0" xfId="0" applyNumberFormat="1" applyFill="1" applyBorder="1" applyAlignment="1">
      <alignment horizontal="center" vertical="center"/>
    </xf>
    <xf numFmtId="0" fontId="0" fillId="27" borderId="0" xfId="0" applyNumberFormat="1" applyFill="1" applyBorder="1" applyAlignment="1">
      <alignment horizontal="right" vertical="center"/>
    </xf>
    <xf numFmtId="0" fontId="0" fillId="27" borderId="0" xfId="0" applyFill="1" applyBorder="1" applyAlignment="1">
      <alignment vertical="center"/>
    </xf>
    <xf numFmtId="0" fontId="0" fillId="27" borderId="0" xfId="0" applyFill="1" applyBorder="1" applyAlignment="1">
      <alignment horizontal="right" vertical="center"/>
    </xf>
    <xf numFmtId="0" fontId="0" fillId="27" borderId="25" xfId="0" applyFill="1" applyBorder="1" applyAlignment="1">
      <alignment vertical="center"/>
    </xf>
    <xf numFmtId="0" fontId="31" fillId="17" borderId="25" xfId="3" applyNumberFormat="1" applyBorder="1" applyAlignment="1">
      <alignment horizontal="left" vertical="center"/>
    </xf>
    <xf numFmtId="0" fontId="31" fillId="17" borderId="25" xfId="3" applyNumberFormat="1" applyBorder="1" applyAlignment="1">
      <alignment horizontal="center" vertical="center"/>
    </xf>
    <xf numFmtId="0" fontId="31" fillId="17" borderId="26" xfId="3" applyNumberFormat="1" applyBorder="1" applyAlignment="1">
      <alignment vertical="center"/>
    </xf>
    <xf numFmtId="0" fontId="31" fillId="17" borderId="21" xfId="3" applyNumberFormat="1" applyBorder="1" applyAlignment="1">
      <alignment vertical="center"/>
    </xf>
    <xf numFmtId="0" fontId="31" fillId="17" borderId="27" xfId="3" applyNumberFormat="1" applyBorder="1" applyAlignment="1">
      <alignment horizontal="center" vertical="center"/>
    </xf>
    <xf numFmtId="0" fontId="25" fillId="27" borderId="0" xfId="0" applyFont="1" applyFill="1" applyAlignment="1">
      <alignment vertical="center"/>
    </xf>
    <xf numFmtId="0" fontId="31" fillId="18" borderId="28" xfId="4" applyNumberFormat="1" applyBorder="1" applyAlignment="1">
      <alignment horizontal="right" vertical="center"/>
    </xf>
    <xf numFmtId="0" fontId="31" fillId="18" borderId="0" xfId="4" applyBorder="1" applyAlignment="1">
      <alignment horizontal="center" vertical="center"/>
    </xf>
    <xf numFmtId="1" fontId="31" fillId="18" borderId="21" xfId="4" applyNumberFormat="1" applyBorder="1" applyAlignment="1">
      <alignment horizontal="center" vertical="center"/>
    </xf>
    <xf numFmtId="0" fontId="31" fillId="18" borderId="21" xfId="4" applyNumberFormat="1" applyBorder="1" applyAlignment="1">
      <alignment horizontal="center" vertical="center"/>
    </xf>
    <xf numFmtId="10" fontId="31" fillId="18" borderId="21" xfId="4" applyNumberFormat="1" applyBorder="1" applyAlignment="1">
      <alignment horizontal="center" vertical="center"/>
    </xf>
    <xf numFmtId="0" fontId="31" fillId="18" borderId="21" xfId="4" applyNumberFormat="1" applyBorder="1" applyAlignment="1">
      <alignment horizontal="right" vertical="center"/>
    </xf>
    <xf numFmtId="0" fontId="31" fillId="18" borderId="21" xfId="4" applyBorder="1" applyAlignment="1">
      <alignment vertical="center"/>
    </xf>
    <xf numFmtId="0" fontId="31" fillId="18" borderId="21" xfId="4" applyBorder="1" applyAlignment="1">
      <alignment horizontal="right" vertical="center"/>
    </xf>
    <xf numFmtId="1" fontId="31" fillId="18" borderId="0" xfId="4" applyNumberFormat="1" applyBorder="1" applyAlignment="1">
      <alignment horizontal="center" vertical="center"/>
    </xf>
    <xf numFmtId="0" fontId="31" fillId="18" borderId="0" xfId="4" applyNumberFormat="1" applyBorder="1" applyAlignment="1">
      <alignment horizontal="center" vertical="center"/>
    </xf>
    <xf numFmtId="10" fontId="31" fillId="18" borderId="0" xfId="4" applyNumberFormat="1" applyBorder="1" applyAlignment="1">
      <alignment horizontal="center" vertical="center"/>
    </xf>
    <xf numFmtId="0" fontId="31" fillId="18" borderId="0" xfId="4" applyNumberFormat="1" applyBorder="1" applyAlignment="1">
      <alignment horizontal="right" vertical="center"/>
    </xf>
    <xf numFmtId="0" fontId="31" fillId="18" borderId="0" xfId="4" applyBorder="1" applyAlignment="1">
      <alignment vertical="center"/>
    </xf>
    <xf numFmtId="0" fontId="31" fillId="18" borderId="0" xfId="4" applyBorder="1" applyAlignment="1">
      <alignment horizontal="right" vertical="center"/>
    </xf>
    <xf numFmtId="0" fontId="31" fillId="18" borderId="21" xfId="4" applyBorder="1" applyAlignment="1">
      <alignment horizontal="center" vertical="center"/>
    </xf>
    <xf numFmtId="0" fontId="0" fillId="27" borderId="21" xfId="0" applyFill="1" applyBorder="1" applyAlignment="1">
      <alignment vertical="center"/>
    </xf>
    <xf numFmtId="0" fontId="40" fillId="17" borderId="0" xfId="74" applyNumberFormat="1" applyFill="1" applyBorder="1" applyAlignment="1">
      <alignment horizontal="left" vertical="center"/>
    </xf>
    <xf numFmtId="0" fontId="0" fillId="27" borderId="23" xfId="0" applyFill="1" applyBorder="1" applyAlignment="1">
      <alignment vertical="center"/>
    </xf>
    <xf numFmtId="0" fontId="22" fillId="10" borderId="29" xfId="22" applyFont="1" applyFill="1" applyBorder="1" applyAlignment="1">
      <alignment horizontal="left" vertical="center"/>
    </xf>
    <xf numFmtId="1" fontId="3" fillId="10" borderId="7" xfId="0" applyNumberFormat="1" applyFont="1" applyFill="1" applyBorder="1" applyAlignment="1">
      <alignment horizontal="center" vertical="center"/>
    </xf>
    <xf numFmtId="0" fontId="3" fillId="10" borderId="7" xfId="0" applyNumberFormat="1" applyFont="1" applyFill="1" applyBorder="1" applyAlignment="1">
      <alignment horizontal="center" vertical="center"/>
    </xf>
    <xf numFmtId="10" fontId="3" fillId="10" borderId="7" xfId="0" applyNumberFormat="1" applyFont="1" applyFill="1" applyBorder="1" applyAlignment="1">
      <alignment horizontal="center" vertical="center"/>
    </xf>
    <xf numFmtId="0" fontId="3" fillId="11" borderId="7" xfId="0" applyFont="1" applyFill="1" applyBorder="1" applyAlignment="1">
      <alignment horizontal="center" vertical="center"/>
    </xf>
    <xf numFmtId="2" fontId="52" fillId="23" borderId="1" xfId="9" applyNumberFormat="1" applyFont="1" applyBorder="1" applyAlignment="1">
      <alignment horizontal="center" vertical="center" wrapText="1"/>
    </xf>
    <xf numFmtId="0" fontId="53" fillId="18" borderId="20" xfId="4" applyFont="1" applyBorder="1" applyAlignment="1">
      <alignment horizontal="center" vertical="center"/>
    </xf>
    <xf numFmtId="0" fontId="53" fillId="18" borderId="0" xfId="4" applyFont="1" applyBorder="1" applyAlignment="1">
      <alignment horizontal="center" vertical="center"/>
    </xf>
    <xf numFmtId="0" fontId="53" fillId="23" borderId="24" xfId="9" applyFont="1" applyBorder="1" applyAlignment="1">
      <alignment horizontal="center" vertical="center" wrapText="1"/>
    </xf>
    <xf numFmtId="0" fontId="53" fillId="23" borderId="1" xfId="9" applyFont="1" applyBorder="1" applyAlignment="1">
      <alignment horizontal="center" vertical="center" wrapText="1"/>
    </xf>
    <xf numFmtId="0" fontId="53" fillId="23" borderId="30" xfId="9" applyFont="1" applyBorder="1" applyAlignment="1">
      <alignment horizontal="center" vertical="center" wrapText="1"/>
    </xf>
    <xf numFmtId="2" fontId="53" fillId="23" borderId="1" xfId="9" applyNumberFormat="1" applyFont="1" applyBorder="1" applyAlignment="1">
      <alignment horizontal="center" vertical="center" wrapText="1"/>
    </xf>
    <xf numFmtId="0" fontId="3" fillId="0" borderId="0" xfId="37"/>
    <xf numFmtId="0" fontId="40" fillId="18" borderId="20" xfId="74" applyFill="1" applyBorder="1" applyAlignment="1">
      <alignment horizontal="left" vertical="center"/>
    </xf>
    <xf numFmtId="0" fontId="54" fillId="27" borderId="0" xfId="76" quotePrefix="1" applyFont="1" applyFill="1" applyAlignment="1">
      <alignment vertical="center"/>
    </xf>
    <xf numFmtId="0" fontId="31" fillId="15" borderId="0" xfId="1" quotePrefix="1" applyNumberFormat="1" applyAlignment="1">
      <alignment horizontal="center" vertical="center" wrapText="1"/>
    </xf>
    <xf numFmtId="10" fontId="31" fillId="15" borderId="0" xfId="1" applyNumberFormat="1" applyAlignment="1">
      <alignment horizontal="center" vertical="center"/>
    </xf>
    <xf numFmtId="0" fontId="31" fillId="15" borderId="0" xfId="1" applyNumberFormat="1" applyBorder="1" applyAlignment="1">
      <alignment horizontal="right" vertical="center"/>
    </xf>
    <xf numFmtId="0" fontId="31" fillId="15" borderId="0" xfId="1" applyBorder="1" applyAlignment="1">
      <alignment vertical="center"/>
    </xf>
    <xf numFmtId="0" fontId="31" fillId="15" borderId="0" xfId="1" applyBorder="1" applyAlignment="1">
      <alignment horizontal="right" vertical="center"/>
    </xf>
    <xf numFmtId="0" fontId="31" fillId="17" borderId="0" xfId="3" applyNumberFormat="1" applyBorder="1" applyAlignment="1">
      <alignment horizontal="left" vertical="center"/>
    </xf>
    <xf numFmtId="0" fontId="52" fillId="22" borderId="1" xfId="8" applyNumberFormat="1" applyFont="1" applyBorder="1" applyAlignment="1">
      <alignment horizontal="center" vertical="center" wrapText="1"/>
    </xf>
    <xf numFmtId="0" fontId="40" fillId="16" borderId="20" xfId="74" applyNumberFormat="1" applyFill="1" applyBorder="1" applyAlignment="1">
      <alignment horizontal="left" vertical="center"/>
    </xf>
    <xf numFmtId="0" fontId="31" fillId="16" borderId="0" xfId="2" applyNumberFormat="1" applyBorder="1" applyAlignment="1">
      <alignment horizontal="left" vertical="center"/>
    </xf>
    <xf numFmtId="0" fontId="31" fillId="16" borderId="20" xfId="2" applyNumberFormat="1" applyBorder="1" applyAlignment="1">
      <alignment vertical="center"/>
    </xf>
    <xf numFmtId="0" fontId="31" fillId="16" borderId="0" xfId="2" applyNumberFormat="1" applyBorder="1" applyAlignment="1">
      <alignment vertical="center"/>
    </xf>
    <xf numFmtId="0" fontId="52" fillId="21" borderId="1" xfId="7" applyNumberFormat="1" applyFont="1" applyBorder="1" applyAlignment="1">
      <alignment horizontal="center" vertical="center" wrapText="1"/>
    </xf>
    <xf numFmtId="0" fontId="31" fillId="16" borderId="26" xfId="2" applyNumberFormat="1" applyBorder="1" applyAlignment="1">
      <alignment vertical="center"/>
    </xf>
    <xf numFmtId="0" fontId="31" fillId="16" borderId="21" xfId="2" applyNumberFormat="1" applyBorder="1" applyAlignment="1">
      <alignment vertical="center"/>
    </xf>
    <xf numFmtId="0" fontId="4" fillId="0" borderId="0" xfId="37" applyFont="1"/>
    <xf numFmtId="0" fontId="55" fillId="8" borderId="0" xfId="37" applyFont="1" applyFill="1"/>
    <xf numFmtId="0" fontId="56" fillId="8" borderId="0" xfId="37" applyFont="1" applyFill="1"/>
    <xf numFmtId="0" fontId="37" fillId="10" borderId="29" xfId="22" applyFill="1" applyBorder="1" applyAlignment="1">
      <alignment horizontal="left" vertical="center"/>
    </xf>
    <xf numFmtId="0" fontId="50" fillId="30" borderId="1" xfId="11" applyNumberFormat="1" applyFont="1" applyFill="1" applyBorder="1" applyAlignment="1">
      <alignment horizontal="center" vertical="center"/>
    </xf>
    <xf numFmtId="49" fontId="56" fillId="8" borderId="0" xfId="37" applyNumberFormat="1" applyFont="1" applyFill="1"/>
    <xf numFmtId="49" fontId="3" fillId="0" borderId="0" xfId="37" applyNumberFormat="1"/>
    <xf numFmtId="0" fontId="3" fillId="0" borderId="0" xfId="0" applyFont="1" applyFill="1" applyBorder="1" applyAlignment="1" applyProtection="1">
      <alignment vertical="center"/>
      <protection locked="0"/>
    </xf>
    <xf numFmtId="0" fontId="6" fillId="0" borderId="0" xfId="0" applyFont="1" applyFill="1" applyBorder="1" applyAlignment="1" applyProtection="1">
      <alignment vertical="center"/>
      <protection locked="0"/>
    </xf>
    <xf numFmtId="0" fontId="6" fillId="0" borderId="0" xfId="0" applyFont="1" applyBorder="1" applyAlignment="1" applyProtection="1">
      <alignment vertical="center"/>
      <protection locked="0"/>
    </xf>
    <xf numFmtId="0" fontId="5" fillId="0" borderId="0" xfId="0" applyFont="1" applyFill="1" applyAlignment="1">
      <alignment vertical="center" wrapText="1"/>
    </xf>
    <xf numFmtId="49" fontId="5" fillId="0" borderId="0" xfId="0" applyNumberFormat="1" applyFont="1" applyFill="1" applyAlignment="1">
      <alignment horizontal="center" vertical="center" wrapText="1"/>
    </xf>
    <xf numFmtId="49" fontId="5" fillId="0" borderId="0" xfId="0" applyNumberFormat="1" applyFont="1" applyAlignment="1">
      <alignment horizontal="center" vertical="center" wrapText="1"/>
    </xf>
    <xf numFmtId="0" fontId="3" fillId="0" borderId="0" xfId="0" applyFont="1" applyBorder="1" applyAlignment="1">
      <alignment horizontal="left" vertical="center" wrapText="1"/>
    </xf>
    <xf numFmtId="0" fontId="6" fillId="0" borderId="0" xfId="0" applyFont="1" applyAlignment="1">
      <alignment horizontal="left" vertical="top" wrapText="1"/>
    </xf>
    <xf numFmtId="0" fontId="55" fillId="8" borderId="1" xfId="72" applyFont="1" applyFill="1">
      <alignment horizontal="center" textRotation="60"/>
    </xf>
    <xf numFmtId="0" fontId="23" fillId="0" borderId="0" xfId="10" applyFont="1" applyFill="1" applyBorder="1" applyAlignment="1">
      <alignment horizontal="center" vertical="center" wrapText="1"/>
    </xf>
    <xf numFmtId="0" fontId="30" fillId="0" borderId="0" xfId="37" applyFont="1" applyAlignment="1">
      <alignment horizontal="centerContinuous" vertical="center"/>
    </xf>
    <xf numFmtId="0" fontId="25" fillId="0" borderId="0" xfId="0" applyFont="1"/>
    <xf numFmtId="0" fontId="63" fillId="0" borderId="0" xfId="0" applyFont="1"/>
    <xf numFmtId="0" fontId="63" fillId="0" borderId="0" xfId="0" applyFont="1" applyAlignment="1"/>
    <xf numFmtId="0" fontId="64" fillId="0" borderId="0" xfId="0" applyFont="1"/>
    <xf numFmtId="49" fontId="23" fillId="0" borderId="0" xfId="0" applyNumberFormat="1" applyFont="1" applyFill="1" applyBorder="1" applyAlignment="1">
      <alignment horizontal="center" vertical="center" wrapText="1"/>
    </xf>
    <xf numFmtId="0" fontId="5" fillId="0" borderId="0" xfId="0" applyFont="1" applyBorder="1" applyAlignment="1">
      <alignment horizontal="center" vertical="center" wrapText="1"/>
    </xf>
    <xf numFmtId="10" fontId="4" fillId="10" borderId="1" xfId="0" applyNumberFormat="1" applyFont="1" applyFill="1" applyBorder="1" applyAlignment="1">
      <alignment horizontal="center" vertical="center"/>
    </xf>
    <xf numFmtId="10" fontId="4" fillId="11" borderId="1" xfId="0" applyNumberFormat="1" applyFont="1" applyFill="1" applyBorder="1" applyAlignment="1">
      <alignment horizontal="center" vertical="center"/>
    </xf>
    <xf numFmtId="0" fontId="40" fillId="36" borderId="20" xfId="74" applyNumberFormat="1" applyFill="1" applyBorder="1" applyAlignment="1">
      <alignment horizontal="left" vertical="center"/>
    </xf>
    <xf numFmtId="0" fontId="65" fillId="17" borderId="0" xfId="3" applyNumberFormat="1" applyFont="1" applyBorder="1" applyAlignment="1">
      <alignment horizontal="center" vertical="center"/>
    </xf>
    <xf numFmtId="0" fontId="2" fillId="19" borderId="24" xfId="5" applyNumberFormat="1" applyFont="1" applyBorder="1" applyAlignment="1">
      <alignment horizontal="left" vertical="center" wrapText="1"/>
    </xf>
    <xf numFmtId="0" fontId="1" fillId="19" borderId="1" xfId="5" applyNumberFormat="1" applyFont="1" applyBorder="1" applyAlignment="1">
      <alignment horizontal="center" vertical="center" wrapText="1"/>
    </xf>
    <xf numFmtId="0" fontId="25" fillId="28" borderId="0" xfId="0" applyNumberFormat="1" applyFont="1" applyFill="1" applyBorder="1" applyAlignment="1">
      <alignment horizontal="center" vertical="center"/>
    </xf>
    <xf numFmtId="0" fontId="25" fillId="28" borderId="10" xfId="0" applyNumberFormat="1" applyFont="1" applyFill="1" applyBorder="1" applyAlignment="1">
      <alignment horizontal="center" vertical="center"/>
    </xf>
    <xf numFmtId="0" fontId="25" fillId="28" borderId="34" xfId="0" applyNumberFormat="1" applyFont="1" applyFill="1" applyBorder="1" applyAlignment="1">
      <alignment horizontal="center" vertical="center"/>
    </xf>
    <xf numFmtId="0" fontId="1" fillId="19" borderId="24" xfId="5" applyNumberFormat="1" applyFont="1" applyBorder="1" applyAlignment="1">
      <alignment horizontal="left" vertical="center" wrapText="1"/>
    </xf>
    <xf numFmtId="0" fontId="40" fillId="37" borderId="22" xfId="74" applyFill="1" applyBorder="1" applyAlignment="1">
      <alignment vertical="center"/>
    </xf>
    <xf numFmtId="0" fontId="40" fillId="37" borderId="23" xfId="74" applyFill="1" applyBorder="1" applyAlignment="1">
      <alignment vertical="center"/>
    </xf>
    <xf numFmtId="0" fontId="40" fillId="37" borderId="20" xfId="74" applyFill="1" applyBorder="1" applyAlignment="1">
      <alignment vertical="center"/>
    </xf>
    <xf numFmtId="0" fontId="0" fillId="37" borderId="0" xfId="0" applyNumberFormat="1" applyFill="1" applyBorder="1" applyAlignment="1">
      <alignment horizontal="center" vertical="center"/>
    </xf>
    <xf numFmtId="0" fontId="40" fillId="37" borderId="0" xfId="74" applyFill="1" applyBorder="1" applyAlignment="1">
      <alignment vertical="center"/>
    </xf>
    <xf numFmtId="0" fontId="51" fillId="37" borderId="0" xfId="21" applyNumberFormat="1" applyFont="1" applyFill="1" applyBorder="1" applyAlignment="1">
      <alignment horizontal="left" vertical="center"/>
    </xf>
    <xf numFmtId="0" fontId="0" fillId="37" borderId="0" xfId="0" applyNumberFormat="1" applyFill="1" applyBorder="1" applyAlignment="1">
      <alignment horizontal="right" vertical="center"/>
    </xf>
    <xf numFmtId="0" fontId="25" fillId="37" borderId="20" xfId="0" applyNumberFormat="1" applyFont="1" applyFill="1" applyBorder="1" applyAlignment="1">
      <alignment horizontal="center" vertical="center"/>
    </xf>
    <xf numFmtId="0" fontId="25" fillId="37" borderId="10" xfId="0" applyNumberFormat="1" applyFont="1" applyFill="1" applyBorder="1" applyAlignment="1">
      <alignment horizontal="center" vertical="center"/>
    </xf>
    <xf numFmtId="0" fontId="25" fillId="37" borderId="0" xfId="0" applyNumberFormat="1" applyFont="1" applyFill="1" applyBorder="1" applyAlignment="1">
      <alignment horizontal="center" vertical="center"/>
    </xf>
    <xf numFmtId="0" fontId="1" fillId="34" borderId="24" xfId="5" applyNumberFormat="1" applyFont="1" applyFill="1" applyBorder="1" applyAlignment="1">
      <alignment horizontal="left" vertical="center" wrapText="1"/>
    </xf>
    <xf numFmtId="0" fontId="1" fillId="34" borderId="1" xfId="5" applyNumberFormat="1" applyFont="1" applyFill="1" applyBorder="1" applyAlignment="1">
      <alignment horizontal="center" vertical="center" wrapText="1"/>
    </xf>
    <xf numFmtId="1" fontId="49" fillId="24" borderId="1" xfId="11" applyNumberFormat="1" applyFont="1" applyBorder="1" applyAlignment="1">
      <alignment horizontal="center" vertical="center"/>
    </xf>
    <xf numFmtId="0" fontId="48" fillId="0" borderId="1" xfId="11" applyNumberFormat="1" applyFont="1" applyFill="1" applyBorder="1" applyAlignment="1">
      <alignment horizontal="center" vertical="center"/>
    </xf>
    <xf numFmtId="0" fontId="49" fillId="0" borderId="1" xfId="11" applyNumberFormat="1" applyFont="1" applyFill="1" applyBorder="1" applyAlignment="1">
      <alignment horizontal="center" vertical="center"/>
    </xf>
    <xf numFmtId="1" fontId="50" fillId="0" borderId="1" xfId="11" applyNumberFormat="1" applyFont="1" applyFill="1" applyBorder="1" applyAlignment="1">
      <alignment horizontal="center" vertical="center"/>
    </xf>
    <xf numFmtId="0" fontId="3" fillId="0" borderId="13" xfId="0" applyFont="1" applyBorder="1" applyAlignment="1" applyProtection="1">
      <alignment horizontal="center" vertical="top" wrapText="1" shrinkToFit="1"/>
      <protection locked="0"/>
    </xf>
    <xf numFmtId="0" fontId="3" fillId="0" borderId="3" xfId="0" applyFont="1" applyBorder="1" applyAlignment="1" applyProtection="1">
      <alignment horizontal="center" vertical="top" wrapText="1" shrinkToFit="1"/>
      <protection locked="0"/>
    </xf>
    <xf numFmtId="0" fontId="3" fillId="0" borderId="14" xfId="0" applyFont="1" applyBorder="1" applyAlignment="1" applyProtection="1">
      <alignment horizontal="center" vertical="top" wrapText="1" shrinkToFit="1"/>
      <protection locked="0"/>
    </xf>
    <xf numFmtId="0" fontId="57" fillId="31" borderId="4" xfId="0" applyFont="1" applyFill="1" applyBorder="1" applyAlignment="1" applyProtection="1">
      <alignment horizontal="center" vertical="center" shrinkToFit="1"/>
      <protection locked="0"/>
    </xf>
    <xf numFmtId="0" fontId="57" fillId="31" borderId="0" xfId="0" applyFont="1" applyFill="1" applyBorder="1" applyAlignment="1" applyProtection="1">
      <alignment horizontal="center" vertical="center" shrinkToFit="1"/>
      <protection locked="0"/>
    </xf>
    <xf numFmtId="0" fontId="57" fillId="31" borderId="5" xfId="0" applyFont="1" applyFill="1" applyBorder="1" applyAlignment="1" applyProtection="1">
      <alignment horizontal="center" vertical="center" shrinkToFit="1"/>
      <protection locked="0"/>
    </xf>
    <xf numFmtId="0" fontId="59" fillId="26" borderId="31" xfId="28" applyFont="1" applyBorder="1" applyAlignment="1">
      <alignment horizontal="center" vertical="center"/>
    </xf>
    <xf numFmtId="0" fontId="59" fillId="26" borderId="32" xfId="28" applyFont="1" applyBorder="1" applyAlignment="1">
      <alignment horizontal="center" vertical="center"/>
    </xf>
    <xf numFmtId="0" fontId="59" fillId="26" borderId="33" xfId="28" applyFont="1" applyBorder="1" applyAlignment="1">
      <alignment horizontal="center" vertical="center"/>
    </xf>
    <xf numFmtId="0" fontId="60" fillId="0" borderId="3" xfId="0" applyFont="1" applyFill="1" applyBorder="1" applyAlignment="1" applyProtection="1">
      <alignment horizontal="left" vertical="top" wrapText="1" shrinkToFit="1"/>
      <protection locked="0"/>
    </xf>
    <xf numFmtId="0" fontId="60" fillId="0" borderId="14" xfId="0" applyFont="1" applyFill="1" applyBorder="1" applyAlignment="1" applyProtection="1">
      <alignment horizontal="left" vertical="top" wrapText="1" shrinkToFit="1"/>
      <protection locked="0"/>
    </xf>
    <xf numFmtId="0" fontId="6" fillId="0" borderId="13" xfId="0" applyFont="1" applyFill="1" applyBorder="1" applyAlignment="1" applyProtection="1">
      <alignment horizontal="right" vertical="top" wrapText="1" shrinkToFit="1"/>
      <protection locked="0"/>
    </xf>
    <xf numFmtId="0" fontId="6" fillId="0" borderId="3" xfId="0" applyFont="1" applyFill="1" applyBorder="1" applyAlignment="1" applyProtection="1">
      <alignment horizontal="right" vertical="top" wrapText="1" shrinkToFit="1"/>
      <protection locked="0"/>
    </xf>
    <xf numFmtId="0" fontId="57" fillId="31" borderId="10" xfId="0" applyFont="1" applyFill="1" applyBorder="1" applyAlignment="1" applyProtection="1">
      <alignment horizontal="center" vertical="center" wrapText="1"/>
      <protection locked="0"/>
    </xf>
    <xf numFmtId="0" fontId="57" fillId="31" borderId="12" xfId="0" applyFont="1" applyFill="1" applyBorder="1" applyAlignment="1" applyProtection="1">
      <alignment horizontal="center" vertical="center" wrapText="1"/>
      <protection locked="0"/>
    </xf>
    <xf numFmtId="0" fontId="57" fillId="31" borderId="0" xfId="0" applyFont="1" applyFill="1" applyBorder="1" applyAlignment="1" applyProtection="1">
      <alignment horizontal="center" vertical="center" wrapText="1"/>
      <protection locked="0"/>
    </xf>
    <xf numFmtId="0" fontId="57" fillId="31" borderId="5" xfId="0" applyFont="1" applyFill="1" applyBorder="1" applyAlignment="1" applyProtection="1">
      <alignment horizontal="center" vertical="center" wrapText="1"/>
      <protection locked="0"/>
    </xf>
    <xf numFmtId="0" fontId="5" fillId="0" borderId="3" xfId="0" applyFont="1" applyBorder="1" applyAlignment="1" applyProtection="1">
      <alignment horizontal="left" vertical="top" wrapText="1" shrinkToFit="1"/>
      <protection locked="0"/>
    </xf>
    <xf numFmtId="0" fontId="23" fillId="0" borderId="3" xfId="0" applyFont="1" applyBorder="1" applyAlignment="1" applyProtection="1">
      <alignment horizontal="left" vertical="top" shrinkToFit="1"/>
      <protection locked="0"/>
    </xf>
    <xf numFmtId="0" fontId="23" fillId="0" borderId="14" xfId="0" applyFont="1" applyBorder="1" applyAlignment="1" applyProtection="1">
      <alignment horizontal="left" vertical="top" shrinkToFit="1"/>
      <protection locked="0"/>
    </xf>
    <xf numFmtId="0" fontId="6" fillId="0" borderId="13" xfId="0" applyFont="1" applyFill="1" applyBorder="1" applyAlignment="1" applyProtection="1">
      <alignment horizontal="left" vertical="top"/>
      <protection locked="0"/>
    </xf>
    <xf numFmtId="0" fontId="6" fillId="0" borderId="3" xfId="0" applyFont="1" applyFill="1" applyBorder="1" applyAlignment="1" applyProtection="1">
      <alignment horizontal="left" vertical="top"/>
      <protection locked="0"/>
    </xf>
    <xf numFmtId="0" fontId="6" fillId="0" borderId="14" xfId="0" applyFont="1" applyFill="1" applyBorder="1" applyAlignment="1" applyProtection="1">
      <alignment horizontal="left" vertical="top"/>
      <protection locked="0"/>
    </xf>
    <xf numFmtId="0" fontId="12" fillId="0" borderId="0" xfId="0" applyFont="1" applyFill="1" applyAlignment="1" applyProtection="1">
      <alignment horizontal="center" vertical="center" wrapText="1"/>
      <protection locked="0"/>
    </xf>
    <xf numFmtId="0" fontId="3" fillId="0" borderId="11" xfId="0" applyFont="1" applyBorder="1" applyAlignment="1" applyProtection="1">
      <alignment horizontal="left" vertical="top" wrapText="1"/>
      <protection locked="0"/>
    </xf>
    <xf numFmtId="0" fontId="3" fillId="0" borderId="10" xfId="0" applyFont="1" applyBorder="1" applyAlignment="1" applyProtection="1">
      <alignment horizontal="left" vertical="top"/>
      <protection locked="0"/>
    </xf>
    <xf numFmtId="0" fontId="3" fillId="0" borderId="12" xfId="0" applyFont="1" applyBorder="1" applyAlignment="1" applyProtection="1">
      <alignment horizontal="left" vertical="top"/>
      <protection locked="0"/>
    </xf>
    <xf numFmtId="0" fontId="57" fillId="31" borderId="11" xfId="0" applyFont="1" applyFill="1" applyBorder="1" applyAlignment="1" applyProtection="1">
      <alignment horizontal="center" vertical="center" shrinkToFit="1"/>
      <protection locked="0"/>
    </xf>
    <xf numFmtId="0" fontId="57" fillId="31" borderId="10" xfId="0" applyFont="1" applyFill="1" applyBorder="1" applyAlignment="1" applyProtection="1">
      <alignment horizontal="center" vertical="center" shrinkToFit="1"/>
      <protection locked="0"/>
    </xf>
    <xf numFmtId="0" fontId="57" fillId="31" borderId="12" xfId="0" applyFont="1" applyFill="1" applyBorder="1" applyAlignment="1" applyProtection="1">
      <alignment horizontal="center" vertical="center" shrinkToFit="1"/>
      <protection locked="0"/>
    </xf>
    <xf numFmtId="0" fontId="3" fillId="0" borderId="13" xfId="0" applyFont="1" applyFill="1" applyBorder="1" applyAlignment="1" applyProtection="1">
      <alignment horizontal="left" vertical="top" wrapText="1" shrinkToFit="1"/>
      <protection locked="0"/>
    </xf>
    <xf numFmtId="0" fontId="6" fillId="0" borderId="3" xfId="0" applyFont="1" applyFill="1" applyBorder="1" applyAlignment="1" applyProtection="1">
      <alignment horizontal="left" vertical="top" wrapText="1" shrinkToFit="1"/>
      <protection locked="0"/>
    </xf>
    <xf numFmtId="0" fontId="6" fillId="0" borderId="14" xfId="0" applyFont="1" applyFill="1" applyBorder="1" applyAlignment="1" applyProtection="1">
      <alignment horizontal="left" vertical="top" wrapText="1" shrinkToFit="1"/>
      <protection locked="0"/>
    </xf>
    <xf numFmtId="0" fontId="8" fillId="0" borderId="11" xfId="0" applyFont="1" applyBorder="1" applyAlignment="1" applyProtection="1">
      <alignment horizontal="left" vertical="center" shrinkToFit="1"/>
    </xf>
    <xf numFmtId="0" fontId="8" fillId="0" borderId="10" xfId="0" applyFont="1" applyBorder="1" applyAlignment="1" applyProtection="1">
      <alignment horizontal="left" vertical="center" shrinkToFit="1"/>
    </xf>
    <xf numFmtId="0" fontId="8" fillId="0" borderId="12" xfId="0" applyFont="1" applyBorder="1" applyAlignment="1" applyProtection="1">
      <alignment horizontal="left" vertical="center" shrinkToFit="1"/>
    </xf>
    <xf numFmtId="0" fontId="8" fillId="0" borderId="11" xfId="0" applyFont="1" applyFill="1" applyBorder="1" applyAlignment="1" applyProtection="1">
      <alignment horizontal="left" vertical="center" shrinkToFit="1"/>
    </xf>
    <xf numFmtId="0" fontId="8" fillId="0" borderId="10" xfId="0" applyFont="1" applyFill="1" applyBorder="1" applyAlignment="1" applyProtection="1">
      <alignment horizontal="left" vertical="center" shrinkToFit="1"/>
    </xf>
    <xf numFmtId="0" fontId="8" fillId="0" borderId="12" xfId="0" applyFont="1" applyFill="1" applyBorder="1" applyAlignment="1" applyProtection="1">
      <alignment horizontal="left" vertical="center" shrinkToFit="1"/>
    </xf>
    <xf numFmtId="0" fontId="58" fillId="0" borderId="13" xfId="0" applyFont="1" applyBorder="1" applyAlignment="1" applyProtection="1">
      <alignment horizontal="left" vertical="center" shrinkToFit="1"/>
    </xf>
    <xf numFmtId="0" fontId="58" fillId="0" borderId="3" xfId="0" applyFont="1" applyBorder="1" applyAlignment="1" applyProtection="1">
      <alignment horizontal="left" vertical="center" shrinkToFit="1"/>
    </xf>
    <xf numFmtId="0" fontId="58" fillId="0" borderId="14" xfId="0" applyFont="1" applyBorder="1" applyAlignment="1" applyProtection="1">
      <alignment horizontal="left" vertical="center" shrinkToFit="1"/>
    </xf>
    <xf numFmtId="0" fontId="8" fillId="0" borderId="11" xfId="0" applyFont="1" applyBorder="1" applyAlignment="1" applyProtection="1">
      <alignment horizontal="left" vertical="center" wrapText="1"/>
    </xf>
    <xf numFmtId="0" fontId="8" fillId="0" borderId="10" xfId="0" applyFont="1" applyBorder="1" applyAlignment="1" applyProtection="1">
      <alignment horizontal="left" vertical="center" wrapText="1"/>
    </xf>
    <xf numFmtId="0" fontId="8" fillId="0" borderId="12" xfId="0" applyFont="1" applyBorder="1" applyAlignment="1" applyProtection="1">
      <alignment horizontal="left" vertical="center" wrapText="1"/>
    </xf>
    <xf numFmtId="0" fontId="58" fillId="0" borderId="13" xfId="0" applyFont="1" applyBorder="1" applyAlignment="1" applyProtection="1">
      <alignment horizontal="left" vertical="center" wrapText="1" shrinkToFit="1"/>
    </xf>
    <xf numFmtId="49" fontId="6" fillId="0" borderId="6" xfId="0" applyNumberFormat="1" applyFont="1" applyFill="1" applyBorder="1" applyAlignment="1" applyProtection="1">
      <alignment horizontal="left" vertical="center" wrapText="1"/>
      <protection locked="0"/>
    </xf>
    <xf numFmtId="49" fontId="6" fillId="0" borderId="9" xfId="0" applyNumberFormat="1" applyFont="1" applyFill="1" applyBorder="1" applyAlignment="1" applyProtection="1">
      <alignment horizontal="left" vertical="center" wrapText="1"/>
      <protection locked="0"/>
    </xf>
    <xf numFmtId="49" fontId="6" fillId="0" borderId="15" xfId="0" applyNumberFormat="1" applyFont="1" applyFill="1" applyBorder="1" applyAlignment="1" applyProtection="1">
      <alignment horizontal="left" vertical="center" wrapText="1"/>
      <protection locked="0"/>
    </xf>
    <xf numFmtId="49" fontId="6" fillId="0" borderId="6" xfId="0" applyNumberFormat="1" applyFont="1" applyFill="1" applyBorder="1" applyAlignment="1" applyProtection="1">
      <alignment vertical="center" wrapText="1"/>
      <protection locked="0"/>
    </xf>
    <xf numFmtId="49" fontId="6" fillId="0" borderId="9" xfId="0" applyNumberFormat="1" applyFont="1" applyFill="1" applyBorder="1" applyAlignment="1" applyProtection="1">
      <alignment vertical="center" wrapText="1"/>
      <protection locked="0"/>
    </xf>
    <xf numFmtId="49" fontId="6" fillId="0" borderId="15" xfId="0" applyNumberFormat="1" applyFont="1" applyFill="1" applyBorder="1" applyAlignment="1" applyProtection="1">
      <alignment vertical="center" wrapText="1"/>
      <protection locked="0"/>
    </xf>
    <xf numFmtId="0" fontId="10" fillId="13" borderId="6" xfId="0" applyFont="1" applyFill="1" applyBorder="1" applyAlignment="1" applyProtection="1">
      <alignment horizontal="center" vertical="center" wrapText="1"/>
      <protection locked="0"/>
    </xf>
    <xf numFmtId="0" fontId="10" fillId="13" borderId="9" xfId="0" applyFont="1" applyFill="1" applyBorder="1" applyAlignment="1" applyProtection="1">
      <alignment horizontal="center" vertical="center" wrapText="1"/>
      <protection locked="0"/>
    </xf>
    <xf numFmtId="0" fontId="10" fillId="13" borderId="15" xfId="0" applyFont="1" applyFill="1" applyBorder="1" applyAlignment="1" applyProtection="1">
      <alignment horizontal="center" vertical="center" wrapText="1"/>
      <protection locked="0"/>
    </xf>
    <xf numFmtId="49" fontId="6" fillId="0" borderId="6" xfId="0" applyNumberFormat="1" applyFont="1" applyFill="1" applyBorder="1" applyAlignment="1" applyProtection="1">
      <alignment horizontal="center" vertical="center" wrapText="1"/>
      <protection locked="0"/>
    </xf>
    <xf numFmtId="49" fontId="6" fillId="0" borderId="9" xfId="0" applyNumberFormat="1" applyFont="1" applyFill="1" applyBorder="1" applyAlignment="1" applyProtection="1">
      <alignment horizontal="center" vertical="center" wrapText="1"/>
      <protection locked="0"/>
    </xf>
    <xf numFmtId="49" fontId="6" fillId="0" borderId="15" xfId="0" applyNumberFormat="1" applyFont="1" applyFill="1" applyBorder="1" applyAlignment="1" applyProtection="1">
      <alignment horizontal="center" vertical="center" wrapText="1"/>
      <protection locked="0"/>
    </xf>
    <xf numFmtId="0" fontId="8" fillId="14" borderId="0" xfId="0" applyFont="1" applyFill="1" applyBorder="1" applyAlignment="1" applyProtection="1">
      <alignment horizontal="left" vertical="center" wrapText="1"/>
    </xf>
    <xf numFmtId="0" fontId="58" fillId="14" borderId="0" xfId="0" applyFont="1" applyFill="1" applyBorder="1" applyAlignment="1" applyProtection="1">
      <alignment horizontal="left" vertical="center" shrinkToFit="1"/>
    </xf>
    <xf numFmtId="0" fontId="8" fillId="0" borderId="0" xfId="0" applyFont="1" applyBorder="1" applyAlignment="1" applyProtection="1">
      <alignment horizontal="left" vertical="center" shrinkToFit="1"/>
    </xf>
    <xf numFmtId="0" fontId="58" fillId="0" borderId="0" xfId="0" applyFont="1" applyBorder="1" applyAlignment="1" applyProtection="1">
      <alignment horizontal="left" vertical="center" shrinkToFit="1"/>
    </xf>
    <xf numFmtId="0" fontId="8" fillId="14" borderId="0" xfId="0" applyFont="1" applyFill="1" applyBorder="1" applyAlignment="1" applyProtection="1">
      <alignment horizontal="left" vertical="center" shrinkToFit="1"/>
    </xf>
    <xf numFmtId="0" fontId="8" fillId="0" borderId="0" xfId="0" applyFont="1" applyFill="1" applyBorder="1" applyAlignment="1" applyProtection="1">
      <alignment horizontal="left" vertical="center" shrinkToFit="1"/>
    </xf>
    <xf numFmtId="49" fontId="6" fillId="32" borderId="6" xfId="0" applyNumberFormat="1" applyFont="1" applyFill="1" applyBorder="1" applyAlignment="1" applyProtection="1">
      <alignment horizontal="center" vertical="center" wrapText="1"/>
      <protection locked="0"/>
    </xf>
    <xf numFmtId="49" fontId="6" fillId="32" borderId="9" xfId="0" applyNumberFormat="1" applyFont="1" applyFill="1" applyBorder="1" applyAlignment="1" applyProtection="1">
      <alignment horizontal="center" vertical="center" wrapText="1"/>
      <protection locked="0"/>
    </xf>
    <xf numFmtId="49" fontId="6" fillId="32" borderId="15" xfId="0" applyNumberFormat="1" applyFont="1" applyFill="1" applyBorder="1" applyAlignment="1" applyProtection="1">
      <alignment horizontal="center" vertical="center" wrapText="1"/>
      <protection locked="0"/>
    </xf>
    <xf numFmtId="0" fontId="13" fillId="14" borderId="0" xfId="0" applyFont="1" applyFill="1" applyBorder="1" applyAlignment="1" applyProtection="1">
      <alignment horizontal="left" vertical="center" shrinkToFit="1"/>
    </xf>
    <xf numFmtId="49" fontId="6" fillId="34" borderId="6" xfId="0" applyNumberFormat="1" applyFont="1" applyFill="1" applyBorder="1" applyAlignment="1" applyProtection="1">
      <alignment horizontal="center" vertical="center" wrapText="1"/>
      <protection locked="0"/>
    </xf>
    <xf numFmtId="49" fontId="6" fillId="34" borderId="9" xfId="0" applyNumberFormat="1" applyFont="1" applyFill="1" applyBorder="1" applyAlignment="1" applyProtection="1">
      <alignment horizontal="center" vertical="center" wrapText="1"/>
      <protection locked="0"/>
    </xf>
    <xf numFmtId="49" fontId="6" fillId="34" borderId="15" xfId="0" applyNumberFormat="1" applyFont="1" applyFill="1" applyBorder="1" applyAlignment="1" applyProtection="1">
      <alignment horizontal="center" vertical="center" wrapText="1"/>
      <protection locked="0"/>
    </xf>
    <xf numFmtId="0" fontId="0" fillId="0" borderId="6" xfId="0" applyBorder="1" applyAlignment="1">
      <alignment horizontal="left" vertical="center" wrapText="1"/>
    </xf>
    <xf numFmtId="0" fontId="0" fillId="0" borderId="9" xfId="0" applyBorder="1" applyAlignment="1">
      <alignment horizontal="left" vertical="center" wrapText="1"/>
    </xf>
    <xf numFmtId="0" fontId="0" fillId="0" borderId="15" xfId="0" applyBorder="1" applyAlignment="1">
      <alignment horizontal="left" vertical="center" wrapText="1"/>
    </xf>
    <xf numFmtId="49" fontId="16" fillId="0" borderId="0" xfId="0" applyNumberFormat="1" applyFont="1" applyFill="1" applyAlignment="1" applyProtection="1">
      <alignment horizontal="left" vertical="center" wrapText="1"/>
      <protection locked="0"/>
    </xf>
    <xf numFmtId="49" fontId="3" fillId="0" borderId="6" xfId="0" applyNumberFormat="1" applyFont="1" applyFill="1" applyBorder="1" applyAlignment="1" applyProtection="1">
      <alignment horizontal="left" vertical="center" wrapText="1"/>
      <protection locked="0"/>
    </xf>
    <xf numFmtId="0" fontId="37" fillId="0" borderId="0" xfId="22" applyBorder="1" applyAlignment="1">
      <alignment horizontal="center" vertical="center"/>
    </xf>
    <xf numFmtId="49" fontId="3" fillId="34" borderId="6" xfId="0" applyNumberFormat="1" applyFont="1" applyFill="1" applyBorder="1" applyAlignment="1" applyProtection="1">
      <alignment horizontal="center" vertical="center" wrapText="1"/>
      <protection locked="0"/>
    </xf>
    <xf numFmtId="49" fontId="6" fillId="35" borderId="6" xfId="0" applyNumberFormat="1" applyFont="1" applyFill="1" applyBorder="1" applyAlignment="1" applyProtection="1">
      <alignment horizontal="center" vertical="center" wrapText="1"/>
      <protection locked="0"/>
    </xf>
    <xf numFmtId="49" fontId="6" fillId="35" borderId="9" xfId="0" applyNumberFormat="1" applyFont="1" applyFill="1" applyBorder="1" applyAlignment="1" applyProtection="1">
      <alignment horizontal="center" vertical="center" wrapText="1"/>
      <protection locked="0"/>
    </xf>
    <xf numFmtId="49" fontId="6" fillId="35" borderId="15" xfId="0" applyNumberFormat="1" applyFont="1" applyFill="1" applyBorder="1" applyAlignment="1" applyProtection="1">
      <alignment horizontal="center" vertical="center" wrapText="1"/>
      <protection locked="0"/>
    </xf>
    <xf numFmtId="0" fontId="61" fillId="33" borderId="6" xfId="0" applyFont="1" applyFill="1" applyBorder="1" applyAlignment="1">
      <alignment horizontal="center" vertical="center" wrapText="1"/>
    </xf>
    <xf numFmtId="0" fontId="61" fillId="33" borderId="9" xfId="0" applyFont="1" applyFill="1" applyBorder="1" applyAlignment="1">
      <alignment horizontal="center" vertical="center" wrapText="1"/>
    </xf>
    <xf numFmtId="0" fontId="61" fillId="33" borderId="15" xfId="0" applyFont="1" applyFill="1" applyBorder="1" applyAlignment="1">
      <alignment horizontal="center" vertical="center" wrapText="1"/>
    </xf>
    <xf numFmtId="0" fontId="40" fillId="12" borderId="0" xfId="74" applyFill="1" applyBorder="1" applyAlignment="1">
      <alignment horizontal="center"/>
    </xf>
    <xf numFmtId="0" fontId="4" fillId="0" borderId="3" xfId="0" applyFont="1" applyFill="1" applyBorder="1" applyAlignment="1">
      <alignment horizontal="center" vertical="center" wrapText="1"/>
    </xf>
    <xf numFmtId="0" fontId="3" fillId="0" borderId="0" xfId="0" applyFont="1" applyBorder="1" applyAlignment="1">
      <alignment horizontal="left" vertical="center" wrapText="1"/>
    </xf>
    <xf numFmtId="0" fontId="3" fillId="0" borderId="0" xfId="0" applyFont="1" applyAlignment="1">
      <alignment horizontal="left" vertical="top" wrapText="1"/>
    </xf>
    <xf numFmtId="0" fontId="6" fillId="0" borderId="0" xfId="0" applyFont="1" applyAlignment="1">
      <alignment horizontal="left" vertical="top" wrapText="1"/>
    </xf>
    <xf numFmtId="0" fontId="0" fillId="0" borderId="0" xfId="0" applyAlignment="1">
      <alignment vertical="center" wrapText="1"/>
    </xf>
    <xf numFmtId="0" fontId="3" fillId="0" borderId="0" xfId="0" applyFont="1" applyAlignment="1">
      <alignment vertical="center" wrapText="1"/>
    </xf>
    <xf numFmtId="0" fontId="6" fillId="0" borderId="0" xfId="0" applyFont="1" applyAlignment="1">
      <alignment vertical="center" wrapText="1"/>
    </xf>
    <xf numFmtId="0" fontId="39" fillId="24" borderId="1" xfId="39" applyNumberFormat="1" applyFont="1" applyBorder="1" applyAlignment="1">
      <alignment horizontal="center" vertical="center" wrapText="1"/>
    </xf>
    <xf numFmtId="0" fontId="29" fillId="20" borderId="6" xfId="6" applyNumberFormat="1" applyFont="1" applyBorder="1" applyAlignment="1" applyProtection="1">
      <alignment horizontal="center" vertical="center" wrapText="1"/>
      <protection locked="0"/>
    </xf>
    <xf numFmtId="0" fontId="29" fillId="20" borderId="15" xfId="6" applyNumberFormat="1" applyFont="1" applyBorder="1" applyAlignment="1" applyProtection="1">
      <alignment horizontal="center" vertical="center" wrapText="1"/>
      <protection locked="0"/>
    </xf>
  </cellXfs>
  <cellStyles count="84">
    <cellStyle name="20% - Accent1" xfId="1" builtinId="30"/>
    <cellStyle name="20% - Accent2" xfId="2" builtinId="34"/>
    <cellStyle name="20% - Accent3" xfId="3" builtinId="38"/>
    <cellStyle name="20% - Accent6" xfId="4" builtinId="50"/>
    <cellStyle name="40% - Accent6" xfId="5" builtinId="51"/>
    <cellStyle name="Accent1" xfId="6" builtinId="29"/>
    <cellStyle name="Accent2" xfId="7" builtinId="33"/>
    <cellStyle name="Accent3" xfId="8" builtinId="37"/>
    <cellStyle name="Accent6" xfId="9" builtinId="49"/>
    <cellStyle name="CA style" xfId="10" xr:uid="{00000000-0005-0000-0000-000009000000}"/>
    <cellStyle name="Calculation" xfId="11" builtinId="22"/>
    <cellStyle name="Calculation 2" xfId="12" xr:uid="{00000000-0005-0000-0000-00000B000000}"/>
    <cellStyle name="Check Cell 2" xfId="13" xr:uid="{00000000-0005-0000-0000-00000C000000}"/>
    <cellStyle name="entry" xfId="14" xr:uid="{00000000-0005-0000-0000-00000D000000}"/>
    <cellStyle name="entry 2" xfId="15" xr:uid="{00000000-0005-0000-0000-00000E000000}"/>
    <cellStyle name="entry 2 2" xfId="16" xr:uid="{00000000-0005-0000-0000-00000F000000}"/>
    <cellStyle name="entry 3" xfId="17" xr:uid="{00000000-0005-0000-0000-000010000000}"/>
    <cellStyle name="entry 3 2" xfId="18" xr:uid="{00000000-0005-0000-0000-000011000000}"/>
    <cellStyle name="entry 4" xfId="19" xr:uid="{00000000-0005-0000-0000-000012000000}"/>
    <cellStyle name="entry 5" xfId="20" xr:uid="{00000000-0005-0000-0000-000013000000}"/>
    <cellStyle name="Heading 4" xfId="21" builtinId="19"/>
    <cellStyle name="Hyperlink" xfId="22" builtinId="8"/>
    <cellStyle name="Hyperlink 2" xfId="23" xr:uid="{00000000-0005-0000-0000-000016000000}"/>
    <cellStyle name="Inconsistent style" xfId="24" xr:uid="{00000000-0005-0000-0000-000017000000}"/>
    <cellStyle name="Inconsistent style 2" xfId="25" xr:uid="{00000000-0005-0000-0000-000018000000}"/>
    <cellStyle name="Inconsistent style 2 2" xfId="26" xr:uid="{00000000-0005-0000-0000-000019000000}"/>
    <cellStyle name="Inconsistent style 3" xfId="27" xr:uid="{00000000-0005-0000-0000-00001A000000}"/>
    <cellStyle name="Input" xfId="28" builtinId="20"/>
    <cellStyle name="NA style" xfId="29" xr:uid="{00000000-0005-0000-0000-00001C000000}"/>
    <cellStyle name="NOK style" xfId="30" xr:uid="{00000000-0005-0000-0000-00001D000000}"/>
    <cellStyle name="Normal" xfId="0" builtinId="0"/>
    <cellStyle name="Normal 2" xfId="31" xr:uid="{00000000-0005-0000-0000-00001F000000}"/>
    <cellStyle name="Normal 2 2" xfId="32" xr:uid="{00000000-0005-0000-0000-000020000000}"/>
    <cellStyle name="Normal 3" xfId="33" xr:uid="{00000000-0005-0000-0000-000021000000}"/>
    <cellStyle name="Normal 3 2" xfId="34" xr:uid="{00000000-0005-0000-0000-000022000000}"/>
    <cellStyle name="Normal 4" xfId="35" xr:uid="{00000000-0005-0000-0000-000023000000}"/>
    <cellStyle name="Normal 5" xfId="36" xr:uid="{00000000-0005-0000-0000-000024000000}"/>
    <cellStyle name="Normal 6" xfId="37" xr:uid="{00000000-0005-0000-0000-000025000000}"/>
    <cellStyle name="OK style" xfId="38" xr:uid="{00000000-0005-0000-0000-000026000000}"/>
    <cellStyle name="Output 2" xfId="39" xr:uid="{00000000-0005-0000-0000-000027000000}"/>
    <cellStyle name="para" xfId="40" xr:uid="{00000000-0005-0000-0000-000028000000}"/>
    <cellStyle name="para 2" xfId="41" xr:uid="{00000000-0005-0000-0000-000029000000}"/>
    <cellStyle name="Percent" xfId="42" builtinId="5" customBuiltin="1"/>
    <cellStyle name="Percent 2" xfId="43" xr:uid="{00000000-0005-0000-0000-00002B000000}"/>
    <cellStyle name="sect" xfId="44" xr:uid="{00000000-0005-0000-0000-00002C000000}"/>
    <cellStyle name="sect1" xfId="45" xr:uid="{00000000-0005-0000-0000-00002D000000}"/>
    <cellStyle name="sect2" xfId="46" xr:uid="{00000000-0005-0000-0000-00002E000000}"/>
    <cellStyle name="sect3" xfId="47" xr:uid="{00000000-0005-0000-0000-00002F000000}"/>
    <cellStyle name="sect4" xfId="48" xr:uid="{00000000-0005-0000-0000-000030000000}"/>
    <cellStyle name="sect4 2" xfId="49" xr:uid="{00000000-0005-0000-0000-000031000000}"/>
    <cellStyle name="sect4 2 2" xfId="50" xr:uid="{00000000-0005-0000-0000-000032000000}"/>
    <cellStyle name="sect4 3" xfId="51" xr:uid="{00000000-0005-0000-0000-000033000000}"/>
    <cellStyle name="sect5" xfId="52" xr:uid="{00000000-0005-0000-0000-000034000000}"/>
    <cellStyle name="sect5 2" xfId="53" xr:uid="{00000000-0005-0000-0000-000035000000}"/>
    <cellStyle name="sect5 2 2" xfId="54" xr:uid="{00000000-0005-0000-0000-000036000000}"/>
    <cellStyle name="sect5 3" xfId="55" xr:uid="{00000000-0005-0000-0000-000037000000}"/>
    <cellStyle name="sect6" xfId="56" xr:uid="{00000000-0005-0000-0000-000038000000}"/>
    <cellStyle name="sect6 2" xfId="57" xr:uid="{00000000-0005-0000-0000-000039000000}"/>
    <cellStyle name="sect6 2 2" xfId="58" xr:uid="{00000000-0005-0000-0000-00003A000000}"/>
    <cellStyle name="sect6 3" xfId="59" xr:uid="{00000000-0005-0000-0000-00003B000000}"/>
    <cellStyle name="sect7" xfId="60" xr:uid="{00000000-0005-0000-0000-00003C000000}"/>
    <cellStyle name="sect7 2" xfId="61" xr:uid="{00000000-0005-0000-0000-00003D000000}"/>
    <cellStyle name="sect7 2 2" xfId="62" xr:uid="{00000000-0005-0000-0000-00003E000000}"/>
    <cellStyle name="sect7 3" xfId="63" xr:uid="{00000000-0005-0000-0000-00003F000000}"/>
    <cellStyle name="sect8" xfId="64" xr:uid="{00000000-0005-0000-0000-000040000000}"/>
    <cellStyle name="sect8 2" xfId="65" xr:uid="{00000000-0005-0000-0000-000041000000}"/>
    <cellStyle name="sect8 2 2" xfId="66" xr:uid="{00000000-0005-0000-0000-000042000000}"/>
    <cellStyle name="sect8 3" xfId="67" xr:uid="{00000000-0005-0000-0000-000043000000}"/>
    <cellStyle name="sect9" xfId="68" xr:uid="{00000000-0005-0000-0000-000044000000}"/>
    <cellStyle name="sect9 2" xfId="69" xr:uid="{00000000-0005-0000-0000-000045000000}"/>
    <cellStyle name="sect9 2 2" xfId="70" xr:uid="{00000000-0005-0000-0000-000046000000}"/>
    <cellStyle name="sect9 3" xfId="71" xr:uid="{00000000-0005-0000-0000-000047000000}"/>
    <cellStyle name="tableTitle" xfId="72" xr:uid="{00000000-0005-0000-0000-000048000000}"/>
    <cellStyle name="Tested Previously" xfId="73" xr:uid="{00000000-0005-0000-0000-000049000000}"/>
    <cellStyle name="Title" xfId="74" builtinId="15"/>
    <cellStyle name="title 2" xfId="75" xr:uid="{00000000-0005-0000-0000-00004B000000}"/>
    <cellStyle name="Warning Text" xfId="76" builtinId="11"/>
    <cellStyle name="Without format but centered" xfId="77" xr:uid="{00000000-0005-0000-0000-00004D000000}"/>
    <cellStyle name="Without format but centered 2" xfId="78" xr:uid="{00000000-0005-0000-0000-00004E000000}"/>
    <cellStyle name="Without format but centered 2 2" xfId="79" xr:uid="{00000000-0005-0000-0000-00004F000000}"/>
    <cellStyle name="Without format but centered 3" xfId="80" xr:uid="{00000000-0005-0000-0000-000050000000}"/>
    <cellStyle name="Without format but centered 3 2" xfId="81" xr:uid="{00000000-0005-0000-0000-000051000000}"/>
    <cellStyle name="Without format but centered 4" xfId="82" xr:uid="{00000000-0005-0000-0000-000052000000}"/>
    <cellStyle name="Without format but centered 5" xfId="83" xr:uid="{00000000-0005-0000-0000-000053000000}"/>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0465666266506602"/>
          <c:y val="0.15192078285181732"/>
          <c:w val="0.40304181672669065"/>
          <c:h val="0.59082064818888402"/>
        </c:manualLayout>
      </c:layout>
      <c:pieChart>
        <c:varyColors val="1"/>
        <c:ser>
          <c:idx val="1"/>
          <c:order val="0"/>
          <c:tx>
            <c:strRef>
              <c:f>Statistics!$A$30</c:f>
              <c:strCache>
                <c:ptCount val="1"/>
                <c:pt idx="0">
                  <c:v>Integration Tests Status</c:v>
                </c:pt>
              </c:strCache>
            </c:strRef>
          </c:tx>
          <c:dPt>
            <c:idx val="0"/>
            <c:bubble3D val="0"/>
            <c:spPr>
              <a:solidFill>
                <a:srgbClr val="00B050"/>
              </a:solidFill>
            </c:spPr>
            <c:extLst>
              <c:ext xmlns:c16="http://schemas.microsoft.com/office/drawing/2014/chart" uri="{C3380CC4-5D6E-409C-BE32-E72D297353CC}">
                <c16:uniqueId val="{0000001D-BEC5-4CFF-95D8-ECDB3416CC81}"/>
              </c:ext>
            </c:extLst>
          </c:dPt>
          <c:dPt>
            <c:idx val="1"/>
            <c:bubble3D val="0"/>
            <c:spPr>
              <a:solidFill>
                <a:srgbClr val="00B0F0"/>
              </a:solidFill>
            </c:spPr>
            <c:extLst>
              <c:ext xmlns:c16="http://schemas.microsoft.com/office/drawing/2014/chart" uri="{C3380CC4-5D6E-409C-BE32-E72D297353CC}">
                <c16:uniqueId val="{0000001E-BEC5-4CFF-95D8-ECDB3416CC81}"/>
              </c:ext>
            </c:extLst>
          </c:dPt>
          <c:dPt>
            <c:idx val="2"/>
            <c:bubble3D val="0"/>
            <c:spPr>
              <a:solidFill>
                <a:srgbClr val="FF0000"/>
              </a:solidFill>
            </c:spPr>
            <c:extLst>
              <c:ext xmlns:c16="http://schemas.microsoft.com/office/drawing/2014/chart" uri="{C3380CC4-5D6E-409C-BE32-E72D297353CC}">
                <c16:uniqueId val="{0000001F-BEC5-4CFF-95D8-ECDB3416CC81}"/>
              </c:ext>
            </c:extLst>
          </c:dPt>
          <c:dPt>
            <c:idx val="3"/>
            <c:bubble3D val="0"/>
            <c:spPr>
              <a:solidFill>
                <a:schemeClr val="accent6">
                  <a:lumMod val="50000"/>
                </a:schemeClr>
              </a:solidFill>
            </c:spPr>
            <c:extLst>
              <c:ext xmlns:c16="http://schemas.microsoft.com/office/drawing/2014/chart" uri="{C3380CC4-5D6E-409C-BE32-E72D297353CC}">
                <c16:uniqueId val="{00000007-966C-45EE-B1B4-8A6100FC082A}"/>
              </c:ext>
            </c:extLst>
          </c:dPt>
          <c:dPt>
            <c:idx val="4"/>
            <c:bubble3D val="0"/>
            <c:spPr>
              <a:solidFill>
                <a:srgbClr val="FFFF00"/>
              </a:solidFill>
            </c:spPr>
            <c:extLst>
              <c:ext xmlns:c16="http://schemas.microsoft.com/office/drawing/2014/chart" uri="{C3380CC4-5D6E-409C-BE32-E72D297353CC}">
                <c16:uniqueId val="{00000009-966C-45EE-B1B4-8A6100FC082A}"/>
              </c:ext>
            </c:extLst>
          </c:dPt>
          <c:dLbls>
            <c:spPr>
              <a:noFill/>
              <a:ln>
                <a:noFill/>
              </a:ln>
              <a:effectLst/>
            </c:spPr>
            <c:dLblPos val="inEnd"/>
            <c:showLegendKey val="0"/>
            <c:showVal val="1"/>
            <c:showCatName val="0"/>
            <c:showSerName val="0"/>
            <c:showPercent val="1"/>
            <c:showBubbleSize val="0"/>
            <c:showLeaderLines val="1"/>
            <c:extLst>
              <c:ext xmlns:c15="http://schemas.microsoft.com/office/drawing/2012/chart" uri="{CE6537A1-D6FC-4f65-9D91-7224C49458BB}"/>
            </c:extLst>
          </c:dLbls>
          <c:cat>
            <c:strRef>
              <c:extLst>
                <c:ext xmlns:c15="http://schemas.microsoft.com/office/drawing/2012/chart" uri="{02D57815-91ED-43cb-92C2-25804820EDAC}">
                  <c15:fullRef>
                    <c15:sqref>Statistics!$A$32:$A$37</c15:sqref>
                  </c15:fullRef>
                </c:ext>
              </c:extLst>
              <c:f>(Statistics!$A$32:$A$34,Statistics!$A$36:$A$37)</c:f>
              <c:strCache>
                <c:ptCount val="3"/>
                <c:pt idx="0">
                  <c:v>Integration Test Specification and Test Result are available</c:v>
                </c:pt>
                <c:pt idx="1">
                  <c:v>Integration Test Specification is available but Test Result is not available</c:v>
                </c:pt>
                <c:pt idx="2">
                  <c:v>Integration Test Specification and Test Result are not available</c:v>
                </c:pt>
              </c:strCache>
            </c:strRef>
          </c:cat>
          <c:val>
            <c:numRef>
              <c:extLst>
                <c:ext xmlns:c15="http://schemas.microsoft.com/office/drawing/2012/chart" uri="{02D57815-91ED-43cb-92C2-25804820EDAC}">
                  <c15:fullRef>
                    <c15:sqref>Statistics!$B$32:$B$35</c15:sqref>
                  </c15:fullRef>
                </c:ext>
              </c:extLst>
              <c:f>Statistics!$B$32:$B$34</c:f>
              <c:numCache>
                <c:formatCode>General</c:formatCode>
                <c:ptCount val="3"/>
                <c:pt idx="0">
                  <c:v>0</c:v>
                </c:pt>
                <c:pt idx="1">
                  <c:v>0</c:v>
                </c:pt>
                <c:pt idx="2" formatCode="0">
                  <c:v>0</c:v>
                </c:pt>
              </c:numCache>
            </c:numRef>
          </c:val>
          <c:extLst>
            <c:ext xmlns:c15="http://schemas.microsoft.com/office/drawing/2012/chart" uri="{02D57815-91ED-43cb-92C2-25804820EDAC}">
              <c15:categoryFilterExceptions>
                <c15:categoryFilterException>
                  <c15:sqref>Statistics!$B$35</c15:sqref>
                  <c15:spPr xmlns:c15="http://schemas.microsoft.com/office/drawing/2012/chart">
                    <a:solidFill>
                      <a:schemeClr val="accent6">
                        <a:lumMod val="75000"/>
                      </a:schemeClr>
                    </a:solidFill>
                  </c15:spPr>
                </c15:categoryFilterException>
              </c15:categoryFilterExceptions>
            </c:ext>
            <c:ext xmlns:c16="http://schemas.microsoft.com/office/drawing/2014/chart" uri="{C3380CC4-5D6E-409C-BE32-E72D297353CC}">
              <c16:uniqueId val="{0000001C-BEC5-4CFF-95D8-ECDB3416CC81}"/>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1"/>
          <c:order val="0"/>
          <c:tx>
            <c:strRef>
              <c:f>Statistics!$A$11</c:f>
              <c:strCache>
                <c:ptCount val="1"/>
                <c:pt idx="0">
                  <c:v>Architecture Traceability to Upper Level(Software Requirements)</c:v>
                </c:pt>
              </c:strCache>
            </c:strRef>
          </c:tx>
          <c:dLbls>
            <c:spPr>
              <a:noFill/>
              <a:ln>
                <a:noFill/>
              </a:ln>
              <a:effectLst/>
            </c:spPr>
            <c:dLblPos val="inEnd"/>
            <c:showLegendKey val="0"/>
            <c:showVal val="1"/>
            <c:showCatName val="0"/>
            <c:showSerName val="0"/>
            <c:showPercent val="1"/>
            <c:showBubbleSize val="0"/>
            <c:showLeaderLines val="1"/>
            <c:extLst>
              <c:ext xmlns:c15="http://schemas.microsoft.com/office/drawing/2012/chart" uri="{CE6537A1-D6FC-4f65-9D91-7224C49458BB}"/>
            </c:extLst>
          </c:dLbls>
          <c:cat>
            <c:strRef>
              <c:f>Statistics!$A$13:$A$14</c:f>
              <c:strCache>
                <c:ptCount val="2"/>
                <c:pt idx="0">
                  <c:v>No. of Architecture Requirements that statisfies a Software Requirement</c:v>
                </c:pt>
                <c:pt idx="1">
                  <c:v>No. of Architecture Requirements that are not statisfies a Software Requirement</c:v>
                </c:pt>
              </c:strCache>
            </c:strRef>
          </c:cat>
          <c:val>
            <c:numRef>
              <c:f>Statistics!$B$13:$B$14</c:f>
              <c:numCache>
                <c:formatCode>0</c:formatCode>
                <c:ptCount val="2"/>
                <c:pt idx="0" formatCode="General">
                  <c:v>0</c:v>
                </c:pt>
                <c:pt idx="1">
                  <c:v>0</c:v>
                </c:pt>
              </c:numCache>
            </c:numRef>
          </c:val>
          <c:extLst>
            <c:ext xmlns:c16="http://schemas.microsoft.com/office/drawing/2014/chart" uri="{C3380CC4-5D6E-409C-BE32-E72D297353CC}">
              <c16:uniqueId val="{0000000A-BE72-4BE4-AFDF-FCFABC4E839A}"/>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2395677083333335"/>
          <c:y val="1.8450184501845018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315309027777778"/>
          <c:y val="0.30768515559171339"/>
          <c:w val="0.34536822916666665"/>
          <c:h val="0.57279614166426718"/>
        </c:manualLayout>
      </c:layout>
      <c:pieChart>
        <c:varyColors val="1"/>
        <c:ser>
          <c:idx val="0"/>
          <c:order val="0"/>
          <c:tx>
            <c:strRef>
              <c:f>Statistics!$E$11</c:f>
              <c:strCache>
                <c:ptCount val="1"/>
                <c:pt idx="0">
                  <c:v>Architecture Traceability to Lower Level(Detailed Design)</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DD87-4F29-AC15-0C030C64F39E}"/>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DD87-4F29-AC15-0C030C64F39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Statistics!$E$13:$E$14</c:f>
              <c:strCache>
                <c:ptCount val="2"/>
                <c:pt idx="0">
                  <c:v>Implemented</c:v>
                </c:pt>
                <c:pt idx="1">
                  <c:v>Not implemented</c:v>
                </c:pt>
              </c:strCache>
            </c:strRef>
          </c:cat>
          <c:val>
            <c:numRef>
              <c:f>Statistics!$F$13:$F$14</c:f>
              <c:numCache>
                <c:formatCode>0</c:formatCode>
                <c:ptCount val="2"/>
                <c:pt idx="0" formatCode="General">
                  <c:v>0</c:v>
                </c:pt>
                <c:pt idx="1">
                  <c:v>0</c:v>
                </c:pt>
              </c:numCache>
            </c:numRef>
          </c:val>
          <c:extLst>
            <c:ext xmlns:c16="http://schemas.microsoft.com/office/drawing/2014/chart" uri="{C3380CC4-5D6E-409C-BE32-E72D297353CC}">
              <c16:uniqueId val="{00000004-DD87-4F29-AC15-0C030C64F39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29697759103641452"/>
          <c:y val="0.26787853370611997"/>
          <c:w val="0.4081238495398159"/>
          <c:h val="0.59827042088282734"/>
        </c:manualLayout>
      </c:layout>
      <c:pieChart>
        <c:varyColors val="1"/>
        <c:ser>
          <c:idx val="1"/>
          <c:order val="0"/>
          <c:tx>
            <c:strRef>
              <c:f>Statistics!$A$46</c:f>
              <c:strCache>
                <c:ptCount val="1"/>
                <c:pt idx="0">
                  <c:v>Integration Tests Results</c:v>
                </c:pt>
              </c:strCache>
            </c:strRef>
          </c:tx>
          <c:dPt>
            <c:idx val="0"/>
            <c:bubble3D val="0"/>
            <c:spPr>
              <a:solidFill>
                <a:srgbClr val="00B050"/>
              </a:solidFill>
            </c:spPr>
            <c:extLst>
              <c:ext xmlns:c16="http://schemas.microsoft.com/office/drawing/2014/chart" uri="{C3380CC4-5D6E-409C-BE32-E72D297353CC}">
                <c16:uniqueId val="{0000001D-BEC5-4CFF-95D8-ECDB3416CC81}"/>
              </c:ext>
            </c:extLst>
          </c:dPt>
          <c:dPt>
            <c:idx val="1"/>
            <c:bubble3D val="0"/>
            <c:spPr>
              <a:solidFill>
                <a:srgbClr val="00B0F0"/>
              </a:solidFill>
            </c:spPr>
            <c:extLst>
              <c:ext xmlns:c16="http://schemas.microsoft.com/office/drawing/2014/chart" uri="{C3380CC4-5D6E-409C-BE32-E72D297353CC}">
                <c16:uniqueId val="{0000001E-BEC5-4CFF-95D8-ECDB3416CC81}"/>
              </c:ext>
            </c:extLst>
          </c:dPt>
          <c:dPt>
            <c:idx val="2"/>
            <c:bubble3D val="0"/>
            <c:spPr>
              <a:solidFill>
                <a:srgbClr val="FF0000"/>
              </a:solidFill>
            </c:spPr>
            <c:extLst>
              <c:ext xmlns:c16="http://schemas.microsoft.com/office/drawing/2014/chart" uri="{C3380CC4-5D6E-409C-BE32-E72D297353CC}">
                <c16:uniqueId val="{0000001F-BEC5-4CFF-95D8-ECDB3416CC81}"/>
              </c:ext>
            </c:extLst>
          </c:dPt>
          <c:dPt>
            <c:idx val="3"/>
            <c:bubble3D val="0"/>
            <c:spPr>
              <a:solidFill>
                <a:schemeClr val="accent6">
                  <a:lumMod val="50000"/>
                </a:schemeClr>
              </a:solidFill>
            </c:spPr>
            <c:extLst>
              <c:ext xmlns:c16="http://schemas.microsoft.com/office/drawing/2014/chart" uri="{C3380CC4-5D6E-409C-BE32-E72D297353CC}">
                <c16:uniqueId val="{00000007-FF2D-4D8F-B08E-D530FE93D64A}"/>
              </c:ext>
            </c:extLst>
          </c:dPt>
          <c:dPt>
            <c:idx val="4"/>
            <c:bubble3D val="0"/>
            <c:spPr>
              <a:solidFill>
                <a:srgbClr val="FFFF00"/>
              </a:solidFill>
            </c:spPr>
            <c:extLst>
              <c:ext xmlns:c16="http://schemas.microsoft.com/office/drawing/2014/chart" uri="{C3380CC4-5D6E-409C-BE32-E72D297353CC}">
                <c16:uniqueId val="{00000009-FF2D-4D8F-B08E-D530FE93D64A}"/>
              </c:ext>
            </c:extLst>
          </c:dPt>
          <c:dLbls>
            <c:spPr>
              <a:noFill/>
              <a:ln>
                <a:noFill/>
              </a:ln>
              <a:effectLst/>
            </c:spPr>
            <c:dLblPos val="inEnd"/>
            <c:showLegendKey val="0"/>
            <c:showVal val="1"/>
            <c:showCatName val="0"/>
            <c:showSerName val="0"/>
            <c:showPercent val="1"/>
            <c:showBubbleSize val="0"/>
            <c:showLeaderLines val="1"/>
            <c:extLst>
              <c:ext xmlns:c15="http://schemas.microsoft.com/office/drawing/2012/chart" uri="{CE6537A1-D6FC-4f65-9D91-7224C49458BB}"/>
            </c:extLst>
          </c:dLbls>
          <c:cat>
            <c:strRef>
              <c:f>Statistics!$A$48:$A$50</c:f>
              <c:strCache>
                <c:ptCount val="3"/>
                <c:pt idx="0">
                  <c:v>Passed</c:v>
                </c:pt>
                <c:pt idx="1">
                  <c:v>Not Tested</c:v>
                </c:pt>
                <c:pt idx="2">
                  <c:v>Failed</c:v>
                </c:pt>
              </c:strCache>
            </c:strRef>
          </c:cat>
          <c:val>
            <c:numRef>
              <c:f>Statistics!$B$48:$B$50</c:f>
              <c:numCache>
                <c:formatCode>0</c:formatCode>
                <c:ptCount val="3"/>
                <c:pt idx="0" formatCode="General">
                  <c:v>0</c:v>
                </c:pt>
                <c:pt idx="1">
                  <c:v>0</c:v>
                </c:pt>
                <c:pt idx="2" formatCode="General">
                  <c:v>0</c:v>
                </c:pt>
              </c:numCache>
            </c:numRef>
          </c:val>
          <c:extLst>
            <c:ext xmlns:c16="http://schemas.microsoft.com/office/drawing/2014/chart" uri="{C3380CC4-5D6E-409C-BE32-E72D297353CC}">
              <c16:uniqueId val="{0000001C-BEC5-4CFF-95D8-ECDB3416CC81}"/>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459" name="Picture 12">
          <a:extLst>
            <a:ext uri="{FF2B5EF4-FFF2-40B4-BE49-F238E27FC236}">
              <a16:creationId xmlns:a16="http://schemas.microsoft.com/office/drawing/2014/main" id="{00000000-0008-0000-0000-0000B30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460" name="Picture 13">
          <a:extLst>
            <a:ext uri="{FF2B5EF4-FFF2-40B4-BE49-F238E27FC236}">
              <a16:creationId xmlns:a16="http://schemas.microsoft.com/office/drawing/2014/main" id="{00000000-0008-0000-0000-0000B405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813" name="Picture 1">
          <a:extLst>
            <a:ext uri="{FF2B5EF4-FFF2-40B4-BE49-F238E27FC236}">
              <a16:creationId xmlns:a16="http://schemas.microsoft.com/office/drawing/2014/main" id="{00000000-0008-0000-0100-0000C53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814" name="Picture 2">
          <a:extLst>
            <a:ext uri="{FF2B5EF4-FFF2-40B4-BE49-F238E27FC236}">
              <a16:creationId xmlns:a16="http://schemas.microsoft.com/office/drawing/2014/main" id="{00000000-0008-0000-0100-0000C63D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0</xdr:row>
          <xdr:rowOff>28575</xdr:rowOff>
        </xdr:from>
        <xdr:to>
          <xdr:col>4</xdr:col>
          <xdr:colOff>247650</xdr:colOff>
          <xdr:row>0</xdr:row>
          <xdr:rowOff>390525</xdr:rowOff>
        </xdr:to>
        <xdr:sp macro="" textlink="">
          <xdr:nvSpPr>
            <xdr:cNvPr id="19457" name="UpdateStatisticsButton" hidden="1">
              <a:extLst>
                <a:ext uri="{63B3BB69-23CF-44E3-9099-C40C66FF867C}">
                  <a14:compatExt spid="_x0000_s19457"/>
                </a:ext>
                <a:ext uri="{FF2B5EF4-FFF2-40B4-BE49-F238E27FC236}">
                  <a16:creationId xmlns:a16="http://schemas.microsoft.com/office/drawing/2014/main" id="{00000000-0008-0000-03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0</xdr:row>
          <xdr:rowOff>38100</xdr:rowOff>
        </xdr:from>
        <xdr:to>
          <xdr:col>5</xdr:col>
          <xdr:colOff>828675</xdr:colOff>
          <xdr:row>0</xdr:row>
          <xdr:rowOff>400050</xdr:rowOff>
        </xdr:to>
        <xdr:sp macro="" textlink="">
          <xdr:nvSpPr>
            <xdr:cNvPr id="19458" name="ImportArchMButton"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971550</xdr:colOff>
          <xdr:row>0</xdr:row>
          <xdr:rowOff>47625</xdr:rowOff>
        </xdr:from>
        <xdr:to>
          <xdr:col>7</xdr:col>
          <xdr:colOff>1038225</xdr:colOff>
          <xdr:row>2</xdr:row>
          <xdr:rowOff>0</xdr:rowOff>
        </xdr:to>
        <xdr:sp macro="" textlink="">
          <xdr:nvSpPr>
            <xdr:cNvPr id="19459" name="Button 3" descr="Generate List of Incomplete Architecture Elements" hidden="1">
              <a:extLst>
                <a:ext uri="{63B3BB69-23CF-44E3-9099-C40C66FF867C}">
                  <a14:compatExt spid="_x0000_s19459"/>
                </a:ext>
                <a:ext uri="{FF2B5EF4-FFF2-40B4-BE49-F238E27FC236}">
                  <a16:creationId xmlns:a16="http://schemas.microsoft.com/office/drawing/2014/main" id="{00000000-0008-0000-03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List of Incomplete Architecture Elements</a:t>
              </a:r>
            </a:p>
          </xdr:txBody>
        </xdr:sp>
        <xdr:clientData fPrintsWithSheet="0"/>
      </xdr:twoCellAnchor>
    </mc:Choice>
    <mc:Fallback/>
  </mc:AlternateContent>
  <xdr:twoCellAnchor>
    <xdr:from>
      <xdr:col>5</xdr:col>
      <xdr:colOff>358775</xdr:colOff>
      <xdr:row>29</xdr:row>
      <xdr:rowOff>149225</xdr:rowOff>
    </xdr:from>
    <xdr:to>
      <xdr:col>11</xdr:col>
      <xdr:colOff>924475</xdr:colOff>
      <xdr:row>44</xdr:row>
      <xdr:rowOff>167825</xdr:rowOff>
    </xdr:to>
    <xdr:graphicFrame macro="">
      <xdr:nvGraphicFramePr>
        <xdr:cNvPr id="20325" name="Chart 1">
          <a:extLst>
            <a:ext uri="{FF2B5EF4-FFF2-40B4-BE49-F238E27FC236}">
              <a16:creationId xmlns:a16="http://schemas.microsoft.com/office/drawing/2014/main" id="{00000000-0008-0000-0300-000065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936624</xdr:colOff>
      <xdr:row>14</xdr:row>
      <xdr:rowOff>88900</xdr:rowOff>
    </xdr:from>
    <xdr:to>
      <xdr:col>2</xdr:col>
      <xdr:colOff>994324</xdr:colOff>
      <xdr:row>28</xdr:row>
      <xdr:rowOff>101600</xdr:rowOff>
    </xdr:to>
    <xdr:graphicFrame macro="">
      <xdr:nvGraphicFramePr>
        <xdr:cNvPr id="20329" name="Chart 8">
          <a:extLst>
            <a:ext uri="{FF2B5EF4-FFF2-40B4-BE49-F238E27FC236}">
              <a16:creationId xmlns:a16="http://schemas.microsoft.com/office/drawing/2014/main" id="{00000000-0008-0000-0300-000069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12700</xdr:colOff>
      <xdr:row>14</xdr:row>
      <xdr:rowOff>76200</xdr:rowOff>
    </xdr:from>
    <xdr:to>
      <xdr:col>12</xdr:col>
      <xdr:colOff>299000</xdr:colOff>
      <xdr:row>28</xdr:row>
      <xdr:rowOff>101600</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333375</xdr:colOff>
      <xdr:row>46</xdr:row>
      <xdr:rowOff>9525</xdr:rowOff>
    </xdr:from>
    <xdr:to>
      <xdr:col>11</xdr:col>
      <xdr:colOff>899075</xdr:colOff>
      <xdr:row>61</xdr:row>
      <xdr:rowOff>129725</xdr:rowOff>
    </xdr:to>
    <xdr:graphicFrame macro="">
      <xdr:nvGraphicFramePr>
        <xdr:cNvPr id="8" name="Chart 1">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3.emf"/><Relationship Id="rId4" Type="http://schemas.openxmlformats.org/officeDocument/2006/relationships/control" Target="../activeX/activeX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A23" sqref="A23:AG23"/>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59" t="str">
        <f ca="1">MID(CELL("filename"),FIND("[",CELL("filename"))+1,FIND("]",CELL("filename"))-FIND("[",CELL("filename"))-1)</f>
        <v>PSE_1P1P_SBE_SW_Design_Matrix_TR6.xlsm</v>
      </c>
      <c r="AE3" s="9"/>
      <c r="AF3" s="9"/>
      <c r="AG3" s="9"/>
      <c r="AH3" s="9"/>
      <c r="AI3" s="9"/>
      <c r="AJ3" s="9"/>
      <c r="AK3" s="9"/>
    </row>
    <row r="4" spans="1:37" s="8" customFormat="1" ht="11.1" customHeight="1" x14ac:dyDescent="0.2">
      <c r="A4" s="266" t="s">
        <v>1</v>
      </c>
      <c r="B4" s="267"/>
      <c r="C4" s="267"/>
      <c r="D4" s="267"/>
      <c r="E4" s="267"/>
      <c r="F4" s="267"/>
      <c r="G4" s="267"/>
      <c r="H4" s="267"/>
      <c r="I4" s="267"/>
      <c r="J4" s="267"/>
      <c r="K4" s="267"/>
      <c r="L4" s="267"/>
      <c r="M4" s="267"/>
      <c r="N4" s="267"/>
      <c r="O4" s="267"/>
      <c r="P4" s="267"/>
      <c r="Q4" s="267"/>
      <c r="R4" s="267"/>
      <c r="S4" s="267"/>
      <c r="T4" s="267"/>
      <c r="U4" s="267"/>
      <c r="V4" s="268"/>
      <c r="W4" s="275" t="s">
        <v>2</v>
      </c>
      <c r="X4" s="276"/>
      <c r="Y4" s="276"/>
      <c r="Z4" s="276"/>
      <c r="AA4" s="277"/>
      <c r="AB4" s="269" t="s">
        <v>20</v>
      </c>
      <c r="AC4" s="270"/>
      <c r="AD4" s="270"/>
      <c r="AE4" s="270"/>
      <c r="AF4" s="270"/>
      <c r="AG4" s="271"/>
      <c r="AH4" s="11"/>
      <c r="AI4" s="11"/>
      <c r="AJ4" s="11"/>
      <c r="AK4" s="9"/>
    </row>
    <row r="5" spans="1:37" s="13" customFormat="1" ht="12.75" customHeight="1" x14ac:dyDescent="0.2">
      <c r="A5" s="272" t="s">
        <v>155</v>
      </c>
      <c r="B5" s="273"/>
      <c r="C5" s="273"/>
      <c r="D5" s="273"/>
      <c r="E5" s="273"/>
      <c r="F5" s="273"/>
      <c r="G5" s="273"/>
      <c r="H5" s="273"/>
      <c r="I5" s="273"/>
      <c r="J5" s="273"/>
      <c r="K5" s="273"/>
      <c r="L5" s="273"/>
      <c r="M5" s="273"/>
      <c r="N5" s="273"/>
      <c r="O5" s="273"/>
      <c r="P5" s="273"/>
      <c r="Q5" s="273"/>
      <c r="R5" s="273"/>
      <c r="S5" s="273"/>
      <c r="T5" s="273"/>
      <c r="U5" s="273"/>
      <c r="V5" s="274"/>
      <c r="W5" s="272" t="s">
        <v>157</v>
      </c>
      <c r="X5" s="273"/>
      <c r="Y5" s="273"/>
      <c r="Z5" s="273"/>
      <c r="AA5" s="274"/>
      <c r="AB5" s="272" t="s">
        <v>156</v>
      </c>
      <c r="AC5" s="273"/>
      <c r="AD5" s="273"/>
      <c r="AE5" s="273"/>
      <c r="AF5" s="273"/>
      <c r="AG5" s="274"/>
      <c r="AH5" s="12"/>
      <c r="AI5" s="12"/>
      <c r="AJ5" s="12"/>
      <c r="AK5" s="12"/>
    </row>
    <row r="6" spans="1:37" s="46" customFormat="1" ht="11.1" customHeight="1" x14ac:dyDescent="0.2">
      <c r="A6" s="275" t="s">
        <v>3</v>
      </c>
      <c r="B6" s="276"/>
      <c r="C6" s="276"/>
      <c r="D6" s="277"/>
      <c r="E6" s="275" t="s">
        <v>4</v>
      </c>
      <c r="F6" s="276"/>
      <c r="G6" s="276"/>
      <c r="H6" s="276"/>
      <c r="I6" s="276"/>
      <c r="J6" s="276"/>
      <c r="K6" s="276"/>
      <c r="L6" s="276"/>
      <c r="M6" s="276"/>
      <c r="N6" s="276"/>
      <c r="O6" s="276"/>
      <c r="P6" s="276"/>
      <c r="Q6" s="276"/>
      <c r="R6" s="276"/>
      <c r="S6" s="276"/>
      <c r="T6" s="276"/>
      <c r="U6" s="276"/>
      <c r="V6" s="277"/>
      <c r="W6" s="266" t="s">
        <v>15</v>
      </c>
      <c r="X6" s="267"/>
      <c r="Y6" s="267"/>
      <c r="Z6" s="267"/>
      <c r="AA6" s="268"/>
      <c r="AB6" s="275" t="s">
        <v>0</v>
      </c>
      <c r="AC6" s="276"/>
      <c r="AD6" s="277"/>
      <c r="AE6" s="275" t="s">
        <v>5</v>
      </c>
      <c r="AF6" s="276"/>
      <c r="AG6" s="277"/>
      <c r="AH6" s="45"/>
      <c r="AI6" s="45"/>
      <c r="AJ6" s="45"/>
      <c r="AK6" s="45"/>
    </row>
    <row r="7" spans="1:37" s="15" customFormat="1" ht="28.5" customHeight="1" x14ac:dyDescent="0.2">
      <c r="A7" s="272" t="s">
        <v>156</v>
      </c>
      <c r="B7" s="273"/>
      <c r="C7" s="273"/>
      <c r="D7" s="274"/>
      <c r="E7" s="272" t="s">
        <v>104</v>
      </c>
      <c r="F7" s="273"/>
      <c r="G7" s="273"/>
      <c r="H7" s="273"/>
      <c r="I7" s="273"/>
      <c r="J7" s="273"/>
      <c r="K7" s="273"/>
      <c r="L7" s="273"/>
      <c r="M7" s="273"/>
      <c r="N7" s="273"/>
      <c r="O7" s="273"/>
      <c r="P7" s="273"/>
      <c r="Q7" s="273"/>
      <c r="R7" s="273"/>
      <c r="S7" s="273"/>
      <c r="T7" s="273"/>
      <c r="U7" s="273"/>
      <c r="V7" s="274"/>
      <c r="W7" s="278" t="s">
        <v>150</v>
      </c>
      <c r="X7" s="273"/>
      <c r="Y7" s="273"/>
      <c r="Z7" s="273"/>
      <c r="AA7" s="274"/>
      <c r="AB7" s="272" t="s">
        <v>156</v>
      </c>
      <c r="AC7" s="273"/>
      <c r="AD7" s="274"/>
      <c r="AE7" s="272" t="s">
        <v>156</v>
      </c>
      <c r="AF7" s="273"/>
      <c r="AG7" s="274"/>
      <c r="AH7" s="14"/>
      <c r="AI7" s="14"/>
      <c r="AJ7" s="14"/>
      <c r="AK7" s="14"/>
    </row>
    <row r="8" spans="1:37" s="13" customFormat="1" x14ac:dyDescent="0.2">
      <c r="A8" s="47"/>
      <c r="B8" s="47"/>
      <c r="C8" s="47"/>
      <c r="D8" s="47"/>
      <c r="E8" s="47"/>
      <c r="F8" s="47"/>
      <c r="G8" s="47"/>
      <c r="H8" s="47"/>
      <c r="I8" s="47"/>
      <c r="J8" s="47"/>
      <c r="K8" s="47"/>
      <c r="L8" s="47"/>
      <c r="M8" s="47"/>
      <c r="N8" s="47"/>
      <c r="O8" s="47"/>
      <c r="P8" s="47"/>
      <c r="Q8" s="47"/>
      <c r="R8" s="47"/>
      <c r="S8" s="47"/>
      <c r="T8" s="47"/>
      <c r="U8" s="47"/>
      <c r="V8" s="47"/>
      <c r="W8" s="48"/>
      <c r="X8" s="48"/>
      <c r="Y8" s="48"/>
      <c r="Z8" s="48"/>
      <c r="AA8" s="48"/>
      <c r="AB8" s="47"/>
      <c r="AC8" s="47"/>
      <c r="AD8" s="47"/>
      <c r="AE8" s="47"/>
      <c r="AF8" s="47"/>
      <c r="AG8" s="47"/>
      <c r="AH8" s="12"/>
      <c r="AI8" s="12"/>
      <c r="AJ8" s="12"/>
      <c r="AK8" s="12"/>
    </row>
    <row r="9" spans="1:37" ht="11.1" customHeight="1" x14ac:dyDescent="0.2">
      <c r="A9" s="236" t="s">
        <v>21</v>
      </c>
      <c r="B9" s="237"/>
      <c r="C9" s="237"/>
      <c r="D9" s="237"/>
      <c r="E9" s="237"/>
      <c r="F9" s="237"/>
      <c r="G9" s="237"/>
      <c r="H9" s="237"/>
      <c r="I9" s="237"/>
      <c r="J9" s="237"/>
      <c r="K9" s="238"/>
      <c r="L9" s="236" t="s">
        <v>22</v>
      </c>
      <c r="M9" s="237"/>
      <c r="N9" s="237"/>
      <c r="O9" s="237"/>
      <c r="P9" s="237"/>
      <c r="Q9" s="237"/>
      <c r="R9" s="237"/>
      <c r="S9" s="237"/>
      <c r="T9" s="237"/>
      <c r="U9" s="237"/>
      <c r="V9" s="238"/>
      <c r="W9" s="236" t="s">
        <v>23</v>
      </c>
      <c r="X9" s="237"/>
      <c r="Y9" s="237"/>
      <c r="Z9" s="237"/>
      <c r="AA9" s="237"/>
      <c r="AB9" s="237"/>
      <c r="AC9" s="237"/>
      <c r="AD9" s="237"/>
      <c r="AE9" s="237"/>
      <c r="AF9" s="237"/>
      <c r="AG9" s="238"/>
      <c r="AH9" s="16"/>
      <c r="AI9" s="16"/>
    </row>
    <row r="10" spans="1:37" s="50" customFormat="1" ht="28.5" customHeight="1" x14ac:dyDescent="0.2">
      <c r="A10" s="244" t="s">
        <v>33</v>
      </c>
      <c r="B10" s="245"/>
      <c r="C10" s="245"/>
      <c r="D10" s="245"/>
      <c r="E10" s="245"/>
      <c r="F10" s="242" t="s">
        <v>156</v>
      </c>
      <c r="G10" s="242"/>
      <c r="H10" s="242"/>
      <c r="I10" s="242"/>
      <c r="J10" s="242"/>
      <c r="K10" s="243"/>
      <c r="L10" s="263" t="s">
        <v>151</v>
      </c>
      <c r="M10" s="264"/>
      <c r="N10" s="264"/>
      <c r="O10" s="264"/>
      <c r="P10" s="264"/>
      <c r="Q10" s="264"/>
      <c r="R10" s="264"/>
      <c r="S10" s="264"/>
      <c r="T10" s="264"/>
      <c r="U10" s="264"/>
      <c r="V10" s="265"/>
      <c r="W10" s="250" t="s">
        <v>152</v>
      </c>
      <c r="X10" s="251"/>
      <c r="Y10" s="251"/>
      <c r="Z10" s="251"/>
      <c r="AA10" s="251"/>
      <c r="AB10" s="251"/>
      <c r="AC10" s="251"/>
      <c r="AD10" s="251"/>
      <c r="AE10" s="251"/>
      <c r="AF10" s="251"/>
      <c r="AG10" s="252"/>
      <c r="AH10" s="49"/>
      <c r="AI10" s="49"/>
    </row>
    <row r="11" spans="1:37" s="56" customFormat="1" ht="4.5" customHeight="1" x14ac:dyDescent="0.2">
      <c r="A11" s="51"/>
      <c r="B11" s="52"/>
      <c r="C11" s="52"/>
      <c r="D11" s="52"/>
      <c r="E11" s="52"/>
      <c r="F11" s="52"/>
      <c r="G11" s="52"/>
      <c r="H11" s="52"/>
      <c r="I11" s="52"/>
      <c r="J11" s="52"/>
      <c r="K11" s="52"/>
      <c r="L11" s="53"/>
      <c r="M11" s="52"/>
      <c r="N11" s="52"/>
      <c r="O11" s="52"/>
      <c r="P11" s="52"/>
      <c r="Q11" s="52"/>
      <c r="R11" s="52"/>
      <c r="S11" s="52"/>
      <c r="T11" s="52"/>
      <c r="U11" s="52"/>
      <c r="V11" s="52"/>
      <c r="W11" s="53"/>
      <c r="X11" s="52"/>
      <c r="Y11" s="52"/>
      <c r="Z11" s="52"/>
      <c r="AA11" s="52"/>
      <c r="AB11" s="52"/>
      <c r="AC11" s="52"/>
      <c r="AD11" s="52"/>
      <c r="AE11" s="52"/>
      <c r="AF11" s="52"/>
      <c r="AG11" s="54"/>
      <c r="AH11" s="55"/>
      <c r="AI11" s="55"/>
    </row>
    <row r="12" spans="1:37" s="57" customFormat="1" ht="11.1" customHeight="1" x14ac:dyDescent="0.2">
      <c r="A12" s="260" t="s">
        <v>24</v>
      </c>
      <c r="B12" s="261"/>
      <c r="C12" s="261"/>
      <c r="D12" s="261"/>
      <c r="E12" s="261"/>
      <c r="F12" s="261"/>
      <c r="G12" s="261"/>
      <c r="H12" s="261"/>
      <c r="I12" s="261"/>
      <c r="J12" s="261"/>
      <c r="K12" s="261"/>
      <c r="L12" s="261"/>
      <c r="M12" s="261"/>
      <c r="N12" s="261"/>
      <c r="O12" s="261"/>
      <c r="P12" s="261"/>
      <c r="Q12" s="261"/>
      <c r="R12" s="261"/>
      <c r="S12" s="261"/>
      <c r="T12" s="261"/>
      <c r="U12" s="261"/>
      <c r="V12" s="261"/>
      <c r="W12" s="261"/>
      <c r="X12" s="261"/>
      <c r="Y12" s="261"/>
      <c r="Z12" s="261"/>
      <c r="AA12" s="261"/>
      <c r="AB12" s="261"/>
      <c r="AC12" s="261"/>
      <c r="AD12" s="261"/>
      <c r="AE12" s="261"/>
      <c r="AF12" s="261"/>
      <c r="AG12" s="262"/>
      <c r="AH12" s="16"/>
      <c r="AI12" s="16"/>
      <c r="AJ12" s="16"/>
      <c r="AK12" s="16"/>
    </row>
    <row r="13" spans="1:37" s="50" customFormat="1" ht="28.5" customHeight="1" x14ac:dyDescent="0.2">
      <c r="A13" s="233" t="s">
        <v>153</v>
      </c>
      <c r="B13" s="234"/>
      <c r="C13" s="234"/>
      <c r="D13" s="234"/>
      <c r="E13" s="234"/>
      <c r="F13" s="234"/>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5"/>
      <c r="AH13" s="49"/>
      <c r="AI13" s="49"/>
      <c r="AJ13" s="49"/>
      <c r="AK13" s="49"/>
    </row>
    <row r="14" spans="1:37" s="56" customFormat="1" ht="4.5" customHeight="1" x14ac:dyDescent="0.2">
      <c r="A14" s="53"/>
      <c r="B14" s="52"/>
      <c r="C14" s="52"/>
      <c r="D14" s="52"/>
      <c r="E14" s="52"/>
      <c r="F14" s="52"/>
      <c r="G14" s="52"/>
      <c r="H14" s="52"/>
      <c r="I14" s="52"/>
      <c r="J14" s="52"/>
      <c r="K14" s="52"/>
      <c r="L14" s="53"/>
      <c r="M14" s="52"/>
      <c r="N14" s="52"/>
      <c r="O14" s="52"/>
      <c r="P14" s="52"/>
      <c r="Q14" s="52"/>
      <c r="R14" s="52"/>
      <c r="S14" s="52"/>
      <c r="T14" s="52"/>
      <c r="U14" s="52"/>
      <c r="V14" s="52"/>
      <c r="W14" s="53"/>
      <c r="X14" s="52"/>
      <c r="Y14" s="52"/>
      <c r="Z14" s="52"/>
      <c r="AA14" s="52"/>
      <c r="AB14" s="52"/>
      <c r="AC14" s="52"/>
      <c r="AD14" s="52"/>
      <c r="AE14" s="52"/>
      <c r="AF14" s="52"/>
      <c r="AG14" s="52"/>
      <c r="AH14" s="55"/>
      <c r="AI14" s="55"/>
    </row>
    <row r="15" spans="1:37" s="19" customFormat="1" ht="73.5" customHeight="1" x14ac:dyDescent="0.2">
      <c r="A15" s="246" t="s">
        <v>25</v>
      </c>
      <c r="B15" s="246"/>
      <c r="C15" s="246"/>
      <c r="D15" s="247"/>
      <c r="E15" s="257" t="s">
        <v>154</v>
      </c>
      <c r="F15" s="258"/>
      <c r="G15" s="258"/>
      <c r="H15" s="258"/>
      <c r="I15" s="258"/>
      <c r="J15" s="258"/>
      <c r="K15" s="258"/>
      <c r="L15" s="258"/>
      <c r="M15" s="258"/>
      <c r="N15" s="258"/>
      <c r="O15" s="258"/>
      <c r="P15" s="258"/>
      <c r="Q15" s="258"/>
      <c r="R15" s="258"/>
      <c r="S15" s="258"/>
      <c r="T15" s="258"/>
      <c r="U15" s="258"/>
      <c r="V15" s="258"/>
      <c r="W15" s="258"/>
      <c r="X15" s="258"/>
      <c r="Y15" s="258"/>
      <c r="Z15" s="258"/>
      <c r="AA15" s="258"/>
      <c r="AB15" s="258"/>
      <c r="AC15" s="258"/>
      <c r="AD15" s="258"/>
      <c r="AE15" s="258"/>
      <c r="AF15" s="258"/>
      <c r="AG15" s="259"/>
      <c r="AH15" s="18"/>
      <c r="AI15" s="18"/>
      <c r="AJ15" s="18"/>
      <c r="AK15" s="18"/>
    </row>
    <row r="16" spans="1:37" s="19" customFormat="1" ht="37.5" customHeight="1" x14ac:dyDescent="0.2">
      <c r="A16" s="248"/>
      <c r="B16" s="248"/>
      <c r="C16" s="248"/>
      <c r="D16" s="249"/>
      <c r="E16" s="253"/>
      <c r="F16" s="254"/>
      <c r="G16" s="254"/>
      <c r="H16" s="254"/>
      <c r="I16" s="254"/>
      <c r="J16" s="254"/>
      <c r="K16" s="254"/>
      <c r="L16" s="254"/>
      <c r="M16" s="254"/>
      <c r="N16" s="254"/>
      <c r="O16" s="254"/>
      <c r="P16" s="254"/>
      <c r="Q16" s="254"/>
      <c r="R16" s="254"/>
      <c r="S16" s="254"/>
      <c r="T16" s="254"/>
      <c r="U16" s="254"/>
      <c r="V16" s="254"/>
      <c r="W16" s="254"/>
      <c r="X16" s="254"/>
      <c r="Y16" s="254"/>
      <c r="Z16" s="254"/>
      <c r="AA16" s="254"/>
      <c r="AB16" s="254"/>
      <c r="AC16" s="254"/>
      <c r="AD16" s="254"/>
      <c r="AE16" s="254"/>
      <c r="AF16" s="254"/>
      <c r="AG16" s="255"/>
      <c r="AH16" s="18"/>
      <c r="AI16" s="18"/>
      <c r="AJ16" s="18"/>
      <c r="AK16" s="18"/>
    </row>
    <row r="17" spans="1:37" s="19" customFormat="1" x14ac:dyDescent="0.2">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row>
    <row r="18" spans="1:37" s="19" customFormat="1" x14ac:dyDescent="0.2">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row>
    <row r="19" spans="1:37" s="19" customFormat="1" x14ac:dyDescent="0.2">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row>
    <row r="20" spans="1:37" s="19" customFormat="1" x14ac:dyDescent="0.2">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row>
    <row r="21" spans="1:37" s="19" customFormat="1" ht="15.75" customHeight="1" x14ac:dyDescent="0.2">
      <c r="C21" s="18"/>
      <c r="D21" s="18"/>
      <c r="E21" s="18"/>
      <c r="F21" s="18"/>
      <c r="G21" s="18"/>
      <c r="H21" s="18"/>
      <c r="I21" s="18"/>
      <c r="J21" s="18"/>
      <c r="K21" s="18"/>
      <c r="L21" s="18"/>
      <c r="M21" s="18"/>
      <c r="N21" s="18"/>
      <c r="O21" s="18"/>
      <c r="P21" s="18"/>
      <c r="Q21" s="58"/>
      <c r="R21" s="18"/>
      <c r="S21" s="18"/>
      <c r="T21" s="18"/>
      <c r="U21" s="18"/>
      <c r="V21" s="18"/>
      <c r="W21" s="18"/>
      <c r="X21" s="18"/>
      <c r="Y21" s="18"/>
      <c r="Z21" s="18"/>
      <c r="AA21" s="18"/>
      <c r="AB21" s="18"/>
      <c r="AC21" s="18"/>
      <c r="AD21" s="18"/>
      <c r="AE21" s="18"/>
      <c r="AF21" s="18"/>
      <c r="AG21" s="18"/>
      <c r="AH21" s="18"/>
      <c r="AI21" s="18"/>
      <c r="AJ21" s="18"/>
      <c r="AK21" s="18"/>
    </row>
    <row r="22" spans="1:37" s="19" customFormat="1" ht="12" customHeight="1" x14ac:dyDescent="0.2">
      <c r="C22" s="18"/>
      <c r="D22" s="18"/>
      <c r="E22" s="18"/>
      <c r="F22" s="18"/>
      <c r="G22" s="18"/>
      <c r="H22" s="18"/>
      <c r="I22" s="18"/>
      <c r="J22" s="18"/>
      <c r="K22" s="18"/>
      <c r="L22" s="18"/>
      <c r="M22" s="18"/>
      <c r="N22" s="18"/>
      <c r="O22" s="18"/>
      <c r="P22" s="18"/>
      <c r="Q22" s="58"/>
      <c r="R22" s="18"/>
      <c r="S22" s="18"/>
      <c r="T22" s="18"/>
      <c r="U22" s="18"/>
      <c r="V22" s="18"/>
      <c r="W22" s="18"/>
      <c r="X22" s="18"/>
      <c r="Y22" s="18"/>
      <c r="Z22" s="18"/>
      <c r="AA22" s="18"/>
      <c r="AB22" s="18"/>
      <c r="AC22" s="18"/>
      <c r="AD22" s="18"/>
      <c r="AE22" s="18"/>
      <c r="AF22" s="18"/>
      <c r="AG22" s="18"/>
      <c r="AH22" s="18"/>
      <c r="AI22" s="18"/>
      <c r="AJ22" s="18"/>
      <c r="AK22" s="18"/>
    </row>
    <row r="23" spans="1:37" s="19" customFormat="1" ht="60" customHeight="1" x14ac:dyDescent="0.2">
      <c r="A23" s="256" t="str">
        <f>MXTitle</f>
        <v>Architecture Matrix (ArchM)</v>
      </c>
      <c r="B23" s="256"/>
      <c r="C23" s="256"/>
      <c r="D23" s="256"/>
      <c r="E23" s="256"/>
      <c r="F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18"/>
      <c r="AI23" s="18"/>
      <c r="AJ23" s="18"/>
      <c r="AK23" s="18"/>
    </row>
    <row r="24" spans="1:37" s="91" customFormat="1" ht="26.25" x14ac:dyDescent="0.2">
      <c r="B24" s="92"/>
      <c r="C24" s="93"/>
      <c r="D24" s="93"/>
      <c r="E24" s="93"/>
      <c r="F24" s="93"/>
      <c r="G24" s="93"/>
      <c r="H24" s="93"/>
      <c r="I24" s="93"/>
      <c r="K24" s="94"/>
      <c r="L24" s="95" t="s">
        <v>72</v>
      </c>
      <c r="M24" s="96"/>
      <c r="N24" s="96"/>
      <c r="O24" s="239" t="s">
        <v>92</v>
      </c>
      <c r="P24" s="240"/>
      <c r="Q24" s="240"/>
      <c r="R24" s="240"/>
      <c r="S24" s="240"/>
      <c r="T24" s="240"/>
      <c r="U24" s="241"/>
      <c r="Z24" s="93"/>
      <c r="AA24" s="93"/>
      <c r="AB24" s="93"/>
      <c r="AC24" s="93"/>
      <c r="AD24" s="93"/>
      <c r="AE24" s="93"/>
      <c r="AF24" s="93"/>
      <c r="AG24" s="93"/>
      <c r="AH24" s="93"/>
      <c r="AI24" s="97"/>
      <c r="AJ24" s="97"/>
      <c r="AK24" s="97"/>
    </row>
    <row r="25" spans="1:37" s="19" customFormat="1" x14ac:dyDescent="0.2">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row>
    <row r="26" spans="1:37" x14ac:dyDescent="0.2"/>
  </sheetData>
  <sheetProtection formatCells="0" formatRows="0" insertColumns="0" insertRows="0" insertHyperlinks="0" deleteRows="0" selectLockedCells="1" sort="0" autoFilter="0" pivotTables="0"/>
  <dataConsolidate/>
  <mergeCells count="30">
    <mergeCell ref="A4:V4"/>
    <mergeCell ref="AB4:AG4"/>
    <mergeCell ref="W5:AA5"/>
    <mergeCell ref="W4:AA4"/>
    <mergeCell ref="AE7:AG7"/>
    <mergeCell ref="AB7:AD7"/>
    <mergeCell ref="A5:V5"/>
    <mergeCell ref="A6:D6"/>
    <mergeCell ref="W7:AA7"/>
    <mergeCell ref="AB5:AG5"/>
    <mergeCell ref="E6:V6"/>
    <mergeCell ref="E7:V7"/>
    <mergeCell ref="AE6:AG6"/>
    <mergeCell ref="AB6:AD6"/>
    <mergeCell ref="W6:AA6"/>
    <mergeCell ref="A7:D7"/>
    <mergeCell ref="A13:AG13"/>
    <mergeCell ref="W9:AG9"/>
    <mergeCell ref="O24:U24"/>
    <mergeCell ref="F10:K10"/>
    <mergeCell ref="A10:E10"/>
    <mergeCell ref="A15:D16"/>
    <mergeCell ref="W10:AG10"/>
    <mergeCell ref="E16:AG16"/>
    <mergeCell ref="A23:AG23"/>
    <mergeCell ref="E15:AG15"/>
    <mergeCell ref="A12:AG12"/>
    <mergeCell ref="L9:V9"/>
    <mergeCell ref="L10:V10"/>
    <mergeCell ref="A9:K9"/>
  </mergeCells>
  <phoneticPr fontId="5"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ignoredErrors>
    <ignoredError sqref="AH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4"/>
  <sheetViews>
    <sheetView showGridLines="0" topLeftCell="A40" zoomScaleNormal="100" workbookViewId="0">
      <selection activeCell="A4" sqref="A4:XFD10"/>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10" t="str">
        <f ca="1">FileName</f>
        <v>PSE_1P1P_SBE_SW_Design_Matrix_TR6.xlsm</v>
      </c>
      <c r="AE3" s="9"/>
      <c r="AF3" s="9"/>
      <c r="AG3" s="9"/>
      <c r="AH3" s="9"/>
      <c r="AI3" s="9"/>
      <c r="AJ3" s="9"/>
      <c r="AK3" s="9"/>
    </row>
    <row r="4" spans="1:37" s="8" customFormat="1" ht="11.1" customHeight="1" x14ac:dyDescent="0.2">
      <c r="A4" s="293"/>
      <c r="B4" s="293"/>
      <c r="C4" s="293"/>
      <c r="D4" s="293"/>
      <c r="E4" s="293"/>
      <c r="F4" s="293"/>
      <c r="G4" s="293"/>
      <c r="H4" s="293"/>
      <c r="I4" s="293"/>
      <c r="J4" s="293"/>
      <c r="K4" s="293"/>
      <c r="L4" s="293"/>
      <c r="M4" s="293"/>
      <c r="N4" s="293"/>
      <c r="O4" s="293"/>
      <c r="P4" s="293"/>
      <c r="Q4" s="293"/>
      <c r="R4" s="293"/>
      <c r="S4" s="293"/>
      <c r="T4" s="293"/>
      <c r="U4" s="293"/>
      <c r="V4" s="293"/>
      <c r="W4" s="291"/>
      <c r="X4" s="291"/>
      <c r="Y4" s="291"/>
      <c r="Z4" s="291"/>
      <c r="AA4" s="291"/>
      <c r="AB4" s="296"/>
      <c r="AC4" s="296"/>
      <c r="AD4" s="296"/>
      <c r="AE4" s="296"/>
      <c r="AF4" s="296"/>
      <c r="AG4" s="296"/>
      <c r="AH4" s="11"/>
      <c r="AI4" s="11"/>
      <c r="AJ4" s="11"/>
      <c r="AK4" s="9"/>
    </row>
    <row r="5" spans="1:37" s="13" customFormat="1" x14ac:dyDescent="0.2">
      <c r="A5" s="294"/>
      <c r="B5" s="294"/>
      <c r="C5" s="294"/>
      <c r="D5" s="294"/>
      <c r="E5" s="294"/>
      <c r="F5" s="294"/>
      <c r="G5" s="294"/>
      <c r="H5" s="294"/>
      <c r="I5" s="294"/>
      <c r="J5" s="294"/>
      <c r="K5" s="294"/>
      <c r="L5" s="294"/>
      <c r="M5" s="294"/>
      <c r="N5" s="294"/>
      <c r="O5" s="294"/>
      <c r="P5" s="294"/>
      <c r="Q5" s="294"/>
      <c r="R5" s="294"/>
      <c r="S5" s="294"/>
      <c r="T5" s="294"/>
      <c r="U5" s="294"/>
      <c r="V5" s="294"/>
      <c r="W5" s="292"/>
      <c r="X5" s="292"/>
      <c r="Y5" s="292"/>
      <c r="Z5" s="292"/>
      <c r="AA5" s="292"/>
      <c r="AB5" s="294"/>
      <c r="AC5" s="294"/>
      <c r="AD5" s="294"/>
      <c r="AE5" s="294"/>
      <c r="AF5" s="294"/>
      <c r="AG5" s="294"/>
      <c r="AH5" s="12"/>
      <c r="AI5" s="12"/>
      <c r="AJ5" s="12"/>
      <c r="AK5" s="12"/>
    </row>
    <row r="6" spans="1:37" s="8" customFormat="1" ht="11.1" customHeight="1" x14ac:dyDescent="0.2">
      <c r="A6" s="295"/>
      <c r="B6" s="295"/>
      <c r="C6" s="295"/>
      <c r="D6" s="295"/>
      <c r="E6" s="295"/>
      <c r="F6" s="295"/>
      <c r="G6" s="295"/>
      <c r="H6" s="295"/>
      <c r="I6" s="295"/>
      <c r="J6" s="295"/>
      <c r="K6" s="295"/>
      <c r="L6" s="295"/>
      <c r="M6" s="295"/>
      <c r="N6" s="295"/>
      <c r="O6" s="295"/>
      <c r="P6" s="295"/>
      <c r="Q6" s="295"/>
      <c r="R6" s="295"/>
      <c r="S6" s="295"/>
      <c r="T6" s="295"/>
      <c r="U6" s="295"/>
      <c r="V6" s="295"/>
      <c r="W6" s="293"/>
      <c r="X6" s="293"/>
      <c r="Y6" s="293"/>
      <c r="Z6" s="293"/>
      <c r="AA6" s="293"/>
      <c r="AB6" s="291"/>
      <c r="AC6" s="291"/>
      <c r="AD6" s="291"/>
      <c r="AE6" s="291"/>
      <c r="AF6" s="291"/>
      <c r="AG6" s="291"/>
      <c r="AH6" s="9"/>
      <c r="AI6" s="9"/>
      <c r="AJ6" s="9"/>
      <c r="AK6" s="9"/>
    </row>
    <row r="7" spans="1:37" s="13" customFormat="1" x14ac:dyDescent="0.2">
      <c r="A7" s="292"/>
      <c r="B7" s="292"/>
      <c r="C7" s="292"/>
      <c r="D7" s="292"/>
      <c r="E7" s="292"/>
      <c r="F7" s="292"/>
      <c r="G7" s="292"/>
      <c r="H7" s="292"/>
      <c r="I7" s="292"/>
      <c r="J7" s="292"/>
      <c r="K7" s="292"/>
      <c r="L7" s="292"/>
      <c r="M7" s="292"/>
      <c r="N7" s="292"/>
      <c r="O7" s="292"/>
      <c r="P7" s="292"/>
      <c r="Q7" s="292"/>
      <c r="R7" s="292"/>
      <c r="S7" s="292"/>
      <c r="T7" s="292"/>
      <c r="U7" s="292"/>
      <c r="V7" s="292"/>
      <c r="W7" s="292"/>
      <c r="X7" s="292"/>
      <c r="Y7" s="292"/>
      <c r="Z7" s="292"/>
      <c r="AA7" s="292"/>
      <c r="AB7" s="292"/>
      <c r="AC7" s="292"/>
      <c r="AD7" s="292"/>
      <c r="AE7" s="292"/>
      <c r="AF7" s="292"/>
      <c r="AG7" s="292"/>
      <c r="AH7" s="12"/>
      <c r="AI7" s="12"/>
      <c r="AJ7" s="12"/>
      <c r="AK7" s="12"/>
    </row>
    <row r="8" spans="1:37" s="44" customFormat="1" ht="11.1" customHeight="1" x14ac:dyDescent="0.2">
      <c r="A8" s="295"/>
      <c r="B8" s="295"/>
      <c r="C8" s="295"/>
      <c r="D8" s="295"/>
      <c r="E8" s="295"/>
      <c r="F8" s="295"/>
      <c r="G8" s="295"/>
      <c r="H8" s="295"/>
      <c r="I8" s="295"/>
      <c r="J8" s="295"/>
      <c r="K8" s="295"/>
      <c r="L8" s="295"/>
      <c r="M8" s="295"/>
      <c r="N8" s="295"/>
      <c r="O8" s="295"/>
      <c r="P8" s="295"/>
      <c r="Q8" s="295"/>
      <c r="R8" s="295"/>
      <c r="S8" s="295"/>
      <c r="T8" s="295"/>
      <c r="U8" s="295"/>
      <c r="V8" s="295"/>
      <c r="W8" s="295"/>
      <c r="X8" s="295"/>
      <c r="Y8" s="295"/>
      <c r="Z8" s="295"/>
      <c r="AA8" s="295"/>
      <c r="AB8" s="295"/>
      <c r="AC8" s="295"/>
      <c r="AD8" s="295"/>
      <c r="AE8" s="295"/>
      <c r="AF8" s="295"/>
      <c r="AG8" s="295"/>
      <c r="AH8" s="190"/>
      <c r="AI8" s="190"/>
      <c r="AJ8" s="190"/>
      <c r="AK8" s="190"/>
    </row>
    <row r="9" spans="1:37" s="192" customFormat="1" x14ac:dyDescent="0.2">
      <c r="A9" s="300"/>
      <c r="B9" s="300"/>
      <c r="C9" s="300"/>
      <c r="D9" s="300"/>
      <c r="E9" s="300"/>
      <c r="F9" s="300"/>
      <c r="G9" s="300"/>
      <c r="H9" s="300"/>
      <c r="I9" s="300"/>
      <c r="J9" s="300"/>
      <c r="K9" s="300"/>
      <c r="L9" s="300"/>
      <c r="M9" s="300"/>
      <c r="N9" s="300"/>
      <c r="O9" s="300"/>
      <c r="P9" s="300"/>
      <c r="Q9" s="300"/>
      <c r="R9" s="300"/>
      <c r="S9" s="300"/>
      <c r="T9" s="300"/>
      <c r="U9" s="300"/>
      <c r="V9" s="300"/>
      <c r="W9" s="300"/>
      <c r="X9" s="300"/>
      <c r="Y9" s="300"/>
      <c r="Z9" s="300"/>
      <c r="AA9" s="300"/>
      <c r="AB9" s="300"/>
      <c r="AC9" s="300"/>
      <c r="AD9" s="300"/>
      <c r="AE9" s="300"/>
      <c r="AF9" s="300"/>
      <c r="AG9" s="300"/>
      <c r="AH9" s="191"/>
      <c r="AI9" s="191"/>
      <c r="AJ9" s="191"/>
    </row>
    <row r="10" spans="1:37" x14ac:dyDescent="0.2"/>
    <row r="11" spans="1:37" x14ac:dyDescent="0.2"/>
    <row r="12" spans="1:37" ht="26.25" x14ac:dyDescent="0.2">
      <c r="B12" s="20" t="s">
        <v>16</v>
      </c>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row>
    <row r="13" spans="1:37" x14ac:dyDescent="0.2"/>
    <row r="14" spans="1:37" ht="20.25" x14ac:dyDescent="0.2">
      <c r="B14" s="22" t="s">
        <v>17</v>
      </c>
      <c r="C14" s="23"/>
    </row>
    <row r="15" spans="1:37" ht="12.75" customHeight="1" x14ac:dyDescent="0.2">
      <c r="B15" s="285" t="s">
        <v>7</v>
      </c>
      <c r="C15" s="286"/>
      <c r="D15" s="286"/>
      <c r="E15" s="286"/>
      <c r="F15" s="287"/>
      <c r="G15" s="285" t="s">
        <v>6</v>
      </c>
      <c r="H15" s="286"/>
      <c r="I15" s="286"/>
      <c r="J15" s="286"/>
      <c r="K15" s="286"/>
      <c r="L15" s="286"/>
      <c r="M15" s="286"/>
      <c r="N15" s="286"/>
      <c r="O15" s="286"/>
      <c r="P15" s="286"/>
      <c r="Q15" s="286"/>
      <c r="R15" s="286"/>
      <c r="S15" s="286"/>
      <c r="T15" s="286"/>
      <c r="U15" s="286"/>
      <c r="V15" s="286"/>
      <c r="W15" s="286"/>
      <c r="X15" s="286"/>
      <c r="Y15" s="286"/>
      <c r="Z15" s="286"/>
      <c r="AA15" s="286"/>
      <c r="AB15" s="286"/>
      <c r="AC15" s="286"/>
      <c r="AD15" s="286"/>
      <c r="AE15" s="286"/>
      <c r="AF15" s="287"/>
    </row>
    <row r="16" spans="1:37" ht="24" customHeight="1" x14ac:dyDescent="0.2">
      <c r="B16" s="297" t="s">
        <v>34</v>
      </c>
      <c r="C16" s="298"/>
      <c r="D16" s="298"/>
      <c r="E16" s="298"/>
      <c r="F16" s="299"/>
      <c r="G16" s="279" t="s">
        <v>37</v>
      </c>
      <c r="H16" s="280"/>
      <c r="I16" s="280"/>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1"/>
    </row>
    <row r="17" spans="1:45" ht="24" customHeight="1" x14ac:dyDescent="0.2">
      <c r="B17" s="297" t="s">
        <v>35</v>
      </c>
      <c r="C17" s="298"/>
      <c r="D17" s="298"/>
      <c r="E17" s="298"/>
      <c r="F17" s="299"/>
      <c r="G17" s="279" t="s">
        <v>36</v>
      </c>
      <c r="H17" s="280"/>
      <c r="I17" s="280"/>
      <c r="J17" s="280"/>
      <c r="K17" s="280"/>
      <c r="L17" s="280"/>
      <c r="M17" s="280"/>
      <c r="N17" s="280"/>
      <c r="O17" s="280"/>
      <c r="P17" s="280"/>
      <c r="Q17" s="280"/>
      <c r="R17" s="280"/>
      <c r="S17" s="280"/>
      <c r="T17" s="280"/>
      <c r="U17" s="280"/>
      <c r="V17" s="280"/>
      <c r="W17" s="280"/>
      <c r="X17" s="280"/>
      <c r="Y17" s="280"/>
      <c r="Z17" s="280"/>
      <c r="AA17" s="280"/>
      <c r="AB17" s="280"/>
      <c r="AC17" s="280"/>
      <c r="AD17" s="280"/>
      <c r="AE17" s="280"/>
      <c r="AF17" s="281"/>
    </row>
    <row r="18" spans="1:45" ht="24" customHeight="1" x14ac:dyDescent="0.2">
      <c r="B18" s="297" t="s">
        <v>73</v>
      </c>
      <c r="C18" s="298"/>
      <c r="D18" s="298"/>
      <c r="E18" s="298"/>
      <c r="F18" s="299"/>
      <c r="G18" s="279" t="s">
        <v>74</v>
      </c>
      <c r="H18" s="280"/>
      <c r="I18" s="280"/>
      <c r="J18" s="280"/>
      <c r="K18" s="280"/>
      <c r="L18" s="280"/>
      <c r="M18" s="280"/>
      <c r="N18" s="280"/>
      <c r="O18" s="280"/>
      <c r="P18" s="280"/>
      <c r="Q18" s="280"/>
      <c r="R18" s="280"/>
      <c r="S18" s="280"/>
      <c r="T18" s="280"/>
      <c r="U18" s="280"/>
      <c r="V18" s="280"/>
      <c r="W18" s="280"/>
      <c r="X18" s="280"/>
      <c r="Y18" s="280"/>
      <c r="Z18" s="280"/>
      <c r="AA18" s="280"/>
      <c r="AB18" s="280"/>
      <c r="AC18" s="280"/>
      <c r="AD18" s="280"/>
      <c r="AE18" s="280"/>
      <c r="AF18" s="281"/>
    </row>
    <row r="19" spans="1:45" ht="24" customHeight="1" x14ac:dyDescent="0.2">
      <c r="B19" s="301" t="s">
        <v>75</v>
      </c>
      <c r="C19" s="302"/>
      <c r="D19" s="302"/>
      <c r="E19" s="302"/>
      <c r="F19" s="303"/>
      <c r="G19" s="308" t="s">
        <v>99</v>
      </c>
      <c r="H19" s="280"/>
      <c r="I19" s="280"/>
      <c r="J19" s="280"/>
      <c r="K19" s="280"/>
      <c r="L19" s="280"/>
      <c r="M19" s="280"/>
      <c r="N19" s="280"/>
      <c r="O19" s="280"/>
      <c r="P19" s="280"/>
      <c r="Q19" s="280"/>
      <c r="R19" s="280"/>
      <c r="S19" s="280"/>
      <c r="T19" s="280"/>
      <c r="U19" s="280"/>
      <c r="V19" s="280"/>
      <c r="W19" s="280"/>
      <c r="X19" s="280"/>
      <c r="Y19" s="280"/>
      <c r="Z19" s="280"/>
      <c r="AA19" s="280"/>
      <c r="AB19" s="280"/>
      <c r="AC19" s="280"/>
      <c r="AD19" s="280"/>
      <c r="AE19" s="280"/>
      <c r="AF19" s="281"/>
      <c r="AS19" s="24"/>
    </row>
    <row r="20" spans="1:45" ht="38.25" customHeight="1" x14ac:dyDescent="0.2">
      <c r="B20" s="310" t="s">
        <v>132</v>
      </c>
      <c r="C20" s="302"/>
      <c r="D20" s="302"/>
      <c r="E20" s="302"/>
      <c r="F20" s="303"/>
      <c r="G20" s="308" t="s">
        <v>133</v>
      </c>
      <c r="H20" s="280"/>
      <c r="I20" s="280"/>
      <c r="J20" s="280"/>
      <c r="K20" s="280"/>
      <c r="L20" s="280"/>
      <c r="M20" s="280"/>
      <c r="N20" s="280"/>
      <c r="O20" s="280"/>
      <c r="P20" s="280"/>
      <c r="Q20" s="280"/>
      <c r="R20" s="280"/>
      <c r="S20" s="280"/>
      <c r="T20" s="280"/>
      <c r="U20" s="280"/>
      <c r="V20" s="280"/>
      <c r="W20" s="280"/>
      <c r="X20" s="280"/>
      <c r="Y20" s="280"/>
      <c r="Z20" s="280"/>
      <c r="AA20" s="280"/>
      <c r="AB20" s="280"/>
      <c r="AC20" s="280"/>
      <c r="AD20" s="280"/>
      <c r="AE20" s="280"/>
      <c r="AF20" s="281"/>
      <c r="AS20" s="24"/>
    </row>
    <row r="21" spans="1:45" ht="24" customHeight="1" x14ac:dyDescent="0.2">
      <c r="B21" s="311" t="s">
        <v>76</v>
      </c>
      <c r="C21" s="312"/>
      <c r="D21" s="312"/>
      <c r="E21" s="312"/>
      <c r="F21" s="313"/>
      <c r="G21" s="279" t="s">
        <v>77</v>
      </c>
      <c r="H21" s="280"/>
      <c r="I21" s="280"/>
      <c r="J21" s="280"/>
      <c r="K21" s="280"/>
      <c r="L21" s="280"/>
      <c r="M21" s="280"/>
      <c r="N21" s="280"/>
      <c r="O21" s="280"/>
      <c r="P21" s="280"/>
      <c r="Q21" s="280"/>
      <c r="R21" s="280"/>
      <c r="S21" s="280"/>
      <c r="T21" s="280"/>
      <c r="U21" s="280"/>
      <c r="V21" s="280"/>
      <c r="W21" s="280"/>
      <c r="X21" s="280"/>
      <c r="Y21" s="280"/>
      <c r="Z21" s="280"/>
      <c r="AA21" s="280"/>
      <c r="AB21" s="280"/>
      <c r="AC21" s="280"/>
      <c r="AD21" s="280"/>
      <c r="AE21" s="280"/>
      <c r="AF21" s="281"/>
      <c r="AS21" s="24"/>
    </row>
    <row r="22" spans="1:45" ht="24" customHeight="1" x14ac:dyDescent="0.2">
      <c r="B22" s="311" t="s">
        <v>78</v>
      </c>
      <c r="C22" s="312"/>
      <c r="D22" s="312"/>
      <c r="E22" s="312"/>
      <c r="F22" s="313"/>
      <c r="G22" s="279" t="s">
        <v>79</v>
      </c>
      <c r="H22" s="280"/>
      <c r="I22" s="280"/>
      <c r="J22" s="280"/>
      <c r="K22" s="280"/>
      <c r="L22" s="280"/>
      <c r="M22" s="280"/>
      <c r="N22" s="280"/>
      <c r="O22" s="280"/>
      <c r="P22" s="280"/>
      <c r="Q22" s="280"/>
      <c r="R22" s="280"/>
      <c r="S22" s="280"/>
      <c r="T22" s="280"/>
      <c r="U22" s="280"/>
      <c r="V22" s="280"/>
      <c r="W22" s="280"/>
      <c r="X22" s="280"/>
      <c r="Y22" s="280"/>
      <c r="Z22" s="280"/>
      <c r="AA22" s="280"/>
      <c r="AB22" s="280"/>
      <c r="AC22" s="280"/>
      <c r="AD22" s="280"/>
      <c r="AE22" s="280"/>
      <c r="AF22" s="281"/>
      <c r="AS22" s="24"/>
    </row>
    <row r="23" spans="1:45" x14ac:dyDescent="0.2">
      <c r="C23" s="25"/>
      <c r="I23" s="26"/>
    </row>
    <row r="24" spans="1:45" ht="20.25" x14ac:dyDescent="0.2">
      <c r="A24" s="22"/>
      <c r="B24" s="22" t="s">
        <v>27</v>
      </c>
      <c r="C24" s="25"/>
      <c r="I24" s="26"/>
    </row>
    <row r="25" spans="1:45" ht="12.75" customHeight="1" x14ac:dyDescent="0.2">
      <c r="B25" s="285" t="s">
        <v>0</v>
      </c>
      <c r="C25" s="286"/>
      <c r="D25" s="287"/>
      <c r="E25" s="285" t="s">
        <v>11</v>
      </c>
      <c r="F25" s="286"/>
      <c r="G25" s="286"/>
      <c r="H25" s="287"/>
      <c r="I25" s="285" t="s">
        <v>12</v>
      </c>
      <c r="J25" s="286"/>
      <c r="K25" s="286"/>
      <c r="L25" s="286"/>
      <c r="M25" s="286"/>
      <c r="N25" s="286"/>
      <c r="O25" s="286"/>
      <c r="P25" s="286"/>
      <c r="Q25" s="287"/>
      <c r="R25" s="285" t="s">
        <v>13</v>
      </c>
      <c r="S25" s="286"/>
      <c r="T25" s="286"/>
      <c r="U25" s="286"/>
      <c r="V25" s="286"/>
      <c r="W25" s="286"/>
      <c r="X25" s="286"/>
      <c r="Y25" s="286"/>
      <c r="Z25" s="286"/>
      <c r="AA25" s="286"/>
      <c r="AB25" s="286"/>
      <c r="AC25" s="286"/>
      <c r="AD25" s="286"/>
      <c r="AE25" s="286"/>
      <c r="AF25" s="287"/>
    </row>
    <row r="26" spans="1:45" ht="12.75" customHeight="1" x14ac:dyDescent="0.2">
      <c r="B26" s="288"/>
      <c r="C26" s="289"/>
      <c r="D26" s="290"/>
      <c r="E26" s="279"/>
      <c r="F26" s="280"/>
      <c r="G26" s="280"/>
      <c r="H26" s="281"/>
      <c r="I26" s="279" t="s">
        <v>14</v>
      </c>
      <c r="J26" s="280"/>
      <c r="K26" s="280"/>
      <c r="L26" s="280"/>
      <c r="M26" s="280"/>
      <c r="N26" s="280"/>
      <c r="O26" s="280"/>
      <c r="P26" s="280"/>
      <c r="Q26" s="281"/>
      <c r="R26" s="279"/>
      <c r="S26" s="280"/>
      <c r="T26" s="280"/>
      <c r="U26" s="280"/>
      <c r="V26" s="280"/>
      <c r="W26" s="280"/>
      <c r="X26" s="280"/>
      <c r="Y26" s="280"/>
      <c r="Z26" s="280"/>
      <c r="AA26" s="280"/>
      <c r="AB26" s="280"/>
      <c r="AC26" s="280"/>
      <c r="AD26" s="280"/>
      <c r="AE26" s="280"/>
      <c r="AF26" s="281"/>
    </row>
    <row r="27" spans="1:45" x14ac:dyDescent="0.2">
      <c r="B27" s="288"/>
      <c r="C27" s="289"/>
      <c r="D27" s="290"/>
      <c r="E27" s="279"/>
      <c r="F27" s="280"/>
      <c r="G27" s="280"/>
      <c r="H27" s="281"/>
      <c r="I27" s="279"/>
      <c r="J27" s="280"/>
      <c r="K27" s="280"/>
      <c r="L27" s="280"/>
      <c r="M27" s="280"/>
      <c r="N27" s="280"/>
      <c r="O27" s="280"/>
      <c r="P27" s="280"/>
      <c r="Q27" s="281"/>
      <c r="R27" s="279"/>
      <c r="S27" s="280"/>
      <c r="T27" s="280"/>
      <c r="U27" s="280"/>
      <c r="V27" s="280"/>
      <c r="W27" s="280"/>
      <c r="X27" s="280"/>
      <c r="Y27" s="280"/>
      <c r="Z27" s="280"/>
      <c r="AA27" s="280"/>
      <c r="AB27" s="280"/>
      <c r="AC27" s="280"/>
      <c r="AD27" s="280"/>
      <c r="AE27" s="280"/>
      <c r="AF27" s="281"/>
    </row>
    <row r="28" spans="1:45" x14ac:dyDescent="0.2">
      <c r="B28" s="288"/>
      <c r="C28" s="289"/>
      <c r="D28" s="290"/>
      <c r="E28" s="279"/>
      <c r="F28" s="280"/>
      <c r="G28" s="280"/>
      <c r="H28" s="281"/>
      <c r="I28" s="279"/>
      <c r="J28" s="280"/>
      <c r="K28" s="280"/>
      <c r="L28" s="280"/>
      <c r="M28" s="280"/>
      <c r="N28" s="280"/>
      <c r="O28" s="280"/>
      <c r="P28" s="280"/>
      <c r="Q28" s="281"/>
      <c r="R28" s="279"/>
      <c r="S28" s="280"/>
      <c r="T28" s="280"/>
      <c r="U28" s="280"/>
      <c r="V28" s="280"/>
      <c r="W28" s="280"/>
      <c r="X28" s="280"/>
      <c r="Y28" s="280"/>
      <c r="Z28" s="280"/>
      <c r="AA28" s="280"/>
      <c r="AB28" s="280"/>
      <c r="AC28" s="280"/>
      <c r="AD28" s="280"/>
      <c r="AE28" s="280"/>
      <c r="AF28" s="281"/>
    </row>
    <row r="29" spans="1:45" x14ac:dyDescent="0.2">
      <c r="B29" s="288"/>
      <c r="C29" s="289"/>
      <c r="D29" s="290"/>
      <c r="E29" s="279"/>
      <c r="F29" s="280"/>
      <c r="G29" s="280"/>
      <c r="H29" s="281"/>
      <c r="I29" s="279"/>
      <c r="J29" s="280"/>
      <c r="K29" s="280"/>
      <c r="L29" s="280"/>
      <c r="M29" s="280"/>
      <c r="N29" s="280"/>
      <c r="O29" s="280"/>
      <c r="P29" s="280"/>
      <c r="Q29" s="281"/>
      <c r="R29" s="279"/>
      <c r="S29" s="280"/>
      <c r="T29" s="280"/>
      <c r="U29" s="280"/>
      <c r="V29" s="280"/>
      <c r="W29" s="280"/>
      <c r="X29" s="280"/>
      <c r="Y29" s="280"/>
      <c r="Z29" s="280"/>
      <c r="AA29" s="280"/>
      <c r="AB29" s="280"/>
      <c r="AC29" s="280"/>
      <c r="AD29" s="280"/>
      <c r="AE29" s="280"/>
      <c r="AF29" s="281"/>
    </row>
    <row r="30" spans="1:45" x14ac:dyDescent="0.2">
      <c r="B30" s="27" t="s">
        <v>26</v>
      </c>
      <c r="C30" s="28"/>
      <c r="D30" s="28"/>
      <c r="E30" s="29"/>
      <c r="F30" s="29"/>
      <c r="G30" s="29"/>
      <c r="H30" s="29"/>
      <c r="I30" s="29"/>
      <c r="J30" s="30"/>
      <c r="K30" s="30"/>
      <c r="L30" s="30"/>
      <c r="M30" s="30"/>
      <c r="N30" s="30"/>
      <c r="O30" s="30"/>
      <c r="P30" s="30"/>
      <c r="Q30" s="30"/>
      <c r="R30" s="29"/>
      <c r="S30" s="29"/>
      <c r="T30" s="29"/>
      <c r="U30" s="29"/>
      <c r="V30" s="29"/>
      <c r="W30" s="29"/>
      <c r="X30" s="29"/>
      <c r="Y30" s="29"/>
      <c r="Z30" s="29"/>
      <c r="AA30" s="29"/>
      <c r="AB30" s="29"/>
      <c r="AC30" s="29"/>
      <c r="AD30" s="29"/>
      <c r="AE30" s="29"/>
      <c r="AF30" s="29"/>
    </row>
    <row r="31" spans="1:45" x14ac:dyDescent="0.2">
      <c r="C31" s="25"/>
      <c r="I31" s="26"/>
    </row>
    <row r="32" spans="1:45" ht="20.25" x14ac:dyDescent="0.2">
      <c r="B32" s="22" t="s">
        <v>18</v>
      </c>
      <c r="I32" s="26"/>
    </row>
    <row r="33" spans="2:33" ht="21.75" customHeight="1" x14ac:dyDescent="0.2">
      <c r="B33" s="307" t="s">
        <v>80</v>
      </c>
      <c r="C33" s="307"/>
      <c r="D33" s="307"/>
      <c r="E33" s="307"/>
      <c r="F33" s="307"/>
      <c r="G33" s="307"/>
      <c r="H33" s="307"/>
      <c r="I33" s="307"/>
      <c r="J33" s="307"/>
      <c r="K33" s="307"/>
      <c r="L33" s="307"/>
      <c r="M33" s="307"/>
      <c r="N33" s="307"/>
      <c r="O33" s="307"/>
      <c r="P33" s="307"/>
      <c r="Q33" s="307"/>
      <c r="R33" s="307"/>
      <c r="S33" s="307"/>
      <c r="T33" s="307"/>
      <c r="U33" s="307"/>
      <c r="V33" s="307"/>
      <c r="W33" s="307"/>
      <c r="X33" s="307"/>
      <c r="Y33" s="307"/>
      <c r="Z33" s="307"/>
      <c r="AA33" s="307"/>
      <c r="AB33" s="307"/>
      <c r="AC33" s="307"/>
      <c r="AD33" s="307"/>
      <c r="AE33" s="307"/>
      <c r="AF33" s="307"/>
      <c r="AG33" s="31"/>
    </row>
    <row r="34" spans="2:33" x14ac:dyDescent="0.2">
      <c r="J34" s="32"/>
    </row>
    <row r="35" spans="2:33" ht="20.25" x14ac:dyDescent="0.2">
      <c r="B35" s="22" t="s">
        <v>19</v>
      </c>
      <c r="C35" s="23"/>
      <c r="I35" s="26"/>
    </row>
    <row r="36" spans="2:33" ht="24.75" customHeight="1" x14ac:dyDescent="0.2">
      <c r="B36" s="33" t="s">
        <v>28</v>
      </c>
      <c r="C36" s="23"/>
      <c r="I36" s="26"/>
    </row>
    <row r="37" spans="2:33" ht="12.75" customHeight="1" x14ac:dyDescent="0.2">
      <c r="B37" s="285" t="s">
        <v>8</v>
      </c>
      <c r="C37" s="286"/>
      <c r="D37" s="287"/>
      <c r="E37" s="285" t="s">
        <v>9</v>
      </c>
      <c r="F37" s="286"/>
      <c r="G37" s="286"/>
      <c r="H37" s="286"/>
      <c r="I37" s="286"/>
      <c r="J37" s="286"/>
      <c r="K37" s="286"/>
      <c r="L37" s="286"/>
      <c r="M37" s="286"/>
      <c r="N37" s="286"/>
      <c r="O37" s="286"/>
      <c r="P37" s="286"/>
      <c r="Q37" s="286"/>
      <c r="R37" s="286"/>
      <c r="S37" s="286"/>
      <c r="T37" s="286"/>
      <c r="U37" s="286"/>
      <c r="V37" s="286"/>
      <c r="W37" s="286"/>
      <c r="X37" s="287"/>
      <c r="Y37" s="285" t="s">
        <v>10</v>
      </c>
      <c r="Z37" s="286"/>
      <c r="AA37" s="286"/>
      <c r="AB37" s="286"/>
      <c r="AC37" s="286"/>
      <c r="AD37" s="286"/>
      <c r="AE37" s="286"/>
      <c r="AF37" s="287"/>
    </row>
    <row r="38" spans="2:33" x14ac:dyDescent="0.2">
      <c r="B38" s="282"/>
      <c r="C38" s="283"/>
      <c r="D38" s="284"/>
      <c r="E38" s="279"/>
      <c r="F38" s="280"/>
      <c r="G38" s="280"/>
      <c r="H38" s="280"/>
      <c r="I38" s="280"/>
      <c r="J38" s="280"/>
      <c r="K38" s="280"/>
      <c r="L38" s="280"/>
      <c r="M38" s="280"/>
      <c r="N38" s="280"/>
      <c r="O38" s="280"/>
      <c r="P38" s="280"/>
      <c r="Q38" s="280"/>
      <c r="R38" s="280"/>
      <c r="S38" s="280"/>
      <c r="T38" s="280"/>
      <c r="U38" s="280"/>
      <c r="V38" s="280"/>
      <c r="W38" s="280"/>
      <c r="X38" s="281"/>
      <c r="Y38" s="279"/>
      <c r="Z38" s="280"/>
      <c r="AA38" s="280"/>
      <c r="AB38" s="280"/>
      <c r="AC38" s="280"/>
      <c r="AD38" s="280"/>
      <c r="AE38" s="280"/>
      <c r="AF38" s="281"/>
    </row>
    <row r="39" spans="2:33" x14ac:dyDescent="0.2">
      <c r="B39" s="282"/>
      <c r="C39" s="283"/>
      <c r="D39" s="284"/>
      <c r="E39" s="279"/>
      <c r="F39" s="280"/>
      <c r="G39" s="280"/>
      <c r="H39" s="280"/>
      <c r="I39" s="280"/>
      <c r="J39" s="280"/>
      <c r="K39" s="280"/>
      <c r="L39" s="280"/>
      <c r="M39" s="280"/>
      <c r="N39" s="280"/>
      <c r="O39" s="280"/>
      <c r="P39" s="280"/>
      <c r="Q39" s="280"/>
      <c r="R39" s="280"/>
      <c r="S39" s="280"/>
      <c r="T39" s="280"/>
      <c r="U39" s="280"/>
      <c r="V39" s="280"/>
      <c r="W39" s="280"/>
      <c r="X39" s="281"/>
      <c r="Y39" s="279"/>
      <c r="Z39" s="280"/>
      <c r="AA39" s="280"/>
      <c r="AB39" s="280"/>
      <c r="AC39" s="280"/>
      <c r="AD39" s="280"/>
      <c r="AE39" s="280"/>
      <c r="AF39" s="281"/>
    </row>
    <row r="40" spans="2:33" x14ac:dyDescent="0.2">
      <c r="B40" s="282"/>
      <c r="C40" s="283"/>
      <c r="D40" s="284"/>
      <c r="E40" s="279"/>
      <c r="F40" s="280"/>
      <c r="G40" s="280"/>
      <c r="H40" s="280"/>
      <c r="I40" s="280"/>
      <c r="J40" s="280"/>
      <c r="K40" s="280"/>
      <c r="L40" s="280"/>
      <c r="M40" s="280"/>
      <c r="N40" s="280"/>
      <c r="O40" s="280"/>
      <c r="P40" s="280"/>
      <c r="Q40" s="280"/>
      <c r="R40" s="280"/>
      <c r="S40" s="280"/>
      <c r="T40" s="280"/>
      <c r="U40" s="280"/>
      <c r="V40" s="280"/>
      <c r="W40" s="280"/>
      <c r="X40" s="281"/>
      <c r="Y40" s="279"/>
      <c r="Z40" s="280"/>
      <c r="AA40" s="280"/>
      <c r="AB40" s="280"/>
      <c r="AC40" s="280"/>
      <c r="AD40" s="280"/>
      <c r="AE40" s="280"/>
      <c r="AF40" s="281"/>
    </row>
    <row r="41" spans="2:33" x14ac:dyDescent="0.2">
      <c r="B41" s="282"/>
      <c r="C41" s="283"/>
      <c r="D41" s="284"/>
      <c r="E41" s="279"/>
      <c r="F41" s="280"/>
      <c r="G41" s="280"/>
      <c r="H41" s="280"/>
      <c r="I41" s="280"/>
      <c r="J41" s="280"/>
      <c r="K41" s="280"/>
      <c r="L41" s="280"/>
      <c r="M41" s="280"/>
      <c r="N41" s="280"/>
      <c r="O41" s="280"/>
      <c r="P41" s="280"/>
      <c r="Q41" s="280"/>
      <c r="R41" s="280"/>
      <c r="S41" s="280"/>
      <c r="T41" s="280"/>
      <c r="U41" s="280"/>
      <c r="V41" s="280"/>
      <c r="W41" s="280"/>
      <c r="X41" s="281"/>
      <c r="Y41" s="279"/>
      <c r="Z41" s="280"/>
      <c r="AA41" s="280"/>
      <c r="AB41" s="280"/>
      <c r="AC41" s="280"/>
      <c r="AD41" s="280"/>
      <c r="AE41" s="280"/>
      <c r="AF41" s="281"/>
    </row>
    <row r="42" spans="2:33" ht="24.75" customHeight="1" x14ac:dyDescent="0.2">
      <c r="B42" s="33" t="s">
        <v>29</v>
      </c>
      <c r="C42" s="23"/>
      <c r="I42" s="26"/>
    </row>
    <row r="43" spans="2:33" ht="12.75" customHeight="1" x14ac:dyDescent="0.2">
      <c r="B43" s="285" t="s">
        <v>8</v>
      </c>
      <c r="C43" s="286"/>
      <c r="D43" s="287"/>
      <c r="E43" s="285" t="s">
        <v>9</v>
      </c>
      <c r="F43" s="286"/>
      <c r="G43" s="286"/>
      <c r="H43" s="286"/>
      <c r="I43" s="286"/>
      <c r="J43" s="286"/>
      <c r="K43" s="286"/>
      <c r="L43" s="286"/>
      <c r="M43" s="286"/>
      <c r="N43" s="286"/>
      <c r="O43" s="286"/>
      <c r="P43" s="286"/>
      <c r="Q43" s="286"/>
      <c r="R43" s="286"/>
      <c r="S43" s="286"/>
      <c r="T43" s="286"/>
      <c r="U43" s="286"/>
      <c r="V43" s="286"/>
      <c r="W43" s="286"/>
      <c r="X43" s="287"/>
      <c r="Y43" s="285" t="s">
        <v>10</v>
      </c>
      <c r="Z43" s="286"/>
      <c r="AA43" s="286"/>
      <c r="AB43" s="286"/>
      <c r="AC43" s="286"/>
      <c r="AD43" s="286"/>
      <c r="AE43" s="286"/>
      <c r="AF43" s="287"/>
    </row>
    <row r="44" spans="2:33" x14ac:dyDescent="0.2">
      <c r="B44" s="282"/>
      <c r="C44" s="283"/>
      <c r="D44" s="284"/>
      <c r="E44" s="279"/>
      <c r="F44" s="280"/>
      <c r="G44" s="280"/>
      <c r="H44" s="280"/>
      <c r="I44" s="280"/>
      <c r="J44" s="280"/>
      <c r="K44" s="280"/>
      <c r="L44" s="280"/>
      <c r="M44" s="280"/>
      <c r="N44" s="280"/>
      <c r="O44" s="280"/>
      <c r="P44" s="280"/>
      <c r="Q44" s="280"/>
      <c r="R44" s="280"/>
      <c r="S44" s="280"/>
      <c r="T44" s="280"/>
      <c r="U44" s="280"/>
      <c r="V44" s="280"/>
      <c r="W44" s="280"/>
      <c r="X44" s="281"/>
      <c r="Y44" s="279"/>
      <c r="Z44" s="280"/>
      <c r="AA44" s="280"/>
      <c r="AB44" s="280"/>
      <c r="AC44" s="280"/>
      <c r="AD44" s="280"/>
      <c r="AE44" s="280"/>
      <c r="AF44" s="281"/>
    </row>
    <row r="45" spans="2:33" x14ac:dyDescent="0.2">
      <c r="B45" s="282"/>
      <c r="C45" s="283"/>
      <c r="D45" s="284"/>
      <c r="E45" s="279"/>
      <c r="F45" s="280"/>
      <c r="G45" s="280"/>
      <c r="H45" s="280"/>
      <c r="I45" s="280"/>
      <c r="J45" s="280"/>
      <c r="K45" s="280"/>
      <c r="L45" s="280"/>
      <c r="M45" s="280"/>
      <c r="N45" s="280"/>
      <c r="O45" s="280"/>
      <c r="P45" s="280"/>
      <c r="Q45" s="280"/>
      <c r="R45" s="280"/>
      <c r="S45" s="280"/>
      <c r="T45" s="280"/>
      <c r="U45" s="280"/>
      <c r="V45" s="280"/>
      <c r="W45" s="280"/>
      <c r="X45" s="281"/>
      <c r="Y45" s="279"/>
      <c r="Z45" s="280"/>
      <c r="AA45" s="280"/>
      <c r="AB45" s="280"/>
      <c r="AC45" s="280"/>
      <c r="AD45" s="280"/>
      <c r="AE45" s="280"/>
      <c r="AF45" s="281"/>
    </row>
    <row r="46" spans="2:33" x14ac:dyDescent="0.2">
      <c r="B46" s="282"/>
      <c r="C46" s="283"/>
      <c r="D46" s="284"/>
      <c r="E46" s="279"/>
      <c r="F46" s="280"/>
      <c r="G46" s="280"/>
      <c r="H46" s="280"/>
      <c r="I46" s="280"/>
      <c r="J46" s="280"/>
      <c r="K46" s="280"/>
      <c r="L46" s="280"/>
      <c r="M46" s="280"/>
      <c r="N46" s="280"/>
      <c r="O46" s="280"/>
      <c r="P46" s="280"/>
      <c r="Q46" s="280"/>
      <c r="R46" s="280"/>
      <c r="S46" s="280"/>
      <c r="T46" s="280"/>
      <c r="U46" s="280"/>
      <c r="V46" s="280"/>
      <c r="W46" s="280"/>
      <c r="X46" s="281"/>
      <c r="Y46" s="279"/>
      <c r="Z46" s="280"/>
      <c r="AA46" s="280"/>
      <c r="AB46" s="280"/>
      <c r="AC46" s="280"/>
      <c r="AD46" s="280"/>
      <c r="AE46" s="280"/>
      <c r="AF46" s="281"/>
    </row>
    <row r="47" spans="2:33" x14ac:dyDescent="0.2">
      <c r="B47" s="282"/>
      <c r="C47" s="283"/>
      <c r="D47" s="284"/>
      <c r="E47" s="279"/>
      <c r="F47" s="280"/>
      <c r="G47" s="280"/>
      <c r="H47" s="280"/>
      <c r="I47" s="280"/>
      <c r="J47" s="280"/>
      <c r="K47" s="280"/>
      <c r="L47" s="280"/>
      <c r="M47" s="280"/>
      <c r="N47" s="280"/>
      <c r="O47" s="280"/>
      <c r="P47" s="280"/>
      <c r="Q47" s="280"/>
      <c r="R47" s="280"/>
      <c r="S47" s="280"/>
      <c r="T47" s="280"/>
      <c r="U47" s="280"/>
      <c r="V47" s="280"/>
      <c r="W47" s="280"/>
      <c r="X47" s="281"/>
      <c r="Y47" s="279"/>
      <c r="Z47" s="280"/>
      <c r="AA47" s="280"/>
      <c r="AB47" s="280"/>
      <c r="AC47" s="280"/>
      <c r="AD47" s="280"/>
      <c r="AE47" s="280"/>
      <c r="AF47" s="281"/>
    </row>
    <row r="48" spans="2:33" x14ac:dyDescent="0.2">
      <c r="C48" s="25"/>
      <c r="I48" s="26"/>
    </row>
    <row r="49" spans="2:32" ht="20.25" x14ac:dyDescent="0.2">
      <c r="B49" s="22" t="s">
        <v>31</v>
      </c>
      <c r="C49" s="23"/>
      <c r="I49" s="26"/>
    </row>
    <row r="50" spans="2:32" ht="12.75" customHeight="1" x14ac:dyDescent="0.2">
      <c r="B50" s="285" t="s">
        <v>30</v>
      </c>
      <c r="C50" s="286"/>
      <c r="D50" s="286"/>
      <c r="E50" s="286"/>
      <c r="F50" s="286"/>
      <c r="G50" s="287"/>
      <c r="H50" s="314"/>
      <c r="I50" s="315"/>
      <c r="J50" s="315"/>
      <c r="K50" s="315"/>
      <c r="L50" s="315"/>
      <c r="M50" s="315"/>
      <c r="N50" s="315"/>
      <c r="O50" s="315"/>
      <c r="P50" s="315"/>
      <c r="Q50" s="315"/>
      <c r="R50" s="315"/>
      <c r="S50" s="315"/>
      <c r="T50" s="315"/>
      <c r="U50" s="315"/>
      <c r="V50" s="315"/>
      <c r="W50" s="315"/>
      <c r="X50" s="315"/>
      <c r="Y50" s="315"/>
      <c r="Z50" s="315"/>
      <c r="AA50" s="315"/>
      <c r="AB50" s="315"/>
      <c r="AC50" s="315"/>
      <c r="AD50" s="315"/>
      <c r="AE50" s="315"/>
      <c r="AF50" s="316"/>
    </row>
    <row r="51" spans="2:32" x14ac:dyDescent="0.2">
      <c r="B51" s="279"/>
      <c r="C51" s="280"/>
      <c r="D51" s="280"/>
      <c r="E51" s="280"/>
      <c r="F51" s="280"/>
      <c r="G51" s="281"/>
      <c r="H51" s="304"/>
      <c r="I51" s="305"/>
      <c r="J51" s="305"/>
      <c r="K51" s="305"/>
      <c r="L51" s="305"/>
      <c r="M51" s="305"/>
      <c r="N51" s="305"/>
      <c r="O51" s="305"/>
      <c r="P51" s="305"/>
      <c r="Q51" s="305"/>
      <c r="R51" s="305"/>
      <c r="S51" s="305"/>
      <c r="T51" s="305"/>
      <c r="U51" s="305"/>
      <c r="V51" s="305"/>
      <c r="W51" s="305"/>
      <c r="X51" s="305"/>
      <c r="Y51" s="305"/>
      <c r="Z51" s="305"/>
      <c r="AA51" s="305"/>
      <c r="AB51" s="305"/>
      <c r="AC51" s="305"/>
      <c r="AD51" s="305"/>
      <c r="AE51" s="305"/>
      <c r="AF51" s="306"/>
    </row>
    <row r="52" spans="2:32" x14ac:dyDescent="0.2">
      <c r="B52" s="279"/>
      <c r="C52" s="280"/>
      <c r="D52" s="280"/>
      <c r="E52" s="280"/>
      <c r="F52" s="280"/>
      <c r="G52" s="281"/>
      <c r="H52" s="304"/>
      <c r="I52" s="305"/>
      <c r="J52" s="305"/>
      <c r="K52" s="305"/>
      <c r="L52" s="305"/>
      <c r="M52" s="305"/>
      <c r="N52" s="305"/>
      <c r="O52" s="305"/>
      <c r="P52" s="305"/>
      <c r="Q52" s="305"/>
      <c r="R52" s="305"/>
      <c r="S52" s="305"/>
      <c r="T52" s="305"/>
      <c r="U52" s="305"/>
      <c r="V52" s="305"/>
      <c r="W52" s="305"/>
      <c r="X52" s="305"/>
      <c r="Y52" s="305"/>
      <c r="Z52" s="305"/>
      <c r="AA52" s="305"/>
      <c r="AB52" s="305"/>
      <c r="AC52" s="305"/>
      <c r="AD52" s="305"/>
      <c r="AE52" s="305"/>
      <c r="AF52" s="306"/>
    </row>
    <row r="53" spans="2:32" x14ac:dyDescent="0.2">
      <c r="B53" s="279"/>
      <c r="C53" s="280"/>
      <c r="D53" s="280"/>
      <c r="E53" s="280"/>
      <c r="F53" s="280"/>
      <c r="G53" s="281"/>
      <c r="H53" s="304"/>
      <c r="I53" s="305"/>
      <c r="J53" s="305"/>
      <c r="K53" s="305"/>
      <c r="L53" s="305"/>
      <c r="M53" s="305"/>
      <c r="N53" s="305"/>
      <c r="O53" s="305"/>
      <c r="P53" s="305"/>
      <c r="Q53" s="305"/>
      <c r="R53" s="305"/>
      <c r="S53" s="305"/>
      <c r="T53" s="305"/>
      <c r="U53" s="305"/>
      <c r="V53" s="305"/>
      <c r="W53" s="305"/>
      <c r="X53" s="305"/>
      <c r="Y53" s="305"/>
      <c r="Z53" s="305"/>
      <c r="AA53" s="305"/>
      <c r="AB53" s="305"/>
      <c r="AC53" s="305"/>
      <c r="AD53" s="305"/>
      <c r="AE53" s="305"/>
      <c r="AF53" s="306"/>
    </row>
    <row r="54" spans="2:32" x14ac:dyDescent="0.2">
      <c r="B54" s="279"/>
      <c r="C54" s="280"/>
      <c r="D54" s="280"/>
      <c r="E54" s="280"/>
      <c r="F54" s="280"/>
      <c r="G54" s="281"/>
      <c r="H54" s="304"/>
      <c r="I54" s="305"/>
      <c r="J54" s="305"/>
      <c r="K54" s="305"/>
      <c r="L54" s="305"/>
      <c r="M54" s="305"/>
      <c r="N54" s="305"/>
      <c r="O54" s="305"/>
      <c r="P54" s="305"/>
      <c r="Q54" s="305"/>
      <c r="R54" s="305"/>
      <c r="S54" s="305"/>
      <c r="T54" s="305"/>
      <c r="U54" s="305"/>
      <c r="V54" s="305"/>
      <c r="W54" s="305"/>
      <c r="X54" s="305"/>
      <c r="Y54" s="305"/>
      <c r="Z54" s="305"/>
      <c r="AA54" s="305"/>
      <c r="AB54" s="305"/>
      <c r="AC54" s="305"/>
      <c r="AD54" s="305"/>
      <c r="AE54" s="305"/>
      <c r="AF54" s="306"/>
    </row>
    <row r="55" spans="2:32" x14ac:dyDescent="0.2">
      <c r="B55" s="279"/>
      <c r="C55" s="280"/>
      <c r="D55" s="280"/>
      <c r="E55" s="280"/>
      <c r="F55" s="280"/>
      <c r="G55" s="281"/>
      <c r="H55" s="304"/>
      <c r="I55" s="305"/>
      <c r="J55" s="305"/>
      <c r="K55" s="305"/>
      <c r="L55" s="305"/>
      <c r="M55" s="305"/>
      <c r="N55" s="305"/>
      <c r="O55" s="305"/>
      <c r="P55" s="305"/>
      <c r="Q55" s="305"/>
      <c r="R55" s="305"/>
      <c r="S55" s="305"/>
      <c r="T55" s="305"/>
      <c r="U55" s="305"/>
      <c r="V55" s="305"/>
      <c r="W55" s="305"/>
      <c r="X55" s="305"/>
      <c r="Y55" s="305"/>
      <c r="Z55" s="305"/>
      <c r="AA55" s="305"/>
      <c r="AB55" s="305"/>
      <c r="AC55" s="305"/>
      <c r="AD55" s="305"/>
      <c r="AE55" s="305"/>
      <c r="AF55" s="306"/>
    </row>
    <row r="56" spans="2:32" x14ac:dyDescent="0.2">
      <c r="B56" s="29"/>
      <c r="C56" s="29"/>
      <c r="D56" s="29"/>
      <c r="E56" s="29"/>
      <c r="F56" s="29"/>
      <c r="G56" s="29"/>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row>
    <row r="57" spans="2:32" x14ac:dyDescent="0.2">
      <c r="B57" s="29"/>
      <c r="C57" s="29"/>
      <c r="D57" s="29"/>
      <c r="E57" s="29"/>
      <c r="F57" s="29"/>
      <c r="G57" s="29"/>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row>
    <row r="58" spans="2:32" ht="26.25" x14ac:dyDescent="0.2">
      <c r="B58" s="35" t="s">
        <v>32</v>
      </c>
      <c r="C58" s="36"/>
      <c r="D58" s="36"/>
      <c r="E58" s="36"/>
      <c r="F58" s="36"/>
      <c r="G58" s="36"/>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row>
    <row r="59" spans="2:32" ht="15.75" customHeight="1" x14ac:dyDescent="0.2">
      <c r="B59" s="38"/>
      <c r="C59" s="29"/>
      <c r="D59" s="29"/>
      <c r="E59" s="29"/>
      <c r="F59" s="29"/>
      <c r="G59" s="29"/>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row>
    <row r="60" spans="2:32" x14ac:dyDescent="0.2">
      <c r="B60" s="39"/>
      <c r="C60" s="39"/>
      <c r="D60" s="39"/>
      <c r="E60" s="39"/>
      <c r="F60" s="39"/>
      <c r="G60" s="39"/>
      <c r="H60" s="40"/>
      <c r="I60" s="40"/>
      <c r="J60" s="40"/>
      <c r="K60" s="40"/>
      <c r="L60" s="40"/>
      <c r="N60" s="309" t="s">
        <v>81</v>
      </c>
      <c r="O60" s="309"/>
      <c r="P60" s="309"/>
      <c r="Q60" s="309"/>
      <c r="R60" s="309"/>
      <c r="S60" s="309"/>
      <c r="T60" s="309"/>
      <c r="W60" s="40"/>
      <c r="X60" s="40"/>
      <c r="Y60" s="40"/>
      <c r="Z60" s="40"/>
      <c r="AA60" s="40"/>
      <c r="AB60" s="40"/>
      <c r="AC60" s="40"/>
      <c r="AD60" s="40"/>
      <c r="AE60" s="40"/>
      <c r="AF60" s="40"/>
    </row>
    <row r="61" spans="2:32" x14ac:dyDescent="0.2">
      <c r="B61" s="39"/>
      <c r="C61" s="39"/>
      <c r="D61" s="39"/>
      <c r="E61" s="39"/>
      <c r="F61" s="39"/>
      <c r="G61" s="39"/>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row>
    <row r="62" spans="2:32" x14ac:dyDescent="0.2">
      <c r="B62" s="39"/>
      <c r="C62" s="39"/>
      <c r="D62" s="39"/>
      <c r="E62" s="39"/>
      <c r="F62" s="39"/>
      <c r="G62" s="39"/>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row>
    <row r="63" spans="2:32" x14ac:dyDescent="0.2">
      <c r="B63" s="39"/>
      <c r="C63" s="39"/>
      <c r="D63" s="39"/>
      <c r="E63" s="39"/>
      <c r="F63" s="39"/>
      <c r="G63" s="39"/>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row>
    <row r="64" spans="2:32" hidden="1" x14ac:dyDescent="0.2">
      <c r="B64" s="39"/>
      <c r="C64" s="39"/>
      <c r="D64" s="39"/>
      <c r="E64" s="39"/>
      <c r="F64" s="39"/>
      <c r="G64" s="39"/>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row>
    <row r="65" spans="2:34" hidden="1" x14ac:dyDescent="0.2">
      <c r="B65" s="39"/>
      <c r="C65" s="39"/>
      <c r="D65" s="39"/>
      <c r="E65" s="39"/>
      <c r="F65" s="39"/>
      <c r="G65" s="39"/>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row>
    <row r="66" spans="2:34" hidden="1" x14ac:dyDescent="0.2">
      <c r="B66" s="39"/>
      <c r="C66" s="39"/>
      <c r="D66" s="39"/>
      <c r="E66" s="39"/>
      <c r="F66" s="39"/>
      <c r="G66" s="39"/>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row>
    <row r="67" spans="2:34" hidden="1" x14ac:dyDescent="0.2">
      <c r="B67" s="39"/>
      <c r="C67" s="39"/>
      <c r="D67" s="39"/>
      <c r="E67" s="39"/>
      <c r="F67" s="39"/>
      <c r="G67" s="39"/>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row>
    <row r="68" spans="2:34" hidden="1" x14ac:dyDescent="0.2">
      <c r="B68" s="39"/>
      <c r="C68" s="39"/>
      <c r="D68" s="39"/>
      <c r="E68" s="39"/>
      <c r="F68" s="39"/>
      <c r="G68" s="39"/>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row>
    <row r="69" spans="2:34" hidden="1" x14ac:dyDescent="0.2">
      <c r="B69" s="39"/>
      <c r="C69" s="39"/>
      <c r="D69" s="39"/>
      <c r="E69" s="39"/>
      <c r="F69" s="39"/>
      <c r="G69" s="39"/>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row>
    <row r="70" spans="2:34" hidden="1" x14ac:dyDescent="0.2">
      <c r="B70" s="39"/>
      <c r="C70" s="39"/>
      <c r="D70" s="39"/>
      <c r="E70" s="39"/>
      <c r="F70" s="39"/>
      <c r="G70" s="39"/>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row>
    <row r="71" spans="2:34" hidden="1" x14ac:dyDescent="0.2">
      <c r="B71" s="39"/>
      <c r="C71" s="39"/>
      <c r="D71" s="39"/>
      <c r="E71" s="39"/>
      <c r="F71" s="39"/>
      <c r="G71" s="39"/>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row>
    <row r="72" spans="2:34" hidden="1" x14ac:dyDescent="0.2">
      <c r="B72" s="39"/>
      <c r="C72" s="39"/>
      <c r="D72" s="39"/>
      <c r="E72" s="39"/>
      <c r="F72" s="39"/>
      <c r="G72" s="39"/>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row>
    <row r="73" spans="2:34" ht="12" hidden="1" customHeight="1" x14ac:dyDescent="0.2"/>
    <row r="74" spans="2:34" hidden="1" x14ac:dyDescent="0.2">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row>
    <row r="75" spans="2:34" ht="12.75" hidden="1" customHeight="1" x14ac:dyDescent="0.2">
      <c r="F75" s="41"/>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1"/>
    </row>
    <row r="76" spans="2:34" ht="12.75" hidden="1" customHeight="1" x14ac:dyDescent="0.2">
      <c r="F76" s="41"/>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41"/>
    </row>
    <row r="77" spans="2:34" hidden="1" x14ac:dyDescent="0.2">
      <c r="F77" s="41"/>
      <c r="G77" s="39"/>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41"/>
    </row>
    <row r="78" spans="2:34" hidden="1" x14ac:dyDescent="0.2">
      <c r="F78" s="43"/>
      <c r="G78" s="43"/>
      <c r="H78" s="43"/>
      <c r="I78" s="43"/>
      <c r="J78" s="41"/>
      <c r="K78" s="41"/>
      <c r="L78" s="41"/>
      <c r="M78" s="41"/>
      <c r="N78" s="41"/>
      <c r="O78" s="41"/>
      <c r="P78" s="41"/>
      <c r="Q78" s="41"/>
      <c r="R78" s="41"/>
      <c r="S78" s="43"/>
      <c r="T78" s="43"/>
      <c r="U78" s="43"/>
      <c r="V78" s="43"/>
      <c r="W78" s="43"/>
      <c r="X78" s="43"/>
      <c r="Y78" s="43"/>
      <c r="Z78" s="43"/>
      <c r="AA78" s="43"/>
      <c r="AB78" s="43"/>
      <c r="AC78" s="43"/>
      <c r="AD78" s="43"/>
      <c r="AE78" s="43"/>
      <c r="AF78" s="43"/>
      <c r="AG78" s="43"/>
      <c r="AH78" s="41"/>
    </row>
    <row r="79" spans="2:34" hidden="1" x14ac:dyDescent="0.2">
      <c r="F79" s="43"/>
      <c r="G79" s="43"/>
      <c r="H79" s="43"/>
      <c r="I79" s="43"/>
      <c r="J79" s="41"/>
      <c r="K79" s="41"/>
      <c r="L79" s="41"/>
      <c r="M79" s="41"/>
      <c r="N79" s="41"/>
      <c r="O79" s="41"/>
      <c r="P79" s="41"/>
      <c r="Q79" s="41"/>
      <c r="R79" s="41"/>
      <c r="S79" s="43"/>
      <c r="T79" s="43"/>
      <c r="U79" s="43"/>
      <c r="V79" s="43"/>
      <c r="W79" s="43"/>
      <c r="X79" s="43"/>
      <c r="Y79" s="43"/>
      <c r="Z79" s="43"/>
      <c r="AA79" s="43"/>
      <c r="AB79" s="43"/>
      <c r="AC79" s="43"/>
      <c r="AD79" s="43"/>
      <c r="AE79" s="43"/>
      <c r="AF79" s="43"/>
      <c r="AG79" s="43"/>
      <c r="AH79" s="41"/>
    </row>
    <row r="80" spans="2:34" hidden="1" x14ac:dyDescent="0.2">
      <c r="F80" s="44"/>
      <c r="G80" s="44"/>
      <c r="H80" s="44"/>
      <c r="I80" s="44"/>
      <c r="J80" s="44"/>
      <c r="K80" s="44"/>
      <c r="R80" s="44"/>
      <c r="S80" s="43"/>
      <c r="T80" s="43"/>
      <c r="U80" s="43"/>
      <c r="V80" s="43"/>
      <c r="W80" s="43"/>
      <c r="X80" s="43"/>
      <c r="Y80" s="43"/>
      <c r="Z80" s="43"/>
      <c r="AA80" s="43"/>
      <c r="AB80" s="43"/>
      <c r="AC80" s="43"/>
      <c r="AD80" s="43"/>
      <c r="AE80" s="43"/>
      <c r="AF80" s="43"/>
      <c r="AG80" s="43"/>
      <c r="AH80" s="44"/>
    </row>
    <row r="81" spans="18:34" hidden="1" x14ac:dyDescent="0.2">
      <c r="R81" s="44"/>
      <c r="S81" s="44"/>
      <c r="T81" s="44"/>
      <c r="U81" s="44"/>
      <c r="V81" s="44"/>
      <c r="W81" s="44"/>
      <c r="X81" s="44"/>
      <c r="Y81" s="44"/>
      <c r="Z81" s="44"/>
      <c r="AA81" s="44"/>
      <c r="AB81" s="44"/>
      <c r="AC81" s="44"/>
      <c r="AD81" s="44"/>
      <c r="AE81" s="44"/>
      <c r="AF81" s="44"/>
      <c r="AG81" s="44"/>
      <c r="AH81" s="44"/>
    </row>
    <row r="82" spans="18:34" hidden="1" x14ac:dyDescent="0.2">
      <c r="R82" s="44"/>
      <c r="S82" s="44"/>
      <c r="T82" s="44"/>
      <c r="U82" s="44"/>
      <c r="V82" s="44"/>
      <c r="W82" s="44"/>
      <c r="X82" s="44"/>
      <c r="Y82" s="44"/>
      <c r="Z82" s="44"/>
      <c r="AA82" s="44"/>
      <c r="AB82" s="44"/>
      <c r="AC82" s="44"/>
      <c r="AD82" s="44"/>
      <c r="AE82" s="44"/>
      <c r="AF82" s="44"/>
      <c r="AG82" s="44"/>
      <c r="AH82" s="44"/>
    </row>
    <row r="174" x14ac:dyDescent="0.2"/>
  </sheetData>
  <sheetProtection formatCells="0" formatRows="0" insertColumns="0" insertRows="0" insertHyperlinks="0" deleteRows="0" selectLockedCells="1" sort="0" autoFilter="0" pivotTables="0"/>
  <mergeCells count="98">
    <mergeCell ref="G19:AF19"/>
    <mergeCell ref="N60:T60"/>
    <mergeCell ref="B20:F20"/>
    <mergeCell ref="G20:AF20"/>
    <mergeCell ref="B21:F21"/>
    <mergeCell ref="G21:AF21"/>
    <mergeCell ref="B22:F22"/>
    <mergeCell ref="G22:AF22"/>
    <mergeCell ref="B52:G52"/>
    <mergeCell ref="H52:AF52"/>
    <mergeCell ref="B50:G50"/>
    <mergeCell ref="B55:G55"/>
    <mergeCell ref="H50:AF50"/>
    <mergeCell ref="H55:AF55"/>
    <mergeCell ref="B54:G54"/>
    <mergeCell ref="H54:AF54"/>
    <mergeCell ref="B53:G53"/>
    <mergeCell ref="H53:AF53"/>
    <mergeCell ref="B51:G51"/>
    <mergeCell ref="H51:AF51"/>
    <mergeCell ref="R27:AF27"/>
    <mergeCell ref="B33:AF33"/>
    <mergeCell ref="Y43:AF43"/>
    <mergeCell ref="R29:AF29"/>
    <mergeCell ref="B45:D45"/>
    <mergeCell ref="Y40:AF40"/>
    <mergeCell ref="B40:D40"/>
    <mergeCell ref="Y38:AF38"/>
    <mergeCell ref="Y39:AF39"/>
    <mergeCell ref="Y37:AF37"/>
    <mergeCell ref="B38:D38"/>
    <mergeCell ref="E38:X38"/>
    <mergeCell ref="B39:D39"/>
    <mergeCell ref="E39:X39"/>
    <mergeCell ref="E40:X40"/>
    <mergeCell ref="B41:D41"/>
    <mergeCell ref="B15:F15"/>
    <mergeCell ref="B25:D25"/>
    <mergeCell ref="I25:Q25"/>
    <mergeCell ref="R25:AF25"/>
    <mergeCell ref="E25:H25"/>
    <mergeCell ref="B18:F18"/>
    <mergeCell ref="G18:AF18"/>
    <mergeCell ref="B19:F19"/>
    <mergeCell ref="R26:AF26"/>
    <mergeCell ref="B37:D37"/>
    <mergeCell ref="E37:X37"/>
    <mergeCell ref="B26:D26"/>
    <mergeCell ref="G15:AF15"/>
    <mergeCell ref="G16:AF16"/>
    <mergeCell ref="G17:AF17"/>
    <mergeCell ref="B16:F16"/>
    <mergeCell ref="E7:V7"/>
    <mergeCell ref="B17:F17"/>
    <mergeCell ref="A7:D7"/>
    <mergeCell ref="A9:AG9"/>
    <mergeCell ref="A8:AG8"/>
    <mergeCell ref="AB6:AD6"/>
    <mergeCell ref="AB7:AD7"/>
    <mergeCell ref="A4:V4"/>
    <mergeCell ref="A5:V5"/>
    <mergeCell ref="W4:AA4"/>
    <mergeCell ref="W5:AA5"/>
    <mergeCell ref="A6:D6"/>
    <mergeCell ref="W6:AA6"/>
    <mergeCell ref="E6:V6"/>
    <mergeCell ref="AB4:AG4"/>
    <mergeCell ref="AB5:AG5"/>
    <mergeCell ref="AE6:AG6"/>
    <mergeCell ref="AE7:AG7"/>
    <mergeCell ref="W7:AA7"/>
    <mergeCell ref="I26:Q26"/>
    <mergeCell ref="E27:H27"/>
    <mergeCell ref="E29:H29"/>
    <mergeCell ref="I28:Q28"/>
    <mergeCell ref="R28:AF28"/>
    <mergeCell ref="E26:H26"/>
    <mergeCell ref="B29:D29"/>
    <mergeCell ref="I29:Q29"/>
    <mergeCell ref="B27:D27"/>
    <mergeCell ref="I27:Q27"/>
    <mergeCell ref="B28:D28"/>
    <mergeCell ref="E28:H28"/>
    <mergeCell ref="E41:X41"/>
    <mergeCell ref="Y41:AF41"/>
    <mergeCell ref="B47:D47"/>
    <mergeCell ref="B44:D44"/>
    <mergeCell ref="B46:D46"/>
    <mergeCell ref="B43:D43"/>
    <mergeCell ref="Y45:AF45"/>
    <mergeCell ref="E45:X45"/>
    <mergeCell ref="E47:X47"/>
    <mergeCell ref="E46:X46"/>
    <mergeCell ref="Y44:AF44"/>
    <mergeCell ref="Y46:AF46"/>
    <mergeCell ref="Y47:AF47"/>
    <mergeCell ref="E43:X43"/>
    <mergeCell ref="E44:X44"/>
  </mergeCells>
  <phoneticPr fontId="5" type="noConversion"/>
  <hyperlinks>
    <hyperlink ref="N60" location="'User Guide'!A1" display="See User Guide sheet" xr:uid="{00000000-0004-0000-0100-000000000000}"/>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theme="9" tint="0.59999389629810485"/>
  </sheetPr>
  <dimension ref="A1:S24"/>
  <sheetViews>
    <sheetView topLeftCell="A10" zoomScale="80" zoomScaleNormal="80" zoomScaleSheetLayoutView="90" workbookViewId="0">
      <selection sqref="A1:S1"/>
    </sheetView>
  </sheetViews>
  <sheetFormatPr defaultColWidth="0" defaultRowHeight="12.75" zeroHeight="1" x14ac:dyDescent="0.2"/>
  <cols>
    <col min="1" max="1" width="24.85546875" bestFit="1" customWidth="1"/>
    <col min="2" max="2" width="13.85546875" bestFit="1" customWidth="1"/>
    <col min="3" max="3" width="15" customWidth="1"/>
    <col min="4" max="4" width="13.7109375" bestFit="1" customWidth="1"/>
    <col min="5" max="5" width="19.5703125" bestFit="1" customWidth="1"/>
    <col min="6" max="6" width="34.5703125" customWidth="1"/>
    <col min="7" max="8" width="13.5703125" bestFit="1" customWidth="1"/>
    <col min="9" max="9" width="23.5703125" customWidth="1"/>
    <col min="10" max="10" width="15.85546875" bestFit="1" customWidth="1"/>
    <col min="11" max="11" width="12.140625" bestFit="1" customWidth="1"/>
    <col min="12" max="12" width="13.85546875" bestFit="1" customWidth="1"/>
    <col min="13" max="13" width="4.140625" bestFit="1" customWidth="1"/>
    <col min="14" max="18" width="15" customWidth="1"/>
    <col min="19" max="19" width="11.28515625" customWidth="1"/>
  </cols>
  <sheetData>
    <row r="1" spans="1:19" ht="22.5" x14ac:dyDescent="0.3">
      <c r="A1" s="317" t="s">
        <v>38</v>
      </c>
      <c r="B1" s="317"/>
      <c r="C1" s="317"/>
      <c r="D1" s="317"/>
      <c r="E1" s="317"/>
      <c r="F1" s="317"/>
      <c r="G1" s="317"/>
      <c r="H1" s="317"/>
      <c r="I1" s="317"/>
      <c r="J1" s="317"/>
      <c r="K1" s="317"/>
      <c r="L1" s="317"/>
      <c r="M1" s="317"/>
      <c r="N1" s="317"/>
      <c r="O1" s="317"/>
      <c r="P1" s="317"/>
      <c r="Q1" s="317"/>
      <c r="R1" s="317"/>
      <c r="S1" s="317"/>
    </row>
    <row r="2" spans="1:19" s="60" customFormat="1" ht="37.5" customHeight="1" x14ac:dyDescent="0.2">
      <c r="A2" s="319" t="s">
        <v>106</v>
      </c>
      <c r="B2" s="319"/>
      <c r="C2" s="319"/>
      <c r="D2" s="319"/>
      <c r="E2" s="319"/>
      <c r="F2" s="319"/>
      <c r="G2" s="319"/>
      <c r="H2" s="319"/>
      <c r="I2" s="319"/>
      <c r="J2" s="319"/>
      <c r="K2" s="319"/>
      <c r="L2" s="319"/>
      <c r="M2" s="319"/>
      <c r="N2" s="319"/>
      <c r="O2" s="319"/>
      <c r="P2" s="319"/>
      <c r="Q2" s="319"/>
      <c r="R2" s="319"/>
      <c r="S2" s="319"/>
    </row>
    <row r="3" spans="1:19" s="60" customFormat="1" ht="37.5" customHeight="1" x14ac:dyDescent="0.2">
      <c r="A3" s="319" t="s">
        <v>107</v>
      </c>
      <c r="B3" s="319"/>
      <c r="C3" s="319"/>
      <c r="D3" s="319"/>
      <c r="E3" s="319"/>
      <c r="F3" s="319"/>
      <c r="G3" s="319"/>
      <c r="H3" s="319"/>
      <c r="I3" s="319"/>
      <c r="J3" s="319"/>
      <c r="K3" s="319"/>
      <c r="L3" s="319"/>
      <c r="M3" s="319"/>
      <c r="N3" s="319"/>
      <c r="O3" s="319"/>
      <c r="P3" s="319"/>
      <c r="Q3" s="319"/>
      <c r="R3" s="319"/>
      <c r="S3" s="319"/>
    </row>
    <row r="4" spans="1:19" x14ac:dyDescent="0.2">
      <c r="A4" s="319" t="s">
        <v>110</v>
      </c>
      <c r="B4" s="319"/>
      <c r="C4" s="319"/>
      <c r="D4" s="319"/>
      <c r="E4" s="319"/>
      <c r="F4" s="319"/>
      <c r="G4" s="319"/>
      <c r="H4" s="319"/>
      <c r="I4" s="319"/>
      <c r="J4" s="319"/>
      <c r="K4" s="319"/>
      <c r="L4" s="319"/>
      <c r="M4" s="319"/>
      <c r="N4" s="196"/>
      <c r="O4" s="196"/>
      <c r="P4" s="196"/>
      <c r="Q4" s="196"/>
      <c r="R4" s="196"/>
    </row>
    <row r="5" spans="1:19" s="62" customFormat="1" x14ac:dyDescent="0.2">
      <c r="A5" s="320" t="s">
        <v>109</v>
      </c>
      <c r="B5" s="321"/>
      <c r="C5" s="321"/>
      <c r="D5" s="321"/>
      <c r="E5" s="321"/>
      <c r="F5" s="321"/>
      <c r="G5" s="321"/>
      <c r="H5" s="321"/>
      <c r="I5" s="321"/>
      <c r="J5" s="321"/>
      <c r="K5" s="321"/>
      <c r="L5" s="321"/>
      <c r="M5" s="321"/>
      <c r="N5" s="197"/>
      <c r="O5" s="197"/>
      <c r="P5" s="197"/>
      <c r="Q5" s="197"/>
      <c r="R5" s="197"/>
    </row>
    <row r="6" spans="1:19" ht="67.5" customHeight="1" x14ac:dyDescent="0.2">
      <c r="A6" s="322" t="s">
        <v>108</v>
      </c>
      <c r="B6" s="322"/>
      <c r="C6" s="322"/>
      <c r="D6" s="322"/>
      <c r="E6" s="322"/>
      <c r="F6" s="322"/>
      <c r="G6" s="322"/>
      <c r="H6" s="322"/>
      <c r="I6" s="322"/>
      <c r="J6" s="322"/>
      <c r="K6" s="322"/>
      <c r="L6" s="322"/>
      <c r="M6" s="322"/>
      <c r="N6" s="322"/>
      <c r="O6" s="322"/>
      <c r="P6" s="322"/>
      <c r="Q6" s="322"/>
      <c r="R6" s="322"/>
      <c r="S6" s="322"/>
    </row>
    <row r="7" spans="1:19" ht="86.25" customHeight="1" x14ac:dyDescent="0.2">
      <c r="A7" s="323" t="s">
        <v>116</v>
      </c>
      <c r="B7" s="324"/>
      <c r="C7" s="324"/>
      <c r="D7" s="324"/>
      <c r="E7" s="324"/>
      <c r="F7" s="324"/>
      <c r="G7" s="324"/>
      <c r="H7" s="324"/>
      <c r="I7" s="324"/>
      <c r="J7" s="324"/>
      <c r="K7" s="324"/>
      <c r="L7" s="324"/>
      <c r="M7" s="324"/>
      <c r="N7" s="324"/>
      <c r="O7" s="324"/>
      <c r="P7" s="324"/>
      <c r="Q7" s="324"/>
      <c r="R7" s="324"/>
      <c r="S7" s="324"/>
    </row>
    <row r="8" spans="1:19" ht="22.5" x14ac:dyDescent="0.3">
      <c r="A8" s="317" t="s">
        <v>119</v>
      </c>
      <c r="B8" s="317"/>
      <c r="C8" s="317"/>
      <c r="D8" s="317"/>
      <c r="E8" s="317"/>
      <c r="F8" s="317"/>
      <c r="G8" s="317"/>
      <c r="H8" s="317"/>
      <c r="I8" s="317"/>
      <c r="J8" s="317"/>
      <c r="K8" s="317"/>
      <c r="L8" s="317"/>
      <c r="M8" s="317"/>
      <c r="N8" s="317"/>
      <c r="O8" s="317"/>
      <c r="P8" s="317"/>
      <c r="Q8" s="317"/>
      <c r="R8" s="317"/>
      <c r="S8" s="317"/>
    </row>
    <row r="9" spans="1:19" s="1" customFormat="1" x14ac:dyDescent="0.2">
      <c r="B9" s="318"/>
      <c r="C9" s="318"/>
      <c r="D9" s="318"/>
      <c r="E9" s="318"/>
      <c r="F9" s="318"/>
      <c r="G9" s="318"/>
      <c r="H9" s="63"/>
      <c r="O9" s="205"/>
      <c r="P9" s="205"/>
      <c r="Q9" s="205"/>
      <c r="R9" s="205"/>
    </row>
    <row r="10" spans="1:19" ht="157.5" x14ac:dyDescent="0.2">
      <c r="B10" s="198" t="s">
        <v>117</v>
      </c>
      <c r="C10" s="198" t="s">
        <v>128</v>
      </c>
      <c r="D10" s="198" t="s">
        <v>103</v>
      </c>
      <c r="E10" s="198" t="s">
        <v>40</v>
      </c>
      <c r="F10" s="198" t="s">
        <v>41</v>
      </c>
      <c r="G10" s="198" t="s">
        <v>42</v>
      </c>
      <c r="H10" s="198" t="s">
        <v>43</v>
      </c>
      <c r="I10" s="198" t="s">
        <v>44</v>
      </c>
      <c r="J10" s="198" t="s">
        <v>100</v>
      </c>
      <c r="K10" s="198" t="s">
        <v>129</v>
      </c>
      <c r="L10" s="198" t="s">
        <v>118</v>
      </c>
      <c r="M10" s="64" t="s">
        <v>44</v>
      </c>
    </row>
    <row r="11" spans="1:19" s="1" customFormat="1" ht="56.25" x14ac:dyDescent="0.2">
      <c r="A11" s="193" t="s">
        <v>120</v>
      </c>
      <c r="B11" s="194" t="s">
        <v>124</v>
      </c>
      <c r="C11" s="194" t="s">
        <v>122</v>
      </c>
      <c r="D11" s="194" t="s">
        <v>121</v>
      </c>
      <c r="E11" s="194" t="s">
        <v>125</v>
      </c>
      <c r="F11" s="195" t="s">
        <v>123</v>
      </c>
      <c r="G11" s="206" t="s">
        <v>126</v>
      </c>
      <c r="H11" s="61" t="s">
        <v>45</v>
      </c>
      <c r="I11"/>
      <c r="J11" s="206" t="s">
        <v>127</v>
      </c>
      <c r="K11" s="194" t="s">
        <v>131</v>
      </c>
      <c r="L11" s="194" t="s">
        <v>130</v>
      </c>
      <c r="M11" s="194"/>
      <c r="N11" s="194"/>
      <c r="O11" s="194"/>
      <c r="P11" s="194"/>
      <c r="Q11" s="194"/>
      <c r="R11" s="194"/>
      <c r="S11"/>
    </row>
    <row r="12" spans="1:19" ht="22.5" x14ac:dyDescent="0.2">
      <c r="D12" s="65"/>
      <c r="E12" s="65"/>
      <c r="F12" s="66" t="s">
        <v>46</v>
      </c>
      <c r="G12" s="65" t="s">
        <v>47</v>
      </c>
    </row>
    <row r="13" spans="1:19" ht="22.5" x14ac:dyDescent="0.2">
      <c r="F13" s="67" t="s">
        <v>48</v>
      </c>
      <c r="G13" s="65"/>
    </row>
    <row r="14" spans="1:19" ht="33.75" x14ac:dyDescent="0.2">
      <c r="F14" s="68" t="s">
        <v>94</v>
      </c>
      <c r="I14" s="68" t="s">
        <v>98</v>
      </c>
      <c r="N14" s="199"/>
      <c r="O14" s="199"/>
      <c r="P14" s="199"/>
      <c r="Q14" s="199"/>
      <c r="R14" s="199"/>
    </row>
    <row r="15" spans="1:19" ht="33.75" x14ac:dyDescent="0.2">
      <c r="F15" s="69" t="s">
        <v>96</v>
      </c>
      <c r="N15" s="71"/>
      <c r="O15" s="71"/>
      <c r="P15" s="71"/>
      <c r="Q15" s="71"/>
      <c r="R15" s="71"/>
    </row>
    <row r="16" spans="1:19" ht="33.75" x14ac:dyDescent="0.2">
      <c r="F16" s="68" t="s">
        <v>95</v>
      </c>
      <c r="I16" s="68" t="s">
        <v>98</v>
      </c>
      <c r="N16" s="199"/>
      <c r="O16" s="199"/>
      <c r="P16" s="199"/>
      <c r="Q16" s="199"/>
      <c r="R16" s="199"/>
    </row>
    <row r="17" spans="6:18" ht="22.5" x14ac:dyDescent="0.2">
      <c r="F17" s="68" t="s">
        <v>97</v>
      </c>
      <c r="I17" s="68" t="s">
        <v>98</v>
      </c>
      <c r="N17" s="199"/>
      <c r="O17" s="199"/>
      <c r="P17" s="199"/>
      <c r="Q17" s="199"/>
      <c r="R17" s="199"/>
    </row>
    <row r="18" spans="6:18" x14ac:dyDescent="0.2"/>
    <row r="19" spans="6:18" x14ac:dyDescent="0.2"/>
    <row r="20" spans="6:18" x14ac:dyDescent="0.2"/>
    <row r="21" spans="6:18" x14ac:dyDescent="0.2"/>
    <row r="22" spans="6:18" x14ac:dyDescent="0.2"/>
    <row r="23" spans="6:18" x14ac:dyDescent="0.2"/>
    <row r="24" spans="6:18" x14ac:dyDescent="0.2"/>
  </sheetData>
  <mergeCells count="9">
    <mergeCell ref="A8:S8"/>
    <mergeCell ref="B9:G9"/>
    <mergeCell ref="A1:S1"/>
    <mergeCell ref="A2:S2"/>
    <mergeCell ref="A5:M5"/>
    <mergeCell ref="A6:S6"/>
    <mergeCell ref="A7:S7"/>
    <mergeCell ref="A4:M4"/>
    <mergeCell ref="A3:S3"/>
  </mergeCells>
  <pageMargins left="0.75" right="0.75" top="1" bottom="1" header="0.4921259845" footer="0.4921259845"/>
  <pageSetup paperSize="9" scale="51" orientation="portrait" r:id="rId1"/>
  <headerFooter alignWithMargins="0">
    <oddFooter>&amp;LE905722 rev xxx ver xxx&amp;R&amp;P</oddFooter>
  </headerFooter>
  <rowBreaks count="1" manualBreakCount="1">
    <brk id="7" max="16383" man="1"/>
  </rowBreaks>
  <colBreaks count="1" manualBreakCount="1">
    <brk id="18" max="14"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theme="4" tint="0.39997558519241921"/>
    <outlinePr summaryBelow="0"/>
  </sheetPr>
  <dimension ref="A1:AF123"/>
  <sheetViews>
    <sheetView showGridLines="0" tabSelected="1" zoomScale="75" zoomScaleNormal="75" workbookViewId="0">
      <pane ySplit="4" topLeftCell="A23" activePane="bottomLeft" state="frozen"/>
      <selection pane="bottomLeft" activeCell="D42" sqref="D42"/>
    </sheetView>
  </sheetViews>
  <sheetFormatPr defaultColWidth="0" defaultRowHeight="12.75" zeroHeight="1" outlineLevelRow="1" x14ac:dyDescent="0.2"/>
  <cols>
    <col min="1" max="1" width="67.42578125" style="122" customWidth="1"/>
    <col min="2" max="2" width="18" style="123" customWidth="1"/>
    <col min="3" max="3" width="16.7109375" style="124" customWidth="1"/>
    <col min="4" max="4" width="18.5703125" style="125" customWidth="1"/>
    <col min="5" max="5" width="16.85546875" style="126" customWidth="1"/>
    <col min="6" max="6" width="15.5703125" style="126" customWidth="1"/>
    <col min="7" max="7" width="15.5703125" style="127" hidden="1" customWidth="1"/>
    <col min="8" max="8" width="16.85546875" style="128" customWidth="1"/>
    <col min="9" max="9" width="15.5703125" style="128" hidden="1" customWidth="1"/>
    <col min="10" max="10" width="18.28515625" style="128" customWidth="1"/>
    <col min="11" max="11" width="15.5703125" style="128" customWidth="1"/>
    <col min="12" max="12" width="15.5703125" style="127" customWidth="1"/>
    <col min="13" max="13" width="15.5703125" style="129" customWidth="1"/>
    <col min="14" max="18" width="11.42578125" style="89" customWidth="1"/>
    <col min="19" max="16384" width="0" style="89" hidden="1"/>
  </cols>
  <sheetData>
    <row r="1" spans="1:32" s="135" customFormat="1" ht="40.5" customHeight="1" x14ac:dyDescent="0.2">
      <c r="A1" s="169"/>
      <c r="B1" s="169"/>
      <c r="C1" s="169"/>
      <c r="D1" s="170"/>
      <c r="E1" s="171"/>
      <c r="F1" s="171"/>
      <c r="G1" s="172"/>
      <c r="H1" s="173"/>
      <c r="I1" s="326" t="s">
        <v>91</v>
      </c>
      <c r="J1" s="327"/>
      <c r="K1" s="325" t="str">
        <f>SWVersion</f>
        <v>tbd</v>
      </c>
      <c r="L1" s="325"/>
      <c r="M1" s="170"/>
      <c r="AF1" s="168"/>
    </row>
    <row r="2" spans="1:32" ht="22.5" x14ac:dyDescent="0.2">
      <c r="A2" s="167" t="str">
        <f>"Metrics "</f>
        <v xml:space="preserve">Metrics </v>
      </c>
      <c r="B2" s="144"/>
      <c r="C2" s="144"/>
      <c r="D2" s="144"/>
      <c r="E2" s="144"/>
      <c r="F2" s="144"/>
      <c r="G2" s="144"/>
      <c r="H2" s="144"/>
      <c r="I2" s="144"/>
      <c r="J2" s="144"/>
      <c r="K2" s="144"/>
      <c r="L2" s="144"/>
      <c r="M2" s="144"/>
    </row>
    <row r="3" spans="1:32" s="135" customFormat="1" ht="15.75" customHeight="1" outlineLevel="1" x14ac:dyDescent="0.2">
      <c r="A3" s="160"/>
      <c r="B3" s="161"/>
      <c r="C3" s="136"/>
      <c r="D3" s="136"/>
      <c r="E3" s="136"/>
      <c r="F3" s="136"/>
      <c r="G3" s="136"/>
      <c r="H3" s="136"/>
      <c r="I3" s="136"/>
      <c r="J3" s="136"/>
      <c r="K3" s="147"/>
      <c r="L3" s="147"/>
      <c r="M3" s="144"/>
    </row>
    <row r="4" spans="1:32" s="90" customFormat="1" ht="99" customHeight="1" outlineLevel="1" x14ac:dyDescent="0.2">
      <c r="A4" s="162" t="s">
        <v>101</v>
      </c>
      <c r="B4" s="163" t="s">
        <v>102</v>
      </c>
      <c r="C4" s="163" t="s">
        <v>103</v>
      </c>
      <c r="D4" s="163" t="s">
        <v>140</v>
      </c>
      <c r="E4" s="163" t="s">
        <v>146</v>
      </c>
      <c r="F4" s="163" t="s">
        <v>85</v>
      </c>
      <c r="G4" s="163" t="s">
        <v>86</v>
      </c>
      <c r="H4" s="163" t="s">
        <v>87</v>
      </c>
      <c r="I4" s="163" t="s">
        <v>89</v>
      </c>
      <c r="J4" s="163" t="s">
        <v>88</v>
      </c>
      <c r="K4" s="144"/>
      <c r="L4" s="144"/>
      <c r="M4" s="144"/>
    </row>
    <row r="5" spans="1:32" ht="15" outlineLevel="1" x14ac:dyDescent="0.2">
      <c r="A5" s="186"/>
      <c r="B5" s="155"/>
      <c r="C5" s="156"/>
      <c r="D5" s="156"/>
      <c r="E5" s="157"/>
      <c r="F5" s="156"/>
      <c r="G5" s="156"/>
      <c r="H5" s="158"/>
      <c r="I5" s="158"/>
      <c r="J5" s="158"/>
      <c r="K5" s="144"/>
      <c r="L5" s="144"/>
      <c r="M5" s="144"/>
    </row>
    <row r="6" spans="1:32" ht="15.75" outlineLevel="1" thickBot="1" x14ac:dyDescent="0.25">
      <c r="A6" s="154"/>
      <c r="B6" s="155"/>
      <c r="C6" s="156"/>
      <c r="D6" s="156"/>
      <c r="E6" s="157"/>
      <c r="F6" s="156"/>
      <c r="G6" s="156"/>
      <c r="H6" s="158"/>
      <c r="I6" s="158"/>
      <c r="J6" s="158"/>
      <c r="K6" s="144"/>
      <c r="L6" s="144"/>
      <c r="M6" s="144"/>
    </row>
    <row r="7" spans="1:32" s="99" customFormat="1" ht="15.75" outlineLevel="1" x14ac:dyDescent="0.2">
      <c r="A7" s="164" t="s">
        <v>83</v>
      </c>
      <c r="B7" s="100">
        <v>0</v>
      </c>
      <c r="C7" s="101">
        <v>0</v>
      </c>
      <c r="D7" s="101">
        <v>0</v>
      </c>
      <c r="E7" s="101">
        <v>0</v>
      </c>
      <c r="F7" s="101">
        <v>0</v>
      </c>
      <c r="G7" s="101">
        <v>0</v>
      </c>
      <c r="H7" s="102">
        <v>0</v>
      </c>
      <c r="I7" s="102">
        <v>0</v>
      </c>
      <c r="J7" s="102">
        <v>0</v>
      </c>
      <c r="K7" s="144"/>
      <c r="L7" s="144"/>
      <c r="M7" s="144"/>
    </row>
    <row r="8" spans="1:32" s="106" customFormat="1" ht="15.75" outlineLevel="1" x14ac:dyDescent="0.2">
      <c r="A8" s="165" t="s">
        <v>84</v>
      </c>
      <c r="B8" s="159"/>
      <c r="C8" s="207"/>
      <c r="D8" s="207"/>
      <c r="E8" s="207"/>
      <c r="F8" s="207"/>
      <c r="G8" s="207"/>
      <c r="H8" s="208"/>
      <c r="I8" s="208"/>
      <c r="J8" s="208"/>
      <c r="K8" s="144"/>
      <c r="L8" s="144"/>
      <c r="M8" s="144"/>
    </row>
    <row r="9" spans="1:32" s="151" customFormat="1" ht="15.75" outlineLevel="1" thickBot="1" x14ac:dyDescent="0.25">
      <c r="A9" s="137"/>
      <c r="B9" s="144"/>
      <c r="C9" s="145"/>
      <c r="D9" s="146"/>
      <c r="E9" s="147"/>
      <c r="F9" s="147"/>
      <c r="G9" s="148"/>
      <c r="H9" s="149"/>
      <c r="I9" s="149"/>
      <c r="J9" s="149"/>
      <c r="K9" s="149"/>
      <c r="L9" s="148"/>
      <c r="M9" s="144"/>
    </row>
    <row r="10" spans="1:32" s="153" customFormat="1" ht="16.5" outlineLevel="1" thickTop="1" thickBot="1" x14ac:dyDescent="0.25">
      <c r="A10" s="150"/>
      <c r="B10" s="138"/>
      <c r="C10" s="139"/>
      <c r="D10" s="140"/>
      <c r="E10" s="141"/>
      <c r="F10" s="141"/>
      <c r="G10" s="142"/>
      <c r="H10" s="143"/>
      <c r="I10" s="143"/>
      <c r="J10" s="143"/>
      <c r="K10" s="143"/>
      <c r="L10" s="142"/>
      <c r="M10" s="143"/>
    </row>
    <row r="11" spans="1:32" s="107" customFormat="1" ht="23.25" thickTop="1" x14ac:dyDescent="0.2">
      <c r="A11" s="176" t="s">
        <v>134</v>
      </c>
      <c r="B11" s="177"/>
      <c r="C11" s="177"/>
      <c r="D11" s="177"/>
      <c r="E11" s="209" t="s">
        <v>135</v>
      </c>
      <c r="F11" s="152"/>
      <c r="H11" s="108"/>
      <c r="I11" s="152"/>
      <c r="J11" s="108"/>
      <c r="K11" s="108"/>
      <c r="L11" s="108"/>
      <c r="M11" s="130"/>
    </row>
    <row r="12" spans="1:32" s="107" customFormat="1" ht="15" outlineLevel="1" x14ac:dyDescent="0.2">
      <c r="A12" s="178"/>
      <c r="B12" s="179"/>
      <c r="C12" s="179"/>
      <c r="D12" s="179"/>
      <c r="E12" s="111"/>
      <c r="F12" s="174"/>
      <c r="H12" s="108"/>
      <c r="I12" s="108"/>
      <c r="J12" s="108"/>
      <c r="K12" s="108"/>
      <c r="L12" s="108"/>
      <c r="M12" s="130"/>
    </row>
    <row r="13" spans="1:32" s="107" customFormat="1" ht="30" outlineLevel="1" x14ac:dyDescent="0.2">
      <c r="A13" s="180" t="s">
        <v>141</v>
      </c>
      <c r="B13" s="103">
        <f>CoveredByLowReq</f>
        <v>0</v>
      </c>
      <c r="C13" s="179"/>
      <c r="D13" s="179"/>
      <c r="E13" s="175" t="s">
        <v>39</v>
      </c>
      <c r="F13" s="103">
        <f>ImplementedReq</f>
        <v>0</v>
      </c>
      <c r="H13" s="108"/>
      <c r="I13" s="110"/>
      <c r="J13" s="108"/>
      <c r="K13" s="108"/>
      <c r="L13" s="108"/>
      <c r="M13" s="130"/>
    </row>
    <row r="14" spans="1:32" s="107" customFormat="1" ht="31.5" customHeight="1" outlineLevel="1" x14ac:dyDescent="0.2">
      <c r="A14" s="180" t="s">
        <v>142</v>
      </c>
      <c r="B14" s="105">
        <f>B7-B13</f>
        <v>0</v>
      </c>
      <c r="C14" s="179"/>
      <c r="D14" s="179"/>
      <c r="E14" s="175" t="s">
        <v>90</v>
      </c>
      <c r="F14" s="105">
        <f>B7-F13</f>
        <v>0</v>
      </c>
      <c r="H14" s="108"/>
      <c r="I14" s="110"/>
      <c r="J14" s="108"/>
      <c r="K14" s="108"/>
      <c r="L14" s="108"/>
      <c r="M14" s="130"/>
    </row>
    <row r="15" spans="1:32" s="107" customFormat="1" ht="15" outlineLevel="1" x14ac:dyDescent="0.2">
      <c r="A15" s="178"/>
      <c r="B15" s="179"/>
      <c r="C15" s="179"/>
      <c r="D15" s="179"/>
      <c r="E15" s="111"/>
      <c r="F15" s="174"/>
      <c r="H15" s="108"/>
      <c r="I15" s="108"/>
      <c r="J15" s="108"/>
      <c r="K15" s="108"/>
      <c r="L15" s="108"/>
      <c r="M15" s="130"/>
    </row>
    <row r="16" spans="1:32" s="107" customFormat="1" ht="15" outlineLevel="1" x14ac:dyDescent="0.2">
      <c r="A16" s="178"/>
      <c r="B16" s="179"/>
      <c r="C16" s="179"/>
      <c r="D16" s="179"/>
      <c r="E16" s="111"/>
      <c r="F16" s="174"/>
      <c r="H16" s="108"/>
      <c r="I16" s="108"/>
      <c r="J16" s="108"/>
      <c r="K16" s="108"/>
      <c r="L16" s="108"/>
      <c r="M16" s="130"/>
    </row>
    <row r="17" spans="1:14" s="107" customFormat="1" ht="74.25" customHeight="1" outlineLevel="1" x14ac:dyDescent="0.2">
      <c r="A17" s="178"/>
      <c r="B17" s="179"/>
      <c r="C17" s="179"/>
      <c r="D17" s="179"/>
      <c r="E17" s="112"/>
      <c r="F17" s="110"/>
      <c r="H17" s="108"/>
      <c r="I17" s="109"/>
      <c r="J17" s="108"/>
      <c r="K17" s="108"/>
      <c r="L17" s="108"/>
      <c r="M17" s="131"/>
    </row>
    <row r="18" spans="1:14" s="107" customFormat="1" ht="15" outlineLevel="1" x14ac:dyDescent="0.2">
      <c r="A18" s="178"/>
      <c r="B18" s="179"/>
      <c r="C18" s="179"/>
      <c r="D18" s="179"/>
      <c r="E18" s="112"/>
      <c r="F18" s="110"/>
      <c r="H18" s="108"/>
      <c r="I18" s="109"/>
      <c r="J18" s="108"/>
      <c r="K18" s="108"/>
      <c r="L18" s="108"/>
      <c r="M18" s="131"/>
    </row>
    <row r="19" spans="1:14" s="107" customFormat="1" ht="15" outlineLevel="1" x14ac:dyDescent="0.2">
      <c r="A19" s="178"/>
      <c r="B19" s="179"/>
      <c r="C19" s="179"/>
      <c r="D19" s="179"/>
      <c r="E19" s="112"/>
      <c r="F19" s="110"/>
      <c r="H19" s="108"/>
      <c r="I19" s="109"/>
      <c r="J19" s="108"/>
      <c r="K19" s="108"/>
      <c r="L19" s="108"/>
      <c r="M19" s="131"/>
    </row>
    <row r="20" spans="1:14" s="107" customFormat="1" ht="15" outlineLevel="1" x14ac:dyDescent="0.2">
      <c r="A20" s="178"/>
      <c r="B20" s="179"/>
      <c r="C20" s="179"/>
      <c r="D20" s="179"/>
      <c r="E20" s="112"/>
      <c r="F20" s="110"/>
      <c r="H20" s="210"/>
      <c r="I20" s="109"/>
      <c r="J20" s="210"/>
      <c r="K20" s="108"/>
      <c r="L20" s="108"/>
      <c r="M20" s="131"/>
    </row>
    <row r="21" spans="1:14" s="107" customFormat="1" ht="15" outlineLevel="1" x14ac:dyDescent="0.2">
      <c r="A21" s="178"/>
      <c r="B21" s="179"/>
      <c r="C21" s="179"/>
      <c r="D21" s="179"/>
      <c r="E21" s="112"/>
      <c r="F21" s="110"/>
      <c r="H21" s="108"/>
      <c r="I21" s="109"/>
      <c r="J21" s="108"/>
      <c r="K21" s="108"/>
      <c r="L21" s="108"/>
      <c r="M21" s="131"/>
    </row>
    <row r="22" spans="1:14" s="107" customFormat="1" ht="15" outlineLevel="1" x14ac:dyDescent="0.2">
      <c r="A22" s="178"/>
      <c r="B22" s="179"/>
      <c r="C22" s="179"/>
      <c r="D22" s="179"/>
      <c r="E22" s="112"/>
      <c r="F22" s="110"/>
      <c r="H22" s="108"/>
      <c r="I22" s="109"/>
      <c r="J22" s="108"/>
      <c r="K22" s="108"/>
      <c r="L22" s="108"/>
      <c r="M22" s="131"/>
    </row>
    <row r="23" spans="1:14" s="107" customFormat="1" ht="15" outlineLevel="1" x14ac:dyDescent="0.2">
      <c r="A23" s="178"/>
      <c r="B23" s="179"/>
      <c r="C23" s="179"/>
      <c r="D23" s="179"/>
      <c r="E23" s="112"/>
      <c r="F23" s="110"/>
      <c r="H23" s="108"/>
      <c r="I23" s="110"/>
      <c r="J23" s="108"/>
      <c r="K23" s="108"/>
      <c r="L23" s="108"/>
      <c r="M23" s="131"/>
    </row>
    <row r="24" spans="1:14" s="107" customFormat="1" ht="15" outlineLevel="1" x14ac:dyDescent="0.2">
      <c r="A24" s="178"/>
      <c r="B24" s="179"/>
      <c r="C24" s="179"/>
      <c r="D24" s="179"/>
      <c r="E24" s="112"/>
      <c r="F24" s="110"/>
      <c r="H24" s="108"/>
      <c r="I24" s="110"/>
      <c r="J24" s="108"/>
      <c r="K24" s="108"/>
      <c r="L24" s="108"/>
      <c r="M24" s="131"/>
    </row>
    <row r="25" spans="1:14" s="107" customFormat="1" ht="15" outlineLevel="1" x14ac:dyDescent="0.2">
      <c r="A25" s="178"/>
      <c r="B25" s="179"/>
      <c r="C25" s="179"/>
      <c r="D25" s="179"/>
      <c r="E25" s="112"/>
      <c r="F25" s="110"/>
      <c r="H25" s="108"/>
      <c r="I25" s="110"/>
      <c r="J25" s="108"/>
      <c r="K25" s="108"/>
      <c r="L25" s="108"/>
      <c r="M25" s="131"/>
    </row>
    <row r="26" spans="1:14" s="107" customFormat="1" ht="15" outlineLevel="1" x14ac:dyDescent="0.2">
      <c r="A26" s="178"/>
      <c r="B26" s="179"/>
      <c r="C26" s="179"/>
      <c r="D26" s="179"/>
      <c r="E26" s="112"/>
      <c r="F26" s="110"/>
      <c r="H26" s="108"/>
      <c r="I26" s="110"/>
      <c r="J26" s="108"/>
      <c r="K26" s="108"/>
      <c r="L26" s="108"/>
      <c r="M26" s="131"/>
    </row>
    <row r="27" spans="1:14" s="107" customFormat="1" ht="15" outlineLevel="1" x14ac:dyDescent="0.2">
      <c r="A27" s="178"/>
      <c r="B27" s="179"/>
      <c r="C27" s="179"/>
      <c r="D27" s="179"/>
      <c r="E27" s="112"/>
      <c r="F27" s="110"/>
      <c r="H27" s="108"/>
      <c r="I27" s="110"/>
      <c r="J27" s="108"/>
      <c r="K27" s="108"/>
      <c r="L27" s="108"/>
      <c r="M27" s="131"/>
    </row>
    <row r="28" spans="1:14" s="107" customFormat="1" ht="15" outlineLevel="1" x14ac:dyDescent="0.2">
      <c r="A28" s="178"/>
      <c r="B28" s="179"/>
      <c r="C28" s="179"/>
      <c r="D28" s="179"/>
      <c r="E28" s="112"/>
      <c r="F28" s="110"/>
      <c r="H28" s="108"/>
      <c r="I28" s="110"/>
      <c r="J28" s="108"/>
      <c r="K28" s="108"/>
      <c r="L28" s="108"/>
      <c r="M28" s="131"/>
    </row>
    <row r="29" spans="1:14" s="107" customFormat="1" ht="15.75" outlineLevel="1" thickBot="1" x14ac:dyDescent="0.25">
      <c r="A29" s="181"/>
      <c r="B29" s="182"/>
      <c r="C29" s="182"/>
      <c r="D29" s="182"/>
      <c r="E29" s="132"/>
      <c r="F29" s="133"/>
      <c r="H29" s="113"/>
      <c r="I29" s="133"/>
      <c r="J29" s="113"/>
      <c r="K29" s="113"/>
      <c r="L29" s="113"/>
      <c r="M29" s="134"/>
    </row>
    <row r="30" spans="1:14" s="107" customFormat="1" ht="23.25" thickTop="1" x14ac:dyDescent="0.2">
      <c r="A30" s="217" t="s">
        <v>143</v>
      </c>
      <c r="B30" s="218"/>
      <c r="C30" s="218"/>
      <c r="D30" s="218"/>
      <c r="E30" s="218"/>
      <c r="F30" s="218"/>
      <c r="G30" s="218"/>
      <c r="H30" s="218"/>
      <c r="I30" s="218"/>
      <c r="J30" s="218"/>
      <c r="K30" s="218"/>
      <c r="L30" s="218"/>
      <c r="M30" s="218"/>
      <c r="N30" s="89"/>
    </row>
    <row r="31" spans="1:14" s="107" customFormat="1" ht="30" outlineLevel="1" x14ac:dyDescent="0.2">
      <c r="A31" s="219"/>
      <c r="B31" s="228" t="s">
        <v>144</v>
      </c>
      <c r="C31" s="220"/>
      <c r="D31" s="221"/>
      <c r="E31" s="221"/>
      <c r="F31" s="221"/>
      <c r="G31" s="221"/>
      <c r="H31" s="221"/>
      <c r="I31" s="221"/>
      <c r="J31" s="221"/>
      <c r="K31" s="221"/>
      <c r="L31" s="221"/>
      <c r="M31" s="221"/>
      <c r="N31" s="89"/>
    </row>
    <row r="32" spans="1:14" s="107" customFormat="1" ht="15.75" outlineLevel="1" x14ac:dyDescent="0.2">
      <c r="A32" s="227" t="s">
        <v>147</v>
      </c>
      <c r="B32" s="230">
        <f>TestedReq</f>
        <v>0</v>
      </c>
      <c r="C32" s="220"/>
      <c r="D32" s="220"/>
      <c r="E32" s="222"/>
      <c r="F32" s="223"/>
      <c r="G32" s="223"/>
      <c r="H32" s="223"/>
      <c r="I32" s="223"/>
      <c r="J32" s="223"/>
      <c r="K32" s="223"/>
      <c r="L32" s="223"/>
      <c r="M32" s="223"/>
      <c r="N32" s="89"/>
    </row>
    <row r="33" spans="1:14" s="107" customFormat="1" ht="15.75" outlineLevel="1" x14ac:dyDescent="0.2">
      <c r="A33" s="227" t="s">
        <v>148</v>
      </c>
      <c r="B33" s="231">
        <f>CoveredReq-TestedReq</f>
        <v>0</v>
      </c>
      <c r="C33" s="220"/>
      <c r="D33" s="220"/>
      <c r="E33" s="222"/>
      <c r="F33" s="223"/>
      <c r="G33" s="223"/>
      <c r="H33" s="223"/>
      <c r="I33" s="223"/>
      <c r="J33" s="223"/>
      <c r="K33" s="223"/>
      <c r="L33" s="223"/>
      <c r="M33" s="223"/>
      <c r="N33" s="89"/>
    </row>
    <row r="34" spans="1:14" s="107" customFormat="1" ht="15.75" outlineLevel="1" x14ac:dyDescent="0.2">
      <c r="A34" s="227" t="s">
        <v>149</v>
      </c>
      <c r="B34" s="232">
        <f>B7-CoveredReq</f>
        <v>0</v>
      </c>
      <c r="C34" s="220"/>
      <c r="D34" s="220"/>
      <c r="E34" s="222"/>
      <c r="F34" s="223"/>
      <c r="G34" s="223"/>
      <c r="H34" s="223"/>
      <c r="I34" s="223"/>
      <c r="J34" s="223"/>
      <c r="K34" s="223"/>
      <c r="L34" s="223"/>
      <c r="M34" s="223"/>
      <c r="N34" s="89"/>
    </row>
    <row r="35" spans="1:14" s="107" customFormat="1" ht="15.75" outlineLevel="1" x14ac:dyDescent="0.2">
      <c r="A35" s="224"/>
      <c r="B35" s="225"/>
      <c r="C35" s="220"/>
      <c r="D35" s="220"/>
      <c r="E35" s="222"/>
      <c r="F35" s="223"/>
      <c r="G35" s="223"/>
      <c r="H35" s="223"/>
      <c r="I35" s="223"/>
      <c r="J35" s="223"/>
      <c r="K35" s="223"/>
      <c r="L35" s="223"/>
      <c r="M35" s="223"/>
      <c r="N35" s="89"/>
    </row>
    <row r="36" spans="1:14" s="107" customFormat="1" ht="15" outlineLevel="1" x14ac:dyDescent="0.2">
      <c r="A36" s="224"/>
      <c r="B36" s="226"/>
      <c r="C36" s="220"/>
      <c r="D36" s="220"/>
      <c r="E36" s="220"/>
      <c r="F36" s="223"/>
      <c r="G36" s="223"/>
      <c r="H36" s="223"/>
      <c r="I36" s="223"/>
      <c r="J36" s="223"/>
      <c r="K36" s="223"/>
      <c r="L36" s="223"/>
      <c r="M36" s="223"/>
      <c r="N36" s="89"/>
    </row>
    <row r="37" spans="1:14" s="107" customFormat="1" ht="15" outlineLevel="1" x14ac:dyDescent="0.2">
      <c r="A37" s="224"/>
      <c r="B37" s="226"/>
      <c r="C37" s="220"/>
      <c r="D37" s="220"/>
      <c r="E37" s="220"/>
      <c r="F37" s="223"/>
      <c r="G37" s="223"/>
      <c r="H37" s="223"/>
      <c r="I37" s="223"/>
      <c r="J37" s="223"/>
      <c r="K37" s="223"/>
      <c r="L37" s="223"/>
      <c r="M37" s="223"/>
      <c r="N37" s="89"/>
    </row>
    <row r="38" spans="1:14" s="107" customFormat="1" ht="15" outlineLevel="1" x14ac:dyDescent="0.2">
      <c r="A38" s="224"/>
      <c r="B38" s="220"/>
      <c r="C38" s="220"/>
      <c r="D38" s="220"/>
      <c r="E38" s="220"/>
      <c r="F38" s="223"/>
      <c r="G38" s="223"/>
      <c r="H38" s="223"/>
      <c r="I38" s="223"/>
      <c r="J38" s="223"/>
      <c r="K38" s="223"/>
      <c r="L38" s="223"/>
      <c r="M38" s="223"/>
      <c r="N38" s="89"/>
    </row>
    <row r="39" spans="1:14" s="107" customFormat="1" ht="15" outlineLevel="1" x14ac:dyDescent="0.2">
      <c r="A39" s="224"/>
      <c r="B39" s="220"/>
      <c r="C39" s="220"/>
      <c r="D39" s="220"/>
      <c r="E39" s="220"/>
      <c r="F39" s="223"/>
      <c r="G39" s="223"/>
      <c r="H39" s="223"/>
      <c r="I39" s="223"/>
      <c r="J39" s="223"/>
      <c r="K39" s="223"/>
      <c r="L39" s="223"/>
      <c r="M39" s="223"/>
      <c r="N39" s="89"/>
    </row>
    <row r="40" spans="1:14" s="107" customFormat="1" ht="15" outlineLevel="1" x14ac:dyDescent="0.2">
      <c r="A40" s="224"/>
      <c r="B40" s="220"/>
      <c r="C40" s="220"/>
      <c r="D40" s="220"/>
      <c r="E40" s="220"/>
      <c r="F40" s="223"/>
      <c r="G40" s="223"/>
      <c r="H40" s="223"/>
      <c r="I40" s="223"/>
      <c r="J40" s="223"/>
      <c r="K40" s="223"/>
      <c r="L40" s="223"/>
      <c r="M40" s="223"/>
      <c r="N40" s="89"/>
    </row>
    <row r="41" spans="1:14" s="107" customFormat="1" ht="15" outlineLevel="1" x14ac:dyDescent="0.2">
      <c r="A41" s="224"/>
      <c r="B41" s="220"/>
      <c r="C41" s="220"/>
      <c r="D41" s="220"/>
      <c r="E41" s="220"/>
      <c r="F41" s="223"/>
      <c r="G41" s="223"/>
      <c r="H41" s="223"/>
      <c r="I41" s="223"/>
      <c r="J41" s="223"/>
      <c r="K41" s="223"/>
      <c r="L41" s="223"/>
      <c r="M41" s="223"/>
      <c r="N41" s="89"/>
    </row>
    <row r="42" spans="1:14" s="107" customFormat="1" ht="15" outlineLevel="1" x14ac:dyDescent="0.2">
      <c r="A42" s="224"/>
      <c r="B42" s="220"/>
      <c r="C42" s="220"/>
      <c r="D42" s="220"/>
      <c r="E42" s="220"/>
      <c r="F42" s="223"/>
      <c r="G42" s="223"/>
      <c r="H42" s="223"/>
      <c r="I42" s="223"/>
      <c r="J42" s="223"/>
      <c r="K42" s="223"/>
      <c r="L42" s="223"/>
      <c r="M42" s="223"/>
      <c r="N42" s="89"/>
    </row>
    <row r="43" spans="1:14" s="107" customFormat="1" ht="15" outlineLevel="1" x14ac:dyDescent="0.2">
      <c r="A43" s="224"/>
      <c r="B43" s="220"/>
      <c r="C43" s="220"/>
      <c r="D43" s="220"/>
      <c r="E43" s="220"/>
      <c r="F43" s="223"/>
      <c r="G43" s="223"/>
      <c r="H43" s="223"/>
      <c r="I43" s="223"/>
      <c r="J43" s="223"/>
      <c r="K43" s="223"/>
      <c r="L43" s="223"/>
      <c r="M43" s="223"/>
      <c r="N43" s="89"/>
    </row>
    <row r="44" spans="1:14" s="107" customFormat="1" ht="15" outlineLevel="1" x14ac:dyDescent="0.2">
      <c r="A44" s="224"/>
      <c r="B44" s="220"/>
      <c r="C44" s="220"/>
      <c r="D44" s="220"/>
      <c r="E44" s="220"/>
      <c r="F44" s="223"/>
      <c r="G44" s="223"/>
      <c r="H44" s="223"/>
      <c r="I44" s="223"/>
      <c r="J44" s="223"/>
      <c r="K44" s="223"/>
      <c r="L44" s="223"/>
      <c r="M44" s="223"/>
      <c r="N44" s="89"/>
    </row>
    <row r="45" spans="1:14" s="107" customFormat="1" ht="15.75" outlineLevel="1" thickBot="1" x14ac:dyDescent="0.25">
      <c r="A45" s="224"/>
      <c r="B45" s="220"/>
      <c r="C45" s="220"/>
      <c r="D45" s="220"/>
      <c r="E45" s="220"/>
      <c r="F45" s="223"/>
      <c r="G45" s="223"/>
      <c r="H45" s="223"/>
      <c r="I45" s="223"/>
      <c r="J45" s="223"/>
      <c r="K45" s="223"/>
      <c r="L45" s="223"/>
      <c r="M45" s="223"/>
      <c r="N45" s="89"/>
    </row>
    <row r="46" spans="1:14" ht="23.25" thickTop="1" x14ac:dyDescent="0.2">
      <c r="A46" s="114" t="s">
        <v>136</v>
      </c>
      <c r="B46" s="115"/>
      <c r="C46" s="115"/>
      <c r="D46" s="115"/>
      <c r="E46" s="115"/>
      <c r="F46" s="115"/>
      <c r="G46" s="115"/>
      <c r="H46" s="115"/>
      <c r="I46" s="115"/>
      <c r="J46" s="115"/>
      <c r="K46" s="115"/>
      <c r="L46" s="115"/>
      <c r="M46" s="115"/>
    </row>
    <row r="47" spans="1:14" ht="30" x14ac:dyDescent="0.2">
      <c r="A47" s="120"/>
      <c r="B47" s="212" t="s">
        <v>145</v>
      </c>
      <c r="C47" s="116"/>
      <c r="D47" s="117"/>
      <c r="E47" s="117"/>
      <c r="F47" s="117"/>
      <c r="G47" s="117"/>
      <c r="H47" s="117"/>
      <c r="I47" s="117"/>
      <c r="J47" s="117"/>
      <c r="K47" s="117"/>
      <c r="L47" s="117"/>
      <c r="M47" s="117"/>
    </row>
    <row r="48" spans="1:14" ht="15.75" x14ac:dyDescent="0.2">
      <c r="A48" s="216" t="s">
        <v>137</v>
      </c>
      <c r="B48" s="104">
        <f>OKReq</f>
        <v>0</v>
      </c>
      <c r="C48" s="116"/>
      <c r="D48" s="116"/>
      <c r="E48" s="118"/>
      <c r="F48" s="119"/>
      <c r="G48" s="119"/>
      <c r="H48" s="119"/>
      <c r="I48" s="119"/>
      <c r="J48" s="119"/>
      <c r="K48" s="119"/>
      <c r="L48" s="119"/>
      <c r="M48" s="119"/>
    </row>
    <row r="49" spans="1:13" ht="15.75" x14ac:dyDescent="0.2">
      <c r="A49" s="211" t="s">
        <v>138</v>
      </c>
      <c r="B49" s="229">
        <f>B7-OKReq-NOKReq</f>
        <v>0</v>
      </c>
      <c r="C49" s="116"/>
      <c r="D49" s="116"/>
      <c r="E49" s="118"/>
      <c r="F49" s="119"/>
      <c r="G49" s="119"/>
      <c r="H49" s="119"/>
      <c r="I49" s="119"/>
      <c r="J49" s="119"/>
      <c r="K49" s="119"/>
      <c r="L49" s="119"/>
      <c r="M49" s="119"/>
    </row>
    <row r="50" spans="1:13" ht="15.75" x14ac:dyDescent="0.2">
      <c r="A50" s="211" t="s">
        <v>139</v>
      </c>
      <c r="B50" s="187">
        <f>NOKReq</f>
        <v>0</v>
      </c>
      <c r="C50" s="116"/>
      <c r="D50" s="116"/>
      <c r="E50" s="118"/>
      <c r="F50" s="119"/>
      <c r="G50" s="119"/>
      <c r="H50" s="119"/>
      <c r="I50" s="119"/>
      <c r="J50" s="119"/>
      <c r="K50" s="119"/>
      <c r="L50" s="119"/>
      <c r="M50" s="119"/>
    </row>
    <row r="51" spans="1:13" ht="15.75" x14ac:dyDescent="0.2">
      <c r="A51" s="215"/>
      <c r="B51" s="214"/>
      <c r="C51" s="116"/>
      <c r="D51" s="116"/>
      <c r="E51" s="118"/>
      <c r="F51" s="119"/>
      <c r="G51" s="119"/>
      <c r="H51" s="119"/>
      <c r="I51" s="119"/>
      <c r="J51" s="119"/>
      <c r="K51" s="119"/>
      <c r="L51" s="119"/>
      <c r="M51" s="119"/>
    </row>
    <row r="52" spans="1:13" ht="15" x14ac:dyDescent="0.2">
      <c r="A52" s="121"/>
      <c r="B52" s="213"/>
      <c r="C52" s="116"/>
      <c r="D52" s="116"/>
      <c r="E52" s="116"/>
      <c r="F52" s="119"/>
      <c r="G52" s="119"/>
      <c r="H52" s="119"/>
      <c r="I52" s="119"/>
      <c r="J52" s="119"/>
      <c r="K52" s="119"/>
      <c r="L52" s="119"/>
      <c r="M52" s="119"/>
    </row>
    <row r="53" spans="1:13" ht="15" x14ac:dyDescent="0.2">
      <c r="A53" s="121"/>
      <c r="B53" s="213"/>
      <c r="C53" s="116"/>
      <c r="D53" s="116"/>
      <c r="E53" s="116"/>
      <c r="F53" s="119"/>
      <c r="G53" s="119"/>
      <c r="H53" s="119"/>
      <c r="I53" s="119"/>
      <c r="J53" s="119"/>
      <c r="K53" s="119"/>
      <c r="L53" s="119"/>
      <c r="M53" s="119"/>
    </row>
    <row r="54" spans="1:13" ht="15" x14ac:dyDescent="0.2">
      <c r="A54" s="121"/>
      <c r="B54" s="116"/>
      <c r="C54" s="116"/>
      <c r="D54" s="116"/>
      <c r="E54" s="116"/>
      <c r="F54" s="119"/>
      <c r="G54" s="119"/>
      <c r="H54" s="119"/>
      <c r="I54" s="119"/>
      <c r="J54" s="119"/>
      <c r="K54" s="119"/>
      <c r="L54" s="119"/>
      <c r="M54" s="119"/>
    </row>
    <row r="55" spans="1:13" ht="15" x14ac:dyDescent="0.2">
      <c r="A55" s="121"/>
      <c r="B55" s="116"/>
      <c r="C55" s="116"/>
      <c r="D55" s="116"/>
      <c r="E55" s="116"/>
      <c r="F55" s="119"/>
      <c r="G55" s="119"/>
      <c r="H55" s="119"/>
      <c r="I55" s="119"/>
      <c r="J55" s="119"/>
      <c r="K55" s="119"/>
      <c r="L55" s="119"/>
      <c r="M55" s="119"/>
    </row>
    <row r="56" spans="1:13" ht="15" x14ac:dyDescent="0.2">
      <c r="A56" s="121"/>
      <c r="B56" s="116"/>
      <c r="C56" s="116"/>
      <c r="D56" s="116"/>
      <c r="E56" s="116"/>
      <c r="F56" s="119"/>
      <c r="G56" s="119"/>
      <c r="H56" s="119"/>
      <c r="I56" s="119"/>
      <c r="J56" s="119"/>
      <c r="K56" s="119"/>
      <c r="L56" s="119"/>
      <c r="M56" s="119"/>
    </row>
    <row r="57" spans="1:13" ht="15" x14ac:dyDescent="0.2">
      <c r="A57" s="121"/>
      <c r="B57" s="116"/>
      <c r="C57" s="116"/>
      <c r="D57" s="116"/>
      <c r="E57" s="116"/>
      <c r="F57" s="119"/>
      <c r="G57" s="119"/>
      <c r="H57" s="119"/>
      <c r="I57" s="119"/>
      <c r="J57" s="119"/>
      <c r="K57" s="119"/>
      <c r="L57" s="119"/>
      <c r="M57" s="119"/>
    </row>
    <row r="58" spans="1:13" ht="15" x14ac:dyDescent="0.2">
      <c r="A58" s="121"/>
      <c r="B58" s="116"/>
      <c r="C58" s="116"/>
      <c r="D58" s="116"/>
      <c r="E58" s="116"/>
      <c r="F58" s="119"/>
      <c r="G58" s="119"/>
      <c r="H58" s="119"/>
      <c r="I58" s="119"/>
      <c r="J58" s="119"/>
      <c r="K58" s="119"/>
      <c r="L58" s="119"/>
      <c r="M58" s="119"/>
    </row>
    <row r="59" spans="1:13" ht="15" x14ac:dyDescent="0.2">
      <c r="A59" s="121"/>
      <c r="B59" s="116"/>
      <c r="C59" s="116"/>
      <c r="D59" s="116"/>
      <c r="E59" s="116"/>
      <c r="F59" s="119"/>
      <c r="G59" s="119"/>
      <c r="H59" s="119"/>
      <c r="I59" s="119"/>
      <c r="J59" s="119"/>
      <c r="K59" s="119"/>
      <c r="L59" s="119"/>
      <c r="M59" s="119"/>
    </row>
    <row r="60" spans="1:13" ht="15" x14ac:dyDescent="0.2">
      <c r="A60" s="121"/>
      <c r="B60" s="116"/>
      <c r="C60" s="116"/>
      <c r="D60" s="116"/>
      <c r="E60" s="116"/>
      <c r="F60" s="119"/>
      <c r="G60" s="119"/>
      <c r="H60" s="119"/>
      <c r="I60" s="119"/>
      <c r="J60" s="119"/>
      <c r="K60" s="119"/>
      <c r="L60" s="119"/>
      <c r="M60" s="119"/>
    </row>
    <row r="61" spans="1:13" ht="15" x14ac:dyDescent="0.2">
      <c r="A61" s="121"/>
      <c r="B61" s="116"/>
      <c r="C61" s="116"/>
      <c r="D61" s="116"/>
      <c r="E61" s="116"/>
      <c r="F61" s="119"/>
      <c r="G61" s="119"/>
      <c r="H61" s="119"/>
      <c r="I61" s="119"/>
      <c r="J61" s="119"/>
      <c r="K61" s="119"/>
      <c r="L61" s="119"/>
      <c r="M61" s="119"/>
    </row>
    <row r="62" spans="1:13" ht="15" x14ac:dyDescent="0.2">
      <c r="A62" s="121"/>
      <c r="B62" s="116"/>
      <c r="C62" s="116"/>
      <c r="D62" s="116"/>
      <c r="E62" s="116"/>
      <c r="F62" s="119"/>
      <c r="G62" s="119"/>
      <c r="H62" s="119"/>
      <c r="I62" s="119"/>
      <c r="J62" s="119"/>
      <c r="K62" s="119"/>
      <c r="L62" s="119"/>
      <c r="M62" s="119"/>
    </row>
    <row r="63" spans="1:13" x14ac:dyDescent="0.2"/>
    <row r="64" spans="1:13"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sheetData>
  <autoFilter ref="A4:J4" xr:uid="{00000000-0009-0000-0000-000003000000}"/>
  <mergeCells count="2">
    <mergeCell ref="K1:L1"/>
    <mergeCell ref="I1:J1"/>
  </mergeCells>
  <conditionalFormatting sqref="K1">
    <cfRule type="cellIs" dxfId="0" priority="1" stopIfTrue="1" operator="equal">
      <formula>"tbd"</formula>
    </cfRule>
  </conditionalFormatting>
  <dataValidations disablePrompts="1" count="1">
    <dataValidation type="list" allowBlank="1" showInputMessage="1" showErrorMessage="1" sqref="B1" xr:uid="{00000000-0002-0000-0300-000000000000}">
      <formula1>#REF!</formula1>
    </dataValidation>
  </dataValidations>
  <pageMargins left="0.75" right="0.75" top="1" bottom="1" header="0.4921259845" footer="0.4921259845"/>
  <pageSetup scale="38" orientation="portrait" r:id="rId1"/>
  <headerFooter alignWithMargins="0">
    <oddFooter>&amp;LE905722 rev xxx ver xxx&amp;R&amp;P</oddFooter>
  </headerFooter>
  <drawing r:id="rId2"/>
  <legacyDrawing r:id="rId3"/>
  <controls>
    <mc:AlternateContent xmlns:mc="http://schemas.openxmlformats.org/markup-compatibility/2006">
      <mc:Choice Requires="x14">
        <control shapeId="19457" r:id="rId4" name="UpdateStatisticsButton">
          <controlPr defaultSize="0" autoLine="0" r:id="rId5">
            <anchor moveWithCells="1">
              <from>
                <xdr:col>3</xdr:col>
                <xdr:colOff>19050</xdr:colOff>
                <xdr:row>0</xdr:row>
                <xdr:rowOff>28575</xdr:rowOff>
              </from>
              <to>
                <xdr:col>4</xdr:col>
                <xdr:colOff>247650</xdr:colOff>
                <xdr:row>0</xdr:row>
                <xdr:rowOff>390525</xdr:rowOff>
              </to>
            </anchor>
          </controlPr>
        </control>
      </mc:Choice>
      <mc:Fallback>
        <control shapeId="19457" r:id="rId4" name="UpdateStatisticsButton"/>
      </mc:Fallback>
    </mc:AlternateContent>
    <mc:AlternateContent xmlns:mc="http://schemas.openxmlformats.org/markup-compatibility/2006">
      <mc:Choice Requires="x14">
        <control shapeId="19458" r:id="rId6" name="ImportArchMButton">
          <controlPr defaultSize="0" autoLine="0" r:id="rId7">
            <anchor moveWithCells="1">
              <from>
                <xdr:col>4</xdr:col>
                <xdr:colOff>485775</xdr:colOff>
                <xdr:row>0</xdr:row>
                <xdr:rowOff>38100</xdr:rowOff>
              </from>
              <to>
                <xdr:col>5</xdr:col>
                <xdr:colOff>828675</xdr:colOff>
                <xdr:row>0</xdr:row>
                <xdr:rowOff>400050</xdr:rowOff>
              </to>
            </anchor>
          </controlPr>
        </control>
      </mc:Choice>
      <mc:Fallback>
        <control shapeId="19458" r:id="rId6" name="ImportArchMButton"/>
      </mc:Fallback>
    </mc:AlternateContent>
    <mc:AlternateContent xmlns:mc="http://schemas.openxmlformats.org/markup-compatibility/2006">
      <mc:Choice Requires="x14">
        <control shapeId="19459" r:id="rId8" name="Button 3">
          <controlPr defaultSize="0" print="0" autoFill="0" autoPict="0" macro="[0]!Feuil1.NOK_List_Click" altText="Generate List of Incomplete Architecture Elements">
            <anchor moveWithCells="1">
              <from>
                <xdr:col>5</xdr:col>
                <xdr:colOff>971550</xdr:colOff>
                <xdr:row>0</xdr:row>
                <xdr:rowOff>47625</xdr:rowOff>
              </from>
              <to>
                <xdr:col>7</xdr:col>
                <xdr:colOff>1038225</xdr:colOff>
                <xdr:row>2</xdr:row>
                <xdr:rowOff>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39997558519241921"/>
  </sheetPr>
  <dimension ref="A3:R12"/>
  <sheetViews>
    <sheetView workbookViewId="0">
      <selection activeCell="A8" sqref="A8:A11"/>
    </sheetView>
  </sheetViews>
  <sheetFormatPr defaultRowHeight="12.75" x14ac:dyDescent="0.2"/>
  <sheetData>
    <row r="3" spans="1:18" ht="27" x14ac:dyDescent="0.35">
      <c r="A3" s="98" t="s">
        <v>82</v>
      </c>
    </row>
    <row r="5" spans="1:18" ht="27" x14ac:dyDescent="0.35">
      <c r="E5" s="98" t="s">
        <v>105</v>
      </c>
    </row>
    <row r="7" spans="1:18" ht="18" x14ac:dyDescent="0.25">
      <c r="A7" s="204" t="s">
        <v>111</v>
      </c>
      <c r="B7" s="202"/>
      <c r="C7" s="202"/>
      <c r="D7" s="202"/>
      <c r="E7" s="202"/>
      <c r="F7" s="202"/>
      <c r="G7" s="202"/>
      <c r="H7" s="202"/>
      <c r="I7" s="202"/>
      <c r="J7" s="202"/>
      <c r="K7" s="202"/>
      <c r="L7" s="202"/>
      <c r="M7" s="202"/>
      <c r="N7" s="202"/>
      <c r="O7" s="202"/>
      <c r="P7" s="202"/>
      <c r="Q7" s="202"/>
      <c r="R7" s="202"/>
    </row>
    <row r="8" spans="1:18" ht="18" x14ac:dyDescent="0.25">
      <c r="A8" s="203" t="s">
        <v>112</v>
      </c>
      <c r="B8" s="202"/>
      <c r="C8" s="202"/>
      <c r="D8" s="202"/>
      <c r="E8" s="202"/>
      <c r="F8" s="202"/>
      <c r="G8" s="202"/>
      <c r="H8" s="202"/>
      <c r="I8" s="202"/>
      <c r="J8" s="202"/>
      <c r="K8" s="202"/>
      <c r="L8" s="202"/>
      <c r="M8" s="202"/>
      <c r="N8" s="202"/>
      <c r="O8" s="202"/>
      <c r="P8" s="202"/>
      <c r="Q8" s="202"/>
      <c r="R8" s="202"/>
    </row>
    <row r="9" spans="1:18" ht="18" x14ac:dyDescent="0.25">
      <c r="A9" s="202" t="s">
        <v>113</v>
      </c>
      <c r="B9" s="202"/>
      <c r="C9" s="202"/>
      <c r="D9" s="202"/>
      <c r="E9" s="202"/>
      <c r="F9" s="202"/>
      <c r="G9" s="202"/>
      <c r="H9" s="202"/>
      <c r="I9" s="202"/>
      <c r="J9" s="202"/>
      <c r="K9" s="202"/>
      <c r="L9" s="202"/>
      <c r="M9" s="202"/>
      <c r="N9" s="202"/>
      <c r="O9" s="202"/>
      <c r="P9" s="202"/>
      <c r="Q9" s="202"/>
      <c r="R9" s="202"/>
    </row>
    <row r="10" spans="1:18" ht="18" x14ac:dyDescent="0.25">
      <c r="A10" s="202" t="s">
        <v>114</v>
      </c>
      <c r="B10" s="202"/>
      <c r="C10" s="202"/>
      <c r="D10" s="202"/>
      <c r="E10" s="202"/>
      <c r="F10" s="202"/>
      <c r="G10" s="202"/>
      <c r="H10" s="202"/>
      <c r="I10" s="202"/>
      <c r="J10" s="202"/>
      <c r="K10" s="202"/>
      <c r="L10" s="202"/>
      <c r="M10" s="202"/>
      <c r="N10" s="202"/>
      <c r="O10" s="202"/>
      <c r="P10" s="202"/>
      <c r="Q10" s="202"/>
      <c r="R10" s="202"/>
    </row>
    <row r="11" spans="1:18" ht="18" x14ac:dyDescent="0.25">
      <c r="A11" s="202" t="s">
        <v>115</v>
      </c>
      <c r="B11" s="202"/>
      <c r="C11" s="202"/>
      <c r="D11" s="202"/>
      <c r="E11" s="202"/>
      <c r="F11" s="202"/>
      <c r="G11" s="202"/>
      <c r="H11" s="202"/>
      <c r="I11" s="202"/>
      <c r="J11" s="202"/>
      <c r="K11" s="202"/>
      <c r="L11" s="202"/>
      <c r="M11" s="202"/>
      <c r="N11" s="202"/>
      <c r="O11" s="202"/>
      <c r="P11" s="202"/>
      <c r="Q11" s="202"/>
      <c r="R11" s="202"/>
    </row>
    <row r="12" spans="1:18" ht="15" x14ac:dyDescent="0.2">
      <c r="A12" s="201"/>
      <c r="B12" s="201"/>
      <c r="C12" s="201"/>
      <c r="D12" s="201"/>
      <c r="E12" s="201"/>
      <c r="F12" s="201"/>
      <c r="G12" s="201"/>
      <c r="H12" s="201"/>
      <c r="I12" s="201"/>
      <c r="J12" s="201"/>
      <c r="K12" s="201"/>
      <c r="L12" s="201"/>
      <c r="M12" s="201"/>
      <c r="N12" s="201"/>
    </row>
  </sheetData>
  <pageMargins left="0.7" right="0.7" top="0.75" bottom="0.75" header="0.3" footer="0.3"/>
  <pageSetup paperSize="9" orientation="portrait" r:id="rId1"/>
  <headerFooter>
    <oddFooter>&amp;LE905722 rev xxx ver xxx&amp;R&amp;P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3"/>
  <dimension ref="A1:K2"/>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1.42578125" style="183"/>
    <col min="2" max="9" width="11.42578125" style="166"/>
    <col min="10" max="10" width="22.7109375" style="166" customWidth="1"/>
    <col min="11" max="11" width="11.42578125" style="189"/>
    <col min="12" max="16384" width="11.42578125" style="166"/>
  </cols>
  <sheetData>
    <row r="1" spans="1:11" ht="18" x14ac:dyDescent="0.2">
      <c r="A1" s="200" t="s">
        <v>93</v>
      </c>
      <c r="B1" s="200"/>
      <c r="C1" s="200"/>
      <c r="D1" s="200"/>
      <c r="E1" s="200"/>
      <c r="F1" s="200"/>
      <c r="G1" s="200"/>
      <c r="H1" s="200"/>
      <c r="I1" s="200"/>
      <c r="J1" s="200"/>
      <c r="K1" s="200"/>
    </row>
    <row r="2" spans="1:11" x14ac:dyDescent="0.2">
      <c r="A2" s="184"/>
      <c r="B2" s="185"/>
      <c r="C2" s="185"/>
      <c r="D2" s="185"/>
      <c r="E2" s="185"/>
      <c r="F2" s="185"/>
      <c r="G2" s="185"/>
      <c r="H2" s="185"/>
      <c r="I2" s="185"/>
      <c r="J2" s="185"/>
      <c r="K2" s="188"/>
    </row>
  </sheetData>
  <autoFilter ref="A2:K2" xr:uid="{00000000-0009-0000-0000-000005000000}"/>
  <pageMargins left="0.75" right="0.75" top="1" bottom="1" header="0.4921259845" footer="0.4921259845"/>
  <pageSetup paperSize="9" orientation="portrait" r:id="rId1"/>
  <headerFooter alignWithMargins="0">
    <oddFooter>&amp;LE905722 rev xxx ver xxx&amp;R&amp;P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dimension ref="A1:B23"/>
  <sheetViews>
    <sheetView topLeftCell="A7" workbookViewId="0">
      <selection activeCell="A20" sqref="A20"/>
    </sheetView>
  </sheetViews>
  <sheetFormatPr defaultColWidth="11.42578125" defaultRowHeight="12.75" x14ac:dyDescent="0.2"/>
  <cols>
    <col min="1" max="1" width="39.5703125" bestFit="1" customWidth="1"/>
  </cols>
  <sheetData>
    <row r="1" spans="1:2" x14ac:dyDescent="0.2">
      <c r="A1" t="s">
        <v>49</v>
      </c>
    </row>
    <row r="2" spans="1:2" x14ac:dyDescent="0.2">
      <c r="A2" t="s">
        <v>50</v>
      </c>
    </row>
    <row r="3" spans="1:2" s="71" customFormat="1" ht="19.5" thickBot="1" x14ac:dyDescent="0.35">
      <c r="A3" s="70" t="s">
        <v>51</v>
      </c>
      <c r="B3" s="71" t="s">
        <v>52</v>
      </c>
    </row>
    <row r="4" spans="1:2" s="71" customFormat="1" ht="16.5" thickTop="1" x14ac:dyDescent="0.25">
      <c r="A4" s="72" t="s">
        <v>53</v>
      </c>
      <c r="B4" s="71" t="s">
        <v>52</v>
      </c>
    </row>
    <row r="5" spans="1:2" x14ac:dyDescent="0.2">
      <c r="A5" s="73" t="s">
        <v>54</v>
      </c>
      <c r="B5" t="s">
        <v>52</v>
      </c>
    </row>
    <row r="6" spans="1:2" x14ac:dyDescent="0.2">
      <c r="A6" s="74" t="s">
        <v>55</v>
      </c>
      <c r="B6" t="s">
        <v>52</v>
      </c>
    </row>
    <row r="7" spans="1:2" x14ac:dyDescent="0.2">
      <c r="A7" s="75" t="s">
        <v>56</v>
      </c>
      <c r="B7" t="s">
        <v>52</v>
      </c>
    </row>
    <row r="8" spans="1:2" x14ac:dyDescent="0.2">
      <c r="A8" s="76" t="s">
        <v>57</v>
      </c>
      <c r="B8" t="s">
        <v>52</v>
      </c>
    </row>
    <row r="9" spans="1:2" x14ac:dyDescent="0.2">
      <c r="A9" s="77" t="s">
        <v>58</v>
      </c>
      <c r="B9" t="s">
        <v>52</v>
      </c>
    </row>
    <row r="10" spans="1:2" x14ac:dyDescent="0.2">
      <c r="A10" s="78" t="s">
        <v>59</v>
      </c>
      <c r="B10" t="s">
        <v>52</v>
      </c>
    </row>
    <row r="11" spans="1:2" x14ac:dyDescent="0.2">
      <c r="A11" s="79" t="s">
        <v>60</v>
      </c>
      <c r="B11" t="s">
        <v>52</v>
      </c>
    </row>
    <row r="12" spans="1:2" x14ac:dyDescent="0.2">
      <c r="A12" s="80" t="s">
        <v>61</v>
      </c>
      <c r="B12" t="s">
        <v>52</v>
      </c>
    </row>
    <row r="13" spans="1:2" x14ac:dyDescent="0.2">
      <c r="A13" s="81" t="s">
        <v>62</v>
      </c>
      <c r="B13" t="s">
        <v>52</v>
      </c>
    </row>
    <row r="14" spans="1:2" ht="48.75" x14ac:dyDescent="0.2">
      <c r="A14" s="64" t="s">
        <v>63</v>
      </c>
    </row>
    <row r="15" spans="1:2" x14ac:dyDescent="0.2">
      <c r="A15" s="82" t="s">
        <v>64</v>
      </c>
    </row>
    <row r="17" spans="1:1" x14ac:dyDescent="0.2">
      <c r="A17" s="83" t="s">
        <v>65</v>
      </c>
    </row>
    <row r="18" spans="1:1" x14ac:dyDescent="0.2">
      <c r="A18" s="84" t="s">
        <v>66</v>
      </c>
    </row>
    <row r="19" spans="1:1" x14ac:dyDescent="0.2">
      <c r="A19" s="85" t="s">
        <v>67</v>
      </c>
    </row>
    <row r="20" spans="1:1" x14ac:dyDescent="0.2">
      <c r="A20" s="82" t="s">
        <v>68</v>
      </c>
    </row>
    <row r="21" spans="1:1" x14ac:dyDescent="0.2">
      <c r="A21" s="86" t="s">
        <v>69</v>
      </c>
    </row>
    <row r="22" spans="1:1" x14ac:dyDescent="0.2">
      <c r="A22" s="87" t="s">
        <v>70</v>
      </c>
    </row>
    <row r="23" spans="1:1" x14ac:dyDescent="0.2">
      <c r="A23" s="88" t="s">
        <v>71</v>
      </c>
    </row>
  </sheetData>
  <pageMargins left="0.75" right="0.75" top="1" bottom="1" header="0.4921259845" footer="0.4921259845"/>
  <pageSetup paperSize="9" orientation="portrait" r:id="rId1"/>
  <headerFooter alignWithMargins="0">
    <oddFooter>&amp;LE905722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39</vt:i4>
      </vt:variant>
    </vt:vector>
  </HeadingPairs>
  <TitlesOfParts>
    <vt:vector size="46" baseType="lpstr">
      <vt:lpstr>FrontPage</vt:lpstr>
      <vt:lpstr>General info</vt:lpstr>
      <vt:lpstr>User Guide</vt:lpstr>
      <vt:lpstr>Statistics</vt:lpstr>
      <vt:lpstr>Incomplete Arch. Elements List</vt:lpstr>
      <vt:lpstr>Feuil1</vt:lpstr>
      <vt:lpstr>Styles</vt:lpstr>
      <vt:lpstr>CoveredByLowReq</vt:lpstr>
      <vt:lpstr>CoveredReq</vt:lpstr>
      <vt:lpstr>DesiredDiscipline</vt:lpstr>
      <vt:lpstr>FileName</vt:lpstr>
      <vt:lpstr>ImplementedReq</vt:lpstr>
      <vt:lpstr>MXActual_state_Released</vt:lpstr>
      <vt:lpstr>MXAuthority</vt:lpstr>
      <vt:lpstr>MXCurrent.Localized</vt:lpstr>
      <vt:lpstr>MXName</vt:lpstr>
      <vt:lpstr>MXRevision</vt:lpstr>
      <vt:lpstr>MXTitle</vt:lpstr>
      <vt:lpstr>MXVersion</vt:lpstr>
      <vt:lpstr>NOKFunctReq</vt:lpstr>
      <vt:lpstr>NOKReq</vt:lpstr>
      <vt:lpstr>OKFunctReq</vt:lpstr>
      <vt:lpstr>OKReq</vt:lpstr>
      <vt:lpstr>PartialOKFunctReq</vt:lpstr>
      <vt:lpstr>PartialOKReq</vt:lpstr>
      <vt:lpstr>PLMDocAuthor</vt:lpstr>
      <vt:lpstr>'User Guide'!Print_Area</vt:lpstr>
      <vt:lpstr>'General info'!Print_Titles</vt:lpstr>
      <vt:lpstr>START_REPORT</vt:lpstr>
      <vt:lpstr>SumForStatistics</vt:lpstr>
      <vt:lpstr>SWVersion</vt:lpstr>
      <vt:lpstr>TemplateRef</vt:lpstr>
      <vt:lpstr>TestedReq</vt:lpstr>
      <vt:lpstr>TitleCoveredByTests</vt:lpstr>
      <vt:lpstr>TitleCumulatedNOK</vt:lpstr>
      <vt:lpstr>TitleCumulatedOK</vt:lpstr>
      <vt:lpstr>TitleCumulatedPartiallyOK</vt:lpstr>
      <vt:lpstr>TitleCumulatedTested</vt:lpstr>
      <vt:lpstr>TitleFnctCumulatedNOK</vt:lpstr>
      <vt:lpstr>TitleFnctCumulatedOK</vt:lpstr>
      <vt:lpstr>TitleFnctCumulatedPartiallyOK</vt:lpstr>
      <vt:lpstr>TitleImplemented</vt:lpstr>
      <vt:lpstr>TitleImplementingUpReq</vt:lpstr>
      <vt:lpstr>TitleModuleName</vt:lpstr>
      <vt:lpstr>TitleReqNumber</vt:lpstr>
      <vt:lpstr>TitleTested</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Cyril Jouhanneau</dc:creator>
  <cp:lastModifiedBy>Dan Dustinta</cp:lastModifiedBy>
  <cp:lastPrinted>2011-11-28T23:54:39Z</cp:lastPrinted>
  <dcterms:created xsi:type="dcterms:W3CDTF">2008-08-11T11:06:44Z</dcterms:created>
  <dcterms:modified xsi:type="dcterms:W3CDTF">2021-08-01T11:29:47Z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Released" linkTarget="MXActual_state_Released">
    <vt:lpwstr>TBD</vt:lpwstr>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Document created</vt:lpwstr>
  </property>
  <property fmtid="{D5CDD505-2E9C-101B-9397-08002B2CF9AE}" pid="9" name="MXAuthority" linkTarget="MXAuthority">
    <vt:lpwstr>Process and method</vt:lpwstr>
  </property>
  <property fmtid="{D5CDD505-2E9C-101B-9397-08002B2CF9AE}" pid="10" name="MXAuthority_BusinessUnit">
    <vt:lpwstr/>
  </property>
  <property fmtid="{D5CDD505-2E9C-101B-9397-08002B2CF9AE}" pid="11" name="MXAuthority_Description">
    <vt:lpwstr>Process documents etc</vt:lpwstr>
  </property>
  <property fmtid="{D5CDD505-2E9C-101B-9397-08002B2CF9AE}" pid="12" name="MXAuthority_Owner">
    <vt:lpwstr>Marcus Klomark</vt:lpwstr>
  </property>
  <property fmtid="{D5CDD505-2E9C-101B-9397-08002B2CF9AE}" pid="13" name="MXAuthority_Program">
    <vt:lpwstr/>
  </property>
  <property fmtid="{D5CDD505-2E9C-101B-9397-08002B2CF9AE}" pid="14" name="MXCheckin Date">
    <vt:lpwstr>12/22/2010 8:58:03 AM</vt:lpwstr>
  </property>
  <property fmtid="{D5CDD505-2E9C-101B-9397-08002B2CF9AE}" pid="15" name="MXCheckin Reason">
    <vt:lpwstr>Revised by Johannes Kask</vt:lpwstr>
  </property>
  <property fmtid="{D5CDD505-2E9C-101B-9397-08002B2CF9AE}" pid="16" name="MXCheckin User" linkTarget="PLMDocAuthor">
    <vt:lpwstr>TBD</vt:lpwstr>
  </property>
  <property fmtid="{D5CDD505-2E9C-101B-9397-08002B2CF9AE}" pid="17" name="MXCurrent">
    <vt:lpwstr>Preliminary</vt:lpwstr>
  </property>
  <property fmtid="{D5CDD505-2E9C-101B-9397-08002B2CF9AE}" pid="18" name="MXCurrent.Localized" linkTarget="MXCurrent.Localized">
    <vt:lpwstr>Draft</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johannes.kask@autoliv.com</vt:lpwstr>
  </property>
  <property fmtid="{D5CDD505-2E9C-101B-9397-08002B2CF9AE}" pid="22" name="MXFirstName">
    <vt:lpwstr>Johannes</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Kask</vt:lpwstr>
  </property>
  <property fmtid="{D5CDD505-2E9C-101B-9397-08002B2CF9AE}" pid="26" name="MXLatestVersion">
    <vt:lpwstr>3</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TBD</vt:lpwstr>
  </property>
  <property fmtid="{D5CDD505-2E9C-101B-9397-08002B2CF9AE}" pid="30" name="MXOriginator">
    <vt:lpwstr>Mats Sundin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TBD</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Architecture Matrix (ArchM)</vt:lpwstr>
  </property>
  <property fmtid="{D5CDD505-2E9C-101B-9397-08002B2CF9AE}" pid="45" name="MXType">
    <vt:lpwstr>alvProjectManagement</vt:lpwstr>
  </property>
  <property fmtid="{D5CDD505-2E9C-101B-9397-08002B2CF9AE}" pid="46" name="MXType.Localized" linkTarget="MXType.Localized">
    <vt:lpwstr>#REF!</vt:lpwstr>
  </property>
  <property fmtid="{D5CDD505-2E9C-101B-9397-08002B2CF9AE}" pid="47" name="MXUser">
    <vt:lpwstr>Johannes Kask</vt:lpwstr>
  </property>
  <property fmtid="{D5CDD505-2E9C-101B-9397-08002B2CF9AE}" pid="48" name="MXVersion" linkTarget="MXVersion">
    <vt:lpwstr>TBD</vt:lpwstr>
  </property>
</Properties>
</file>