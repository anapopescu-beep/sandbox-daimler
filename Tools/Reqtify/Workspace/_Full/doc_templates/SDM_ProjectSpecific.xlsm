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_Full\doc_templates\"/>
    </mc:Choice>
  </mc:AlternateContent>
  <xr:revisionPtr revIDLastSave="0" documentId="13_ncr:1_{6A61A656-C526-4D54-8228-145D1F9B1489}" xr6:coauthVersionLast="47" xr6:coauthVersionMax="47" xr10:uidLastSave="{00000000-0000-0000-0000-000000000000}"/>
  <bookViews>
    <workbookView xWindow="-120" yWindow="-120" windowWidth="29040" windowHeight="15840" tabRatio="787" activeTab="3" xr2:uid="{00000000-000D-0000-FFFF-FFFF00000000}"/>
  </bookViews>
  <sheets>
    <sheet name="FrontPage" sheetId="4" r:id="rId1"/>
    <sheet name="General info" sheetId="11" r:id="rId2"/>
    <sheet name="User Guide" sheetId="14" r:id="rId3"/>
    <sheet name="Statistics" sheetId="15" r:id="rId4"/>
    <sheet name="Incomplete Desig Elements List" sheetId="34" r:id="rId5"/>
    <sheet name="Feuil1" sheetId="48" r:id="rId6"/>
    <sheet name="Styles" sheetId="19" r:id="rId7"/>
  </sheets>
  <definedNames>
    <definedName name="_xlnm._FilterDatabase" localSheetId="5" hidden="1">Feuil1!$A$2:$K$2</definedName>
    <definedName name="_xlnm._FilterDatabase" localSheetId="3" hidden="1">Statistics!$A$4:$J$4</definedName>
    <definedName name="CoveredByLowReq">Statistics!$D$7</definedName>
    <definedName name="CoveredReq">Statistics!$E$7</definedName>
    <definedName name="DesiredDiscipline">Statistics!$B$1</definedName>
    <definedName name="Discipline">Statistics!#REF!</definedName>
    <definedName name="FileName">FrontPage!$AD$3</definedName>
    <definedName name="FunctReq">Statistics!#REF!</definedName>
    <definedName name="ImplementedReq">Statistics!$C$7</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Statistics!$M$7</definedName>
    <definedName name="NOKReq">Statistics!$J$7</definedName>
    <definedName name="NonFunctReq">Statistics!#REF!</definedName>
    <definedName name="OKFunctReq">Statistics!$K$7</definedName>
    <definedName name="OKReq">Statistics!$H$7</definedName>
    <definedName name="PartialOKFunctReq">Statistics!$L$7</definedName>
    <definedName name="PartialOKReq">Statistics!$I$7</definedName>
    <definedName name="PLMDocAuthor">FrontPage!$F$10</definedName>
    <definedName name="_xlnm.Print_Area" localSheetId="2">'User Guide'!$A$1:$S$15</definedName>
    <definedName name="_xlnm.Print_Titles" localSheetId="1">'General info'!$1:$10</definedName>
    <definedName name="START_REPORT">Feuil1!$A$1</definedName>
    <definedName name="SumForStatistics">Statistics!$A$7</definedName>
    <definedName name="SWVersion">FrontPage!$O$24</definedName>
    <definedName name="TemplateRef">FrontPage!$W$7</definedName>
    <definedName name="TestedReq">Statistics!$F$7</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1" i="15" l="1"/>
  <c r="B33" i="15" l="1"/>
  <c r="B32" i="15"/>
  <c r="B13" i="15"/>
  <c r="B14" i="15"/>
  <c r="B70" i="15" l="1"/>
  <c r="B69" i="15"/>
  <c r="B68" i="15"/>
  <c r="B53" i="15"/>
  <c r="B52" i="15"/>
  <c r="A2" i="15" l="1"/>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number and % of Detailed Design Elements Implemented by Lower Levels</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<sst xmlns="http://schemas.openxmlformats.org/spreadsheetml/2006/main" count="180" uniqueCount="156">
  <si>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</si>
  <si>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</si>
  <si>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</si>
  <si>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</si>
  <si>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</si>
  <si>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</si>
  <si>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</si>
  <si>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</si>
  <si>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</si>
  <si>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</si>
  <si>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</si>
  <si>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</si>
  <si>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</si>
  <si>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</si>
  <si>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</si>
  <si>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</si>
  <si>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</si>
  <si>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</si>
  <si>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</si>
  <si>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</si>
  <si>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</si>
  <si>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</si>
  <si>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</si>
  <si>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</si>
  <si>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</si>
  <si>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</si>
  <si>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</si>
  <si>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</si>
  <si>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</si>
  <si>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</si>
  <si>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</si>
  <si>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</si>
  <si>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</si>
  <si>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</si>
  <si>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Name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</si>
  <si>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</si>
  <si>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</si>
  <si>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</si>
  <si>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</si>
  <si>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</si>
  <si>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</si>
  <si>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</si>
  <si>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</si>
  <si>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</si>
  <si>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</si>
  <si>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</si>
  <si>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</si>
  <si>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</si>
  <si>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</si>
  <si>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This document has been generated by Reqtify</t>
  </si>
  <si>
    <t>%endheader</t>
  </si>
  <si>
    <t>title</t>
  </si>
  <si>
    <t>PAGE BREAK</t>
  </si>
  <si>
    <t>sect1</t>
  </si>
  <si>
    <t>sect2</t>
  </si>
  <si>
    <t>sect3</t>
  </si>
  <si>
    <t>sect4</t>
  </si>
  <si>
    <t>sect5</t>
  </si>
  <si>
    <t>sect6</t>
  </si>
  <si>
    <t>sect7</t>
  </si>
  <si>
    <t>sect8</t>
  </si>
  <si>
    <t>sect9</t>
  </si>
  <si>
    <t>entry</t>
  </si>
  <si>
    <t>tableTitle</t>
  </si>
  <si>
    <t>para</t>
  </si>
  <si>
    <t>OK style</t>
  </si>
  <si>
    <t>NOK style</t>
  </si>
  <si>
    <t>Inconsistent style</t>
  </si>
  <si>
    <t>Without format but centered</t>
  </si>
  <si>
    <t>Tested previously</t>
  </si>
  <si>
    <t>CA (caution) style</t>
  </si>
  <si>
    <t>NA (not applicale) style</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</si>
  <si>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</si>
  <si>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</si>
  <si>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</si>
  <si>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</si>
  <si>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</si>
  <si>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</si>
  <si>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</si>
  <si>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</si>
  <si>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</si>
  <si>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</si>
  <si>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</si>
  <si>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</si>
  <si>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</si>
  <si>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</si>
  <si>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</si>
  <si>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</si>
  <si>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</si>
  <si>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</si>
  <si>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</si>
  <si>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tbd</t>
  </si>
  <si>
    <t>Feuil1</t>
  </si>
  <si>
    <t>Covered by a test</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</si>
  <si>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</si>
  <si>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</si>
  <si>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</si>
  <si>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</si>
  <si>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</si>
  <si>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</si>
  <si>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</si>
  <si>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</si>
  <si>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Implemented By</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</si>
  <si>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</si>
  <si>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</si>
  <si>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</si>
  <si>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</si>
  <si>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</si>
  <si>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</si>
  <si>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</si>
  <si>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</si>
  <si>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</si>
  <si>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</si>
  <si>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</si>
  <si>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</si>
  <si>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</si>
  <si>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</si>
  <si>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</si>
  <si>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</si>
  <si>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</si>
  <si>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</si>
  <si>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</si>
  <si>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</si>
  <si>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</si>
  <si>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</si>
  <si>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</si>
  <si>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</si>
  <si>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</si>
  <si>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</si>
  <si>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</si>
  <si>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</si>
  <si>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</si>
  <si>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Design Elements Number</t>
  </si>
  <si>
    <t>Design Elements Tested (cumulated)</t>
  </si>
  <si>
    <t>Unit Tests Results</t>
  </si>
  <si>
    <t>Passed</t>
  </si>
  <si>
    <t>Failed</t>
  </si>
  <si>
    <t>Not Tested</t>
  </si>
  <si>
    <t>Unit Tests Status</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</si>
  <si>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</si>
  <si>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t>Process and method</t>
  </si>
  <si>
    <t>TBD</t>
  </si>
  <si>
    <t>Draft</t>
  </si>
  <si>
    <t>AEF1126</t>
  </si>
  <si>
    <t>Satisfies an Upper level requirement</t>
  </si>
  <si>
    <t>Traceability to Lower Level Requirements</t>
  </si>
  <si>
    <t>Satisfied by a low level requirement</t>
  </si>
  <si>
    <t>Not satisfied by a low level requirement</t>
  </si>
  <si>
    <t>Traceability to Upper Level Requirements</t>
  </si>
  <si>
    <t>Satisfies un upper lever  requirement</t>
  </si>
  <si>
    <t>Doesn't satisfies an upper level requirement</t>
  </si>
  <si>
    <t>Unit Test Specification and Test Result are available</t>
  </si>
  <si>
    <t>Unit Test Specification is available but Test Result is not available</t>
  </si>
  <si>
    <t>Unit Test Specification and Test Result are not available</t>
  </si>
  <si>
    <t>SW Detailed Design Matrix</t>
  </si>
  <si>
    <t>Sw Detailed Design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</si>
</sst>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0" x14ac:knownFonts="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b/>
      <sz val="14"/>
      <name val="Arial"/>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sz val="8"/>
      <color rgb="FF7030A0"/>
      <name val="Arial"/>
      <family val="2"/>
    </font>
    <font>
      <sz val="12"/>
      <color theme="1"/>
      <name val="Calibri"/>
      <family val="2"/>
      <scheme val="minor"/>
    </font>
    <font>
      <b/>
      <sz val="12"/>
      <color theme="6" tint="-0.499984740745262"/>
      <name val="Calibri"/>
      <family val="2"/>
      <scheme val="minor"/>
    </font>
    <font>
      <b/>
      <sz val="12"/>
      <color theme="3" tint="-0.249977111117893"/>
      <name val="Calibri"/>
      <family val="2"/>
      <scheme val="minor"/>
    </font>
    <font>
      <b/>
      <sz val="12"/>
      <color rgb="FFFF0000"/>
      <name val="Calibri"/>
      <family val="2"/>
      <scheme val="minor"/>
    </font>
    <font>
      <b/>
      <sz val="16"/>
      <color theme="1"/>
      <name val="Calibri"/>
      <family val="2"/>
      <scheme val="minor"/>
    </font>
  </fonts>
  <fills count="36">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2" tint="-0.49998474074526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82">
    <xf numFmtId="0" fontId="0" fillId="0" borderId="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1" fillId="19" borderId="0" applyNumberFormat="0" applyBorder="0" applyAlignment="0" applyProtection="0"/>
    <xf numFmtId="0" fontId="31" fillId="20" borderId="0" applyNumberFormat="0" applyBorder="0" applyAlignment="0" applyProtection="0"/>
    <xf numFmtId="0" fontId="31" fillId="21" borderId="0" applyNumberFormat="0" applyBorder="0" applyAlignment="0" applyProtection="0"/>
    <xf numFmtId="0" fontId="3" fillId="2" borderId="1">
      <alignment horizontal="center" vertical="center"/>
    </xf>
    <xf numFmtId="0" fontId="32" fillId="22" borderId="16" applyNumberFormat="0" applyAlignment="0" applyProtection="0"/>
    <xf numFmtId="0" fontId="33" fillId="22" borderId="16" applyNumberFormat="0" applyAlignment="0" applyProtection="0"/>
    <xf numFmtId="0" fontId="34" fillId="23" borderId="17" applyNumberFormat="0" applyAlignment="0" applyProtection="0"/>
    <xf numFmtId="0" fontId="2" fillId="0" borderId="1"/>
    <xf numFmtId="0" fontId="5" fillId="0" borderId="1"/>
    <xf numFmtId="0" fontId="5" fillId="0" borderId="1"/>
    <xf numFmtId="0" fontId="5" fillId="0" borderId="1"/>
    <xf numFmtId="0" fontId="5" fillId="0" borderId="1"/>
    <xf numFmtId="0" fontId="5" fillId="0" borderId="1"/>
    <xf numFmtId="0" fontId="26" fillId="0" borderId="1"/>
    <xf numFmtId="0" fontId="35" fillId="0" borderId="0" applyNumberFormat="0" applyFill="0" applyBorder="0" applyAlignment="0" applyProtection="0"/>
    <xf numFmtId="0" fontId="36" fillId="0" borderId="0" applyNumberFormat="0" applyFill="0" applyBorder="0" applyAlignment="0" applyProtection="0"/>
    <xf numFmtId="0" fontId="25" fillId="0" borderId="0" applyNumberFormat="0" applyFill="0" applyBorder="0" applyAlignment="0" applyProtection="0">
      <alignment vertical="top"/>
      <protection locked="0"/>
    </xf>
    <xf numFmtId="0" fontId="2" fillId="3" borderId="1">
      <alignment horizontal="center"/>
    </xf>
    <xf numFmtId="0" fontId="5" fillId="3" borderId="1">
      <alignment horizontal="center"/>
    </xf>
    <xf numFmtId="0" fontId="5" fillId="3" borderId="1">
      <alignment horizontal="center"/>
    </xf>
    <xf numFmtId="0" fontId="5" fillId="3" borderId="1">
      <alignment horizontal="center"/>
    </xf>
    <xf numFmtId="0" fontId="37" fillId="24" borderId="16" applyNumberFormat="0" applyAlignment="0" applyProtection="0"/>
    <xf numFmtId="0" fontId="3" fillId="4" borderId="1">
      <alignment horizontal="center" vertical="center"/>
    </xf>
    <xf numFmtId="0" fontId="3" fillId="5" borderId="1">
      <alignment horizontal="center"/>
    </xf>
    <xf numFmtId="0" fontId="5" fillId="0" borderId="0"/>
    <xf numFmtId="0" fontId="5" fillId="0" borderId="0"/>
    <xf numFmtId="0" fontId="5" fillId="0" borderId="0"/>
    <xf numFmtId="0" fontId="5" fillId="0" borderId="0"/>
    <xf numFmtId="0" fontId="5" fillId="0" borderId="0"/>
    <xf numFmtId="10" fontId="23" fillId="0" borderId="0"/>
    <xf numFmtId="0" fontId="2" fillId="0" borderId="0"/>
    <xf numFmtId="0" fontId="3" fillId="6" borderId="1">
      <alignment horizontal="center"/>
    </xf>
    <xf numFmtId="0" fontId="38" fillId="22" borderId="18" applyNumberFormat="0" applyAlignment="0" applyProtection="0"/>
    <xf numFmtId="0" fontId="5" fillId="0" borderId="0"/>
    <xf numFmtId="0" fontId="5" fillId="0" borderId="0"/>
    <xf numFmtId="10" fontId="2" fillId="0" borderId="0" applyFont="0" applyFill="0" applyBorder="0" applyAlignment="0" applyProtection="0"/>
    <xf numFmtId="9" fontId="5" fillId="0" borderId="0" applyFont="0" applyFill="0" applyBorder="0" applyAlignment="0" applyProtection="0"/>
    <xf numFmtId="0" fontId="19" fillId="0" borderId="0">
      <alignment horizontal="center"/>
    </xf>
    <xf numFmtId="0" fontId="19" fillId="0" borderId="1"/>
    <xf numFmtId="0" fontId="3" fillId="0" borderId="0"/>
    <xf numFmtId="0" fontId="20"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2" fillId="0" borderId="0"/>
    <xf numFmtId="0" fontId="5" fillId="0" borderId="0"/>
    <xf numFmtId="0" fontId="5" fillId="0" borderId="0"/>
    <xf numFmtId="0" fontId="5" fillId="0" borderId="0"/>
    <xf numFmtId="0" fontId="3" fillId="0" borderId="1">
      <alignment horizontal="center" textRotation="60"/>
    </xf>
    <xf numFmtId="0" fontId="12" fillId="7" borderId="1">
      <alignment horizontal="center"/>
    </xf>
    <xf numFmtId="0" fontId="39" fillId="0" borderId="0" applyNumberFormat="0" applyFill="0" applyBorder="0" applyAlignment="0" applyProtection="0"/>
    <xf numFmtId="0" fontId="8" fillId="0" borderId="2"/>
    <xf numFmtId="0" fontId="40" fillId="0" borderId="0" applyNumberFormat="0" applyFill="0" applyBorder="0" applyAlignment="0" applyProtection="0"/>
    <xf numFmtId="49" fontId="2"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5" fillId="0" borderId="1">
      <alignment horizontal="center"/>
    </xf>
    <xf numFmtId="0" fontId="26" fillId="0" borderId="1">
      <alignment horizontal="center"/>
    </xf>
  </cellStyleXfs>
  <cellXfs count="312">
    <xf numFmtId="0" fontId="0" fillId="0" borderId="0" xfId="0"/>
    <xf numFmtId="0" fontId="0" fillId="0" borderId="0" xfId="0" applyAlignment="1">
      <alignment vertical="center"/>
    </xf>
    <xf numFmtId="0" fontId="0" fillId="0" borderId="0" xfId="0" applyAlignment="1" applyProtection="1">
      <alignment vertical="center"/>
    </xf>
    <xf numFmtId="0" fontId="6" fillId="0" borderId="0" xfId="0" applyFont="1" applyFill="1" applyAlignment="1" applyProtection="1">
      <alignment vertical="center" wrapText="1"/>
    </xf>
    <xf numFmtId="164" fontId="6" fillId="0" borderId="0" xfId="0" applyNumberFormat="1" applyFont="1" applyFill="1" applyBorder="1" applyAlignment="1" applyProtection="1">
      <alignment horizontal="center" vertical="center" wrapText="1"/>
    </xf>
    <xf numFmtId="20" fontId="6" fillId="0" borderId="0" xfId="0" applyNumberFormat="1"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2" fillId="0" borderId="0" xfId="0" applyFont="1" applyFill="1" applyAlignment="1" applyProtection="1">
      <alignment vertical="center"/>
    </xf>
    <xf numFmtId="0" fontId="0" fillId="0" borderId="0" xfId="0" applyBorder="1" applyAlignment="1" applyProtection="1">
      <alignment vertical="center"/>
    </xf>
    <xf numFmtId="0" fontId="2" fillId="0" borderId="0" xfId="0" applyFont="1" applyFill="1" applyBorder="1" applyAlignment="1" applyProtection="1">
      <alignment vertical="center"/>
    </xf>
    <xf numFmtId="0" fontId="41" fillId="0" borderId="0" xfId="0" applyFont="1" applyFill="1" applyBorder="1" applyAlignment="1" applyProtection="1">
      <alignment horizontal="right" vertical="center"/>
    </xf>
    <xf numFmtId="0" fontId="7" fillId="0" borderId="0" xfId="0" applyFont="1" applyBorder="1" applyAlignment="1" applyProtection="1">
      <alignment horizontal="left" vertical="center" wrapText="1"/>
    </xf>
    <xf numFmtId="0" fontId="5" fillId="0" borderId="0" xfId="0" applyFont="1" applyFill="1" applyBorder="1" applyAlignment="1" applyProtection="1">
      <alignment vertical="center" shrinkToFit="1"/>
    </xf>
    <xf numFmtId="0" fontId="5" fillId="0" borderId="0" xfId="0" applyFont="1" applyBorder="1" applyAlignment="1" applyProtection="1">
      <alignment vertical="center" shrinkToFit="1"/>
    </xf>
    <xf numFmtId="0" fontId="5" fillId="0" borderId="0" xfId="0" applyFont="1" applyFill="1" applyAlignment="1" applyProtection="1">
      <alignment vertical="center" shrinkToFit="1"/>
    </xf>
    <xf numFmtId="0" fontId="5" fillId="0" borderId="0" xfId="0" applyFont="1" applyAlignment="1" applyProtection="1">
      <alignment vertical="center" shrinkToFit="1"/>
    </xf>
    <xf numFmtId="0" fontId="2" fillId="0" borderId="0" xfId="0" applyFont="1" applyFill="1" applyAlignment="1" applyProtection="1">
      <alignment vertical="center"/>
      <protection locked="0"/>
    </xf>
    <xf numFmtId="0" fontId="0" fillId="0" borderId="0" xfId="0" applyAlignment="1" applyProtection="1">
      <alignment vertical="center"/>
      <protection locked="0"/>
    </xf>
    <xf numFmtId="0" fontId="5" fillId="0" borderId="0" xfId="0" applyFont="1" applyFill="1" applyAlignment="1" applyProtection="1">
      <alignment vertical="center"/>
      <protection locked="0"/>
    </xf>
    <xf numFmtId="0" fontId="5" fillId="0" borderId="0" xfId="0" applyFont="1" applyAlignment="1" applyProtection="1">
      <alignment vertical="center"/>
      <protection locked="0"/>
    </xf>
    <xf numFmtId="0" fontId="42"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3" fillId="0" borderId="0" xfId="0" applyFont="1" applyAlignment="1" applyProtection="1">
      <alignment horizontal="left" vertical="center"/>
      <protection locked="0"/>
    </xf>
    <xf numFmtId="0" fontId="8"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10" fillId="0" borderId="0" xfId="0" applyFont="1" applyAlignment="1" applyProtection="1">
      <alignment vertical="center"/>
      <protection locked="0"/>
    </xf>
    <xf numFmtId="0" fontId="3" fillId="0" borderId="0" xfId="0" applyFont="1" applyAlignment="1" applyProtection="1">
      <alignment vertical="center"/>
      <protection locked="0"/>
    </xf>
    <xf numFmtId="49" fontId="17" fillId="0" borderId="0" xfId="0" applyNumberFormat="1" applyFont="1" applyFill="1" applyBorder="1" applyAlignment="1" applyProtection="1">
      <alignment horizontal="left" vertical="center"/>
      <protection locked="0"/>
    </xf>
    <xf numFmtId="49" fontId="5" fillId="0" borderId="0" xfId="0" applyNumberFormat="1" applyFont="1" applyFill="1" applyBorder="1" applyAlignment="1">
      <alignment horizontal="center" vertical="center" wrapText="1"/>
    </xf>
    <xf numFmtId="49" fontId="5" fillId="0" borderId="0" xfId="0" applyNumberFormat="1" applyFont="1" applyFill="1" applyBorder="1" applyAlignment="1" applyProtection="1">
      <alignment horizontal="left" vertical="center" wrapText="1"/>
      <protection locked="0"/>
    </xf>
    <xf numFmtId="49" fontId="5" fillId="0" borderId="0" xfId="0" applyNumberFormat="1" applyFont="1" applyFill="1" applyBorder="1" applyAlignment="1">
      <alignment horizontal="left" vertical="center" wrapText="1"/>
    </xf>
    <xf numFmtId="49" fontId="15"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6" fillId="0" borderId="0" xfId="0" applyFont="1" applyAlignment="1" applyProtection="1">
      <alignment horizontal="left" vertical="center"/>
      <protection locked="0"/>
    </xf>
    <xf numFmtId="0" fontId="0" fillId="0" borderId="0" xfId="0" applyBorder="1" applyAlignment="1">
      <alignment horizontal="left" vertical="center" wrapText="1"/>
    </xf>
    <xf numFmtId="0" fontId="42" fillId="0" borderId="3" xfId="0" applyFont="1" applyBorder="1" applyAlignment="1" applyProtection="1">
      <alignment vertical="center"/>
      <protection locked="0"/>
    </xf>
    <xf numFmtId="49" fontId="5"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2" fillId="0" borderId="0" xfId="0" applyFont="1" applyBorder="1" applyAlignment="1" applyProtection="1">
      <alignment vertical="center"/>
      <protection locked="0"/>
    </xf>
    <xf numFmtId="49" fontId="5"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5"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5" fillId="0" borderId="0" xfId="0" applyFont="1" applyFill="1" applyAlignment="1" applyProtection="1">
      <alignment vertical="center"/>
    </xf>
    <xf numFmtId="0" fontId="5" fillId="0" borderId="0" xfId="0" applyFont="1" applyAlignment="1" applyProtection="1">
      <alignment vertical="center"/>
    </xf>
    <xf numFmtId="0" fontId="12" fillId="0" borderId="0" xfId="0" applyFont="1" applyBorder="1" applyAlignment="1" applyProtection="1">
      <alignment horizontal="left" vertical="center" shrinkToFit="1"/>
    </xf>
    <xf numFmtId="0" fontId="3" fillId="0" borderId="0" xfId="0" applyFont="1" applyBorder="1" applyAlignment="1" applyProtection="1">
      <alignment horizontal="left" vertical="center" shrinkToFit="1"/>
    </xf>
    <xf numFmtId="0" fontId="5" fillId="0" borderId="0" xfId="0" applyFont="1" applyFill="1" applyAlignment="1" applyProtection="1">
      <alignment vertical="center" shrinkToFit="1"/>
      <protection locked="0"/>
    </xf>
    <xf numFmtId="0" fontId="5" fillId="0" borderId="0" xfId="0" applyFont="1" applyAlignment="1" applyProtection="1">
      <alignment vertical="center" shrinkToFit="1"/>
      <protection locked="0"/>
    </xf>
    <xf numFmtId="0" fontId="43" fillId="0" borderId="4" xfId="0" applyFont="1" applyFill="1" applyBorder="1" applyAlignment="1" applyProtection="1">
      <alignment horizontal="left" vertical="center" wrapText="1" shrinkToFit="1"/>
      <protection locked="0"/>
    </xf>
    <xf numFmtId="0" fontId="44" fillId="0" borderId="0" xfId="0" applyFont="1" applyFill="1" applyBorder="1" applyAlignment="1" applyProtection="1">
      <alignment horizontal="left" vertical="center" shrinkToFit="1"/>
      <protection locked="0"/>
    </xf>
    <xf numFmtId="0" fontId="43" fillId="0" borderId="0" xfId="0" applyFont="1" applyFill="1" applyBorder="1" applyAlignment="1" applyProtection="1">
      <alignment horizontal="left" vertical="center" wrapText="1" shrinkToFit="1"/>
      <protection locked="0"/>
    </xf>
    <xf numFmtId="0" fontId="44" fillId="0" borderId="5" xfId="0" applyFont="1" applyFill="1" applyBorder="1" applyAlignment="1" applyProtection="1">
      <alignment horizontal="left" vertical="center" shrinkToFit="1"/>
      <protection locked="0"/>
    </xf>
    <xf numFmtId="0" fontId="2"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1" fillId="0" borderId="0" xfId="0" applyFont="1" applyFill="1" applyAlignment="1" applyProtection="1">
      <alignment horizontal="center" vertical="center"/>
      <protection locked="0"/>
    </xf>
    <xf numFmtId="0" fontId="45" fillId="0" borderId="0" xfId="0" quotePrefix="1" applyFont="1" applyFill="1" applyBorder="1" applyAlignment="1" applyProtection="1">
      <alignment horizontal="right" vertical="center"/>
    </xf>
    <xf numFmtId="0" fontId="0" fillId="0" borderId="0" xfId="0" applyAlignment="1">
      <alignment horizontal="left" vertical="center"/>
    </xf>
    <xf numFmtId="0" fontId="18"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9" fillId="8" borderId="1" xfId="70" applyFont="1" applyFill="1">
      <alignment horizontal="center" textRotation="60"/>
    </xf>
    <xf numFmtId="49" fontId="22" fillId="0" borderId="0" xfId="0" applyNumberFormat="1" applyFont="1" applyFill="1" applyAlignment="1">
      <alignment horizontal="center" vertical="center" wrapText="1"/>
    </xf>
    <xf numFmtId="49" fontId="22" fillId="9" borderId="0" xfId="0" applyNumberFormat="1" applyFont="1" applyFill="1" applyBorder="1" applyAlignment="1">
      <alignment horizontal="center" vertical="center" wrapText="1"/>
    </xf>
    <xf numFmtId="49" fontId="22" fillId="5" borderId="0" xfId="0" applyNumberFormat="1" applyFont="1" applyFill="1" applyBorder="1" applyAlignment="1">
      <alignment horizontal="center" vertical="center" wrapText="1"/>
    </xf>
    <xf numFmtId="0" fontId="22" fillId="2" borderId="0" xfId="8" applyFont="1" applyBorder="1" applyAlignment="1">
      <alignment horizontal="center" vertical="center" wrapText="1"/>
    </xf>
    <xf numFmtId="0" fontId="22" fillId="4" borderId="0" xfId="27" applyFont="1" applyBorder="1" applyAlignment="1">
      <alignment horizontal="center" vertical="center" wrapText="1"/>
    </xf>
    <xf numFmtId="0" fontId="8" fillId="0" borderId="2" xfId="73" applyFont="1" applyFill="1"/>
    <xf numFmtId="0" fontId="0" fillId="0" borderId="0" xfId="0" applyFill="1"/>
    <xf numFmtId="0" fontId="19" fillId="0" borderId="1" xfId="43"/>
    <xf numFmtId="0" fontId="3" fillId="0" borderId="0" xfId="44"/>
    <xf numFmtId="0" fontId="20" fillId="0" borderId="0" xfId="45"/>
    <xf numFmtId="0" fontId="2" fillId="0" borderId="0" xfId="46"/>
    <xf numFmtId="0" fontId="2" fillId="0" borderId="0" xfId="50"/>
    <xf numFmtId="0" fontId="2" fillId="0" borderId="0" xfId="54"/>
    <xf numFmtId="0" fontId="2" fillId="0" borderId="0" xfId="58"/>
    <xf numFmtId="0" fontId="2" fillId="0" borderId="0" xfId="62"/>
    <xf numFmtId="0" fontId="2" fillId="0" borderId="0" xfId="66"/>
    <xf numFmtId="0" fontId="2" fillId="0" borderId="1" xfId="12" applyFont="1"/>
    <xf numFmtId="49" fontId="2" fillId="0" borderId="1" xfId="75">
      <alignment horizontal="center"/>
    </xf>
    <xf numFmtId="0" fontId="3" fillId="6" borderId="1" xfId="36">
      <alignment horizontal="center"/>
    </xf>
    <xf numFmtId="0" fontId="3" fillId="5" borderId="1" xfId="28">
      <alignment horizontal="center"/>
    </xf>
    <xf numFmtId="0" fontId="2" fillId="3" borderId="1" xfId="22">
      <alignment horizontal="center"/>
    </xf>
    <xf numFmtId="0" fontId="12" fillId="7" borderId="1" xfId="71">
      <alignment horizontal="center"/>
    </xf>
    <xf numFmtId="0" fontId="3" fillId="2" borderId="1" xfId="8">
      <alignment horizontal="center" vertical="center"/>
    </xf>
    <xf numFmtId="0" fontId="3" fillId="4" borderId="1" xfId="27" applyFont="1">
      <alignment horizontal="center" vertical="center"/>
    </xf>
    <xf numFmtId="0" fontId="0" fillId="25" borderId="0" xfId="0" applyFill="1" applyAlignment="1">
      <alignment vertical="center"/>
    </xf>
    <xf numFmtId="0" fontId="19" fillId="25" borderId="0" xfId="0" applyFont="1" applyFill="1" applyAlignment="1">
      <alignment vertical="center" textRotation="60"/>
    </xf>
    <xf numFmtId="0" fontId="12" fillId="0" borderId="0" xfId="0" applyFont="1" applyAlignment="1" applyProtection="1">
      <alignment vertical="center"/>
      <protection locked="0"/>
    </xf>
    <xf numFmtId="0" fontId="11" fillId="0" borderId="0" xfId="0" applyFont="1" applyFill="1" applyAlignment="1" applyProtection="1">
      <alignment vertical="center" wrapText="1"/>
      <protection locked="0"/>
    </xf>
    <xf numFmtId="0" fontId="12" fillId="0" borderId="0" xfId="0" applyFont="1" applyAlignment="1">
      <alignment vertical="center" wrapText="1"/>
    </xf>
    <xf numFmtId="0" fontId="11" fillId="0" borderId="0" xfId="0" applyFont="1" applyAlignment="1">
      <alignment vertical="center" wrapText="1"/>
    </xf>
    <xf numFmtId="0" fontId="11" fillId="0" borderId="0" xfId="0" applyFont="1" applyBorder="1" applyAlignment="1">
      <alignment vertical="center"/>
    </xf>
    <xf numFmtId="0" fontId="11" fillId="0" borderId="0" xfId="0" applyFont="1" applyBorder="1" applyAlignment="1">
      <alignment vertical="center" wrapText="1"/>
    </xf>
    <xf numFmtId="0" fontId="12" fillId="0" borderId="0" xfId="0" applyFont="1" applyFill="1" applyAlignment="1" applyProtection="1">
      <alignment vertical="center"/>
      <protection locked="0"/>
    </xf>
    <xf numFmtId="0" fontId="46" fillId="0" borderId="0" xfId="0" applyFont="1"/>
    <xf numFmtId="0" fontId="3" fillId="25" borderId="0" xfId="0" applyFont="1" applyFill="1" applyAlignment="1">
      <alignment horizontal="center" vertical="center"/>
    </xf>
    <xf numFmtId="1" fontId="3" fillId="10" borderId="8" xfId="0" applyNumberFormat="1" applyFont="1" applyFill="1" applyBorder="1" applyAlignment="1">
      <alignment horizontal="center" vertical="center"/>
    </xf>
    <xf numFmtId="0" fontId="3" fillId="10" borderId="8" xfId="0" applyNumberFormat="1" applyFont="1" applyFill="1" applyBorder="1" applyAlignment="1">
      <alignment horizontal="center" vertical="center"/>
    </xf>
    <xf numFmtId="0" fontId="3" fillId="11" borderId="8" xfId="0" applyFont="1" applyFill="1" applyBorder="1" applyAlignment="1">
      <alignment horizontal="center" vertical="center"/>
    </xf>
    <xf numFmtId="0" fontId="47" fillId="22" borderId="1" xfId="9" applyNumberFormat="1" applyFont="1" applyBorder="1" applyAlignment="1">
      <alignment horizontal="center" vertical="center"/>
    </xf>
    <xf numFmtId="0" fontId="48" fillId="22" borderId="1" xfId="9" applyNumberFormat="1" applyFont="1" applyBorder="1" applyAlignment="1">
      <alignment horizontal="center" vertical="center"/>
    </xf>
    <xf numFmtId="2" fontId="3" fillId="25" borderId="0" xfId="0" applyNumberFormat="1" applyFont="1" applyFill="1" applyAlignment="1">
      <alignment horizontal="center" vertical="center"/>
    </xf>
    <xf numFmtId="0" fontId="0" fillId="0" borderId="0" xfId="0" applyNumberFormat="1" applyFill="1" applyAlignment="1">
      <alignment vertical="center"/>
    </xf>
    <xf numFmtId="0" fontId="39" fillId="26" borderId="22" xfId="72" applyFill="1" applyBorder="1" applyAlignment="1">
      <alignment vertical="center"/>
    </xf>
    <xf numFmtId="0" fontId="39" fillId="26" borderId="23" xfId="72" applyFill="1" applyBorder="1" applyAlignment="1">
      <alignment vertical="center"/>
    </xf>
    <xf numFmtId="0" fontId="0" fillId="26" borderId="0" xfId="0" applyNumberFormat="1" applyFill="1" applyBorder="1" applyAlignment="1">
      <alignment horizontal="center" vertical="center"/>
    </xf>
    <xf numFmtId="0" fontId="39" fillId="26" borderId="0" xfId="72" applyFill="1" applyBorder="1" applyAlignment="1">
      <alignment vertical="center"/>
    </xf>
    <xf numFmtId="0" fontId="50" fillId="26" borderId="0" xfId="19" applyNumberFormat="1" applyFont="1" applyFill="1" applyBorder="1" applyAlignment="1">
      <alignment horizontal="left" vertical="center"/>
    </xf>
    <xf numFmtId="0" fontId="0" fillId="26" borderId="0" xfId="0" applyNumberFormat="1" applyFill="1" applyBorder="1" applyAlignment="1">
      <alignment horizontal="right" vertical="center"/>
    </xf>
    <xf numFmtId="0" fontId="39" fillId="26" borderId="20" xfId="72" applyFill="1" applyBorder="1" applyAlignment="1">
      <alignment vertical="center"/>
    </xf>
    <xf numFmtId="0" fontId="24" fillId="26" borderId="20" xfId="0" applyNumberFormat="1" applyFont="1" applyFill="1" applyBorder="1" applyAlignment="1">
      <alignment horizontal="center" vertical="center"/>
    </xf>
    <xf numFmtId="0" fontId="0" fillId="25" borderId="20" xfId="0" applyFill="1" applyBorder="1" applyAlignment="1">
      <alignment horizontal="center" vertical="center"/>
    </xf>
    <xf numFmtId="1" fontId="0" fillId="25" borderId="0" xfId="0" applyNumberFormat="1" applyFill="1" applyBorder="1" applyAlignment="1">
      <alignment horizontal="center" vertical="center"/>
    </xf>
    <xf numFmtId="0" fontId="0" fillId="25" borderId="0" xfId="0" applyNumberFormat="1" applyFill="1" applyBorder="1" applyAlignment="1">
      <alignment horizontal="center" vertical="center"/>
    </xf>
    <xf numFmtId="10" fontId="0" fillId="25" borderId="0" xfId="0" applyNumberFormat="1" applyFill="1" applyBorder="1" applyAlignment="1">
      <alignment horizontal="center" vertical="center"/>
    </xf>
    <xf numFmtId="0" fontId="0" fillId="25" borderId="0" xfId="0" applyNumberFormat="1" applyFill="1" applyBorder="1" applyAlignment="1">
      <alignment horizontal="right" vertical="center"/>
    </xf>
    <xf numFmtId="0" fontId="0" fillId="25" borderId="0" xfId="0" applyFill="1" applyBorder="1" applyAlignment="1">
      <alignment vertical="center"/>
    </xf>
    <xf numFmtId="0" fontId="0" fillId="25" borderId="0" xfId="0" applyFill="1" applyBorder="1" applyAlignment="1">
      <alignment horizontal="right" vertical="center"/>
    </xf>
    <xf numFmtId="0" fontId="0" fillId="25" borderId="25" xfId="0" applyFill="1" applyBorder="1" applyAlignment="1">
      <alignment vertical="center"/>
    </xf>
    <xf numFmtId="0" fontId="24" fillId="25" borderId="0" xfId="0" applyFont="1" applyFill="1" applyAlignment="1">
      <alignment vertical="center"/>
    </xf>
    <xf numFmtId="0" fontId="30" fillId="17" borderId="27" xfId="3" applyNumberFormat="1" applyBorder="1" applyAlignment="1">
      <alignment horizontal="right" vertical="center"/>
    </xf>
    <xf numFmtId="0" fontId="30" fillId="17" borderId="0" xfId="3" applyBorder="1" applyAlignment="1">
      <alignment horizontal="center" vertical="center"/>
    </xf>
    <xf numFmtId="1" fontId="30" fillId="17" borderId="21" xfId="3" applyNumberFormat="1" applyBorder="1" applyAlignment="1">
      <alignment horizontal="center" vertical="center"/>
    </xf>
    <xf numFmtId="0" fontId="30" fillId="17" borderId="21" xfId="3" applyNumberFormat="1" applyBorder="1" applyAlignment="1">
      <alignment horizontal="center" vertical="center"/>
    </xf>
    <xf numFmtId="10" fontId="30" fillId="17" borderId="21" xfId="3" applyNumberFormat="1" applyBorder="1" applyAlignment="1">
      <alignment horizontal="center" vertical="center"/>
    </xf>
    <xf numFmtId="0" fontId="30" fillId="17" borderId="21" xfId="3" applyNumberFormat="1" applyBorder="1" applyAlignment="1">
      <alignment horizontal="right" vertical="center"/>
    </xf>
    <xf numFmtId="0" fontId="30" fillId="17" borderId="21" xfId="3" applyBorder="1" applyAlignment="1">
      <alignment vertical="center"/>
    </xf>
    <xf numFmtId="0" fontId="30" fillId="17" borderId="21" xfId="3" applyBorder="1" applyAlignment="1">
      <alignment horizontal="right" vertical="center"/>
    </xf>
    <xf numFmtId="1" fontId="30" fillId="17" borderId="0" xfId="3" applyNumberFormat="1" applyBorder="1" applyAlignment="1">
      <alignment horizontal="center" vertical="center"/>
    </xf>
    <xf numFmtId="0" fontId="30" fillId="17" borderId="0" xfId="3" applyNumberFormat="1" applyBorder="1" applyAlignment="1">
      <alignment horizontal="center" vertical="center"/>
    </xf>
    <xf numFmtId="10" fontId="30" fillId="17" borderId="0" xfId="3" applyNumberFormat="1" applyBorder="1" applyAlignment="1">
      <alignment horizontal="center" vertical="center"/>
    </xf>
    <xf numFmtId="0" fontId="30" fillId="17" borderId="0" xfId="3" applyNumberFormat="1" applyBorder="1" applyAlignment="1">
      <alignment horizontal="right" vertical="center"/>
    </xf>
    <xf numFmtId="0" fontId="30" fillId="17" borderId="0" xfId="3" applyBorder="1" applyAlignment="1">
      <alignment vertical="center"/>
    </xf>
    <xf numFmtId="0" fontId="30" fillId="17" borderId="0" xfId="3" applyBorder="1" applyAlignment="1">
      <alignment horizontal="right" vertical="center"/>
    </xf>
    <xf numFmtId="0" fontId="30" fillId="17" borderId="21" xfId="3" applyBorder="1" applyAlignment="1">
      <alignment horizontal="center" vertical="center"/>
    </xf>
    <xf numFmtId="0" fontId="0" fillId="25" borderId="21" xfId="0" applyFill="1" applyBorder="1" applyAlignment="1">
      <alignment vertical="center"/>
    </xf>
    <xf numFmtId="0" fontId="0" fillId="25" borderId="23" xfId="0" applyFill="1" applyBorder="1" applyAlignment="1">
      <alignment vertical="center"/>
    </xf>
    <xf numFmtId="0" fontId="21" fillId="10" borderId="28" xfId="20" applyFont="1" applyFill="1" applyBorder="1" applyAlignment="1">
      <alignment horizontal="left" vertical="center"/>
    </xf>
    <xf numFmtId="1" fontId="2" fillId="10" borderId="7" xfId="0" applyNumberFormat="1" applyFont="1" applyFill="1" applyBorder="1" applyAlignment="1">
      <alignment horizontal="center" vertical="center"/>
    </xf>
    <xf numFmtId="0" fontId="2" fillId="10" borderId="7" xfId="0" applyNumberFormat="1" applyFont="1" applyFill="1" applyBorder="1" applyAlignment="1">
      <alignment horizontal="center" vertical="center"/>
    </xf>
    <xf numFmtId="10" fontId="2" fillId="10" borderId="7" xfId="0" applyNumberFormat="1" applyFont="1" applyFill="1" applyBorder="1" applyAlignment="1">
      <alignment horizontal="center" vertical="center"/>
    </xf>
    <xf numFmtId="0" fontId="2" fillId="11" borderId="7" xfId="0" applyFont="1" applyFill="1" applyBorder="1" applyAlignment="1">
      <alignment horizontal="center" vertical="center"/>
    </xf>
    <xf numFmtId="2" fontId="51" fillId="21" borderId="1" xfId="7" applyNumberFormat="1" applyFont="1" applyBorder="1" applyAlignment="1">
      <alignment horizontal="center" vertical="center" wrapText="1"/>
    </xf>
    <xf numFmtId="0" fontId="52" fillId="17" borderId="20" xfId="3" applyFont="1" applyBorder="1" applyAlignment="1">
      <alignment horizontal="center" vertical="center"/>
    </xf>
    <xf numFmtId="0" fontId="52" fillId="17" borderId="0" xfId="3" applyFont="1" applyBorder="1" applyAlignment="1">
      <alignment horizontal="center" vertical="center"/>
    </xf>
    <xf numFmtId="0" fontId="52" fillId="21" borderId="24" xfId="7" applyFont="1" applyBorder="1" applyAlignment="1">
      <alignment horizontal="center" vertical="center" wrapText="1"/>
    </xf>
    <xf numFmtId="0" fontId="52" fillId="21" borderId="1" xfId="7" applyFont="1" applyBorder="1" applyAlignment="1">
      <alignment horizontal="center" vertical="center" wrapText="1"/>
    </xf>
    <xf numFmtId="0" fontId="52" fillId="21" borderId="29" xfId="7" applyFont="1" applyBorder="1" applyAlignment="1">
      <alignment horizontal="center" vertical="center" wrapText="1"/>
    </xf>
    <xf numFmtId="2" fontId="52" fillId="21" borderId="1" xfId="7" applyNumberFormat="1" applyFont="1" applyBorder="1" applyAlignment="1">
      <alignment horizontal="center" vertical="center" wrapText="1"/>
    </xf>
    <xf numFmtId="0" fontId="2" fillId="0" borderId="0" xfId="35"/>
    <xf numFmtId="0" fontId="39" fillId="17" borderId="20" xfId="72" applyFill="1" applyBorder="1" applyAlignment="1">
      <alignment horizontal="left" vertical="center"/>
    </xf>
    <xf numFmtId="0" fontId="53" fillId="25" borderId="0" xfId="74" quotePrefix="1" applyFont="1" applyFill="1" applyAlignment="1">
      <alignment vertical="center"/>
    </xf>
    <xf numFmtId="0" fontId="30" fillId="15" borderId="0" xfId="1" quotePrefix="1" applyNumberFormat="1" applyAlignment="1">
      <alignment horizontal="center" vertical="center" wrapText="1"/>
    </xf>
    <xf numFmtId="10" fontId="30" fillId="15" borderId="0" xfId="1" applyNumberFormat="1" applyAlignment="1">
      <alignment horizontal="center" vertical="center"/>
    </xf>
    <xf numFmtId="0" fontId="30" fillId="15" borderId="0" xfId="1" applyNumberFormat="1" applyBorder="1" applyAlignment="1">
      <alignment horizontal="right" vertical="center"/>
    </xf>
    <xf numFmtId="0" fontId="30" fillId="15" borderId="0" xfId="1" applyBorder="1" applyAlignment="1">
      <alignment vertical="center"/>
    </xf>
    <xf numFmtId="0" fontId="30" fillId="15" borderId="0" xfId="1" applyBorder="1" applyAlignment="1">
      <alignment horizontal="right" vertical="center"/>
    </xf>
    <xf numFmtId="0" fontId="39" fillId="16" borderId="20" xfId="72" applyNumberFormat="1" applyFill="1" applyBorder="1" applyAlignment="1">
      <alignment horizontal="left" vertical="center"/>
    </xf>
    <xf numFmtId="0" fontId="30" fillId="16" borderId="0" xfId="2" applyNumberFormat="1" applyBorder="1" applyAlignment="1">
      <alignment horizontal="left" vertical="center"/>
    </xf>
    <xf numFmtId="0" fontId="30" fillId="16" borderId="20" xfId="2" applyNumberFormat="1" applyBorder="1" applyAlignment="1">
      <alignment vertical="center"/>
    </xf>
    <xf numFmtId="0" fontId="30" fillId="16" borderId="0" xfId="2" applyNumberFormat="1" applyBorder="1" applyAlignment="1">
      <alignment vertical="center"/>
    </xf>
    <xf numFmtId="0" fontId="30" fillId="16" borderId="26" xfId="2" applyNumberFormat="1" applyBorder="1" applyAlignment="1">
      <alignment vertical="center"/>
    </xf>
    <xf numFmtId="0" fontId="30" fillId="16" borderId="21" xfId="2" applyNumberFormat="1" applyBorder="1" applyAlignment="1">
      <alignment vertical="center"/>
    </xf>
    <xf numFmtId="0" fontId="3" fillId="0" borderId="0" xfId="35" applyFont="1"/>
    <xf numFmtId="0" fontId="54" fillId="8" borderId="0" xfId="35" applyFont="1" applyFill="1"/>
    <xf numFmtId="0" fontId="55" fillId="8" borderId="0" xfId="35" applyFont="1" applyFill="1"/>
    <xf numFmtId="0" fontId="36" fillId="10" borderId="28" xfId="20" applyFill="1" applyBorder="1" applyAlignment="1">
      <alignment horizontal="left" vertical="center"/>
    </xf>
    <xf numFmtId="49" fontId="55" fillId="8" borderId="0" xfId="35" applyNumberFormat="1" applyFont="1" applyFill="1"/>
    <xf numFmtId="49" fontId="2" fillId="0" borderId="0" xfId="35" applyNumberFormat="1"/>
    <xf numFmtId="0" fontId="2" fillId="0" borderId="0" xfId="0"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0" borderId="0" xfId="0" applyFont="1" applyBorder="1" applyAlignment="1" applyProtection="1">
      <alignment vertical="center"/>
      <protection locked="0"/>
    </xf>
    <xf numFmtId="0" fontId="4" fillId="0" borderId="0" xfId="0" applyFont="1" applyFill="1" applyAlignment="1">
      <alignment vertical="center" wrapText="1"/>
    </xf>
    <xf numFmtId="49" fontId="4" fillId="0" borderId="0" xfId="0" applyNumberFormat="1" applyFont="1" applyFill="1" applyAlignment="1">
      <alignment horizontal="center" vertical="center" wrapText="1"/>
    </xf>
    <xf numFmtId="49" fontId="4" fillId="0" borderId="0" xfId="0" applyNumberFormat="1" applyFont="1" applyAlignment="1">
      <alignment horizontal="center" vertical="center" wrapText="1"/>
    </xf>
    <xf numFmtId="0" fontId="2" fillId="0" borderId="0" xfId="0" applyFont="1" applyBorder="1" applyAlignment="1">
      <alignment horizontal="left" vertical="center" wrapText="1"/>
    </xf>
    <xf numFmtId="0" fontId="5" fillId="0" borderId="0" xfId="0" applyFont="1" applyAlignment="1">
      <alignment horizontal="left" vertical="top" wrapText="1"/>
    </xf>
    <xf numFmtId="0" fontId="54" fillId="8" borderId="1" xfId="70" applyFont="1" applyFill="1">
      <alignment horizontal="center" textRotation="60"/>
    </xf>
    <xf numFmtId="0" fontId="22" fillId="0" borderId="0" xfId="8" applyFont="1" applyFill="1" applyBorder="1" applyAlignment="1">
      <alignment horizontal="center" vertical="center" wrapText="1"/>
    </xf>
    <xf numFmtId="0" fontId="29" fillId="0" borderId="0" xfId="35" applyFont="1" applyAlignment="1">
      <alignment horizontal="centerContinuous" vertical="center"/>
    </xf>
    <xf numFmtId="0" fontId="24" fillId="0" borderId="0" xfId="0" applyFont="1"/>
    <xf numFmtId="0" fontId="62" fillId="0" borderId="0" xfId="0" applyFont="1"/>
    <xf numFmtId="0" fontId="62" fillId="0" borderId="0" xfId="0" applyFont="1" applyAlignment="1"/>
    <xf numFmtId="0" fontId="63" fillId="0" borderId="0" xfId="0" applyFont="1"/>
    <xf numFmtId="49" fontId="22" fillId="0" borderId="0" xfId="0" applyNumberFormat="1" applyFont="1" applyFill="1" applyBorder="1" applyAlignment="1">
      <alignment horizontal="center" vertical="center" wrapText="1"/>
    </xf>
    <xf numFmtId="0" fontId="4" fillId="0" borderId="0" xfId="0" applyFont="1" applyBorder="1" applyAlignment="1">
      <alignment horizontal="center" vertical="center" wrapText="1"/>
    </xf>
    <xf numFmtId="0" fontId="1" fillId="18" borderId="1" xfId="4" applyNumberFormat="1" applyFont="1" applyBorder="1" applyAlignment="1">
      <alignment horizontal="center" vertical="center" wrapText="1"/>
    </xf>
    <xf numFmtId="10" fontId="3" fillId="10" borderId="1" xfId="0" applyNumberFormat="1" applyFont="1" applyFill="1" applyBorder="1" applyAlignment="1">
      <alignment horizontal="center" vertical="center"/>
    </xf>
    <xf numFmtId="10" fontId="3" fillId="11" borderId="1" xfId="0" applyNumberFormat="1" applyFont="1" applyFill="1" applyBorder="1" applyAlignment="1">
      <alignment horizontal="center" vertical="center"/>
    </xf>
    <xf numFmtId="0" fontId="1" fillId="18" borderId="24" xfId="4" applyNumberFormat="1" applyFont="1" applyBorder="1" applyAlignment="1">
      <alignment horizontal="left" vertical="center" wrapText="1"/>
    </xf>
    <xf numFmtId="0" fontId="39" fillId="33" borderId="22" xfId="72" applyFill="1" applyBorder="1" applyAlignment="1">
      <alignment vertical="center"/>
    </xf>
    <xf numFmtId="0" fontId="39" fillId="33" borderId="23" xfId="72" applyFill="1" applyBorder="1" applyAlignment="1">
      <alignment vertical="center"/>
    </xf>
    <xf numFmtId="0" fontId="39" fillId="33" borderId="20" xfId="72" applyFill="1" applyBorder="1" applyAlignment="1">
      <alignment vertical="center"/>
    </xf>
    <xf numFmtId="0" fontId="0" fillId="33" borderId="0" xfId="0" applyNumberFormat="1" applyFill="1" applyBorder="1" applyAlignment="1">
      <alignment horizontal="center" vertical="center"/>
    </xf>
    <xf numFmtId="0" fontId="39" fillId="33" borderId="0" xfId="72" applyFill="1" applyBorder="1" applyAlignment="1">
      <alignment vertical="center"/>
    </xf>
    <xf numFmtId="0" fontId="50" fillId="33" borderId="0" xfId="19" applyNumberFormat="1" applyFont="1" applyFill="1" applyBorder="1" applyAlignment="1">
      <alignment horizontal="left" vertical="center"/>
    </xf>
    <xf numFmtId="0" fontId="0" fillId="33" borderId="0" xfId="0" applyNumberFormat="1" applyFill="1" applyBorder="1" applyAlignment="1">
      <alignment horizontal="right" vertical="center"/>
    </xf>
    <xf numFmtId="0" fontId="24" fillId="33" borderId="20" xfId="0" applyNumberFormat="1" applyFont="1" applyFill="1" applyBorder="1" applyAlignment="1">
      <alignment horizontal="center" vertical="center"/>
    </xf>
    <xf numFmtId="1" fontId="49" fillId="27" borderId="1" xfId="9" applyNumberFormat="1" applyFont="1" applyFill="1" applyBorder="1" applyAlignment="1">
      <alignment horizontal="center" vertical="center"/>
    </xf>
    <xf numFmtId="0" fontId="38" fillId="22" borderId="1" xfId="37" applyNumberFormat="1" applyFont="1" applyBorder="1" applyAlignment="1">
      <alignment horizontal="center" vertical="center"/>
    </xf>
    <xf numFmtId="0" fontId="52" fillId="20" borderId="1" xfId="6" applyNumberFormat="1" applyFont="1" applyBorder="1" applyAlignment="1">
      <alignment horizontal="left" vertical="center" wrapText="1"/>
    </xf>
    <xf numFmtId="0" fontId="39" fillId="34" borderId="20" xfId="72" applyNumberFormat="1" applyFill="1" applyBorder="1" applyAlignment="1">
      <alignment horizontal="left" vertical="center"/>
    </xf>
    <xf numFmtId="0" fontId="30" fillId="34" borderId="0" xfId="2" applyNumberFormat="1" applyFill="1" applyBorder="1" applyAlignment="1">
      <alignment horizontal="left" vertical="center"/>
    </xf>
    <xf numFmtId="0" fontId="30" fillId="34" borderId="20" xfId="2" applyNumberFormat="1" applyFill="1" applyBorder="1" applyAlignment="1">
      <alignment vertical="center"/>
    </xf>
    <xf numFmtId="0" fontId="30" fillId="34" borderId="0" xfId="2" applyNumberFormat="1" applyFill="1" applyBorder="1" applyAlignment="1">
      <alignment vertical="center"/>
    </xf>
    <xf numFmtId="0" fontId="30" fillId="34" borderId="26" xfId="2" applyNumberFormat="1" applyFill="1" applyBorder="1" applyAlignment="1">
      <alignment vertical="center"/>
    </xf>
    <xf numFmtId="0" fontId="30" fillId="34" borderId="21" xfId="2" applyNumberFormat="1" applyFill="1" applyBorder="1" applyAlignment="1">
      <alignment vertical="center"/>
    </xf>
    <xf numFmtId="0" fontId="52" fillId="35" borderId="1" xfId="6" applyNumberFormat="1" applyFont="1" applyFill="1" applyBorder="1" applyAlignment="1">
      <alignment horizontal="left" vertical="center" wrapText="1"/>
    </xf>
    <xf numFmtId="0" fontId="65" fillId="31" borderId="24" xfId="4" applyNumberFormat="1" applyFont="1" applyFill="1" applyBorder="1" applyAlignment="1">
      <alignment horizontal="left" vertical="center" wrapText="1"/>
    </xf>
    <xf numFmtId="0" fontId="65" fillId="31" borderId="1" xfId="4" applyNumberFormat="1" applyFont="1" applyFill="1" applyBorder="1" applyAlignment="1">
      <alignment horizontal="center" vertical="center" wrapText="1"/>
    </xf>
    <xf numFmtId="0" fontId="66" fillId="0" borderId="1" xfId="9" applyNumberFormat="1" applyFont="1" applyFill="1" applyBorder="1" applyAlignment="1">
      <alignment horizontal="center" vertical="center"/>
    </xf>
    <xf numFmtId="0" fontId="67" fillId="0" borderId="1" xfId="9" applyNumberFormat="1" applyFont="1" applyFill="1" applyBorder="1" applyAlignment="1">
      <alignment horizontal="center" vertical="center"/>
    </xf>
    <xf numFmtId="1" fontId="68" fillId="0" borderId="1" xfId="9" applyNumberFormat="1" applyFont="1" applyFill="1" applyBorder="1" applyAlignment="1">
      <alignment horizontal="center" vertical="center"/>
    </xf>
    <xf numFmtId="0" fontId="33" fillId="0" borderId="1" xfId="9" applyNumberFormat="1" applyFont="1" applyFill="1" applyBorder="1" applyAlignment="1">
      <alignment horizontal="center" vertical="center"/>
    </xf>
    <xf numFmtId="1" fontId="33" fillId="0" borderId="1" xfId="9" applyNumberFormat="1" applyFont="1" applyFill="1" applyBorder="1" applyAlignment="1">
      <alignment horizontal="center" vertical="center"/>
    </xf>
    <xf numFmtId="0" fontId="33" fillId="22" borderId="1" xfId="9" applyNumberFormat="1" applyFont="1" applyBorder="1" applyAlignment="1">
      <alignment horizontal="center" vertical="center"/>
    </xf>
    <xf numFmtId="1" fontId="33" fillId="22" borderId="1" xfId="9" applyNumberFormat="1" applyFont="1" applyBorder="1" applyAlignment="1">
      <alignment horizontal="center" vertical="center"/>
    </xf>
    <xf numFmtId="0" fontId="69" fillId="15" borderId="0" xfId="1" quotePrefix="1" applyNumberFormat="1" applyFont="1" applyAlignment="1">
      <alignment horizontal="center" vertical="center" wrapText="1"/>
    </xf>
    <xf numFmtId="0" fontId="56" fillId="28" borderId="4" xfId="0" applyFont="1" applyFill="1" applyBorder="1" applyAlignment="1" applyProtection="1">
      <alignment horizontal="center" vertical="center" shrinkToFit="1"/>
      <protection locked="0"/>
    </xf>
    <xf numFmtId="0" fontId="56" fillId="28" borderId="0" xfId="0" applyFont="1" applyFill="1" applyBorder="1" applyAlignment="1" applyProtection="1">
      <alignment horizontal="center" vertical="center" shrinkToFit="1"/>
      <protection locked="0"/>
    </xf>
    <xf numFmtId="0" fontId="56" fillId="28" borderId="5" xfId="0" applyFont="1" applyFill="1" applyBorder="1" applyAlignment="1" applyProtection="1">
      <alignment horizontal="center" vertical="center" shrinkToFit="1"/>
      <protection locked="0"/>
    </xf>
    <xf numFmtId="0" fontId="58" fillId="24" borderId="30" xfId="26" applyFont="1" applyBorder="1" applyAlignment="1">
      <alignment horizontal="center" vertical="center"/>
    </xf>
    <xf numFmtId="0" fontId="58" fillId="24" borderId="31" xfId="26" applyFont="1" applyBorder="1" applyAlignment="1">
      <alignment horizontal="center" vertical="center"/>
    </xf>
    <xf numFmtId="0" fontId="58" fillId="24" borderId="32" xfId="26" applyFont="1" applyBorder="1" applyAlignment="1">
      <alignment horizontal="center" vertical="center"/>
    </xf>
    <xf numFmtId="0" fontId="59" fillId="0" borderId="3" xfId="0" applyFont="1" applyFill="1" applyBorder="1" applyAlignment="1" applyProtection="1">
      <alignment horizontal="left" vertical="top" wrapText="1" shrinkToFit="1"/>
      <protection locked="0"/>
    </xf>
    <xf numFmtId="0" fontId="59" fillId="0" borderId="14" xfId="0" applyFont="1" applyFill="1" applyBorder="1" applyAlignment="1" applyProtection="1">
      <alignment horizontal="left" vertical="top" wrapText="1" shrinkToFit="1"/>
      <protection locked="0"/>
    </xf>
    <xf numFmtId="0" fontId="5" fillId="0" borderId="13" xfId="0" applyFont="1" applyFill="1" applyBorder="1" applyAlignment="1" applyProtection="1">
      <alignment horizontal="right" vertical="top" wrapText="1" shrinkToFit="1"/>
      <protection locked="0"/>
    </xf>
    <xf numFmtId="0" fontId="5" fillId="0" borderId="3" xfId="0" applyFont="1" applyFill="1" applyBorder="1" applyAlignment="1" applyProtection="1">
      <alignment horizontal="right" vertical="top" wrapText="1" shrinkToFit="1"/>
      <protection locked="0"/>
    </xf>
    <xf numFmtId="0" fontId="56" fillId="28" borderId="10" xfId="0" applyFont="1" applyFill="1" applyBorder="1" applyAlignment="1" applyProtection="1">
      <alignment horizontal="center" vertical="center" wrapText="1"/>
      <protection locked="0"/>
    </xf>
    <xf numFmtId="0" fontId="56" fillId="28" borderId="12" xfId="0" applyFont="1" applyFill="1" applyBorder="1" applyAlignment="1" applyProtection="1">
      <alignment horizontal="center" vertical="center" wrapText="1"/>
      <protection locked="0"/>
    </xf>
    <xf numFmtId="0" fontId="56" fillId="28" borderId="0" xfId="0" applyFont="1" applyFill="1" applyBorder="1" applyAlignment="1" applyProtection="1">
      <alignment horizontal="center" vertical="center" wrapText="1"/>
      <protection locked="0"/>
    </xf>
    <xf numFmtId="0" fontId="56" fillId="28" borderId="5" xfId="0" applyFont="1" applyFill="1" applyBorder="1" applyAlignment="1" applyProtection="1">
      <alignment horizontal="center" vertical="center" wrapText="1"/>
      <protection locked="0"/>
    </xf>
    <xf numFmtId="0" fontId="4" fillId="0" borderId="3" xfId="0" applyFont="1" applyBorder="1" applyAlignment="1" applyProtection="1">
      <alignment horizontal="left" vertical="top" wrapText="1" shrinkToFit="1"/>
      <protection locked="0"/>
    </xf>
    <xf numFmtId="0" fontId="22" fillId="0" borderId="3" xfId="0" applyFont="1" applyBorder="1" applyAlignment="1" applyProtection="1">
      <alignment horizontal="left" vertical="top" shrinkToFit="1"/>
      <protection locked="0"/>
    </xf>
    <xf numFmtId="0" fontId="22" fillId="0" borderId="14" xfId="0" applyFont="1" applyBorder="1" applyAlignment="1" applyProtection="1">
      <alignment horizontal="left" vertical="top" shrinkToFit="1"/>
      <protection locked="0"/>
    </xf>
    <xf numFmtId="0" fontId="5" fillId="0" borderId="13" xfId="0" applyFont="1" applyFill="1" applyBorder="1" applyAlignment="1" applyProtection="1">
      <alignment horizontal="left" vertical="top"/>
      <protection locked="0"/>
    </xf>
    <xf numFmtId="0" fontId="5" fillId="0" borderId="3"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11" fillId="0" borderId="0" xfId="0" applyFont="1" applyFill="1" applyAlignment="1" applyProtection="1">
      <alignment horizontal="center" vertical="center" wrapText="1"/>
      <protection locked="0"/>
    </xf>
    <xf numFmtId="0" fontId="2" fillId="0" borderId="11" xfId="0" applyFont="1" applyFill="1" applyBorder="1" applyAlignment="1" applyProtection="1">
      <alignment horizontal="left" vertical="top" wrapText="1"/>
      <protection locked="0"/>
    </xf>
    <xf numFmtId="0" fontId="5" fillId="0" borderId="10" xfId="0" applyFont="1" applyFill="1" applyBorder="1" applyAlignment="1" applyProtection="1">
      <alignment horizontal="left" vertical="top" wrapText="1"/>
      <protection locked="0"/>
    </xf>
    <xf numFmtId="0" fontId="5" fillId="0" borderId="12" xfId="0" applyFont="1" applyFill="1" applyBorder="1" applyAlignment="1" applyProtection="1">
      <alignment horizontal="left" vertical="top" wrapText="1"/>
      <protection locked="0"/>
    </xf>
    <xf numFmtId="0" fontId="56" fillId="28" borderId="11" xfId="0" applyFont="1" applyFill="1" applyBorder="1" applyAlignment="1" applyProtection="1">
      <alignment horizontal="center" vertical="center" shrinkToFit="1"/>
      <protection locked="0"/>
    </xf>
    <xf numFmtId="0" fontId="56" fillId="28" borderId="10" xfId="0" applyFont="1" applyFill="1" applyBorder="1" applyAlignment="1" applyProtection="1">
      <alignment horizontal="center" vertical="center" shrinkToFit="1"/>
      <protection locked="0"/>
    </xf>
    <xf numFmtId="0" fontId="56" fillId="28" borderId="12" xfId="0" applyFont="1" applyFill="1" applyBorder="1" applyAlignment="1" applyProtection="1">
      <alignment horizontal="center" vertical="center" shrinkToFit="1"/>
      <protection locked="0"/>
    </xf>
    <xf numFmtId="0" fontId="4" fillId="0" borderId="3" xfId="0" applyFont="1" applyBorder="1" applyAlignment="1" applyProtection="1">
      <alignment horizontal="center" vertical="top" wrapText="1" shrinkToFit="1"/>
      <protection locked="0"/>
    </xf>
    <xf numFmtId="0" fontId="4" fillId="0" borderId="14" xfId="0" applyFont="1" applyBorder="1" applyAlignment="1" applyProtection="1">
      <alignment horizontal="center" vertical="top" wrapText="1" shrinkToFit="1"/>
      <protection locked="0"/>
    </xf>
    <xf numFmtId="0" fontId="7" fillId="0" borderId="11" xfId="0" applyFont="1" applyBorder="1" applyAlignment="1" applyProtection="1">
      <alignment horizontal="left" vertical="center" shrinkToFit="1"/>
    </xf>
    <xf numFmtId="0" fontId="7" fillId="0" borderId="10" xfId="0" applyFont="1" applyBorder="1" applyAlignment="1" applyProtection="1">
      <alignment horizontal="left" vertical="center" shrinkToFit="1"/>
    </xf>
    <xf numFmtId="0" fontId="7" fillId="0" borderId="12" xfId="0" applyFont="1" applyBorder="1" applyAlignment="1" applyProtection="1">
      <alignment horizontal="left" vertical="center" shrinkToFit="1"/>
    </xf>
    <xf numFmtId="0" fontId="7" fillId="0" borderId="11" xfId="0" applyFont="1" applyFill="1" applyBorder="1" applyAlignment="1" applyProtection="1">
      <alignment horizontal="left" vertical="center" shrinkToFit="1"/>
    </xf>
    <xf numFmtId="0" fontId="7" fillId="0" borderId="10" xfId="0" applyFont="1" applyFill="1" applyBorder="1" applyAlignment="1" applyProtection="1">
      <alignment horizontal="left" vertical="center" shrinkToFit="1"/>
    </xf>
    <xf numFmtId="0" fontId="7" fillId="0" borderId="12" xfId="0" applyFont="1" applyFill="1" applyBorder="1" applyAlignment="1" applyProtection="1">
      <alignment horizontal="left" vertical="center" shrinkToFit="1"/>
    </xf>
    <xf numFmtId="0" fontId="57" fillId="0" borderId="13" xfId="0" applyFont="1" applyBorder="1" applyAlignment="1" applyProtection="1">
      <alignment horizontal="left" vertical="center" shrinkToFit="1"/>
    </xf>
    <xf numFmtId="0" fontId="57" fillId="0" borderId="3" xfId="0" applyFont="1" applyBorder="1" applyAlignment="1" applyProtection="1">
      <alignment horizontal="left" vertical="center" shrinkToFit="1"/>
    </xf>
    <xf numFmtId="0" fontId="57" fillId="0" borderId="14" xfId="0" applyFont="1" applyBorder="1" applyAlignment="1" applyProtection="1">
      <alignment horizontal="left" vertical="center" shrinkToFit="1"/>
    </xf>
    <xf numFmtId="0" fontId="7" fillId="0" borderId="11" xfId="0" applyFont="1" applyBorder="1" applyAlignment="1" applyProtection="1">
      <alignment horizontal="left" vertical="center" wrapText="1"/>
    </xf>
    <xf numFmtId="0" fontId="7" fillId="0" borderId="10" xfId="0" applyFont="1" applyBorder="1" applyAlignment="1" applyProtection="1">
      <alignment horizontal="left" vertical="center" wrapText="1"/>
    </xf>
    <xf numFmtId="0" fontId="7" fillId="0" borderId="12" xfId="0" applyFont="1" applyBorder="1" applyAlignment="1" applyProtection="1">
      <alignment horizontal="left" vertical="center" wrapText="1"/>
    </xf>
    <xf numFmtId="0" fontId="57" fillId="0" borderId="13" xfId="0" applyFont="1" applyBorder="1" applyAlignment="1" applyProtection="1">
      <alignment horizontal="left" vertical="center" wrapText="1" shrinkToFit="1"/>
    </xf>
    <xf numFmtId="49" fontId="5" fillId="0" borderId="6" xfId="0" applyNumberFormat="1" applyFont="1" applyFill="1" applyBorder="1" applyAlignment="1" applyProtection="1">
      <alignment horizontal="left" vertical="center" wrapText="1"/>
      <protection locked="0"/>
    </xf>
    <xf numFmtId="49" fontId="5" fillId="0" borderId="9" xfId="0" applyNumberFormat="1" applyFont="1" applyFill="1" applyBorder="1" applyAlignment="1" applyProtection="1">
      <alignment horizontal="left" vertical="center" wrapText="1"/>
      <protection locked="0"/>
    </xf>
    <xf numFmtId="49" fontId="5" fillId="0" borderId="15" xfId="0" applyNumberFormat="1" applyFont="1" applyFill="1" applyBorder="1" applyAlignment="1" applyProtection="1">
      <alignment horizontal="left" vertical="center" wrapText="1"/>
      <protection locked="0"/>
    </xf>
    <xf numFmtId="49" fontId="5" fillId="0" borderId="6" xfId="0" applyNumberFormat="1" applyFont="1" applyFill="1" applyBorder="1" applyAlignment="1" applyProtection="1">
      <alignment vertical="center" wrapText="1"/>
      <protection locked="0"/>
    </xf>
    <xf numFmtId="49" fontId="5" fillId="0" borderId="9" xfId="0" applyNumberFormat="1" applyFont="1" applyFill="1" applyBorder="1" applyAlignment="1" applyProtection="1">
      <alignment vertical="center" wrapText="1"/>
      <protection locked="0"/>
    </xf>
    <xf numFmtId="49" fontId="5" fillId="0" borderId="15" xfId="0" applyNumberFormat="1" applyFont="1" applyFill="1" applyBorder="1" applyAlignment="1" applyProtection="1">
      <alignment vertical="center" wrapText="1"/>
      <protection locked="0"/>
    </xf>
    <xf numFmtId="0" fontId="9" fillId="13" borderId="6" xfId="0" applyFont="1" applyFill="1" applyBorder="1" applyAlignment="1" applyProtection="1">
      <alignment horizontal="center" vertical="center" wrapText="1"/>
      <protection locked="0"/>
    </xf>
    <xf numFmtId="0" fontId="9" fillId="13" borderId="9" xfId="0" applyFont="1" applyFill="1" applyBorder="1" applyAlignment="1" applyProtection="1">
      <alignment horizontal="center" vertical="center" wrapText="1"/>
      <protection locked="0"/>
    </xf>
    <xf numFmtId="0" fontId="9" fillId="13" borderId="15" xfId="0" applyFont="1" applyFill="1" applyBorder="1" applyAlignment="1" applyProtection="1">
      <alignment horizontal="center" vertical="center" wrapText="1"/>
      <protection locked="0"/>
    </xf>
    <xf numFmtId="49" fontId="5" fillId="0" borderId="6" xfId="0" applyNumberFormat="1" applyFont="1" applyFill="1" applyBorder="1" applyAlignment="1" applyProtection="1">
      <alignment horizontal="center" vertical="center" wrapText="1"/>
      <protection locked="0"/>
    </xf>
    <xf numFmtId="49" fontId="5" fillId="0" borderId="9" xfId="0" applyNumberFormat="1" applyFont="1" applyFill="1" applyBorder="1" applyAlignment="1" applyProtection="1">
      <alignment horizontal="center" vertical="center" wrapText="1"/>
      <protection locked="0"/>
    </xf>
    <xf numFmtId="49" fontId="5" fillId="0" borderId="15" xfId="0" applyNumberFormat="1" applyFont="1" applyFill="1" applyBorder="1" applyAlignment="1" applyProtection="1">
      <alignment horizontal="center" vertical="center" wrapText="1"/>
      <protection locked="0"/>
    </xf>
    <xf numFmtId="0" fontId="7" fillId="14" borderId="0" xfId="0" applyFont="1" applyFill="1" applyBorder="1" applyAlignment="1" applyProtection="1">
      <alignment horizontal="left" vertical="center" wrapText="1"/>
    </xf>
    <xf numFmtId="0" fontId="57" fillId="14" borderId="0" xfId="0" applyFont="1" applyFill="1" applyBorder="1" applyAlignment="1" applyProtection="1">
      <alignment horizontal="left" vertical="center" shrinkToFit="1"/>
    </xf>
    <xf numFmtId="0" fontId="7" fillId="0" borderId="0" xfId="0" applyFont="1" applyBorder="1" applyAlignment="1" applyProtection="1">
      <alignment horizontal="left" vertical="center" shrinkToFit="1"/>
    </xf>
    <xf numFmtId="0" fontId="57" fillId="0" borderId="0" xfId="0" applyFont="1" applyBorder="1" applyAlignment="1" applyProtection="1">
      <alignment horizontal="left" vertical="center" shrinkToFit="1"/>
    </xf>
    <xf numFmtId="0" fontId="7" fillId="14" borderId="0" xfId="0" applyFont="1" applyFill="1" applyBorder="1" applyAlignment="1" applyProtection="1">
      <alignment horizontal="left" vertical="center" shrinkToFit="1"/>
    </xf>
    <xf numFmtId="0" fontId="7" fillId="0" borderId="0" xfId="0" applyFont="1" applyFill="1" applyBorder="1" applyAlignment="1" applyProtection="1">
      <alignment horizontal="left" vertical="center" shrinkToFit="1"/>
    </xf>
    <xf numFmtId="49" fontId="5" fillId="29" borderId="6" xfId="0" applyNumberFormat="1" applyFont="1" applyFill="1" applyBorder="1" applyAlignment="1" applyProtection="1">
      <alignment horizontal="center" vertical="center" wrapText="1"/>
      <protection locked="0"/>
    </xf>
    <xf numFmtId="49" fontId="5" fillId="29" borderId="9" xfId="0" applyNumberFormat="1" applyFont="1" applyFill="1" applyBorder="1" applyAlignment="1" applyProtection="1">
      <alignment horizontal="center" vertical="center" wrapText="1"/>
      <protection locked="0"/>
    </xf>
    <xf numFmtId="49" fontId="5" fillId="29" borderId="15" xfId="0" applyNumberFormat="1" applyFont="1" applyFill="1" applyBorder="1" applyAlignment="1" applyProtection="1">
      <alignment horizontal="center" vertical="center" wrapText="1"/>
      <protection locked="0"/>
    </xf>
    <xf numFmtId="0" fontId="12" fillId="14" borderId="0" xfId="0" applyFont="1" applyFill="1" applyBorder="1" applyAlignment="1" applyProtection="1">
      <alignment horizontal="left" vertical="center" shrinkToFit="1"/>
    </xf>
    <xf numFmtId="49" fontId="5" fillId="31" borderId="6" xfId="0" applyNumberFormat="1" applyFont="1" applyFill="1" applyBorder="1" applyAlignment="1" applyProtection="1">
      <alignment horizontal="center" vertical="center" wrapText="1"/>
      <protection locked="0"/>
    </xf>
    <xf numFmtId="49" fontId="5" fillId="31" borderId="9" xfId="0" applyNumberFormat="1" applyFont="1" applyFill="1" applyBorder="1" applyAlignment="1" applyProtection="1">
      <alignment horizontal="center" vertical="center" wrapText="1"/>
      <protection locked="0"/>
    </xf>
    <xf numFmtId="49" fontId="5" fillId="31" borderId="15" xfId="0" applyNumberFormat="1" applyFont="1" applyFill="1" applyBorder="1" applyAlignment="1" applyProtection="1">
      <alignment horizontal="center"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49" fontId="15" fillId="0" borderId="0" xfId="0" applyNumberFormat="1" applyFont="1" applyFill="1" applyAlignment="1" applyProtection="1">
      <alignment horizontal="left" vertical="center" wrapText="1"/>
      <protection locked="0"/>
    </xf>
    <xf numFmtId="49" fontId="2" fillId="0" borderId="6" xfId="0" applyNumberFormat="1" applyFont="1" applyFill="1" applyBorder="1" applyAlignment="1" applyProtection="1">
      <alignment horizontal="left" vertical="center" wrapText="1"/>
      <protection locked="0"/>
    </xf>
    <xf numFmtId="0" fontId="36" fillId="0" borderId="0" xfId="20" applyBorder="1" applyAlignment="1">
      <alignment horizontal="center" vertical="center"/>
    </xf>
    <xf numFmtId="49" fontId="2" fillId="31" borderId="6" xfId="0" applyNumberFormat="1" applyFont="1" applyFill="1" applyBorder="1" applyAlignment="1" applyProtection="1">
      <alignment horizontal="center" vertical="center" wrapText="1"/>
      <protection locked="0"/>
    </xf>
    <xf numFmtId="49" fontId="5" fillId="32" borderId="6" xfId="0" applyNumberFormat="1" applyFont="1" applyFill="1" applyBorder="1" applyAlignment="1" applyProtection="1">
      <alignment horizontal="center" vertical="center" wrapText="1"/>
      <protection locked="0"/>
    </xf>
    <xf numFmtId="49" fontId="5" fillId="32" borderId="9"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0" fontId="60" fillId="30" borderId="6" xfId="0" applyFont="1" applyFill="1" applyBorder="1" applyAlignment="1">
      <alignment horizontal="center" vertical="center" wrapText="1"/>
    </xf>
    <xf numFmtId="0" fontId="60" fillId="30" borderId="9" xfId="0" applyFont="1" applyFill="1" applyBorder="1" applyAlignment="1">
      <alignment horizontal="center" vertical="center" wrapText="1"/>
    </xf>
    <xf numFmtId="0" fontId="60" fillId="30" borderId="15" xfId="0" applyFont="1" applyFill="1" applyBorder="1" applyAlignment="1">
      <alignment horizontal="center" vertical="center" wrapText="1"/>
    </xf>
    <xf numFmtId="0" fontId="39" fillId="12" borderId="0" xfId="72" applyFill="1" applyBorder="1" applyAlignment="1">
      <alignment horizontal="center"/>
    </xf>
    <xf numFmtId="0" fontId="3" fillId="0" borderId="3" xfId="0" applyFont="1" applyFill="1" applyBorder="1" applyAlignment="1">
      <alignment horizontal="center" vertical="center" wrapText="1"/>
    </xf>
    <xf numFmtId="0" fontId="2" fillId="0" borderId="0" xfId="0" applyFont="1" applyBorder="1" applyAlignment="1">
      <alignment horizontal="left" vertical="center" wrapText="1"/>
    </xf>
    <xf numFmtId="0" fontId="2" fillId="0" borderId="0" xfId="0" applyFont="1" applyAlignment="1">
      <alignment horizontal="left" vertical="top" wrapText="1"/>
    </xf>
    <xf numFmtId="0" fontId="5" fillId="0" borderId="0" xfId="0" applyFont="1" applyAlignment="1">
      <alignment horizontal="left" vertical="top" wrapText="1"/>
    </xf>
    <xf numFmtId="0" fontId="0" fillId="0" borderId="0" xfId="0" applyAlignment="1">
      <alignment vertical="center" wrapText="1"/>
    </xf>
    <xf numFmtId="0" fontId="2" fillId="0" borderId="0" xfId="0" applyFont="1" applyAlignment="1">
      <alignment vertical="center" wrapText="1"/>
    </xf>
    <xf numFmtId="0" fontId="5" fillId="0" borderId="0" xfId="0" applyFont="1" applyAlignment="1">
      <alignment vertical="center" wrapText="1"/>
    </xf>
    <xf numFmtId="0" fontId="28" fillId="19" borderId="6" xfId="5" applyNumberFormat="1" applyFont="1" applyBorder="1" applyAlignment="1" applyProtection="1">
      <alignment horizontal="center" vertical="center" wrapText="1"/>
      <protection locked="0"/>
    </xf>
    <xf numFmtId="0" fontId="28" fillId="19" borderId="15" xfId="5" applyNumberFormat="1" applyFont="1" applyBorder="1" applyAlignment="1" applyProtection="1">
      <alignment horizontal="center" vertical="center" wrapText="1"/>
      <protection locked="0"/>
    </xf>
  </cellXfs>
  <cellStyles count="82">
    <cellStyle name="20% - Accent1" xfId="1" builtinId="30"/>
    <cellStyle name="20% - Accent2" xfId="2" builtinId="34"/>
    <cellStyle name="20% - Accent6" xfId="3" builtinId="50"/>
    <cellStyle name="40% - Accent6" xfId="4" builtinId="51"/>
    <cellStyle name="Accent1" xfId="5" builtinId="29"/>
    <cellStyle name="Accent2" xfId="6" builtinId="33"/>
    <cellStyle name="Accent6" xfId="7" builtinId="49"/>
    <cellStyle name="CA style" xfId="8" xr:uid="{00000000-0005-0000-0000-000007000000}"/>
    <cellStyle name="Calculation" xfId="9" builtinId="22"/>
    <cellStyle name="Calculation 2" xfId="10" xr:uid="{00000000-0005-0000-0000-000009000000}"/>
    <cellStyle name="Check Cell 2" xfId="11" xr:uid="{00000000-0005-0000-0000-00000A000000}"/>
    <cellStyle name="entry" xfId="12" xr:uid="{00000000-0005-0000-0000-00000B000000}"/>
    <cellStyle name="entry 2" xfId="13" xr:uid="{00000000-0005-0000-0000-00000C000000}"/>
    <cellStyle name="entry 2 2" xfId="14" xr:uid="{00000000-0005-0000-0000-00000D000000}"/>
    <cellStyle name="entry 3" xfId="15" xr:uid="{00000000-0005-0000-0000-00000E000000}"/>
    <cellStyle name="entry 3 2" xfId="16" xr:uid="{00000000-0005-0000-0000-00000F000000}"/>
    <cellStyle name="entry 4" xfId="17" xr:uid="{00000000-0005-0000-0000-000010000000}"/>
    <cellStyle name="entry 5" xfId="18" xr:uid="{00000000-0005-0000-0000-000011000000}"/>
    <cellStyle name="Heading 4" xfId="19" builtinId="19"/>
    <cellStyle name="Hyperlink" xfId="20" builtinId="8"/>
    <cellStyle name="Hyperlink 2" xfId="21" xr:uid="{00000000-0005-0000-0000-000014000000}"/>
    <cellStyle name="Inconsistent style" xfId="22" xr:uid="{00000000-0005-0000-0000-000015000000}"/>
    <cellStyle name="Inconsistent style 2" xfId="23" xr:uid="{00000000-0005-0000-0000-000016000000}"/>
    <cellStyle name="Inconsistent style 2 2" xfId="24" xr:uid="{00000000-0005-0000-0000-000017000000}"/>
    <cellStyle name="Inconsistent style 3" xfId="25" xr:uid="{00000000-0005-0000-0000-000018000000}"/>
    <cellStyle name="Input" xfId="26" builtinId="20"/>
    <cellStyle name="NA style" xfId="27" xr:uid="{00000000-0005-0000-0000-00001A000000}"/>
    <cellStyle name="NOK style" xfId="28" xr:uid="{00000000-0005-0000-0000-00001B000000}"/>
    <cellStyle name="Normal" xfId="0" builtinId="0"/>
    <cellStyle name="Normal 2" xfId="29" xr:uid="{00000000-0005-0000-0000-00001D000000}"/>
    <cellStyle name="Normal 2 2" xfId="30" xr:uid="{00000000-0005-0000-0000-00001E000000}"/>
    <cellStyle name="Normal 3" xfId="31" xr:uid="{00000000-0005-0000-0000-00001F000000}"/>
    <cellStyle name="Normal 3 2" xfId="32" xr:uid="{00000000-0005-0000-0000-000020000000}"/>
    <cellStyle name="Normal 4" xfId="33" xr:uid="{00000000-0005-0000-0000-000021000000}"/>
    <cellStyle name="Normal 5" xfId="34" xr:uid="{00000000-0005-0000-0000-000022000000}"/>
    <cellStyle name="Normal 6" xfId="35" xr:uid="{00000000-0005-0000-0000-000023000000}"/>
    <cellStyle name="OK style" xfId="36" xr:uid="{00000000-0005-0000-0000-000024000000}"/>
    <cellStyle name="Output 2" xfId="37" xr:uid="{00000000-0005-0000-0000-000025000000}"/>
    <cellStyle name="para" xfId="38" xr:uid="{00000000-0005-0000-0000-000026000000}"/>
    <cellStyle name="para 2" xfId="39" xr:uid="{00000000-0005-0000-0000-000027000000}"/>
    <cellStyle name="Percent" xfId="40" builtinId="5" customBuiltin="1"/>
    <cellStyle name="Percent 2" xfId="41" xr:uid="{00000000-0005-0000-0000-000029000000}"/>
    <cellStyle name="sect" xfId="42" xr:uid="{00000000-0005-0000-0000-00002A000000}"/>
    <cellStyle name="sect1" xfId="43" xr:uid="{00000000-0005-0000-0000-00002B000000}"/>
    <cellStyle name="sect2" xfId="44" xr:uid="{00000000-0005-0000-0000-00002C000000}"/>
    <cellStyle name="sect3" xfId="45" xr:uid="{00000000-0005-0000-0000-00002D000000}"/>
    <cellStyle name="sect4" xfId="46" xr:uid="{00000000-0005-0000-0000-00002E000000}"/>
    <cellStyle name="sect4 2" xfId="47" xr:uid="{00000000-0005-0000-0000-00002F000000}"/>
    <cellStyle name="sect4 2 2" xfId="48" xr:uid="{00000000-0005-0000-0000-000030000000}"/>
    <cellStyle name="sect4 3" xfId="49" xr:uid="{00000000-0005-0000-0000-000031000000}"/>
    <cellStyle name="sect5" xfId="50" xr:uid="{00000000-0005-0000-0000-000032000000}"/>
    <cellStyle name="sect5 2" xfId="51" xr:uid="{00000000-0005-0000-0000-000033000000}"/>
    <cellStyle name="sect5 2 2" xfId="52" xr:uid="{00000000-0005-0000-0000-000034000000}"/>
    <cellStyle name="sect5 3" xfId="53" xr:uid="{00000000-0005-0000-0000-000035000000}"/>
    <cellStyle name="sect6" xfId="54" xr:uid="{00000000-0005-0000-0000-000036000000}"/>
    <cellStyle name="sect6 2" xfId="55" xr:uid="{00000000-0005-0000-0000-000037000000}"/>
    <cellStyle name="sect6 2 2" xfId="56" xr:uid="{00000000-0005-0000-0000-000038000000}"/>
    <cellStyle name="sect6 3" xfId="57" xr:uid="{00000000-0005-0000-0000-000039000000}"/>
    <cellStyle name="sect7" xfId="58" xr:uid="{00000000-0005-0000-0000-00003A000000}"/>
    <cellStyle name="sect7 2" xfId="59" xr:uid="{00000000-0005-0000-0000-00003B000000}"/>
    <cellStyle name="sect7 2 2" xfId="60" xr:uid="{00000000-0005-0000-0000-00003C000000}"/>
    <cellStyle name="sect7 3" xfId="61" xr:uid="{00000000-0005-0000-0000-00003D000000}"/>
    <cellStyle name="sect8" xfId="62" xr:uid="{00000000-0005-0000-0000-00003E000000}"/>
    <cellStyle name="sect8 2" xfId="63" xr:uid="{00000000-0005-0000-0000-00003F000000}"/>
    <cellStyle name="sect8 2 2" xfId="64" xr:uid="{00000000-0005-0000-0000-000040000000}"/>
    <cellStyle name="sect8 3" xfId="65" xr:uid="{00000000-0005-0000-0000-000041000000}"/>
    <cellStyle name="sect9" xfId="66" xr:uid="{00000000-0005-0000-0000-000042000000}"/>
    <cellStyle name="sect9 2" xfId="67" xr:uid="{00000000-0005-0000-0000-000043000000}"/>
    <cellStyle name="sect9 2 2" xfId="68" xr:uid="{00000000-0005-0000-0000-000044000000}"/>
    <cellStyle name="sect9 3" xfId="69" xr:uid="{00000000-0005-0000-0000-000045000000}"/>
    <cellStyle name="tableTitle" xfId="70" xr:uid="{00000000-0005-0000-0000-000046000000}"/>
    <cellStyle name="Tested Previously" xfId="71" xr:uid="{00000000-0005-0000-0000-000047000000}"/>
    <cellStyle name="Title" xfId="72" builtinId="15"/>
    <cellStyle name="title 2" xfId="73" xr:uid="{00000000-0005-0000-0000-000049000000}"/>
    <cellStyle name="Warning Text" xfId="74" builtinId="11"/>
    <cellStyle name="Without format but centered" xfId="75" xr:uid="{00000000-0005-0000-0000-00004B000000}"/>
    <cellStyle name="Without format but centered 2" xfId="76" xr:uid="{00000000-0005-0000-0000-00004C000000}"/>
    <cellStyle name="Without format but centered 2 2" xfId="77" xr:uid="{00000000-0005-0000-0000-00004D000000}"/>
    <cellStyle name="Without format but centered 3" xfId="78" xr:uid="{00000000-0005-0000-0000-00004E000000}"/>
    <cellStyle name="Without format but centered 3 2" xfId="79" xr:uid="{00000000-0005-0000-0000-00004F000000}"/>
    <cellStyle name="Without format but centered 4" xfId="80" xr:uid="{00000000-0005-0000-0000-000050000000}"/>
    <cellStyle name="Without format but centered 5" xfId="81" xr:uid="{00000000-0005-0000-0000-000051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883761785800629"/>
          <c:y val="0.17491688276238571"/>
          <c:w val="0.35172964756035097"/>
          <c:h val="0.61069598645896095"/>
        </c:manualLayout>
      </c:layout>
      <c:pieChart>
        <c:varyColors val="1"/>
        <c:ser>
          <c:idx val="1"/>
          <c:order val="0"/>
          <c:tx>
            <c:strRef>
              <c:f>Statistics!$A$49</c:f>
              <c:strCache>
                <c:ptCount val="1"/>
                <c:pt idx="0">
                  <c:v>Unit Tests Status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Statistics!$A$51:$A$56</c:f>
              <c:strCache>
                <c:ptCount val="3"/>
                <c:pt idx="0">
                  <c:v>Unit Test Specification and Test Result are available</c:v>
                </c:pt>
                <c:pt idx="1">
                  <c:v>Unit Test Specification is available but Test Result is not available</c:v>
                </c:pt>
                <c:pt idx="2">
                  <c:v>Unit Test Specification and Test Result are not available</c:v>
                </c:pt>
              </c:strCache>
            </c:strRef>
          </c:cat>
          <c:val>
            <c:numRef>
              <c:f>Statistics!$B$51:$B$56</c:f>
              <c:numCache>
                <c:formatCode>General</c:formatCode>
                <c:ptCount val="6"/>
                <c:pt idx="0">
                  <c:v>0</c:v>
                </c:pt>
                <c:pt idx="1">
                  <c:v>0</c:v>
                </c:pt>
                <c:pt idx="2" formatCode="0">
                  <c:v>0</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spPr>
        <a:ln>
          <a:noFill/>
        </a:ln>
      </c:spPr>
    </c:plotArea>
    <c:legend>
      <c:legendPos val="b"/>
      <c:legendEntry>
        <c:idx val="3"/>
        <c:delete val="1"/>
      </c:legendEntry>
      <c:legendEntry>
        <c:idx val="4"/>
        <c:delete val="1"/>
      </c:legendEntry>
      <c:legendEntry>
        <c:idx val="5"/>
        <c:delete val="1"/>
      </c:legendEntry>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Statistics!$A$11</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Statistics!$A$13:$A$14</c:f>
              <c:strCache>
                <c:ptCount val="2"/>
                <c:pt idx="0">
                  <c:v>Satisfied by a low level requirement</c:v>
                </c:pt>
                <c:pt idx="1">
                  <c:v>Not satisfied by a low level requirement</c:v>
                </c:pt>
              </c:strCache>
            </c:strRef>
          </c:cat>
          <c:val>
            <c:numRef>
              <c:f>Statistics!$B$13:$B$14</c:f>
              <c:numCache>
                <c:formatCode>0</c:formatCode>
                <c:ptCount val="2"/>
                <c:pt idx="0" formatCode="General">
                  <c:v>0</c:v>
                </c:pt>
                <c:pt idx="1">
                  <c:v>0</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706374405673304"/>
          <c:y val="0.27386142227462867"/>
          <c:w val="0.35673108227899103"/>
          <c:h val="0.62139251523063532"/>
        </c:manualLayout>
      </c:layout>
      <c:pieChart>
        <c:varyColors val="1"/>
        <c:ser>
          <c:idx val="1"/>
          <c:order val="0"/>
          <c:tx>
            <c:strRef>
              <c:f>Statistics!$A$66</c:f>
              <c:strCache>
                <c:ptCount val="1"/>
                <c:pt idx="0">
                  <c:v>Unit Tests Results</c:v>
                </c:pt>
              </c:strCache>
            </c:strRef>
          </c:tx>
          <c:dPt>
            <c:idx val="0"/>
            <c:bubble3D val="0"/>
            <c:spPr>
              <a:solidFill>
                <a:srgbClr val="00B050"/>
              </a:solidFill>
            </c:spPr>
            <c:extLst>
              <c:ext xmlns:c16="http://schemas.microsoft.com/office/drawing/2014/chart" uri="{C3380CC4-5D6E-409C-BE32-E72D297353CC}">
                <c16:uniqueId val="{0000001C-C123-4A7A-9361-46C615AF7343}"/>
              </c:ext>
            </c:extLst>
          </c:dPt>
          <c:dPt>
            <c:idx val="1"/>
            <c:bubble3D val="0"/>
            <c:spPr>
              <a:solidFill>
                <a:srgbClr val="00B0F0"/>
              </a:solidFill>
            </c:spPr>
            <c:extLst>
              <c:ext xmlns:c16="http://schemas.microsoft.com/office/drawing/2014/chart" uri="{C3380CC4-5D6E-409C-BE32-E72D297353CC}">
                <c16:uniqueId val="{0000001D-C123-4A7A-9361-46C615AF7343}"/>
              </c:ext>
            </c:extLst>
          </c:dPt>
          <c:dPt>
            <c:idx val="2"/>
            <c:bubble3D val="0"/>
            <c:spPr>
              <a:solidFill>
                <a:srgbClr val="FF0000"/>
              </a:solidFill>
            </c:spPr>
            <c:extLst>
              <c:ext xmlns:c16="http://schemas.microsoft.com/office/drawing/2014/chart" uri="{C3380CC4-5D6E-409C-BE32-E72D297353CC}">
                <c16:uniqueId val="{0000001E-C123-4A7A-9361-46C615AF7343}"/>
              </c:ext>
            </c:extLst>
          </c:dPt>
          <c:dPt>
            <c:idx val="3"/>
            <c:bubble3D val="0"/>
            <c:spPr>
              <a:solidFill>
                <a:schemeClr val="accent6">
                  <a:lumMod val="75000"/>
                </a:schemeClr>
              </a:solidFill>
            </c:spPr>
            <c:extLst>
              <c:ext xmlns:c16="http://schemas.microsoft.com/office/drawing/2014/chart" uri="{C3380CC4-5D6E-409C-BE32-E72D297353CC}">
                <c16:uniqueId val="{0000001F-C123-4A7A-9361-46C615AF7343}"/>
              </c:ext>
            </c:extLst>
          </c:dPt>
          <c:dPt>
            <c:idx val="4"/>
            <c:bubble3D val="0"/>
            <c:spPr>
              <a:solidFill>
                <a:schemeClr val="accent6">
                  <a:lumMod val="50000"/>
                </a:schemeClr>
              </a:solidFill>
            </c:spPr>
            <c:extLst>
              <c:ext xmlns:c16="http://schemas.microsoft.com/office/drawing/2014/chart" uri="{C3380CC4-5D6E-409C-BE32-E72D297353CC}">
                <c16:uniqueId val="{00000020-C123-4A7A-9361-46C615AF7343}"/>
              </c:ext>
            </c:extLst>
          </c:dPt>
          <c:dPt>
            <c:idx val="5"/>
            <c:bubble3D val="0"/>
            <c:spPr>
              <a:solidFill>
                <a:srgbClr val="FFFF00"/>
              </a:solidFill>
            </c:spPr>
            <c:extLst>
              <c:ext xmlns:c16="http://schemas.microsoft.com/office/drawing/2014/chart" uri="{C3380CC4-5D6E-409C-BE32-E72D297353CC}">
                <c16:uniqueId val="{00000021-C123-4A7A-9361-46C615AF7343}"/>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Statistics!$A$68:$A$70</c:f>
              <c:strCache>
                <c:ptCount val="3"/>
                <c:pt idx="0">
                  <c:v>Passed</c:v>
                </c:pt>
                <c:pt idx="1">
                  <c:v>Failed</c:v>
                </c:pt>
                <c:pt idx="2">
                  <c:v>Not Tested</c:v>
                </c:pt>
              </c:strCache>
            </c:strRef>
          </c:cat>
          <c:val>
            <c:numRef>
              <c:f>Statistics!$B$68:$B$70</c:f>
              <c:numCache>
                <c:formatCode>General</c:formatCode>
                <c:ptCount val="3"/>
                <c:pt idx="0">
                  <c:v>0</c:v>
                </c:pt>
                <c:pt idx="1">
                  <c:v>0</c:v>
                </c:pt>
                <c:pt idx="2" formatCode="0">
                  <c:v>0</c:v>
                </c:pt>
              </c:numCache>
            </c:numRef>
          </c:val>
          <c:extLst>
            <c:ext xmlns:c16="http://schemas.microsoft.com/office/drawing/2014/chart" uri="{C3380CC4-5D6E-409C-BE32-E72D297353CC}">
              <c16:uniqueId val="{0000001B-C123-4A7A-9361-46C615AF7343}"/>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1495850694444444"/>
          <c:y val="0.22560138888888889"/>
          <c:w val="0.3833123263888889"/>
          <c:h val="0.61329972222222218"/>
        </c:manualLayout>
      </c:layout>
      <c:pieChart>
        <c:varyColors val="1"/>
        <c:ser>
          <c:idx val="1"/>
          <c:order val="0"/>
          <c:tx>
            <c:strRef>
              <c:f>Statistics!$A$30</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Statistics!$A$32:$A$33</c:f>
              <c:strCache>
                <c:ptCount val="2"/>
                <c:pt idx="0">
                  <c:v>Satisfies un upper lever  requirement</c:v>
                </c:pt>
                <c:pt idx="1">
                  <c:v>Doesn't satisfies an upper level requirement</c:v>
                </c:pt>
              </c:strCache>
            </c:strRef>
          </c:cat>
          <c:val>
            <c:numRef>
              <c:f>Statistics!$B$32:$B$33</c:f>
              <c:numCache>
                <c:formatCode>0</c:formatCode>
                <c:ptCount val="2"/>
                <c:pt idx="0" formatCode="General">
                  <c:v>0</c:v>
                </c:pt>
                <c:pt idx="1">
                  <c:v>0</c:v>
                </c:pt>
              </c:numCache>
            </c:numRef>
          </c:val>
          <c:extLst>
            <c:ext xmlns:c16="http://schemas.microsoft.com/office/drawing/2014/chart" uri="{C3380CC4-5D6E-409C-BE32-E72D297353CC}">
              <c16:uniqueId val="{00000009-AACA-468F-A061-7537BB9E23A4}"/>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85725</xdr:rowOff>
        </xdr:from>
        <xdr:to>
          <xdr:col>2</xdr:col>
          <xdr:colOff>180975</xdr:colOff>
          <xdr:row>0</xdr:row>
          <xdr:rowOff>447675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0</xdr:row>
          <xdr:rowOff>76200</xdr:rowOff>
        </xdr:from>
        <xdr:to>
          <xdr:col>3</xdr:col>
          <xdr:colOff>752475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971550</xdr:colOff>
          <xdr:row>0</xdr:row>
          <xdr:rowOff>76200</xdr:rowOff>
        </xdr:from>
        <xdr:to>
          <xdr:col>5</xdr:col>
          <xdr:colOff>714375</xdr:colOff>
          <xdr:row>0</xdr:row>
          <xdr:rowOff>419100</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DesignElements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48</xdr:row>
      <xdr:rowOff>174625</xdr:rowOff>
    </xdr:from>
    <xdr:to>
      <xdr:col>12</xdr:col>
      <xdr:colOff>391075</xdr:colOff>
      <xdr:row>64</xdr:row>
      <xdr:rowOff>2725</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733424</xdr:colOff>
      <xdr:row>10</xdr:row>
      <xdr:rowOff>82549</xdr:rowOff>
    </xdr:from>
    <xdr:to>
      <xdr:col>11</xdr:col>
      <xdr:colOff>3724</xdr:colOff>
      <xdr:row>28</xdr:row>
      <xdr:rowOff>126549</xdr:rowOff>
    </xdr:to>
    <xdr:graphicFrame macro="">
      <xdr:nvGraphicFramePr>
        <xdr:cNvPr id="20329" name="Chart 8">
          <a:extLst>
            <a:ext uri="{FF2B5EF4-FFF2-40B4-BE49-F238E27FC236}">
              <a16:creationId xmlns:a16="http://schemas.microsoft.com/office/drawing/2014/main" id="{00000000-0008-0000-0300-000069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650875</xdr:colOff>
      <xdr:row>65</xdr:row>
      <xdr:rowOff>174625</xdr:rowOff>
    </xdr:from>
    <xdr:to>
      <xdr:col>12</xdr:col>
      <xdr:colOff>391075</xdr:colOff>
      <xdr:row>81</xdr:row>
      <xdr:rowOff>2725</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xdr:col>
      <xdr:colOff>733424</xdr:colOff>
      <xdr:row>29</xdr:row>
      <xdr:rowOff>82549</xdr:rowOff>
    </xdr:from>
    <xdr:ext cx="5760000" cy="3600000"/>
    <xdr:graphicFrame macro="">
      <xdr:nvGraphicFramePr>
        <xdr:cNvPr id="11" name="Chart 8">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SDM_ProjectSpecific.xlsm</v>
      </c>
      <c r="AE3" s="9"/>
      <c r="AF3" s="9"/>
      <c r="AG3" s="9"/>
      <c r="AH3" s="9"/>
      <c r="AI3" s="9"/>
      <c r="AJ3" s="9"/>
      <c r="AK3" s="9"/>
    </row>
    <row r="4" spans="1:37" s="8" customFormat="1" ht="11.1" customHeight="1" x14ac:dyDescent="0.2">
      <c r="A4" s="251" t="s">
        <v>1</v>
      </c>
      <c r="B4" s="252"/>
      <c r="C4" s="252"/>
      <c r="D4" s="252"/>
      <c r="E4" s="252"/>
      <c r="F4" s="252"/>
      <c r="G4" s="252"/>
      <c r="H4" s="252"/>
      <c r="I4" s="252"/>
      <c r="J4" s="252"/>
      <c r="K4" s="252"/>
      <c r="L4" s="252"/>
      <c r="M4" s="252"/>
      <c r="N4" s="252"/>
      <c r="O4" s="252"/>
      <c r="P4" s="252"/>
      <c r="Q4" s="252"/>
      <c r="R4" s="252"/>
      <c r="S4" s="252"/>
      <c r="T4" s="252"/>
      <c r="U4" s="252"/>
      <c r="V4" s="253"/>
      <c r="W4" s="260" t="s">
        <v>2</v>
      </c>
      <c r="X4" s="261"/>
      <c r="Y4" s="261"/>
      <c r="Z4" s="261"/>
      <c r="AA4" s="262"/>
      <c r="AB4" s="254" t="s">
        <v>20</v>
      </c>
      <c r="AC4" s="255"/>
      <c r="AD4" s="255"/>
      <c r="AE4" s="255"/>
      <c r="AF4" s="255"/>
      <c r="AG4" s="256"/>
      <c r="AH4" s="11"/>
      <c r="AI4" s="11"/>
      <c r="AJ4" s="11"/>
      <c r="AK4" s="9"/>
    </row>
    <row r="5" spans="1:37" s="13" customFormat="1" ht="12.75" customHeight="1" x14ac:dyDescent="0.2">
      <c r="A5" s="257" t="s">
        <v>140</v>
      </c>
      <c r="B5" s="258"/>
      <c r="C5" s="258"/>
      <c r="D5" s="258"/>
      <c r="E5" s="258"/>
      <c r="F5" s="258"/>
      <c r="G5" s="258"/>
      <c r="H5" s="258"/>
      <c r="I5" s="258"/>
      <c r="J5" s="258"/>
      <c r="K5" s="258"/>
      <c r="L5" s="258"/>
      <c r="M5" s="258"/>
      <c r="N5" s="258"/>
      <c r="O5" s="258"/>
      <c r="P5" s="258"/>
      <c r="Q5" s="258"/>
      <c r="R5" s="258"/>
      <c r="S5" s="258"/>
      <c r="T5" s="258"/>
      <c r="U5" s="258"/>
      <c r="V5" s="259"/>
      <c r="W5" s="257" t="s">
        <v>142</v>
      </c>
      <c r="X5" s="258"/>
      <c r="Y5" s="258"/>
      <c r="Z5" s="258"/>
      <c r="AA5" s="259"/>
      <c r="AB5" s="257" t="s">
        <v>141</v>
      </c>
      <c r="AC5" s="258"/>
      <c r="AD5" s="258"/>
      <c r="AE5" s="258"/>
      <c r="AF5" s="258"/>
      <c r="AG5" s="259"/>
      <c r="AH5" s="12"/>
      <c r="AI5" s="12"/>
      <c r="AJ5" s="12"/>
      <c r="AK5" s="12"/>
    </row>
    <row r="6" spans="1:37" s="46" customFormat="1" ht="11.1" customHeight="1" x14ac:dyDescent="0.2">
      <c r="A6" s="260" t="s">
        <v>3</v>
      </c>
      <c r="B6" s="261"/>
      <c r="C6" s="261"/>
      <c r="D6" s="262"/>
      <c r="E6" s="260" t="s">
        <v>4</v>
      </c>
      <c r="F6" s="261"/>
      <c r="G6" s="261"/>
      <c r="H6" s="261"/>
      <c r="I6" s="261"/>
      <c r="J6" s="261"/>
      <c r="K6" s="261"/>
      <c r="L6" s="261"/>
      <c r="M6" s="261"/>
      <c r="N6" s="261"/>
      <c r="O6" s="261"/>
      <c r="P6" s="261"/>
      <c r="Q6" s="261"/>
      <c r="R6" s="261"/>
      <c r="S6" s="261"/>
      <c r="T6" s="261"/>
      <c r="U6" s="261"/>
      <c r="V6" s="262"/>
      <c r="W6" s="251" t="s">
        <v>15</v>
      </c>
      <c r="X6" s="252"/>
      <c r="Y6" s="252"/>
      <c r="Z6" s="252"/>
      <c r="AA6" s="253"/>
      <c r="AB6" s="260" t="s">
        <v>0</v>
      </c>
      <c r="AC6" s="261"/>
      <c r="AD6" s="262"/>
      <c r="AE6" s="260" t="s">
        <v>5</v>
      </c>
      <c r="AF6" s="261"/>
      <c r="AG6" s="262"/>
      <c r="AH6" s="45"/>
      <c r="AI6" s="45"/>
      <c r="AJ6" s="45"/>
      <c r="AK6" s="45"/>
    </row>
    <row r="7" spans="1:37" s="15" customFormat="1" ht="28.5" customHeight="1" x14ac:dyDescent="0.2">
      <c r="A7" s="257" t="s">
        <v>141</v>
      </c>
      <c r="B7" s="258"/>
      <c r="C7" s="258"/>
      <c r="D7" s="259"/>
      <c r="E7" s="257" t="s">
        <v>154</v>
      </c>
      <c r="F7" s="258"/>
      <c r="G7" s="258"/>
      <c r="H7" s="258"/>
      <c r="I7" s="258"/>
      <c r="J7" s="258"/>
      <c r="K7" s="258"/>
      <c r="L7" s="258"/>
      <c r="M7" s="258"/>
      <c r="N7" s="258"/>
      <c r="O7" s="258"/>
      <c r="P7" s="258"/>
      <c r="Q7" s="258"/>
      <c r="R7" s="258"/>
      <c r="S7" s="258"/>
      <c r="T7" s="258"/>
      <c r="U7" s="258"/>
      <c r="V7" s="259"/>
      <c r="W7" s="263" t="s">
        <v>143</v>
      </c>
      <c r="X7" s="258"/>
      <c r="Y7" s="258"/>
      <c r="Z7" s="258"/>
      <c r="AA7" s="259"/>
      <c r="AB7" s="257" t="s">
        <v>141</v>
      </c>
      <c r="AC7" s="258"/>
      <c r="AD7" s="259"/>
      <c r="AE7" s="257" t="s">
        <v>141</v>
      </c>
      <c r="AF7" s="258"/>
      <c r="AG7" s="25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22" t="s">
        <v>21</v>
      </c>
      <c r="B9" s="223"/>
      <c r="C9" s="223"/>
      <c r="D9" s="223"/>
      <c r="E9" s="223"/>
      <c r="F9" s="223"/>
      <c r="G9" s="223"/>
      <c r="H9" s="223"/>
      <c r="I9" s="223"/>
      <c r="J9" s="223"/>
      <c r="K9" s="224"/>
      <c r="L9" s="222" t="s">
        <v>22</v>
      </c>
      <c r="M9" s="223"/>
      <c r="N9" s="223"/>
      <c r="O9" s="223"/>
      <c r="P9" s="223"/>
      <c r="Q9" s="223"/>
      <c r="R9" s="223"/>
      <c r="S9" s="223"/>
      <c r="T9" s="223"/>
      <c r="U9" s="223"/>
      <c r="V9" s="224"/>
      <c r="W9" s="222" t="s">
        <v>23</v>
      </c>
      <c r="X9" s="223"/>
      <c r="Y9" s="223"/>
      <c r="Z9" s="223"/>
      <c r="AA9" s="223"/>
      <c r="AB9" s="223"/>
      <c r="AC9" s="223"/>
      <c r="AD9" s="223"/>
      <c r="AE9" s="223"/>
      <c r="AF9" s="223"/>
      <c r="AG9" s="224"/>
      <c r="AH9" s="16"/>
      <c r="AI9" s="16"/>
    </row>
    <row r="10" spans="1:37" s="50" customFormat="1" ht="28.5" customHeight="1" x14ac:dyDescent="0.2">
      <c r="A10" s="230" t="s">
        <v>33</v>
      </c>
      <c r="B10" s="231"/>
      <c r="C10" s="231"/>
      <c r="D10" s="231"/>
      <c r="E10" s="231"/>
      <c r="F10" s="228" t="s">
        <v>34</v>
      </c>
      <c r="G10" s="228"/>
      <c r="H10" s="228"/>
      <c r="I10" s="228"/>
      <c r="J10" s="228"/>
      <c r="K10" s="229"/>
      <c r="L10" s="236" t="s">
        <v>139</v>
      </c>
      <c r="M10" s="237"/>
      <c r="N10" s="237"/>
      <c r="O10" s="237"/>
      <c r="P10" s="237"/>
      <c r="Q10" s="237"/>
      <c r="R10" s="237"/>
      <c r="S10" s="237"/>
      <c r="T10" s="237"/>
      <c r="U10" s="237"/>
      <c r="V10" s="238"/>
      <c r="W10" s="236" t="s">
        <v>139</v>
      </c>
      <c r="X10" s="237"/>
      <c r="Y10" s="237"/>
      <c r="Z10" s="237"/>
      <c r="AA10" s="237"/>
      <c r="AB10" s="237"/>
      <c r="AC10" s="237"/>
      <c r="AD10" s="237"/>
      <c r="AE10" s="237"/>
      <c r="AF10" s="237"/>
      <c r="AG10" s="238"/>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46" t="s">
        <v>24</v>
      </c>
      <c r="B12" s="247"/>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8"/>
      <c r="AH12" s="16"/>
      <c r="AI12" s="16"/>
      <c r="AJ12" s="16"/>
      <c r="AK12" s="16"/>
    </row>
    <row r="13" spans="1:37" s="50" customFormat="1" ht="28.5" customHeight="1" x14ac:dyDescent="0.2">
      <c r="A13" s="249" t="s">
        <v>139</v>
      </c>
      <c r="B13" s="249"/>
      <c r="C13" s="249"/>
      <c r="D13" s="249"/>
      <c r="E13" s="249"/>
      <c r="F13" s="249"/>
      <c r="G13" s="249"/>
      <c r="H13" s="249"/>
      <c r="I13" s="249"/>
      <c r="J13" s="249"/>
      <c r="K13" s="249"/>
      <c r="L13" s="249"/>
      <c r="M13" s="249"/>
      <c r="N13" s="249"/>
      <c r="O13" s="249"/>
      <c r="P13" s="249"/>
      <c r="Q13" s="249"/>
      <c r="R13" s="249"/>
      <c r="S13" s="249"/>
      <c r="T13" s="249"/>
      <c r="U13" s="249"/>
      <c r="V13" s="249"/>
      <c r="W13" s="249"/>
      <c r="X13" s="249"/>
      <c r="Y13" s="249"/>
      <c r="Z13" s="249"/>
      <c r="AA13" s="249"/>
      <c r="AB13" s="249"/>
      <c r="AC13" s="249"/>
      <c r="AD13" s="249"/>
      <c r="AE13" s="249"/>
      <c r="AF13" s="249"/>
      <c r="AG13" s="250"/>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32" t="s">
        <v>25</v>
      </c>
      <c r="B15" s="232"/>
      <c r="C15" s="232"/>
      <c r="D15" s="233"/>
      <c r="E15" s="243"/>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244"/>
      <c r="AE15" s="244"/>
      <c r="AF15" s="244"/>
      <c r="AG15" s="245"/>
      <c r="AH15" s="18"/>
      <c r="AI15" s="18"/>
      <c r="AJ15" s="18"/>
      <c r="AK15" s="18"/>
    </row>
    <row r="16" spans="1:37" s="19" customFormat="1" ht="37.5" customHeight="1" x14ac:dyDescent="0.2">
      <c r="A16" s="234"/>
      <c r="B16" s="234"/>
      <c r="C16" s="234"/>
      <c r="D16" s="235"/>
      <c r="E16" s="239"/>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1"/>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42" t="str">
        <f>MXTitle</f>
        <v>SW Detailed Design Matrix</v>
      </c>
      <c r="B23" s="242"/>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c r="AH23" s="18"/>
      <c r="AI23" s="18"/>
      <c r="AJ23" s="18"/>
      <c r="AK23" s="18"/>
    </row>
    <row r="24" spans="1:37" s="91" customFormat="1" ht="26.25" x14ac:dyDescent="0.2">
      <c r="B24" s="92"/>
      <c r="C24" s="93"/>
      <c r="D24" s="93"/>
      <c r="E24" s="93"/>
      <c r="F24" s="93"/>
      <c r="G24" s="93"/>
      <c r="H24" s="93"/>
      <c r="I24" s="93"/>
      <c r="K24" s="94"/>
      <c r="L24" s="95" t="s">
        <v>72</v>
      </c>
      <c r="M24" s="96"/>
      <c r="N24" s="96"/>
      <c r="O24" s="225" t="s">
        <v>91</v>
      </c>
      <c r="P24" s="226"/>
      <c r="Q24" s="226"/>
      <c r="R24" s="226"/>
      <c r="S24" s="226"/>
      <c r="T24" s="226"/>
      <c r="U24" s="227"/>
      <c r="Z24" s="93"/>
      <c r="AA24" s="93"/>
      <c r="AB24" s="93"/>
      <c r="AC24" s="93"/>
      <c r="AD24" s="93"/>
      <c r="AE24" s="93"/>
      <c r="AF24" s="93"/>
      <c r="AG24" s="93"/>
      <c r="AH24" s="93"/>
      <c r="AI24" s="97"/>
      <c r="AJ24" s="97"/>
      <c r="AK24" s="97"/>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 ref="W9:AG9"/>
    <mergeCell ref="O24:U24"/>
    <mergeCell ref="F10:K10"/>
    <mergeCell ref="A10:E10"/>
    <mergeCell ref="A15:D16"/>
    <mergeCell ref="W10:AG10"/>
    <mergeCell ref="E16:AG16"/>
    <mergeCell ref="A23:AG23"/>
    <mergeCell ref="E15:AG15"/>
    <mergeCell ref="A12:AG12"/>
    <mergeCell ref="L9:V9"/>
    <mergeCell ref="L10:V10"/>
    <mergeCell ref="A9:K9"/>
    <mergeCell ref="A13:AG13"/>
  </mergeCells>
  <phoneticPr fontId="4"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SDM_ProjectSpecific.xlsm</v>
      </c>
      <c r="AE3" s="9"/>
      <c r="AF3" s="9"/>
      <c r="AG3" s="9"/>
      <c r="AH3" s="9"/>
      <c r="AI3" s="9"/>
      <c r="AJ3" s="9"/>
      <c r="AK3" s="9"/>
    </row>
    <row r="4" spans="1:37" s="8" customFormat="1" ht="11.1" customHeight="1" x14ac:dyDescent="0.2">
      <c r="A4" s="278"/>
      <c r="B4" s="278"/>
      <c r="C4" s="278"/>
      <c r="D4" s="278"/>
      <c r="E4" s="278"/>
      <c r="F4" s="278"/>
      <c r="G4" s="278"/>
      <c r="H4" s="278"/>
      <c r="I4" s="278"/>
      <c r="J4" s="278"/>
      <c r="K4" s="278"/>
      <c r="L4" s="278"/>
      <c r="M4" s="278"/>
      <c r="N4" s="278"/>
      <c r="O4" s="278"/>
      <c r="P4" s="278"/>
      <c r="Q4" s="278"/>
      <c r="R4" s="278"/>
      <c r="S4" s="278"/>
      <c r="T4" s="278"/>
      <c r="U4" s="278"/>
      <c r="V4" s="278"/>
      <c r="W4" s="276"/>
      <c r="X4" s="276"/>
      <c r="Y4" s="276"/>
      <c r="Z4" s="276"/>
      <c r="AA4" s="276"/>
      <c r="AB4" s="281"/>
      <c r="AC4" s="281"/>
      <c r="AD4" s="281"/>
      <c r="AE4" s="281"/>
      <c r="AF4" s="281"/>
      <c r="AG4" s="281"/>
      <c r="AH4" s="11"/>
      <c r="AI4" s="11"/>
      <c r="AJ4" s="11"/>
      <c r="AK4" s="9"/>
    </row>
    <row r="5" spans="1:37" s="13" customFormat="1" x14ac:dyDescent="0.2">
      <c r="A5" s="279"/>
      <c r="B5" s="279"/>
      <c r="C5" s="279"/>
      <c r="D5" s="279"/>
      <c r="E5" s="279"/>
      <c r="F5" s="279"/>
      <c r="G5" s="279"/>
      <c r="H5" s="279"/>
      <c r="I5" s="279"/>
      <c r="J5" s="279"/>
      <c r="K5" s="279"/>
      <c r="L5" s="279"/>
      <c r="M5" s="279"/>
      <c r="N5" s="279"/>
      <c r="O5" s="279"/>
      <c r="P5" s="279"/>
      <c r="Q5" s="279"/>
      <c r="R5" s="279"/>
      <c r="S5" s="279"/>
      <c r="T5" s="279"/>
      <c r="U5" s="279"/>
      <c r="V5" s="279"/>
      <c r="W5" s="277"/>
      <c r="X5" s="277"/>
      <c r="Y5" s="277"/>
      <c r="Z5" s="277"/>
      <c r="AA5" s="277"/>
      <c r="AB5" s="279"/>
      <c r="AC5" s="279"/>
      <c r="AD5" s="279"/>
      <c r="AE5" s="279"/>
      <c r="AF5" s="279"/>
      <c r="AG5" s="279"/>
      <c r="AH5" s="12"/>
      <c r="AI5" s="12"/>
      <c r="AJ5" s="12"/>
      <c r="AK5" s="12"/>
    </row>
    <row r="6" spans="1:37" s="8" customFormat="1" ht="11.1" customHeight="1" x14ac:dyDescent="0.2">
      <c r="A6" s="280"/>
      <c r="B6" s="280"/>
      <c r="C6" s="280"/>
      <c r="D6" s="280"/>
      <c r="E6" s="280"/>
      <c r="F6" s="280"/>
      <c r="G6" s="280"/>
      <c r="H6" s="280"/>
      <c r="I6" s="280"/>
      <c r="J6" s="280"/>
      <c r="K6" s="280"/>
      <c r="L6" s="280"/>
      <c r="M6" s="280"/>
      <c r="N6" s="280"/>
      <c r="O6" s="280"/>
      <c r="P6" s="280"/>
      <c r="Q6" s="280"/>
      <c r="R6" s="280"/>
      <c r="S6" s="280"/>
      <c r="T6" s="280"/>
      <c r="U6" s="280"/>
      <c r="V6" s="280"/>
      <c r="W6" s="278"/>
      <c r="X6" s="278"/>
      <c r="Y6" s="278"/>
      <c r="Z6" s="278"/>
      <c r="AA6" s="278"/>
      <c r="AB6" s="276"/>
      <c r="AC6" s="276"/>
      <c r="AD6" s="276"/>
      <c r="AE6" s="276"/>
      <c r="AF6" s="276"/>
      <c r="AG6" s="276"/>
      <c r="AH6" s="9"/>
      <c r="AI6" s="9"/>
      <c r="AJ6" s="9"/>
      <c r="AK6" s="9"/>
    </row>
    <row r="7" spans="1:37" s="13" customFormat="1" x14ac:dyDescent="0.2">
      <c r="A7" s="277"/>
      <c r="B7" s="277"/>
      <c r="C7" s="277"/>
      <c r="D7" s="277"/>
      <c r="E7" s="277"/>
      <c r="F7" s="277"/>
      <c r="G7" s="277"/>
      <c r="H7" s="277"/>
      <c r="I7" s="277"/>
      <c r="J7" s="277"/>
      <c r="K7" s="277"/>
      <c r="L7" s="277"/>
      <c r="M7" s="277"/>
      <c r="N7" s="277"/>
      <c r="O7" s="277"/>
      <c r="P7" s="277"/>
      <c r="Q7" s="277"/>
      <c r="R7" s="277"/>
      <c r="S7" s="277"/>
      <c r="T7" s="277"/>
      <c r="U7" s="277"/>
      <c r="V7" s="277"/>
      <c r="W7" s="277"/>
      <c r="X7" s="277"/>
      <c r="Y7" s="277"/>
      <c r="Z7" s="277"/>
      <c r="AA7" s="277"/>
      <c r="AB7" s="277"/>
      <c r="AC7" s="277"/>
      <c r="AD7" s="277"/>
      <c r="AE7" s="277"/>
      <c r="AF7" s="277"/>
      <c r="AG7" s="277"/>
      <c r="AH7" s="12"/>
      <c r="AI7" s="12"/>
      <c r="AJ7" s="12"/>
      <c r="AK7" s="12"/>
    </row>
    <row r="8" spans="1:37" s="44" customFormat="1" ht="11.1" customHeight="1" x14ac:dyDescent="0.2">
      <c r="A8" s="280"/>
      <c r="B8" s="280"/>
      <c r="C8" s="280"/>
      <c r="D8" s="280"/>
      <c r="E8" s="280"/>
      <c r="F8" s="280"/>
      <c r="G8" s="280"/>
      <c r="H8" s="280"/>
      <c r="I8" s="280"/>
      <c r="J8" s="280"/>
      <c r="K8" s="280"/>
      <c r="L8" s="280"/>
      <c r="M8" s="280"/>
      <c r="N8" s="280"/>
      <c r="O8" s="280"/>
      <c r="P8" s="280"/>
      <c r="Q8" s="280"/>
      <c r="R8" s="280"/>
      <c r="S8" s="280"/>
      <c r="T8" s="280"/>
      <c r="U8" s="280"/>
      <c r="V8" s="280"/>
      <c r="W8" s="280"/>
      <c r="X8" s="280"/>
      <c r="Y8" s="280"/>
      <c r="Z8" s="280"/>
      <c r="AA8" s="280"/>
      <c r="AB8" s="280"/>
      <c r="AC8" s="280"/>
      <c r="AD8" s="280"/>
      <c r="AE8" s="280"/>
      <c r="AF8" s="280"/>
      <c r="AG8" s="280"/>
      <c r="AH8" s="173"/>
      <c r="AI8" s="173"/>
      <c r="AJ8" s="173"/>
      <c r="AK8" s="173"/>
    </row>
    <row r="9" spans="1:37" s="175" customFormat="1" x14ac:dyDescent="0.2">
      <c r="A9" s="285"/>
      <c r="B9" s="285"/>
      <c r="C9" s="285"/>
      <c r="D9" s="285"/>
      <c r="E9" s="285"/>
      <c r="F9" s="285"/>
      <c r="G9" s="285"/>
      <c r="H9" s="285"/>
      <c r="I9" s="285"/>
      <c r="J9" s="285"/>
      <c r="K9" s="285"/>
      <c r="L9" s="285"/>
      <c r="M9" s="285"/>
      <c r="N9" s="285"/>
      <c r="O9" s="285"/>
      <c r="P9" s="285"/>
      <c r="Q9" s="285"/>
      <c r="R9" s="285"/>
      <c r="S9" s="285"/>
      <c r="T9" s="285"/>
      <c r="U9" s="285"/>
      <c r="V9" s="285"/>
      <c r="W9" s="285"/>
      <c r="X9" s="285"/>
      <c r="Y9" s="285"/>
      <c r="Z9" s="285"/>
      <c r="AA9" s="285"/>
      <c r="AB9" s="285"/>
      <c r="AC9" s="285"/>
      <c r="AD9" s="285"/>
      <c r="AE9" s="285"/>
      <c r="AF9" s="285"/>
      <c r="AG9" s="285"/>
      <c r="AH9" s="174"/>
      <c r="AI9" s="174"/>
      <c r="AJ9" s="174"/>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70" t="s">
        <v>7</v>
      </c>
      <c r="C15" s="271"/>
      <c r="D15" s="271"/>
      <c r="E15" s="271"/>
      <c r="F15" s="272"/>
      <c r="G15" s="270" t="s">
        <v>6</v>
      </c>
      <c r="H15" s="271"/>
      <c r="I15" s="271"/>
      <c r="J15" s="271"/>
      <c r="K15" s="271"/>
      <c r="L15" s="271"/>
      <c r="M15" s="271"/>
      <c r="N15" s="271"/>
      <c r="O15" s="271"/>
      <c r="P15" s="271"/>
      <c r="Q15" s="271"/>
      <c r="R15" s="271"/>
      <c r="S15" s="271"/>
      <c r="T15" s="271"/>
      <c r="U15" s="271"/>
      <c r="V15" s="271"/>
      <c r="W15" s="271"/>
      <c r="X15" s="271"/>
      <c r="Y15" s="271"/>
      <c r="Z15" s="271"/>
      <c r="AA15" s="271"/>
      <c r="AB15" s="271"/>
      <c r="AC15" s="271"/>
      <c r="AD15" s="271"/>
      <c r="AE15" s="271"/>
      <c r="AF15" s="272"/>
    </row>
    <row r="16" spans="1:37" ht="24" customHeight="1" x14ac:dyDescent="0.2">
      <c r="B16" s="282" t="s">
        <v>35</v>
      </c>
      <c r="C16" s="283"/>
      <c r="D16" s="283"/>
      <c r="E16" s="283"/>
      <c r="F16" s="284"/>
      <c r="G16" s="264" t="s">
        <v>38</v>
      </c>
      <c r="H16" s="265"/>
      <c r="I16" s="265"/>
      <c r="J16" s="265"/>
      <c r="K16" s="265"/>
      <c r="L16" s="265"/>
      <c r="M16" s="265"/>
      <c r="N16" s="265"/>
      <c r="O16" s="265"/>
      <c r="P16" s="265"/>
      <c r="Q16" s="265"/>
      <c r="R16" s="265"/>
      <c r="S16" s="265"/>
      <c r="T16" s="265"/>
      <c r="U16" s="265"/>
      <c r="V16" s="265"/>
      <c r="W16" s="265"/>
      <c r="X16" s="265"/>
      <c r="Y16" s="265"/>
      <c r="Z16" s="265"/>
      <c r="AA16" s="265"/>
      <c r="AB16" s="265"/>
      <c r="AC16" s="265"/>
      <c r="AD16" s="265"/>
      <c r="AE16" s="265"/>
      <c r="AF16" s="266"/>
    </row>
    <row r="17" spans="1:45" ht="24" customHeight="1" x14ac:dyDescent="0.2">
      <c r="B17" s="282" t="s">
        <v>36</v>
      </c>
      <c r="C17" s="283"/>
      <c r="D17" s="283"/>
      <c r="E17" s="283"/>
      <c r="F17" s="284"/>
      <c r="G17" s="264" t="s">
        <v>37</v>
      </c>
      <c r="H17" s="265"/>
      <c r="I17" s="265"/>
      <c r="J17" s="265"/>
      <c r="K17" s="265"/>
      <c r="L17" s="265"/>
      <c r="M17" s="265"/>
      <c r="N17" s="265"/>
      <c r="O17" s="265"/>
      <c r="P17" s="265"/>
      <c r="Q17" s="265"/>
      <c r="R17" s="265"/>
      <c r="S17" s="265"/>
      <c r="T17" s="265"/>
      <c r="U17" s="265"/>
      <c r="V17" s="265"/>
      <c r="W17" s="265"/>
      <c r="X17" s="265"/>
      <c r="Y17" s="265"/>
      <c r="Z17" s="265"/>
      <c r="AA17" s="265"/>
      <c r="AB17" s="265"/>
      <c r="AC17" s="265"/>
      <c r="AD17" s="265"/>
      <c r="AE17" s="265"/>
      <c r="AF17" s="266"/>
    </row>
    <row r="18" spans="1:45" ht="24" customHeight="1" x14ac:dyDescent="0.2">
      <c r="B18" s="282" t="s">
        <v>73</v>
      </c>
      <c r="C18" s="283"/>
      <c r="D18" s="283"/>
      <c r="E18" s="283"/>
      <c r="F18" s="284"/>
      <c r="G18" s="264" t="s">
        <v>74</v>
      </c>
      <c r="H18" s="265"/>
      <c r="I18" s="265"/>
      <c r="J18" s="265"/>
      <c r="K18" s="265"/>
      <c r="L18" s="265"/>
      <c r="M18" s="265"/>
      <c r="N18" s="265"/>
      <c r="O18" s="265"/>
      <c r="P18" s="265"/>
      <c r="Q18" s="265"/>
      <c r="R18" s="265"/>
      <c r="S18" s="265"/>
      <c r="T18" s="265"/>
      <c r="U18" s="265"/>
      <c r="V18" s="265"/>
      <c r="W18" s="265"/>
      <c r="X18" s="265"/>
      <c r="Y18" s="265"/>
      <c r="Z18" s="265"/>
      <c r="AA18" s="265"/>
      <c r="AB18" s="265"/>
      <c r="AC18" s="265"/>
      <c r="AD18" s="265"/>
      <c r="AE18" s="265"/>
      <c r="AF18" s="266"/>
    </row>
    <row r="19" spans="1:45" ht="24" customHeight="1" x14ac:dyDescent="0.2">
      <c r="B19" s="286" t="s">
        <v>75</v>
      </c>
      <c r="C19" s="287"/>
      <c r="D19" s="287"/>
      <c r="E19" s="287"/>
      <c r="F19" s="288"/>
      <c r="G19" s="293" t="s">
        <v>99</v>
      </c>
      <c r="H19" s="265"/>
      <c r="I19" s="265"/>
      <c r="J19" s="265"/>
      <c r="K19" s="265"/>
      <c r="L19" s="265"/>
      <c r="M19" s="265"/>
      <c r="N19" s="265"/>
      <c r="O19" s="265"/>
      <c r="P19" s="265"/>
      <c r="Q19" s="265"/>
      <c r="R19" s="265"/>
      <c r="S19" s="265"/>
      <c r="T19" s="265"/>
      <c r="U19" s="265"/>
      <c r="V19" s="265"/>
      <c r="W19" s="265"/>
      <c r="X19" s="265"/>
      <c r="Y19" s="265"/>
      <c r="Z19" s="265"/>
      <c r="AA19" s="265"/>
      <c r="AB19" s="265"/>
      <c r="AC19" s="265"/>
      <c r="AD19" s="265"/>
      <c r="AE19" s="265"/>
      <c r="AF19" s="266"/>
      <c r="AS19" s="24"/>
    </row>
    <row r="20" spans="1:45" ht="38.25" customHeight="1" x14ac:dyDescent="0.2">
      <c r="B20" s="295" t="s">
        <v>130</v>
      </c>
      <c r="C20" s="287"/>
      <c r="D20" s="287"/>
      <c r="E20" s="287"/>
      <c r="F20" s="288"/>
      <c r="G20" s="293" t="s">
        <v>131</v>
      </c>
      <c r="H20" s="265"/>
      <c r="I20" s="265"/>
      <c r="J20" s="265"/>
      <c r="K20" s="265"/>
      <c r="L20" s="265"/>
      <c r="M20" s="265"/>
      <c r="N20" s="265"/>
      <c r="O20" s="265"/>
      <c r="P20" s="265"/>
      <c r="Q20" s="265"/>
      <c r="R20" s="265"/>
      <c r="S20" s="265"/>
      <c r="T20" s="265"/>
      <c r="U20" s="265"/>
      <c r="V20" s="265"/>
      <c r="W20" s="265"/>
      <c r="X20" s="265"/>
      <c r="Y20" s="265"/>
      <c r="Z20" s="265"/>
      <c r="AA20" s="265"/>
      <c r="AB20" s="265"/>
      <c r="AC20" s="265"/>
      <c r="AD20" s="265"/>
      <c r="AE20" s="265"/>
      <c r="AF20" s="266"/>
      <c r="AS20" s="24"/>
    </row>
    <row r="21" spans="1:45" ht="24" customHeight="1" x14ac:dyDescent="0.2">
      <c r="B21" s="296" t="s">
        <v>76</v>
      </c>
      <c r="C21" s="297"/>
      <c r="D21" s="297"/>
      <c r="E21" s="297"/>
      <c r="F21" s="298"/>
      <c r="G21" s="264" t="s">
        <v>77</v>
      </c>
      <c r="H21" s="265"/>
      <c r="I21" s="265"/>
      <c r="J21" s="265"/>
      <c r="K21" s="265"/>
      <c r="L21" s="265"/>
      <c r="M21" s="265"/>
      <c r="N21" s="265"/>
      <c r="O21" s="265"/>
      <c r="P21" s="265"/>
      <c r="Q21" s="265"/>
      <c r="R21" s="265"/>
      <c r="S21" s="265"/>
      <c r="T21" s="265"/>
      <c r="U21" s="265"/>
      <c r="V21" s="265"/>
      <c r="W21" s="265"/>
      <c r="X21" s="265"/>
      <c r="Y21" s="265"/>
      <c r="Z21" s="265"/>
      <c r="AA21" s="265"/>
      <c r="AB21" s="265"/>
      <c r="AC21" s="265"/>
      <c r="AD21" s="265"/>
      <c r="AE21" s="265"/>
      <c r="AF21" s="266"/>
      <c r="AS21" s="24"/>
    </row>
    <row r="22" spans="1:45" ht="24" customHeight="1" x14ac:dyDescent="0.2">
      <c r="B22" s="296" t="s">
        <v>78</v>
      </c>
      <c r="C22" s="297"/>
      <c r="D22" s="297"/>
      <c r="E22" s="297"/>
      <c r="F22" s="298"/>
      <c r="G22" s="264" t="s">
        <v>79</v>
      </c>
      <c r="H22" s="265"/>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6"/>
      <c r="AS22" s="24"/>
    </row>
    <row r="23" spans="1:45" x14ac:dyDescent="0.2">
      <c r="C23" s="25"/>
      <c r="I23" s="26"/>
    </row>
    <row r="24" spans="1:45" ht="20.25" x14ac:dyDescent="0.2">
      <c r="A24" s="22"/>
      <c r="B24" s="22" t="s">
        <v>27</v>
      </c>
      <c r="C24" s="25"/>
      <c r="I24" s="26"/>
    </row>
    <row r="25" spans="1:45" ht="12.75" customHeight="1" x14ac:dyDescent="0.2">
      <c r="B25" s="270" t="s">
        <v>0</v>
      </c>
      <c r="C25" s="271"/>
      <c r="D25" s="272"/>
      <c r="E25" s="270" t="s">
        <v>11</v>
      </c>
      <c r="F25" s="271"/>
      <c r="G25" s="271"/>
      <c r="H25" s="272"/>
      <c r="I25" s="270" t="s">
        <v>12</v>
      </c>
      <c r="J25" s="271"/>
      <c r="K25" s="271"/>
      <c r="L25" s="271"/>
      <c r="M25" s="271"/>
      <c r="N25" s="271"/>
      <c r="O25" s="271"/>
      <c r="P25" s="271"/>
      <c r="Q25" s="272"/>
      <c r="R25" s="270" t="s">
        <v>13</v>
      </c>
      <c r="S25" s="271"/>
      <c r="T25" s="271"/>
      <c r="U25" s="271"/>
      <c r="V25" s="271"/>
      <c r="W25" s="271"/>
      <c r="X25" s="271"/>
      <c r="Y25" s="271"/>
      <c r="Z25" s="271"/>
      <c r="AA25" s="271"/>
      <c r="AB25" s="271"/>
      <c r="AC25" s="271"/>
      <c r="AD25" s="271"/>
      <c r="AE25" s="271"/>
      <c r="AF25" s="272"/>
    </row>
    <row r="26" spans="1:45" ht="12.75" customHeight="1" x14ac:dyDescent="0.2">
      <c r="B26" s="273"/>
      <c r="C26" s="274"/>
      <c r="D26" s="275"/>
      <c r="E26" s="264"/>
      <c r="F26" s="265"/>
      <c r="G26" s="265"/>
      <c r="H26" s="266"/>
      <c r="I26" s="264" t="s">
        <v>14</v>
      </c>
      <c r="J26" s="265"/>
      <c r="K26" s="265"/>
      <c r="L26" s="265"/>
      <c r="M26" s="265"/>
      <c r="N26" s="265"/>
      <c r="O26" s="265"/>
      <c r="P26" s="265"/>
      <c r="Q26" s="266"/>
      <c r="R26" s="264"/>
      <c r="S26" s="265"/>
      <c r="T26" s="265"/>
      <c r="U26" s="265"/>
      <c r="V26" s="265"/>
      <c r="W26" s="265"/>
      <c r="X26" s="265"/>
      <c r="Y26" s="265"/>
      <c r="Z26" s="265"/>
      <c r="AA26" s="265"/>
      <c r="AB26" s="265"/>
      <c r="AC26" s="265"/>
      <c r="AD26" s="265"/>
      <c r="AE26" s="265"/>
      <c r="AF26" s="266"/>
    </row>
    <row r="27" spans="1:45" x14ac:dyDescent="0.2">
      <c r="B27" s="273"/>
      <c r="C27" s="274"/>
      <c r="D27" s="275"/>
      <c r="E27" s="264"/>
      <c r="F27" s="265"/>
      <c r="G27" s="265"/>
      <c r="H27" s="266"/>
      <c r="I27" s="264"/>
      <c r="J27" s="265"/>
      <c r="K27" s="265"/>
      <c r="L27" s="265"/>
      <c r="M27" s="265"/>
      <c r="N27" s="265"/>
      <c r="O27" s="265"/>
      <c r="P27" s="265"/>
      <c r="Q27" s="266"/>
      <c r="R27" s="264"/>
      <c r="S27" s="265"/>
      <c r="T27" s="265"/>
      <c r="U27" s="265"/>
      <c r="V27" s="265"/>
      <c r="W27" s="265"/>
      <c r="X27" s="265"/>
      <c r="Y27" s="265"/>
      <c r="Z27" s="265"/>
      <c r="AA27" s="265"/>
      <c r="AB27" s="265"/>
      <c r="AC27" s="265"/>
      <c r="AD27" s="265"/>
      <c r="AE27" s="265"/>
      <c r="AF27" s="266"/>
    </row>
    <row r="28" spans="1:45" x14ac:dyDescent="0.2">
      <c r="B28" s="273"/>
      <c r="C28" s="274"/>
      <c r="D28" s="275"/>
      <c r="E28" s="264"/>
      <c r="F28" s="265"/>
      <c r="G28" s="265"/>
      <c r="H28" s="266"/>
      <c r="I28" s="264"/>
      <c r="J28" s="265"/>
      <c r="K28" s="265"/>
      <c r="L28" s="265"/>
      <c r="M28" s="265"/>
      <c r="N28" s="265"/>
      <c r="O28" s="265"/>
      <c r="P28" s="265"/>
      <c r="Q28" s="266"/>
      <c r="R28" s="264"/>
      <c r="S28" s="265"/>
      <c r="T28" s="265"/>
      <c r="U28" s="265"/>
      <c r="V28" s="265"/>
      <c r="W28" s="265"/>
      <c r="X28" s="265"/>
      <c r="Y28" s="265"/>
      <c r="Z28" s="265"/>
      <c r="AA28" s="265"/>
      <c r="AB28" s="265"/>
      <c r="AC28" s="265"/>
      <c r="AD28" s="265"/>
      <c r="AE28" s="265"/>
      <c r="AF28" s="266"/>
    </row>
    <row r="29" spans="1:45" x14ac:dyDescent="0.2">
      <c r="B29" s="273"/>
      <c r="C29" s="274"/>
      <c r="D29" s="275"/>
      <c r="E29" s="264"/>
      <c r="F29" s="265"/>
      <c r="G29" s="265"/>
      <c r="H29" s="266"/>
      <c r="I29" s="264"/>
      <c r="J29" s="265"/>
      <c r="K29" s="265"/>
      <c r="L29" s="265"/>
      <c r="M29" s="265"/>
      <c r="N29" s="265"/>
      <c r="O29" s="265"/>
      <c r="P29" s="265"/>
      <c r="Q29" s="266"/>
      <c r="R29" s="264"/>
      <c r="S29" s="265"/>
      <c r="T29" s="265"/>
      <c r="U29" s="265"/>
      <c r="V29" s="265"/>
      <c r="W29" s="265"/>
      <c r="X29" s="265"/>
      <c r="Y29" s="265"/>
      <c r="Z29" s="265"/>
      <c r="AA29" s="265"/>
      <c r="AB29" s="265"/>
      <c r="AC29" s="265"/>
      <c r="AD29" s="265"/>
      <c r="AE29" s="265"/>
      <c r="AF29" s="266"/>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92" t="s">
        <v>80</v>
      </c>
      <c r="C33" s="292"/>
      <c r="D33" s="292"/>
      <c r="E33" s="292"/>
      <c r="F33" s="292"/>
      <c r="G33" s="292"/>
      <c r="H33" s="292"/>
      <c r="I33" s="292"/>
      <c r="J33" s="292"/>
      <c r="K33" s="292"/>
      <c r="L33" s="292"/>
      <c r="M33" s="292"/>
      <c r="N33" s="292"/>
      <c r="O33" s="292"/>
      <c r="P33" s="292"/>
      <c r="Q33" s="292"/>
      <c r="R33" s="292"/>
      <c r="S33" s="292"/>
      <c r="T33" s="292"/>
      <c r="U33" s="292"/>
      <c r="V33" s="292"/>
      <c r="W33" s="292"/>
      <c r="X33" s="292"/>
      <c r="Y33" s="292"/>
      <c r="Z33" s="292"/>
      <c r="AA33" s="292"/>
      <c r="AB33" s="292"/>
      <c r="AC33" s="292"/>
      <c r="AD33" s="292"/>
      <c r="AE33" s="292"/>
      <c r="AF33" s="292"/>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70" t="s">
        <v>8</v>
      </c>
      <c r="C37" s="271"/>
      <c r="D37" s="272"/>
      <c r="E37" s="270" t="s">
        <v>9</v>
      </c>
      <c r="F37" s="271"/>
      <c r="G37" s="271"/>
      <c r="H37" s="271"/>
      <c r="I37" s="271"/>
      <c r="J37" s="271"/>
      <c r="K37" s="271"/>
      <c r="L37" s="271"/>
      <c r="M37" s="271"/>
      <c r="N37" s="271"/>
      <c r="O37" s="271"/>
      <c r="P37" s="271"/>
      <c r="Q37" s="271"/>
      <c r="R37" s="271"/>
      <c r="S37" s="271"/>
      <c r="T37" s="271"/>
      <c r="U37" s="271"/>
      <c r="V37" s="271"/>
      <c r="W37" s="271"/>
      <c r="X37" s="272"/>
      <c r="Y37" s="270" t="s">
        <v>10</v>
      </c>
      <c r="Z37" s="271"/>
      <c r="AA37" s="271"/>
      <c r="AB37" s="271"/>
      <c r="AC37" s="271"/>
      <c r="AD37" s="271"/>
      <c r="AE37" s="271"/>
      <c r="AF37" s="272"/>
    </row>
    <row r="38" spans="2:33" x14ac:dyDescent="0.2">
      <c r="B38" s="267"/>
      <c r="C38" s="268"/>
      <c r="D38" s="269"/>
      <c r="E38" s="264"/>
      <c r="F38" s="265"/>
      <c r="G38" s="265"/>
      <c r="H38" s="265"/>
      <c r="I38" s="265"/>
      <c r="J38" s="265"/>
      <c r="K38" s="265"/>
      <c r="L38" s="265"/>
      <c r="M38" s="265"/>
      <c r="N38" s="265"/>
      <c r="O38" s="265"/>
      <c r="P38" s="265"/>
      <c r="Q38" s="265"/>
      <c r="R38" s="265"/>
      <c r="S38" s="265"/>
      <c r="T38" s="265"/>
      <c r="U38" s="265"/>
      <c r="V38" s="265"/>
      <c r="W38" s="265"/>
      <c r="X38" s="266"/>
      <c r="Y38" s="264"/>
      <c r="Z38" s="265"/>
      <c r="AA38" s="265"/>
      <c r="AB38" s="265"/>
      <c r="AC38" s="265"/>
      <c r="AD38" s="265"/>
      <c r="AE38" s="265"/>
      <c r="AF38" s="266"/>
    </row>
    <row r="39" spans="2:33" x14ac:dyDescent="0.2">
      <c r="B39" s="267"/>
      <c r="C39" s="268"/>
      <c r="D39" s="269"/>
      <c r="E39" s="264"/>
      <c r="F39" s="265"/>
      <c r="G39" s="265"/>
      <c r="H39" s="265"/>
      <c r="I39" s="265"/>
      <c r="J39" s="265"/>
      <c r="K39" s="265"/>
      <c r="L39" s="265"/>
      <c r="M39" s="265"/>
      <c r="N39" s="265"/>
      <c r="O39" s="265"/>
      <c r="P39" s="265"/>
      <c r="Q39" s="265"/>
      <c r="R39" s="265"/>
      <c r="S39" s="265"/>
      <c r="T39" s="265"/>
      <c r="U39" s="265"/>
      <c r="V39" s="265"/>
      <c r="W39" s="265"/>
      <c r="X39" s="266"/>
      <c r="Y39" s="264"/>
      <c r="Z39" s="265"/>
      <c r="AA39" s="265"/>
      <c r="AB39" s="265"/>
      <c r="AC39" s="265"/>
      <c r="AD39" s="265"/>
      <c r="AE39" s="265"/>
      <c r="AF39" s="266"/>
    </row>
    <row r="40" spans="2:33" x14ac:dyDescent="0.2">
      <c r="B40" s="267"/>
      <c r="C40" s="268"/>
      <c r="D40" s="269"/>
      <c r="E40" s="264"/>
      <c r="F40" s="265"/>
      <c r="G40" s="265"/>
      <c r="H40" s="265"/>
      <c r="I40" s="265"/>
      <c r="J40" s="265"/>
      <c r="K40" s="265"/>
      <c r="L40" s="265"/>
      <c r="M40" s="265"/>
      <c r="N40" s="265"/>
      <c r="O40" s="265"/>
      <c r="P40" s="265"/>
      <c r="Q40" s="265"/>
      <c r="R40" s="265"/>
      <c r="S40" s="265"/>
      <c r="T40" s="265"/>
      <c r="U40" s="265"/>
      <c r="V40" s="265"/>
      <c r="W40" s="265"/>
      <c r="X40" s="266"/>
      <c r="Y40" s="264"/>
      <c r="Z40" s="265"/>
      <c r="AA40" s="265"/>
      <c r="AB40" s="265"/>
      <c r="AC40" s="265"/>
      <c r="AD40" s="265"/>
      <c r="AE40" s="265"/>
      <c r="AF40" s="266"/>
    </row>
    <row r="41" spans="2:33" x14ac:dyDescent="0.2">
      <c r="B41" s="267"/>
      <c r="C41" s="268"/>
      <c r="D41" s="269"/>
      <c r="E41" s="264"/>
      <c r="F41" s="265"/>
      <c r="G41" s="265"/>
      <c r="H41" s="265"/>
      <c r="I41" s="265"/>
      <c r="J41" s="265"/>
      <c r="K41" s="265"/>
      <c r="L41" s="265"/>
      <c r="M41" s="265"/>
      <c r="N41" s="265"/>
      <c r="O41" s="265"/>
      <c r="P41" s="265"/>
      <c r="Q41" s="265"/>
      <c r="R41" s="265"/>
      <c r="S41" s="265"/>
      <c r="T41" s="265"/>
      <c r="U41" s="265"/>
      <c r="V41" s="265"/>
      <c r="W41" s="265"/>
      <c r="X41" s="266"/>
      <c r="Y41" s="264"/>
      <c r="Z41" s="265"/>
      <c r="AA41" s="265"/>
      <c r="AB41" s="265"/>
      <c r="AC41" s="265"/>
      <c r="AD41" s="265"/>
      <c r="AE41" s="265"/>
      <c r="AF41" s="266"/>
    </row>
    <row r="42" spans="2:33" ht="24.75" customHeight="1" x14ac:dyDescent="0.2">
      <c r="B42" s="33" t="s">
        <v>29</v>
      </c>
      <c r="C42" s="23"/>
      <c r="I42" s="26"/>
    </row>
    <row r="43" spans="2:33" ht="12.75" customHeight="1" x14ac:dyDescent="0.2">
      <c r="B43" s="270" t="s">
        <v>8</v>
      </c>
      <c r="C43" s="271"/>
      <c r="D43" s="272"/>
      <c r="E43" s="270" t="s">
        <v>9</v>
      </c>
      <c r="F43" s="271"/>
      <c r="G43" s="271"/>
      <c r="H43" s="271"/>
      <c r="I43" s="271"/>
      <c r="J43" s="271"/>
      <c r="K43" s="271"/>
      <c r="L43" s="271"/>
      <c r="M43" s="271"/>
      <c r="N43" s="271"/>
      <c r="O43" s="271"/>
      <c r="P43" s="271"/>
      <c r="Q43" s="271"/>
      <c r="R43" s="271"/>
      <c r="S43" s="271"/>
      <c r="T43" s="271"/>
      <c r="U43" s="271"/>
      <c r="V43" s="271"/>
      <c r="W43" s="271"/>
      <c r="X43" s="272"/>
      <c r="Y43" s="270" t="s">
        <v>10</v>
      </c>
      <c r="Z43" s="271"/>
      <c r="AA43" s="271"/>
      <c r="AB43" s="271"/>
      <c r="AC43" s="271"/>
      <c r="AD43" s="271"/>
      <c r="AE43" s="271"/>
      <c r="AF43" s="272"/>
    </row>
    <row r="44" spans="2:33" x14ac:dyDescent="0.2">
      <c r="B44" s="267"/>
      <c r="C44" s="268"/>
      <c r="D44" s="269"/>
      <c r="E44" s="264"/>
      <c r="F44" s="265"/>
      <c r="G44" s="265"/>
      <c r="H44" s="265"/>
      <c r="I44" s="265"/>
      <c r="J44" s="265"/>
      <c r="K44" s="265"/>
      <c r="L44" s="265"/>
      <c r="M44" s="265"/>
      <c r="N44" s="265"/>
      <c r="O44" s="265"/>
      <c r="P44" s="265"/>
      <c r="Q44" s="265"/>
      <c r="R44" s="265"/>
      <c r="S44" s="265"/>
      <c r="T44" s="265"/>
      <c r="U44" s="265"/>
      <c r="V44" s="265"/>
      <c r="W44" s="265"/>
      <c r="X44" s="266"/>
      <c r="Y44" s="264"/>
      <c r="Z44" s="265"/>
      <c r="AA44" s="265"/>
      <c r="AB44" s="265"/>
      <c r="AC44" s="265"/>
      <c r="AD44" s="265"/>
      <c r="AE44" s="265"/>
      <c r="AF44" s="266"/>
    </row>
    <row r="45" spans="2:33" x14ac:dyDescent="0.2">
      <c r="B45" s="267"/>
      <c r="C45" s="268"/>
      <c r="D45" s="269"/>
      <c r="E45" s="264"/>
      <c r="F45" s="265"/>
      <c r="G45" s="265"/>
      <c r="H45" s="265"/>
      <c r="I45" s="265"/>
      <c r="J45" s="265"/>
      <c r="K45" s="265"/>
      <c r="L45" s="265"/>
      <c r="M45" s="265"/>
      <c r="N45" s="265"/>
      <c r="O45" s="265"/>
      <c r="P45" s="265"/>
      <c r="Q45" s="265"/>
      <c r="R45" s="265"/>
      <c r="S45" s="265"/>
      <c r="T45" s="265"/>
      <c r="U45" s="265"/>
      <c r="V45" s="265"/>
      <c r="W45" s="265"/>
      <c r="X45" s="266"/>
      <c r="Y45" s="264"/>
      <c r="Z45" s="265"/>
      <c r="AA45" s="265"/>
      <c r="AB45" s="265"/>
      <c r="AC45" s="265"/>
      <c r="AD45" s="265"/>
      <c r="AE45" s="265"/>
      <c r="AF45" s="266"/>
    </row>
    <row r="46" spans="2:33" x14ac:dyDescent="0.2">
      <c r="B46" s="267"/>
      <c r="C46" s="268"/>
      <c r="D46" s="269"/>
      <c r="E46" s="264"/>
      <c r="F46" s="265"/>
      <c r="G46" s="265"/>
      <c r="H46" s="265"/>
      <c r="I46" s="265"/>
      <c r="J46" s="265"/>
      <c r="K46" s="265"/>
      <c r="L46" s="265"/>
      <c r="M46" s="265"/>
      <c r="N46" s="265"/>
      <c r="O46" s="265"/>
      <c r="P46" s="265"/>
      <c r="Q46" s="265"/>
      <c r="R46" s="265"/>
      <c r="S46" s="265"/>
      <c r="T46" s="265"/>
      <c r="U46" s="265"/>
      <c r="V46" s="265"/>
      <c r="W46" s="265"/>
      <c r="X46" s="266"/>
      <c r="Y46" s="264"/>
      <c r="Z46" s="265"/>
      <c r="AA46" s="265"/>
      <c r="AB46" s="265"/>
      <c r="AC46" s="265"/>
      <c r="AD46" s="265"/>
      <c r="AE46" s="265"/>
      <c r="AF46" s="266"/>
    </row>
    <row r="47" spans="2:33" x14ac:dyDescent="0.2">
      <c r="B47" s="267"/>
      <c r="C47" s="268"/>
      <c r="D47" s="269"/>
      <c r="E47" s="264"/>
      <c r="F47" s="265"/>
      <c r="G47" s="265"/>
      <c r="H47" s="265"/>
      <c r="I47" s="265"/>
      <c r="J47" s="265"/>
      <c r="K47" s="265"/>
      <c r="L47" s="265"/>
      <c r="M47" s="265"/>
      <c r="N47" s="265"/>
      <c r="O47" s="265"/>
      <c r="P47" s="265"/>
      <c r="Q47" s="265"/>
      <c r="R47" s="265"/>
      <c r="S47" s="265"/>
      <c r="T47" s="265"/>
      <c r="U47" s="265"/>
      <c r="V47" s="265"/>
      <c r="W47" s="265"/>
      <c r="X47" s="266"/>
      <c r="Y47" s="264"/>
      <c r="Z47" s="265"/>
      <c r="AA47" s="265"/>
      <c r="AB47" s="265"/>
      <c r="AC47" s="265"/>
      <c r="AD47" s="265"/>
      <c r="AE47" s="265"/>
      <c r="AF47" s="266"/>
    </row>
    <row r="48" spans="2:33" x14ac:dyDescent="0.2">
      <c r="C48" s="25"/>
      <c r="I48" s="26"/>
    </row>
    <row r="49" spans="2:32" ht="20.25" x14ac:dyDescent="0.2">
      <c r="B49" s="22" t="s">
        <v>31</v>
      </c>
      <c r="C49" s="23"/>
      <c r="I49" s="26"/>
    </row>
    <row r="50" spans="2:32" ht="12.75" customHeight="1" x14ac:dyDescent="0.2">
      <c r="B50" s="270" t="s">
        <v>30</v>
      </c>
      <c r="C50" s="271"/>
      <c r="D50" s="271"/>
      <c r="E50" s="271"/>
      <c r="F50" s="271"/>
      <c r="G50" s="272"/>
      <c r="H50" s="299"/>
      <c r="I50" s="300"/>
      <c r="J50" s="300"/>
      <c r="K50" s="300"/>
      <c r="L50" s="300"/>
      <c r="M50" s="300"/>
      <c r="N50" s="300"/>
      <c r="O50" s="300"/>
      <c r="P50" s="300"/>
      <c r="Q50" s="300"/>
      <c r="R50" s="300"/>
      <c r="S50" s="300"/>
      <c r="T50" s="300"/>
      <c r="U50" s="300"/>
      <c r="V50" s="300"/>
      <c r="W50" s="300"/>
      <c r="X50" s="300"/>
      <c r="Y50" s="300"/>
      <c r="Z50" s="300"/>
      <c r="AA50" s="300"/>
      <c r="AB50" s="300"/>
      <c r="AC50" s="300"/>
      <c r="AD50" s="300"/>
      <c r="AE50" s="300"/>
      <c r="AF50" s="301"/>
    </row>
    <row r="51" spans="2:32" x14ac:dyDescent="0.2">
      <c r="B51" s="264"/>
      <c r="C51" s="265"/>
      <c r="D51" s="265"/>
      <c r="E51" s="265"/>
      <c r="F51" s="265"/>
      <c r="G51" s="266"/>
      <c r="H51" s="289"/>
      <c r="I51" s="290"/>
      <c r="J51" s="290"/>
      <c r="K51" s="290"/>
      <c r="L51" s="290"/>
      <c r="M51" s="290"/>
      <c r="N51" s="290"/>
      <c r="O51" s="290"/>
      <c r="P51" s="290"/>
      <c r="Q51" s="290"/>
      <c r="R51" s="290"/>
      <c r="S51" s="290"/>
      <c r="T51" s="290"/>
      <c r="U51" s="290"/>
      <c r="V51" s="290"/>
      <c r="W51" s="290"/>
      <c r="X51" s="290"/>
      <c r="Y51" s="290"/>
      <c r="Z51" s="290"/>
      <c r="AA51" s="290"/>
      <c r="AB51" s="290"/>
      <c r="AC51" s="290"/>
      <c r="AD51" s="290"/>
      <c r="AE51" s="290"/>
      <c r="AF51" s="291"/>
    </row>
    <row r="52" spans="2:32" x14ac:dyDescent="0.2">
      <c r="B52" s="264"/>
      <c r="C52" s="265"/>
      <c r="D52" s="265"/>
      <c r="E52" s="265"/>
      <c r="F52" s="265"/>
      <c r="G52" s="266"/>
      <c r="H52" s="289"/>
      <c r="I52" s="290"/>
      <c r="J52" s="290"/>
      <c r="K52" s="290"/>
      <c r="L52" s="290"/>
      <c r="M52" s="290"/>
      <c r="N52" s="290"/>
      <c r="O52" s="290"/>
      <c r="P52" s="290"/>
      <c r="Q52" s="290"/>
      <c r="R52" s="290"/>
      <c r="S52" s="290"/>
      <c r="T52" s="290"/>
      <c r="U52" s="290"/>
      <c r="V52" s="290"/>
      <c r="W52" s="290"/>
      <c r="X52" s="290"/>
      <c r="Y52" s="290"/>
      <c r="Z52" s="290"/>
      <c r="AA52" s="290"/>
      <c r="AB52" s="290"/>
      <c r="AC52" s="290"/>
      <c r="AD52" s="290"/>
      <c r="AE52" s="290"/>
      <c r="AF52" s="291"/>
    </row>
    <row r="53" spans="2:32" x14ac:dyDescent="0.2">
      <c r="B53" s="264"/>
      <c r="C53" s="265"/>
      <c r="D53" s="265"/>
      <c r="E53" s="265"/>
      <c r="F53" s="265"/>
      <c r="G53" s="266"/>
      <c r="H53" s="289"/>
      <c r="I53" s="290"/>
      <c r="J53" s="290"/>
      <c r="K53" s="290"/>
      <c r="L53" s="290"/>
      <c r="M53" s="290"/>
      <c r="N53" s="290"/>
      <c r="O53" s="290"/>
      <c r="P53" s="290"/>
      <c r="Q53" s="290"/>
      <c r="R53" s="290"/>
      <c r="S53" s="290"/>
      <c r="T53" s="290"/>
      <c r="U53" s="290"/>
      <c r="V53" s="290"/>
      <c r="W53" s="290"/>
      <c r="X53" s="290"/>
      <c r="Y53" s="290"/>
      <c r="Z53" s="290"/>
      <c r="AA53" s="290"/>
      <c r="AB53" s="290"/>
      <c r="AC53" s="290"/>
      <c r="AD53" s="290"/>
      <c r="AE53" s="290"/>
      <c r="AF53" s="291"/>
    </row>
    <row r="54" spans="2:32" x14ac:dyDescent="0.2">
      <c r="B54" s="264"/>
      <c r="C54" s="265"/>
      <c r="D54" s="265"/>
      <c r="E54" s="265"/>
      <c r="F54" s="265"/>
      <c r="G54" s="266"/>
      <c r="H54" s="289"/>
      <c r="I54" s="290"/>
      <c r="J54" s="290"/>
      <c r="K54" s="290"/>
      <c r="L54" s="290"/>
      <c r="M54" s="290"/>
      <c r="N54" s="290"/>
      <c r="O54" s="290"/>
      <c r="P54" s="290"/>
      <c r="Q54" s="290"/>
      <c r="R54" s="290"/>
      <c r="S54" s="290"/>
      <c r="T54" s="290"/>
      <c r="U54" s="290"/>
      <c r="V54" s="290"/>
      <c r="W54" s="290"/>
      <c r="X54" s="290"/>
      <c r="Y54" s="290"/>
      <c r="Z54" s="290"/>
      <c r="AA54" s="290"/>
      <c r="AB54" s="290"/>
      <c r="AC54" s="290"/>
      <c r="AD54" s="290"/>
      <c r="AE54" s="290"/>
      <c r="AF54" s="291"/>
    </row>
    <row r="55" spans="2:32" x14ac:dyDescent="0.2">
      <c r="B55" s="264"/>
      <c r="C55" s="265"/>
      <c r="D55" s="265"/>
      <c r="E55" s="265"/>
      <c r="F55" s="265"/>
      <c r="G55" s="266"/>
      <c r="H55" s="289"/>
      <c r="I55" s="290"/>
      <c r="J55" s="290"/>
      <c r="K55" s="290"/>
      <c r="L55" s="290"/>
      <c r="M55" s="290"/>
      <c r="N55" s="290"/>
      <c r="O55" s="290"/>
      <c r="P55" s="290"/>
      <c r="Q55" s="290"/>
      <c r="R55" s="290"/>
      <c r="S55" s="290"/>
      <c r="T55" s="290"/>
      <c r="U55" s="290"/>
      <c r="V55" s="290"/>
      <c r="W55" s="290"/>
      <c r="X55" s="290"/>
      <c r="Y55" s="290"/>
      <c r="Z55" s="290"/>
      <c r="AA55" s="290"/>
      <c r="AB55" s="290"/>
      <c r="AC55" s="290"/>
      <c r="AD55" s="290"/>
      <c r="AE55" s="290"/>
      <c r="AF55" s="291"/>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94" t="s">
        <v>81</v>
      </c>
      <c r="O60" s="294"/>
      <c r="P60" s="294"/>
      <c r="Q60" s="294"/>
      <c r="R60" s="294"/>
      <c r="S60" s="294"/>
      <c r="T60" s="294"/>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G15:AF15"/>
    <mergeCell ref="G16:AF16"/>
    <mergeCell ref="G17:AF17"/>
    <mergeCell ref="B16:F16"/>
    <mergeCell ref="E7:V7"/>
    <mergeCell ref="B17:F17"/>
    <mergeCell ref="A7:D7"/>
    <mergeCell ref="A9:AG9"/>
    <mergeCell ref="A8:AG8"/>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I26:Q26"/>
    <mergeCell ref="E27:H27"/>
    <mergeCell ref="E29:H29"/>
    <mergeCell ref="I28:Q28"/>
    <mergeCell ref="R28:AF28"/>
    <mergeCell ref="E26:H26"/>
    <mergeCell ref="B29:D29"/>
    <mergeCell ref="I29:Q29"/>
    <mergeCell ref="B27:D27"/>
    <mergeCell ref="I27:Q27"/>
    <mergeCell ref="B28:D28"/>
    <mergeCell ref="E28:H2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s>
  <phoneticPr fontId="4"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zoomScale="80" zoomScaleNormal="80" zoomScaleSheetLayoutView="90" workbookViewId="0">
      <selection activeCell="A6" sqref="A6:S6"/>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302" t="s">
        <v>39</v>
      </c>
      <c r="B1" s="302"/>
      <c r="C1" s="302"/>
      <c r="D1" s="302"/>
      <c r="E1" s="302"/>
      <c r="F1" s="302"/>
      <c r="G1" s="302"/>
      <c r="H1" s="302"/>
      <c r="I1" s="302"/>
      <c r="J1" s="302"/>
      <c r="K1" s="302"/>
      <c r="L1" s="302"/>
      <c r="M1" s="302"/>
      <c r="N1" s="302"/>
      <c r="O1" s="302"/>
      <c r="P1" s="302"/>
      <c r="Q1" s="302"/>
      <c r="R1" s="302"/>
      <c r="S1" s="302"/>
    </row>
    <row r="2" spans="1:19" s="60" customFormat="1" ht="37.5" customHeight="1" x14ac:dyDescent="0.2">
      <c r="A2" s="304" t="s">
        <v>104</v>
      </c>
      <c r="B2" s="304"/>
      <c r="C2" s="304"/>
      <c r="D2" s="304"/>
      <c r="E2" s="304"/>
      <c r="F2" s="304"/>
      <c r="G2" s="304"/>
      <c r="H2" s="304"/>
      <c r="I2" s="304"/>
      <c r="J2" s="304"/>
      <c r="K2" s="304"/>
      <c r="L2" s="304"/>
      <c r="M2" s="304"/>
      <c r="N2" s="304"/>
      <c r="O2" s="304"/>
      <c r="P2" s="304"/>
      <c r="Q2" s="304"/>
      <c r="R2" s="304"/>
      <c r="S2" s="304"/>
    </row>
    <row r="3" spans="1:19" s="60" customFormat="1" ht="37.5" customHeight="1" x14ac:dyDescent="0.2">
      <c r="A3" s="304" t="s">
        <v>105</v>
      </c>
      <c r="B3" s="304"/>
      <c r="C3" s="304"/>
      <c r="D3" s="304"/>
      <c r="E3" s="304"/>
      <c r="F3" s="304"/>
      <c r="G3" s="304"/>
      <c r="H3" s="304"/>
      <c r="I3" s="304"/>
      <c r="J3" s="304"/>
      <c r="K3" s="304"/>
      <c r="L3" s="304"/>
      <c r="M3" s="304"/>
      <c r="N3" s="304"/>
      <c r="O3" s="304"/>
      <c r="P3" s="304"/>
      <c r="Q3" s="304"/>
      <c r="R3" s="304"/>
      <c r="S3" s="304"/>
    </row>
    <row r="4" spans="1:19" x14ac:dyDescent="0.2">
      <c r="A4" s="304" t="s">
        <v>108</v>
      </c>
      <c r="B4" s="304"/>
      <c r="C4" s="304"/>
      <c r="D4" s="304"/>
      <c r="E4" s="304"/>
      <c r="F4" s="304"/>
      <c r="G4" s="304"/>
      <c r="H4" s="304"/>
      <c r="I4" s="304"/>
      <c r="J4" s="304"/>
      <c r="K4" s="304"/>
      <c r="L4" s="304"/>
      <c r="M4" s="304"/>
      <c r="N4" s="179"/>
      <c r="O4" s="179"/>
      <c r="P4" s="179"/>
      <c r="Q4" s="179"/>
      <c r="R4" s="179"/>
    </row>
    <row r="5" spans="1:19" s="62" customFormat="1" x14ac:dyDescent="0.2">
      <c r="A5" s="305" t="s">
        <v>107</v>
      </c>
      <c r="B5" s="306"/>
      <c r="C5" s="306"/>
      <c r="D5" s="306"/>
      <c r="E5" s="306"/>
      <c r="F5" s="306"/>
      <c r="G5" s="306"/>
      <c r="H5" s="306"/>
      <c r="I5" s="306"/>
      <c r="J5" s="306"/>
      <c r="K5" s="306"/>
      <c r="L5" s="306"/>
      <c r="M5" s="306"/>
      <c r="N5" s="180"/>
      <c r="O5" s="180"/>
      <c r="P5" s="180"/>
      <c r="Q5" s="180"/>
      <c r="R5" s="180"/>
    </row>
    <row r="6" spans="1:19" ht="67.5" customHeight="1" x14ac:dyDescent="0.2">
      <c r="A6" s="307" t="s">
        <v>106</v>
      </c>
      <c r="B6" s="307"/>
      <c r="C6" s="307"/>
      <c r="D6" s="307"/>
      <c r="E6" s="307"/>
      <c r="F6" s="307"/>
      <c r="G6" s="307"/>
      <c r="H6" s="307"/>
      <c r="I6" s="307"/>
      <c r="J6" s="307"/>
      <c r="K6" s="307"/>
      <c r="L6" s="307"/>
      <c r="M6" s="307"/>
      <c r="N6" s="307"/>
      <c r="O6" s="307"/>
      <c r="P6" s="307"/>
      <c r="Q6" s="307"/>
      <c r="R6" s="307"/>
      <c r="S6" s="307"/>
    </row>
    <row r="7" spans="1:19" ht="86.25" customHeight="1" x14ac:dyDescent="0.2">
      <c r="A7" s="308" t="s">
        <v>114</v>
      </c>
      <c r="B7" s="309"/>
      <c r="C7" s="309"/>
      <c r="D7" s="309"/>
      <c r="E7" s="309"/>
      <c r="F7" s="309"/>
      <c r="G7" s="309"/>
      <c r="H7" s="309"/>
      <c r="I7" s="309"/>
      <c r="J7" s="309"/>
      <c r="K7" s="309"/>
      <c r="L7" s="309"/>
      <c r="M7" s="309"/>
      <c r="N7" s="309"/>
      <c r="O7" s="309"/>
      <c r="P7" s="309"/>
      <c r="Q7" s="309"/>
      <c r="R7" s="309"/>
      <c r="S7" s="309"/>
    </row>
    <row r="8" spans="1:19" ht="22.5" x14ac:dyDescent="0.3">
      <c r="A8" s="302" t="s">
        <v>117</v>
      </c>
      <c r="B8" s="302"/>
      <c r="C8" s="302"/>
      <c r="D8" s="302"/>
      <c r="E8" s="302"/>
      <c r="F8" s="302"/>
      <c r="G8" s="302"/>
      <c r="H8" s="302"/>
      <c r="I8" s="302"/>
      <c r="J8" s="302"/>
      <c r="K8" s="302"/>
      <c r="L8" s="302"/>
      <c r="M8" s="302"/>
      <c r="N8" s="302"/>
      <c r="O8" s="302"/>
      <c r="P8" s="302"/>
      <c r="Q8" s="302"/>
      <c r="R8" s="302"/>
      <c r="S8" s="302"/>
    </row>
    <row r="9" spans="1:19" s="1" customFormat="1" x14ac:dyDescent="0.2">
      <c r="B9" s="303"/>
      <c r="C9" s="303"/>
      <c r="D9" s="303"/>
      <c r="E9" s="303"/>
      <c r="F9" s="303"/>
      <c r="G9" s="303"/>
      <c r="H9" s="63"/>
      <c r="O9" s="188"/>
      <c r="P9" s="188"/>
      <c r="Q9" s="188"/>
      <c r="R9" s="188"/>
    </row>
    <row r="10" spans="1:19" ht="157.5" x14ac:dyDescent="0.2">
      <c r="B10" s="181" t="s">
        <v>115</v>
      </c>
      <c r="C10" s="181" t="s">
        <v>126</v>
      </c>
      <c r="D10" s="181" t="s">
        <v>102</v>
      </c>
      <c r="E10" s="181" t="s">
        <v>40</v>
      </c>
      <c r="F10" s="181" t="s">
        <v>41</v>
      </c>
      <c r="G10" s="181" t="s">
        <v>42</v>
      </c>
      <c r="H10" s="181" t="s">
        <v>43</v>
      </c>
      <c r="I10" s="181" t="s">
        <v>44</v>
      </c>
      <c r="J10" s="181" t="s">
        <v>100</v>
      </c>
      <c r="K10" s="181" t="s">
        <v>127</v>
      </c>
      <c r="L10" s="181" t="s">
        <v>116</v>
      </c>
      <c r="M10" s="64" t="s">
        <v>44</v>
      </c>
    </row>
    <row r="11" spans="1:19" s="1" customFormat="1" ht="56.25" x14ac:dyDescent="0.2">
      <c r="A11" s="176" t="s">
        <v>118</v>
      </c>
      <c r="B11" s="177" t="s">
        <v>122</v>
      </c>
      <c r="C11" s="177" t="s">
        <v>120</v>
      </c>
      <c r="D11" s="177" t="s">
        <v>119</v>
      </c>
      <c r="E11" s="177" t="s">
        <v>123</v>
      </c>
      <c r="F11" s="178" t="s">
        <v>121</v>
      </c>
      <c r="G11" s="189" t="s">
        <v>124</v>
      </c>
      <c r="H11" s="61" t="s">
        <v>45</v>
      </c>
      <c r="I11"/>
      <c r="J11" s="189" t="s">
        <v>125</v>
      </c>
      <c r="K11" s="177" t="s">
        <v>129</v>
      </c>
      <c r="L11" s="177" t="s">
        <v>128</v>
      </c>
      <c r="M11" s="177"/>
      <c r="N11" s="177"/>
      <c r="O11" s="177"/>
      <c r="P11" s="177"/>
      <c r="Q11" s="177"/>
      <c r="R11" s="177"/>
      <c r="S11"/>
    </row>
    <row r="12" spans="1:19" ht="22.5" x14ac:dyDescent="0.2">
      <c r="D12" s="65"/>
      <c r="E12" s="65"/>
      <c r="F12" s="66" t="s">
        <v>46</v>
      </c>
      <c r="G12" s="65" t="s">
        <v>47</v>
      </c>
    </row>
    <row r="13" spans="1:19" ht="22.5" x14ac:dyDescent="0.2">
      <c r="F13" s="67" t="s">
        <v>48</v>
      </c>
      <c r="G13" s="65"/>
    </row>
    <row r="14" spans="1:19" ht="33.75" x14ac:dyDescent="0.2">
      <c r="F14" s="68" t="s">
        <v>94</v>
      </c>
      <c r="I14" s="68" t="s">
        <v>98</v>
      </c>
      <c r="N14" s="182"/>
      <c r="O14" s="182"/>
      <c r="P14" s="182"/>
      <c r="Q14" s="182"/>
      <c r="R14" s="182"/>
    </row>
    <row r="15" spans="1:19" ht="33.75" x14ac:dyDescent="0.2">
      <c r="F15" s="69" t="s">
        <v>96</v>
      </c>
      <c r="N15" s="71"/>
      <c r="O15" s="71"/>
      <c r="P15" s="71"/>
      <c r="Q15" s="71"/>
      <c r="R15" s="71"/>
    </row>
    <row r="16" spans="1:19" ht="33.75" x14ac:dyDescent="0.2">
      <c r="F16" s="68" t="s">
        <v>95</v>
      </c>
      <c r="I16" s="68" t="s">
        <v>98</v>
      </c>
      <c r="N16" s="182"/>
      <c r="O16" s="182"/>
      <c r="P16" s="182"/>
      <c r="Q16" s="182"/>
      <c r="R16" s="182"/>
    </row>
    <row r="17" spans="6:18" ht="22.5" x14ac:dyDescent="0.2">
      <c r="F17" s="68" t="s">
        <v>97</v>
      </c>
      <c r="I17" s="68" t="s">
        <v>98</v>
      </c>
      <c r="N17" s="182"/>
      <c r="O17" s="182"/>
      <c r="P17" s="182"/>
      <c r="Q17" s="182"/>
      <c r="R17" s="182"/>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42"/>
  <sheetViews>
    <sheetView showGridLines="0" tabSelected="1" zoomScale="75" zoomScaleNormal="75" workbookViewId="0">
      <pane ySplit="4" topLeftCell="A5" activePane="bottomLeft" state="frozen"/>
      <selection pane="bottomLeft" activeCell="O13" sqref="O13"/>
    </sheetView>
  </sheetViews>
  <sheetFormatPr defaultColWidth="0" defaultRowHeight="12.75" zeroHeight="1" outlineLevelRow="1" x14ac:dyDescent="0.2"/>
  <cols>
    <col min="1" max="1" width="66.28515625" style="115" customWidth="1"/>
    <col min="2" max="2" width="19.5703125" style="116" customWidth="1"/>
    <col min="3" max="3" width="17.7109375" style="117" customWidth="1"/>
    <col min="4" max="4" width="16.85546875" style="118" customWidth="1"/>
    <col min="5" max="5" width="15.5703125" style="119" customWidth="1"/>
    <col min="6" max="6" width="17.85546875" style="119" customWidth="1"/>
    <col min="7" max="7" width="16.5703125" style="120" hidden="1" customWidth="1"/>
    <col min="8" max="8" width="15.5703125" style="121" customWidth="1"/>
    <col min="9" max="9" width="15.5703125" style="121" hidden="1" customWidth="1"/>
    <col min="10" max="11" width="15.5703125" style="121" customWidth="1"/>
    <col min="12" max="12" width="15.5703125" style="120" customWidth="1"/>
    <col min="13" max="13" width="15.5703125" style="122" customWidth="1"/>
    <col min="14" max="18" width="11.42578125" style="89" customWidth="1"/>
    <col min="19" max="16384" width="0" style="89" hidden="1"/>
  </cols>
  <sheetData>
    <row r="1" spans="1:32" s="123" customFormat="1" ht="40.5" customHeight="1" x14ac:dyDescent="0.2">
      <c r="A1" s="221" t="s">
        <v>155</v>
      </c>
      <c r="B1" s="156"/>
      <c r="C1" s="156"/>
      <c r="D1" s="157"/>
      <c r="E1" s="158"/>
      <c r="F1" s="158"/>
      <c r="G1" s="159"/>
      <c r="H1" s="160"/>
      <c r="I1" s="310" t="s">
        <v>90</v>
      </c>
      <c r="J1" s="311"/>
      <c r="K1" s="203" t="str">
        <f>SWVersion</f>
        <v>tbd</v>
      </c>
      <c r="L1" s="157"/>
      <c r="M1" s="157"/>
      <c r="AF1" s="155"/>
    </row>
    <row r="2" spans="1:32" ht="22.5" x14ac:dyDescent="0.2">
      <c r="A2" s="154" t="str">
        <f>"Metrics "</f>
        <v xml:space="preserve">Metrics </v>
      </c>
      <c r="B2" s="132"/>
      <c r="C2" s="132"/>
      <c r="D2" s="132"/>
      <c r="E2" s="132"/>
      <c r="F2" s="132"/>
      <c r="G2" s="132"/>
      <c r="H2" s="132"/>
      <c r="I2" s="132"/>
      <c r="J2" s="132"/>
      <c r="K2" s="132"/>
      <c r="L2" s="132"/>
      <c r="M2" s="132"/>
    </row>
    <row r="3" spans="1:32" s="123" customFormat="1" ht="15.75" customHeight="1" outlineLevel="1" x14ac:dyDescent="0.2">
      <c r="A3" s="147"/>
      <c r="B3" s="148"/>
      <c r="C3" s="124"/>
      <c r="D3" s="124"/>
      <c r="E3" s="124"/>
      <c r="F3" s="124"/>
      <c r="G3" s="124"/>
      <c r="H3" s="124"/>
      <c r="I3" s="124"/>
      <c r="J3" s="124"/>
      <c r="K3" s="135"/>
      <c r="L3" s="135"/>
      <c r="M3" s="132"/>
    </row>
    <row r="4" spans="1:32" s="90" customFormat="1" ht="99" customHeight="1" outlineLevel="1" x14ac:dyDescent="0.2">
      <c r="A4" s="149" t="s">
        <v>101</v>
      </c>
      <c r="B4" s="150" t="s">
        <v>132</v>
      </c>
      <c r="C4" s="150" t="s">
        <v>102</v>
      </c>
      <c r="D4" s="150" t="s">
        <v>144</v>
      </c>
      <c r="E4" s="150" t="s">
        <v>93</v>
      </c>
      <c r="F4" s="150" t="s">
        <v>85</v>
      </c>
      <c r="G4" s="150" t="s">
        <v>86</v>
      </c>
      <c r="H4" s="150" t="s">
        <v>87</v>
      </c>
      <c r="I4" s="150" t="s">
        <v>89</v>
      </c>
      <c r="J4" s="150" t="s">
        <v>88</v>
      </c>
      <c r="K4" s="132"/>
      <c r="L4" s="132"/>
      <c r="M4" s="132"/>
    </row>
    <row r="5" spans="1:32" ht="15" outlineLevel="1" x14ac:dyDescent="0.2">
      <c r="A5" s="170"/>
      <c r="B5" s="142"/>
      <c r="C5" s="143"/>
      <c r="D5" s="143"/>
      <c r="E5" s="144"/>
      <c r="F5" s="143"/>
      <c r="G5" s="143"/>
      <c r="H5" s="145"/>
      <c r="I5" s="145"/>
      <c r="J5" s="145"/>
      <c r="K5" s="132"/>
      <c r="L5" s="132"/>
      <c r="M5" s="132"/>
    </row>
    <row r="6" spans="1:32" ht="15.75" outlineLevel="1" thickBot="1" x14ac:dyDescent="0.25">
      <c r="A6" s="141"/>
      <c r="B6" s="142"/>
      <c r="C6" s="143"/>
      <c r="D6" s="143"/>
      <c r="E6" s="144"/>
      <c r="F6" s="143"/>
      <c r="G6" s="143"/>
      <c r="H6" s="145"/>
      <c r="I6" s="145"/>
      <c r="J6" s="145"/>
      <c r="K6" s="132"/>
      <c r="L6" s="132"/>
      <c r="M6" s="132"/>
    </row>
    <row r="7" spans="1:32" s="99" customFormat="1" ht="15.75" outlineLevel="1" x14ac:dyDescent="0.2">
      <c r="A7" s="151" t="s">
        <v>83</v>
      </c>
      <c r="B7" s="100">
        <v>0</v>
      </c>
      <c r="C7" s="101">
        <v>0</v>
      </c>
      <c r="D7" s="101">
        <v>0</v>
      </c>
      <c r="E7" s="101">
        <v>0</v>
      </c>
      <c r="F7" s="101">
        <v>0</v>
      </c>
      <c r="G7" s="101">
        <v>0</v>
      </c>
      <c r="H7" s="102">
        <v>0</v>
      </c>
      <c r="I7" s="102">
        <v>0</v>
      </c>
      <c r="J7" s="102">
        <v>0</v>
      </c>
      <c r="K7" s="132"/>
      <c r="L7" s="132"/>
      <c r="M7" s="132"/>
    </row>
    <row r="8" spans="1:32" s="105" customFormat="1" ht="15.75" outlineLevel="1" x14ac:dyDescent="0.2">
      <c r="A8" s="152" t="s">
        <v>84</v>
      </c>
      <c r="B8" s="146"/>
      <c r="C8" s="191"/>
      <c r="D8" s="191"/>
      <c r="E8" s="191"/>
      <c r="F8" s="191"/>
      <c r="G8" s="191"/>
      <c r="H8" s="192"/>
      <c r="I8" s="192"/>
      <c r="J8" s="192"/>
      <c r="K8" s="132"/>
      <c r="L8" s="132"/>
      <c r="M8" s="132"/>
    </row>
    <row r="9" spans="1:32" s="139" customFormat="1" ht="15.75" outlineLevel="1" thickBot="1" x14ac:dyDescent="0.25">
      <c r="A9" s="125"/>
      <c r="B9" s="132"/>
      <c r="C9" s="133"/>
      <c r="D9" s="134"/>
      <c r="E9" s="135"/>
      <c r="F9" s="135"/>
      <c r="G9" s="136"/>
      <c r="H9" s="137"/>
      <c r="I9" s="137"/>
      <c r="J9" s="137"/>
      <c r="K9" s="137"/>
      <c r="L9" s="136"/>
      <c r="M9" s="132"/>
    </row>
    <row r="10" spans="1:32" s="140" customFormat="1" ht="16.5" outlineLevel="1" thickTop="1" thickBot="1" x14ac:dyDescent="0.25">
      <c r="A10" s="138"/>
      <c r="B10" s="126"/>
      <c r="C10" s="127"/>
      <c r="D10" s="128"/>
      <c r="E10" s="129"/>
      <c r="F10" s="129"/>
      <c r="G10" s="130"/>
      <c r="H10" s="131"/>
      <c r="I10" s="131"/>
      <c r="J10" s="131"/>
      <c r="K10" s="131"/>
      <c r="L10" s="130"/>
      <c r="M10" s="131"/>
    </row>
    <row r="11" spans="1:32" s="106" customFormat="1" ht="23.25" thickTop="1" x14ac:dyDescent="0.2">
      <c r="A11" s="161" t="s">
        <v>145</v>
      </c>
      <c r="B11" s="162"/>
      <c r="C11" s="162"/>
      <c r="D11" s="162"/>
      <c r="E11" s="162"/>
      <c r="F11" s="162"/>
      <c r="G11" s="162"/>
      <c r="H11" s="162"/>
      <c r="I11" s="162"/>
      <c r="J11" s="162"/>
      <c r="K11" s="162"/>
      <c r="L11" s="162"/>
      <c r="M11" s="162"/>
    </row>
    <row r="12" spans="1:32" s="106" customFormat="1" ht="15" outlineLevel="1" x14ac:dyDescent="0.2">
      <c r="A12" s="163"/>
      <c r="B12" s="164"/>
      <c r="C12" s="164"/>
      <c r="D12" s="164"/>
      <c r="E12" s="164"/>
      <c r="F12" s="164"/>
      <c r="G12" s="164"/>
      <c r="H12" s="164"/>
      <c r="I12" s="164"/>
      <c r="J12" s="164"/>
      <c r="K12" s="164"/>
      <c r="L12" s="164"/>
      <c r="M12" s="164"/>
    </row>
    <row r="13" spans="1:32" s="106" customFormat="1" ht="15.75" outlineLevel="1" x14ac:dyDescent="0.2">
      <c r="A13" s="204" t="s">
        <v>146</v>
      </c>
      <c r="B13" s="219">
        <f>ImplementedReq</f>
        <v>0</v>
      </c>
      <c r="C13" s="164"/>
      <c r="D13" s="164"/>
      <c r="E13" s="164"/>
      <c r="F13" s="164"/>
      <c r="G13" s="164"/>
      <c r="H13" s="164"/>
      <c r="I13" s="164"/>
      <c r="J13" s="164"/>
      <c r="K13" s="164"/>
      <c r="L13" s="164"/>
      <c r="M13" s="164"/>
    </row>
    <row r="14" spans="1:32" s="106" customFormat="1" ht="15.75" outlineLevel="1" x14ac:dyDescent="0.2">
      <c r="A14" s="204" t="s">
        <v>147</v>
      </c>
      <c r="B14" s="220">
        <f>B7-ImplementedReq</f>
        <v>0</v>
      </c>
      <c r="C14" s="164"/>
      <c r="D14" s="164"/>
      <c r="E14" s="164"/>
      <c r="F14" s="164"/>
      <c r="G14" s="164"/>
      <c r="H14" s="164"/>
      <c r="I14" s="164"/>
      <c r="J14" s="164"/>
      <c r="K14" s="164"/>
      <c r="L14" s="164"/>
      <c r="M14" s="164"/>
    </row>
    <row r="15" spans="1:32" s="106" customFormat="1" ht="15" outlineLevel="1" x14ac:dyDescent="0.2">
      <c r="A15" s="163"/>
      <c r="B15" s="164"/>
      <c r="C15" s="164"/>
      <c r="D15" s="164"/>
      <c r="E15" s="164"/>
      <c r="F15" s="164"/>
      <c r="G15" s="164"/>
      <c r="H15" s="164"/>
      <c r="I15" s="164"/>
      <c r="J15" s="164"/>
      <c r="K15" s="164"/>
      <c r="L15" s="164"/>
      <c r="M15" s="164"/>
    </row>
    <row r="16" spans="1:32" s="106" customFormat="1" ht="15" outlineLevel="1" x14ac:dyDescent="0.2">
      <c r="A16" s="163"/>
      <c r="B16" s="164"/>
      <c r="C16" s="164"/>
      <c r="D16" s="164"/>
      <c r="E16" s="164"/>
      <c r="F16" s="164"/>
      <c r="G16" s="164"/>
      <c r="H16" s="164"/>
      <c r="I16" s="164"/>
      <c r="J16" s="164"/>
      <c r="K16" s="164"/>
      <c r="L16" s="164"/>
      <c r="M16" s="164"/>
    </row>
    <row r="17" spans="1:13" s="106" customFormat="1" ht="15" outlineLevel="1" x14ac:dyDescent="0.2">
      <c r="A17" s="163"/>
      <c r="B17" s="164"/>
      <c r="C17" s="164"/>
      <c r="D17" s="164"/>
      <c r="E17" s="164"/>
      <c r="F17" s="164"/>
      <c r="G17" s="164"/>
      <c r="H17" s="164"/>
      <c r="I17" s="164"/>
      <c r="J17" s="164"/>
      <c r="K17" s="164"/>
      <c r="L17" s="164"/>
      <c r="M17" s="164"/>
    </row>
    <row r="18" spans="1:13" s="106" customFormat="1" ht="15" outlineLevel="1" x14ac:dyDescent="0.2">
      <c r="A18" s="163"/>
      <c r="B18" s="164"/>
      <c r="C18" s="164"/>
      <c r="D18" s="164"/>
      <c r="E18" s="164"/>
      <c r="F18" s="164"/>
      <c r="G18" s="164"/>
      <c r="H18" s="164"/>
      <c r="I18" s="164"/>
      <c r="J18" s="164"/>
      <c r="K18" s="164"/>
      <c r="L18" s="164"/>
      <c r="M18" s="164"/>
    </row>
    <row r="19" spans="1:13" s="106" customFormat="1" ht="15" outlineLevel="1" x14ac:dyDescent="0.2">
      <c r="A19" s="163"/>
      <c r="B19" s="164"/>
      <c r="C19" s="164"/>
      <c r="D19" s="164"/>
      <c r="E19" s="164"/>
      <c r="F19" s="164"/>
      <c r="G19" s="164"/>
      <c r="H19" s="164"/>
      <c r="I19" s="164"/>
      <c r="J19" s="164"/>
      <c r="K19" s="164"/>
      <c r="L19" s="164"/>
      <c r="M19" s="164"/>
    </row>
    <row r="20" spans="1:13" s="106" customFormat="1" ht="15" outlineLevel="1" x14ac:dyDescent="0.2">
      <c r="A20" s="163"/>
      <c r="B20" s="164"/>
      <c r="C20" s="164"/>
      <c r="D20" s="164"/>
      <c r="E20" s="164"/>
      <c r="F20" s="164"/>
      <c r="G20" s="164"/>
      <c r="H20" s="164"/>
      <c r="I20" s="164"/>
      <c r="J20" s="164"/>
      <c r="K20" s="164"/>
      <c r="L20" s="164"/>
      <c r="M20" s="164"/>
    </row>
    <row r="21" spans="1:13" s="106" customFormat="1" ht="15" outlineLevel="1" x14ac:dyDescent="0.2">
      <c r="A21" s="163"/>
      <c r="B21" s="164"/>
      <c r="C21" s="164"/>
      <c r="D21" s="164"/>
      <c r="E21" s="164"/>
      <c r="F21" s="164"/>
      <c r="G21" s="164"/>
      <c r="H21" s="164"/>
      <c r="I21" s="164"/>
      <c r="J21" s="164"/>
      <c r="K21" s="164"/>
      <c r="L21" s="164"/>
      <c r="M21" s="164"/>
    </row>
    <row r="22" spans="1:13" s="106" customFormat="1" ht="15" outlineLevel="1" x14ac:dyDescent="0.2">
      <c r="A22" s="163"/>
      <c r="B22" s="164"/>
      <c r="C22" s="164"/>
      <c r="D22" s="164"/>
      <c r="E22" s="164"/>
      <c r="F22" s="164"/>
      <c r="G22" s="164"/>
      <c r="H22" s="164"/>
      <c r="I22" s="164"/>
      <c r="J22" s="164"/>
      <c r="K22" s="164"/>
      <c r="L22" s="164"/>
      <c r="M22" s="164"/>
    </row>
    <row r="23" spans="1:13" s="106" customFormat="1" ht="15" outlineLevel="1" x14ac:dyDescent="0.2">
      <c r="A23" s="163"/>
      <c r="B23" s="164"/>
      <c r="C23" s="164"/>
      <c r="D23" s="164"/>
      <c r="E23" s="164"/>
      <c r="F23" s="164"/>
      <c r="G23" s="164"/>
      <c r="H23" s="164"/>
      <c r="I23" s="164"/>
      <c r="J23" s="164"/>
      <c r="K23" s="164"/>
      <c r="L23" s="164"/>
      <c r="M23" s="164"/>
    </row>
    <row r="24" spans="1:13" s="106" customFormat="1" ht="15" outlineLevel="1" x14ac:dyDescent="0.2">
      <c r="A24" s="163"/>
      <c r="B24" s="164"/>
      <c r="C24" s="164"/>
      <c r="D24" s="164"/>
      <c r="E24" s="164"/>
      <c r="F24" s="164"/>
      <c r="G24" s="164"/>
      <c r="H24" s="164"/>
      <c r="I24" s="164"/>
      <c r="J24" s="164"/>
      <c r="K24" s="164"/>
      <c r="L24" s="164"/>
      <c r="M24" s="164"/>
    </row>
    <row r="25" spans="1:13" s="106" customFormat="1" ht="15" outlineLevel="1" x14ac:dyDescent="0.2">
      <c r="A25" s="163"/>
      <c r="B25" s="164"/>
      <c r="C25" s="164"/>
      <c r="D25" s="164"/>
      <c r="E25" s="164"/>
      <c r="F25" s="164"/>
      <c r="G25" s="164"/>
      <c r="H25" s="164"/>
      <c r="I25" s="164"/>
      <c r="J25" s="164"/>
      <c r="K25" s="164"/>
      <c r="L25" s="164"/>
      <c r="M25" s="164"/>
    </row>
    <row r="26" spans="1:13" s="106" customFormat="1" ht="15" outlineLevel="1" x14ac:dyDescent="0.2">
      <c r="A26" s="163"/>
      <c r="B26" s="164"/>
      <c r="C26" s="164"/>
      <c r="D26" s="164"/>
      <c r="E26" s="164"/>
      <c r="F26" s="164"/>
      <c r="G26" s="164"/>
      <c r="H26" s="164"/>
      <c r="I26" s="164"/>
      <c r="J26" s="164"/>
      <c r="K26" s="164"/>
      <c r="L26" s="164"/>
      <c r="M26" s="164"/>
    </row>
    <row r="27" spans="1:13" s="106" customFormat="1" ht="15" outlineLevel="1" x14ac:dyDescent="0.2">
      <c r="A27" s="163"/>
      <c r="B27" s="164"/>
      <c r="C27" s="164"/>
      <c r="D27" s="164"/>
      <c r="E27" s="164"/>
      <c r="F27" s="164"/>
      <c r="G27" s="164"/>
      <c r="H27" s="164"/>
      <c r="I27" s="164"/>
      <c r="J27" s="164"/>
      <c r="K27" s="164"/>
      <c r="L27" s="164"/>
      <c r="M27" s="164"/>
    </row>
    <row r="28" spans="1:13" s="106" customFormat="1" ht="15" outlineLevel="1" x14ac:dyDescent="0.2">
      <c r="A28" s="163"/>
      <c r="B28" s="164"/>
      <c r="C28" s="164"/>
      <c r="D28" s="164"/>
      <c r="E28" s="164"/>
      <c r="F28" s="164"/>
      <c r="G28" s="164"/>
      <c r="H28" s="164"/>
      <c r="I28" s="164"/>
      <c r="J28" s="164"/>
      <c r="K28" s="164"/>
      <c r="L28" s="164"/>
      <c r="M28" s="164"/>
    </row>
    <row r="29" spans="1:13" s="106" customFormat="1" ht="15.75" outlineLevel="1" thickBot="1" x14ac:dyDescent="0.25">
      <c r="A29" s="165"/>
      <c r="B29" s="166"/>
      <c r="C29" s="166"/>
      <c r="D29" s="166"/>
      <c r="E29" s="166"/>
      <c r="F29" s="166"/>
      <c r="G29" s="166"/>
      <c r="H29" s="166"/>
      <c r="I29" s="166"/>
      <c r="J29" s="166"/>
      <c r="K29" s="166"/>
      <c r="L29" s="166"/>
      <c r="M29" s="166"/>
    </row>
    <row r="30" spans="1:13" s="106" customFormat="1" ht="23.25" thickTop="1" x14ac:dyDescent="0.2">
      <c r="A30" s="205" t="s">
        <v>148</v>
      </c>
      <c r="B30" s="206"/>
      <c r="C30" s="206"/>
      <c r="D30" s="206"/>
      <c r="E30" s="206"/>
      <c r="F30" s="206"/>
      <c r="G30" s="206"/>
      <c r="H30" s="206"/>
      <c r="I30" s="206"/>
      <c r="J30" s="206"/>
      <c r="K30" s="206"/>
      <c r="L30" s="206"/>
      <c r="M30" s="206"/>
    </row>
    <row r="31" spans="1:13" s="106" customFormat="1" ht="15" outlineLevel="1" x14ac:dyDescent="0.2">
      <c r="A31" s="207"/>
      <c r="B31" s="208"/>
      <c r="C31" s="208"/>
      <c r="D31" s="208"/>
      <c r="E31" s="208"/>
      <c r="F31" s="208"/>
      <c r="G31" s="208"/>
      <c r="H31" s="208"/>
      <c r="I31" s="208"/>
      <c r="J31" s="208"/>
      <c r="K31" s="208"/>
      <c r="L31" s="208"/>
      <c r="M31" s="208"/>
    </row>
    <row r="32" spans="1:13" s="106" customFormat="1" ht="15.75" outlineLevel="1" x14ac:dyDescent="0.2">
      <c r="A32" s="211" t="s">
        <v>149</v>
      </c>
      <c r="B32" s="217">
        <f>CoveredByLowReq</f>
        <v>0</v>
      </c>
      <c r="C32" s="208"/>
      <c r="D32" s="208"/>
      <c r="E32" s="208"/>
      <c r="F32" s="208"/>
      <c r="G32" s="208"/>
      <c r="H32" s="208"/>
      <c r="I32" s="208"/>
      <c r="J32" s="208"/>
      <c r="K32" s="208"/>
      <c r="L32" s="208"/>
      <c r="M32" s="208"/>
    </row>
    <row r="33" spans="1:13" s="106" customFormat="1" ht="15.75" outlineLevel="1" x14ac:dyDescent="0.2">
      <c r="A33" s="211" t="s">
        <v>150</v>
      </c>
      <c r="B33" s="218">
        <f>B7-CoveredByLowReq</f>
        <v>0</v>
      </c>
      <c r="C33" s="208"/>
      <c r="D33" s="208"/>
      <c r="E33" s="208"/>
      <c r="F33" s="208"/>
      <c r="G33" s="208"/>
      <c r="H33" s="208"/>
      <c r="I33" s="208"/>
      <c r="J33" s="208"/>
      <c r="K33" s="208"/>
      <c r="L33" s="208"/>
      <c r="M33" s="208"/>
    </row>
    <row r="34" spans="1:13" s="106" customFormat="1" ht="15" outlineLevel="1" x14ac:dyDescent="0.2">
      <c r="A34" s="207"/>
      <c r="B34" s="208"/>
      <c r="C34" s="208"/>
      <c r="D34" s="208"/>
      <c r="E34" s="208"/>
      <c r="F34" s="208"/>
      <c r="G34" s="208"/>
      <c r="H34" s="208"/>
      <c r="I34" s="208"/>
      <c r="J34" s="208"/>
      <c r="K34" s="208"/>
      <c r="L34" s="208"/>
      <c r="M34" s="208"/>
    </row>
    <row r="35" spans="1:13" s="106" customFormat="1" ht="15" outlineLevel="1" x14ac:dyDescent="0.2">
      <c r="A35" s="207"/>
      <c r="B35" s="208"/>
      <c r="C35" s="208"/>
      <c r="D35" s="208"/>
      <c r="E35" s="208"/>
      <c r="F35" s="208"/>
      <c r="G35" s="208"/>
      <c r="H35" s="208"/>
      <c r="I35" s="208"/>
      <c r="J35" s="208"/>
      <c r="K35" s="208"/>
      <c r="L35" s="208"/>
      <c r="M35" s="208"/>
    </row>
    <row r="36" spans="1:13" s="106" customFormat="1" ht="15" outlineLevel="1" x14ac:dyDescent="0.2">
      <c r="A36" s="207"/>
      <c r="B36" s="208"/>
      <c r="C36" s="208"/>
      <c r="D36" s="208"/>
      <c r="E36" s="208"/>
      <c r="F36" s="208"/>
      <c r="G36" s="208"/>
      <c r="H36" s="208"/>
      <c r="I36" s="208"/>
      <c r="J36" s="208"/>
      <c r="K36" s="208"/>
      <c r="L36" s="208"/>
      <c r="M36" s="208"/>
    </row>
    <row r="37" spans="1:13" s="106" customFormat="1" ht="15" outlineLevel="1" x14ac:dyDescent="0.2">
      <c r="A37" s="207"/>
      <c r="B37" s="208"/>
      <c r="C37" s="208"/>
      <c r="D37" s="208"/>
      <c r="E37" s="208"/>
      <c r="F37" s="208"/>
      <c r="G37" s="208"/>
      <c r="H37" s="208"/>
      <c r="I37" s="208"/>
      <c r="J37" s="208"/>
      <c r="K37" s="208"/>
      <c r="L37" s="208"/>
      <c r="M37" s="208"/>
    </row>
    <row r="38" spans="1:13" s="106" customFormat="1" ht="15" outlineLevel="1" x14ac:dyDescent="0.2">
      <c r="A38" s="207"/>
      <c r="B38" s="208"/>
      <c r="C38" s="208"/>
      <c r="D38" s="208"/>
      <c r="E38" s="208"/>
      <c r="F38" s="208"/>
      <c r="G38" s="208"/>
      <c r="H38" s="208"/>
      <c r="I38" s="208"/>
      <c r="J38" s="208"/>
      <c r="K38" s="208"/>
      <c r="L38" s="208"/>
      <c r="M38" s="208"/>
    </row>
    <row r="39" spans="1:13" s="106" customFormat="1" ht="15" outlineLevel="1" x14ac:dyDescent="0.2">
      <c r="A39" s="207"/>
      <c r="B39" s="208"/>
      <c r="C39" s="208"/>
      <c r="D39" s="208"/>
      <c r="E39" s="208"/>
      <c r="F39" s="208"/>
      <c r="G39" s="208"/>
      <c r="H39" s="208"/>
      <c r="I39" s="208"/>
      <c r="J39" s="208"/>
      <c r="K39" s="208"/>
      <c r="L39" s="208"/>
      <c r="M39" s="208"/>
    </row>
    <row r="40" spans="1:13" s="106" customFormat="1" ht="15" outlineLevel="1" x14ac:dyDescent="0.2">
      <c r="A40" s="207"/>
      <c r="B40" s="208"/>
      <c r="C40" s="208"/>
      <c r="D40" s="208"/>
      <c r="E40" s="208"/>
      <c r="F40" s="208"/>
      <c r="G40" s="208"/>
      <c r="H40" s="208"/>
      <c r="I40" s="208"/>
      <c r="J40" s="208"/>
      <c r="K40" s="208"/>
      <c r="L40" s="208"/>
      <c r="M40" s="208"/>
    </row>
    <row r="41" spans="1:13" s="106" customFormat="1" ht="15" outlineLevel="1" x14ac:dyDescent="0.2">
      <c r="A41" s="207"/>
      <c r="B41" s="208"/>
      <c r="C41" s="208"/>
      <c r="D41" s="208"/>
      <c r="E41" s="208"/>
      <c r="F41" s="208"/>
      <c r="G41" s="208"/>
      <c r="H41" s="208"/>
      <c r="I41" s="208"/>
      <c r="J41" s="208"/>
      <c r="K41" s="208"/>
      <c r="L41" s="208"/>
      <c r="M41" s="208"/>
    </row>
    <row r="42" spans="1:13" s="106" customFormat="1" ht="15" outlineLevel="1" x14ac:dyDescent="0.2">
      <c r="A42" s="207"/>
      <c r="B42" s="208"/>
      <c r="C42" s="208"/>
      <c r="D42" s="208"/>
      <c r="E42" s="208"/>
      <c r="F42" s="208"/>
      <c r="G42" s="208"/>
      <c r="H42" s="208"/>
      <c r="I42" s="208"/>
      <c r="J42" s="208"/>
      <c r="K42" s="208"/>
      <c r="L42" s="208"/>
      <c r="M42" s="208"/>
    </row>
    <row r="43" spans="1:13" s="106" customFormat="1" ht="15" outlineLevel="1" x14ac:dyDescent="0.2">
      <c r="A43" s="207"/>
      <c r="B43" s="208"/>
      <c r="C43" s="208"/>
      <c r="D43" s="208"/>
      <c r="E43" s="208"/>
      <c r="F43" s="208"/>
      <c r="G43" s="208"/>
      <c r="H43" s="208"/>
      <c r="I43" s="208"/>
      <c r="J43" s="208"/>
      <c r="K43" s="208"/>
      <c r="L43" s="208"/>
      <c r="M43" s="208"/>
    </row>
    <row r="44" spans="1:13" s="106" customFormat="1" ht="15" outlineLevel="1" x14ac:dyDescent="0.2">
      <c r="A44" s="207"/>
      <c r="B44" s="208"/>
      <c r="C44" s="208"/>
      <c r="D44" s="208"/>
      <c r="E44" s="208"/>
      <c r="F44" s="208"/>
      <c r="G44" s="208"/>
      <c r="H44" s="208"/>
      <c r="I44" s="208"/>
      <c r="J44" s="208"/>
      <c r="K44" s="208"/>
      <c r="L44" s="208"/>
      <c r="M44" s="208"/>
    </row>
    <row r="45" spans="1:13" s="106" customFormat="1" ht="15" outlineLevel="1" x14ac:dyDescent="0.2">
      <c r="A45" s="207"/>
      <c r="B45" s="208"/>
      <c r="C45" s="208"/>
      <c r="D45" s="208"/>
      <c r="E45" s="208"/>
      <c r="F45" s="208"/>
      <c r="G45" s="208"/>
      <c r="H45" s="208"/>
      <c r="I45" s="208"/>
      <c r="J45" s="208"/>
      <c r="K45" s="208"/>
      <c r="L45" s="208"/>
      <c r="M45" s="208"/>
    </row>
    <row r="46" spans="1:13" s="106" customFormat="1" ht="15" outlineLevel="1" x14ac:dyDescent="0.2">
      <c r="A46" s="207"/>
      <c r="B46" s="208"/>
      <c r="C46" s="208"/>
      <c r="D46" s="208"/>
      <c r="E46" s="208"/>
      <c r="F46" s="208"/>
      <c r="G46" s="208"/>
      <c r="H46" s="208"/>
      <c r="I46" s="208"/>
      <c r="J46" s="208"/>
      <c r="K46" s="208"/>
      <c r="L46" s="208"/>
      <c r="M46" s="208"/>
    </row>
    <row r="47" spans="1:13" s="106" customFormat="1" ht="15" outlineLevel="1" x14ac:dyDescent="0.2">
      <c r="A47" s="207"/>
      <c r="B47" s="208"/>
      <c r="C47" s="208"/>
      <c r="D47" s="208"/>
      <c r="E47" s="208"/>
      <c r="F47" s="208"/>
      <c r="G47" s="208"/>
      <c r="H47" s="208"/>
      <c r="I47" s="208"/>
      <c r="J47" s="208"/>
      <c r="K47" s="208"/>
      <c r="L47" s="208"/>
      <c r="M47" s="208"/>
    </row>
    <row r="48" spans="1:13" s="106" customFormat="1" ht="15.75" outlineLevel="1" thickBot="1" x14ac:dyDescent="0.25">
      <c r="A48" s="209"/>
      <c r="B48" s="210"/>
      <c r="C48" s="210"/>
      <c r="D48" s="210"/>
      <c r="E48" s="210"/>
      <c r="F48" s="210"/>
      <c r="G48" s="210"/>
      <c r="H48" s="210"/>
      <c r="I48" s="210"/>
      <c r="J48" s="210"/>
      <c r="K48" s="210"/>
      <c r="L48" s="210"/>
      <c r="M48" s="210"/>
    </row>
    <row r="49" spans="1:14" s="106" customFormat="1" ht="23.25" thickTop="1" x14ac:dyDescent="0.2">
      <c r="A49" s="194" t="s">
        <v>138</v>
      </c>
      <c r="B49" s="195"/>
      <c r="C49" s="195"/>
      <c r="D49" s="195"/>
      <c r="E49" s="195"/>
      <c r="F49" s="195"/>
      <c r="G49" s="195"/>
      <c r="H49" s="195"/>
      <c r="I49" s="195"/>
      <c r="J49" s="195"/>
      <c r="K49" s="195"/>
      <c r="L49" s="195"/>
      <c r="M49" s="195"/>
      <c r="N49" s="89"/>
    </row>
    <row r="50" spans="1:14" s="106" customFormat="1" ht="31.5" outlineLevel="1" x14ac:dyDescent="0.2">
      <c r="A50" s="196"/>
      <c r="B50" s="213" t="s">
        <v>133</v>
      </c>
      <c r="C50" s="197"/>
      <c r="D50" s="198"/>
      <c r="E50" s="198"/>
      <c r="F50" s="198"/>
      <c r="G50" s="198"/>
      <c r="H50" s="198"/>
      <c r="I50" s="198"/>
      <c r="J50" s="198"/>
      <c r="K50" s="198"/>
      <c r="L50" s="198"/>
      <c r="M50" s="198"/>
      <c r="N50" s="89"/>
    </row>
    <row r="51" spans="1:14" s="106" customFormat="1" ht="15.75" outlineLevel="1" x14ac:dyDescent="0.2">
      <c r="A51" s="212" t="s">
        <v>151</v>
      </c>
      <c r="B51" s="214">
        <f>TestedReq</f>
        <v>0</v>
      </c>
      <c r="C51" s="197"/>
      <c r="D51" s="197"/>
      <c r="E51" s="199"/>
      <c r="F51" s="200"/>
      <c r="G51" s="200"/>
      <c r="H51" s="200"/>
      <c r="I51" s="200"/>
      <c r="J51" s="200"/>
      <c r="K51" s="200"/>
      <c r="L51" s="200"/>
      <c r="M51" s="200"/>
      <c r="N51" s="89"/>
    </row>
    <row r="52" spans="1:14" s="106" customFormat="1" ht="15.75" outlineLevel="1" x14ac:dyDescent="0.2">
      <c r="A52" s="212" t="s">
        <v>152</v>
      </c>
      <c r="B52" s="215">
        <f>CoveredReq-TestedReq</f>
        <v>0</v>
      </c>
      <c r="C52" s="197"/>
      <c r="D52" s="197"/>
      <c r="E52" s="199"/>
      <c r="F52" s="200"/>
      <c r="G52" s="200"/>
      <c r="H52" s="200"/>
      <c r="I52" s="200"/>
      <c r="J52" s="200"/>
      <c r="K52" s="200"/>
      <c r="L52" s="200"/>
      <c r="M52" s="200"/>
      <c r="N52" s="89"/>
    </row>
    <row r="53" spans="1:14" s="106" customFormat="1" ht="15.75" outlineLevel="1" x14ac:dyDescent="0.2">
      <c r="A53" s="212" t="s">
        <v>153</v>
      </c>
      <c r="B53" s="216">
        <f>B7-CoveredReq</f>
        <v>0</v>
      </c>
      <c r="C53" s="197"/>
      <c r="D53" s="197"/>
      <c r="E53" s="199"/>
      <c r="F53" s="200"/>
      <c r="G53" s="200"/>
      <c r="H53" s="200"/>
      <c r="I53" s="200"/>
      <c r="J53" s="200"/>
      <c r="K53" s="200"/>
      <c r="L53" s="200"/>
      <c r="M53" s="200"/>
      <c r="N53" s="89"/>
    </row>
    <row r="54" spans="1:14" s="106" customFormat="1" ht="15.75" outlineLevel="1" x14ac:dyDescent="0.2">
      <c r="A54" s="197"/>
      <c r="B54" s="197"/>
      <c r="C54" s="197"/>
      <c r="D54" s="197"/>
      <c r="E54" s="199"/>
      <c r="F54" s="200"/>
      <c r="G54" s="200"/>
      <c r="H54" s="200"/>
      <c r="I54" s="200"/>
      <c r="J54" s="200"/>
      <c r="K54" s="200"/>
      <c r="L54" s="200"/>
      <c r="M54" s="200"/>
      <c r="N54" s="89"/>
    </row>
    <row r="55" spans="1:14" s="106" customFormat="1" ht="36" customHeight="1" outlineLevel="1" x14ac:dyDescent="0.2">
      <c r="A55" s="197"/>
      <c r="B55" s="197"/>
      <c r="C55" s="197"/>
      <c r="D55" s="197"/>
      <c r="E55" s="197"/>
      <c r="F55" s="200"/>
      <c r="G55" s="200"/>
      <c r="H55" s="200"/>
      <c r="I55" s="200"/>
      <c r="J55" s="200"/>
      <c r="K55" s="200"/>
      <c r="L55" s="200"/>
      <c r="M55" s="200"/>
      <c r="N55" s="89"/>
    </row>
    <row r="56" spans="1:14" s="106" customFormat="1" ht="15" outlineLevel="1" x14ac:dyDescent="0.2">
      <c r="A56" s="201"/>
      <c r="B56" s="197"/>
      <c r="C56" s="197"/>
      <c r="D56" s="197"/>
      <c r="E56" s="197"/>
      <c r="F56" s="200"/>
      <c r="G56" s="200"/>
      <c r="H56" s="200"/>
      <c r="I56" s="200"/>
      <c r="J56" s="200"/>
      <c r="K56" s="200"/>
      <c r="L56" s="200"/>
      <c r="M56" s="200"/>
      <c r="N56" s="89"/>
    </row>
    <row r="57" spans="1:14" s="106" customFormat="1" ht="15" outlineLevel="1" x14ac:dyDescent="0.2">
      <c r="A57" s="201"/>
      <c r="B57" s="197"/>
      <c r="C57" s="197"/>
      <c r="D57" s="197"/>
      <c r="E57" s="197"/>
      <c r="F57" s="200"/>
      <c r="G57" s="200"/>
      <c r="H57" s="200"/>
      <c r="I57" s="200"/>
      <c r="J57" s="200"/>
      <c r="K57" s="200"/>
      <c r="L57" s="200"/>
      <c r="M57" s="200"/>
      <c r="N57" s="89"/>
    </row>
    <row r="58" spans="1:14" s="106" customFormat="1" ht="15" outlineLevel="1" x14ac:dyDescent="0.2">
      <c r="A58" s="201"/>
      <c r="B58" s="197"/>
      <c r="C58" s="197"/>
      <c r="D58" s="197"/>
      <c r="E58" s="197"/>
      <c r="F58" s="200"/>
      <c r="G58" s="200"/>
      <c r="H58" s="200"/>
      <c r="I58" s="200"/>
      <c r="J58" s="200"/>
      <c r="K58" s="200"/>
      <c r="L58" s="200"/>
      <c r="M58" s="200"/>
      <c r="N58" s="89"/>
    </row>
    <row r="59" spans="1:14" s="106" customFormat="1" ht="15" outlineLevel="1" x14ac:dyDescent="0.2">
      <c r="A59" s="201"/>
      <c r="B59" s="197"/>
      <c r="C59" s="197"/>
      <c r="D59" s="197"/>
      <c r="E59" s="197"/>
      <c r="F59" s="200"/>
      <c r="G59" s="200"/>
      <c r="H59" s="200"/>
      <c r="I59" s="200"/>
      <c r="J59" s="200"/>
      <c r="K59" s="200"/>
      <c r="L59" s="200"/>
      <c r="M59" s="200"/>
      <c r="N59" s="89"/>
    </row>
    <row r="60" spans="1:14" s="106" customFormat="1" ht="15" outlineLevel="1" x14ac:dyDescent="0.2">
      <c r="A60" s="201"/>
      <c r="B60" s="197"/>
      <c r="C60" s="197"/>
      <c r="D60" s="197"/>
      <c r="E60" s="197"/>
      <c r="F60" s="200"/>
      <c r="G60" s="200"/>
      <c r="H60" s="200"/>
      <c r="I60" s="200"/>
      <c r="J60" s="200"/>
      <c r="K60" s="200"/>
      <c r="L60" s="200"/>
      <c r="M60" s="200"/>
      <c r="N60" s="89"/>
    </row>
    <row r="61" spans="1:14" s="106" customFormat="1" ht="15" outlineLevel="1" x14ac:dyDescent="0.2">
      <c r="A61" s="201"/>
      <c r="B61" s="197"/>
      <c r="C61" s="197"/>
      <c r="D61" s="197"/>
      <c r="E61" s="197"/>
      <c r="F61" s="200"/>
      <c r="G61" s="200"/>
      <c r="H61" s="200"/>
      <c r="I61" s="200"/>
      <c r="J61" s="200"/>
      <c r="K61" s="200"/>
      <c r="L61" s="200"/>
      <c r="M61" s="200"/>
      <c r="N61" s="89"/>
    </row>
    <row r="62" spans="1:14" s="106" customFormat="1" ht="15" outlineLevel="1" x14ac:dyDescent="0.2">
      <c r="A62" s="201"/>
      <c r="B62" s="197"/>
      <c r="C62" s="197"/>
      <c r="D62" s="197"/>
      <c r="E62" s="197"/>
      <c r="F62" s="200"/>
      <c r="G62" s="200"/>
      <c r="H62" s="200"/>
      <c r="I62" s="200"/>
      <c r="J62" s="200"/>
      <c r="K62" s="200"/>
      <c r="L62" s="200"/>
      <c r="M62" s="200"/>
      <c r="N62" s="89"/>
    </row>
    <row r="63" spans="1:14" s="106" customFormat="1" ht="15" outlineLevel="1" x14ac:dyDescent="0.2">
      <c r="A63" s="201"/>
      <c r="B63" s="197"/>
      <c r="C63" s="197"/>
      <c r="D63" s="197"/>
      <c r="E63" s="197"/>
      <c r="F63" s="200"/>
      <c r="G63" s="200"/>
      <c r="H63" s="200"/>
      <c r="I63" s="200"/>
      <c r="J63" s="200"/>
      <c r="K63" s="200"/>
      <c r="L63" s="200"/>
      <c r="M63" s="200"/>
      <c r="N63" s="89"/>
    </row>
    <row r="64" spans="1:14" s="106" customFormat="1" ht="15" outlineLevel="1" x14ac:dyDescent="0.2">
      <c r="A64" s="201"/>
      <c r="B64" s="197"/>
      <c r="C64" s="197"/>
      <c r="D64" s="197"/>
      <c r="E64" s="197"/>
      <c r="F64" s="200"/>
      <c r="G64" s="200"/>
      <c r="H64" s="200"/>
      <c r="I64" s="200"/>
      <c r="J64" s="200"/>
      <c r="K64" s="200"/>
      <c r="L64" s="200"/>
      <c r="M64" s="200"/>
      <c r="N64" s="89"/>
    </row>
    <row r="65" spans="1:14" s="106" customFormat="1" ht="15.75" outlineLevel="1" thickBot="1" x14ac:dyDescent="0.25">
      <c r="A65" s="201"/>
      <c r="B65" s="197"/>
      <c r="C65" s="197"/>
      <c r="D65" s="197"/>
      <c r="E65" s="197"/>
      <c r="F65" s="200"/>
      <c r="G65" s="200"/>
      <c r="H65" s="200"/>
      <c r="I65" s="200"/>
      <c r="J65" s="200"/>
      <c r="K65" s="200"/>
      <c r="L65" s="200"/>
      <c r="M65" s="200"/>
      <c r="N65" s="89"/>
    </row>
    <row r="66" spans="1:14" ht="23.25" thickTop="1" x14ac:dyDescent="0.2">
      <c r="A66" s="107" t="s">
        <v>134</v>
      </c>
      <c r="B66" s="108"/>
      <c r="C66" s="108"/>
      <c r="D66" s="108"/>
      <c r="E66" s="108"/>
      <c r="F66" s="108"/>
      <c r="G66" s="108"/>
      <c r="H66" s="108"/>
      <c r="I66" s="108"/>
      <c r="J66" s="108"/>
      <c r="K66" s="108"/>
      <c r="L66" s="108"/>
      <c r="M66" s="108"/>
    </row>
    <row r="67" spans="1:14" ht="30" x14ac:dyDescent="0.2">
      <c r="A67" s="113"/>
      <c r="B67" s="190" t="s">
        <v>133</v>
      </c>
      <c r="C67" s="109"/>
      <c r="D67" s="110"/>
      <c r="E67" s="110"/>
      <c r="F67" s="110"/>
      <c r="G67" s="110"/>
      <c r="H67" s="110"/>
      <c r="I67" s="110"/>
      <c r="J67" s="110"/>
      <c r="K67" s="110"/>
      <c r="L67" s="110"/>
      <c r="M67" s="110"/>
    </row>
    <row r="68" spans="1:14" ht="15.75" x14ac:dyDescent="0.2">
      <c r="A68" s="193" t="s">
        <v>135</v>
      </c>
      <c r="B68" s="103">
        <f>OKReq</f>
        <v>0</v>
      </c>
      <c r="C68" s="109"/>
      <c r="D68" s="109"/>
      <c r="E68" s="111"/>
      <c r="F68" s="112"/>
      <c r="G68" s="112"/>
      <c r="H68" s="112"/>
      <c r="I68" s="112"/>
      <c r="J68" s="112"/>
      <c r="K68" s="112"/>
      <c r="L68" s="112"/>
      <c r="M68" s="112"/>
    </row>
    <row r="69" spans="1:14" ht="15.75" x14ac:dyDescent="0.2">
      <c r="A69" s="193" t="s">
        <v>136</v>
      </c>
      <c r="B69" s="104">
        <f>NOKReq</f>
        <v>0</v>
      </c>
      <c r="C69" s="109"/>
      <c r="D69" s="109"/>
      <c r="E69" s="111"/>
      <c r="F69" s="112"/>
      <c r="G69" s="112"/>
      <c r="H69" s="112"/>
      <c r="I69" s="112"/>
      <c r="J69" s="112"/>
      <c r="K69" s="112"/>
      <c r="L69" s="112"/>
      <c r="M69" s="112"/>
    </row>
    <row r="70" spans="1:14" ht="15.75" x14ac:dyDescent="0.2">
      <c r="A70" s="193" t="s">
        <v>137</v>
      </c>
      <c r="B70" s="202">
        <f>B7-OKReq-NOKReq</f>
        <v>0</v>
      </c>
      <c r="C70" s="109"/>
      <c r="D70" s="109"/>
      <c r="E70" s="111"/>
      <c r="F70" s="112"/>
      <c r="G70" s="112"/>
      <c r="H70" s="112"/>
      <c r="I70" s="112"/>
      <c r="J70" s="112"/>
      <c r="K70" s="112"/>
      <c r="L70" s="112"/>
      <c r="M70" s="112"/>
    </row>
    <row r="71" spans="1:14" ht="15.75" x14ac:dyDescent="0.2">
      <c r="A71" s="109"/>
      <c r="B71" s="109"/>
      <c r="C71" s="109"/>
      <c r="D71" s="109"/>
      <c r="E71" s="111"/>
      <c r="F71" s="112"/>
      <c r="G71" s="112"/>
      <c r="H71" s="112"/>
      <c r="I71" s="112"/>
      <c r="J71" s="112"/>
      <c r="K71" s="112"/>
      <c r="L71" s="112"/>
      <c r="M71" s="112"/>
    </row>
    <row r="72" spans="1:14" x14ac:dyDescent="0.2">
      <c r="A72" s="109"/>
      <c r="B72" s="109"/>
      <c r="C72" s="109"/>
      <c r="D72" s="109"/>
      <c r="E72" s="109"/>
      <c r="F72" s="112"/>
      <c r="G72" s="112"/>
      <c r="H72" s="112"/>
      <c r="I72" s="112"/>
      <c r="J72" s="112"/>
      <c r="K72" s="112"/>
      <c r="L72" s="112"/>
      <c r="M72" s="112"/>
    </row>
    <row r="73" spans="1:14" ht="44.25" customHeight="1" x14ac:dyDescent="0.2">
      <c r="A73" s="114"/>
      <c r="B73" s="109"/>
      <c r="C73" s="109"/>
      <c r="D73" s="109"/>
      <c r="E73" s="109"/>
      <c r="F73" s="112"/>
      <c r="G73" s="112"/>
      <c r="H73" s="112"/>
      <c r="I73" s="112"/>
      <c r="J73" s="112"/>
      <c r="K73" s="112"/>
      <c r="L73" s="112"/>
      <c r="M73" s="112"/>
    </row>
    <row r="74" spans="1:14" ht="15" x14ac:dyDescent="0.2">
      <c r="A74" s="114"/>
      <c r="B74" s="109"/>
      <c r="C74" s="109"/>
      <c r="D74" s="109"/>
      <c r="E74" s="109"/>
      <c r="F74" s="112"/>
      <c r="G74" s="112"/>
      <c r="H74" s="112"/>
      <c r="I74" s="112"/>
      <c r="J74" s="112"/>
      <c r="K74" s="112"/>
      <c r="L74" s="112"/>
      <c r="M74" s="112"/>
    </row>
    <row r="75" spans="1:14" ht="15" x14ac:dyDescent="0.2">
      <c r="A75" s="114"/>
      <c r="B75" s="109"/>
      <c r="C75" s="109"/>
      <c r="D75" s="109"/>
      <c r="E75" s="109"/>
      <c r="F75" s="112"/>
      <c r="G75" s="112"/>
      <c r="H75" s="112"/>
      <c r="I75" s="112"/>
      <c r="J75" s="112"/>
      <c r="K75" s="112"/>
      <c r="L75" s="112"/>
      <c r="M75" s="112"/>
    </row>
    <row r="76" spans="1:14" ht="15" x14ac:dyDescent="0.2">
      <c r="A76" s="114"/>
      <c r="B76" s="109"/>
      <c r="C76" s="109"/>
      <c r="D76" s="109"/>
      <c r="E76" s="109"/>
      <c r="F76" s="112"/>
      <c r="G76" s="112"/>
      <c r="H76" s="112"/>
      <c r="I76" s="112"/>
      <c r="J76" s="112"/>
      <c r="K76" s="112"/>
      <c r="L76" s="112"/>
      <c r="M76" s="112"/>
    </row>
    <row r="77" spans="1:14" ht="15" x14ac:dyDescent="0.2">
      <c r="A77" s="114"/>
      <c r="B77" s="109"/>
      <c r="C77" s="109"/>
      <c r="D77" s="109"/>
      <c r="E77" s="109"/>
      <c r="F77" s="112"/>
      <c r="G77" s="112"/>
      <c r="H77" s="112"/>
      <c r="I77" s="112"/>
      <c r="J77" s="112"/>
      <c r="K77" s="112"/>
      <c r="L77" s="112"/>
      <c r="M77" s="112"/>
    </row>
    <row r="78" spans="1:14" ht="15" x14ac:dyDescent="0.2">
      <c r="A78" s="114"/>
      <c r="B78" s="109"/>
      <c r="C78" s="109"/>
      <c r="D78" s="109"/>
      <c r="E78" s="109"/>
      <c r="F78" s="112"/>
      <c r="G78" s="112"/>
      <c r="H78" s="112"/>
      <c r="I78" s="112"/>
      <c r="J78" s="112"/>
      <c r="K78" s="112"/>
      <c r="L78" s="112"/>
      <c r="M78" s="112"/>
    </row>
    <row r="79" spans="1:14" ht="15" x14ac:dyDescent="0.2">
      <c r="A79" s="114"/>
      <c r="B79" s="109"/>
      <c r="C79" s="109"/>
      <c r="D79" s="109"/>
      <c r="E79" s="109"/>
      <c r="F79" s="112"/>
      <c r="G79" s="112"/>
      <c r="H79" s="112"/>
      <c r="I79" s="112"/>
      <c r="J79" s="112"/>
      <c r="K79" s="112"/>
      <c r="L79" s="112"/>
      <c r="M79" s="112"/>
    </row>
    <row r="80" spans="1:14" ht="15" x14ac:dyDescent="0.2">
      <c r="A80" s="114"/>
      <c r="B80" s="109"/>
      <c r="C80" s="109"/>
      <c r="D80" s="109"/>
      <c r="E80" s="109"/>
      <c r="F80" s="112"/>
      <c r="G80" s="112"/>
      <c r="H80" s="112"/>
      <c r="I80" s="112"/>
      <c r="J80" s="112"/>
      <c r="K80" s="112"/>
      <c r="L80" s="112"/>
      <c r="M80" s="112"/>
    </row>
    <row r="81" spans="1:13" ht="15" x14ac:dyDescent="0.2">
      <c r="A81" s="114"/>
      <c r="B81" s="109"/>
      <c r="C81" s="109"/>
      <c r="D81" s="109"/>
      <c r="E81" s="109"/>
      <c r="F81" s="112"/>
      <c r="G81" s="112"/>
      <c r="H81" s="112"/>
      <c r="I81" s="112"/>
      <c r="J81" s="112"/>
      <c r="K81" s="112"/>
      <c r="L81" s="112"/>
      <c r="M81" s="112"/>
    </row>
    <row r="82" spans="1:13" ht="15" x14ac:dyDescent="0.2">
      <c r="A82" s="114"/>
      <c r="B82" s="109"/>
      <c r="C82" s="109"/>
      <c r="D82" s="109"/>
      <c r="E82" s="109"/>
      <c r="F82" s="112"/>
      <c r="G82" s="112"/>
      <c r="H82" s="112"/>
      <c r="I82" s="112"/>
      <c r="J82" s="112"/>
      <c r="K82" s="112"/>
      <c r="L82" s="112"/>
      <c r="M82" s="112"/>
    </row>
    <row r="83" spans="1:13" x14ac:dyDescent="0.2"/>
    <row r="84" spans="1:13" x14ac:dyDescent="0.2"/>
    <row r="85" spans="1:13" x14ac:dyDescent="0.2"/>
    <row r="86" spans="1:13" x14ac:dyDescent="0.2"/>
    <row r="87" spans="1:13" x14ac:dyDescent="0.2"/>
    <row r="88" spans="1:13" x14ac:dyDescent="0.2"/>
    <row r="89" spans="1:13" x14ac:dyDescent="0.2"/>
    <row r="90" spans="1:13" x14ac:dyDescent="0.2"/>
    <row r="91" spans="1:13" x14ac:dyDescent="0.2"/>
    <row r="92" spans="1:13" x14ac:dyDescent="0.2"/>
    <row r="93" spans="1:13" x14ac:dyDescent="0.2"/>
    <row r="94" spans="1:13" x14ac:dyDescent="0.2"/>
    <row r="95" spans="1:13" x14ac:dyDescent="0.2"/>
    <row r="96" spans="1:13"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count="1">
    <dataValidation type="list" allowBlank="1" showInputMessage="1" showErrorMessage="1" sqref="B1" xr:uid="{00000000-0002-0000-0300-000000000000}">
      <formula1>#REF!</formula1>
    </dataValidation>
  </dataValidation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7" r:id="rId4" name="UpdateStatisticsButton">
          <controlPr defaultSize="0" autoLine="0" autoPict="0" r:id="rId5">
            <anchor moveWithCells="1">
              <from>
                <xdr:col>1</xdr:col>
                <xdr:colOff>19050</xdr:colOff>
                <xdr:row>0</xdr:row>
                <xdr:rowOff>85725</xdr:rowOff>
              </from>
              <to>
                <xdr:col>2</xdr:col>
                <xdr:colOff>180975</xdr:colOff>
                <xdr:row>0</xdr:row>
                <xdr:rowOff>447675</xdr:rowOff>
              </to>
            </anchor>
          </controlPr>
        </control>
      </mc:Choice>
      <mc:Fallback>
        <control shapeId="19457" r:id="rId4" name="UpdateStatisticsButton"/>
      </mc:Fallback>
    </mc:AlternateContent>
    <mc:AlternateContent xmlns:mc="http://schemas.openxmlformats.org/markup-compatibility/2006">
      <mc:Choice Requires="x14">
        <control shapeId="19458" r:id="rId6" name="ImportArchMButton">
          <controlPr defaultSize="0" autoLine="0" autoPict="0" r:id="rId7">
            <anchor moveWithCells="1">
              <from>
                <xdr:col>2</xdr:col>
                <xdr:colOff>466725</xdr:colOff>
                <xdr:row>0</xdr:row>
                <xdr:rowOff>76200</xdr:rowOff>
              </from>
              <to>
                <xdr:col>3</xdr:col>
                <xdr:colOff>752475</xdr:colOff>
                <xdr:row>0</xdr:row>
                <xdr:rowOff>438150</xdr:rowOff>
              </to>
            </anchor>
          </controlPr>
        </control>
      </mc:Choice>
      <mc:Fallback>
        <control shapeId="19458" r:id="rId6" name="ImportArchM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971550</xdr:colOff>
                <xdr:row>0</xdr:row>
                <xdr:rowOff>76200</xdr:rowOff>
              </from>
              <to>
                <xdr:col>5</xdr:col>
                <xdr:colOff>714375</xdr:colOff>
                <xdr:row>0</xdr:row>
                <xdr:rowOff>419100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J37" sqref="J37"/>
    </sheetView>
  </sheetViews>
  <sheetFormatPr defaultRowHeight="12.75" x14ac:dyDescent="0.2"/>
  <sheetData>
    <row r="3" spans="1:18" ht="27" x14ac:dyDescent="0.35">
      <c r="A3" s="98" t="s">
        <v>82</v>
      </c>
    </row>
    <row r="5" spans="1:18" ht="27" x14ac:dyDescent="0.35">
      <c r="E5" s="98" t="s">
        <v>103</v>
      </c>
    </row>
    <row r="7" spans="1:18" ht="18" x14ac:dyDescent="0.25">
      <c r="A7" s="187" t="s">
        <v>109</v>
      </c>
      <c r="B7" s="185"/>
      <c r="C7" s="185"/>
      <c r="D7" s="185"/>
      <c r="E7" s="185"/>
      <c r="F7" s="185"/>
      <c r="G7" s="185"/>
      <c r="H7" s="185"/>
      <c r="I7" s="185"/>
      <c r="J7" s="185"/>
      <c r="K7" s="185"/>
      <c r="L7" s="185"/>
      <c r="M7" s="185"/>
      <c r="N7" s="185"/>
      <c r="O7" s="185"/>
      <c r="P7" s="185"/>
      <c r="Q7" s="185"/>
      <c r="R7" s="185"/>
    </row>
    <row r="8" spans="1:18" ht="18" x14ac:dyDescent="0.25">
      <c r="A8" s="186" t="s">
        <v>110</v>
      </c>
      <c r="B8" s="185"/>
      <c r="C8" s="185"/>
      <c r="D8" s="185"/>
      <c r="E8" s="185"/>
      <c r="F8" s="185"/>
      <c r="G8" s="185"/>
      <c r="H8" s="185"/>
      <c r="I8" s="185"/>
      <c r="J8" s="185"/>
      <c r="K8" s="185"/>
      <c r="L8" s="185"/>
      <c r="M8" s="185"/>
      <c r="N8" s="185"/>
      <c r="O8" s="185"/>
      <c r="P8" s="185"/>
      <c r="Q8" s="185"/>
      <c r="R8" s="185"/>
    </row>
    <row r="9" spans="1:18" ht="18" x14ac:dyDescent="0.25">
      <c r="A9" s="185" t="s">
        <v>111</v>
      </c>
      <c r="B9" s="185"/>
      <c r="C9" s="185"/>
      <c r="D9" s="185"/>
      <c r="E9" s="185"/>
      <c r="F9" s="185"/>
      <c r="G9" s="185"/>
      <c r="H9" s="185"/>
      <c r="I9" s="185"/>
      <c r="J9" s="185"/>
      <c r="K9" s="185"/>
      <c r="L9" s="185"/>
      <c r="M9" s="185"/>
      <c r="N9" s="185"/>
      <c r="O9" s="185"/>
      <c r="P9" s="185"/>
      <c r="Q9" s="185"/>
      <c r="R9" s="185"/>
    </row>
    <row r="10" spans="1:18" ht="18" x14ac:dyDescent="0.25">
      <c r="A10" s="185" t="s">
        <v>112</v>
      </c>
      <c r="B10" s="185"/>
      <c r="C10" s="185"/>
      <c r="D10" s="185"/>
      <c r="E10" s="185"/>
      <c r="F10" s="185"/>
      <c r="G10" s="185"/>
      <c r="H10" s="185"/>
      <c r="I10" s="185"/>
      <c r="J10" s="185"/>
      <c r="K10" s="185"/>
      <c r="L10" s="185"/>
      <c r="M10" s="185"/>
      <c r="N10" s="185"/>
      <c r="O10" s="185"/>
      <c r="P10" s="185"/>
      <c r="Q10" s="185"/>
      <c r="R10" s="185"/>
    </row>
    <row r="11" spans="1:18" ht="18" x14ac:dyDescent="0.25">
      <c r="A11" s="185" t="s">
        <v>113</v>
      </c>
      <c r="B11" s="185"/>
      <c r="C11" s="185"/>
      <c r="D11" s="185"/>
      <c r="E11" s="185"/>
      <c r="F11" s="185"/>
      <c r="G11" s="185"/>
      <c r="H11" s="185"/>
      <c r="I11" s="185"/>
      <c r="J11" s="185"/>
      <c r="K11" s="185"/>
      <c r="L11" s="185"/>
      <c r="M11" s="185"/>
      <c r="N11" s="185"/>
      <c r="O11" s="185"/>
      <c r="P11" s="185"/>
      <c r="Q11" s="185"/>
      <c r="R11" s="185"/>
    </row>
    <row r="12" spans="1:18" ht="15" x14ac:dyDescent="0.2">
      <c r="A12" s="184"/>
      <c r="B12" s="184"/>
      <c r="C12" s="184"/>
      <c r="D12" s="184"/>
      <c r="E12" s="184"/>
      <c r="F12" s="184"/>
      <c r="G12" s="184"/>
      <c r="H12" s="184"/>
      <c r="I12" s="184"/>
      <c r="J12" s="184"/>
      <c r="K12" s="184"/>
      <c r="L12" s="184"/>
      <c r="M12" s="184"/>
      <c r="N12" s="184"/>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K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1.42578125" style="167"/>
    <col min="2" max="9" width="11.42578125" style="153"/>
    <col min="10" max="10" width="22.7109375" style="153" customWidth="1"/>
    <col min="11" max="11" width="11.42578125" style="172"/>
    <col min="12" max="16384" width="11.42578125" style="153"/>
  </cols>
  <sheetData>
    <row r="1" spans="1:11" ht="18" x14ac:dyDescent="0.2">
      <c r="A1" s="183" t="s">
        <v>92</v>
      </c>
      <c r="B1" s="183"/>
      <c r="C1" s="183"/>
      <c r="D1" s="183"/>
      <c r="E1" s="183"/>
      <c r="F1" s="183"/>
      <c r="G1" s="183"/>
      <c r="H1" s="183"/>
      <c r="I1" s="183"/>
      <c r="J1" s="183"/>
      <c r="K1" s="183"/>
    </row>
    <row r="2" spans="1:11" x14ac:dyDescent="0.2">
      <c r="A2" s="168"/>
      <c r="B2" s="169"/>
      <c r="C2" s="169"/>
      <c r="D2" s="169"/>
      <c r="E2" s="169"/>
      <c r="F2" s="169"/>
      <c r="G2" s="169"/>
      <c r="H2" s="169"/>
      <c r="I2" s="169"/>
      <c r="J2" s="169"/>
      <c r="K2" s="171"/>
    </row>
  </sheetData>
  <autoFilter ref="A2:K2" xr:uid="{00000000-0009-0000-0000-000005000000}"/>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dimension ref="A1:B23"/>
  <sheetViews>
    <sheetView topLeftCell="A7" workbookViewId="0">
      <selection activeCell="A20" sqref="A20"/>
    </sheetView>
  </sheetViews>
  <sheetFormatPr defaultColWidth="11.42578125" defaultRowHeight="12.75" x14ac:dyDescent="0.2"/>
  <cols>
    <col min="1" max="1" width="39.5703125" bestFit="1" customWidth="1"/>
  </cols>
  <sheetData>
    <row r="1" spans="1:2" x14ac:dyDescent="0.2">
      <c r="A1" t="s">
        <v>49</v>
      </c>
    </row>
    <row r="2" spans="1:2" x14ac:dyDescent="0.2">
      <c r="A2" t="s">
        <v>50</v>
      </c>
    </row>
    <row r="3" spans="1:2" s="71" customFormat="1" ht="19.5" thickBot="1" x14ac:dyDescent="0.35">
      <c r="A3" s="70" t="s">
        <v>51</v>
      </c>
      <c r="B3" s="71" t="s">
        <v>52</v>
      </c>
    </row>
    <row r="4" spans="1:2" s="71" customFormat="1" ht="16.5" thickTop="1" x14ac:dyDescent="0.25">
      <c r="A4" s="72" t="s">
        <v>53</v>
      </c>
      <c r="B4" s="71" t="s">
        <v>52</v>
      </c>
    </row>
    <row r="5" spans="1:2" x14ac:dyDescent="0.2">
      <c r="A5" s="73" t="s">
        <v>54</v>
      </c>
      <c r="B5" t="s">
        <v>52</v>
      </c>
    </row>
    <row r="6" spans="1:2" x14ac:dyDescent="0.2">
      <c r="A6" s="74" t="s">
        <v>55</v>
      </c>
      <c r="B6" t="s">
        <v>52</v>
      </c>
    </row>
    <row r="7" spans="1:2" x14ac:dyDescent="0.2">
      <c r="A7" s="75" t="s">
        <v>56</v>
      </c>
      <c r="B7" t="s">
        <v>52</v>
      </c>
    </row>
    <row r="8" spans="1:2" x14ac:dyDescent="0.2">
      <c r="A8" s="76" t="s">
        <v>57</v>
      </c>
      <c r="B8" t="s">
        <v>52</v>
      </c>
    </row>
    <row r="9" spans="1:2" x14ac:dyDescent="0.2">
      <c r="A9" s="77" t="s">
        <v>58</v>
      </c>
      <c r="B9" t="s">
        <v>52</v>
      </c>
    </row>
    <row r="10" spans="1:2" x14ac:dyDescent="0.2">
      <c r="A10" s="78" t="s">
        <v>59</v>
      </c>
      <c r="B10" t="s">
        <v>52</v>
      </c>
    </row>
    <row r="11" spans="1:2" x14ac:dyDescent="0.2">
      <c r="A11" s="79" t="s">
        <v>60</v>
      </c>
      <c r="B11" t="s">
        <v>52</v>
      </c>
    </row>
    <row r="12" spans="1:2" x14ac:dyDescent="0.2">
      <c r="A12" s="80" t="s">
        <v>61</v>
      </c>
      <c r="B12" t="s">
        <v>52</v>
      </c>
    </row>
    <row r="13" spans="1:2" x14ac:dyDescent="0.2">
      <c r="A13" s="81" t="s">
        <v>62</v>
      </c>
      <c r="B13" t="s">
        <v>52</v>
      </c>
    </row>
    <row r="14" spans="1:2" ht="48.75" x14ac:dyDescent="0.2">
      <c r="A14" s="64" t="s">
        <v>63</v>
      </c>
    </row>
    <row r="15" spans="1:2" x14ac:dyDescent="0.2">
      <c r="A15" s="82" t="s">
        <v>64</v>
      </c>
    </row>
    <row r="17" spans="1:1" x14ac:dyDescent="0.2">
      <c r="A17" s="83" t="s">
        <v>65</v>
      </c>
    </row>
    <row r="18" spans="1:1" x14ac:dyDescent="0.2">
      <c r="A18" s="84" t="s">
        <v>66</v>
      </c>
    </row>
    <row r="19" spans="1:1" x14ac:dyDescent="0.2">
      <c r="A19" s="85" t="s">
        <v>67</v>
      </c>
    </row>
    <row r="20" spans="1:1" x14ac:dyDescent="0.2">
      <c r="A20" s="82" t="s">
        <v>68</v>
      </c>
    </row>
    <row r="21" spans="1:1" x14ac:dyDescent="0.2">
      <c r="A21" s="86" t="s">
        <v>69</v>
      </c>
    </row>
    <row r="22" spans="1:1" x14ac:dyDescent="0.2">
      <c r="A22" s="87" t="s">
        <v>70</v>
      </c>
    </row>
    <row r="23" spans="1:1" x14ac:dyDescent="0.2">
      <c r="A23" s="88" t="s">
        <v>71</v>
      </c>
    </row>
  </sheetData>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39</vt:i4>
      </vt:variant>
    </vt:vector>
  </HeadingPairs>
  <TitlesOfParts>
    <vt:vector size="46" baseType="lpstr">
      <vt:lpstr>FrontPage</vt:lpstr>
      <vt:lpstr>General info</vt:lpstr>
      <vt:lpstr>User Guide</vt:lpstr>
      <vt:lpstr>Statistics</vt:lpstr>
      <vt:lpstr>Incomplete Desig Elements List</vt:lpstr>
      <vt:lpstr>Feuil1</vt:lpstr>
      <vt:lpstr>Styles</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G-RBT electronics</cp:lastModifiedBy>
  <cp:lastPrinted>2011-11-28T23:54:39Z</cp:lastPrinted>
  <dcterms:created xsi:type="dcterms:W3CDTF">2008-08-11T11:06:44Z</dcterms:created>
  <dcterms:modified xsi:type="dcterms:W3CDTF">2022-09-21T08:06:46Z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Name</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SW Detailed Design Matrix</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y fmtid="{D5CDD505-2E9C-101B-9397-08002B2CF9AE}" pid="49" name="WorkbookGuid">
    <vt:lpwstr>69612006-b5ce-4c2c-8dab-b8a96db75c4e</vt:lpwstr>
  </property>
</Properties>
</file>