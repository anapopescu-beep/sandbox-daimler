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ata\Sandboxes\SBE_Platform_PP4G_SHARED\Mainstream\Phase_02\Core\Tools\Reqtify\Workspace\_Full\added_inputs\SYS_Review\"/>
    </mc:Choice>
  </mc:AlternateContent>
  <bookViews>
    <workbookView xWindow="-2910" yWindow="-255" windowWidth="10380" windowHeight="8595" tabRatio="768" firstSheet="3" activeTab="3"/>
  </bookViews>
  <sheets>
    <sheet name="FrontPage" sheetId="4" r:id="rId1"/>
    <sheet name="General info" sheetId="11" r:id="rId2"/>
    <sheet name="Guide (help)" sheetId="18" r:id="rId3"/>
    <sheet name="Tests Synthesis" sheetId="13" r:id="rId4"/>
    <sheet name="SYS_Review_MF01_OK" sheetId="41" r:id="rId5"/>
    <sheet name="SYS_Review_MF01_TBD" sheetId="35" r:id="rId6"/>
    <sheet name="SYS_Review_MF02_OK" sheetId="36" r:id="rId7"/>
    <sheet name="SYS_Review_MF02_TBDorNOK" sheetId="37" r:id="rId8"/>
    <sheet name="SYS_Review_MF03_OK" sheetId="42" r:id="rId9"/>
    <sheet name="SYS_Review_MF03_TBD" sheetId="39" r:id="rId10"/>
    <sheet name="SYSReview_MF04_OK" sheetId="14" r:id="rId11"/>
    <sheet name="SYS_Review_MF04_TBD" sheetId="32" r:id="rId12"/>
    <sheet name="SYS_Review_MF05_OK" sheetId="38" r:id="rId13"/>
    <sheet name="SYS_Review_MF05_TBDorNOK" sheetId="40" r:id="rId14"/>
    <sheet name="Metrics" sheetId="16" r:id="rId15"/>
  </sheets>
  <externalReferences>
    <externalReference r:id="rId16"/>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 localSheetId="4">FrontPage!#REF!</definedName>
    <definedName name="MXPolicy" localSheetId="5">FrontPage!#REF!</definedName>
    <definedName name="MXPolicy" localSheetId="6">FrontPage!#REF!</definedName>
    <definedName name="MXPolicy" localSheetId="7">FrontPage!#REF!</definedName>
    <definedName name="MXPolicy" localSheetId="8">FrontPage!#REF!</definedName>
    <definedName name="MXPolicy" localSheetId="9">FrontPage!#REF!</definedName>
    <definedName name="MXPolicy" localSheetId="11">FrontPage!#REF!</definedName>
    <definedName name="MXPolicy" localSheetId="12">FrontPage!#REF!</definedName>
    <definedName name="MXPolicy" localSheetId="13">FrontPage!#REF!</definedName>
    <definedName name="MXPolicy">FrontPage!#REF!</definedName>
    <definedName name="MXRevision">FrontPage!$AB$7</definedName>
    <definedName name="MXTitle">FrontPage!$E$7</definedName>
    <definedName name="MXType.Localized" localSheetId="2">FrontPage!#REF!</definedName>
    <definedName name="MXType.Localized" localSheetId="4">FrontPage!#REF!</definedName>
    <definedName name="MXType.Localized" localSheetId="5">FrontPage!#REF!</definedName>
    <definedName name="MXType.Localized" localSheetId="6">FrontPage!#REF!</definedName>
    <definedName name="MXType.Localized" localSheetId="7">FrontPage!#REF!</definedName>
    <definedName name="MXType.Localized" localSheetId="8">FrontPage!#REF!</definedName>
    <definedName name="MXType.Localized" localSheetId="9">FrontPage!#REF!</definedName>
    <definedName name="MXType.Localized" localSheetId="11">FrontPage!#REF!</definedName>
    <definedName name="MXType.Localized" localSheetId="12">FrontPage!#REF!</definedName>
    <definedName name="MXType.Localized" localSheetId="13">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SW_IT_ADC_00005" localSheetId="4">[1]FrontPage!#REF!</definedName>
    <definedName name="SW_IT_ADC_00005" localSheetId="5">[1]FrontPage!#REF!</definedName>
    <definedName name="SW_IT_ADC_00005" localSheetId="6">[1]FrontPage!#REF!</definedName>
    <definedName name="SW_IT_ADC_00005" localSheetId="7">[1]FrontPage!#REF!</definedName>
    <definedName name="SW_IT_ADC_00005" localSheetId="8">[1]FrontPage!#REF!</definedName>
    <definedName name="SW_IT_ADC_00005" localSheetId="9">[1]FrontPage!#REF!</definedName>
    <definedName name="SW_IT_ADC_00005" localSheetId="11">[1]FrontPage!#REF!</definedName>
    <definedName name="SW_IT_ADC_00005" localSheetId="12">[1]FrontPage!#REF!</definedName>
    <definedName name="SW_IT_ADC_00005" localSheetId="13">[1]FrontPage!#REF!</definedName>
    <definedName name="SW_IT_ADC_00005">[1]FrontPage!#REF!</definedName>
    <definedName name="SW_IT_ADC_00006" localSheetId="4">[1]FrontPage!#REF!</definedName>
    <definedName name="SW_IT_ADC_00006" localSheetId="5">[1]FrontPage!#REF!</definedName>
    <definedName name="SW_IT_ADC_00006" localSheetId="6">[1]FrontPage!#REF!</definedName>
    <definedName name="SW_IT_ADC_00006" localSheetId="7">[1]FrontPage!#REF!</definedName>
    <definedName name="SW_IT_ADC_00006" localSheetId="8">[1]FrontPage!#REF!</definedName>
    <definedName name="SW_IT_ADC_00006" localSheetId="9">[1]FrontPage!#REF!</definedName>
    <definedName name="SW_IT_ADC_00006" localSheetId="11">[1]FrontPage!#REF!</definedName>
    <definedName name="SW_IT_ADC_00006" localSheetId="12">[1]FrontPage!#REF!</definedName>
    <definedName name="SW_IT_ADC_00006" localSheetId="13">[1]FrontPage!#REF!</definedName>
    <definedName name="SW_IT_ADC_00006">[1]FrontPage!#REF!</definedName>
    <definedName name="SW_IT_ADC_00007" localSheetId="4">[1]FrontPage!#REF!</definedName>
    <definedName name="SW_IT_ADC_00007" localSheetId="5">[1]FrontPage!#REF!</definedName>
    <definedName name="SW_IT_ADC_00007" localSheetId="6">[1]FrontPage!#REF!</definedName>
    <definedName name="SW_IT_ADC_00007" localSheetId="7">[1]FrontPage!#REF!</definedName>
    <definedName name="SW_IT_ADC_00007" localSheetId="8">[1]FrontPage!#REF!</definedName>
    <definedName name="SW_IT_ADC_00007" localSheetId="9">[1]FrontPage!#REF!</definedName>
    <definedName name="SW_IT_ADC_00007" localSheetId="11">[1]FrontPage!#REF!</definedName>
    <definedName name="SW_IT_ADC_00007" localSheetId="12">[1]FrontPage!#REF!</definedName>
    <definedName name="SW_IT_ADC_00007" localSheetId="13">[1]FrontPage!#REF!</definedName>
    <definedName name="SW_IT_ADC_00007">[1]FrontPage!#REF!</definedName>
    <definedName name="SYS_C01_ReqCovByReview_TBD" localSheetId="4">[1]FrontPage!#REF!</definedName>
    <definedName name="SYS_C01_ReqCovByReview_TBD" localSheetId="6">[1]FrontPage!#REF!</definedName>
    <definedName name="SYS_C01_ReqCovByReview_TBD" localSheetId="7">[1]FrontPage!#REF!</definedName>
    <definedName name="SYS_C01_ReqCovByReview_TBD" localSheetId="8">[1]FrontPage!#REF!</definedName>
    <definedName name="SYS_C01_ReqCovByReview_TBD" localSheetId="9">[1]FrontPage!#REF!</definedName>
    <definedName name="SYS_C01_ReqCovByReview_TBD" localSheetId="12">[1]FrontPage!#REF!</definedName>
    <definedName name="SYS_C01_ReqCovByReview_TBD" localSheetId="13">[1]FrontPage!#REF!</definedName>
    <definedName name="SYS_C01_ReqCovByReview_TBD">[1]FrontPage!#REF!</definedName>
    <definedName name="TemplateRef">FrontPage!$W$7</definedName>
  </definedNames>
  <calcPr calcId="152511"/>
</workbook>
</file>

<file path=xl/calcChain.xml><?xml version="1.0" encoding="utf-8"?>
<calcChain xmlns="http://schemas.openxmlformats.org/spreadsheetml/2006/main">
  <c r="K12" i="13" l="1"/>
  <c r="K13" i="13"/>
  <c r="K14" i="13"/>
  <c r="K15" i="13"/>
  <c r="K16" i="13"/>
  <c r="K11" i="13"/>
  <c r="K4" i="13"/>
  <c r="K7" i="13"/>
  <c r="K9" i="13"/>
  <c r="K10" i="13"/>
  <c r="K5" i="13"/>
  <c r="K6" i="13"/>
  <c r="K8" i="13"/>
  <c r="E12" i="13" l="1"/>
  <c r="D12" i="13"/>
  <c r="F12" i="13"/>
  <c r="F11" i="13"/>
  <c r="E11" i="13"/>
  <c r="D11" i="13"/>
  <c r="K17" i="13" l="1"/>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D14" i="13"/>
  <c r="E14" i="13"/>
  <c r="F14" i="13"/>
  <c r="D15" i="13"/>
  <c r="E15" i="13"/>
  <c r="F15" i="13"/>
  <c r="D16" i="13"/>
  <c r="E16" i="13"/>
  <c r="F16" i="13"/>
  <c r="D17" i="13"/>
  <c r="E17" i="13"/>
  <c r="F17" i="13"/>
  <c r="D18" i="13"/>
  <c r="E18" i="13"/>
  <c r="F18" i="13"/>
  <c r="D19" i="13"/>
  <c r="E19" i="13"/>
  <c r="F19" i="13"/>
  <c r="D20" i="13"/>
  <c r="E20" i="13"/>
  <c r="F20" i="13"/>
  <c r="D21" i="13"/>
  <c r="E21" i="13"/>
  <c r="F21" i="13"/>
  <c r="D22" i="13"/>
  <c r="E22" i="13"/>
  <c r="F22" i="13"/>
  <c r="D23" i="13"/>
  <c r="E23" i="13"/>
  <c r="F23" i="13"/>
  <c r="D24" i="13"/>
  <c r="E24" i="13"/>
  <c r="F24" i="13"/>
  <c r="D25" i="13"/>
  <c r="E25" i="13"/>
  <c r="F25" i="13"/>
  <c r="D26" i="13"/>
  <c r="E26" i="13"/>
  <c r="F26" i="13"/>
  <c r="D27" i="13"/>
  <c r="E27" i="13"/>
  <c r="F27" i="13"/>
  <c r="D28" i="13"/>
  <c r="E28" i="13"/>
  <c r="F28" i="13"/>
  <c r="D29" i="13"/>
  <c r="E29" i="13"/>
  <c r="F29" i="13"/>
  <c r="D30" i="13"/>
  <c r="E30" i="13"/>
  <c r="F30" i="13"/>
  <c r="D31" i="13"/>
  <c r="E31" i="13"/>
  <c r="F31" i="13"/>
  <c r="D32" i="13"/>
  <c r="E32" i="13"/>
  <c r="F32" i="13"/>
  <c r="D33" i="13"/>
  <c r="E33" i="13"/>
  <c r="F33" i="13"/>
  <c r="D34" i="13"/>
  <c r="E34" i="13"/>
  <c r="F34" i="13"/>
  <c r="D35" i="13"/>
  <c r="E35" i="13"/>
  <c r="F35" i="13"/>
  <c r="D36" i="13"/>
  <c r="E36" i="13"/>
  <c r="F36" i="13"/>
  <c r="D37" i="13"/>
  <c r="E37" i="13"/>
  <c r="F37" i="13"/>
  <c r="D38" i="13"/>
  <c r="E38" i="13"/>
  <c r="F38" i="13"/>
  <c r="D39" i="13"/>
  <c r="E39" i="13"/>
  <c r="F39" i="13"/>
  <c r="D40" i="13"/>
  <c r="E40" i="13"/>
  <c r="F40" i="13"/>
  <c r="D41" i="13"/>
  <c r="E41" i="13"/>
  <c r="F41" i="13"/>
  <c r="D42" i="13"/>
  <c r="E42" i="13"/>
  <c r="F42" i="13"/>
  <c r="D43" i="13"/>
  <c r="E43" i="13"/>
  <c r="F43" i="13"/>
  <c r="D44" i="13"/>
  <c r="E44" i="13"/>
  <c r="F44" i="13"/>
  <c r="D45" i="13"/>
  <c r="E45" i="13"/>
  <c r="F45" i="13"/>
  <c r="D46" i="13"/>
  <c r="E46" i="13"/>
  <c r="F46" i="13"/>
  <c r="F13" i="13"/>
  <c r="E13" i="13"/>
  <c r="D13" i="13"/>
  <c r="D7" i="13"/>
  <c r="D5" i="13"/>
  <c r="F10" i="13"/>
  <c r="D10" i="13"/>
  <c r="E5" i="13"/>
  <c r="F9" i="13"/>
  <c r="D9" i="13"/>
  <c r="E4" i="13"/>
  <c r="E9" i="13"/>
  <c r="F7" i="13"/>
  <c r="F4" i="13"/>
  <c r="F5" i="13"/>
  <c r="D6" i="13"/>
  <c r="D4" i="13"/>
  <c r="D8" i="13"/>
  <c r="E8" i="13"/>
  <c r="E7" i="13"/>
  <c r="F8" i="13"/>
  <c r="E6" i="13"/>
  <c r="E10" i="13"/>
  <c r="F6" i="13"/>
  <c r="F5" i="16" l="1"/>
  <c r="AE7" i="11"/>
  <c r="AB7" i="11"/>
  <c r="W7" i="11"/>
  <c r="AB5" i="11"/>
  <c r="W5" i="11"/>
  <c r="E7" i="11"/>
  <c r="A7" i="11"/>
  <c r="A5" i="11"/>
  <c r="AD3" i="4"/>
  <c r="AD3" i="11" s="1"/>
  <c r="A23" i="4"/>
  <c r="F3" i="13"/>
  <c r="D3" i="13"/>
  <c r="E3" i="13"/>
  <c r="K3" i="13"/>
  <c r="C5" i="16" l="1"/>
  <c r="C4" i="16"/>
  <c r="C2" i="16"/>
  <c r="C3" i="16"/>
  <c r="C6" i="16" l="1"/>
  <c r="F2" i="16" s="1"/>
  <c r="F3" i="16" l="1"/>
  <c r="F4" i="16"/>
</calcChain>
</file>

<file path=xl/comments1.xml><?xml version="1.0" encoding="utf-8"?>
<comments xmlns="http://schemas.openxmlformats.org/spreadsheetml/2006/main">
  <authors>
    <author>Johannes Kask</author>
  </authors>
  <commentList>
    <comment ref="B15" authorId="0" shapeId="0">
      <text>
        <r>
          <rPr>
            <sz val="8"/>
            <color indexed="81"/>
            <rFont val="Tahoma"/>
            <family val="2"/>
          </rPr>
          <t>Insert name of tabs included in the document</t>
        </r>
        <r>
          <rPr>
            <sz val="8"/>
            <color indexed="81"/>
            <rFont val="Tahoma"/>
            <family val="2"/>
          </rPr>
          <t xml:space="preserve">
</t>
        </r>
      </text>
    </comment>
    <comment ref="G15" authorId="0" shapeId="0">
      <text>
        <r>
          <rPr>
            <sz val="8"/>
            <color indexed="81"/>
            <rFont val="Tahoma"/>
            <family val="2"/>
          </rPr>
          <t>Describe each Tab.</t>
        </r>
      </text>
    </comment>
    <comment ref="B24" authorId="0" shapeId="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4" authorId="0" shapeId="0">
      <text>
        <r>
          <rPr>
            <sz val="8"/>
            <color indexed="81"/>
            <rFont val="Tahoma"/>
            <family val="2"/>
          </rPr>
          <t>Date when the Revision is released</t>
        </r>
      </text>
    </comment>
    <comment ref="I24" authorId="0" shapeId="0">
      <text>
        <r>
          <rPr>
            <sz val="8"/>
            <color indexed="81"/>
            <rFont val="Tahoma"/>
            <family val="2"/>
          </rPr>
          <t>Author of the document. Authors if several.</t>
        </r>
      </text>
    </comment>
    <comment ref="R24" authorId="0" shapeId="0">
      <text>
        <r>
          <rPr>
            <sz val="8"/>
            <color indexed="81"/>
            <rFont val="Tahoma"/>
            <family val="2"/>
          </rPr>
          <t>Description or comment on the version. E.g. updated after meeting etc.</t>
        </r>
      </text>
    </comment>
    <comment ref="B40" authorId="0" shapeId="0">
      <text>
        <r>
          <rPr>
            <sz val="8"/>
            <color indexed="81"/>
            <rFont val="Tahoma"/>
            <family val="2"/>
          </rPr>
          <t>ID of possible reference documents. Any ID can be used, suggestion is [Int1], [Int2] etc. for internal references and [Ext1], [Ext2] etc. for external references</t>
        </r>
      </text>
    </comment>
    <comment ref="E40" authorId="0" shapeId="0">
      <text>
        <r>
          <rPr>
            <sz val="8"/>
            <color indexed="81"/>
            <rFont val="Tahoma"/>
            <family val="2"/>
          </rPr>
          <t>Title of reference documents.</t>
        </r>
      </text>
    </comment>
    <comment ref="Y40" authorId="0" shapeId="0">
      <text>
        <r>
          <rPr>
            <sz val="8"/>
            <color indexed="81"/>
            <rFont val="Tahoma"/>
            <family val="2"/>
          </rPr>
          <t>Reference number, e.g. E123456 and revision of the reference.</t>
        </r>
      </text>
    </comment>
    <comment ref="B46" authorId="0" shapeId="0">
      <text>
        <r>
          <rPr>
            <sz val="8"/>
            <color indexed="81"/>
            <rFont val="Tahoma"/>
            <family val="2"/>
          </rPr>
          <t>ID of possible reference documents. Any ID can be used, suggestion is [Int1], [Int2] etc. for internal references and [Ext1], [Ext2] etc. for external references</t>
        </r>
      </text>
    </comment>
    <comment ref="E46" authorId="0" shapeId="0">
      <text>
        <r>
          <rPr>
            <sz val="8"/>
            <color indexed="81"/>
            <rFont val="Tahoma"/>
            <family val="2"/>
          </rPr>
          <t>Title of reference documents.</t>
        </r>
      </text>
    </comment>
    <comment ref="Y46" authorId="0" shapeId="0">
      <text>
        <r>
          <rPr>
            <sz val="8"/>
            <color indexed="81"/>
            <rFont val="Tahoma"/>
            <family val="2"/>
          </rPr>
          <t>Reference number, e.g. E123456 and revision of the reference.</t>
        </r>
      </text>
    </comment>
  </commentList>
</comments>
</file>

<file path=xl/comments2.xml><?xml version="1.0" encoding="utf-8"?>
<comments xmlns="http://schemas.openxmlformats.org/spreadsheetml/2006/main">
  <authors>
    <author>Author</author>
    <author>Francine Chambin</author>
    <author>Crina Baciu</author>
  </authors>
  <commentList>
    <comment ref="C2" authorId="0" shapeId="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text>
        <r>
          <rPr>
            <b/>
            <sz val="9"/>
            <color indexed="81"/>
            <rFont val="Tahoma"/>
            <family val="2"/>
          </rPr>
          <t>Test Classification automatically filled (extracted from SW_IT_xxx sheet)
See General Info</t>
        </r>
      </text>
    </comment>
    <comment ref="F2" authorId="1" shapeId="0">
      <text>
        <r>
          <rPr>
            <b/>
            <sz val="9"/>
            <color indexed="81"/>
            <rFont val="Tahoma"/>
            <family val="2"/>
          </rPr>
          <t>Automatically filled
(extracted from SW_IT_xxx sheet)</t>
        </r>
      </text>
    </comment>
    <comment ref="G2" authorId="1" shapeId="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text>
        <r>
          <rPr>
            <b/>
            <sz val="9"/>
            <color indexed="81"/>
            <rFont val="Tahoma"/>
            <family val="2"/>
          </rPr>
          <t xml:space="preserve">To be filled manually </t>
        </r>
        <r>
          <rPr>
            <sz val="9"/>
            <color indexed="81"/>
            <rFont val="Tahoma"/>
            <family val="2"/>
          </rPr>
          <t xml:space="preserve">
Write initials of the tester. </t>
        </r>
      </text>
    </comment>
    <comment ref="M2" authorId="2" shapeId="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3.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4.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authors>
    <author>Francine Chambin</author>
  </authors>
  <commentList>
    <comment ref="A1" authorId="0" shapeId="0">
      <text>
        <r>
          <rPr>
            <b/>
            <sz val="9"/>
            <color indexed="81"/>
            <rFont val="Tahoma"/>
            <family val="2"/>
          </rPr>
          <t xml:space="preserve">See Guide (help)
</t>
        </r>
        <r>
          <rPr>
            <sz val="9"/>
            <color indexed="81"/>
            <rFont val="Tahoma"/>
            <family val="2"/>
          </rPr>
          <t xml:space="preserve">
</t>
        </r>
      </text>
    </comment>
    <comment ref="A3" authorId="0" shapeId="0">
      <text>
        <r>
          <rPr>
            <b/>
            <sz val="9"/>
            <color indexed="81"/>
            <rFont val="Tahoma"/>
            <family val="2"/>
          </rPr>
          <t xml:space="preserve">See Guide (help)
</t>
        </r>
        <r>
          <rPr>
            <sz val="9"/>
            <color indexed="81"/>
            <rFont val="Tahoma"/>
            <family val="2"/>
          </rPr>
          <t xml:space="preserve">
</t>
        </r>
      </text>
    </comment>
    <comment ref="A5" authorId="0" shapeId="0">
      <text>
        <r>
          <rPr>
            <sz val="9"/>
            <color indexed="81"/>
            <rFont val="Tahoma"/>
            <family val="2"/>
          </rPr>
          <t>Definition is in the "General info" tab.
Use the dropdown list.</t>
        </r>
      </text>
    </comment>
    <comment ref="A9" authorId="0" shapeId="0">
      <text>
        <r>
          <rPr>
            <b/>
            <sz val="9"/>
            <color indexed="81"/>
            <rFont val="Tahoma"/>
            <family val="2"/>
          </rPr>
          <t>See Guide (help)</t>
        </r>
        <r>
          <rPr>
            <sz val="9"/>
            <color indexed="81"/>
            <rFont val="Tahoma"/>
            <family val="2"/>
          </rPr>
          <t xml:space="preserve">
</t>
        </r>
      </text>
    </comment>
    <comment ref="A11" authorId="0" shapeId="0">
      <text>
        <r>
          <rPr>
            <b/>
            <sz val="9"/>
            <color indexed="81"/>
            <rFont val="Tahoma"/>
            <family val="2"/>
          </rPr>
          <t xml:space="preserve">Describe the test environment and setup.
</t>
        </r>
        <r>
          <rPr>
            <sz val="9"/>
            <color indexed="81"/>
            <rFont val="Tahoma"/>
            <family val="2"/>
          </rPr>
          <t xml:space="preserve">
</t>
        </r>
      </text>
    </comment>
    <comment ref="A16" authorId="0" shapeId="0">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<sst xmlns="http://schemas.openxmlformats.org/spreadsheetml/2006/main" count="688" uniqueCount="246">
  <si>
    <t>Revision</t>
  </si>
  <si>
    <t>Project Number &amp; Name</t>
  </si>
  <si>
    <t>Document state</t>
  </si>
  <si>
    <t>Document id</t>
  </si>
  <si>
    <t>Document title</t>
  </si>
  <si>
    <t>Version</t>
  </si>
  <si>
    <t>Description/comment</t>
  </si>
  <si>
    <t>Tab</t>
  </si>
  <si>
    <t>ID</t>
  </si>
  <si>
    <t>Title</t>
  </si>
  <si>
    <t>Reference &amp; revision</t>
  </si>
  <si>
    <t>Tab Name</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</si>
  <si>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</si>
  <si>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</si>
  <si>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</si>
  <si>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</si>
  <si>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</si>
  <si>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</si>
  <si>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</si>
  <si>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</si>
  <si>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</si>
  <si>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</si>
  <si>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</si>
  <si>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</si>
  <si>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</si>
  <si>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</si>
  <si>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</si>
  <si>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</si>
  <si>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</si>
  <si>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</si>
  <si>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</si>
  <si>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</si>
  <si>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</si>
  <si>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</si>
  <si>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</si>
  <si>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</si>
  <si>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</si>
  <si>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</si>
  <si>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</si>
  <si>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</si>
  <si>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</si>
  <si>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</si>
  <si>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</si>
  <si>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</si>
  <si>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</si>
  <si>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</si>
  <si>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</si>
  <si>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</si>
  <si>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</si>
  <si>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</si>
  <si>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</si>
  <si>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</si>
  <si>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</si>
  <si>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</si>
  <si>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</si>
  <si>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</si>
  <si>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</si>
  <si>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</si>
  <si>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</si>
  <si>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</si>
  <si>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</si>
  <si>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</si>
  <si>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</si>
  <si>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</si>
  <si>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</si>
  <si>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</si>
  <si>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</si>
  <si>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</si>
  <si>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</si>
  <si>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</si>
  <si>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</si>
  <si>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</si>
  <si>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Comment</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</si>
  <si>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</si>
  <si>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</si>
  <si>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</si>
  <si>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</si>
  <si>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</si>
  <si>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</si>
  <si>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</si>
  <si>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</si>
  <si>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</si>
  <si>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</si>
  <si>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</si>
  <si>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</si>
  <si>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</si>
  <si>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</si>
  <si>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</si>
  <si>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</si>
  <si>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</si>
  <si>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</si>
  <si>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</si>
  <si>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</si>
  <si>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</si>
  <si>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</si>
  <si>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</si>
  <si>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</si>
  <si>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</si>
  <si>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</si>
  <si>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</si>
  <si>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</si>
  <si>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</si>
  <si>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</si>
  <si>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</si>
  <si>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</si>
  <si>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</si>
  <si>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</si>
  <si>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</si>
  <si>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</si>
  <si>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</si>
  <si>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</si>
  <si>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</si>
  <si>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</si>
  <si>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</si>
  <si>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</si>
  <si>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</si>
  <si>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</si>
  <si>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This sheet helps to fill up the differents tabs of the template.</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</si>
  <si>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</si>
  <si>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</si>
  <si>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</si>
  <si>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</si>
  <si>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</si>
  <si>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</si>
  <si>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</si>
  <si>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</si>
  <si>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Test for No Regression</t>
  </si>
  <si>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</si>
  <si>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C. Sauvage, S. Flechelle, T. Demirel, S. Claveau, F. Gilbert, H. Egnifi, A. LeBeherec</t>
  </si>
  <si>
    <t>C. Sauvage, S. Flechelle, T. Demirel, S. Claveau, F. Gilbert, H. Egnifi, A. LeBeherec, E. Mariniuc, A. Teban, V. Rus-Staroste</t>
  </si>
  <si>
    <t>E. Mariniuc, A. Teban, V. Rus-Staroste</t>
  </si>
  <si>
    <t xml:space="preserve">S. Delcloy, K. Mohrath, X. Christmann, Y. Erb, P. Merrien, J.M. Lambert </t>
  </si>
  <si>
    <t>E1355904</t>
  </si>
  <si>
    <t>124479 AHO GPM EL EL ECU PP LOW COST</t>
  </si>
  <si>
    <t>SW04TEM001</t>
  </si>
  <si>
    <t>000</t>
  </si>
  <si>
    <t>001</t>
  </si>
  <si>
    <t>Draft</t>
  </si>
  <si>
    <t>SWArchitectureGlobalIntegrationTests - SW Scheduling</t>
  </si>
  <si>
    <t>SwD:</t>
  </si>
  <si>
    <t xml:space="preserve">STL: C. Redon
</t>
  </si>
  <si>
    <t>DL: S. Delcloy</t>
  </si>
  <si>
    <t>Nominal</t>
  </si>
  <si>
    <t>Ok</t>
  </si>
  <si>
    <t>Not run</t>
  </si>
  <si>
    <t>Step 10</t>
  </si>
  <si>
    <t>Step 11</t>
  </si>
  <si>
    <t>Step 12</t>
  </si>
  <si>
    <t>Step 13</t>
  </si>
  <si>
    <t>Step 14</t>
  </si>
  <si>
    <t>Step 15</t>
  </si>
  <si>
    <t>Step 16</t>
  </si>
  <si>
    <t>Step 17</t>
  </si>
  <si>
    <t>Step 18</t>
  </si>
  <si>
    <t>To be checked if specified somewhere.</t>
  </si>
  <si>
    <t>Step 19</t>
  </si>
  <si>
    <t>Step 20</t>
  </si>
  <si>
    <t>Step 21</t>
  </si>
  <si>
    <t>Step 22</t>
  </si>
  <si>
    <t>Step 23</t>
  </si>
  <si>
    <t>Step 24</t>
  </si>
  <si>
    <t>Step 25</t>
  </si>
  <si>
    <t>Step 26</t>
  </si>
  <si>
    <t>Step 27</t>
  </si>
  <si>
    <t>Step 28</t>
  </si>
  <si>
    <t>Step 29</t>
  </si>
  <si>
    <t>SYS_MF01 Uncovered Req Review for traceability - TBD result</t>
  </si>
  <si>
    <t>The goal of this test is to cover SYS_MF01 Req whithout traceability when test can not be perfomed.</t>
  </si>
  <si>
    <t>SYS_MF02 Uncovered Req Review for traceability - OK result</t>
  </si>
  <si>
    <t>The goal of this test is to cover SYS_MF02 Req whithout traceability when test can not be perfomed.</t>
  </si>
  <si>
    <t>SYS_MF02 Uncovered Req Review for traceability - TBD result</t>
  </si>
  <si>
    <t>SYS_MF03 Uncovered Req Review for traceability - TBD result</t>
  </si>
  <si>
    <t>The goal of this test is to cover SYS_MF03 Req whithout traceability when test can not be perfomed.</t>
  </si>
  <si>
    <t>SYS_MF04 Uncovered Req Review for traceability - OK result</t>
  </si>
  <si>
    <t>The goal of this test is to cover SYS_MF04 Req whithout traceability when test can not be perfomed.</t>
  </si>
  <si>
    <t>SYS_MF04 Uncovered Req Review for traceability - TBD Result</t>
  </si>
  <si>
    <t>The goal of this test is to cover SYS_MF05 Req whithout traceability when test can not be perfomed.</t>
  </si>
  <si>
    <t>SYS_MF05 Uncovered Req Review for traceability - OK result</t>
  </si>
  <si>
    <t>SYS_Review_MF01_TBD</t>
  </si>
  <si>
    <t>SYS_Review_MF01_OK</t>
  </si>
  <si>
    <t>SYS_Review_MF02_OK</t>
  </si>
  <si>
    <t>SYS_Review_MF03_OK</t>
  </si>
  <si>
    <t>SYS_Review_MF03_TBD</t>
  </si>
  <si>
    <t>SYS_Review_MF04_TBD</t>
  </si>
  <si>
    <t>SYS_Review_MF05_OK</t>
  </si>
  <si>
    <t xml:space="preserve">SYS_MF01_43, </t>
  </si>
  <si>
    <t>No customer drawing for PP4G but is applicable for application projects.</t>
  </si>
  <si>
    <r>
      <rPr>
        <b/>
        <u/>
        <sz val="10"/>
        <rFont val="Arial"/>
        <family val="2"/>
      </rPr>
      <t>SYS_MF01_43:</t>
    </r>
    <r>
      <rPr>
        <sz val="10"/>
        <rFont val="Arial"/>
        <family val="2"/>
      </rPr>
      <t xml:space="preserve">
Pre²-Tensioning profiles shall be reported on customer drawing.</t>
    </r>
  </si>
  <si>
    <r>
      <rPr>
        <b/>
        <u/>
        <sz val="10"/>
        <rFont val="Arial"/>
        <family val="2"/>
      </rPr>
      <t>SYS_MF01_295:</t>
    </r>
    <r>
      <rPr>
        <sz val="10"/>
        <rFont val="Arial"/>
        <family val="2"/>
      </rPr>
      <t xml:space="preserve">
Belt Slack removal Phase can not be interrupted once started.</t>
    </r>
  </si>
  <si>
    <r>
      <t xml:space="preserve">Not specified as well at DES level.
</t>
    </r>
    <r>
      <rPr>
        <b/>
        <sz val="10"/>
        <rFont val="Arial"/>
        <family val="2"/>
      </rPr>
      <t>To be added at DES level.</t>
    </r>
  </si>
  <si>
    <r>
      <rPr>
        <b/>
        <u/>
        <sz val="10"/>
        <rFont val="Arial"/>
        <family val="2"/>
      </rPr>
      <t>SYS_MF01_296:</t>
    </r>
    <r>
      <rPr>
        <sz val="10"/>
        <rFont val="Arial"/>
        <family val="2"/>
      </rPr>
      <t xml:space="preserve">
Holding phase can be interrupted.</t>
    </r>
  </si>
  <si>
    <r>
      <rPr>
        <b/>
        <u/>
        <sz val="10"/>
        <rFont val="Arial"/>
        <family val="2"/>
      </rPr>
      <t>SYS_MF01_291:</t>
    </r>
    <r>
      <rPr>
        <sz val="10"/>
        <rFont val="Arial"/>
        <family val="2"/>
      </rPr>
      <t xml:space="preserve">
ECU PP shall be able to drive motor in Torque.</t>
    </r>
  </si>
  <si>
    <r>
      <rPr>
        <b/>
        <u/>
        <sz val="10"/>
        <rFont val="Arial"/>
        <family val="2"/>
      </rPr>
      <t>SYS_MF01_294:</t>
    </r>
    <r>
      <rPr>
        <sz val="10"/>
        <rFont val="Arial"/>
        <family val="2"/>
      </rPr>
      <t xml:space="preserve">
ECU PP shall be able to drive motor in Speed.</t>
    </r>
  </si>
  <si>
    <r>
      <rPr>
        <b/>
        <u/>
        <sz val="10"/>
        <rFont val="Arial"/>
        <family val="2"/>
      </rPr>
      <t>SYS_MF01_308:</t>
    </r>
    <r>
      <rPr>
        <sz val="10"/>
        <rFont val="Arial"/>
        <family val="2"/>
      </rPr>
      <t xml:space="preserve">
ECU PP  shall provide similar Pre²-tensioning performance for a battery level included in range [9V ; 17,5V].</t>
    </r>
  </si>
  <si>
    <r>
      <t xml:space="preserve">Do not find DVPnR test to link with… 
</t>
    </r>
    <r>
      <rPr>
        <b/>
        <sz val="10"/>
        <rFont val="Arial"/>
        <family val="2"/>
      </rPr>
      <t>Find Test to link with (ANG)</t>
    </r>
  </si>
  <si>
    <r>
      <rPr>
        <b/>
        <u/>
        <sz val="10"/>
        <rFont val="Arial"/>
        <family val="2"/>
      </rPr>
      <t>SYS_MF01_309:</t>
    </r>
    <r>
      <rPr>
        <sz val="10"/>
        <rFont val="Arial"/>
        <family val="2"/>
      </rPr>
      <t xml:space="preserve">
ECU PP shall provide similar Pre²-tensioning performance for a temperature range : -40°C à +85°C.</t>
    </r>
  </si>
  <si>
    <t>Fulfilled but not traceable, keep in TBD as shall be well tracked.</t>
  </si>
  <si>
    <r>
      <rPr>
        <b/>
        <u/>
        <sz val="10"/>
        <rFont val="Arial"/>
        <family val="2"/>
      </rPr>
      <t>SYS_MF01_228:</t>
    </r>
    <r>
      <rPr>
        <sz val="10"/>
        <rFont val="Arial"/>
        <family val="2"/>
      </rPr>
      <t xml:space="preserve">
In case MF01 cannot be executed whatever the root cause, the belt shall be maintained blocked during MF01 execution phases of life.</t>
    </r>
  </si>
  <si>
    <r>
      <rPr>
        <b/>
        <u/>
        <sz val="10"/>
        <rFont val="Arial"/>
        <family val="2"/>
      </rPr>
      <t>SYS_MF01_229:</t>
    </r>
    <r>
      <rPr>
        <sz val="10"/>
        <rFont val="Arial"/>
        <family val="2"/>
      </rPr>
      <t xml:space="preserve">
The mechanical belt retractor, which support the ECU PP, shall be equipped of a mechanical system which ensure to block the belt in case MF01 cannot be executed correctly.</t>
    </r>
  </si>
  <si>
    <t>SYS_MF01_228, SYS_MF01_229, SYS_MF01_291, SYS_MF01_294, SYS_MF01_295, SYS_MF01_296, SYS_MF01_308, SYS_MF01_309</t>
  </si>
  <si>
    <r>
      <rPr>
        <b/>
        <u/>
        <sz val="10"/>
        <rFont val="Arial"/>
        <family val="2"/>
      </rPr>
      <t>SYS_MF02_769:</t>
    </r>
    <r>
      <rPr>
        <sz val="10"/>
        <rFont val="Arial"/>
        <family val="2"/>
      </rPr>
      <t xml:space="preserve">
MF02 is applicable for following ECU phases of life:
     - Design Phases (PDx) </t>
    </r>
    <r>
      <rPr>
        <b/>
        <u/>
        <sz val="10"/>
        <rFont val="Arial"/>
        <family val="2"/>
      </rPr>
      <t xml:space="preserve">SYS_MF02_770
</t>
    </r>
    <r>
      <rPr>
        <sz val="10"/>
        <rFont val="Arial"/>
        <family val="2"/>
      </rPr>
      <t xml:space="preserve">     - Manufacturing Phases (PMx) </t>
    </r>
    <r>
      <rPr>
        <b/>
        <u/>
        <sz val="10"/>
        <rFont val="Arial"/>
        <family val="2"/>
      </rPr>
      <t xml:space="preserve">SYS_MF02_771
</t>
    </r>
    <r>
      <rPr>
        <sz val="10"/>
        <rFont val="Arial"/>
        <family val="2"/>
      </rPr>
      <t xml:space="preserve">     - Use Phases (PUx), except Start'up, Sportive Driving, pre-crash and crash situation. </t>
    </r>
    <r>
      <rPr>
        <b/>
        <u/>
        <sz val="10"/>
        <rFont val="Arial"/>
        <family val="2"/>
      </rPr>
      <t>SYS_MF02_772</t>
    </r>
  </si>
  <si>
    <t>Ok even if not tracked as hard to linked to DES.</t>
  </si>
  <si>
    <r>
      <rPr>
        <b/>
        <u/>
        <sz val="10"/>
        <rFont val="Arial"/>
        <family val="2"/>
      </rPr>
      <t>SYS_MF02_749:</t>
    </r>
    <r>
      <rPr>
        <sz val="10"/>
        <rFont val="Arial"/>
        <family val="2"/>
      </rPr>
      <t xml:space="preserve">
BSR profiles shall be reported on customer drawing.</t>
    </r>
  </si>
  <si>
    <r>
      <rPr>
        <b/>
        <u/>
        <sz val="10"/>
        <rFont val="Arial"/>
        <family val="2"/>
      </rPr>
      <t>SYS_MF02_751:</t>
    </r>
    <r>
      <rPr>
        <sz val="10"/>
        <rFont val="Arial"/>
        <family val="2"/>
      </rPr>
      <t xml:space="preserve">
BSR Profiles shall embed at least 1 optional pre-phase, 3 execution phases and 1 optional post-phase:
Pre-phase (optional): debouncing on starting conditions
Phase 1: belt payin acceleration AND belt displacement detection
Phase 2: rolling in belt with constant speed
Phase 3: detect belt blockage; i.e. belt has been reduced
Post-phase (optional): holding belt blocage</t>
    </r>
  </si>
  <si>
    <r>
      <rPr>
        <b/>
        <u/>
        <sz val="10"/>
        <rFont val="Arial"/>
        <family val="2"/>
      </rPr>
      <t>SYS_MF02_754:</t>
    </r>
    <r>
      <rPr>
        <sz val="10"/>
        <rFont val="Arial"/>
        <family val="2"/>
      </rPr>
      <t xml:space="preserve">
ECU PP shall be able to drive motor in Speed.</t>
    </r>
  </si>
  <si>
    <r>
      <rPr>
        <b/>
        <u/>
        <sz val="10"/>
        <rFont val="Arial"/>
        <family val="2"/>
      </rPr>
      <t>SYS_MF02_752:</t>
    </r>
    <r>
      <rPr>
        <sz val="10"/>
        <rFont val="Arial"/>
        <family val="2"/>
      </rPr>
      <t xml:space="preserve">
ECU PP  shall provide similar BSR performance for a battery level included in range [9V ; 17,5V].</t>
    </r>
  </si>
  <si>
    <r>
      <rPr>
        <b/>
        <u/>
        <sz val="10"/>
        <rFont val="Arial"/>
        <family val="2"/>
      </rPr>
      <t>SYS_MF02_753:</t>
    </r>
    <r>
      <rPr>
        <sz val="10"/>
        <rFont val="Arial"/>
        <family val="2"/>
      </rPr>
      <t xml:space="preserve">
ECU PP shall provide similar BSR performance for a temperature range : -40°C à +85°C.</t>
    </r>
  </si>
  <si>
    <t>SYS_Review_MF02_TBDorNOK</t>
  </si>
  <si>
    <r>
      <rPr>
        <b/>
        <u/>
        <sz val="10"/>
        <rFont val="Arial"/>
        <family val="2"/>
      </rPr>
      <t>SYS_MF02_755:</t>
    </r>
    <r>
      <rPr>
        <sz val="10"/>
        <rFont val="Arial"/>
        <family val="2"/>
      </rPr>
      <t xml:space="preserve">
In case Belt movement monitoring is not available BSR function execution shall be performed but downgraded performance is permissible.</t>
    </r>
  </si>
  <si>
    <t>Today, BSR is inhibited in case of HES failure.</t>
  </si>
  <si>
    <t>Nok</t>
  </si>
  <si>
    <r>
      <rPr>
        <b/>
        <u/>
        <sz val="10"/>
        <rFont val="Arial"/>
        <family val="2"/>
      </rPr>
      <t>SYS_MF02_727:</t>
    </r>
    <r>
      <rPr>
        <sz val="10"/>
        <rFont val="Arial"/>
        <family val="2"/>
      </rPr>
      <t xml:space="preserve">
Up to 2 Belt Slack Reduction Profiles shall be integrated in ECU.</t>
    </r>
  </si>
  <si>
    <t>Today, only 1 BSR profile define. So Req is fullfilled ("Up to") but need to be confirmed if really expected at SYS level.</t>
  </si>
  <si>
    <r>
      <rPr>
        <b/>
        <u/>
        <sz val="10"/>
        <rFont val="Arial"/>
        <family val="2"/>
      </rPr>
      <t>SYS_MF02_728:</t>
    </r>
    <r>
      <rPr>
        <sz val="10"/>
        <rFont val="Arial"/>
        <family val="2"/>
      </rPr>
      <t xml:space="preserve">
Implementation of additional Belt Slack Reduction profile shall be possible without any other impacts than MCU upgrade (overcost).</t>
    </r>
  </si>
  <si>
    <t xml:space="preserve">SYS_MF02_769, SYS_MF02_770, SYS_MF02_771, SYS_MF02_772, SYS_MF02_749, SYS_MF02_728, </t>
  </si>
  <si>
    <r>
      <rPr>
        <b/>
        <u/>
        <sz val="10"/>
        <rFont val="Arial"/>
        <family val="2"/>
      </rPr>
      <t>SYS_MF02_679:</t>
    </r>
    <r>
      <rPr>
        <sz val="10"/>
        <rFont val="Arial"/>
        <family val="2"/>
      </rPr>
      <t xml:space="preserve">
SIG_BSR_BELT_SLACK_STATUS shall be set to reduced at the end of the BSR profile.</t>
    </r>
  </si>
  <si>
    <t>SYS_MF02_751, SYS_MF02_752, SYS_MF02_753,  SYS_MF02_754, SYS_MF02_755, SYS_MF02_727, SYS_MF02_679</t>
  </si>
  <si>
    <r>
      <rPr>
        <b/>
        <u/>
        <sz val="10"/>
        <rFont val="Arial"/>
        <family val="2"/>
      </rPr>
      <t>SYS_MF03_163:</t>
    </r>
    <r>
      <rPr>
        <sz val="10"/>
        <rFont val="Arial"/>
        <family val="2"/>
      </rPr>
      <t xml:space="preserve"> 
Releasing profiles shall be reported on customer drawing.</t>
    </r>
  </si>
  <si>
    <t>SYS_MF03 Uncovered Req Review for traceability - OK result</t>
  </si>
  <si>
    <r>
      <rPr>
        <b/>
        <u/>
        <sz val="10"/>
        <rFont val="Arial"/>
        <family val="2"/>
      </rPr>
      <t>SYS_MF03_166:</t>
    </r>
    <r>
      <rPr>
        <sz val="10"/>
        <rFont val="Arial"/>
        <family val="2"/>
      </rPr>
      <t xml:space="preserve"> 
Releasing Profiles shall ensure complete disengaging of motor coupling</t>
    </r>
  </si>
  <si>
    <t>Not specified as well at DES level.
To be added at DES level.</t>
  </si>
  <si>
    <r>
      <rPr>
        <b/>
        <u/>
        <sz val="10"/>
        <rFont val="Arial"/>
        <family val="2"/>
      </rPr>
      <t>SYS_MF03_167:</t>
    </r>
    <r>
      <rPr>
        <sz val="10"/>
        <rFont val="Arial"/>
        <family val="2"/>
      </rPr>
      <t xml:space="preserve"> 
ECU PP shall be able to drive motor in Speed.</t>
    </r>
  </si>
  <si>
    <r>
      <rPr>
        <b/>
        <u/>
        <sz val="10"/>
        <rFont val="Arial"/>
        <family val="2"/>
      </rPr>
      <t>SYS_MF03_168:</t>
    </r>
    <r>
      <rPr>
        <sz val="10"/>
        <rFont val="Arial"/>
        <family val="2"/>
      </rPr>
      <t xml:space="preserve"> 
ECU PP shall provide similar Releasing performance for a battery level included in range [9V ; 17,5V].</t>
    </r>
  </si>
  <si>
    <r>
      <rPr>
        <b/>
        <u/>
        <sz val="10"/>
        <rFont val="Arial"/>
        <family val="2"/>
      </rPr>
      <t>SYS_MF03_169:</t>
    </r>
    <r>
      <rPr>
        <sz val="10"/>
        <rFont val="Arial"/>
        <family val="2"/>
      </rPr>
      <t xml:space="preserve"> 
ECU PP shall provide similar Releasing performance for a temperature range : -40°C à +85°C.</t>
    </r>
  </si>
  <si>
    <r>
      <rPr>
        <b/>
        <u/>
        <sz val="10"/>
        <rFont val="Arial"/>
        <family val="2"/>
      </rPr>
      <t>SYS_MF03_164:</t>
    </r>
    <r>
      <rPr>
        <sz val="10"/>
        <rFont val="Arial"/>
        <family val="2"/>
      </rPr>
      <t xml:space="preserve">
Implementation of additional Releasing profile shall be possible without any other impacts than MCU upgrade (overcost).</t>
    </r>
  </si>
  <si>
    <t>SYS_MF03_163,  SYS_MF03_164</t>
  </si>
  <si>
    <r>
      <rPr>
        <b/>
        <u/>
        <sz val="10"/>
        <rFont val="Arial"/>
        <family val="2"/>
      </rPr>
      <t>SYS_MF03_90:</t>
    </r>
    <r>
      <rPr>
        <sz val="10"/>
        <rFont val="Arial"/>
        <family val="2"/>
      </rPr>
      <t xml:space="preserve"> 
In case of a smooth release aborted because of any other cause, either the smooth release shall be restarted as soon as no more reason requiring its inhibition is active or it shall be replaced by a hard release as soon as conditions allow it.</t>
    </r>
  </si>
  <si>
    <t>SYS_MF03_166, SYS_MF03_167, SYS_MF03_168, SYS_MF03_169, SYS_MF03_90</t>
  </si>
  <si>
    <r>
      <rPr>
        <b/>
        <u/>
        <sz val="10"/>
        <rFont val="Arial"/>
        <family val="2"/>
      </rPr>
      <t>SYS_MF04_866:</t>
    </r>
    <r>
      <rPr>
        <sz val="10"/>
        <rFont val="Arial"/>
        <family val="2"/>
      </rPr>
      <t xml:space="preserve">
The Belt Parking profiles shall be composed with the 2 following kind of phases (SIG_INT_BPA_PROFILE_PHASE):
Phase 1 = Starting phase = To launch the motor to start belt moving in.
Phase 2 = Retracting phase = To continue retracting the belt until its payout is brought back to a payout threshold or until a timeout, and then to smoothly brake the motor to ensure smooth parking of the belt.</t>
    </r>
  </si>
  <si>
    <r>
      <rPr>
        <b/>
        <u/>
        <sz val="10"/>
        <rFont val="Arial"/>
        <family val="2"/>
      </rPr>
      <t>SYS_MF04_782:</t>
    </r>
    <r>
      <rPr>
        <sz val="10"/>
        <rFont val="Arial"/>
        <family val="2"/>
      </rPr>
      <t xml:space="preserve">
If the ECU starts with belt fastened, the origin position (SIG_BELT_ORIGIN_POSITION) shall be set to a backup position PARAM_BPA_ORIGIN_POSITION_BACKUP to balance the absence of OPS cycle.</t>
    </r>
  </si>
  <si>
    <r>
      <rPr>
        <b/>
        <u/>
        <sz val="10"/>
        <rFont val="Arial"/>
        <family val="2"/>
      </rPr>
      <t>SYS_MF04_901:</t>
    </r>
    <r>
      <rPr>
        <sz val="10"/>
        <rFont val="Arial"/>
        <family val="2"/>
      </rPr>
      <t xml:space="preserve">
After entering PU1.1, the OPS cycle shall be executed maximum once after each reset.</t>
    </r>
  </si>
  <si>
    <r>
      <rPr>
        <b/>
        <u/>
        <sz val="10"/>
        <rFont val="Arial"/>
        <family val="2"/>
      </rPr>
      <t>SYS_MF04_493:</t>
    </r>
    <r>
      <rPr>
        <sz val="10"/>
        <rFont val="Arial"/>
        <family val="2"/>
      </rPr>
      <t xml:space="preserve">
Besides the BPA common aborting conditions, the BPDO profile shall be aborted IF a Door closed event (SIG_DOOR_STATUS) occurs</t>
    </r>
  </si>
  <si>
    <r>
      <rPr>
        <b/>
        <u/>
        <sz val="10"/>
        <rFont val="Arial"/>
        <family val="2"/>
      </rPr>
      <t>SYS_MF04_496:</t>
    </r>
    <r>
      <rPr>
        <sz val="10"/>
        <rFont val="Arial"/>
        <family val="2"/>
      </rPr>
      <t xml:space="preserve">
Besides the BPA common aborting conditions, the BPDC profile shall be aborted IF a Door opened event (SIG_DOOR_STATUS) occurs</t>
    </r>
  </si>
  <si>
    <t xml:space="preserve">SYS_MF04_866, SYS_MF04_782, SYS_MF04_901, SYS_MF04_493, SYS_MF04_496, </t>
  </si>
  <si>
    <t>SYS_MF05 Uncovered Req Review for traceability - TBD &amp; NOK result</t>
  </si>
  <si>
    <r>
      <rPr>
        <b/>
        <u/>
        <sz val="10"/>
        <rFont val="Arial"/>
        <family val="2"/>
      </rPr>
      <t>SYS_MF05_31:</t>
    </r>
    <r>
      <rPr>
        <sz val="10"/>
        <rFont val="Arial"/>
        <family val="2"/>
      </rPr>
      <t xml:space="preserve">
ECU PP shall be designed to be able to launch 2 different levels of Haptic Warning profiles.</t>
    </r>
  </si>
  <si>
    <t>Only 1 (but 2 phases) are implemented today.</t>
  </si>
  <si>
    <r>
      <rPr>
        <b/>
        <u/>
        <sz val="10"/>
        <rFont val="Arial"/>
        <family val="2"/>
      </rPr>
      <t>SYS_MF05_32:</t>
    </r>
    <r>
      <rPr>
        <sz val="10"/>
        <rFont val="Arial"/>
        <family val="2"/>
      </rPr>
      <t xml:space="preserve">
Number of Haptic Warning profiles shall be easily increased/decreased without any other impacts than MCU scaling.</t>
    </r>
  </si>
  <si>
    <r>
      <rPr>
        <b/>
        <u/>
        <sz val="10"/>
        <rFont val="Arial"/>
        <family val="2"/>
      </rPr>
      <t>SYS_MF05_36:</t>
    </r>
    <r>
      <rPr>
        <sz val="10"/>
        <rFont val="Arial"/>
        <family val="2"/>
      </rPr>
      <t xml:space="preserve">
Haptic Warning profiles shall be reported on customer drawing.</t>
    </r>
  </si>
  <si>
    <t xml:space="preserve">SYS_MF05_32, SYS_MF05_36, </t>
  </si>
  <si>
    <r>
      <rPr>
        <b/>
        <u/>
        <sz val="10"/>
        <rFont val="Arial"/>
        <family val="2"/>
      </rPr>
      <t>SYS_MF05_40:</t>
    </r>
    <r>
      <rPr>
        <sz val="10"/>
        <rFont val="Arial"/>
        <family val="2"/>
      </rPr>
      <t xml:space="preserve"> 
ECU PP shall be able to drive motor in Torque.</t>
    </r>
  </si>
  <si>
    <r>
      <rPr>
        <b/>
        <u/>
        <sz val="10"/>
        <rFont val="Arial"/>
        <family val="2"/>
      </rPr>
      <t>SYS_MF05_41:</t>
    </r>
    <r>
      <rPr>
        <sz val="10"/>
        <rFont val="Arial"/>
        <family val="2"/>
      </rPr>
      <t xml:space="preserve"> 
ECU PP shall be able to drive motor in Speed.</t>
    </r>
  </si>
  <si>
    <r>
      <rPr>
        <b/>
        <u/>
        <sz val="10"/>
        <rFont val="Arial"/>
        <family val="2"/>
      </rPr>
      <t>SYS_MF03_42:</t>
    </r>
    <r>
      <rPr>
        <sz val="10"/>
        <rFont val="Arial"/>
        <family val="2"/>
      </rPr>
      <t xml:space="preserve"> 
ECU PP shall provide similar HWA performance for a battery level included in range [9V ; 17,5V].</t>
    </r>
  </si>
  <si>
    <r>
      <rPr>
        <b/>
        <u/>
        <sz val="10"/>
        <rFont val="Arial"/>
        <family val="2"/>
      </rPr>
      <t>SYS_MF03_43:</t>
    </r>
    <r>
      <rPr>
        <sz val="10"/>
        <rFont val="Arial"/>
        <family val="2"/>
      </rPr>
      <t xml:space="preserve"> 
ECU PP shall provide similar HWA performance for a temperature range : -40°C à +85°C.</t>
    </r>
  </si>
  <si>
    <t xml:space="preserve">SYS_MF05_31, SYS_MF05_40, SYS_MF05_41, SYS_MF05_42, SYS_MF05_43, </t>
  </si>
  <si>
    <t>SYS_Review_MF05_TBDorNOK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</si>
</sst>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42"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b/>
      <i/>
      <u/>
      <sz val="10"/>
      <color theme="10"/>
      <name val="Arial"/>
      <family val="2"/>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b/>
      <i/>
      <u/>
      <sz val="11"/>
      <name val="Calibri"/>
      <family val="2"/>
      <charset val="238"/>
      <scheme val="minor"/>
    </font>
  </fonts>
  <fills count="10">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s>
  <borders count="4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000080"/>
      </bottom>
      <diagonal/>
    </border>
  </borders>
  <cellStyleXfs count="3">
    <xf numFmtId="0" fontId="0" fillId="0" borderId="0"/>
    <xf numFmtId="0" fontId="23" fillId="0" borderId="0" applyNumberFormat="0" applyFill="0" applyBorder="0" applyAlignment="0" applyProtection="0"/>
    <xf numFmtId="0" fontId="1" fillId="0" borderId="0"/>
  </cellStyleXfs>
  <cellXfs count="239">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4" xfId="0" applyFont="1" applyBorder="1" applyAlignment="1" applyProtection="1">
      <alignment vertical="center"/>
      <protection locked="0"/>
    </xf>
    <xf numFmtId="0" fontId="0" fillId="0" borderId="44"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9" fillId="0" borderId="9"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6" fillId="0" borderId="17" xfId="0" applyFont="1" applyBorder="1" applyAlignment="1">
      <alignment horizontal="center" vertical="center"/>
    </xf>
    <xf numFmtId="0" fontId="36" fillId="0" borderId="10" xfId="0" applyFont="1" applyBorder="1" applyAlignment="1">
      <alignment horizontal="center" vertical="center"/>
    </xf>
    <xf numFmtId="0" fontId="37" fillId="0" borderId="11" xfId="0" applyFont="1" applyFill="1" applyBorder="1" applyAlignment="1">
      <alignment vertical="top"/>
    </xf>
    <xf numFmtId="0" fontId="31" fillId="0" borderId="11" xfId="0" applyFont="1" applyFill="1" applyBorder="1" applyAlignment="1">
      <alignment vertical="top"/>
    </xf>
    <xf numFmtId="0" fontId="0" fillId="5" borderId="0" xfId="0" applyFill="1"/>
    <xf numFmtId="0" fontId="36" fillId="5" borderId="0" xfId="0" applyFont="1" applyFill="1" applyBorder="1" applyAlignment="1">
      <alignment horizontal="center" vertical="center"/>
    </xf>
    <xf numFmtId="0" fontId="36" fillId="5" borderId="18" xfId="0" applyFont="1" applyFill="1" applyBorder="1" applyAlignment="1">
      <alignment horizontal="center" vertical="center"/>
    </xf>
    <xf numFmtId="0" fontId="36" fillId="5" borderId="19" xfId="0" applyFont="1" applyFill="1" applyBorder="1" applyAlignment="1">
      <alignment horizontal="center" vertical="center"/>
    </xf>
    <xf numFmtId="0" fontId="0" fillId="5" borderId="0" xfId="0" applyFill="1" applyAlignment="1">
      <alignment wrapText="1"/>
    </xf>
    <xf numFmtId="0" fontId="38" fillId="7" borderId="4" xfId="0" applyFont="1" applyFill="1" applyBorder="1" applyAlignment="1">
      <alignment wrapText="1"/>
    </xf>
    <xf numFmtId="0" fontId="38" fillId="7" borderId="20" xfId="0" applyFont="1" applyFill="1" applyBorder="1" applyAlignment="1">
      <alignment vertical="center" wrapText="1"/>
    </xf>
    <xf numFmtId="0" fontId="38" fillId="7" borderId="21" xfId="0" applyFont="1" applyFill="1" applyBorder="1" applyAlignment="1">
      <alignment horizontal="center" wrapText="1"/>
    </xf>
    <xf numFmtId="0" fontId="1" fillId="8" borderId="9" xfId="2" applyFont="1" applyFill="1" applyBorder="1" applyAlignment="1">
      <alignment wrapText="1"/>
    </xf>
    <xf numFmtId="0" fontId="1" fillId="8" borderId="13" xfId="2" applyFont="1" applyFill="1" applyBorder="1" applyAlignment="1">
      <alignment wrapText="1"/>
    </xf>
    <xf numFmtId="0" fontId="36" fillId="5" borderId="7" xfId="0" applyFont="1" applyFill="1" applyBorder="1" applyAlignment="1">
      <alignment horizontal="left" vertical="center"/>
    </xf>
    <xf numFmtId="0" fontId="33" fillId="5" borderId="10" xfId="0" applyFont="1" applyFill="1" applyBorder="1"/>
    <xf numFmtId="0" fontId="33" fillId="5" borderId="0" xfId="0" applyFont="1" applyFill="1" applyBorder="1"/>
    <xf numFmtId="0" fontId="20" fillId="5" borderId="10" xfId="0" applyFont="1" applyFill="1" applyBorder="1"/>
    <xf numFmtId="10" fontId="33" fillId="5" borderId="10" xfId="0" applyNumberFormat="1" applyFont="1" applyFill="1" applyBorder="1"/>
    <xf numFmtId="0" fontId="41" fillId="0" borderId="10" xfId="0" applyFont="1" applyBorder="1" applyAlignment="1">
      <alignment vertical="top"/>
    </xf>
    <xf numFmtId="0" fontId="41" fillId="0" borderId="14" xfId="0" applyFont="1" applyBorder="1" applyAlignment="1">
      <alignment vertical="top"/>
    </xf>
    <xf numFmtId="0" fontId="31" fillId="0" borderId="11" xfId="0" applyFont="1" applyBorder="1" applyAlignment="1">
      <alignment horizontal="center" vertical="top"/>
    </xf>
    <xf numFmtId="49" fontId="1"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center" wrapText="1"/>
      <protection locked="0"/>
    </xf>
    <xf numFmtId="0" fontId="35" fillId="0" borderId="10" xfId="1" applyFont="1" applyBorder="1" applyAlignment="1">
      <alignment vertical="top" wrapText="1"/>
    </xf>
    <xf numFmtId="0" fontId="37" fillId="0" borderId="11" xfId="0" applyFont="1" applyFill="1" applyBorder="1" applyAlignment="1">
      <alignment vertical="top" wrapText="1"/>
    </xf>
    <xf numFmtId="0" fontId="31" fillId="0" borderId="11" xfId="0" applyFont="1" applyFill="1" applyBorder="1" applyAlignment="1">
      <alignment vertical="top" wrapText="1"/>
    </xf>
    <xf numFmtId="0" fontId="31" fillId="0" borderId="11" xfId="0" applyFont="1" applyBorder="1" applyAlignment="1">
      <alignment horizontal="center" vertical="top" wrapText="1"/>
    </xf>
    <xf numFmtId="0" fontId="31" fillId="0" borderId="11" xfId="0" applyFont="1" applyBorder="1" applyAlignment="1">
      <alignment vertical="top" wrapText="1"/>
    </xf>
    <xf numFmtId="0" fontId="29" fillId="0" borderId="16" xfId="0" applyFont="1" applyBorder="1" applyAlignment="1">
      <alignment vertical="top" wrapText="1"/>
    </xf>
    <xf numFmtId="0" fontId="29" fillId="0" borderId="15" xfId="0" applyFont="1" applyBorder="1" applyAlignment="1">
      <alignment vertical="top" wrapText="1"/>
    </xf>
    <xf numFmtId="0" fontId="0" fillId="0" borderId="0" xfId="0" applyAlignment="1">
      <alignment wrapText="1"/>
    </xf>
    <xf numFmtId="0" fontId="31" fillId="0" borderId="11" xfId="0" applyFont="1" applyFill="1" applyBorder="1" applyAlignment="1">
      <alignment horizontal="center" vertical="center"/>
    </xf>
    <xf numFmtId="0" fontId="35" fillId="6" borderId="11" xfId="1" applyFont="1" applyFill="1" applyBorder="1" applyAlignment="1">
      <alignment horizontal="left" vertical="center"/>
    </xf>
    <xf numFmtId="0" fontId="35" fillId="0" borderId="10" xfId="1" applyFont="1" applyBorder="1" applyAlignment="1">
      <alignment horizontal="left" vertical="center"/>
    </xf>
    <xf numFmtId="0" fontId="31" fillId="0" borderId="11" xfId="0" applyFont="1" applyFill="1" applyBorder="1" applyAlignment="1">
      <alignment horizontal="left" vertical="center"/>
    </xf>
    <xf numFmtId="0" fontId="31" fillId="0" borderId="11" xfId="0" applyFont="1" applyFill="1" applyBorder="1" applyAlignment="1">
      <alignment horizontal="left" vertical="top"/>
    </xf>
    <xf numFmtId="0" fontId="1" fillId="0" borderId="15"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5" xfId="0" applyFont="1" applyFill="1" applyBorder="1" applyAlignment="1" applyProtection="1">
      <alignment horizontal="left" vertical="top" shrinkToFit="1"/>
      <protection locked="0"/>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14" fontId="39" fillId="0" borderId="15" xfId="0" applyNumberFormat="1" applyFont="1" applyBorder="1" applyAlignment="1" applyProtection="1">
      <alignment horizontal="left" vertical="center" shrinkToFit="1"/>
    </xf>
    <xf numFmtId="0" fontId="39" fillId="0" borderId="1" xfId="0" applyFont="1" applyBorder="1" applyAlignment="1" applyProtection="1">
      <alignment horizontal="left" vertical="center" shrinkToFit="1"/>
    </xf>
    <xf numFmtId="0" fontId="39" fillId="0" borderId="25" xfId="0" applyFont="1" applyBorder="1" applyAlignment="1" applyProtection="1">
      <alignment horizontal="left" vertical="center" shrinkToFi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39" fillId="0" borderId="15" xfId="0" applyFont="1" applyBorder="1" applyAlignment="1" applyProtection="1">
      <alignment horizontal="left" vertical="center" shrinkToFit="1"/>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1" fillId="0" borderId="1" xfId="0" applyFont="1" applyFill="1" applyBorder="1" applyAlignment="1" applyProtection="1">
      <alignment horizontal="left" vertical="top" wrapText="1" shrinkToFit="1"/>
      <protection locked="0"/>
    </xf>
    <xf numFmtId="0" fontId="1" fillId="0" borderId="25" xfId="0" applyFont="1" applyFill="1" applyBorder="1" applyAlignment="1" applyProtection="1">
      <alignment horizontal="left" vertical="top" wrapText="1"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7" xfId="0" applyFont="1" applyFill="1" applyBorder="1" applyAlignment="1" applyProtection="1">
      <alignment horizontal="left" vertical="top" wrapText="1" shrinkToFit="1"/>
      <protection locked="0"/>
    </xf>
    <xf numFmtId="0" fontId="2" fillId="0" borderId="26" xfId="0" applyFont="1" applyFill="1" applyBorder="1" applyAlignment="1" applyProtection="1">
      <alignment horizontal="left" vertical="top" shrinkToFit="1"/>
      <protection locked="0"/>
    </xf>
    <xf numFmtId="0" fontId="2" fillId="0" borderId="16" xfId="0" applyFont="1" applyFill="1" applyBorder="1" applyAlignment="1" applyProtection="1">
      <alignment horizontal="left" vertical="top" shrinkToFit="1"/>
      <protection locked="0"/>
    </xf>
    <xf numFmtId="49" fontId="39" fillId="0" borderId="15" xfId="0" applyNumberFormat="1" applyFont="1" applyBorder="1" applyAlignment="1" applyProtection="1">
      <alignment horizontal="left" vertical="center" shrinkToFit="1"/>
    </xf>
    <xf numFmtId="49" fontId="39" fillId="0" borderId="1" xfId="0" applyNumberFormat="1" applyFont="1" applyBorder="1" applyAlignment="1" applyProtection="1">
      <alignment horizontal="left" vertical="center" shrinkToFit="1"/>
    </xf>
    <xf numFmtId="49" fontId="39" fillId="0" borderId="25" xfId="0" applyNumberFormat="1" applyFont="1" applyBorder="1" applyAlignment="1" applyProtection="1">
      <alignment horizontal="left" vertical="center" shrinkToFit="1"/>
    </xf>
    <xf numFmtId="0" fontId="40" fillId="9" borderId="2" xfId="0" applyFont="1" applyFill="1" applyBorder="1" applyAlignment="1" applyProtection="1">
      <alignment horizontal="center" vertical="center" shrinkToFit="1"/>
      <protection locked="0"/>
    </xf>
    <xf numFmtId="0" fontId="40" fillId="9" borderId="0" xfId="0" applyFont="1" applyFill="1" applyBorder="1" applyAlignment="1" applyProtection="1">
      <alignment horizontal="center" vertical="center" shrinkToFit="1"/>
      <protection locked="0"/>
    </xf>
    <xf numFmtId="0" fontId="40" fillId="9" borderId="3" xfId="0" applyFont="1" applyFill="1" applyBorder="1" applyAlignment="1" applyProtection="1">
      <alignment horizontal="center" vertical="center" shrinkToFit="1"/>
      <protection locked="0"/>
    </xf>
    <xf numFmtId="0" fontId="4"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4" fillId="0" borderId="24" xfId="0" applyFont="1" applyFill="1" applyBorder="1" applyAlignment="1" applyProtection="1">
      <alignment horizontal="left" vertical="top"/>
      <protection locked="0"/>
    </xf>
    <xf numFmtId="0" fontId="40" fillId="9" borderId="23"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5" xfId="0" applyFont="1" applyFill="1" applyBorder="1" applyAlignment="1" applyProtection="1">
      <alignment horizontal="left" vertical="top"/>
      <protection locked="0"/>
    </xf>
    <xf numFmtId="0" fontId="40" fillId="9" borderId="22" xfId="0" applyFont="1" applyFill="1" applyBorder="1" applyAlignment="1" applyProtection="1">
      <alignment horizontal="center" vertical="center" shrinkToFit="1"/>
      <protection locked="0"/>
    </xf>
    <xf numFmtId="0" fontId="40" fillId="9" borderId="23" xfId="0" applyFont="1" applyFill="1" applyBorder="1" applyAlignment="1" applyProtection="1">
      <alignment horizontal="center" vertical="center" shrinkToFit="1"/>
      <protection locked="0"/>
    </xf>
    <xf numFmtId="0" fontId="40" fillId="9" borderId="24" xfId="0" applyFont="1" applyFill="1" applyBorder="1" applyAlignment="1" applyProtection="1">
      <alignment horizontal="center" vertical="center" shrinkToFit="1"/>
      <protection locked="0"/>
    </xf>
    <xf numFmtId="0" fontId="1"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49" fontId="1" fillId="0" borderId="10" xfId="0" applyNumberFormat="1" applyFont="1" applyFill="1" applyBorder="1" applyAlignment="1" applyProtection="1">
      <alignment horizontal="center" vertical="top" wrapText="1"/>
      <protection locked="0"/>
    </xf>
    <xf numFmtId="49" fontId="4" fillId="0" borderId="10" xfId="0" applyNumberFormat="1" applyFont="1" applyFill="1" applyBorder="1" applyAlignment="1">
      <alignment horizontal="center" vertical="top" wrapText="1"/>
    </xf>
    <xf numFmtId="49" fontId="1" fillId="0" borderId="10" xfId="0" applyNumberFormat="1" applyFont="1" applyFill="1" applyBorder="1" applyAlignment="1" applyProtection="1">
      <alignment horizontal="left" vertical="top" wrapText="1"/>
      <protection locked="0"/>
    </xf>
    <xf numFmtId="49" fontId="4" fillId="0" borderId="10" xfId="0" applyNumberFormat="1" applyFont="1" applyFill="1" applyBorder="1" applyAlignment="1" applyProtection="1">
      <alignment horizontal="left" vertical="top" wrapText="1"/>
      <protection locked="0"/>
    </xf>
    <xf numFmtId="49" fontId="4" fillId="0" borderId="10" xfId="0" applyNumberFormat="1" applyFont="1" applyFill="1" applyBorder="1" applyAlignment="1">
      <alignment horizontal="left" vertical="top" wrapText="1"/>
    </xf>
    <xf numFmtId="49" fontId="1" fillId="0" borderId="27" xfId="0" applyNumberFormat="1" applyFont="1" applyFill="1" applyBorder="1" applyAlignment="1" applyProtection="1">
      <alignment horizontal="left" vertical="top" wrapText="1"/>
      <protection locked="0"/>
    </xf>
    <xf numFmtId="49" fontId="1" fillId="0" borderId="26" xfId="0" applyNumberFormat="1" applyFont="1" applyFill="1" applyBorder="1" applyAlignment="1" applyProtection="1">
      <alignment horizontal="left" vertical="top" wrapText="1"/>
      <protection locked="0"/>
    </xf>
    <xf numFmtId="49" fontId="1" fillId="0" borderId="16" xfId="0" applyNumberFormat="1" applyFont="1" applyFill="1" applyBorder="1" applyAlignment="1" applyProtection="1">
      <alignment horizontal="left" vertical="top" wrapText="1"/>
      <protection locked="0"/>
    </xf>
    <xf numFmtId="49" fontId="1"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lignment horizontal="center" vertical="center" wrapText="1"/>
    </xf>
    <xf numFmtId="49" fontId="1" fillId="0" borderId="10"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center" vertical="center" wrapText="1"/>
      <protection locked="0"/>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39" fillId="3" borderId="15" xfId="0" applyFont="1" applyFill="1" applyBorder="1" applyAlignment="1" applyProtection="1">
      <alignment horizontal="left" vertical="center" shrinkToFit="1"/>
    </xf>
    <xf numFmtId="0" fontId="39" fillId="3" borderId="1" xfId="0" applyFont="1" applyFill="1" applyBorder="1" applyAlignment="1" applyProtection="1">
      <alignment horizontal="left" vertical="center" shrinkToFit="1"/>
    </xf>
    <xf numFmtId="0" fontId="39" fillId="3" borderId="25"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5" xfId="0" applyFont="1" applyFill="1" applyBorder="1" applyAlignment="1" applyProtection="1">
      <alignment horizontal="left" vertical="center" shrinkToFit="1"/>
    </xf>
    <xf numFmtId="49" fontId="5" fillId="0" borderId="0" xfId="0" applyNumberFormat="1" applyFont="1" applyFill="1" applyAlignment="1" applyProtection="1">
      <alignment horizontal="left" vertical="top" wrapText="1"/>
      <protection locked="0"/>
    </xf>
    <xf numFmtId="49" fontId="1" fillId="0" borderId="27" xfId="0" applyNumberFormat="1" applyFont="1" applyFill="1" applyBorder="1" applyAlignment="1" applyProtection="1">
      <alignment horizontal="left" vertical="center" wrapText="1"/>
      <protection locked="0"/>
    </xf>
    <xf numFmtId="49" fontId="4" fillId="0" borderId="26"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8" fillId="7" borderId="10" xfId="0" applyFont="1" applyFill="1" applyBorder="1" applyAlignment="1">
      <alignment horizontal="center" vertical="center" wrapText="1"/>
    </xf>
    <xf numFmtId="0" fontId="0" fillId="0" borderId="27" xfId="0" applyBorder="1" applyAlignment="1">
      <alignment horizontal="left" vertical="center" wrapText="1"/>
    </xf>
    <xf numFmtId="0" fontId="0" fillId="0" borderId="26" xfId="0" applyBorder="1" applyAlignment="1">
      <alignment horizontal="left" vertical="center" wrapText="1"/>
    </xf>
    <xf numFmtId="0" fontId="0" fillId="0" borderId="16" xfId="0" applyBorder="1" applyAlignment="1">
      <alignment horizontal="left" vertical="center" wrapText="1"/>
    </xf>
    <xf numFmtId="0" fontId="1" fillId="0" borderId="27" xfId="0" applyFont="1" applyBorder="1" applyAlignment="1">
      <alignment horizontal="left" vertical="center" wrapText="1"/>
    </xf>
    <xf numFmtId="49" fontId="1" fillId="0" borderId="0" xfId="0" applyNumberFormat="1" applyFont="1" applyFill="1" applyBorder="1" applyAlignment="1" applyProtection="1">
      <alignment horizontal="left" vertical="top" wrapText="1"/>
      <protection locked="0"/>
    </xf>
    <xf numFmtId="0" fontId="1" fillId="5" borderId="33" xfId="2" applyFont="1" applyFill="1" applyBorder="1" applyAlignment="1">
      <alignment horizontal="left" vertical="top" wrapText="1" shrinkToFit="1"/>
    </xf>
    <xf numFmtId="0" fontId="1" fillId="5" borderId="34" xfId="2" applyFont="1" applyFill="1" applyBorder="1" applyAlignment="1">
      <alignment horizontal="left" vertical="top" wrapText="1" shrinkToFit="1"/>
    </xf>
    <xf numFmtId="0" fontId="1" fillId="5" borderId="35" xfId="2" applyFont="1" applyFill="1" applyBorder="1" applyAlignment="1">
      <alignment horizontal="left" vertical="top" wrapText="1" shrinkToFit="1"/>
    </xf>
    <xf numFmtId="0" fontId="1" fillId="5" borderId="14" xfId="2" applyFont="1" applyFill="1" applyBorder="1" applyAlignment="1">
      <alignment horizontal="left" vertical="top" wrapText="1" shrinkToFit="1"/>
    </xf>
    <xf numFmtId="0" fontId="1" fillId="5" borderId="10" xfId="2" applyFont="1" applyFill="1" applyBorder="1" applyAlignment="1">
      <alignment horizontal="left" vertical="top" wrapText="1" shrinkToFit="1"/>
    </xf>
    <xf numFmtId="0" fontId="1" fillId="5" borderId="27" xfId="2" applyFont="1" applyFill="1" applyBorder="1" applyAlignment="1">
      <alignment horizontal="left" vertical="top" wrapText="1" shrinkToFit="1"/>
    </xf>
    <xf numFmtId="0" fontId="1" fillId="5" borderId="26"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38" fillId="7" borderId="30" xfId="0" applyFont="1" applyFill="1" applyBorder="1" applyAlignment="1">
      <alignment horizontal="center" wrapText="1"/>
    </xf>
    <xf numFmtId="0" fontId="38" fillId="7" borderId="31" xfId="0" applyFont="1" applyFill="1" applyBorder="1" applyAlignment="1">
      <alignment horizontal="center" wrapText="1"/>
    </xf>
    <xf numFmtId="0" fontId="38" fillId="7" borderId="32" xfId="0" applyFont="1" applyFill="1" applyBorder="1" applyAlignment="1">
      <alignment horizontal="center" wrapText="1"/>
    </xf>
    <xf numFmtId="0" fontId="38" fillId="7" borderId="28" xfId="0" applyFont="1" applyFill="1" applyBorder="1" applyAlignment="1">
      <alignment horizontal="left" vertical="center" wrapText="1"/>
    </xf>
    <xf numFmtId="0" fontId="38" fillId="7" borderId="29" xfId="0" applyFont="1" applyFill="1" applyBorder="1" applyAlignment="1">
      <alignment horizontal="left" vertical="center" wrapTex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1" fillId="5" borderId="28" xfId="0" applyFont="1" applyFill="1" applyBorder="1" applyAlignment="1">
      <alignment horizontal="left" vertical="top" wrapText="1" shrinkToFit="1"/>
    </xf>
    <xf numFmtId="0" fontId="1" fillId="5" borderId="40"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29" xfId="0" applyFont="1" applyFill="1" applyBorder="1" applyAlignment="1">
      <alignment horizontal="left" vertical="top" wrapText="1" shrinkToFit="1"/>
    </xf>
    <xf numFmtId="0" fontId="1" fillId="5" borderId="41" xfId="0" applyFont="1" applyFill="1" applyBorder="1" applyAlignment="1">
      <alignment horizontal="left" vertical="top" wrapText="1" shrinkToFit="1"/>
    </xf>
    <xf numFmtId="0" fontId="1" fillId="5" borderId="42" xfId="0" applyFont="1" applyFill="1" applyBorder="1" applyAlignment="1">
      <alignment horizontal="left" vertical="top" wrapText="1" shrinkToFit="1"/>
    </xf>
    <xf numFmtId="0" fontId="1" fillId="5" borderId="43" xfId="0" applyFont="1" applyFill="1" applyBorder="1" applyAlignment="1">
      <alignment horizontal="left" vertical="top" wrapText="1" shrinkToFit="1"/>
    </xf>
    <xf numFmtId="0" fontId="9" fillId="5" borderId="6" xfId="0" applyFont="1" applyFill="1" applyBorder="1" applyAlignment="1">
      <alignment horizontal="left"/>
    </xf>
    <xf numFmtId="0" fontId="1" fillId="5" borderId="36" xfId="0" applyFont="1" applyFill="1" applyBorder="1" applyAlignment="1">
      <alignment horizontal="left"/>
    </xf>
    <xf numFmtId="0" fontId="1" fillId="5" borderId="37" xfId="0" applyFont="1" applyFill="1" applyBorder="1" applyAlignment="1">
      <alignment horizontal="left"/>
    </xf>
    <xf numFmtId="0" fontId="1" fillId="5" borderId="6" xfId="0" applyFont="1" applyFill="1" applyBorder="1" applyAlignment="1">
      <alignment horizontal="left" vertical="top" wrapText="1"/>
    </xf>
    <xf numFmtId="0" fontId="1" fillId="5" borderId="36" xfId="0" applyFont="1" applyFill="1" applyBorder="1" applyAlignment="1">
      <alignment horizontal="left" vertical="top" wrapText="1"/>
    </xf>
    <xf numFmtId="0" fontId="1" fillId="5" borderId="37" xfId="0" applyFont="1" applyFill="1" applyBorder="1" applyAlignment="1">
      <alignment horizontal="left" vertical="top" wrapText="1"/>
    </xf>
    <xf numFmtId="0" fontId="1" fillId="5" borderId="27" xfId="2" applyFont="1" applyFill="1" applyBorder="1" applyAlignment="1">
      <alignment horizontal="left" vertical="top" wrapText="1"/>
    </xf>
    <xf numFmtId="0" fontId="1" fillId="5" borderId="26" xfId="2" applyFont="1" applyFill="1" applyBorder="1" applyAlignment="1">
      <alignment horizontal="left" vertical="top" wrapText="1"/>
    </xf>
    <xf numFmtId="0" fontId="1" fillId="5" borderId="16" xfId="2" applyFont="1" applyFill="1" applyBorder="1" applyAlignment="1">
      <alignment horizontal="left" vertical="top" wrapText="1"/>
    </xf>
  </cellXfs>
  <cellStyles count="3">
    <cellStyle name="Hyperlink" xfId="1" builtinId="8"/>
    <cellStyle name="Normal" xfId="0" builtinId="0"/>
    <cellStyle name="Normal 2" xfId="2"/>
  </cellStyles>
  <dxfs count="331">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92D05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fr-FR"/>
              <a:t>SW integration test progress</a:t>
            </a:r>
          </a:p>
        </c:rich>
      </c:tx>
      <c:layout/>
      <c:overlay val="0"/>
    </c:title>
    <c:autoTitleDeleted val="0"/>
    <c:plotArea>
      <c:layout/>
      <c:pieChart>
        <c:varyColors val="1"/>
        <c:ser>
          <c:idx val="0"/>
          <c:order val="0"/>
          <c:spPr>
            <a:scene3d>
              <a:camera prst="orthographicFront"/>
              <a:lightRig rig="threePt" dir="t"/>
            </a:scene3d>
            <a:sp3d>
              <a:bevelT/>
            </a:sp3d>
          </c:spPr>
          <c:dPt>
            <c:idx val="0"/>
            <c:bubble3D val="0"/>
            <c:spPr>
              <a:solidFill>
                <a:schemeClr val="accent3"/>
              </a:solidFill>
              <a:scene3d>
                <a:camera prst="orthographicFront"/>
                <a:lightRig rig="threePt" dir="t"/>
              </a:scene3d>
              <a:sp3d>
                <a:bevelT/>
              </a:sp3d>
            </c:spPr>
          </c:dPt>
          <c:dPt>
            <c:idx val="1"/>
            <c:bubble3D val="0"/>
          </c:dPt>
          <c:dPt>
            <c:idx val="2"/>
            <c:bubble3D val="0"/>
            <c:spPr>
              <a:solidFill>
                <a:schemeClr val="bg1">
                  <a:lumMod val="75000"/>
                </a:schemeClr>
              </a:solidFill>
              <a:scene3d>
                <a:camera prst="orthographicFront"/>
                <a:lightRig rig="threePt" dir="t"/>
              </a:scene3d>
              <a:sp3d>
                <a:bevelT/>
              </a:sp3d>
            </c:spPr>
          </c:dPt>
          <c:dPt>
            <c:idx val="3"/>
            <c:bubble3D val="0"/>
          </c:dPt>
          <c:dLbls>
            <c:spPr>
              <a:noFill/>
              <a:ln>
                <a:noFill/>
              </a:ln>
              <a:effectLst/>
            </c:spPr>
            <c:txPr>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0.44444444444444442</c:v>
                </c:pt>
                <c:pt idx="1">
                  <c:v>0</c:v>
                </c:pt>
                <c:pt idx="2">
                  <c:v>0.55555555555555558</c:v>
                </c:pt>
                <c:pt idx="3">
                  <c:v>0</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overlay val="0"/>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4" name="Picture 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ata\Sandbox\ECU_PP_4G\Mainstream\Phase_01\Configuration_Item_View\Application\_SCH_Scheduler\Test\SW01TEM001_SCH_SW_Integration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uide (help)"/>
      <sheetName val="Tests Synthesis"/>
      <sheetName val="Metrics"/>
      <sheetName val="TestConfig"/>
      <sheetName val="SW_IT_SCH_00001"/>
      <sheetName val="SW_IT_SCH_00002"/>
      <sheetName val="Compatibility Report"/>
    </sheetNames>
    <sheetDataSet>
      <sheetData sheetId="0">
        <row r="3">
          <cell r="AD3" t="str">
            <v>E1355904_SWArchitectureGlobalIntegrationTests - SW Scheduling.xlsm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tint="-0.249977111117893"/>
  </sheetPr>
  <dimension ref="A1:BH116"/>
  <sheetViews>
    <sheetView showGridLines="0" topLeftCell="A19" zoomScale="115" zoomScaleNormal="115" workbookViewId="0">
      <selection activeCell="H26" sqref="H26:K26"/>
    </sheetView>
  </sheetViews>
  <sheetFormatPr defaultColWidth="0" defaultRowHeight="12.75" zeroHeight="1" x14ac:dyDescent="0.2"/>
  <cols>
    <col min="1" max="33" width="2.85546875" style="16" customWidth="1"/>
    <col min="34" max="34" width="1.28515625" style="16" customWidth="1"/>
    <col min="35" max="60" width="3.285156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PP4G_SYS_MF_Review_for_Coverage.xlsm</v>
      </c>
      <c r="AE3" s="8"/>
      <c r="AF3" s="8"/>
      <c r="AG3" s="8"/>
      <c r="AH3" s="8"/>
      <c r="AI3" s="8"/>
      <c r="AJ3" s="8"/>
      <c r="AK3" s="8"/>
    </row>
    <row r="4" spans="1:37" s="7" customFormat="1" ht="11.1" customHeight="1" x14ac:dyDescent="0.2">
      <c r="A4" s="138" t="s">
        <v>1</v>
      </c>
      <c r="B4" s="139"/>
      <c r="C4" s="139"/>
      <c r="D4" s="139"/>
      <c r="E4" s="139"/>
      <c r="F4" s="139"/>
      <c r="G4" s="139"/>
      <c r="H4" s="139"/>
      <c r="I4" s="139"/>
      <c r="J4" s="139"/>
      <c r="K4" s="139"/>
      <c r="L4" s="139"/>
      <c r="M4" s="139"/>
      <c r="N4" s="139"/>
      <c r="O4" s="139"/>
      <c r="P4" s="139"/>
      <c r="Q4" s="139"/>
      <c r="R4" s="139"/>
      <c r="S4" s="139"/>
      <c r="T4" s="139"/>
      <c r="U4" s="139"/>
      <c r="V4" s="140"/>
      <c r="W4" s="134" t="s">
        <v>2</v>
      </c>
      <c r="X4" s="135"/>
      <c r="Y4" s="135"/>
      <c r="Z4" s="135"/>
      <c r="AA4" s="136"/>
      <c r="AB4" s="128" t="s">
        <v>21</v>
      </c>
      <c r="AC4" s="129"/>
      <c r="AD4" s="129"/>
      <c r="AE4" s="129"/>
      <c r="AF4" s="129"/>
      <c r="AG4" s="130"/>
      <c r="AH4" s="10"/>
      <c r="AI4" s="10"/>
      <c r="AJ4" s="10"/>
      <c r="AK4" s="8"/>
    </row>
    <row r="5" spans="1:37" s="12" customFormat="1" ht="12.75" customHeight="1" x14ac:dyDescent="0.2">
      <c r="A5" s="137" t="s">
        <v>133</v>
      </c>
      <c r="B5" s="132"/>
      <c r="C5" s="132"/>
      <c r="D5" s="132"/>
      <c r="E5" s="132"/>
      <c r="F5" s="132"/>
      <c r="G5" s="132"/>
      <c r="H5" s="132"/>
      <c r="I5" s="132"/>
      <c r="J5" s="132"/>
      <c r="K5" s="132"/>
      <c r="L5" s="132"/>
      <c r="M5" s="132"/>
      <c r="N5" s="132"/>
      <c r="O5" s="132"/>
      <c r="P5" s="132"/>
      <c r="Q5" s="132"/>
      <c r="R5" s="132"/>
      <c r="S5" s="132"/>
      <c r="T5" s="132"/>
      <c r="U5" s="132"/>
      <c r="V5" s="133"/>
      <c r="W5" s="137" t="s">
        <v>137</v>
      </c>
      <c r="X5" s="132"/>
      <c r="Y5" s="132"/>
      <c r="Z5" s="132"/>
      <c r="AA5" s="133"/>
      <c r="AB5" s="131">
        <v>41805.666666666664</v>
      </c>
      <c r="AC5" s="132"/>
      <c r="AD5" s="132"/>
      <c r="AE5" s="132"/>
      <c r="AF5" s="132"/>
      <c r="AG5" s="133"/>
      <c r="AH5" s="11"/>
      <c r="AI5" s="11"/>
      <c r="AJ5" s="11"/>
      <c r="AK5" s="11"/>
    </row>
    <row r="6" spans="1:37" s="45" customFormat="1" ht="11.1" customHeight="1" x14ac:dyDescent="0.2">
      <c r="A6" s="134" t="s">
        <v>3</v>
      </c>
      <c r="B6" s="135"/>
      <c r="C6" s="135"/>
      <c r="D6" s="136"/>
      <c r="E6" s="134" t="s">
        <v>4</v>
      </c>
      <c r="F6" s="135"/>
      <c r="G6" s="135"/>
      <c r="H6" s="135"/>
      <c r="I6" s="135"/>
      <c r="J6" s="135"/>
      <c r="K6" s="135"/>
      <c r="L6" s="135"/>
      <c r="M6" s="135"/>
      <c r="N6" s="135"/>
      <c r="O6" s="135"/>
      <c r="P6" s="135"/>
      <c r="Q6" s="135"/>
      <c r="R6" s="135"/>
      <c r="S6" s="135"/>
      <c r="T6" s="135"/>
      <c r="U6" s="135"/>
      <c r="V6" s="136"/>
      <c r="W6" s="138" t="s">
        <v>16</v>
      </c>
      <c r="X6" s="139"/>
      <c r="Y6" s="139"/>
      <c r="Z6" s="139"/>
      <c r="AA6" s="140"/>
      <c r="AB6" s="134" t="s">
        <v>0</v>
      </c>
      <c r="AC6" s="135"/>
      <c r="AD6" s="136"/>
      <c r="AE6" s="134" t="s">
        <v>5</v>
      </c>
      <c r="AF6" s="135"/>
      <c r="AG6" s="136"/>
      <c r="AH6" s="44"/>
      <c r="AI6" s="44"/>
      <c r="AJ6" s="44"/>
      <c r="AK6" s="44"/>
    </row>
    <row r="7" spans="1:37" s="14" customFormat="1" ht="12.75" customHeight="1" x14ac:dyDescent="0.2">
      <c r="A7" s="137" t="s">
        <v>132</v>
      </c>
      <c r="B7" s="132"/>
      <c r="C7" s="132"/>
      <c r="D7" s="133"/>
      <c r="E7" s="137" t="s">
        <v>138</v>
      </c>
      <c r="F7" s="132"/>
      <c r="G7" s="132"/>
      <c r="H7" s="132"/>
      <c r="I7" s="132"/>
      <c r="J7" s="132"/>
      <c r="K7" s="132"/>
      <c r="L7" s="132"/>
      <c r="M7" s="132"/>
      <c r="N7" s="132"/>
      <c r="O7" s="132"/>
      <c r="P7" s="132"/>
      <c r="Q7" s="132"/>
      <c r="R7" s="132"/>
      <c r="S7" s="132"/>
      <c r="T7" s="132"/>
      <c r="U7" s="132"/>
      <c r="V7" s="133"/>
      <c r="W7" s="137" t="s">
        <v>134</v>
      </c>
      <c r="X7" s="132"/>
      <c r="Y7" s="132"/>
      <c r="Z7" s="132"/>
      <c r="AA7" s="133"/>
      <c r="AB7" s="148" t="s">
        <v>135</v>
      </c>
      <c r="AC7" s="149"/>
      <c r="AD7" s="150"/>
      <c r="AE7" s="148" t="s">
        <v>136</v>
      </c>
      <c r="AF7" s="149"/>
      <c r="AG7" s="150"/>
      <c r="AH7" s="13"/>
      <c r="AI7" s="13"/>
      <c r="AJ7" s="13"/>
      <c r="AK7" s="13"/>
    </row>
    <row r="8" spans="1:37" s="12" customFormat="1" x14ac:dyDescent="0.2">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
      <c r="A9" s="151" t="s">
        <v>22</v>
      </c>
      <c r="B9" s="152"/>
      <c r="C9" s="152"/>
      <c r="D9" s="152"/>
      <c r="E9" s="152"/>
      <c r="F9" s="152"/>
      <c r="G9" s="152"/>
      <c r="H9" s="152"/>
      <c r="I9" s="152"/>
      <c r="J9" s="152"/>
      <c r="K9" s="153"/>
      <c r="L9" s="151" t="s">
        <v>23</v>
      </c>
      <c r="M9" s="152"/>
      <c r="N9" s="152"/>
      <c r="O9" s="152"/>
      <c r="P9" s="152"/>
      <c r="Q9" s="152"/>
      <c r="R9" s="152"/>
      <c r="S9" s="152"/>
      <c r="T9" s="152"/>
      <c r="U9" s="152"/>
      <c r="V9" s="153"/>
      <c r="W9" s="151" t="s">
        <v>24</v>
      </c>
      <c r="X9" s="152"/>
      <c r="Y9" s="152"/>
      <c r="Z9" s="152"/>
      <c r="AA9" s="152"/>
      <c r="AB9" s="152"/>
      <c r="AC9" s="152"/>
      <c r="AD9" s="152"/>
      <c r="AE9" s="152"/>
      <c r="AF9" s="152"/>
      <c r="AG9" s="153"/>
      <c r="AH9" s="15"/>
      <c r="AI9" s="15"/>
    </row>
    <row r="10" spans="1:37" s="49" customFormat="1" ht="108.75" customHeight="1" x14ac:dyDescent="0.2">
      <c r="A10" s="165" t="s">
        <v>139</v>
      </c>
      <c r="B10" s="166"/>
      <c r="C10" s="166"/>
      <c r="D10" s="166"/>
      <c r="E10" s="166"/>
      <c r="F10" s="141" t="s">
        <v>129</v>
      </c>
      <c r="G10" s="141"/>
      <c r="H10" s="141"/>
      <c r="I10" s="141"/>
      <c r="J10" s="141"/>
      <c r="K10" s="142"/>
      <c r="L10" s="141" t="s">
        <v>140</v>
      </c>
      <c r="M10" s="126"/>
      <c r="N10" s="126"/>
      <c r="O10" s="126"/>
      <c r="P10" s="126"/>
      <c r="Q10" s="126"/>
      <c r="R10" s="126"/>
      <c r="S10" s="126"/>
      <c r="T10" s="126"/>
      <c r="U10" s="126"/>
      <c r="V10" s="127"/>
      <c r="W10" s="125" t="s">
        <v>141</v>
      </c>
      <c r="X10" s="126"/>
      <c r="Y10" s="126"/>
      <c r="Z10" s="126"/>
      <c r="AA10" s="126"/>
      <c r="AB10" s="126"/>
      <c r="AC10" s="126"/>
      <c r="AD10" s="126"/>
      <c r="AE10" s="126"/>
      <c r="AF10" s="126"/>
      <c r="AG10" s="127"/>
      <c r="AH10" s="48"/>
      <c r="AI10" s="48"/>
    </row>
    <row r="11" spans="1:37" s="55" customFormat="1" ht="4.5" customHeight="1" x14ac:dyDescent="0.2">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
      <c r="A12" s="162" t="s">
        <v>25</v>
      </c>
      <c r="B12" s="163"/>
      <c r="C12" s="163"/>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3"/>
      <c r="AB12" s="163"/>
      <c r="AC12" s="163"/>
      <c r="AD12" s="163"/>
      <c r="AE12" s="163"/>
      <c r="AF12" s="163"/>
      <c r="AG12" s="164"/>
      <c r="AH12" s="15"/>
      <c r="AI12" s="15"/>
      <c r="AJ12" s="15"/>
      <c r="AK12" s="15"/>
    </row>
    <row r="13" spans="1:37" s="49" customFormat="1" ht="54.75" customHeight="1" x14ac:dyDescent="0.2">
      <c r="A13" s="145" t="s">
        <v>128</v>
      </c>
      <c r="B13" s="146"/>
      <c r="C13" s="146"/>
      <c r="D13" s="146"/>
      <c r="E13" s="146"/>
      <c r="F13" s="146"/>
      <c r="G13" s="146"/>
      <c r="H13" s="146"/>
      <c r="I13" s="146"/>
      <c r="J13" s="146"/>
      <c r="K13" s="147"/>
      <c r="L13" s="125" t="s">
        <v>130</v>
      </c>
      <c r="M13" s="126"/>
      <c r="N13" s="126"/>
      <c r="O13" s="126"/>
      <c r="P13" s="126"/>
      <c r="Q13" s="126"/>
      <c r="R13" s="126"/>
      <c r="S13" s="126"/>
      <c r="T13" s="126"/>
      <c r="U13" s="126"/>
      <c r="V13" s="127"/>
      <c r="W13" s="145" t="s">
        <v>131</v>
      </c>
      <c r="X13" s="146"/>
      <c r="Y13" s="146"/>
      <c r="Z13" s="146"/>
      <c r="AA13" s="146"/>
      <c r="AB13" s="146"/>
      <c r="AC13" s="146"/>
      <c r="AD13" s="146"/>
      <c r="AE13" s="146"/>
      <c r="AF13" s="146"/>
      <c r="AG13" s="147"/>
      <c r="AH13" s="48"/>
      <c r="AI13" s="48"/>
      <c r="AJ13" s="48"/>
      <c r="AK13" s="48"/>
    </row>
    <row r="14" spans="1:37" s="55" customFormat="1" ht="4.5" customHeight="1" x14ac:dyDescent="0.2">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
      <c r="A15" s="157" t="s">
        <v>26</v>
      </c>
      <c r="B15" s="157"/>
      <c r="C15" s="157"/>
      <c r="D15" s="157"/>
      <c r="E15" s="154"/>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6"/>
      <c r="AH15" s="17"/>
      <c r="AI15" s="17"/>
      <c r="AJ15" s="17"/>
      <c r="AK15" s="17"/>
    </row>
    <row r="16" spans="1:37" s="18" customFormat="1" ht="37.5" customHeight="1" x14ac:dyDescent="0.2">
      <c r="A16" s="158"/>
      <c r="B16" s="158"/>
      <c r="C16" s="158"/>
      <c r="D16" s="158"/>
      <c r="E16" s="159"/>
      <c r="F16" s="160"/>
      <c r="G16" s="160"/>
      <c r="H16" s="160"/>
      <c r="I16" s="160"/>
      <c r="J16" s="160"/>
      <c r="K16" s="160"/>
      <c r="L16" s="160"/>
      <c r="M16" s="160"/>
      <c r="N16" s="160"/>
      <c r="O16" s="160"/>
      <c r="P16" s="160"/>
      <c r="Q16" s="160"/>
      <c r="R16" s="160"/>
      <c r="S16" s="160"/>
      <c r="T16" s="160"/>
      <c r="U16" s="160"/>
      <c r="V16" s="160"/>
      <c r="W16" s="160"/>
      <c r="X16" s="160"/>
      <c r="Y16" s="160"/>
      <c r="Z16" s="160"/>
      <c r="AA16" s="160"/>
      <c r="AB16" s="160"/>
      <c r="AC16" s="160"/>
      <c r="AD16" s="160"/>
      <c r="AE16" s="160"/>
      <c r="AF16" s="160"/>
      <c r="AG16" s="161"/>
      <c r="AH16" s="17"/>
      <c r="AI16" s="17"/>
      <c r="AJ16" s="17"/>
      <c r="AK16" s="17"/>
    </row>
    <row r="17" spans="1:37" s="18" customFormat="1" x14ac:dyDescent="0.2">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
      <c r="A23" s="143" t="str">
        <f>MXTitle</f>
        <v>SWArchitectureGlobalIntegrationTests - SW Scheduling</v>
      </c>
      <c r="B23" s="144"/>
      <c r="C23" s="144"/>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144"/>
      <c r="AB23" s="144"/>
      <c r="AC23" s="144"/>
      <c r="AD23" s="144"/>
      <c r="AE23" s="144"/>
      <c r="AF23" s="144"/>
      <c r="AG23" s="144"/>
      <c r="AH23" s="17"/>
      <c r="AI23" s="17"/>
      <c r="AJ23" s="17"/>
      <c r="AK23" s="17"/>
    </row>
    <row r="24" spans="1:37" s="18" customFormat="1" ht="25.5" x14ac:dyDescent="0.2">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
      <c r="H26" s="16" t="s">
        <v>154</v>
      </c>
    </row>
    <row r="27" spans="1:37" hidden="1" x14ac:dyDescent="0.2"/>
    <row r="28" spans="1:37" hidden="1" x14ac:dyDescent="0.2"/>
    <row r="29" spans="1:37" hidden="1" x14ac:dyDescent="0.2"/>
    <row r="30" spans="1:37" hidden="1" x14ac:dyDescent="0.2"/>
    <row r="31" spans="1:37" hidden="1" x14ac:dyDescent="0.2"/>
    <row r="32" spans="1:37"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1">
    <mergeCell ref="A23:AG23"/>
    <mergeCell ref="A13:K13"/>
    <mergeCell ref="AB7:AD7"/>
    <mergeCell ref="A9:K9"/>
    <mergeCell ref="W13:AG13"/>
    <mergeCell ref="E15:AG15"/>
    <mergeCell ref="E7:V7"/>
    <mergeCell ref="A15:D16"/>
    <mergeCell ref="E16:AG16"/>
    <mergeCell ref="A7:D7"/>
    <mergeCell ref="A12:AG12"/>
    <mergeCell ref="A10:E10"/>
    <mergeCell ref="L9:V9"/>
    <mergeCell ref="W9:AG9"/>
    <mergeCell ref="L10:V10"/>
    <mergeCell ref="AE7:AG7"/>
    <mergeCell ref="L13:V13"/>
    <mergeCell ref="AB4:AG4"/>
    <mergeCell ref="AB5:AG5"/>
    <mergeCell ref="W4:AA4"/>
    <mergeCell ref="W5:AA5"/>
    <mergeCell ref="W6:AA6"/>
    <mergeCell ref="W10:AG10"/>
    <mergeCell ref="A5:V5"/>
    <mergeCell ref="A4:V4"/>
    <mergeCell ref="A6:D6"/>
    <mergeCell ref="F10:K10"/>
    <mergeCell ref="E6:V6"/>
    <mergeCell ref="AB6:AD6"/>
    <mergeCell ref="AE6:AG6"/>
    <mergeCell ref="W7:AA7"/>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ignoredErrors>
    <ignoredError sqref="A23:IV23" unlockedFormula="1"/>
    <ignoredError sqref="AD3" evalError="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BH177"/>
  <sheetViews>
    <sheetView showGridLines="0" topLeftCell="A21" zoomScaleNormal="100" workbookViewId="0">
      <selection activeCell="H26" sqref="H26:K26"/>
    </sheetView>
  </sheetViews>
  <sheetFormatPr defaultColWidth="0" defaultRowHeight="12.75" zeroHeight="1" x14ac:dyDescent="0.2"/>
  <cols>
    <col min="1" max="33" width="2.85546875" style="16" customWidth="1"/>
    <col min="34" max="34" width="1.28515625" style="16" customWidth="1"/>
    <col min="35" max="60" width="3.28515625" style="16" hidden="1" customWidth="1"/>
    <col min="61" max="16384" width="0" style="16" hidden="1"/>
  </cols>
  <sheetData>
    <row r="1" spans="1:37" s="1" customFormat="1" x14ac:dyDescent="0.2">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
      <c r="C3" s="8"/>
      <c r="D3" s="8"/>
      <c r="E3" s="8"/>
      <c r="F3" s="8"/>
      <c r="G3" s="8"/>
      <c r="H3" s="8"/>
      <c r="I3" s="8"/>
      <c r="J3" s="8"/>
      <c r="K3" s="8"/>
      <c r="L3" s="8"/>
      <c r="M3" s="8"/>
      <c r="N3" s="8"/>
      <c r="O3" s="8"/>
      <c r="P3" s="8"/>
      <c r="Q3" s="8"/>
      <c r="R3" s="8"/>
      <c r="S3" s="8"/>
      <c r="T3" s="8"/>
      <c r="U3" s="8"/>
      <c r="V3" s="8"/>
      <c r="W3" s="8"/>
      <c r="X3" s="8"/>
      <c r="Y3" s="8"/>
      <c r="Z3" s="8"/>
      <c r="AA3" s="8"/>
      <c r="AB3" s="8"/>
      <c r="AC3" s="8"/>
      <c r="AD3" s="9" t="str">
        <f ca="1">FileName</f>
        <v>PP4G_SYS_MF_Review_for_Coverage.xlsm</v>
      </c>
      <c r="AE3" s="8"/>
      <c r="AF3" s="8"/>
      <c r="AG3" s="8"/>
      <c r="AH3" s="8"/>
      <c r="AI3" s="8"/>
      <c r="AJ3" s="8"/>
      <c r="AK3" s="8"/>
    </row>
    <row r="4" spans="1:37" s="7" customFormat="1" ht="11.1" customHeight="1" x14ac:dyDescent="0.2">
      <c r="A4" s="138" t="s">
        <v>1</v>
      </c>
      <c r="B4" s="139"/>
      <c r="C4" s="139"/>
      <c r="D4" s="139"/>
      <c r="E4" s="139"/>
      <c r="F4" s="139"/>
      <c r="G4" s="139"/>
      <c r="H4" s="139"/>
      <c r="I4" s="139"/>
      <c r="J4" s="139"/>
      <c r="K4" s="139"/>
      <c r="L4" s="139"/>
      <c r="M4" s="139"/>
      <c r="N4" s="139"/>
      <c r="O4" s="139"/>
      <c r="P4" s="139"/>
      <c r="Q4" s="139"/>
      <c r="R4" s="139"/>
      <c r="S4" s="139"/>
      <c r="T4" s="139"/>
      <c r="U4" s="139"/>
      <c r="V4" s="140"/>
      <c r="W4" s="185" t="s">
        <v>2</v>
      </c>
      <c r="X4" s="186"/>
      <c r="Y4" s="186"/>
      <c r="Z4" s="186"/>
      <c r="AA4" s="187"/>
      <c r="AB4" s="128" t="s">
        <v>21</v>
      </c>
      <c r="AC4" s="129"/>
      <c r="AD4" s="129"/>
      <c r="AE4" s="129"/>
      <c r="AF4" s="129"/>
      <c r="AG4" s="130"/>
      <c r="AH4" s="10"/>
      <c r="AI4" s="10"/>
      <c r="AJ4" s="10"/>
      <c r="AK4" s="8"/>
    </row>
    <row r="5" spans="1:37" s="12" customFormat="1" x14ac:dyDescent="0.2">
      <c r="A5" s="137" t="str">
        <f>MXAuthority</f>
        <v>124479 AHO GPM EL EL ECU PP LOW COST</v>
      </c>
      <c r="B5" s="132"/>
      <c r="C5" s="132"/>
      <c r="D5" s="132"/>
      <c r="E5" s="132"/>
      <c r="F5" s="132"/>
      <c r="G5" s="132"/>
      <c r="H5" s="132"/>
      <c r="I5" s="132"/>
      <c r="J5" s="132"/>
      <c r="K5" s="132"/>
      <c r="L5" s="132"/>
      <c r="M5" s="132"/>
      <c r="N5" s="132"/>
      <c r="O5" s="132"/>
      <c r="P5" s="132"/>
      <c r="Q5" s="132"/>
      <c r="R5" s="132"/>
      <c r="S5" s="132"/>
      <c r="T5" s="132"/>
      <c r="U5" s="132"/>
      <c r="V5" s="133"/>
      <c r="W5" s="188" t="str">
        <f>MXCurrent.Localized</f>
        <v>Draft</v>
      </c>
      <c r="X5" s="189"/>
      <c r="Y5" s="189"/>
      <c r="Z5" s="189"/>
      <c r="AA5" s="190"/>
      <c r="AB5" s="137">
        <f>MXActual_state_Released</f>
        <v>41805.666666666664</v>
      </c>
      <c r="AC5" s="132"/>
      <c r="AD5" s="132"/>
      <c r="AE5" s="132"/>
      <c r="AF5" s="132"/>
      <c r="AG5" s="133"/>
      <c r="AH5" s="11"/>
      <c r="AI5" s="11"/>
      <c r="AJ5" s="11"/>
      <c r="AK5" s="11"/>
    </row>
    <row r="6" spans="1:37" s="1" customFormat="1" ht="11.1" customHeight="1" x14ac:dyDescent="0.2">
      <c r="A6" s="191" t="s">
        <v>3</v>
      </c>
      <c r="B6" s="192"/>
      <c r="C6" s="192"/>
      <c r="D6" s="193"/>
      <c r="E6" s="191" t="s">
        <v>4</v>
      </c>
      <c r="F6" s="192"/>
      <c r="G6" s="192"/>
      <c r="H6" s="192"/>
      <c r="I6" s="192"/>
      <c r="J6" s="192"/>
      <c r="K6" s="192"/>
      <c r="L6" s="192"/>
      <c r="M6" s="192"/>
      <c r="N6" s="192"/>
      <c r="O6" s="192"/>
      <c r="P6" s="192"/>
      <c r="Q6" s="192"/>
      <c r="R6" s="192"/>
      <c r="S6" s="192"/>
      <c r="T6" s="192"/>
      <c r="U6" s="192"/>
      <c r="V6" s="193"/>
      <c r="W6" s="138" t="s">
        <v>16</v>
      </c>
      <c r="X6" s="139"/>
      <c r="Y6" s="139"/>
      <c r="Z6" s="139"/>
      <c r="AA6" s="140"/>
      <c r="AB6" s="185" t="s">
        <v>0</v>
      </c>
      <c r="AC6" s="186"/>
      <c r="AD6" s="187"/>
      <c r="AE6" s="185" t="s">
        <v>5</v>
      </c>
      <c r="AF6" s="186"/>
      <c r="AG6" s="187"/>
      <c r="AH6" s="6"/>
      <c r="AI6" s="6"/>
      <c r="AJ6" s="6"/>
      <c r="AK6" s="6"/>
    </row>
    <row r="7" spans="1:37" s="14" customFormat="1" x14ac:dyDescent="0.2">
      <c r="A7" s="188" t="str">
        <f>MXName</f>
        <v>E1355904</v>
      </c>
      <c r="B7" s="189"/>
      <c r="C7" s="189"/>
      <c r="D7" s="190"/>
      <c r="E7" s="188" t="str">
        <f>MXTitle</f>
        <v>SWArchitectureGlobalIntegrationTests - SW Scheduling</v>
      </c>
      <c r="F7" s="189"/>
      <c r="G7" s="189"/>
      <c r="H7" s="189"/>
      <c r="I7" s="189"/>
      <c r="J7" s="189"/>
      <c r="K7" s="189"/>
      <c r="L7" s="189"/>
      <c r="M7" s="189"/>
      <c r="N7" s="189"/>
      <c r="O7" s="189"/>
      <c r="P7" s="189"/>
      <c r="Q7" s="189"/>
      <c r="R7" s="189"/>
      <c r="S7" s="189"/>
      <c r="T7" s="189"/>
      <c r="U7" s="189"/>
      <c r="V7" s="190"/>
      <c r="W7" s="188" t="str">
        <f>TemplateRef</f>
        <v>SW04TEM001</v>
      </c>
      <c r="X7" s="189"/>
      <c r="Y7" s="189"/>
      <c r="Z7" s="189"/>
      <c r="AA7" s="190"/>
      <c r="AB7" s="188" t="str">
        <f>MXRevision</f>
        <v>000</v>
      </c>
      <c r="AC7" s="189"/>
      <c r="AD7" s="190"/>
      <c r="AE7" s="188" t="str">
        <f>MXVersion</f>
        <v>001</v>
      </c>
      <c r="AF7" s="189"/>
      <c r="AG7" s="190"/>
      <c r="AH7" s="13"/>
      <c r="AI7" s="13"/>
      <c r="AJ7" s="13"/>
      <c r="AK7" s="13"/>
    </row>
    <row r="8" spans="1:37" ht="11.1" customHeight="1" x14ac:dyDescent="0.2">
      <c r="A8" s="191" t="s">
        <v>11</v>
      </c>
      <c r="B8" s="192"/>
      <c r="C8" s="192"/>
      <c r="D8" s="192"/>
      <c r="E8" s="192"/>
      <c r="F8" s="192"/>
      <c r="G8" s="192"/>
      <c r="H8" s="192"/>
      <c r="I8" s="192"/>
      <c r="J8" s="192"/>
      <c r="K8" s="192"/>
      <c r="L8" s="192"/>
      <c r="M8" s="192"/>
      <c r="N8" s="192"/>
      <c r="O8" s="192"/>
      <c r="P8" s="192"/>
      <c r="Q8" s="192"/>
      <c r="R8" s="192"/>
      <c r="S8" s="192"/>
      <c r="T8" s="192"/>
      <c r="U8" s="192"/>
      <c r="V8" s="192"/>
      <c r="W8" s="192"/>
      <c r="X8" s="192"/>
      <c r="Y8" s="192"/>
      <c r="Z8" s="192"/>
      <c r="AA8" s="192"/>
      <c r="AB8" s="192"/>
      <c r="AC8" s="192"/>
      <c r="AD8" s="192"/>
      <c r="AE8" s="192"/>
      <c r="AF8" s="192"/>
      <c r="AG8" s="193"/>
      <c r="AH8" s="15"/>
      <c r="AI8" s="15"/>
      <c r="AJ8" s="15"/>
      <c r="AK8" s="15"/>
    </row>
    <row r="9" spans="1:37" s="18" customFormat="1" x14ac:dyDescent="0.2">
      <c r="A9" s="195" t="s">
        <v>15</v>
      </c>
      <c r="B9" s="196"/>
      <c r="C9" s="196"/>
      <c r="D9" s="196"/>
      <c r="E9" s="196"/>
      <c r="F9" s="196"/>
      <c r="G9" s="196"/>
      <c r="H9" s="196"/>
      <c r="I9" s="196"/>
      <c r="J9" s="196"/>
      <c r="K9" s="196"/>
      <c r="L9" s="196"/>
      <c r="M9" s="196"/>
      <c r="N9" s="196"/>
      <c r="O9" s="196"/>
      <c r="P9" s="196"/>
      <c r="Q9" s="196"/>
      <c r="R9" s="196"/>
      <c r="S9" s="196"/>
      <c r="T9" s="196"/>
      <c r="U9" s="196"/>
      <c r="V9" s="196"/>
      <c r="W9" s="196"/>
      <c r="X9" s="196"/>
      <c r="Y9" s="196"/>
      <c r="Z9" s="196"/>
      <c r="AA9" s="196"/>
      <c r="AB9" s="196"/>
      <c r="AC9" s="196"/>
      <c r="AD9" s="196"/>
      <c r="AE9" s="196"/>
      <c r="AF9" s="196"/>
      <c r="AG9" s="197"/>
      <c r="AH9" s="17"/>
      <c r="AI9" s="17"/>
      <c r="AJ9" s="17"/>
    </row>
    <row r="10" spans="1:37" x14ac:dyDescent="0.2"/>
    <row r="11" spans="1:37" x14ac:dyDescent="0.2"/>
    <row r="12" spans="1:37" ht="26.25" x14ac:dyDescent="0.2">
      <c r="B12" s="19" t="s">
        <v>17</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
    <row r="14" spans="1:37" ht="20.25" x14ac:dyDescent="0.2">
      <c r="B14" s="21" t="s">
        <v>18</v>
      </c>
      <c r="C14" s="22"/>
    </row>
    <row r="15" spans="1:37" x14ac:dyDescent="0.2">
      <c r="B15" s="182" t="s">
        <v>7</v>
      </c>
      <c r="C15" s="194"/>
      <c r="D15" s="194"/>
      <c r="E15" s="194"/>
      <c r="F15" s="194"/>
      <c r="G15" s="182" t="s">
        <v>6</v>
      </c>
      <c r="H15" s="182"/>
      <c r="I15" s="182"/>
      <c r="J15" s="182"/>
      <c r="K15" s="182"/>
      <c r="L15" s="182"/>
      <c r="M15" s="182"/>
      <c r="N15" s="182"/>
      <c r="O15" s="182"/>
      <c r="P15" s="182"/>
      <c r="Q15" s="182"/>
      <c r="R15" s="182"/>
      <c r="S15" s="182"/>
      <c r="T15" s="182"/>
      <c r="U15" s="182"/>
      <c r="V15" s="182"/>
      <c r="W15" s="182"/>
      <c r="X15" s="182"/>
      <c r="Y15" s="182"/>
      <c r="Z15" s="182"/>
      <c r="AA15" s="182"/>
      <c r="AB15" s="182"/>
      <c r="AC15" s="182"/>
      <c r="AD15" s="182"/>
      <c r="AE15" s="182"/>
      <c r="AF15" s="182"/>
    </row>
    <row r="16" spans="1:37" ht="24" customHeight="1" x14ac:dyDescent="0.2">
      <c r="B16" s="184" t="s">
        <v>34</v>
      </c>
      <c r="C16" s="184"/>
      <c r="D16" s="184"/>
      <c r="E16" s="184"/>
      <c r="F16" s="184"/>
      <c r="G16" s="167" t="s">
        <v>36</v>
      </c>
      <c r="H16" s="167"/>
      <c r="I16" s="167"/>
      <c r="J16" s="167"/>
      <c r="K16" s="167"/>
      <c r="L16" s="167"/>
      <c r="M16" s="167"/>
      <c r="N16" s="167"/>
      <c r="O16" s="167"/>
      <c r="P16" s="167"/>
      <c r="Q16" s="167"/>
      <c r="R16" s="167"/>
      <c r="S16" s="167"/>
      <c r="T16" s="167"/>
      <c r="U16" s="167"/>
      <c r="V16" s="167"/>
      <c r="W16" s="167"/>
      <c r="X16" s="167"/>
      <c r="Y16" s="167"/>
      <c r="Z16" s="167"/>
      <c r="AA16" s="167"/>
      <c r="AB16" s="167"/>
      <c r="AC16" s="167"/>
      <c r="AD16" s="167"/>
      <c r="AE16" s="167"/>
      <c r="AF16" s="167"/>
    </row>
    <row r="17" spans="1:45" ht="24" customHeight="1" x14ac:dyDescent="0.2">
      <c r="B17" s="184" t="s">
        <v>35</v>
      </c>
      <c r="C17" s="184"/>
      <c r="D17" s="184"/>
      <c r="E17" s="184"/>
      <c r="F17" s="184"/>
      <c r="G17" s="180" t="s">
        <v>121</v>
      </c>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row>
    <row r="18" spans="1:45" ht="24" customHeight="1" x14ac:dyDescent="0.2">
      <c r="B18" s="178" t="s">
        <v>115</v>
      </c>
      <c r="C18" s="184"/>
      <c r="D18" s="184"/>
      <c r="E18" s="184"/>
      <c r="F18" s="184"/>
      <c r="G18" s="180" t="s">
        <v>117</v>
      </c>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row>
    <row r="19" spans="1:45" ht="24" customHeight="1" x14ac:dyDescent="0.2">
      <c r="B19" s="178" t="s">
        <v>116</v>
      </c>
      <c r="C19" s="184"/>
      <c r="D19" s="184"/>
      <c r="E19" s="184"/>
      <c r="F19" s="184"/>
      <c r="G19" s="180" t="s">
        <v>123</v>
      </c>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S19" s="23"/>
    </row>
    <row r="20" spans="1:45" ht="24" customHeight="1" x14ac:dyDescent="0.2">
      <c r="B20" s="178" t="s">
        <v>45</v>
      </c>
      <c r="C20" s="184"/>
      <c r="D20" s="184"/>
      <c r="E20" s="184"/>
      <c r="F20" s="184"/>
      <c r="G20" s="180" t="s">
        <v>124</v>
      </c>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S20" s="23"/>
    </row>
    <row r="21" spans="1:45" ht="24" customHeight="1" x14ac:dyDescent="0.2">
      <c r="B21" s="178" t="s">
        <v>118</v>
      </c>
      <c r="C21" s="184"/>
      <c r="D21" s="184"/>
      <c r="E21" s="184"/>
      <c r="F21" s="184"/>
      <c r="G21" s="180" t="s">
        <v>122</v>
      </c>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S21" s="23"/>
    </row>
    <row r="22" spans="1:45" x14ac:dyDescent="0.2">
      <c r="C22" s="24"/>
      <c r="I22" s="25"/>
    </row>
    <row r="23" spans="1:45" ht="20.25" x14ac:dyDescent="0.2">
      <c r="A23" s="21"/>
      <c r="B23" s="21" t="s">
        <v>28</v>
      </c>
      <c r="C23" s="24"/>
      <c r="I23" s="25"/>
    </row>
    <row r="24" spans="1:45" x14ac:dyDescent="0.2">
      <c r="B24" s="182" t="s">
        <v>0</v>
      </c>
      <c r="C24" s="183"/>
      <c r="D24" s="183"/>
      <c r="E24" s="182" t="s">
        <v>12</v>
      </c>
      <c r="F24" s="182"/>
      <c r="G24" s="182"/>
      <c r="H24" s="182"/>
      <c r="I24" s="182" t="s">
        <v>13</v>
      </c>
      <c r="J24" s="183"/>
      <c r="K24" s="183"/>
      <c r="L24" s="183"/>
      <c r="M24" s="183"/>
      <c r="N24" s="183"/>
      <c r="O24" s="183"/>
      <c r="P24" s="183"/>
      <c r="Q24" s="183"/>
      <c r="R24" s="182" t="s">
        <v>14</v>
      </c>
      <c r="S24" s="182"/>
      <c r="T24" s="182"/>
      <c r="U24" s="182"/>
      <c r="V24" s="182"/>
      <c r="W24" s="182"/>
      <c r="X24" s="182"/>
      <c r="Y24" s="182"/>
      <c r="Z24" s="182"/>
      <c r="AA24" s="182"/>
      <c r="AB24" s="182"/>
      <c r="AC24" s="182"/>
      <c r="AD24" s="182"/>
      <c r="AE24" s="182"/>
      <c r="AF24" s="182"/>
    </row>
    <row r="25" spans="1:45" x14ac:dyDescent="0.2">
      <c r="B25" s="178"/>
      <c r="C25" s="179"/>
      <c r="D25" s="179"/>
      <c r="E25" s="180"/>
      <c r="F25" s="167"/>
      <c r="G25" s="167"/>
      <c r="H25" s="167"/>
      <c r="I25" s="180"/>
      <c r="J25" s="181"/>
      <c r="K25" s="181"/>
      <c r="L25" s="181"/>
      <c r="M25" s="181"/>
      <c r="N25" s="181"/>
      <c r="O25" s="181"/>
      <c r="P25" s="181"/>
      <c r="Q25" s="181"/>
      <c r="R25" s="180"/>
      <c r="S25" s="167"/>
      <c r="T25" s="167"/>
      <c r="U25" s="167"/>
      <c r="V25" s="167"/>
      <c r="W25" s="167"/>
      <c r="X25" s="167"/>
      <c r="Y25" s="167"/>
      <c r="Z25" s="167"/>
      <c r="AA25" s="167"/>
      <c r="AB25" s="167"/>
      <c r="AC25" s="167"/>
      <c r="AD25" s="167"/>
      <c r="AE25" s="167"/>
      <c r="AF25" s="167"/>
    </row>
    <row r="26" spans="1:45" x14ac:dyDescent="0.2">
      <c r="B26" s="178"/>
      <c r="C26" s="179"/>
      <c r="D26" s="179"/>
      <c r="E26" s="180"/>
      <c r="F26" s="167"/>
      <c r="G26" s="167"/>
      <c r="H26" s="167"/>
      <c r="I26" s="180"/>
      <c r="J26" s="181"/>
      <c r="K26" s="181"/>
      <c r="L26" s="181"/>
      <c r="M26" s="181"/>
      <c r="N26" s="181"/>
      <c r="O26" s="181"/>
      <c r="P26" s="181"/>
      <c r="Q26" s="181"/>
      <c r="R26" s="180"/>
      <c r="S26" s="167"/>
      <c r="T26" s="167"/>
      <c r="U26" s="167"/>
      <c r="V26" s="167"/>
      <c r="W26" s="167"/>
      <c r="X26" s="167"/>
      <c r="Y26" s="167"/>
      <c r="Z26" s="167"/>
      <c r="AA26" s="167"/>
      <c r="AB26" s="167"/>
      <c r="AC26" s="167"/>
      <c r="AD26" s="167"/>
      <c r="AE26" s="167"/>
      <c r="AF26" s="167"/>
    </row>
    <row r="27" spans="1:45" x14ac:dyDescent="0.2">
      <c r="B27" s="178"/>
      <c r="C27" s="179"/>
      <c r="D27" s="179"/>
      <c r="E27" s="180"/>
      <c r="F27" s="167"/>
      <c r="G27" s="167"/>
      <c r="H27" s="167"/>
      <c r="I27" s="180"/>
      <c r="J27" s="181"/>
      <c r="K27" s="181"/>
      <c r="L27" s="181"/>
      <c r="M27" s="181"/>
      <c r="N27" s="181"/>
      <c r="O27" s="181"/>
      <c r="P27" s="181"/>
      <c r="Q27" s="181"/>
      <c r="R27" s="180"/>
      <c r="S27" s="167"/>
      <c r="T27" s="167"/>
      <c r="U27" s="167"/>
      <c r="V27" s="167"/>
      <c r="W27" s="167"/>
      <c r="X27" s="167"/>
      <c r="Y27" s="167"/>
      <c r="Z27" s="167"/>
      <c r="AA27" s="167"/>
      <c r="AB27" s="167"/>
      <c r="AC27" s="167"/>
      <c r="AD27" s="167"/>
      <c r="AE27" s="167"/>
      <c r="AF27" s="167"/>
    </row>
    <row r="28" spans="1:45" x14ac:dyDescent="0.2">
      <c r="B28" s="178"/>
      <c r="C28" s="179"/>
      <c r="D28" s="179"/>
      <c r="E28" s="180"/>
      <c r="F28" s="167"/>
      <c r="G28" s="167"/>
      <c r="H28" s="167"/>
      <c r="I28" s="180"/>
      <c r="J28" s="181"/>
      <c r="K28" s="181"/>
      <c r="L28" s="181"/>
      <c r="M28" s="181"/>
      <c r="N28" s="181"/>
      <c r="O28" s="181"/>
      <c r="P28" s="181"/>
      <c r="Q28" s="181"/>
      <c r="R28" s="180"/>
      <c r="S28" s="167"/>
      <c r="T28" s="167"/>
      <c r="U28" s="167"/>
      <c r="V28" s="167"/>
      <c r="W28" s="167"/>
      <c r="X28" s="167"/>
      <c r="Y28" s="167"/>
      <c r="Z28" s="167"/>
      <c r="AA28" s="167"/>
      <c r="AB28" s="167"/>
      <c r="AC28" s="167"/>
      <c r="AD28" s="167"/>
      <c r="AE28" s="167"/>
      <c r="AF28" s="167"/>
    </row>
    <row r="29" spans="1:45" x14ac:dyDescent="0.2">
      <c r="B29" s="178"/>
      <c r="C29" s="179"/>
      <c r="D29" s="179"/>
      <c r="E29" s="180"/>
      <c r="F29" s="167"/>
      <c r="G29" s="167"/>
      <c r="H29" s="167"/>
      <c r="I29" s="180"/>
      <c r="J29" s="181"/>
      <c r="K29" s="181"/>
      <c r="L29" s="181"/>
      <c r="M29" s="181"/>
      <c r="N29" s="181"/>
      <c r="O29" s="181"/>
      <c r="P29" s="181"/>
      <c r="Q29" s="181"/>
      <c r="R29" s="180"/>
      <c r="S29" s="167"/>
      <c r="T29" s="167"/>
      <c r="U29" s="167"/>
      <c r="V29" s="167"/>
      <c r="W29" s="167"/>
      <c r="X29" s="167"/>
      <c r="Y29" s="167"/>
      <c r="Z29" s="167"/>
      <c r="AA29" s="167"/>
      <c r="AB29" s="167"/>
      <c r="AC29" s="167"/>
      <c r="AD29" s="167"/>
      <c r="AE29" s="167"/>
      <c r="AF29" s="167"/>
    </row>
    <row r="30" spans="1:45" ht="28.5" customHeight="1" x14ac:dyDescent="0.2">
      <c r="B30" s="170"/>
      <c r="C30" s="171"/>
      <c r="D30" s="171"/>
      <c r="E30" s="172"/>
      <c r="F30" s="173"/>
      <c r="G30" s="173"/>
      <c r="H30" s="173"/>
      <c r="I30" s="172"/>
      <c r="J30" s="174"/>
      <c r="K30" s="174"/>
      <c r="L30" s="174"/>
      <c r="M30" s="174"/>
      <c r="N30" s="174"/>
      <c r="O30" s="174"/>
      <c r="P30" s="174"/>
      <c r="Q30" s="174"/>
      <c r="R30" s="175"/>
      <c r="S30" s="176"/>
      <c r="T30" s="176"/>
      <c r="U30" s="176"/>
      <c r="V30" s="176"/>
      <c r="W30" s="176"/>
      <c r="X30" s="176"/>
      <c r="Y30" s="176"/>
      <c r="Z30" s="176"/>
      <c r="AA30" s="176"/>
      <c r="AB30" s="176"/>
      <c r="AC30" s="176"/>
      <c r="AD30" s="176"/>
      <c r="AE30" s="176"/>
      <c r="AF30" s="177"/>
    </row>
    <row r="31" spans="1:45" ht="28.5" customHeight="1" x14ac:dyDescent="0.2">
      <c r="B31" s="170"/>
      <c r="C31" s="171"/>
      <c r="D31" s="171"/>
      <c r="E31" s="172"/>
      <c r="F31" s="173"/>
      <c r="G31" s="173"/>
      <c r="H31" s="173"/>
      <c r="I31" s="172"/>
      <c r="J31" s="174"/>
      <c r="K31" s="174"/>
      <c r="L31" s="174"/>
      <c r="M31" s="174"/>
      <c r="N31" s="174"/>
      <c r="O31" s="174"/>
      <c r="P31" s="174"/>
      <c r="Q31" s="174"/>
      <c r="R31" s="175"/>
      <c r="S31" s="176"/>
      <c r="T31" s="176"/>
      <c r="U31" s="176"/>
      <c r="V31" s="176"/>
      <c r="W31" s="176"/>
      <c r="X31" s="176"/>
      <c r="Y31" s="176"/>
      <c r="Z31" s="176"/>
      <c r="AA31" s="176"/>
      <c r="AB31" s="176"/>
      <c r="AC31" s="176"/>
      <c r="AD31" s="176"/>
      <c r="AE31" s="176"/>
      <c r="AF31" s="177"/>
    </row>
    <row r="32" spans="1:45" x14ac:dyDescent="0.2">
      <c r="B32" s="110"/>
      <c r="C32" s="27"/>
      <c r="D32" s="27"/>
      <c r="E32" s="111"/>
      <c r="F32" s="28"/>
      <c r="G32" s="28"/>
      <c r="H32" s="28"/>
      <c r="I32" s="111"/>
      <c r="J32" s="29"/>
      <c r="K32" s="29"/>
      <c r="L32" s="29"/>
      <c r="M32" s="29"/>
      <c r="N32" s="29"/>
      <c r="O32" s="29"/>
      <c r="P32" s="29"/>
      <c r="Q32" s="29"/>
      <c r="R32" s="111"/>
      <c r="S32" s="28"/>
      <c r="T32" s="28"/>
      <c r="U32" s="28"/>
      <c r="V32" s="28"/>
      <c r="W32" s="28"/>
      <c r="X32" s="28"/>
      <c r="Y32" s="28"/>
      <c r="Z32" s="28"/>
      <c r="AA32" s="28"/>
      <c r="AB32" s="28"/>
      <c r="AC32" s="28"/>
      <c r="AD32" s="28"/>
      <c r="AE32" s="28"/>
      <c r="AF32" s="28"/>
    </row>
    <row r="33" spans="2:33" x14ac:dyDescent="0.2">
      <c r="B33" s="26" t="s">
        <v>27</v>
      </c>
      <c r="C33" s="27"/>
      <c r="D33" s="27"/>
      <c r="E33" s="28"/>
      <c r="F33" s="28"/>
      <c r="G33" s="28"/>
      <c r="H33" s="28"/>
      <c r="I33" s="28"/>
      <c r="J33" s="29"/>
      <c r="K33" s="29"/>
      <c r="L33" s="29"/>
      <c r="M33" s="29"/>
      <c r="N33" s="29"/>
      <c r="O33" s="29"/>
      <c r="P33" s="29"/>
      <c r="Q33" s="29"/>
      <c r="R33" s="28"/>
      <c r="S33" s="28"/>
      <c r="T33" s="28"/>
      <c r="U33" s="28"/>
      <c r="V33" s="28"/>
      <c r="W33" s="28"/>
      <c r="X33" s="28"/>
      <c r="Y33" s="28"/>
      <c r="Z33" s="28"/>
      <c r="AA33" s="28"/>
      <c r="AB33" s="28"/>
      <c r="AC33" s="28"/>
      <c r="AD33" s="28"/>
      <c r="AE33" s="28"/>
      <c r="AF33" s="28"/>
    </row>
    <row r="34" spans="2:33" x14ac:dyDescent="0.2">
      <c r="C34" s="24"/>
      <c r="I34" s="25"/>
    </row>
    <row r="35" spans="2:33" ht="20.25" x14ac:dyDescent="0.2">
      <c r="B35" s="21" t="s">
        <v>19</v>
      </c>
      <c r="I35" s="25"/>
    </row>
    <row r="36" spans="2:33" ht="66.75" customHeight="1" x14ac:dyDescent="0.2">
      <c r="B36" s="198" t="s">
        <v>127</v>
      </c>
      <c r="C36" s="198"/>
      <c r="D36" s="198"/>
      <c r="E36" s="198"/>
      <c r="F36" s="198"/>
      <c r="G36" s="198"/>
      <c r="H36" s="198"/>
      <c r="I36" s="198"/>
      <c r="J36" s="198"/>
      <c r="K36" s="198"/>
      <c r="L36" s="198"/>
      <c r="M36" s="198"/>
      <c r="N36" s="198"/>
      <c r="O36" s="198"/>
      <c r="P36" s="198"/>
      <c r="Q36" s="198"/>
      <c r="R36" s="198"/>
      <c r="S36" s="198"/>
      <c r="T36" s="198"/>
      <c r="U36" s="198"/>
      <c r="V36" s="198"/>
      <c r="W36" s="198"/>
      <c r="X36" s="198"/>
      <c r="Y36" s="198"/>
      <c r="Z36" s="198"/>
      <c r="AA36" s="198"/>
      <c r="AB36" s="198"/>
      <c r="AC36" s="198"/>
      <c r="AD36" s="198"/>
      <c r="AE36" s="198"/>
      <c r="AF36" s="198"/>
      <c r="AG36" s="30"/>
    </row>
    <row r="37" spans="2:33" x14ac:dyDescent="0.2">
      <c r="J37" s="31"/>
    </row>
    <row r="38" spans="2:33" ht="20.25" x14ac:dyDescent="0.2">
      <c r="B38" s="21" t="s">
        <v>20</v>
      </c>
      <c r="C38" s="22"/>
      <c r="I38" s="25"/>
    </row>
    <row r="39" spans="2:33" ht="24.75" customHeight="1" x14ac:dyDescent="0.2">
      <c r="B39" s="32" t="s">
        <v>29</v>
      </c>
      <c r="C39" s="22"/>
      <c r="I39" s="25"/>
    </row>
    <row r="40" spans="2:33" ht="12.75" customHeight="1" x14ac:dyDescent="0.2">
      <c r="B40" s="182" t="s">
        <v>8</v>
      </c>
      <c r="C40" s="182"/>
      <c r="D40" s="182"/>
      <c r="E40" s="182" t="s">
        <v>9</v>
      </c>
      <c r="F40" s="183"/>
      <c r="G40" s="183"/>
      <c r="H40" s="183"/>
      <c r="I40" s="183"/>
      <c r="J40" s="183"/>
      <c r="K40" s="183"/>
      <c r="L40" s="183"/>
      <c r="M40" s="183"/>
      <c r="N40" s="183"/>
      <c r="O40" s="183"/>
      <c r="P40" s="183"/>
      <c r="Q40" s="183"/>
      <c r="R40" s="183"/>
      <c r="S40" s="183"/>
      <c r="T40" s="183"/>
      <c r="U40" s="183"/>
      <c r="V40" s="183"/>
      <c r="W40" s="183"/>
      <c r="X40" s="183"/>
      <c r="Y40" s="182" t="s">
        <v>10</v>
      </c>
      <c r="Z40" s="182"/>
      <c r="AA40" s="182"/>
      <c r="AB40" s="182"/>
      <c r="AC40" s="182"/>
      <c r="AD40" s="182"/>
      <c r="AE40" s="182"/>
      <c r="AF40" s="182"/>
    </row>
    <row r="41" spans="2:33" x14ac:dyDescent="0.2">
      <c r="B41" s="169"/>
      <c r="C41" s="169"/>
      <c r="D41" s="169"/>
      <c r="E41" s="167"/>
      <c r="F41" s="168"/>
      <c r="G41" s="168"/>
      <c r="H41" s="168"/>
      <c r="I41" s="168"/>
      <c r="J41" s="168"/>
      <c r="K41" s="168"/>
      <c r="L41" s="168"/>
      <c r="M41" s="168"/>
      <c r="N41" s="168"/>
      <c r="O41" s="168"/>
      <c r="P41" s="168"/>
      <c r="Q41" s="168"/>
      <c r="R41" s="168"/>
      <c r="S41" s="168"/>
      <c r="T41" s="168"/>
      <c r="U41" s="168"/>
      <c r="V41" s="168"/>
      <c r="W41" s="168"/>
      <c r="X41" s="168"/>
      <c r="Y41" s="167"/>
      <c r="Z41" s="168"/>
      <c r="AA41" s="168"/>
      <c r="AB41" s="168"/>
      <c r="AC41" s="168"/>
      <c r="AD41" s="168"/>
      <c r="AE41" s="168"/>
      <c r="AF41" s="168"/>
    </row>
    <row r="42" spans="2:33" x14ac:dyDescent="0.2">
      <c r="B42" s="169"/>
      <c r="C42" s="169"/>
      <c r="D42" s="169"/>
      <c r="E42" s="167"/>
      <c r="F42" s="168"/>
      <c r="G42" s="168"/>
      <c r="H42" s="168"/>
      <c r="I42" s="168"/>
      <c r="J42" s="168"/>
      <c r="K42" s="168"/>
      <c r="L42" s="168"/>
      <c r="M42" s="168"/>
      <c r="N42" s="168"/>
      <c r="O42" s="168"/>
      <c r="P42" s="168"/>
      <c r="Q42" s="168"/>
      <c r="R42" s="168"/>
      <c r="S42" s="168"/>
      <c r="T42" s="168"/>
      <c r="U42" s="168"/>
      <c r="V42" s="168"/>
      <c r="W42" s="168"/>
      <c r="X42" s="168"/>
      <c r="Y42" s="167"/>
      <c r="Z42" s="168"/>
      <c r="AA42" s="168"/>
      <c r="AB42" s="168"/>
      <c r="AC42" s="168"/>
      <c r="AD42" s="168"/>
      <c r="AE42" s="168"/>
      <c r="AF42" s="168"/>
    </row>
    <row r="43" spans="2:33" x14ac:dyDescent="0.2">
      <c r="B43" s="169"/>
      <c r="C43" s="169"/>
      <c r="D43" s="169"/>
      <c r="E43" s="167"/>
      <c r="F43" s="168"/>
      <c r="G43" s="168"/>
      <c r="H43" s="168"/>
      <c r="I43" s="168"/>
      <c r="J43" s="168"/>
      <c r="K43" s="168"/>
      <c r="L43" s="168"/>
      <c r="M43" s="168"/>
      <c r="N43" s="168"/>
      <c r="O43" s="168"/>
      <c r="P43" s="168"/>
      <c r="Q43" s="168"/>
      <c r="R43" s="168"/>
      <c r="S43" s="168"/>
      <c r="T43" s="168"/>
      <c r="U43" s="168"/>
      <c r="V43" s="168"/>
      <c r="W43" s="168"/>
      <c r="X43" s="168"/>
      <c r="Y43" s="167"/>
      <c r="Z43" s="168"/>
      <c r="AA43" s="168"/>
      <c r="AB43" s="168"/>
      <c r="AC43" s="168"/>
      <c r="AD43" s="168"/>
      <c r="AE43" s="168"/>
      <c r="AF43" s="168"/>
    </row>
    <row r="44" spans="2:33" x14ac:dyDescent="0.2">
      <c r="B44" s="169"/>
      <c r="C44" s="169"/>
      <c r="D44" s="169"/>
      <c r="E44" s="167"/>
      <c r="F44" s="168"/>
      <c r="G44" s="168"/>
      <c r="H44" s="168"/>
      <c r="I44" s="168"/>
      <c r="J44" s="168"/>
      <c r="K44" s="168"/>
      <c r="L44" s="168"/>
      <c r="M44" s="168"/>
      <c r="N44" s="168"/>
      <c r="O44" s="168"/>
      <c r="P44" s="168"/>
      <c r="Q44" s="168"/>
      <c r="R44" s="168"/>
      <c r="S44" s="168"/>
      <c r="T44" s="168"/>
      <c r="U44" s="168"/>
      <c r="V44" s="168"/>
      <c r="W44" s="168"/>
      <c r="X44" s="168"/>
      <c r="Y44" s="167"/>
      <c r="Z44" s="168"/>
      <c r="AA44" s="168"/>
      <c r="AB44" s="168"/>
      <c r="AC44" s="168"/>
      <c r="AD44" s="168"/>
      <c r="AE44" s="168"/>
      <c r="AF44" s="168"/>
    </row>
    <row r="45" spans="2:33" ht="24.75" customHeight="1" x14ac:dyDescent="0.2">
      <c r="B45" s="32" t="s">
        <v>30</v>
      </c>
      <c r="C45" s="22"/>
      <c r="I45" s="25"/>
    </row>
    <row r="46" spans="2:33" ht="12.75" customHeight="1" x14ac:dyDescent="0.2">
      <c r="B46" s="182" t="s">
        <v>8</v>
      </c>
      <c r="C46" s="182"/>
      <c r="D46" s="182"/>
      <c r="E46" s="182" t="s">
        <v>9</v>
      </c>
      <c r="F46" s="183"/>
      <c r="G46" s="183"/>
      <c r="H46" s="183"/>
      <c r="I46" s="183"/>
      <c r="J46" s="183"/>
      <c r="K46" s="183"/>
      <c r="L46" s="183"/>
      <c r="M46" s="183"/>
      <c r="N46" s="183"/>
      <c r="O46" s="183"/>
      <c r="P46" s="183"/>
      <c r="Q46" s="183"/>
      <c r="R46" s="183"/>
      <c r="S46" s="183"/>
      <c r="T46" s="183"/>
      <c r="U46" s="183"/>
      <c r="V46" s="183"/>
      <c r="W46" s="183"/>
      <c r="X46" s="183"/>
      <c r="Y46" s="182" t="s">
        <v>10</v>
      </c>
      <c r="Z46" s="182"/>
      <c r="AA46" s="182"/>
      <c r="AB46" s="182"/>
      <c r="AC46" s="182"/>
      <c r="AD46" s="182"/>
      <c r="AE46" s="182"/>
      <c r="AF46" s="182"/>
    </row>
    <row r="47" spans="2:33" x14ac:dyDescent="0.2">
      <c r="B47" s="169"/>
      <c r="C47" s="169"/>
      <c r="D47" s="169"/>
      <c r="E47" s="167"/>
      <c r="F47" s="168"/>
      <c r="G47" s="168"/>
      <c r="H47" s="168"/>
      <c r="I47" s="168"/>
      <c r="J47" s="168"/>
      <c r="K47" s="168"/>
      <c r="L47" s="168"/>
      <c r="M47" s="168"/>
      <c r="N47" s="168"/>
      <c r="O47" s="168"/>
      <c r="P47" s="168"/>
      <c r="Q47" s="168"/>
      <c r="R47" s="168"/>
      <c r="S47" s="168"/>
      <c r="T47" s="168"/>
      <c r="U47" s="168"/>
      <c r="V47" s="168"/>
      <c r="W47" s="168"/>
      <c r="X47" s="168"/>
      <c r="Y47" s="167"/>
      <c r="Z47" s="168"/>
      <c r="AA47" s="168"/>
      <c r="AB47" s="168"/>
      <c r="AC47" s="168"/>
      <c r="AD47" s="168"/>
      <c r="AE47" s="168"/>
      <c r="AF47" s="168"/>
    </row>
    <row r="48" spans="2:33" x14ac:dyDescent="0.2">
      <c r="B48" s="169"/>
      <c r="C48" s="169"/>
      <c r="D48" s="169"/>
      <c r="E48" s="167"/>
      <c r="F48" s="168"/>
      <c r="G48" s="168"/>
      <c r="H48" s="168"/>
      <c r="I48" s="168"/>
      <c r="J48" s="168"/>
      <c r="K48" s="168"/>
      <c r="L48" s="168"/>
      <c r="M48" s="168"/>
      <c r="N48" s="168"/>
      <c r="O48" s="168"/>
      <c r="P48" s="168"/>
      <c r="Q48" s="168"/>
      <c r="R48" s="168"/>
      <c r="S48" s="168"/>
      <c r="T48" s="168"/>
      <c r="U48" s="168"/>
      <c r="V48" s="168"/>
      <c r="W48" s="168"/>
      <c r="X48" s="168"/>
      <c r="Y48" s="167"/>
      <c r="Z48" s="168"/>
      <c r="AA48" s="168"/>
      <c r="AB48" s="168"/>
      <c r="AC48" s="168"/>
      <c r="AD48" s="168"/>
      <c r="AE48" s="168"/>
      <c r="AF48" s="168"/>
    </row>
    <row r="49" spans="2:32" x14ac:dyDescent="0.2">
      <c r="B49" s="169"/>
      <c r="C49" s="169"/>
      <c r="D49" s="169"/>
      <c r="E49" s="167"/>
      <c r="F49" s="168"/>
      <c r="G49" s="168"/>
      <c r="H49" s="168"/>
      <c r="I49" s="168"/>
      <c r="J49" s="168"/>
      <c r="K49" s="168"/>
      <c r="L49" s="168"/>
      <c r="M49" s="168"/>
      <c r="N49" s="168"/>
      <c r="O49" s="168"/>
      <c r="P49" s="168"/>
      <c r="Q49" s="168"/>
      <c r="R49" s="168"/>
      <c r="S49" s="168"/>
      <c r="T49" s="168"/>
      <c r="U49" s="168"/>
      <c r="V49" s="168"/>
      <c r="W49" s="168"/>
      <c r="X49" s="168"/>
      <c r="Y49" s="167"/>
      <c r="Z49" s="168"/>
      <c r="AA49" s="168"/>
      <c r="AB49" s="168"/>
      <c r="AC49" s="168"/>
      <c r="AD49" s="168"/>
      <c r="AE49" s="168"/>
      <c r="AF49" s="168"/>
    </row>
    <row r="50" spans="2:32" x14ac:dyDescent="0.2">
      <c r="B50" s="169"/>
      <c r="C50" s="169"/>
      <c r="D50" s="169"/>
      <c r="E50" s="167"/>
      <c r="F50" s="168"/>
      <c r="G50" s="168"/>
      <c r="H50" s="168"/>
      <c r="I50" s="168"/>
      <c r="J50" s="168"/>
      <c r="K50" s="168"/>
      <c r="L50" s="168"/>
      <c r="M50" s="168"/>
      <c r="N50" s="168"/>
      <c r="O50" s="168"/>
      <c r="P50" s="168"/>
      <c r="Q50" s="168"/>
      <c r="R50" s="168"/>
      <c r="S50" s="168"/>
      <c r="T50" s="168"/>
      <c r="U50" s="168"/>
      <c r="V50" s="168"/>
      <c r="W50" s="168"/>
      <c r="X50" s="168"/>
      <c r="Y50" s="167"/>
      <c r="Z50" s="168"/>
      <c r="AA50" s="168"/>
      <c r="AB50" s="168"/>
      <c r="AC50" s="168"/>
      <c r="AD50" s="168"/>
      <c r="AE50" s="168"/>
      <c r="AF50" s="168"/>
    </row>
    <row r="51" spans="2:32" x14ac:dyDescent="0.2">
      <c r="C51" s="24"/>
      <c r="I51" s="25"/>
    </row>
    <row r="52" spans="2:32" ht="20.25" x14ac:dyDescent="0.2">
      <c r="B52" s="21" t="s">
        <v>32</v>
      </c>
      <c r="C52" s="22"/>
      <c r="I52" s="25"/>
    </row>
    <row r="53" spans="2:32" ht="12.75" customHeight="1" x14ac:dyDescent="0.2">
      <c r="B53" s="182" t="s">
        <v>31</v>
      </c>
      <c r="C53" s="182"/>
      <c r="D53" s="182"/>
      <c r="E53" s="182"/>
      <c r="F53" s="182"/>
      <c r="G53" s="18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row>
    <row r="54" spans="2:32" ht="33.75" customHeight="1" x14ac:dyDescent="0.2">
      <c r="B54" s="199" t="s">
        <v>110</v>
      </c>
      <c r="C54" s="200"/>
      <c r="D54" s="200"/>
      <c r="E54" s="200"/>
      <c r="F54" s="200"/>
      <c r="G54" s="201"/>
      <c r="H54" s="206" t="s">
        <v>114</v>
      </c>
      <c r="I54" s="204"/>
      <c r="J54" s="204"/>
      <c r="K54" s="204"/>
      <c r="L54" s="204"/>
      <c r="M54" s="204"/>
      <c r="N54" s="204"/>
      <c r="O54" s="204"/>
      <c r="P54" s="204"/>
      <c r="Q54" s="204"/>
      <c r="R54" s="204"/>
      <c r="S54" s="204"/>
      <c r="T54" s="204"/>
      <c r="U54" s="204"/>
      <c r="V54" s="204"/>
      <c r="W54" s="204"/>
      <c r="X54" s="204"/>
      <c r="Y54" s="204"/>
      <c r="Z54" s="204"/>
      <c r="AA54" s="204"/>
      <c r="AB54" s="204"/>
      <c r="AC54" s="204"/>
      <c r="AD54" s="204"/>
      <c r="AE54" s="204"/>
      <c r="AF54" s="205"/>
    </row>
    <row r="55" spans="2:32" ht="36.75" customHeight="1" x14ac:dyDescent="0.2">
      <c r="B55" s="199" t="s">
        <v>73</v>
      </c>
      <c r="C55" s="200"/>
      <c r="D55" s="200"/>
      <c r="E55" s="200"/>
      <c r="F55" s="200"/>
      <c r="G55" s="201"/>
      <c r="H55" s="203" t="s">
        <v>74</v>
      </c>
      <c r="I55" s="204"/>
      <c r="J55" s="204"/>
      <c r="K55" s="204"/>
      <c r="L55" s="204"/>
      <c r="M55" s="204"/>
      <c r="N55" s="204"/>
      <c r="O55" s="204"/>
      <c r="P55" s="204"/>
      <c r="Q55" s="204"/>
      <c r="R55" s="204"/>
      <c r="S55" s="204"/>
      <c r="T55" s="204"/>
      <c r="U55" s="204"/>
      <c r="V55" s="204"/>
      <c r="W55" s="204"/>
      <c r="X55" s="204"/>
      <c r="Y55" s="204"/>
      <c r="Z55" s="204"/>
      <c r="AA55" s="204"/>
      <c r="AB55" s="204"/>
      <c r="AC55" s="204"/>
      <c r="AD55" s="204"/>
      <c r="AE55" s="204"/>
      <c r="AF55" s="205"/>
    </row>
    <row r="56" spans="2:32" ht="45.75" customHeight="1" x14ac:dyDescent="0.2">
      <c r="B56" s="199" t="s">
        <v>75</v>
      </c>
      <c r="C56" s="200"/>
      <c r="D56" s="200"/>
      <c r="E56" s="200"/>
      <c r="F56" s="200"/>
      <c r="G56" s="201"/>
      <c r="H56" s="203" t="s">
        <v>80</v>
      </c>
      <c r="I56" s="204"/>
      <c r="J56" s="204"/>
      <c r="K56" s="204"/>
      <c r="L56" s="204"/>
      <c r="M56" s="204"/>
      <c r="N56" s="204"/>
      <c r="O56" s="204"/>
      <c r="P56" s="204"/>
      <c r="Q56" s="204"/>
      <c r="R56" s="204"/>
      <c r="S56" s="204"/>
      <c r="T56" s="204"/>
      <c r="U56" s="204"/>
      <c r="V56" s="204"/>
      <c r="W56" s="204"/>
      <c r="X56" s="204"/>
      <c r="Y56" s="204"/>
      <c r="Z56" s="204"/>
      <c r="AA56" s="204"/>
      <c r="AB56" s="204"/>
      <c r="AC56" s="204"/>
      <c r="AD56" s="204"/>
      <c r="AE56" s="204"/>
      <c r="AF56" s="205"/>
    </row>
    <row r="57" spans="2:32" ht="45.75" customHeight="1" x14ac:dyDescent="0.2">
      <c r="B57" s="199" t="s">
        <v>76</v>
      </c>
      <c r="C57" s="200"/>
      <c r="D57" s="200"/>
      <c r="E57" s="200"/>
      <c r="F57" s="200"/>
      <c r="G57" s="201"/>
      <c r="H57" s="203" t="s">
        <v>79</v>
      </c>
      <c r="I57" s="204"/>
      <c r="J57" s="204"/>
      <c r="K57" s="204"/>
      <c r="L57" s="204"/>
      <c r="M57" s="204"/>
      <c r="N57" s="204"/>
      <c r="O57" s="204"/>
      <c r="P57" s="204"/>
      <c r="Q57" s="204"/>
      <c r="R57" s="204"/>
      <c r="S57" s="204"/>
      <c r="T57" s="204"/>
      <c r="U57" s="204"/>
      <c r="V57" s="204"/>
      <c r="W57" s="204"/>
      <c r="X57" s="204"/>
      <c r="Y57" s="204"/>
      <c r="Z57" s="204"/>
      <c r="AA57" s="204"/>
      <c r="AB57" s="204"/>
      <c r="AC57" s="204"/>
      <c r="AD57" s="204"/>
      <c r="AE57" s="204"/>
      <c r="AF57" s="205"/>
    </row>
    <row r="58" spans="2:32" ht="37.5" customHeight="1" x14ac:dyDescent="0.2">
      <c r="B58" s="199" t="s">
        <v>77</v>
      </c>
      <c r="C58" s="200"/>
      <c r="D58" s="200"/>
      <c r="E58" s="200"/>
      <c r="F58" s="200"/>
      <c r="G58" s="201"/>
      <c r="H58" s="203" t="s">
        <v>78</v>
      </c>
      <c r="I58" s="204"/>
      <c r="J58" s="204"/>
      <c r="K58" s="204"/>
      <c r="L58" s="204"/>
      <c r="M58" s="204"/>
      <c r="N58" s="204"/>
      <c r="O58" s="204"/>
      <c r="P58" s="204"/>
      <c r="Q58" s="204"/>
      <c r="R58" s="204"/>
      <c r="S58" s="204"/>
      <c r="T58" s="204"/>
      <c r="U58" s="204"/>
      <c r="V58" s="204"/>
      <c r="W58" s="204"/>
      <c r="X58" s="204"/>
      <c r="Y58" s="204"/>
      <c r="Z58" s="204"/>
      <c r="AA58" s="204"/>
      <c r="AB58" s="204"/>
      <c r="AC58" s="204"/>
      <c r="AD58" s="204"/>
      <c r="AE58" s="204"/>
      <c r="AF58" s="205"/>
    </row>
    <row r="59" spans="2:32" x14ac:dyDescent="0.2">
      <c r="B59" s="28"/>
      <c r="C59" s="28"/>
      <c r="D59" s="28"/>
      <c r="E59" s="28"/>
      <c r="F59" s="28"/>
      <c r="G59" s="28"/>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row>
    <row r="60" spans="2:32" x14ac:dyDescent="0.2">
      <c r="B60" s="28"/>
      <c r="C60" s="28"/>
      <c r="D60" s="28"/>
      <c r="E60" s="28"/>
      <c r="F60" s="28"/>
      <c r="G60" s="28"/>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row>
    <row r="61" spans="2:32" ht="26.25" x14ac:dyDescent="0.2">
      <c r="B61" s="34" t="s">
        <v>33</v>
      </c>
      <c r="C61" s="35"/>
      <c r="D61" s="35"/>
      <c r="E61" s="35"/>
      <c r="F61" s="35"/>
      <c r="G61" s="35"/>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row>
    <row r="62" spans="2:32" ht="15.75" customHeight="1" x14ac:dyDescent="0.2">
      <c r="B62" s="37"/>
      <c r="C62" s="28"/>
      <c r="D62" s="28"/>
      <c r="E62" s="28"/>
      <c r="F62" s="28"/>
      <c r="G62" s="28"/>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row>
    <row r="63" spans="2:32" x14ac:dyDescent="0.2">
      <c r="B63" s="85" t="s">
        <v>81</v>
      </c>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
      <c r="B64" s="85" t="s">
        <v>112</v>
      </c>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x14ac:dyDescent="0.2">
      <c r="B72" s="38"/>
      <c r="C72" s="38"/>
      <c r="D72" s="38"/>
      <c r="E72" s="38"/>
      <c r="F72" s="38"/>
      <c r="G72" s="38"/>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row>
    <row r="73" spans="2:34" x14ac:dyDescent="0.2">
      <c r="B73" s="38"/>
      <c r="C73" s="38"/>
      <c r="D73" s="38"/>
      <c r="E73" s="38"/>
      <c r="F73" s="38"/>
      <c r="G73" s="38"/>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row>
    <row r="74" spans="2:34" x14ac:dyDescent="0.2">
      <c r="B74" s="38"/>
      <c r="C74" s="38"/>
      <c r="D74" s="38"/>
      <c r="E74" s="38"/>
      <c r="F74" s="38"/>
      <c r="G74" s="38"/>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row>
    <row r="75" spans="2:34" x14ac:dyDescent="0.2">
      <c r="B75" s="38"/>
      <c r="C75" s="38"/>
      <c r="D75" s="38"/>
      <c r="E75" s="38"/>
      <c r="F75" s="38"/>
      <c r="G75" s="38"/>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row>
    <row r="76" spans="2:34" ht="12" customHeight="1" x14ac:dyDescent="0.2"/>
    <row r="77" spans="2:34" ht="12.75" hidden="1" customHeight="1" x14ac:dyDescent="0.2">
      <c r="B77" s="16" t="s">
        <v>82</v>
      </c>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row>
    <row r="78" spans="2:34" ht="12.75" hidden="1" customHeight="1" x14ac:dyDescent="0.2">
      <c r="B78" s="16" t="s">
        <v>83</v>
      </c>
      <c r="F78" s="40"/>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0"/>
    </row>
    <row r="79" spans="2:34" ht="12.75" hidden="1" customHeight="1" x14ac:dyDescent="0.2">
      <c r="B79" s="16" t="s">
        <v>84</v>
      </c>
      <c r="F79" s="40"/>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40"/>
    </row>
    <row r="80" spans="2:34" ht="12.75" hidden="1" customHeight="1" x14ac:dyDescent="0.2">
      <c r="B80" s="16" t="s">
        <v>85</v>
      </c>
      <c r="F80" s="40"/>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40"/>
    </row>
    <row r="81" spans="2:34" ht="12.75" hidden="1" customHeight="1" x14ac:dyDescent="0.2">
      <c r="B81" s="16" t="s">
        <v>86</v>
      </c>
      <c r="F81" s="42"/>
      <c r="G81" s="42"/>
      <c r="H81" s="42"/>
      <c r="I81" s="42"/>
      <c r="J81" s="40"/>
      <c r="K81" s="40"/>
      <c r="L81" s="40"/>
      <c r="M81" s="40"/>
      <c r="N81" s="40"/>
      <c r="O81" s="40"/>
      <c r="P81" s="40"/>
      <c r="Q81" s="40"/>
      <c r="R81" s="40"/>
      <c r="S81" s="42"/>
      <c r="T81" s="42"/>
      <c r="U81" s="42"/>
      <c r="V81" s="42"/>
      <c r="W81" s="42"/>
      <c r="X81" s="42"/>
      <c r="Y81" s="42"/>
      <c r="Z81" s="42"/>
      <c r="AA81" s="42"/>
      <c r="AB81" s="42"/>
      <c r="AC81" s="42"/>
      <c r="AD81" s="42"/>
      <c r="AE81" s="42"/>
      <c r="AF81" s="42"/>
      <c r="AG81" s="42"/>
      <c r="AH81" s="40"/>
    </row>
    <row r="82" spans="2:34" ht="12.75" hidden="1" customHeight="1" x14ac:dyDescent="0.2">
      <c r="B82" s="16" t="s">
        <v>87</v>
      </c>
      <c r="F82" s="42"/>
      <c r="G82" s="42"/>
      <c r="H82" s="42"/>
      <c r="I82" s="42"/>
      <c r="J82" s="40"/>
      <c r="K82" s="40"/>
      <c r="L82" s="40"/>
      <c r="M82" s="40"/>
      <c r="N82" s="40"/>
      <c r="O82" s="40"/>
      <c r="P82" s="40"/>
      <c r="Q82" s="40"/>
      <c r="R82" s="40"/>
      <c r="S82" s="42"/>
      <c r="T82" s="42"/>
      <c r="U82" s="42"/>
      <c r="V82" s="42"/>
      <c r="W82" s="42"/>
      <c r="X82" s="42"/>
      <c r="Y82" s="42"/>
      <c r="Z82" s="42"/>
      <c r="AA82" s="42"/>
      <c r="AB82" s="42"/>
      <c r="AC82" s="42"/>
      <c r="AD82" s="42"/>
      <c r="AE82" s="42"/>
      <c r="AF82" s="42"/>
      <c r="AG82" s="42"/>
      <c r="AH82" s="40"/>
    </row>
    <row r="83" spans="2:34" ht="12.75" hidden="1" customHeight="1" x14ac:dyDescent="0.2">
      <c r="B83" s="16" t="s">
        <v>88</v>
      </c>
      <c r="F83" s="43"/>
      <c r="G83" s="43"/>
      <c r="H83" s="43"/>
      <c r="I83" s="43"/>
      <c r="J83" s="43"/>
      <c r="K83" s="43"/>
      <c r="R83" s="43"/>
      <c r="S83" s="42"/>
      <c r="T83" s="42"/>
      <c r="U83" s="42"/>
      <c r="V83" s="42"/>
      <c r="W83" s="42"/>
      <c r="X83" s="42"/>
      <c r="Y83" s="42"/>
      <c r="Z83" s="42"/>
      <c r="AA83" s="42"/>
      <c r="AB83" s="42"/>
      <c r="AC83" s="42"/>
      <c r="AD83" s="42"/>
      <c r="AE83" s="42"/>
      <c r="AF83" s="42"/>
      <c r="AG83" s="42"/>
      <c r="AH83" s="43"/>
    </row>
    <row r="84" spans="2:34" ht="12.75" hidden="1" customHeight="1" x14ac:dyDescent="0.2">
      <c r="B84" s="16" t="s">
        <v>89</v>
      </c>
      <c r="R84" s="43"/>
      <c r="S84" s="43"/>
      <c r="T84" s="43"/>
      <c r="U84" s="43"/>
      <c r="V84" s="43"/>
      <c r="W84" s="43"/>
      <c r="X84" s="43"/>
      <c r="Y84" s="43"/>
      <c r="Z84" s="43"/>
      <c r="AA84" s="43"/>
      <c r="AB84" s="43"/>
      <c r="AC84" s="43"/>
      <c r="AD84" s="43"/>
      <c r="AE84" s="43"/>
      <c r="AF84" s="43"/>
      <c r="AG84" s="43"/>
      <c r="AH84" s="43"/>
    </row>
    <row r="85" spans="2:34" ht="12.75" hidden="1" customHeight="1" x14ac:dyDescent="0.2">
      <c r="B85" s="16" t="s">
        <v>90</v>
      </c>
      <c r="R85" s="43"/>
      <c r="S85" s="43"/>
      <c r="T85" s="43"/>
      <c r="U85" s="43"/>
      <c r="V85" s="43"/>
      <c r="W85" s="43"/>
      <c r="X85" s="43"/>
      <c r="Y85" s="43"/>
      <c r="Z85" s="43"/>
      <c r="AA85" s="43"/>
      <c r="AB85" s="43"/>
      <c r="AC85" s="43"/>
      <c r="AD85" s="43"/>
      <c r="AE85" s="43"/>
      <c r="AF85" s="43"/>
      <c r="AG85" s="43"/>
      <c r="AH85" s="43"/>
    </row>
    <row r="86" spans="2:34" ht="12.75" hidden="1" customHeight="1" x14ac:dyDescent="0.2">
      <c r="B86" s="16" t="s">
        <v>91</v>
      </c>
    </row>
    <row r="87" spans="2:34" ht="12.75" hidden="1" customHeight="1" x14ac:dyDescent="0.2">
      <c r="B87" s="16" t="s">
        <v>92</v>
      </c>
    </row>
    <row r="88" spans="2:34" ht="12.75" hidden="1" customHeight="1" x14ac:dyDescent="0.2">
      <c r="B88" s="16" t="s">
        <v>93</v>
      </c>
    </row>
    <row r="89" spans="2:34" ht="12.75" hidden="1" customHeight="1" x14ac:dyDescent="0.2">
      <c r="B89" s="16" t="s">
        <v>94</v>
      </c>
    </row>
    <row r="90" spans="2:34" ht="12.75" hidden="1" customHeight="1" x14ac:dyDescent="0.2">
      <c r="B90" s="16" t="s">
        <v>95</v>
      </c>
    </row>
    <row r="91" spans="2:34" ht="12.75" hidden="1" customHeight="1" x14ac:dyDescent="0.2">
      <c r="B91" s="16" t="s">
        <v>96</v>
      </c>
    </row>
    <row r="92" spans="2:34" ht="12.75" hidden="1" customHeight="1" x14ac:dyDescent="0.2">
      <c r="B92" s="16" t="s">
        <v>97</v>
      </c>
    </row>
    <row r="93" spans="2:34" ht="12.75" hidden="1" customHeight="1" x14ac:dyDescent="0.2">
      <c r="B93" s="16" t="s">
        <v>98</v>
      </c>
    </row>
    <row r="94" spans="2:34" ht="12.75" hidden="1" customHeight="1" x14ac:dyDescent="0.2">
      <c r="B94" s="16" t="s">
        <v>99</v>
      </c>
    </row>
    <row r="95" spans="2:34" ht="12.75" hidden="1" customHeight="1" x14ac:dyDescent="0.2">
      <c r="B95" s="16" t="s">
        <v>100</v>
      </c>
    </row>
    <row r="96" spans="2:34" ht="12.75" hidden="1" customHeight="1" x14ac:dyDescent="0.2">
      <c r="B96" s="16" t="s">
        <v>101</v>
      </c>
    </row>
    <row r="97" spans="2:2" ht="12.75" hidden="1" customHeight="1" x14ac:dyDescent="0.2">
      <c r="B97" s="16" t="s">
        <v>102</v>
      </c>
    </row>
    <row r="98" spans="2:2" ht="12.75" hidden="1" customHeight="1" x14ac:dyDescent="0.2">
      <c r="B98" s="16" t="s">
        <v>103</v>
      </c>
    </row>
    <row r="99" spans="2:2" ht="12.75" hidden="1" customHeight="1" x14ac:dyDescent="0.2">
      <c r="B99" s="16" t="s">
        <v>104</v>
      </c>
    </row>
    <row r="100" spans="2:2" ht="12.75" hidden="1" customHeight="1" x14ac:dyDescent="0.2">
      <c r="B100" s="16" t="s">
        <v>105</v>
      </c>
    </row>
    <row r="101" spans="2:2" ht="12.75" hidden="1" customHeight="1" x14ac:dyDescent="0.2">
      <c r="B101" s="16" t="s">
        <v>106</v>
      </c>
    </row>
    <row r="102" spans="2:2" ht="12.75" hidden="1" customHeight="1" x14ac:dyDescent="0.2">
      <c r="B102" s="16" t="s">
        <v>107</v>
      </c>
    </row>
    <row r="103" spans="2:2" ht="12.75" hidden="1" customHeight="1" x14ac:dyDescent="0.2">
      <c r="B103" s="16" t="s">
        <v>108</v>
      </c>
    </row>
    <row r="104" spans="2:2" ht="12.75" hidden="1" customHeight="1" x14ac:dyDescent="0.2">
      <c r="B104" s="16" t="s">
        <v>109</v>
      </c>
    </row>
    <row r="105" spans="2:2" hidden="1" x14ac:dyDescent="0.2"/>
    <row r="106" spans="2:2" hidden="1" x14ac:dyDescent="0.2"/>
    <row r="107" spans="2:2" hidden="1" x14ac:dyDescent="0.2"/>
    <row r="108" spans="2:2" hidden="1" x14ac:dyDescent="0.2"/>
    <row r="109" spans="2:2" hidden="1" x14ac:dyDescent="0.2"/>
    <row r="110" spans="2:2" hidden="1" x14ac:dyDescent="0.2"/>
    <row r="111" spans="2:2" hidden="1" x14ac:dyDescent="0.2"/>
    <row r="112" spans="2: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x14ac:dyDescent="0.2"/>
    <row r="176" x14ac:dyDescent="0.2"/>
    <row r="177" x14ac:dyDescent="0.2"/>
  </sheetData>
  <sheetProtection formatCells="0" formatRows="0" insertColumns="0" insertRows="0" insertHyperlinks="0" deleteRows="0" selectLockedCells="1" sort="0" autoFilter="0" pivotTables="0"/>
  <mergeCells count="107">
    <mergeCell ref="Y49:AF49"/>
    <mergeCell ref="Y50:AF50"/>
    <mergeCell ref="B48:D48"/>
    <mergeCell ref="B50:D50"/>
    <mergeCell ref="B47:D47"/>
    <mergeCell ref="B58:G58"/>
    <mergeCell ref="H53:AF53"/>
    <mergeCell ref="H58:AF58"/>
    <mergeCell ref="B56:G56"/>
    <mergeCell ref="H56:AF56"/>
    <mergeCell ref="B54:G54"/>
    <mergeCell ref="H54:AF54"/>
    <mergeCell ref="B55:G55"/>
    <mergeCell ref="H55:AF55"/>
    <mergeCell ref="H57:AF57"/>
    <mergeCell ref="B57:G57"/>
    <mergeCell ref="B53:G53"/>
    <mergeCell ref="E50:X50"/>
    <mergeCell ref="E49:X49"/>
    <mergeCell ref="B49:D49"/>
    <mergeCell ref="R26:AF26"/>
    <mergeCell ref="B36:AF36"/>
    <mergeCell ref="R31:AF31"/>
    <mergeCell ref="B31:D31"/>
    <mergeCell ref="E31:H31"/>
    <mergeCell ref="I31:Q31"/>
    <mergeCell ref="E28:H28"/>
    <mergeCell ref="I24:Q24"/>
    <mergeCell ref="R24:AF24"/>
    <mergeCell ref="E27:H27"/>
    <mergeCell ref="I27:Q27"/>
    <mergeCell ref="R28:AF28"/>
    <mergeCell ref="I26:Q26"/>
    <mergeCell ref="E24:H24"/>
    <mergeCell ref="E25:H25"/>
    <mergeCell ref="E26:H26"/>
    <mergeCell ref="B25:D25"/>
    <mergeCell ref="I25:Q25"/>
    <mergeCell ref="B24:D24"/>
    <mergeCell ref="B26:D26"/>
    <mergeCell ref="W7:AA7"/>
    <mergeCell ref="G15:AF15"/>
    <mergeCell ref="G16:AF16"/>
    <mergeCell ref="E7:V7"/>
    <mergeCell ref="A9:AG9"/>
    <mergeCell ref="G17:AF17"/>
    <mergeCell ref="B16:F16"/>
    <mergeCell ref="B17:F17"/>
    <mergeCell ref="B18:F18"/>
    <mergeCell ref="G21:AF21"/>
    <mergeCell ref="B21:F21"/>
    <mergeCell ref="B20:F20"/>
    <mergeCell ref="G20:AF20"/>
    <mergeCell ref="B19:F19"/>
    <mergeCell ref="G19:AF19"/>
    <mergeCell ref="R25:AF25"/>
    <mergeCell ref="AB4:AG4"/>
    <mergeCell ref="AB5:AG5"/>
    <mergeCell ref="AE6:AG6"/>
    <mergeCell ref="AE7:AG7"/>
    <mergeCell ref="A8:AG8"/>
    <mergeCell ref="A4:V4"/>
    <mergeCell ref="A5:V5"/>
    <mergeCell ref="W4:AA4"/>
    <mergeCell ref="W5:AA5"/>
    <mergeCell ref="AB6:AD6"/>
    <mergeCell ref="AB7:AD7"/>
    <mergeCell ref="E6:V6"/>
    <mergeCell ref="B15:F15"/>
    <mergeCell ref="A6:D6"/>
    <mergeCell ref="A7:D7"/>
    <mergeCell ref="W6:AA6"/>
    <mergeCell ref="G18:AF18"/>
    <mergeCell ref="B46:D46"/>
    <mergeCell ref="Y48:AF48"/>
    <mergeCell ref="E48:X48"/>
    <mergeCell ref="B27:D27"/>
    <mergeCell ref="Y41:AF41"/>
    <mergeCell ref="Y42:AF42"/>
    <mergeCell ref="B44:D44"/>
    <mergeCell ref="E44:X44"/>
    <mergeCell ref="Y44:AF44"/>
    <mergeCell ref="B41:D41"/>
    <mergeCell ref="B43:D43"/>
    <mergeCell ref="R27:AF27"/>
    <mergeCell ref="Y46:AF46"/>
    <mergeCell ref="Y47:AF47"/>
    <mergeCell ref="B29:D29"/>
    <mergeCell ref="E29:H29"/>
    <mergeCell ref="I29:Q29"/>
    <mergeCell ref="R29:AF29"/>
    <mergeCell ref="E46:X46"/>
    <mergeCell ref="E47:X47"/>
    <mergeCell ref="Y40:AF40"/>
    <mergeCell ref="B40:D40"/>
    <mergeCell ref="E40:X40"/>
    <mergeCell ref="E43:X43"/>
    <mergeCell ref="E42:X42"/>
    <mergeCell ref="E41:X41"/>
    <mergeCell ref="B42:D42"/>
    <mergeCell ref="Y43:AF43"/>
    <mergeCell ref="B30:D30"/>
    <mergeCell ref="E30:H30"/>
    <mergeCell ref="I30:Q30"/>
    <mergeCell ref="R30:AF30"/>
    <mergeCell ref="B28:D28"/>
    <mergeCell ref="I28:Q28"/>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B1:BH171"/>
  <sheetViews>
    <sheetView showGridLines="0" zoomScaleNormal="100" workbookViewId="0">
      <selection activeCell="H26" sqref="H26:K26"/>
    </sheetView>
  </sheetViews>
  <sheetFormatPr defaultColWidth="0" defaultRowHeight="12.75" customHeight="1" zeroHeight="1" x14ac:dyDescent="0.2"/>
  <cols>
    <col min="1" max="33" width="2.85546875" style="16" customWidth="1"/>
    <col min="34" max="34" width="1.28515625" style="16" customWidth="1"/>
    <col min="35" max="60" width="3.28515625" style="16" hidden="1" customWidth="1"/>
    <col min="61" max="16384" width="0" style="16" hidden="1"/>
  </cols>
  <sheetData>
    <row r="1" spans="2:34" x14ac:dyDescent="0.2">
      <c r="B1" s="207" t="s">
        <v>125</v>
      </c>
      <c r="C1" s="207"/>
      <c r="D1" s="207"/>
      <c r="E1" s="207"/>
      <c r="F1" s="207"/>
      <c r="G1" s="207"/>
      <c r="H1" s="207"/>
      <c r="I1" s="207"/>
      <c r="J1" s="207"/>
      <c r="K1" s="207"/>
      <c r="L1" s="207"/>
      <c r="M1" s="207"/>
      <c r="N1" s="207"/>
      <c r="O1" s="207"/>
      <c r="P1" s="207"/>
      <c r="Q1" s="207"/>
      <c r="R1" s="207"/>
      <c r="S1" s="207"/>
      <c r="T1" s="207"/>
      <c r="U1" s="207"/>
      <c r="V1" s="207"/>
      <c r="W1" s="207"/>
      <c r="X1" s="207"/>
      <c r="Y1" s="207"/>
      <c r="Z1" s="207"/>
      <c r="AA1" s="207"/>
      <c r="AB1" s="207"/>
      <c r="AC1" s="207"/>
      <c r="AD1" s="207"/>
      <c r="AE1" s="207"/>
      <c r="AF1" s="207"/>
      <c r="AG1" s="207"/>
    </row>
    <row r="2" spans="2:34" ht="20.25" customHeight="1" x14ac:dyDescent="0.2">
      <c r="B2" s="207"/>
      <c r="C2" s="207"/>
      <c r="D2" s="207"/>
      <c r="E2" s="207"/>
      <c r="F2" s="207"/>
      <c r="G2" s="207"/>
      <c r="H2" s="207"/>
      <c r="I2" s="207"/>
      <c r="J2" s="207"/>
      <c r="K2" s="207"/>
      <c r="L2" s="207"/>
      <c r="M2" s="207"/>
      <c r="N2" s="207"/>
      <c r="O2" s="207"/>
      <c r="P2" s="207"/>
      <c r="Q2" s="207"/>
      <c r="R2" s="207"/>
      <c r="S2" s="207"/>
      <c r="T2" s="207"/>
      <c r="U2" s="207"/>
      <c r="V2" s="207"/>
      <c r="W2" s="207"/>
      <c r="X2" s="207"/>
      <c r="Y2" s="207"/>
      <c r="Z2" s="207"/>
      <c r="AA2" s="207"/>
      <c r="AB2" s="207"/>
      <c r="AC2" s="207"/>
      <c r="AD2" s="207"/>
      <c r="AE2" s="207"/>
      <c r="AF2" s="207"/>
      <c r="AG2" s="207"/>
    </row>
    <row r="3" spans="2:34" x14ac:dyDescent="0.2">
      <c r="B3" s="207"/>
      <c r="C3" s="207"/>
      <c r="D3" s="207"/>
      <c r="E3" s="207"/>
      <c r="F3" s="207"/>
      <c r="G3" s="207"/>
      <c r="H3" s="207"/>
      <c r="I3" s="207"/>
      <c r="J3" s="207"/>
      <c r="K3" s="207"/>
      <c r="L3" s="207"/>
      <c r="M3" s="207"/>
      <c r="N3" s="207"/>
      <c r="O3" s="207"/>
      <c r="P3" s="207"/>
      <c r="Q3" s="207"/>
      <c r="R3" s="207"/>
      <c r="S3" s="207"/>
      <c r="T3" s="207"/>
      <c r="U3" s="207"/>
      <c r="V3" s="207"/>
      <c r="W3" s="207"/>
      <c r="X3" s="207"/>
      <c r="Y3" s="207"/>
      <c r="Z3" s="207"/>
      <c r="AA3" s="207"/>
      <c r="AB3" s="207"/>
      <c r="AC3" s="207"/>
      <c r="AD3" s="207"/>
      <c r="AE3" s="207"/>
      <c r="AF3" s="207"/>
      <c r="AG3" s="207"/>
    </row>
    <row r="4" spans="2:34" x14ac:dyDescent="0.2">
      <c r="B4" s="207"/>
      <c r="C4" s="207"/>
      <c r="D4" s="207"/>
      <c r="E4" s="207"/>
      <c r="F4" s="207"/>
      <c r="G4" s="207"/>
      <c r="H4" s="207"/>
      <c r="I4" s="207"/>
      <c r="J4" s="207"/>
      <c r="K4" s="207"/>
      <c r="L4" s="207"/>
      <c r="M4" s="207"/>
      <c r="N4" s="207"/>
      <c r="O4" s="207"/>
      <c r="P4" s="207"/>
      <c r="Q4" s="207"/>
      <c r="R4" s="207"/>
      <c r="S4" s="207"/>
      <c r="T4" s="207"/>
      <c r="U4" s="207"/>
      <c r="V4" s="207"/>
      <c r="W4" s="207"/>
      <c r="X4" s="207"/>
      <c r="Y4" s="207"/>
      <c r="Z4" s="207"/>
      <c r="AA4" s="207"/>
      <c r="AB4" s="207"/>
      <c r="AC4" s="207"/>
      <c r="AD4" s="207"/>
      <c r="AE4" s="207"/>
      <c r="AF4" s="207"/>
      <c r="AG4" s="207"/>
    </row>
    <row r="5" spans="2:34" x14ac:dyDescent="0.2">
      <c r="B5" s="207"/>
      <c r="C5" s="207"/>
      <c r="D5" s="207"/>
      <c r="E5" s="207"/>
      <c r="F5" s="207"/>
      <c r="G5" s="207"/>
      <c r="H5" s="207"/>
      <c r="I5" s="207"/>
      <c r="J5" s="207"/>
      <c r="K5" s="207"/>
      <c r="L5" s="207"/>
      <c r="M5" s="207"/>
      <c r="N5" s="207"/>
      <c r="O5" s="207"/>
      <c r="P5" s="207"/>
      <c r="Q5" s="207"/>
      <c r="R5" s="207"/>
      <c r="S5" s="207"/>
      <c r="T5" s="207"/>
      <c r="U5" s="207"/>
      <c r="V5" s="207"/>
      <c r="W5" s="207"/>
      <c r="X5" s="207"/>
      <c r="Y5" s="207"/>
      <c r="Z5" s="207"/>
      <c r="AA5" s="207"/>
      <c r="AB5" s="207"/>
      <c r="AC5" s="207"/>
      <c r="AD5" s="207"/>
      <c r="AE5" s="207"/>
      <c r="AF5" s="207"/>
      <c r="AG5" s="207"/>
    </row>
    <row r="6" spans="2:34" x14ac:dyDescent="0.2">
      <c r="B6" s="207"/>
      <c r="C6" s="207"/>
      <c r="D6" s="207"/>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row>
    <row r="7" spans="2:34" x14ac:dyDescent="0.2">
      <c r="B7" s="207"/>
      <c r="C7" s="207"/>
      <c r="D7" s="207"/>
      <c r="E7" s="207"/>
      <c r="F7" s="207"/>
      <c r="G7" s="207"/>
      <c r="H7" s="207"/>
      <c r="I7" s="207"/>
      <c r="J7" s="207"/>
      <c r="K7" s="207"/>
      <c r="L7" s="207"/>
      <c r="M7" s="207"/>
      <c r="N7" s="207"/>
      <c r="O7" s="207"/>
      <c r="P7" s="207"/>
      <c r="Q7" s="207"/>
      <c r="R7" s="207"/>
      <c r="S7" s="207"/>
      <c r="T7" s="207"/>
      <c r="U7" s="207"/>
      <c r="V7" s="207"/>
      <c r="W7" s="207"/>
      <c r="X7" s="207"/>
      <c r="Y7" s="207"/>
      <c r="Z7" s="207"/>
      <c r="AA7" s="207"/>
      <c r="AB7" s="207"/>
      <c r="AC7" s="207"/>
      <c r="AD7" s="207"/>
      <c r="AE7" s="207"/>
      <c r="AF7" s="207"/>
      <c r="AG7" s="207"/>
    </row>
    <row r="8" spans="2:34" x14ac:dyDescent="0.2">
      <c r="B8" s="207"/>
      <c r="C8" s="207"/>
      <c r="D8" s="207"/>
      <c r="E8" s="207"/>
      <c r="F8" s="207"/>
      <c r="G8" s="207"/>
      <c r="H8" s="207"/>
      <c r="I8" s="207"/>
      <c r="J8" s="207"/>
      <c r="K8" s="207"/>
      <c r="L8" s="207"/>
      <c r="M8" s="207"/>
      <c r="N8" s="207"/>
      <c r="O8" s="207"/>
      <c r="P8" s="207"/>
      <c r="Q8" s="207"/>
      <c r="R8" s="207"/>
      <c r="S8" s="207"/>
      <c r="T8" s="207"/>
      <c r="U8" s="207"/>
      <c r="V8" s="207"/>
      <c r="W8" s="207"/>
      <c r="X8" s="207"/>
      <c r="Y8" s="207"/>
      <c r="Z8" s="207"/>
      <c r="AA8" s="207"/>
      <c r="AB8" s="207"/>
      <c r="AC8" s="207"/>
      <c r="AD8" s="207"/>
      <c r="AE8" s="207"/>
      <c r="AF8" s="207"/>
      <c r="AG8" s="207"/>
    </row>
    <row r="9" spans="2:34" x14ac:dyDescent="0.2">
      <c r="B9" s="207"/>
      <c r="C9" s="207"/>
      <c r="D9" s="207"/>
      <c r="E9" s="207"/>
      <c r="F9" s="207"/>
      <c r="G9" s="207"/>
      <c r="H9" s="207"/>
      <c r="I9" s="207"/>
      <c r="J9" s="207"/>
      <c r="K9" s="207"/>
      <c r="L9" s="207"/>
      <c r="M9" s="207"/>
      <c r="N9" s="207"/>
      <c r="O9" s="207"/>
      <c r="P9" s="207"/>
      <c r="Q9" s="207"/>
      <c r="R9" s="207"/>
      <c r="S9" s="207"/>
      <c r="T9" s="207"/>
      <c r="U9" s="207"/>
      <c r="V9" s="207"/>
      <c r="W9" s="207"/>
      <c r="X9" s="207"/>
      <c r="Y9" s="207"/>
      <c r="Z9" s="207"/>
      <c r="AA9" s="207"/>
      <c r="AB9" s="207"/>
      <c r="AC9" s="207"/>
      <c r="AD9" s="207"/>
      <c r="AE9" s="207"/>
      <c r="AF9" s="207"/>
      <c r="AG9" s="207"/>
    </row>
    <row r="10" spans="2:34" x14ac:dyDescent="0.2">
      <c r="B10" s="207"/>
      <c r="C10" s="207"/>
      <c r="D10" s="207"/>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row>
    <row r="11" spans="2:34" x14ac:dyDescent="0.2">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row>
    <row r="12" spans="2:34" x14ac:dyDescent="0.2">
      <c r="B12" s="207"/>
      <c r="C12" s="207"/>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row>
    <row r="13" spans="2:34" x14ac:dyDescent="0.2">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row>
    <row r="14" spans="2:34" x14ac:dyDescent="0.2">
      <c r="B14" s="207"/>
      <c r="C14" s="207"/>
      <c r="D14" s="207"/>
      <c r="E14" s="207"/>
      <c r="F14" s="207"/>
      <c r="G14" s="207"/>
      <c r="H14" s="207"/>
      <c r="I14" s="207"/>
      <c r="J14" s="207"/>
      <c r="K14" s="207"/>
      <c r="L14" s="207"/>
      <c r="M14" s="207"/>
      <c r="N14" s="207"/>
      <c r="O14" s="207"/>
      <c r="P14" s="207"/>
      <c r="Q14" s="207"/>
      <c r="R14" s="207"/>
      <c r="S14" s="207"/>
      <c r="T14" s="207"/>
      <c r="U14" s="207"/>
      <c r="V14" s="207"/>
      <c r="W14" s="207"/>
      <c r="X14" s="207"/>
      <c r="Y14" s="207"/>
      <c r="Z14" s="207"/>
      <c r="AA14" s="207"/>
      <c r="AB14" s="207"/>
      <c r="AC14" s="207"/>
      <c r="AD14" s="207"/>
      <c r="AE14" s="207"/>
      <c r="AF14" s="207"/>
      <c r="AG14" s="207"/>
      <c r="AH14" s="40"/>
    </row>
    <row r="15" spans="2:34" x14ac:dyDescent="0.2">
      <c r="B15" s="207"/>
      <c r="C15" s="207"/>
      <c r="D15" s="207"/>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40"/>
    </row>
    <row r="16" spans="2:34" x14ac:dyDescent="0.2">
      <c r="B16" s="207"/>
      <c r="C16" s="207"/>
      <c r="D16" s="207"/>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40"/>
    </row>
    <row r="17" spans="2:34" x14ac:dyDescent="0.2">
      <c r="B17" s="207"/>
      <c r="C17" s="207"/>
      <c r="D17" s="207"/>
      <c r="E17" s="207"/>
      <c r="F17" s="207"/>
      <c r="G17" s="207"/>
      <c r="H17" s="207"/>
      <c r="I17" s="207"/>
      <c r="J17" s="207"/>
      <c r="K17" s="207"/>
      <c r="L17" s="207"/>
      <c r="M17" s="207"/>
      <c r="N17" s="207"/>
      <c r="O17" s="207"/>
      <c r="P17" s="207"/>
      <c r="Q17" s="207"/>
      <c r="R17" s="207"/>
      <c r="S17" s="207"/>
      <c r="T17" s="207"/>
      <c r="U17" s="207"/>
      <c r="V17" s="207"/>
      <c r="W17" s="207"/>
      <c r="X17" s="207"/>
      <c r="Y17" s="207"/>
      <c r="Z17" s="207"/>
      <c r="AA17" s="207"/>
      <c r="AB17" s="207"/>
      <c r="AC17" s="207"/>
      <c r="AD17" s="207"/>
      <c r="AE17" s="207"/>
      <c r="AF17" s="207"/>
      <c r="AG17" s="207"/>
      <c r="AH17" s="40"/>
    </row>
    <row r="18" spans="2:34" x14ac:dyDescent="0.2">
      <c r="B18" s="207"/>
      <c r="C18" s="207"/>
      <c r="D18" s="207"/>
      <c r="E18" s="207"/>
      <c r="F18" s="207"/>
      <c r="G18" s="207"/>
      <c r="H18" s="207"/>
      <c r="I18" s="207"/>
      <c r="J18" s="207"/>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40"/>
    </row>
    <row r="19" spans="2:34" x14ac:dyDescent="0.2">
      <c r="B19" s="207"/>
      <c r="C19" s="207"/>
      <c r="D19" s="207"/>
      <c r="E19" s="207"/>
      <c r="F19" s="207"/>
      <c r="G19" s="207"/>
      <c r="H19" s="207"/>
      <c r="I19" s="207"/>
      <c r="J19" s="207"/>
      <c r="K19" s="207"/>
      <c r="L19" s="207"/>
      <c r="M19" s="207"/>
      <c r="N19" s="207"/>
      <c r="O19" s="207"/>
      <c r="P19" s="207"/>
      <c r="Q19" s="207"/>
      <c r="R19" s="207"/>
      <c r="S19" s="207"/>
      <c r="T19" s="207"/>
      <c r="U19" s="207"/>
      <c r="V19" s="207"/>
      <c r="W19" s="207"/>
      <c r="X19" s="207"/>
      <c r="Y19" s="207"/>
      <c r="Z19" s="207"/>
      <c r="AA19" s="207"/>
      <c r="AB19" s="207"/>
      <c r="AC19" s="207"/>
      <c r="AD19" s="207"/>
      <c r="AE19" s="207"/>
      <c r="AF19" s="207"/>
      <c r="AG19" s="207"/>
      <c r="AH19" s="40"/>
    </row>
    <row r="20" spans="2:34" x14ac:dyDescent="0.2">
      <c r="B20" s="207"/>
      <c r="C20" s="207"/>
      <c r="D20" s="207"/>
      <c r="E20" s="207"/>
      <c r="F20" s="207"/>
      <c r="G20" s="207"/>
      <c r="H20" s="207"/>
      <c r="I20" s="207"/>
      <c r="J20" s="207"/>
      <c r="K20" s="207"/>
      <c r="L20" s="207"/>
      <c r="M20" s="207"/>
      <c r="N20" s="207"/>
      <c r="O20" s="207"/>
      <c r="P20" s="207"/>
      <c r="Q20" s="207"/>
      <c r="R20" s="207"/>
      <c r="S20" s="207"/>
      <c r="T20" s="207"/>
      <c r="U20" s="207"/>
      <c r="V20" s="207"/>
      <c r="W20" s="207"/>
      <c r="X20" s="207"/>
      <c r="Y20" s="207"/>
      <c r="Z20" s="207"/>
      <c r="AA20" s="207"/>
      <c r="AB20" s="207"/>
      <c r="AC20" s="207"/>
      <c r="AD20" s="207"/>
      <c r="AE20" s="207"/>
      <c r="AF20" s="207"/>
      <c r="AG20" s="207"/>
      <c r="AH20" s="43"/>
    </row>
    <row r="21" spans="2:34" x14ac:dyDescent="0.2">
      <c r="B21" s="207"/>
      <c r="C21" s="207"/>
      <c r="D21" s="207"/>
      <c r="E21" s="207"/>
      <c r="F21" s="207"/>
      <c r="G21" s="207"/>
      <c r="H21" s="207"/>
      <c r="I21" s="207"/>
      <c r="J21" s="207"/>
      <c r="K21" s="207"/>
      <c r="L21" s="207"/>
      <c r="M21" s="207"/>
      <c r="N21" s="207"/>
      <c r="O21" s="207"/>
      <c r="P21" s="207"/>
      <c r="Q21" s="207"/>
      <c r="R21" s="207"/>
      <c r="S21" s="207"/>
      <c r="T21" s="207"/>
      <c r="U21" s="207"/>
      <c r="V21" s="207"/>
      <c r="W21" s="207"/>
      <c r="X21" s="207"/>
      <c r="Y21" s="207"/>
      <c r="Z21" s="207"/>
      <c r="AA21" s="207"/>
      <c r="AB21" s="207"/>
      <c r="AC21" s="207"/>
      <c r="AD21" s="207"/>
      <c r="AE21" s="207"/>
      <c r="AF21" s="207"/>
      <c r="AG21" s="207"/>
      <c r="AH21" s="43"/>
    </row>
    <row r="22" spans="2:34" x14ac:dyDescent="0.2">
      <c r="B22" s="207"/>
      <c r="C22" s="207"/>
      <c r="D22" s="207"/>
      <c r="E22" s="207"/>
      <c r="F22" s="207"/>
      <c r="G22" s="207"/>
      <c r="H22" s="207"/>
      <c r="I22" s="207"/>
      <c r="J22" s="207"/>
      <c r="K22" s="207"/>
      <c r="L22" s="207"/>
      <c r="M22" s="207"/>
      <c r="N22" s="207"/>
      <c r="O22" s="207"/>
      <c r="P22" s="207"/>
      <c r="Q22" s="207"/>
      <c r="R22" s="207"/>
      <c r="S22" s="207"/>
      <c r="T22" s="207"/>
      <c r="U22" s="207"/>
      <c r="V22" s="207"/>
      <c r="W22" s="207"/>
      <c r="X22" s="207"/>
      <c r="Y22" s="207"/>
      <c r="Z22" s="207"/>
      <c r="AA22" s="207"/>
      <c r="AB22" s="207"/>
      <c r="AC22" s="207"/>
      <c r="AD22" s="207"/>
      <c r="AE22" s="207"/>
      <c r="AF22" s="207"/>
      <c r="AG22" s="207"/>
      <c r="AH22" s="43"/>
    </row>
    <row r="23" spans="2:34" x14ac:dyDescent="0.2">
      <c r="B23" s="207"/>
      <c r="C23" s="207"/>
      <c r="D23" s="207"/>
      <c r="E23" s="207"/>
      <c r="F23" s="207"/>
      <c r="G23" s="207"/>
      <c r="H23" s="207"/>
      <c r="I23" s="207"/>
      <c r="J23" s="207"/>
      <c r="K23" s="207"/>
      <c r="L23" s="207"/>
      <c r="M23" s="207"/>
      <c r="N23" s="207"/>
      <c r="O23" s="207"/>
      <c r="P23" s="207"/>
      <c r="Q23" s="207"/>
      <c r="R23" s="207"/>
      <c r="S23" s="207"/>
      <c r="T23" s="207"/>
      <c r="U23" s="207"/>
      <c r="V23" s="207"/>
      <c r="W23" s="207"/>
      <c r="X23" s="207"/>
      <c r="Y23" s="207"/>
      <c r="Z23" s="207"/>
      <c r="AA23" s="207"/>
      <c r="AB23" s="207"/>
      <c r="AC23" s="207"/>
      <c r="AD23" s="207"/>
      <c r="AE23" s="207"/>
      <c r="AF23" s="207"/>
      <c r="AG23" s="207"/>
    </row>
    <row r="24" spans="2:34" x14ac:dyDescent="0.2">
      <c r="B24" s="207"/>
      <c r="C24" s="207"/>
      <c r="D24" s="207"/>
      <c r="E24" s="207"/>
      <c r="F24" s="207"/>
      <c r="G24" s="207"/>
      <c r="H24" s="207"/>
      <c r="I24" s="207"/>
      <c r="J24" s="207"/>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row>
    <row r="25" spans="2:34" x14ac:dyDescent="0.2">
      <c r="B25" s="207"/>
      <c r="C25" s="207"/>
      <c r="D25" s="207"/>
      <c r="E25" s="207"/>
      <c r="F25" s="207"/>
      <c r="G25" s="207"/>
      <c r="H25" s="207"/>
      <c r="I25" s="207"/>
      <c r="J25" s="207"/>
      <c r="K25" s="207"/>
      <c r="L25" s="207"/>
      <c r="M25" s="207"/>
      <c r="N25" s="207"/>
      <c r="O25" s="207"/>
      <c r="P25" s="207"/>
      <c r="Q25" s="207"/>
      <c r="R25" s="207"/>
      <c r="S25" s="207"/>
      <c r="T25" s="207"/>
      <c r="U25" s="207"/>
      <c r="V25" s="207"/>
      <c r="W25" s="207"/>
      <c r="X25" s="207"/>
      <c r="Y25" s="207"/>
      <c r="Z25" s="207"/>
      <c r="AA25" s="207"/>
      <c r="AB25" s="207"/>
      <c r="AC25" s="207"/>
      <c r="AD25" s="207"/>
      <c r="AE25" s="207"/>
      <c r="AF25" s="207"/>
      <c r="AG25" s="207"/>
    </row>
    <row r="26" spans="2:34" x14ac:dyDescent="0.2">
      <c r="B26" s="207"/>
      <c r="C26" s="207"/>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7"/>
      <c r="AB26" s="207"/>
      <c r="AC26" s="207"/>
      <c r="AD26" s="207"/>
      <c r="AE26" s="207"/>
      <c r="AF26" s="207"/>
      <c r="AG26" s="207"/>
    </row>
    <row r="27" spans="2:34" x14ac:dyDescent="0.2">
      <c r="B27" s="207"/>
      <c r="C27" s="207"/>
      <c r="D27" s="207"/>
      <c r="E27" s="207"/>
      <c r="F27" s="207"/>
      <c r="G27" s="207"/>
      <c r="H27" s="207"/>
      <c r="I27" s="207"/>
      <c r="J27" s="207"/>
      <c r="K27" s="207"/>
      <c r="L27" s="207"/>
      <c r="M27" s="207"/>
      <c r="N27" s="207"/>
      <c r="O27" s="207"/>
      <c r="P27" s="207"/>
      <c r="Q27" s="207"/>
      <c r="R27" s="207"/>
      <c r="S27" s="207"/>
      <c r="T27" s="207"/>
      <c r="U27" s="207"/>
      <c r="V27" s="207"/>
      <c r="W27" s="207"/>
      <c r="X27" s="207"/>
      <c r="Y27" s="207"/>
      <c r="Z27" s="207"/>
      <c r="AA27" s="207"/>
      <c r="AB27" s="207"/>
      <c r="AC27" s="207"/>
      <c r="AD27" s="207"/>
      <c r="AE27" s="207"/>
      <c r="AF27" s="207"/>
      <c r="AG27" s="207"/>
    </row>
    <row r="28" spans="2:34" x14ac:dyDescent="0.2">
      <c r="B28" s="207"/>
      <c r="C28" s="207"/>
      <c r="D28" s="207"/>
      <c r="E28" s="207"/>
      <c r="F28" s="207"/>
      <c r="G28" s="207"/>
      <c r="H28" s="207"/>
      <c r="I28" s="207"/>
      <c r="J28" s="207"/>
      <c r="K28" s="207"/>
      <c r="L28" s="207"/>
      <c r="M28" s="207"/>
      <c r="N28" s="207"/>
      <c r="O28" s="207"/>
      <c r="P28" s="207"/>
      <c r="Q28" s="207"/>
      <c r="R28" s="207"/>
      <c r="S28" s="207"/>
      <c r="T28" s="207"/>
      <c r="U28" s="207"/>
      <c r="V28" s="207"/>
      <c r="W28" s="207"/>
      <c r="X28" s="207"/>
      <c r="Y28" s="207"/>
      <c r="Z28" s="207"/>
      <c r="AA28" s="207"/>
      <c r="AB28" s="207"/>
      <c r="AC28" s="207"/>
      <c r="AD28" s="207"/>
      <c r="AE28" s="207"/>
      <c r="AF28" s="207"/>
      <c r="AG28" s="207"/>
    </row>
    <row r="29" spans="2:34" x14ac:dyDescent="0.2">
      <c r="B29" s="207"/>
      <c r="C29" s="207"/>
      <c r="D29" s="207"/>
      <c r="E29" s="207"/>
      <c r="F29" s="207"/>
      <c r="G29" s="207"/>
      <c r="H29" s="207"/>
      <c r="I29" s="207"/>
      <c r="J29" s="207"/>
      <c r="K29" s="207"/>
      <c r="L29" s="207"/>
      <c r="M29" s="207"/>
      <c r="N29" s="207"/>
      <c r="O29" s="207"/>
      <c r="P29" s="207"/>
      <c r="Q29" s="207"/>
      <c r="R29" s="207"/>
      <c r="S29" s="207"/>
      <c r="T29" s="207"/>
      <c r="U29" s="207"/>
      <c r="V29" s="207"/>
      <c r="W29" s="207"/>
      <c r="X29" s="207"/>
      <c r="Y29" s="207"/>
      <c r="Z29" s="207"/>
      <c r="AA29" s="207"/>
      <c r="AB29" s="207"/>
      <c r="AC29" s="207"/>
      <c r="AD29" s="207"/>
      <c r="AE29" s="207"/>
      <c r="AF29" s="207"/>
      <c r="AG29" s="207"/>
    </row>
    <row r="30" spans="2:34" x14ac:dyDescent="0.2">
      <c r="B30" s="207"/>
      <c r="C30" s="207"/>
      <c r="D30" s="207"/>
      <c r="E30" s="207"/>
      <c r="F30" s="207"/>
      <c r="G30" s="207"/>
      <c r="H30" s="207"/>
      <c r="I30" s="207"/>
      <c r="J30" s="207"/>
      <c r="K30" s="207"/>
      <c r="L30" s="207"/>
      <c r="M30" s="207"/>
      <c r="N30" s="207"/>
      <c r="O30" s="207"/>
      <c r="P30" s="207"/>
      <c r="Q30" s="207"/>
      <c r="R30" s="207"/>
      <c r="S30" s="207"/>
      <c r="T30" s="207"/>
      <c r="U30" s="207"/>
      <c r="V30" s="207"/>
      <c r="W30" s="207"/>
      <c r="X30" s="207"/>
      <c r="Y30" s="207"/>
      <c r="Z30" s="207"/>
      <c r="AA30" s="207"/>
      <c r="AB30" s="207"/>
      <c r="AC30" s="207"/>
      <c r="AD30" s="207"/>
      <c r="AE30" s="207"/>
      <c r="AF30" s="207"/>
      <c r="AG30" s="207"/>
    </row>
    <row r="31" spans="2:34" x14ac:dyDescent="0.2">
      <c r="B31" s="207"/>
      <c r="C31" s="207"/>
      <c r="D31" s="207"/>
      <c r="E31" s="207"/>
      <c r="F31" s="207"/>
      <c r="G31" s="207"/>
      <c r="H31" s="207"/>
      <c r="I31" s="207"/>
      <c r="J31" s="207"/>
      <c r="K31" s="207"/>
      <c r="L31" s="207"/>
      <c r="M31" s="207"/>
      <c r="N31" s="207"/>
      <c r="O31" s="207"/>
      <c r="P31" s="207"/>
      <c r="Q31" s="207"/>
      <c r="R31" s="207"/>
      <c r="S31" s="207"/>
      <c r="T31" s="207"/>
      <c r="U31" s="207"/>
      <c r="V31" s="207"/>
      <c r="W31" s="207"/>
      <c r="X31" s="207"/>
      <c r="Y31" s="207"/>
      <c r="Z31" s="207"/>
      <c r="AA31" s="207"/>
      <c r="AB31" s="207"/>
      <c r="AC31" s="207"/>
      <c r="AD31" s="207"/>
      <c r="AE31" s="207"/>
      <c r="AF31" s="207"/>
      <c r="AG31" s="207"/>
    </row>
    <row r="32" spans="2:34" x14ac:dyDescent="0.2">
      <c r="B32" s="207"/>
      <c r="C32" s="207"/>
      <c r="D32" s="207"/>
      <c r="E32" s="207"/>
      <c r="F32" s="207"/>
      <c r="G32" s="207"/>
      <c r="H32" s="207"/>
      <c r="I32" s="207"/>
      <c r="J32" s="207"/>
      <c r="K32" s="207"/>
      <c r="L32" s="207"/>
      <c r="M32" s="207"/>
      <c r="N32" s="207"/>
      <c r="O32" s="207"/>
      <c r="P32" s="207"/>
      <c r="Q32" s="207"/>
      <c r="R32" s="207"/>
      <c r="S32" s="207"/>
      <c r="T32" s="207"/>
      <c r="U32" s="207"/>
      <c r="V32" s="207"/>
      <c r="W32" s="207"/>
      <c r="X32" s="207"/>
      <c r="Y32" s="207"/>
      <c r="Z32" s="207"/>
      <c r="AA32" s="207"/>
      <c r="AB32" s="207"/>
      <c r="AC32" s="207"/>
      <c r="AD32" s="207"/>
      <c r="AE32" s="207"/>
      <c r="AF32" s="207"/>
      <c r="AG32" s="207"/>
    </row>
    <row r="33" spans="2:33" x14ac:dyDescent="0.2">
      <c r="B33" s="207"/>
      <c r="C33" s="207"/>
      <c r="D33" s="207"/>
      <c r="E33" s="207"/>
      <c r="F33" s="207"/>
      <c r="G33" s="207"/>
      <c r="H33" s="207"/>
      <c r="I33" s="207"/>
      <c r="J33" s="207"/>
      <c r="K33" s="207"/>
      <c r="L33" s="207"/>
      <c r="M33" s="207"/>
      <c r="N33" s="207"/>
      <c r="O33" s="207"/>
      <c r="P33" s="207"/>
      <c r="Q33" s="207"/>
      <c r="R33" s="207"/>
      <c r="S33" s="207"/>
      <c r="T33" s="207"/>
      <c r="U33" s="207"/>
      <c r="V33" s="207"/>
      <c r="W33" s="207"/>
      <c r="X33" s="207"/>
      <c r="Y33" s="207"/>
      <c r="Z33" s="207"/>
      <c r="AA33" s="207"/>
      <c r="AB33" s="207"/>
      <c r="AC33" s="207"/>
      <c r="AD33" s="207"/>
      <c r="AE33" s="207"/>
      <c r="AF33" s="207"/>
      <c r="AG33" s="207"/>
    </row>
    <row r="34" spans="2:33" x14ac:dyDescent="0.2">
      <c r="B34" s="207"/>
      <c r="C34" s="207"/>
      <c r="D34" s="207"/>
      <c r="E34" s="207"/>
      <c r="F34" s="207"/>
      <c r="G34" s="207"/>
      <c r="H34" s="207"/>
      <c r="I34" s="207"/>
      <c r="J34" s="207"/>
      <c r="K34" s="207"/>
      <c r="L34" s="207"/>
      <c r="M34" s="207"/>
      <c r="N34" s="207"/>
      <c r="O34" s="207"/>
      <c r="P34" s="207"/>
      <c r="Q34" s="207"/>
      <c r="R34" s="207"/>
      <c r="S34" s="207"/>
      <c r="T34" s="207"/>
      <c r="U34" s="207"/>
      <c r="V34" s="207"/>
      <c r="W34" s="207"/>
      <c r="X34" s="207"/>
      <c r="Y34" s="207"/>
      <c r="Z34" s="207"/>
      <c r="AA34" s="207"/>
      <c r="AB34" s="207"/>
      <c r="AC34" s="207"/>
      <c r="AD34" s="207"/>
      <c r="AE34" s="207"/>
      <c r="AF34" s="207"/>
      <c r="AG34" s="207"/>
    </row>
    <row r="35" spans="2:33" ht="12.75" customHeight="1" x14ac:dyDescent="0.2">
      <c r="B35" s="207"/>
      <c r="C35" s="207"/>
      <c r="D35" s="207"/>
      <c r="E35" s="207"/>
      <c r="F35" s="207"/>
      <c r="G35" s="207"/>
      <c r="H35" s="207"/>
      <c r="I35" s="207"/>
      <c r="J35" s="207"/>
      <c r="K35" s="207"/>
      <c r="L35" s="207"/>
      <c r="M35" s="207"/>
      <c r="N35" s="207"/>
      <c r="O35" s="207"/>
      <c r="P35" s="207"/>
      <c r="Q35" s="207"/>
      <c r="R35" s="207"/>
      <c r="S35" s="207"/>
      <c r="T35" s="207"/>
      <c r="U35" s="207"/>
      <c r="V35" s="207"/>
      <c r="W35" s="207"/>
      <c r="X35" s="207"/>
      <c r="Y35" s="207"/>
      <c r="Z35" s="207"/>
      <c r="AA35" s="207"/>
      <c r="AB35" s="207"/>
      <c r="AC35" s="207"/>
      <c r="AD35" s="207"/>
      <c r="AE35" s="207"/>
      <c r="AF35" s="207"/>
      <c r="AG35" s="207"/>
    </row>
    <row r="36" spans="2:33" ht="12.75" customHeight="1" x14ac:dyDescent="0.2">
      <c r="B36" s="207"/>
      <c r="C36" s="207"/>
      <c r="D36" s="207"/>
      <c r="E36" s="207"/>
      <c r="F36" s="207"/>
      <c r="G36" s="207"/>
      <c r="H36" s="207"/>
      <c r="I36" s="207"/>
      <c r="J36" s="207"/>
      <c r="K36" s="207"/>
      <c r="L36" s="207"/>
      <c r="M36" s="207"/>
      <c r="N36" s="207"/>
      <c r="O36" s="207"/>
      <c r="P36" s="207"/>
      <c r="Q36" s="207"/>
      <c r="R36" s="207"/>
      <c r="S36" s="207"/>
      <c r="T36" s="207"/>
      <c r="U36" s="207"/>
      <c r="V36" s="207"/>
      <c r="W36" s="207"/>
      <c r="X36" s="207"/>
      <c r="Y36" s="207"/>
      <c r="Z36" s="207"/>
      <c r="AA36" s="207"/>
      <c r="AB36" s="207"/>
      <c r="AC36" s="207"/>
      <c r="AD36" s="207"/>
      <c r="AE36" s="207"/>
      <c r="AF36" s="207"/>
      <c r="AG36" s="207"/>
    </row>
    <row r="37" spans="2:33" ht="12.75" customHeight="1" x14ac:dyDescent="0.2">
      <c r="B37" s="207"/>
      <c r="C37" s="207"/>
      <c r="D37" s="207"/>
      <c r="E37" s="207"/>
      <c r="F37" s="207"/>
      <c r="G37" s="207"/>
      <c r="H37" s="207"/>
      <c r="I37" s="207"/>
      <c r="J37" s="207"/>
      <c r="K37" s="207"/>
      <c r="L37" s="207"/>
      <c r="M37" s="207"/>
      <c r="N37" s="207"/>
      <c r="O37" s="207"/>
      <c r="P37" s="207"/>
      <c r="Q37" s="207"/>
      <c r="R37" s="207"/>
      <c r="S37" s="207"/>
      <c r="T37" s="207"/>
      <c r="U37" s="207"/>
      <c r="V37" s="207"/>
      <c r="W37" s="207"/>
      <c r="X37" s="207"/>
      <c r="Y37" s="207"/>
      <c r="Z37" s="207"/>
      <c r="AA37" s="207"/>
      <c r="AB37" s="207"/>
      <c r="AC37" s="207"/>
      <c r="AD37" s="207"/>
      <c r="AE37" s="207"/>
      <c r="AF37" s="207"/>
      <c r="AG37" s="207"/>
    </row>
    <row r="38" spans="2:33" ht="12.75" customHeight="1" x14ac:dyDescent="0.2"/>
    <row r="39" spans="2:33" ht="12.75" customHeight="1" x14ac:dyDescent="0.2"/>
    <row r="40" spans="2:33" ht="12.75" customHeight="1" x14ac:dyDescent="0.2"/>
    <row r="41" spans="2:33" ht="12.75" customHeight="1" x14ac:dyDescent="0.2"/>
    <row r="42" spans="2:33" ht="12.75" customHeight="1" x14ac:dyDescent="0.2"/>
    <row r="43" spans="2:33" ht="12.75" customHeight="1" x14ac:dyDescent="0.2"/>
    <row r="44" spans="2:33" ht="12.75" customHeight="1" x14ac:dyDescent="0.2"/>
    <row r="45" spans="2:33" ht="12.75" customHeight="1" x14ac:dyDescent="0.2"/>
    <row r="46" spans="2:33" ht="12.75" customHeight="1" x14ac:dyDescent="0.2"/>
    <row r="47" spans="2:33" ht="12.75" customHeight="1" x14ac:dyDescent="0.2"/>
    <row r="48" spans="2:33"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tint="-0.499984740745262"/>
  </sheetPr>
  <dimension ref="B1:N46"/>
  <sheetViews>
    <sheetView tabSelected="1" topLeftCell="A16" zoomScale="85" zoomScaleNormal="85" workbookViewId="0">
      <selection activeCell="B8" sqref="B8:B46"/>
    </sheetView>
  </sheetViews>
  <sheetFormatPr defaultRowHeight="12.75" x14ac:dyDescent="0.2"/>
  <cols>
    <col min="1" max="1" width="2.5703125" customWidth="1"/>
    <col min="2" max="2" width="5.28515625" customWidth="1"/>
    <col min="3" max="3" width="31.5703125" bestFit="1" customWidth="1"/>
    <col min="4" max="4" width="35.85546875" customWidth="1"/>
    <col min="5" max="5" width="12.7109375" bestFit="1" customWidth="1"/>
    <col min="6" max="6" width="54.140625" bestFit="1" customWidth="1"/>
    <col min="7" max="7" width="11.7109375" customWidth="1"/>
    <col min="8" max="8" width="7.5703125" bestFit="1" customWidth="1"/>
    <col min="9" max="9" width="11.85546875" customWidth="1"/>
    <col min="10" max="10" width="27.5703125" customWidth="1"/>
    <col min="12" max="13" width="11.42578125" customWidth="1"/>
    <col min="14" max="14" width="18.28515625" customWidth="1"/>
  </cols>
  <sheetData>
    <row r="1" spans="2:14" ht="13.5" thickBot="1" x14ac:dyDescent="0.25"/>
    <row r="2" spans="2:14" ht="45.75" thickBot="1" x14ac:dyDescent="0.25">
      <c r="B2" s="59" t="s">
        <v>37</v>
      </c>
      <c r="C2" s="60" t="s">
        <v>38</v>
      </c>
      <c r="D2" s="61" t="s">
        <v>68</v>
      </c>
      <c r="E2" s="61" t="s">
        <v>110</v>
      </c>
      <c r="F2" s="61" t="s">
        <v>39</v>
      </c>
      <c r="G2" s="61" t="s">
        <v>126</v>
      </c>
      <c r="H2" s="61" t="s">
        <v>70</v>
      </c>
      <c r="I2" s="60" t="s">
        <v>12</v>
      </c>
      <c r="J2" s="60" t="s">
        <v>69</v>
      </c>
      <c r="K2" s="60" t="s">
        <v>59</v>
      </c>
      <c r="L2" s="62" t="s">
        <v>40</v>
      </c>
      <c r="M2" s="62" t="s">
        <v>71</v>
      </c>
      <c r="N2" s="63" t="s">
        <v>72</v>
      </c>
    </row>
    <row r="3" spans="2:14" s="78" customFormat="1" ht="15.75" thickBot="1" x14ac:dyDescent="0.25">
      <c r="B3" s="77">
        <v>1</v>
      </c>
      <c r="C3" s="121" t="s">
        <v>179</v>
      </c>
      <c r="D3" s="113" t="str">
        <f t="shared" ref="D3:D8" ca="1" si="0">IF(C3&lt;&gt;"",INDIRECT(C3&amp;"!B3"),"")</f>
        <v xml:space="preserve">SYS_MF01_43, </v>
      </c>
      <c r="E3" s="120" t="str">
        <f t="shared" ref="E3:E8" ca="1" si="1">IF(C3&lt;&gt;"",INDIRECT(C3&amp;"!B5"),"")</f>
        <v>Nominal</v>
      </c>
      <c r="F3" s="123" t="str">
        <f t="shared" ref="F3:F8" ca="1" si="2">IF(C3&lt;&gt;"",INDIRECT(C3&amp;"!B1"),"")</f>
        <v>SYS_MF01 Uncovered Req Review for traceability - TBD result</v>
      </c>
      <c r="G3" s="79"/>
      <c r="H3" s="80"/>
      <c r="I3" s="81"/>
      <c r="J3" s="82"/>
      <c r="K3" s="88" t="str">
        <f t="shared" ref="K3:K8" ca="1" si="3">IF(C3&lt;&gt;"",INDIRECT(C3&amp;"!B9"),"")</f>
        <v>Ok</v>
      </c>
      <c r="L3" s="86"/>
      <c r="M3" s="83"/>
      <c r="N3" s="84"/>
    </row>
    <row r="4" spans="2:14" ht="60.75" thickBot="1" x14ac:dyDescent="0.25">
      <c r="B4" s="64">
        <v>2</v>
      </c>
      <c r="C4" s="121" t="s">
        <v>178</v>
      </c>
      <c r="D4" s="113" t="str">
        <f t="shared" ca="1" si="0"/>
        <v>SYS_MF01_228, SYS_MF01_229, SYS_MF01_291, SYS_MF01_294, SYS_MF01_295, SYS_MF01_296, SYS_MF01_308, SYS_MF01_309</v>
      </c>
      <c r="E4" s="120" t="str">
        <f t="shared" ca="1" si="1"/>
        <v>Nominal</v>
      </c>
      <c r="F4" s="123" t="str">
        <f t="shared" ca="1" si="2"/>
        <v>SYS_MF01 Uncovered Req Review for traceability - TBD result</v>
      </c>
      <c r="G4" s="109"/>
      <c r="H4" s="65"/>
      <c r="I4" s="66"/>
      <c r="J4" s="67"/>
      <c r="K4" s="88" t="str">
        <f t="shared" ca="1" si="3"/>
        <v>Not run</v>
      </c>
      <c r="L4" s="87"/>
      <c r="M4" s="76"/>
      <c r="N4" s="68"/>
    </row>
    <row r="5" spans="2:14" ht="45.75" thickBot="1" x14ac:dyDescent="0.25">
      <c r="B5" s="64">
        <v>3</v>
      </c>
      <c r="C5" s="122" t="s">
        <v>180</v>
      </c>
      <c r="D5" s="113" t="str">
        <f t="shared" ca="1" si="0"/>
        <v xml:space="preserve">SYS_MF02_769, SYS_MF02_770, SYS_MF02_771, SYS_MF02_772, SYS_MF02_749, SYS_MF02_728, </v>
      </c>
      <c r="E5" s="120" t="str">
        <f t="shared" ca="1" si="1"/>
        <v>Nominal</v>
      </c>
      <c r="F5" s="123" t="str">
        <f t="shared" ca="1" si="2"/>
        <v>SYS_MF02 Uncovered Req Review for traceability - OK result</v>
      </c>
      <c r="G5" s="109"/>
      <c r="H5" s="65"/>
      <c r="I5" s="66"/>
      <c r="J5" s="67"/>
      <c r="K5" s="88" t="str">
        <f t="shared" ca="1" si="3"/>
        <v>Ok</v>
      </c>
      <c r="L5" s="87"/>
      <c r="M5" s="76"/>
      <c r="N5" s="68"/>
    </row>
    <row r="6" spans="2:14" ht="60.75" thickBot="1" x14ac:dyDescent="0.25">
      <c r="B6" s="64">
        <v>5</v>
      </c>
      <c r="C6" s="122" t="s">
        <v>207</v>
      </c>
      <c r="D6" s="113" t="str">
        <f t="shared" ca="1" si="0"/>
        <v>SYS_MF02_751, SYS_MF02_752, SYS_MF02_753,  SYS_MF02_754, SYS_MF02_755, SYS_MF02_727, SYS_MF02_679</v>
      </c>
      <c r="E6" s="120" t="str">
        <f t="shared" ca="1" si="1"/>
        <v>Nominal</v>
      </c>
      <c r="F6" s="123" t="str">
        <f t="shared" ca="1" si="2"/>
        <v>SYS_MF02 Uncovered Req Review for traceability - TBD result</v>
      </c>
      <c r="G6" s="109"/>
      <c r="H6" s="65"/>
      <c r="I6" s="66"/>
      <c r="J6" s="67"/>
      <c r="K6" s="88" t="str">
        <f t="shared" ca="1" si="3"/>
        <v>Not run</v>
      </c>
      <c r="L6" s="87"/>
      <c r="M6" s="76"/>
      <c r="N6" s="68"/>
    </row>
    <row r="7" spans="2:14" ht="15.75" thickBot="1" x14ac:dyDescent="0.25">
      <c r="B7" s="64">
        <v>6</v>
      </c>
      <c r="C7" s="122" t="s">
        <v>181</v>
      </c>
      <c r="D7" s="113" t="str">
        <f t="shared" ca="1" si="0"/>
        <v>SYS_MF03_163,  SYS_MF03_164</v>
      </c>
      <c r="E7" s="120" t="str">
        <f t="shared" ca="1" si="1"/>
        <v>Nominal</v>
      </c>
      <c r="F7" s="123" t="str">
        <f t="shared" ca="1" si="2"/>
        <v>SYS_MF03 Uncovered Req Review for traceability - OK result</v>
      </c>
      <c r="G7" s="109"/>
      <c r="H7" s="65"/>
      <c r="I7" s="66"/>
      <c r="J7" s="67"/>
      <c r="K7" s="88" t="str">
        <f t="shared" ca="1" si="3"/>
        <v>Ok</v>
      </c>
      <c r="L7" s="87"/>
      <c r="M7" s="76"/>
      <c r="N7" s="68"/>
    </row>
    <row r="8" spans="2:14" ht="45.75" thickBot="1" x14ac:dyDescent="0.25">
      <c r="B8" s="64">
        <v>7</v>
      </c>
      <c r="C8" s="122" t="s">
        <v>182</v>
      </c>
      <c r="D8" s="113" t="str">
        <f t="shared" ca="1" si="0"/>
        <v>SYS_MF03_166, SYS_MF03_167, SYS_MF03_168, SYS_MF03_169, SYS_MF03_90</v>
      </c>
      <c r="E8" s="120" t="str">
        <f t="shared" ca="1" si="1"/>
        <v>Nominal</v>
      </c>
      <c r="F8" s="123" t="str">
        <f t="shared" ca="1" si="2"/>
        <v>SYS_MF03 Uncovered Req Review for traceability - TBD result</v>
      </c>
      <c r="G8" s="109"/>
      <c r="H8" s="65"/>
      <c r="I8" s="66"/>
      <c r="J8" s="67"/>
      <c r="K8" s="88" t="str">
        <f t="shared" ca="1" si="3"/>
        <v>Not run</v>
      </c>
      <c r="L8" s="87"/>
      <c r="M8" s="76"/>
      <c r="N8" s="68"/>
    </row>
    <row r="9" spans="2:14" ht="15.75" thickBot="1" x14ac:dyDescent="0.25">
      <c r="B9" s="64">
        <v>8</v>
      </c>
      <c r="C9" s="122" t="s">
        <v>183</v>
      </c>
      <c r="D9" s="90" t="str">
        <f t="shared" ref="D9:D46" ca="1" si="4">IF(C9&lt;&gt;"",INDIRECT(C9&amp;"!B3"),"")</f>
        <v xml:space="preserve">SYS_MF04_866, SYS_MF04_782, SYS_MF04_901, SYS_MF04_493, SYS_MF04_496, </v>
      </c>
      <c r="E9" s="120" t="str">
        <f t="shared" ref="E9:E46" ca="1" si="5">IF(C9&lt;&gt;"",INDIRECT(C9&amp;"!B5"),"")</f>
        <v>Nominal</v>
      </c>
      <c r="F9" s="124" t="str">
        <f t="shared" ref="F9:F46" ca="1" si="6">IF(C9&lt;&gt;"",INDIRECT(C9&amp;"!B1"),"")</f>
        <v>SYS_MF04 Uncovered Req Review for traceability - TBD Result</v>
      </c>
      <c r="G9" s="109"/>
      <c r="H9" s="65"/>
      <c r="I9" s="66"/>
      <c r="J9" s="67"/>
      <c r="K9" s="88" t="str">
        <f t="shared" ref="K9:K16" ca="1" si="7">IF(C9&lt;&gt;"",INDIRECT(C9&amp;"!B9"),"")</f>
        <v>Not run</v>
      </c>
      <c r="L9" s="87"/>
      <c r="M9" s="76"/>
      <c r="N9" s="68"/>
    </row>
    <row r="10" spans="2:14" ht="15.75" thickBot="1" x14ac:dyDescent="0.25">
      <c r="B10" s="64">
        <v>9</v>
      </c>
      <c r="C10" s="122" t="s">
        <v>184</v>
      </c>
      <c r="D10" s="90" t="str">
        <f t="shared" ca="1" si="4"/>
        <v xml:space="preserve">SYS_MF05_32, SYS_MF05_36, </v>
      </c>
      <c r="E10" s="120" t="str">
        <f t="shared" ca="1" si="5"/>
        <v>Nominal</v>
      </c>
      <c r="F10" s="124" t="str">
        <f t="shared" ca="1" si="6"/>
        <v>SYS_MF05 Uncovered Req Review for traceability - OK result</v>
      </c>
      <c r="G10" s="109"/>
      <c r="H10" s="65"/>
      <c r="I10" s="66"/>
      <c r="J10" s="67"/>
      <c r="K10" s="88" t="str">
        <f t="shared" ca="1" si="7"/>
        <v>Ok</v>
      </c>
      <c r="L10" s="87"/>
      <c r="M10" s="76"/>
      <c r="N10" s="68"/>
    </row>
    <row r="11" spans="2:14" ht="15.75" thickBot="1" x14ac:dyDescent="0.25">
      <c r="B11" s="64">
        <v>10</v>
      </c>
      <c r="C11" s="122" t="s">
        <v>245</v>
      </c>
      <c r="D11" s="90" t="str">
        <f t="shared" ref="D11" ca="1" si="8">IF(C11&lt;&gt;"",INDIRECT(C11&amp;"!B3"),"")</f>
        <v xml:space="preserve">SYS_MF05_31, SYS_MF05_40, SYS_MF05_41, SYS_MF05_42, SYS_MF05_43, </v>
      </c>
      <c r="E11" s="120" t="str">
        <f t="shared" ref="E11" ca="1" si="9">IF(C11&lt;&gt;"",INDIRECT(C11&amp;"!B5"),"")</f>
        <v>Nominal</v>
      </c>
      <c r="F11" s="124" t="str">
        <f t="shared" ref="F11" ca="1" si="10">IF(C11&lt;&gt;"",INDIRECT(C11&amp;"!B1"),"")</f>
        <v>SYS_MF05 Uncovered Req Review for traceability - TBD &amp; NOK result</v>
      </c>
      <c r="G11" s="109"/>
      <c r="H11" s="65"/>
      <c r="I11" s="66"/>
      <c r="J11" s="67"/>
      <c r="K11" s="88" t="str">
        <f t="shared" ca="1" si="7"/>
        <v>Not run</v>
      </c>
      <c r="L11" s="87"/>
      <c r="M11" s="76"/>
      <c r="N11" s="68"/>
    </row>
    <row r="12" spans="2:14" s="119" customFormat="1" ht="15.75" thickBot="1" x14ac:dyDescent="0.25">
      <c r="B12" s="64">
        <v>11</v>
      </c>
      <c r="C12" s="112"/>
      <c r="D12" s="113" t="str">
        <f t="shared" ref="D12" ca="1" si="11">IF(C12&lt;&gt;"",INDIRECT(C12&amp;"!B3"),"")</f>
        <v/>
      </c>
      <c r="E12" s="114" t="str">
        <f t="shared" ref="E12" ca="1" si="12">IF(C12&lt;&gt;"",INDIRECT(C12&amp;"!B5"),"")</f>
        <v/>
      </c>
      <c r="F12" s="114" t="str">
        <f t="shared" ref="F12" ca="1" si="13">IF(C12&lt;&gt;"",INDIRECT(C12&amp;"!B1"),"")</f>
        <v/>
      </c>
      <c r="G12" s="115"/>
      <c r="H12" s="116"/>
      <c r="I12" s="66"/>
      <c r="J12" s="67"/>
      <c r="K12" s="88" t="str">
        <f t="shared" ca="1" si="7"/>
        <v/>
      </c>
      <c r="L12" s="117"/>
      <c r="M12" s="118"/>
      <c r="N12" s="68"/>
    </row>
    <row r="13" spans="2:14" ht="15.75" thickBot="1" x14ac:dyDescent="0.25">
      <c r="B13" s="64">
        <v>12</v>
      </c>
      <c r="C13" s="107"/>
      <c r="D13" s="90" t="str">
        <f t="shared" ca="1" si="4"/>
        <v/>
      </c>
      <c r="E13" s="91" t="str">
        <f t="shared" ca="1" si="5"/>
        <v/>
      </c>
      <c r="F13" s="91" t="str">
        <f t="shared" ca="1" si="6"/>
        <v/>
      </c>
      <c r="G13" s="109"/>
      <c r="H13" s="65"/>
      <c r="I13" s="66"/>
      <c r="J13" s="67"/>
      <c r="K13" s="88" t="str">
        <f t="shared" ca="1" si="7"/>
        <v/>
      </c>
      <c r="L13" s="87"/>
      <c r="M13" s="76"/>
      <c r="N13" s="68"/>
    </row>
    <row r="14" spans="2:14" ht="15.75" thickBot="1" x14ac:dyDescent="0.25">
      <c r="B14" s="64">
        <v>13</v>
      </c>
      <c r="C14" s="107"/>
      <c r="D14" s="90" t="str">
        <f t="shared" ca="1" si="4"/>
        <v/>
      </c>
      <c r="E14" s="91" t="str">
        <f t="shared" ca="1" si="5"/>
        <v/>
      </c>
      <c r="F14" s="91" t="str">
        <f t="shared" ca="1" si="6"/>
        <v/>
      </c>
      <c r="G14" s="109"/>
      <c r="H14" s="65"/>
      <c r="I14" s="66"/>
      <c r="J14" s="67"/>
      <c r="K14" s="88" t="str">
        <f t="shared" ca="1" si="7"/>
        <v/>
      </c>
      <c r="L14" s="87"/>
      <c r="M14" s="76"/>
      <c r="N14" s="68"/>
    </row>
    <row r="15" spans="2:14" ht="15.75" thickBot="1" x14ac:dyDescent="0.25">
      <c r="B15" s="64">
        <v>14</v>
      </c>
      <c r="C15" s="107"/>
      <c r="D15" s="90" t="str">
        <f t="shared" ca="1" si="4"/>
        <v/>
      </c>
      <c r="E15" s="91" t="str">
        <f t="shared" ca="1" si="5"/>
        <v/>
      </c>
      <c r="F15" s="91" t="str">
        <f t="shared" ca="1" si="6"/>
        <v/>
      </c>
      <c r="G15" s="109"/>
      <c r="H15" s="65"/>
      <c r="I15" s="66"/>
      <c r="J15" s="67"/>
      <c r="K15" s="88" t="str">
        <f t="shared" ca="1" si="7"/>
        <v/>
      </c>
      <c r="L15" s="87"/>
      <c r="M15" s="76"/>
      <c r="N15" s="68"/>
    </row>
    <row r="16" spans="2:14" ht="15" x14ac:dyDescent="0.2">
      <c r="B16" s="64">
        <v>15</v>
      </c>
      <c r="C16" s="107"/>
      <c r="D16" s="90" t="str">
        <f t="shared" ca="1" si="4"/>
        <v/>
      </c>
      <c r="E16" s="91" t="str">
        <f t="shared" ca="1" si="5"/>
        <v/>
      </c>
      <c r="F16" s="91" t="str">
        <f t="shared" ca="1" si="6"/>
        <v/>
      </c>
      <c r="G16" s="109"/>
      <c r="H16" s="65"/>
      <c r="I16" s="66"/>
      <c r="J16" s="67"/>
      <c r="K16" s="88" t="str">
        <f t="shared" ca="1" si="7"/>
        <v/>
      </c>
      <c r="L16" s="87"/>
      <c r="M16" s="76"/>
      <c r="N16" s="68"/>
    </row>
    <row r="17" spans="2:14" ht="15" x14ac:dyDescent="0.2">
      <c r="B17" s="64">
        <v>16</v>
      </c>
      <c r="C17" s="107"/>
      <c r="D17" s="90" t="str">
        <f t="shared" ca="1" si="4"/>
        <v/>
      </c>
      <c r="E17" s="91" t="str">
        <f t="shared" ca="1" si="5"/>
        <v/>
      </c>
      <c r="F17" s="91" t="str">
        <f t="shared" ca="1" si="6"/>
        <v/>
      </c>
      <c r="G17" s="109"/>
      <c r="H17" s="65"/>
      <c r="I17" s="66"/>
      <c r="J17" s="67"/>
      <c r="K17" s="89" t="str">
        <f t="shared" ref="K17:K46" ca="1" si="14">IF(C17&lt;&gt;"",INDIRECT(C17&amp;"!B9"),"")</f>
        <v/>
      </c>
      <c r="L17" s="87"/>
      <c r="M17" s="76"/>
      <c r="N17" s="68"/>
    </row>
    <row r="18" spans="2:14" ht="15" x14ac:dyDescent="0.2">
      <c r="B18" s="64">
        <v>17</v>
      </c>
      <c r="C18" s="107"/>
      <c r="D18" s="90" t="str">
        <f t="shared" ca="1" si="4"/>
        <v/>
      </c>
      <c r="E18" s="91" t="str">
        <f t="shared" ca="1" si="5"/>
        <v/>
      </c>
      <c r="F18" s="91" t="str">
        <f t="shared" ca="1" si="6"/>
        <v/>
      </c>
      <c r="G18" s="109"/>
      <c r="H18" s="65"/>
      <c r="I18" s="66"/>
      <c r="J18" s="67"/>
      <c r="K18" s="89" t="str">
        <f t="shared" ca="1" si="14"/>
        <v/>
      </c>
      <c r="L18" s="87"/>
      <c r="M18" s="76"/>
      <c r="N18" s="68"/>
    </row>
    <row r="19" spans="2:14" ht="15" x14ac:dyDescent="0.2">
      <c r="B19" s="64">
        <v>18</v>
      </c>
      <c r="C19" s="107"/>
      <c r="D19" s="90" t="str">
        <f t="shared" ca="1" si="4"/>
        <v/>
      </c>
      <c r="E19" s="91" t="str">
        <f t="shared" ca="1" si="5"/>
        <v/>
      </c>
      <c r="F19" s="91" t="str">
        <f t="shared" ca="1" si="6"/>
        <v/>
      </c>
      <c r="G19" s="109"/>
      <c r="H19" s="65"/>
      <c r="I19" s="66"/>
      <c r="J19" s="67"/>
      <c r="K19" s="89" t="str">
        <f t="shared" ca="1" si="14"/>
        <v/>
      </c>
      <c r="L19" s="87"/>
      <c r="M19" s="76"/>
      <c r="N19" s="68"/>
    </row>
    <row r="20" spans="2:14" ht="15" x14ac:dyDescent="0.2">
      <c r="B20" s="64">
        <v>19</v>
      </c>
      <c r="C20" s="107"/>
      <c r="D20" s="90" t="str">
        <f t="shared" ca="1" si="4"/>
        <v/>
      </c>
      <c r="E20" s="91" t="str">
        <f t="shared" ca="1" si="5"/>
        <v/>
      </c>
      <c r="F20" s="91" t="str">
        <f t="shared" ca="1" si="6"/>
        <v/>
      </c>
      <c r="G20" s="109"/>
      <c r="H20" s="65"/>
      <c r="I20" s="66"/>
      <c r="J20" s="67"/>
      <c r="K20" s="89" t="str">
        <f t="shared" ca="1" si="14"/>
        <v/>
      </c>
      <c r="L20" s="87"/>
      <c r="M20" s="76"/>
      <c r="N20" s="68"/>
    </row>
    <row r="21" spans="2:14" ht="15" x14ac:dyDescent="0.2">
      <c r="B21" s="64">
        <v>20</v>
      </c>
      <c r="C21" s="107"/>
      <c r="D21" s="90" t="str">
        <f t="shared" ca="1" si="4"/>
        <v/>
      </c>
      <c r="E21" s="91" t="str">
        <f t="shared" ca="1" si="5"/>
        <v/>
      </c>
      <c r="F21" s="91" t="str">
        <f t="shared" ca="1" si="6"/>
        <v/>
      </c>
      <c r="G21" s="109"/>
      <c r="H21" s="65"/>
      <c r="I21" s="66"/>
      <c r="J21" s="67"/>
      <c r="K21" s="89" t="str">
        <f t="shared" ca="1" si="14"/>
        <v/>
      </c>
      <c r="L21" s="87"/>
      <c r="M21" s="76"/>
      <c r="N21" s="68"/>
    </row>
    <row r="22" spans="2:14" ht="15" x14ac:dyDescent="0.2">
      <c r="B22" s="64">
        <v>21</v>
      </c>
      <c r="C22" s="107"/>
      <c r="D22" s="90" t="str">
        <f t="shared" ca="1" si="4"/>
        <v/>
      </c>
      <c r="E22" s="91" t="str">
        <f t="shared" ca="1" si="5"/>
        <v/>
      </c>
      <c r="F22" s="91" t="str">
        <f t="shared" ca="1" si="6"/>
        <v/>
      </c>
      <c r="G22" s="109"/>
      <c r="H22" s="65"/>
      <c r="I22" s="66"/>
      <c r="J22" s="67"/>
      <c r="K22" s="89" t="str">
        <f t="shared" ca="1" si="14"/>
        <v/>
      </c>
      <c r="L22" s="87"/>
      <c r="M22" s="76"/>
      <c r="N22" s="68"/>
    </row>
    <row r="23" spans="2:14" ht="15" x14ac:dyDescent="0.2">
      <c r="B23" s="64">
        <v>22</v>
      </c>
      <c r="C23" s="107"/>
      <c r="D23" s="90" t="str">
        <f t="shared" ca="1" si="4"/>
        <v/>
      </c>
      <c r="E23" s="91" t="str">
        <f t="shared" ca="1" si="5"/>
        <v/>
      </c>
      <c r="F23" s="91" t="str">
        <f t="shared" ca="1" si="6"/>
        <v/>
      </c>
      <c r="G23" s="109"/>
      <c r="H23" s="65"/>
      <c r="I23" s="66"/>
      <c r="J23" s="67"/>
      <c r="K23" s="89" t="str">
        <f t="shared" ca="1" si="14"/>
        <v/>
      </c>
      <c r="L23" s="87"/>
      <c r="M23" s="76"/>
      <c r="N23" s="68"/>
    </row>
    <row r="24" spans="2:14" ht="15" x14ac:dyDescent="0.2">
      <c r="B24" s="64">
        <v>23</v>
      </c>
      <c r="C24" s="107"/>
      <c r="D24" s="90" t="str">
        <f t="shared" ca="1" si="4"/>
        <v/>
      </c>
      <c r="E24" s="91" t="str">
        <f t="shared" ca="1" si="5"/>
        <v/>
      </c>
      <c r="F24" s="91" t="str">
        <f t="shared" ca="1" si="6"/>
        <v/>
      </c>
      <c r="G24" s="109"/>
      <c r="H24" s="65"/>
      <c r="I24" s="66"/>
      <c r="J24" s="67"/>
      <c r="K24" s="89" t="str">
        <f t="shared" ca="1" si="14"/>
        <v/>
      </c>
      <c r="L24" s="87"/>
      <c r="M24" s="76"/>
      <c r="N24" s="68"/>
    </row>
    <row r="25" spans="2:14" ht="15" x14ac:dyDescent="0.2">
      <c r="B25" s="64">
        <v>24</v>
      </c>
      <c r="C25" s="107"/>
      <c r="D25" s="90" t="str">
        <f t="shared" ca="1" si="4"/>
        <v/>
      </c>
      <c r="E25" s="91" t="str">
        <f t="shared" ca="1" si="5"/>
        <v/>
      </c>
      <c r="F25" s="91" t="str">
        <f t="shared" ca="1" si="6"/>
        <v/>
      </c>
      <c r="G25" s="109"/>
      <c r="H25" s="65"/>
      <c r="I25" s="66"/>
      <c r="J25" s="67"/>
      <c r="K25" s="89" t="str">
        <f t="shared" ca="1" si="14"/>
        <v/>
      </c>
      <c r="L25" s="87"/>
      <c r="M25" s="76"/>
      <c r="N25" s="68"/>
    </row>
    <row r="26" spans="2:14" ht="15" x14ac:dyDescent="0.2">
      <c r="B26" s="64">
        <v>25</v>
      </c>
      <c r="C26" s="107"/>
      <c r="D26" s="90" t="str">
        <f t="shared" ca="1" si="4"/>
        <v/>
      </c>
      <c r="E26" s="91" t="str">
        <f t="shared" ca="1" si="5"/>
        <v/>
      </c>
      <c r="F26" s="91" t="str">
        <f t="shared" ca="1" si="6"/>
        <v/>
      </c>
      <c r="G26" s="109"/>
      <c r="H26" s="65"/>
      <c r="I26" s="66"/>
      <c r="J26" s="67"/>
      <c r="K26" s="89" t="str">
        <f t="shared" ca="1" si="14"/>
        <v/>
      </c>
      <c r="L26" s="87"/>
      <c r="M26" s="76"/>
      <c r="N26" s="68"/>
    </row>
    <row r="27" spans="2:14" ht="15" x14ac:dyDescent="0.2">
      <c r="B27" s="64">
        <v>26</v>
      </c>
      <c r="C27" s="107"/>
      <c r="D27" s="90" t="str">
        <f t="shared" ca="1" si="4"/>
        <v/>
      </c>
      <c r="E27" s="91" t="str">
        <f t="shared" ca="1" si="5"/>
        <v/>
      </c>
      <c r="F27" s="91" t="str">
        <f t="shared" ca="1" si="6"/>
        <v/>
      </c>
      <c r="G27" s="109"/>
      <c r="H27" s="65"/>
      <c r="I27" s="66"/>
      <c r="J27" s="67"/>
      <c r="K27" s="89" t="str">
        <f t="shared" ca="1" si="14"/>
        <v/>
      </c>
      <c r="L27" s="87"/>
      <c r="M27" s="76"/>
      <c r="N27" s="68"/>
    </row>
    <row r="28" spans="2:14" ht="15" x14ac:dyDescent="0.2">
      <c r="B28" s="64">
        <v>27</v>
      </c>
      <c r="C28" s="107"/>
      <c r="D28" s="90" t="str">
        <f t="shared" ca="1" si="4"/>
        <v/>
      </c>
      <c r="E28" s="91" t="str">
        <f t="shared" ca="1" si="5"/>
        <v/>
      </c>
      <c r="F28" s="91" t="str">
        <f t="shared" ca="1" si="6"/>
        <v/>
      </c>
      <c r="G28" s="109"/>
      <c r="H28" s="65"/>
      <c r="I28" s="66"/>
      <c r="J28" s="67"/>
      <c r="K28" s="89" t="str">
        <f t="shared" ca="1" si="14"/>
        <v/>
      </c>
      <c r="L28" s="87"/>
      <c r="M28" s="76"/>
      <c r="N28" s="68"/>
    </row>
    <row r="29" spans="2:14" ht="15" x14ac:dyDescent="0.2">
      <c r="B29" s="64">
        <v>28</v>
      </c>
      <c r="C29" s="107"/>
      <c r="D29" s="90" t="str">
        <f t="shared" ca="1" si="4"/>
        <v/>
      </c>
      <c r="E29" s="91" t="str">
        <f t="shared" ca="1" si="5"/>
        <v/>
      </c>
      <c r="F29" s="91" t="str">
        <f t="shared" ca="1" si="6"/>
        <v/>
      </c>
      <c r="G29" s="109"/>
      <c r="H29" s="65"/>
      <c r="I29" s="66"/>
      <c r="J29" s="67"/>
      <c r="K29" s="89" t="str">
        <f t="shared" ca="1" si="14"/>
        <v/>
      </c>
      <c r="L29" s="87"/>
      <c r="M29" s="76"/>
      <c r="N29" s="68"/>
    </row>
    <row r="30" spans="2:14" ht="15" x14ac:dyDescent="0.2">
      <c r="B30" s="64">
        <v>29</v>
      </c>
      <c r="C30" s="107"/>
      <c r="D30" s="90" t="str">
        <f t="shared" ca="1" si="4"/>
        <v/>
      </c>
      <c r="E30" s="91" t="str">
        <f t="shared" ca="1" si="5"/>
        <v/>
      </c>
      <c r="F30" s="91" t="str">
        <f t="shared" ca="1" si="6"/>
        <v/>
      </c>
      <c r="G30" s="109"/>
      <c r="H30" s="65"/>
      <c r="I30" s="66"/>
      <c r="J30" s="67"/>
      <c r="K30" s="89" t="str">
        <f t="shared" ca="1" si="14"/>
        <v/>
      </c>
      <c r="L30" s="87"/>
      <c r="M30" s="76"/>
      <c r="N30" s="68"/>
    </row>
    <row r="31" spans="2:14" ht="15" x14ac:dyDescent="0.2">
      <c r="B31" s="64">
        <v>30</v>
      </c>
      <c r="C31" s="107"/>
      <c r="D31" s="90" t="str">
        <f t="shared" ca="1" si="4"/>
        <v/>
      </c>
      <c r="E31" s="91" t="str">
        <f t="shared" ca="1" si="5"/>
        <v/>
      </c>
      <c r="F31" s="91" t="str">
        <f t="shared" ca="1" si="6"/>
        <v/>
      </c>
      <c r="G31" s="109"/>
      <c r="H31" s="65"/>
      <c r="I31" s="66"/>
      <c r="J31" s="67"/>
      <c r="K31" s="89" t="str">
        <f t="shared" ca="1" si="14"/>
        <v/>
      </c>
      <c r="L31" s="87"/>
      <c r="M31" s="76"/>
      <c r="N31" s="68"/>
    </row>
    <row r="32" spans="2:14" ht="15" x14ac:dyDescent="0.2">
      <c r="B32" s="64">
        <v>31</v>
      </c>
      <c r="C32" s="107"/>
      <c r="D32" s="90" t="str">
        <f t="shared" ca="1" si="4"/>
        <v/>
      </c>
      <c r="E32" s="91" t="str">
        <f t="shared" ca="1" si="5"/>
        <v/>
      </c>
      <c r="F32" s="91" t="str">
        <f t="shared" ca="1" si="6"/>
        <v/>
      </c>
      <c r="G32" s="109"/>
      <c r="H32" s="65"/>
      <c r="I32" s="66"/>
      <c r="J32" s="67"/>
      <c r="K32" s="89" t="str">
        <f t="shared" ca="1" si="14"/>
        <v/>
      </c>
      <c r="L32" s="87"/>
      <c r="M32" s="76"/>
      <c r="N32" s="68"/>
    </row>
    <row r="33" spans="2:14" ht="15" x14ac:dyDescent="0.2">
      <c r="B33" s="64">
        <v>32</v>
      </c>
      <c r="C33" s="107"/>
      <c r="D33" s="90" t="str">
        <f t="shared" ca="1" si="4"/>
        <v/>
      </c>
      <c r="E33" s="91" t="str">
        <f t="shared" ca="1" si="5"/>
        <v/>
      </c>
      <c r="F33" s="91" t="str">
        <f t="shared" ca="1" si="6"/>
        <v/>
      </c>
      <c r="G33" s="109"/>
      <c r="H33" s="65"/>
      <c r="I33" s="66"/>
      <c r="J33" s="67"/>
      <c r="K33" s="89" t="str">
        <f t="shared" ca="1" si="14"/>
        <v/>
      </c>
      <c r="L33" s="87"/>
      <c r="M33" s="76"/>
      <c r="N33" s="68"/>
    </row>
    <row r="34" spans="2:14" ht="15" x14ac:dyDescent="0.2">
      <c r="B34" s="64">
        <v>33</v>
      </c>
      <c r="C34" s="107"/>
      <c r="D34" s="90" t="str">
        <f t="shared" ca="1" si="4"/>
        <v/>
      </c>
      <c r="E34" s="91" t="str">
        <f t="shared" ca="1" si="5"/>
        <v/>
      </c>
      <c r="F34" s="91" t="str">
        <f t="shared" ca="1" si="6"/>
        <v/>
      </c>
      <c r="G34" s="109"/>
      <c r="H34" s="65"/>
      <c r="I34" s="66"/>
      <c r="J34" s="67"/>
      <c r="K34" s="89" t="str">
        <f t="shared" ca="1" si="14"/>
        <v/>
      </c>
      <c r="L34" s="87"/>
      <c r="M34" s="76"/>
      <c r="N34" s="68"/>
    </row>
    <row r="35" spans="2:14" ht="15" x14ac:dyDescent="0.2">
      <c r="B35" s="64">
        <v>34</v>
      </c>
      <c r="C35" s="107"/>
      <c r="D35" s="90" t="str">
        <f t="shared" ca="1" si="4"/>
        <v/>
      </c>
      <c r="E35" s="91" t="str">
        <f t="shared" ca="1" si="5"/>
        <v/>
      </c>
      <c r="F35" s="91" t="str">
        <f t="shared" ca="1" si="6"/>
        <v/>
      </c>
      <c r="G35" s="109"/>
      <c r="H35" s="65"/>
      <c r="I35" s="66"/>
      <c r="J35" s="67"/>
      <c r="K35" s="89" t="str">
        <f t="shared" ca="1" si="14"/>
        <v/>
      </c>
      <c r="L35" s="87"/>
      <c r="M35" s="76"/>
      <c r="N35" s="68"/>
    </row>
    <row r="36" spans="2:14" ht="15" x14ac:dyDescent="0.2">
      <c r="B36" s="64">
        <v>35</v>
      </c>
      <c r="C36" s="107"/>
      <c r="D36" s="90" t="str">
        <f t="shared" ca="1" si="4"/>
        <v/>
      </c>
      <c r="E36" s="91" t="str">
        <f t="shared" ca="1" si="5"/>
        <v/>
      </c>
      <c r="F36" s="91" t="str">
        <f t="shared" ca="1" si="6"/>
        <v/>
      </c>
      <c r="G36" s="109"/>
      <c r="H36" s="65"/>
      <c r="I36" s="66"/>
      <c r="J36" s="67"/>
      <c r="K36" s="89" t="str">
        <f t="shared" ca="1" si="14"/>
        <v/>
      </c>
      <c r="L36" s="87"/>
      <c r="M36" s="76"/>
      <c r="N36" s="68"/>
    </row>
    <row r="37" spans="2:14" ht="15" x14ac:dyDescent="0.2">
      <c r="B37" s="64">
        <v>36</v>
      </c>
      <c r="C37" s="107"/>
      <c r="D37" s="90" t="str">
        <f t="shared" ca="1" si="4"/>
        <v/>
      </c>
      <c r="E37" s="91" t="str">
        <f t="shared" ca="1" si="5"/>
        <v/>
      </c>
      <c r="F37" s="91" t="str">
        <f t="shared" ca="1" si="6"/>
        <v/>
      </c>
      <c r="G37" s="109"/>
      <c r="H37" s="65"/>
      <c r="I37" s="66"/>
      <c r="J37" s="67"/>
      <c r="K37" s="89" t="str">
        <f t="shared" ca="1" si="14"/>
        <v/>
      </c>
      <c r="L37" s="87"/>
      <c r="M37" s="76"/>
      <c r="N37" s="68"/>
    </row>
    <row r="38" spans="2:14" ht="15" x14ac:dyDescent="0.2">
      <c r="B38" s="64">
        <v>37</v>
      </c>
      <c r="C38" s="107"/>
      <c r="D38" s="90" t="str">
        <f t="shared" ca="1" si="4"/>
        <v/>
      </c>
      <c r="E38" s="91" t="str">
        <f t="shared" ca="1" si="5"/>
        <v/>
      </c>
      <c r="F38" s="91" t="str">
        <f t="shared" ca="1" si="6"/>
        <v/>
      </c>
      <c r="G38" s="109"/>
      <c r="H38" s="65"/>
      <c r="I38" s="66"/>
      <c r="J38" s="67"/>
      <c r="K38" s="89" t="str">
        <f t="shared" ca="1" si="14"/>
        <v/>
      </c>
      <c r="L38" s="87"/>
      <c r="M38" s="76"/>
      <c r="N38" s="68"/>
    </row>
    <row r="39" spans="2:14" ht="15" x14ac:dyDescent="0.2">
      <c r="B39" s="64">
        <v>38</v>
      </c>
      <c r="C39" s="107"/>
      <c r="D39" s="90" t="str">
        <f t="shared" ca="1" si="4"/>
        <v/>
      </c>
      <c r="E39" s="91" t="str">
        <f t="shared" ca="1" si="5"/>
        <v/>
      </c>
      <c r="F39" s="91" t="str">
        <f t="shared" ca="1" si="6"/>
        <v/>
      </c>
      <c r="G39" s="109"/>
      <c r="H39" s="65"/>
      <c r="I39" s="66"/>
      <c r="J39" s="67"/>
      <c r="K39" s="89" t="str">
        <f t="shared" ca="1" si="14"/>
        <v/>
      </c>
      <c r="L39" s="87"/>
      <c r="M39" s="76"/>
      <c r="N39" s="68"/>
    </row>
    <row r="40" spans="2:14" ht="15" x14ac:dyDescent="0.2">
      <c r="B40" s="64">
        <v>39</v>
      </c>
      <c r="C40" s="107"/>
      <c r="D40" s="90" t="str">
        <f t="shared" ca="1" si="4"/>
        <v/>
      </c>
      <c r="E40" s="91" t="str">
        <f t="shared" ca="1" si="5"/>
        <v/>
      </c>
      <c r="F40" s="91" t="str">
        <f t="shared" ca="1" si="6"/>
        <v/>
      </c>
      <c r="G40" s="109"/>
      <c r="H40" s="65"/>
      <c r="I40" s="66"/>
      <c r="J40" s="67"/>
      <c r="K40" s="89" t="str">
        <f t="shared" ca="1" si="14"/>
        <v/>
      </c>
      <c r="L40" s="87"/>
      <c r="M40" s="76"/>
      <c r="N40" s="68"/>
    </row>
    <row r="41" spans="2:14" ht="15" x14ac:dyDescent="0.2">
      <c r="B41" s="64">
        <v>40</v>
      </c>
      <c r="C41" s="107"/>
      <c r="D41" s="90" t="str">
        <f t="shared" ca="1" si="4"/>
        <v/>
      </c>
      <c r="E41" s="91" t="str">
        <f t="shared" ca="1" si="5"/>
        <v/>
      </c>
      <c r="F41" s="91" t="str">
        <f t="shared" ca="1" si="6"/>
        <v/>
      </c>
      <c r="G41" s="109"/>
      <c r="H41" s="65"/>
      <c r="I41" s="66"/>
      <c r="J41" s="67"/>
      <c r="K41" s="89" t="str">
        <f t="shared" ca="1" si="14"/>
        <v/>
      </c>
      <c r="L41" s="87"/>
      <c r="M41" s="76"/>
      <c r="N41" s="68"/>
    </row>
    <row r="42" spans="2:14" ht="15" x14ac:dyDescent="0.2">
      <c r="B42" s="64">
        <v>41</v>
      </c>
      <c r="C42" s="107"/>
      <c r="D42" s="90" t="str">
        <f t="shared" ca="1" si="4"/>
        <v/>
      </c>
      <c r="E42" s="91" t="str">
        <f t="shared" ca="1" si="5"/>
        <v/>
      </c>
      <c r="F42" s="91" t="str">
        <f t="shared" ca="1" si="6"/>
        <v/>
      </c>
      <c r="G42" s="109"/>
      <c r="H42" s="65"/>
      <c r="I42" s="66"/>
      <c r="J42" s="67"/>
      <c r="K42" s="89" t="str">
        <f t="shared" ca="1" si="14"/>
        <v/>
      </c>
      <c r="L42" s="87"/>
      <c r="M42" s="76"/>
      <c r="N42" s="68"/>
    </row>
    <row r="43" spans="2:14" ht="15" x14ac:dyDescent="0.2">
      <c r="B43" s="64">
        <v>42</v>
      </c>
      <c r="C43" s="107"/>
      <c r="D43" s="90" t="str">
        <f t="shared" ca="1" si="4"/>
        <v/>
      </c>
      <c r="E43" s="91" t="str">
        <f t="shared" ca="1" si="5"/>
        <v/>
      </c>
      <c r="F43" s="91" t="str">
        <f t="shared" ca="1" si="6"/>
        <v/>
      </c>
      <c r="G43" s="109"/>
      <c r="H43" s="65"/>
      <c r="I43" s="66"/>
      <c r="J43" s="67"/>
      <c r="K43" s="89" t="str">
        <f t="shared" ca="1" si="14"/>
        <v/>
      </c>
      <c r="L43" s="87"/>
      <c r="M43" s="76"/>
      <c r="N43" s="68"/>
    </row>
    <row r="44" spans="2:14" ht="15" x14ac:dyDescent="0.2">
      <c r="B44" s="64">
        <v>43</v>
      </c>
      <c r="C44" s="107"/>
      <c r="D44" s="90" t="str">
        <f t="shared" ca="1" si="4"/>
        <v/>
      </c>
      <c r="E44" s="91" t="str">
        <f t="shared" ca="1" si="5"/>
        <v/>
      </c>
      <c r="F44" s="91" t="str">
        <f t="shared" ca="1" si="6"/>
        <v/>
      </c>
      <c r="G44" s="109"/>
      <c r="H44" s="65"/>
      <c r="I44" s="66"/>
      <c r="J44" s="67"/>
      <c r="K44" s="89" t="str">
        <f t="shared" ca="1" si="14"/>
        <v/>
      </c>
      <c r="L44" s="87"/>
      <c r="M44" s="76"/>
      <c r="N44" s="68"/>
    </row>
    <row r="45" spans="2:14" ht="15" x14ac:dyDescent="0.2">
      <c r="B45" s="64">
        <v>44</v>
      </c>
      <c r="C45" s="107"/>
      <c r="D45" s="90" t="str">
        <f t="shared" ca="1" si="4"/>
        <v/>
      </c>
      <c r="E45" s="91" t="str">
        <f t="shared" ca="1" si="5"/>
        <v/>
      </c>
      <c r="F45" s="91" t="str">
        <f t="shared" ca="1" si="6"/>
        <v/>
      </c>
      <c r="G45" s="109"/>
      <c r="H45" s="65"/>
      <c r="I45" s="66"/>
      <c r="J45" s="67"/>
      <c r="K45" s="89" t="str">
        <f t="shared" ca="1" si="14"/>
        <v/>
      </c>
      <c r="L45" s="87"/>
      <c r="M45" s="76"/>
      <c r="N45" s="68"/>
    </row>
    <row r="46" spans="2:14" ht="15.75" thickBot="1" x14ac:dyDescent="0.25">
      <c r="B46" s="64">
        <v>45</v>
      </c>
      <c r="C46" s="108"/>
      <c r="D46" s="90" t="str">
        <f t="shared" ca="1" si="4"/>
        <v/>
      </c>
      <c r="E46" s="91" t="str">
        <f t="shared" ca="1" si="5"/>
        <v/>
      </c>
      <c r="F46" s="91" t="str">
        <f t="shared" ca="1" si="6"/>
        <v/>
      </c>
      <c r="G46" s="109"/>
      <c r="H46" s="65"/>
      <c r="I46" s="66"/>
      <c r="J46" s="67"/>
      <c r="K46" s="89" t="str">
        <f t="shared" ca="1" si="14"/>
        <v/>
      </c>
      <c r="L46" s="87"/>
      <c r="M46" s="76"/>
      <c r="N46" s="68"/>
    </row>
  </sheetData>
  <conditionalFormatting sqref="K3:K46">
    <cfRule type="cellIs" dxfId="330" priority="10" operator="equal">
      <formula>"Nok"</formula>
    </cfRule>
    <cfRule type="cellIs" dxfId="329" priority="11" operator="equal">
      <formula>"Ok"</formula>
    </cfRule>
  </conditionalFormatting>
  <conditionalFormatting sqref="C13:C46 G14:J46 L13:N46 G13:H13 L4:N10 G4:J10 C3:C11">
    <cfRule type="expression" dxfId="328" priority="9">
      <formula>$C3&lt;&gt;""</formula>
    </cfRule>
  </conditionalFormatting>
  <conditionalFormatting sqref="L11:N11 G11:J11">
    <cfRule type="expression" dxfId="327" priority="6">
      <formula>$C11&lt;&gt;""</formula>
    </cfRule>
  </conditionalFormatting>
  <conditionalFormatting sqref="L12:N12 G12:J12 C12">
    <cfRule type="expression" dxfId="326" priority="3">
      <formula>$C12&lt;&gt;""</formula>
    </cfRule>
  </conditionalFormatting>
  <conditionalFormatting sqref="I13">
    <cfRule type="expression" dxfId="325" priority="2">
      <formula>$C13&lt;&gt;""</formula>
    </cfRule>
  </conditionalFormatting>
  <conditionalFormatting sqref="J13">
    <cfRule type="expression" dxfId="324" priority="1">
      <formula>$C13&lt;&gt;""</formula>
    </cfRule>
  </conditionalFormatting>
  <dataValidations count="2">
    <dataValidation type="list" allowBlank="1" showInputMessage="1" showErrorMessage="1" sqref="G3:G46">
      <formula1>",X,"</formula1>
    </dataValidation>
    <dataValidation type="list" allowBlank="1" showInputMessage="1" showErrorMessage="1" sqref="H3:H46">
      <formula1>"1,2,3,"</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Reserved&amp;LE1355904 rev 000 ver 001&amp;R&amp;P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70" zoomScaleNormal="70" workbookViewId="0">
      <selection activeCell="B22" sqref="B22:O22"/>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166</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8" t="s">
        <v>46</v>
      </c>
      <c r="B3" s="233" t="s">
        <v>185</v>
      </c>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7.75" customHeight="1" thickBot="1" x14ac:dyDescent="0.25">
      <c r="A7" s="97" t="s">
        <v>42</v>
      </c>
      <c r="B7" s="233" t="s">
        <v>167</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143</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66.75" customHeight="1" x14ac:dyDescent="0.2">
      <c r="A22" s="100" t="s">
        <v>50</v>
      </c>
      <c r="B22" s="212" t="s">
        <v>187</v>
      </c>
      <c r="C22" s="212"/>
      <c r="D22" s="212"/>
      <c r="E22" s="212"/>
      <c r="F22" s="212"/>
      <c r="G22" s="212"/>
      <c r="H22" s="212"/>
      <c r="I22" s="212"/>
      <c r="J22" s="212"/>
      <c r="K22" s="212"/>
      <c r="L22" s="212" t="s">
        <v>186</v>
      </c>
      <c r="M22" s="212"/>
      <c r="N22" s="212"/>
      <c r="O22" s="212"/>
      <c r="P22" s="94" t="s">
        <v>143</v>
      </c>
    </row>
    <row r="23" spans="1:16" ht="42.75" customHeight="1" x14ac:dyDescent="0.2">
      <c r="A23" s="100" t="s">
        <v>51</v>
      </c>
      <c r="B23" s="212"/>
      <c r="C23" s="212"/>
      <c r="D23" s="212"/>
      <c r="E23" s="212"/>
      <c r="F23" s="212"/>
      <c r="G23" s="212"/>
      <c r="H23" s="212"/>
      <c r="I23" s="212"/>
      <c r="J23" s="212"/>
      <c r="K23" s="212"/>
      <c r="L23" s="212"/>
      <c r="M23" s="212"/>
      <c r="N23" s="212"/>
      <c r="O23" s="212"/>
      <c r="P23" s="94"/>
    </row>
    <row r="24" spans="1:16" ht="45.75" customHeight="1" x14ac:dyDescent="0.2">
      <c r="A24" s="100" t="s">
        <v>52</v>
      </c>
      <c r="B24" s="212"/>
      <c r="C24" s="212"/>
      <c r="D24" s="212"/>
      <c r="E24" s="212"/>
      <c r="F24" s="212"/>
      <c r="G24" s="212"/>
      <c r="H24" s="212"/>
      <c r="I24" s="212"/>
      <c r="J24" s="212"/>
      <c r="K24" s="212"/>
      <c r="L24" s="212"/>
      <c r="M24" s="212"/>
      <c r="N24" s="212"/>
      <c r="O24" s="212"/>
      <c r="P24" s="94"/>
    </row>
    <row r="25" spans="1:16" ht="67.5" customHeight="1" x14ac:dyDescent="0.2">
      <c r="A25" s="100" t="s">
        <v>53</v>
      </c>
      <c r="B25" s="212"/>
      <c r="C25" s="212"/>
      <c r="D25" s="212"/>
      <c r="E25" s="212"/>
      <c r="F25" s="212"/>
      <c r="G25" s="212"/>
      <c r="H25" s="212"/>
      <c r="I25" s="212"/>
      <c r="J25" s="212"/>
      <c r="K25" s="212"/>
      <c r="L25" s="212"/>
      <c r="M25" s="212"/>
      <c r="N25" s="212"/>
      <c r="O25" s="212"/>
      <c r="P25" s="94"/>
    </row>
    <row r="26" spans="1:16" ht="79.5" customHeight="1" x14ac:dyDescent="0.2">
      <c r="A26" s="100" t="s">
        <v>54</v>
      </c>
      <c r="B26" s="212"/>
      <c r="C26" s="212"/>
      <c r="D26" s="212"/>
      <c r="E26" s="212"/>
      <c r="F26" s="212"/>
      <c r="G26" s="212"/>
      <c r="H26" s="212"/>
      <c r="I26" s="212"/>
      <c r="J26" s="212"/>
      <c r="K26" s="212"/>
      <c r="L26" s="212"/>
      <c r="M26" s="212"/>
      <c r="N26" s="212"/>
      <c r="O26" s="212"/>
      <c r="P26" s="94"/>
    </row>
    <row r="27" spans="1:16" ht="29.25" customHeight="1" x14ac:dyDescent="0.2">
      <c r="A27" s="100" t="s">
        <v>55</v>
      </c>
      <c r="B27" s="213"/>
      <c r="C27" s="214"/>
      <c r="D27" s="214"/>
      <c r="E27" s="214"/>
      <c r="F27" s="214"/>
      <c r="G27" s="215"/>
      <c r="H27" s="212"/>
      <c r="I27" s="212"/>
      <c r="J27" s="212"/>
      <c r="K27" s="212"/>
      <c r="L27" s="212"/>
      <c r="M27" s="212"/>
      <c r="N27" s="212"/>
      <c r="O27" s="212"/>
      <c r="P27" s="94"/>
    </row>
    <row r="28" spans="1:16" ht="29.25" customHeight="1" x14ac:dyDescent="0.2">
      <c r="A28" s="100" t="s">
        <v>56</v>
      </c>
      <c r="B28" s="213"/>
      <c r="C28" s="214"/>
      <c r="D28" s="214"/>
      <c r="E28" s="214"/>
      <c r="F28" s="214"/>
      <c r="G28" s="215"/>
      <c r="H28" s="212"/>
      <c r="I28" s="212"/>
      <c r="J28" s="212"/>
      <c r="K28" s="212"/>
      <c r="L28" s="212"/>
      <c r="M28" s="212"/>
      <c r="N28" s="212"/>
      <c r="O28" s="212"/>
      <c r="P28" s="94"/>
    </row>
    <row r="29" spans="1:16" ht="29.25" customHeight="1" x14ac:dyDescent="0.2">
      <c r="A29" s="100" t="s">
        <v>57</v>
      </c>
      <c r="B29" s="213"/>
      <c r="C29" s="214"/>
      <c r="D29" s="214"/>
      <c r="E29" s="214"/>
      <c r="F29" s="214"/>
      <c r="G29" s="215"/>
      <c r="H29" s="212"/>
      <c r="I29" s="212"/>
      <c r="J29" s="212"/>
      <c r="K29" s="212"/>
      <c r="L29" s="212"/>
      <c r="M29" s="212"/>
      <c r="N29" s="212"/>
      <c r="O29" s="212"/>
      <c r="P29" s="94"/>
    </row>
    <row r="30" spans="1:16" ht="45.75" customHeight="1" thickBot="1" x14ac:dyDescent="0.25">
      <c r="A30" s="101" t="s">
        <v>58</v>
      </c>
      <c r="B30" s="208"/>
      <c r="C30" s="209"/>
      <c r="D30" s="209"/>
      <c r="E30" s="209"/>
      <c r="F30" s="209"/>
      <c r="G30" s="210"/>
      <c r="H30" s="211"/>
      <c r="I30" s="211"/>
      <c r="J30" s="211"/>
      <c r="K30" s="211"/>
      <c r="L30" s="211"/>
      <c r="M30" s="211"/>
      <c r="N30" s="211"/>
      <c r="O30" s="211"/>
      <c r="P30" s="95"/>
    </row>
    <row r="31" spans="1:16" ht="29.25" customHeight="1" thickBot="1" x14ac:dyDescent="0.25">
      <c r="A31" s="101" t="s">
        <v>145</v>
      </c>
      <c r="B31" s="213"/>
      <c r="C31" s="214"/>
      <c r="D31" s="214"/>
      <c r="E31" s="214"/>
      <c r="F31" s="214"/>
      <c r="G31" s="215"/>
      <c r="H31" s="212"/>
      <c r="I31" s="212"/>
      <c r="J31" s="212"/>
      <c r="K31" s="212"/>
      <c r="L31" s="212"/>
      <c r="M31" s="212"/>
      <c r="N31" s="212"/>
      <c r="O31" s="212"/>
      <c r="P31" s="94"/>
    </row>
    <row r="32" spans="1:16" ht="55.5" customHeight="1" thickBot="1" x14ac:dyDescent="0.25">
      <c r="A32" s="101" t="s">
        <v>146</v>
      </c>
      <c r="B32" s="213"/>
      <c r="C32" s="214"/>
      <c r="D32" s="214"/>
      <c r="E32" s="214"/>
      <c r="F32" s="214"/>
      <c r="G32" s="215"/>
      <c r="H32" s="212"/>
      <c r="I32" s="212"/>
      <c r="J32" s="212"/>
      <c r="K32" s="212"/>
      <c r="L32" s="212"/>
      <c r="M32" s="212"/>
      <c r="N32" s="212"/>
      <c r="O32" s="212"/>
      <c r="P32" s="94"/>
    </row>
    <row r="33" spans="1:16" ht="45.75" customHeight="1" thickBot="1" x14ac:dyDescent="0.25">
      <c r="A33" s="101" t="s">
        <v>147</v>
      </c>
      <c r="B33" s="208"/>
      <c r="C33" s="209"/>
      <c r="D33" s="209"/>
      <c r="E33" s="209"/>
      <c r="F33" s="209"/>
      <c r="G33" s="210"/>
      <c r="H33" s="211"/>
      <c r="I33" s="211"/>
      <c r="J33" s="211"/>
      <c r="K33" s="211"/>
      <c r="L33" s="211"/>
      <c r="M33" s="211"/>
      <c r="N33" s="211"/>
      <c r="O33" s="211"/>
      <c r="P33" s="94"/>
    </row>
    <row r="34" spans="1:16" ht="45.75" customHeight="1" thickBot="1" x14ac:dyDescent="0.25">
      <c r="A34" s="101" t="s">
        <v>148</v>
      </c>
      <c r="B34" s="213"/>
      <c r="C34" s="214"/>
      <c r="D34" s="214"/>
      <c r="E34" s="214"/>
      <c r="F34" s="214"/>
      <c r="G34" s="215"/>
      <c r="H34" s="212"/>
      <c r="I34" s="212"/>
      <c r="J34" s="212"/>
      <c r="K34" s="212"/>
      <c r="L34" s="212"/>
      <c r="M34" s="212"/>
      <c r="N34" s="212"/>
      <c r="O34" s="212"/>
      <c r="P34" s="94"/>
    </row>
    <row r="35" spans="1:16" ht="48" customHeight="1" thickBot="1" x14ac:dyDescent="0.25">
      <c r="A35" s="101" t="s">
        <v>149</v>
      </c>
      <c r="B35" s="213"/>
      <c r="C35" s="214"/>
      <c r="D35" s="214"/>
      <c r="E35" s="214"/>
      <c r="F35" s="214"/>
      <c r="G35" s="215"/>
      <c r="H35" s="212"/>
      <c r="I35" s="212"/>
      <c r="J35" s="212"/>
      <c r="K35" s="212"/>
      <c r="L35" s="212"/>
      <c r="M35" s="212"/>
      <c r="N35" s="212"/>
      <c r="O35" s="212"/>
      <c r="P35" s="94"/>
    </row>
    <row r="36" spans="1:16" ht="45.75" customHeight="1" thickBot="1" x14ac:dyDescent="0.25">
      <c r="A36" s="101" t="s">
        <v>150</v>
      </c>
      <c r="B36" s="208"/>
      <c r="C36" s="209"/>
      <c r="D36" s="209"/>
      <c r="E36" s="209"/>
      <c r="F36" s="209"/>
      <c r="G36" s="210"/>
      <c r="H36" s="211"/>
      <c r="I36" s="211"/>
      <c r="J36" s="211"/>
      <c r="K36" s="211"/>
      <c r="L36" s="212"/>
      <c r="M36" s="212"/>
      <c r="N36" s="212"/>
      <c r="O36" s="212"/>
      <c r="P36" s="95"/>
    </row>
    <row r="37" spans="1:16" ht="66" customHeight="1" thickBot="1" x14ac:dyDescent="0.25">
      <c r="A37" s="101" t="s">
        <v>151</v>
      </c>
      <c r="B37" s="208"/>
      <c r="C37" s="209"/>
      <c r="D37" s="209"/>
      <c r="E37" s="209"/>
      <c r="F37" s="209"/>
      <c r="G37" s="210"/>
      <c r="H37" s="211"/>
      <c r="I37" s="211"/>
      <c r="J37" s="211"/>
      <c r="K37" s="211"/>
      <c r="L37" s="212"/>
      <c r="M37" s="212"/>
      <c r="N37" s="212"/>
      <c r="O37" s="212"/>
      <c r="P37" s="95"/>
    </row>
    <row r="38" spans="1:16" ht="45.75" customHeight="1" thickBot="1" x14ac:dyDescent="0.25">
      <c r="A38" s="101" t="s">
        <v>152</v>
      </c>
      <c r="B38" s="208"/>
      <c r="C38" s="209"/>
      <c r="D38" s="209"/>
      <c r="E38" s="209"/>
      <c r="F38" s="209"/>
      <c r="G38" s="210"/>
      <c r="H38" s="211"/>
      <c r="I38" s="211"/>
      <c r="J38" s="211"/>
      <c r="K38" s="211"/>
      <c r="L38" s="211"/>
      <c r="M38" s="211"/>
      <c r="N38" s="211"/>
      <c r="O38" s="211"/>
      <c r="P38" s="95"/>
    </row>
    <row r="39" spans="1:16" ht="45.75" customHeight="1" thickBot="1" x14ac:dyDescent="0.25">
      <c r="A39" s="101" t="s">
        <v>153</v>
      </c>
      <c r="B39" s="208"/>
      <c r="C39" s="209"/>
      <c r="D39" s="209"/>
      <c r="E39" s="209"/>
      <c r="F39" s="209"/>
      <c r="G39" s="210"/>
      <c r="H39" s="211"/>
      <c r="I39" s="211"/>
      <c r="J39" s="211"/>
      <c r="K39" s="211"/>
      <c r="L39" s="211"/>
      <c r="M39" s="211"/>
      <c r="N39" s="211"/>
      <c r="O39" s="211"/>
      <c r="P39" s="95"/>
    </row>
    <row r="40" spans="1:16" ht="45.75" customHeight="1" thickBot="1" x14ac:dyDescent="0.25">
      <c r="A40" s="101" t="s">
        <v>155</v>
      </c>
      <c r="B40" s="208"/>
      <c r="C40" s="209"/>
      <c r="D40" s="209"/>
      <c r="E40" s="209"/>
      <c r="F40" s="209"/>
      <c r="G40" s="210"/>
      <c r="H40" s="211"/>
      <c r="I40" s="211"/>
      <c r="J40" s="211"/>
      <c r="K40" s="211"/>
      <c r="L40" s="211"/>
      <c r="M40" s="211"/>
      <c r="N40" s="211"/>
      <c r="O40" s="211"/>
      <c r="P40" s="95"/>
    </row>
    <row r="41" spans="1:16" ht="45.75" customHeight="1" thickBot="1" x14ac:dyDescent="0.25">
      <c r="A41" s="101" t="s">
        <v>156</v>
      </c>
      <c r="B41" s="208"/>
      <c r="C41" s="209"/>
      <c r="D41" s="209"/>
      <c r="E41" s="209"/>
      <c r="F41" s="209"/>
      <c r="G41" s="210"/>
      <c r="H41" s="211"/>
      <c r="I41" s="211"/>
      <c r="J41" s="211"/>
      <c r="K41" s="211"/>
      <c r="L41" s="211"/>
      <c r="M41" s="211"/>
      <c r="N41" s="211"/>
      <c r="O41" s="211"/>
      <c r="P41" s="95"/>
    </row>
    <row r="42" spans="1:16" ht="45.75" customHeight="1" thickBot="1" x14ac:dyDescent="0.25">
      <c r="A42" s="101" t="s">
        <v>157</v>
      </c>
      <c r="B42" s="208"/>
      <c r="C42" s="209"/>
      <c r="D42" s="209"/>
      <c r="E42" s="209"/>
      <c r="F42" s="209"/>
      <c r="G42" s="210"/>
      <c r="H42" s="211"/>
      <c r="I42" s="211"/>
      <c r="J42" s="211"/>
      <c r="K42" s="211"/>
      <c r="L42" s="211"/>
      <c r="M42" s="211"/>
      <c r="N42" s="211"/>
      <c r="O42" s="211"/>
      <c r="P42" s="95"/>
    </row>
    <row r="43" spans="1:16" ht="45.75" customHeight="1" thickBot="1" x14ac:dyDescent="0.25">
      <c r="A43" s="101" t="s">
        <v>158</v>
      </c>
      <c r="B43" s="208"/>
      <c r="C43" s="209"/>
      <c r="D43" s="209"/>
      <c r="E43" s="209"/>
      <c r="F43" s="209"/>
      <c r="G43" s="210"/>
      <c r="H43" s="211"/>
      <c r="I43" s="211"/>
      <c r="J43" s="211"/>
      <c r="K43" s="211"/>
      <c r="L43" s="211"/>
      <c r="M43" s="211"/>
      <c r="N43" s="211"/>
      <c r="O43" s="211"/>
      <c r="P43" s="95"/>
    </row>
    <row r="44" spans="1:16" ht="45.75" customHeight="1" thickBot="1" x14ac:dyDescent="0.25">
      <c r="A44" s="101" t="s">
        <v>159</v>
      </c>
      <c r="B44" s="208"/>
      <c r="C44" s="209"/>
      <c r="D44" s="209"/>
      <c r="E44" s="209"/>
      <c r="F44" s="209"/>
      <c r="G44" s="210"/>
      <c r="H44" s="211"/>
      <c r="I44" s="211"/>
      <c r="J44" s="211"/>
      <c r="K44" s="211"/>
      <c r="L44" s="211"/>
      <c r="M44" s="211"/>
      <c r="N44" s="211"/>
      <c r="O44" s="211"/>
      <c r="P44" s="95"/>
    </row>
    <row r="45" spans="1:16" ht="45.75" customHeight="1" thickBot="1" x14ac:dyDescent="0.25">
      <c r="A45" s="101" t="s">
        <v>160</v>
      </c>
      <c r="B45" s="208"/>
      <c r="C45" s="209"/>
      <c r="D45" s="209"/>
      <c r="E45" s="209"/>
      <c r="F45" s="209"/>
      <c r="G45" s="210"/>
      <c r="H45" s="211"/>
      <c r="I45" s="211"/>
      <c r="J45" s="211"/>
      <c r="K45" s="211"/>
      <c r="L45" s="211"/>
      <c r="M45" s="211"/>
      <c r="N45" s="211"/>
      <c r="O45" s="211"/>
      <c r="P45" s="95"/>
    </row>
    <row r="46" spans="1:16" ht="45.75" customHeight="1" thickBot="1" x14ac:dyDescent="0.25">
      <c r="A46" s="101" t="s">
        <v>161</v>
      </c>
      <c r="B46" s="208"/>
      <c r="C46" s="209"/>
      <c r="D46" s="209"/>
      <c r="E46" s="209"/>
      <c r="F46" s="209"/>
      <c r="G46" s="210"/>
      <c r="H46" s="211"/>
      <c r="I46" s="211"/>
      <c r="J46" s="211"/>
      <c r="K46" s="211"/>
      <c r="L46" s="211"/>
      <c r="M46" s="211"/>
      <c r="N46" s="211"/>
      <c r="O46" s="211"/>
      <c r="P46" s="95"/>
    </row>
    <row r="47" spans="1:16" ht="45.75" customHeight="1" thickBot="1" x14ac:dyDescent="0.25">
      <c r="A47" s="101" t="s">
        <v>162</v>
      </c>
      <c r="B47" s="208"/>
      <c r="C47" s="209"/>
      <c r="D47" s="209"/>
      <c r="E47" s="209"/>
      <c r="F47" s="209"/>
      <c r="G47" s="210"/>
      <c r="H47" s="211"/>
      <c r="I47" s="211"/>
      <c r="J47" s="211"/>
      <c r="K47" s="211"/>
      <c r="L47" s="211"/>
      <c r="M47" s="211"/>
      <c r="N47" s="211"/>
      <c r="O47" s="211"/>
      <c r="P47" s="95"/>
    </row>
    <row r="48" spans="1:16" ht="45.75" customHeight="1" thickBot="1" x14ac:dyDescent="0.25">
      <c r="A48" s="101" t="s">
        <v>163</v>
      </c>
      <c r="B48" s="208"/>
      <c r="C48" s="209"/>
      <c r="D48" s="209"/>
      <c r="E48" s="209"/>
      <c r="F48" s="209"/>
      <c r="G48" s="210"/>
      <c r="H48" s="211"/>
      <c r="I48" s="211"/>
      <c r="J48" s="211"/>
      <c r="K48" s="211"/>
      <c r="L48" s="211"/>
      <c r="M48" s="211"/>
      <c r="N48" s="211"/>
      <c r="O48" s="211"/>
      <c r="P48" s="95"/>
    </row>
    <row r="49" spans="1:16" ht="45.75" customHeight="1" thickBot="1" x14ac:dyDescent="0.25">
      <c r="A49" s="101" t="s">
        <v>164</v>
      </c>
      <c r="B49" s="208"/>
      <c r="C49" s="209"/>
      <c r="D49" s="209"/>
      <c r="E49" s="209"/>
      <c r="F49" s="209"/>
      <c r="G49" s="210"/>
      <c r="H49" s="211"/>
      <c r="I49" s="211"/>
      <c r="J49" s="211"/>
      <c r="K49" s="211"/>
      <c r="L49" s="211"/>
      <c r="M49" s="211"/>
      <c r="N49" s="211"/>
      <c r="O49" s="211"/>
      <c r="P49" s="95"/>
    </row>
    <row r="50" spans="1:16" ht="45.75" customHeight="1" thickBot="1" x14ac:dyDescent="0.25">
      <c r="A50" s="101" t="s">
        <v>165</v>
      </c>
      <c r="B50" s="208"/>
      <c r="C50" s="209"/>
      <c r="D50" s="209"/>
      <c r="E50" s="209"/>
      <c r="F50" s="209"/>
      <c r="G50" s="210"/>
      <c r="H50" s="211"/>
      <c r="I50" s="211"/>
      <c r="J50" s="211"/>
      <c r="K50" s="211"/>
      <c r="L50" s="211"/>
      <c r="M50" s="211"/>
      <c r="N50" s="211"/>
      <c r="O50" s="211"/>
      <c r="P50" s="95"/>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323" priority="33" operator="equal">
      <formula>"Nok"</formula>
    </cfRule>
    <cfRule type="cellIs" dxfId="322" priority="34" operator="equal">
      <formula>"Ok"</formula>
    </cfRule>
  </conditionalFormatting>
  <conditionalFormatting sqref="P22:P30">
    <cfRule type="cellIs" dxfId="321" priority="31" operator="equal">
      <formula>"Nok"</formula>
    </cfRule>
    <cfRule type="cellIs" dxfId="320" priority="32" operator="equal">
      <formula>"Ok"</formula>
    </cfRule>
  </conditionalFormatting>
  <conditionalFormatting sqref="P31:P35">
    <cfRule type="cellIs" dxfId="319" priority="29" operator="equal">
      <formula>"Nok"</formula>
    </cfRule>
    <cfRule type="cellIs" dxfId="318" priority="30" operator="equal">
      <formula>"Ok"</formula>
    </cfRule>
  </conditionalFormatting>
  <conditionalFormatting sqref="P36:P37">
    <cfRule type="cellIs" dxfId="317" priority="27" operator="equal">
      <formula>"Nok"</formula>
    </cfRule>
    <cfRule type="cellIs" dxfId="316" priority="28" operator="equal">
      <formula>"Ok"</formula>
    </cfRule>
  </conditionalFormatting>
  <conditionalFormatting sqref="P38">
    <cfRule type="cellIs" dxfId="315" priority="25" operator="equal">
      <formula>"Nok"</formula>
    </cfRule>
    <cfRule type="cellIs" dxfId="314" priority="26" operator="equal">
      <formula>"Ok"</formula>
    </cfRule>
  </conditionalFormatting>
  <conditionalFormatting sqref="P39">
    <cfRule type="cellIs" dxfId="313" priority="23" operator="equal">
      <formula>"Nok"</formula>
    </cfRule>
    <cfRule type="cellIs" dxfId="312" priority="24" operator="equal">
      <formula>"Ok"</formula>
    </cfRule>
  </conditionalFormatting>
  <conditionalFormatting sqref="P40">
    <cfRule type="cellIs" dxfId="311" priority="21" operator="equal">
      <formula>"Nok"</formula>
    </cfRule>
    <cfRule type="cellIs" dxfId="310" priority="22" operator="equal">
      <formula>"Ok"</formula>
    </cfRule>
  </conditionalFormatting>
  <conditionalFormatting sqref="P41">
    <cfRule type="cellIs" dxfId="309" priority="19" operator="equal">
      <formula>"Nok"</formula>
    </cfRule>
    <cfRule type="cellIs" dxfId="308" priority="20" operator="equal">
      <formula>"Ok"</formula>
    </cfRule>
  </conditionalFormatting>
  <conditionalFormatting sqref="P42">
    <cfRule type="cellIs" dxfId="307" priority="17" operator="equal">
      <formula>"Nok"</formula>
    </cfRule>
    <cfRule type="cellIs" dxfId="306" priority="18" operator="equal">
      <formula>"Ok"</formula>
    </cfRule>
  </conditionalFormatting>
  <conditionalFormatting sqref="P43">
    <cfRule type="cellIs" dxfId="305" priority="15" operator="equal">
      <formula>"Nok"</formula>
    </cfRule>
    <cfRule type="cellIs" dxfId="304" priority="16" operator="equal">
      <formula>"Ok"</formula>
    </cfRule>
  </conditionalFormatting>
  <conditionalFormatting sqref="P44">
    <cfRule type="cellIs" dxfId="303" priority="13" operator="equal">
      <formula>"Nok"</formula>
    </cfRule>
    <cfRule type="cellIs" dxfId="302" priority="14" operator="equal">
      <formula>"Ok"</formula>
    </cfRule>
  </conditionalFormatting>
  <conditionalFormatting sqref="P45">
    <cfRule type="cellIs" dxfId="301" priority="11" operator="equal">
      <formula>"Nok"</formula>
    </cfRule>
    <cfRule type="cellIs" dxfId="300" priority="12" operator="equal">
      <formula>"Ok"</formula>
    </cfRule>
  </conditionalFormatting>
  <conditionalFormatting sqref="P46">
    <cfRule type="cellIs" dxfId="299" priority="9" operator="equal">
      <formula>"Nok"</formula>
    </cfRule>
    <cfRule type="cellIs" dxfId="298" priority="10" operator="equal">
      <formula>"Ok"</formula>
    </cfRule>
  </conditionalFormatting>
  <conditionalFormatting sqref="P47">
    <cfRule type="cellIs" dxfId="297" priority="7" operator="equal">
      <formula>"Nok"</formula>
    </cfRule>
    <cfRule type="cellIs" dxfId="296" priority="8" operator="equal">
      <formula>"Ok"</formula>
    </cfRule>
  </conditionalFormatting>
  <conditionalFormatting sqref="P48">
    <cfRule type="cellIs" dxfId="295" priority="5" operator="equal">
      <formula>"Nok"</formula>
    </cfRule>
    <cfRule type="cellIs" dxfId="294" priority="6" operator="equal">
      <formula>"Ok"</formula>
    </cfRule>
  </conditionalFormatting>
  <conditionalFormatting sqref="P49">
    <cfRule type="cellIs" dxfId="293" priority="3" operator="equal">
      <formula>"Nok"</formula>
    </cfRule>
    <cfRule type="cellIs" dxfId="292" priority="4" operator="equal">
      <formula>"Ok"</formula>
    </cfRule>
  </conditionalFormatting>
  <conditionalFormatting sqref="P50">
    <cfRule type="cellIs" dxfId="291" priority="1" operator="equal">
      <formula>"Nok"</formula>
    </cfRule>
    <cfRule type="cellIs" dxfId="290"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topLeftCell="A19" workbookViewId="0">
      <selection activeCell="L25" sqref="L25:P27"/>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166</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8" t="s">
        <v>46</v>
      </c>
      <c r="B3" s="233" t="s">
        <v>199</v>
      </c>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7.75" customHeight="1" thickBot="1" x14ac:dyDescent="0.25">
      <c r="A7" s="97" t="s">
        <v>42</v>
      </c>
      <c r="B7" s="233" t="s">
        <v>167</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144</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66.75" customHeight="1" x14ac:dyDescent="0.2">
      <c r="A22" s="100" t="s">
        <v>50</v>
      </c>
      <c r="B22" s="212" t="s">
        <v>188</v>
      </c>
      <c r="C22" s="212"/>
      <c r="D22" s="212"/>
      <c r="E22" s="212"/>
      <c r="F22" s="212"/>
      <c r="G22" s="212"/>
      <c r="H22" s="212"/>
      <c r="I22" s="212"/>
      <c r="J22" s="212"/>
      <c r="K22" s="212"/>
      <c r="L22" s="212" t="s">
        <v>189</v>
      </c>
      <c r="M22" s="212"/>
      <c r="N22" s="212"/>
      <c r="O22" s="212"/>
      <c r="P22" s="94" t="s">
        <v>144</v>
      </c>
    </row>
    <row r="23" spans="1:16" ht="42.75" customHeight="1" x14ac:dyDescent="0.2">
      <c r="A23" s="100" t="s">
        <v>51</v>
      </c>
      <c r="B23" s="212" t="s">
        <v>190</v>
      </c>
      <c r="C23" s="212"/>
      <c r="D23" s="212"/>
      <c r="E23" s="212"/>
      <c r="F23" s="212"/>
      <c r="G23" s="212"/>
      <c r="H23" s="212"/>
      <c r="I23" s="212"/>
      <c r="J23" s="212"/>
      <c r="K23" s="212"/>
      <c r="L23" s="212" t="s">
        <v>189</v>
      </c>
      <c r="M23" s="212"/>
      <c r="N23" s="212"/>
      <c r="O23" s="212"/>
      <c r="P23" s="94" t="s">
        <v>144</v>
      </c>
    </row>
    <row r="24" spans="1:16" ht="45.75" customHeight="1" x14ac:dyDescent="0.2">
      <c r="A24" s="100" t="s">
        <v>52</v>
      </c>
      <c r="B24" s="212" t="s">
        <v>191</v>
      </c>
      <c r="C24" s="212"/>
      <c r="D24" s="212"/>
      <c r="E24" s="212"/>
      <c r="F24" s="212"/>
      <c r="G24" s="212"/>
      <c r="H24" s="212"/>
      <c r="I24" s="212"/>
      <c r="J24" s="212"/>
      <c r="K24" s="212"/>
      <c r="L24" s="212" t="s">
        <v>189</v>
      </c>
      <c r="M24" s="212"/>
      <c r="N24" s="212"/>
      <c r="O24" s="212"/>
      <c r="P24" s="94" t="s">
        <v>144</v>
      </c>
    </row>
    <row r="25" spans="1:16" ht="67.5" customHeight="1" x14ac:dyDescent="0.2">
      <c r="A25" s="100" t="s">
        <v>53</v>
      </c>
      <c r="B25" s="212" t="s">
        <v>192</v>
      </c>
      <c r="C25" s="212"/>
      <c r="D25" s="212"/>
      <c r="E25" s="212"/>
      <c r="F25" s="212"/>
      <c r="G25" s="212"/>
      <c r="H25" s="212"/>
      <c r="I25" s="212"/>
      <c r="J25" s="212"/>
      <c r="K25" s="212"/>
      <c r="L25" s="212" t="s">
        <v>189</v>
      </c>
      <c r="M25" s="212"/>
      <c r="N25" s="212"/>
      <c r="O25" s="212"/>
      <c r="P25" s="94" t="s">
        <v>144</v>
      </c>
    </row>
    <row r="26" spans="1:16" ht="79.5" customHeight="1" x14ac:dyDescent="0.2">
      <c r="A26" s="100" t="s">
        <v>54</v>
      </c>
      <c r="B26" s="212" t="s">
        <v>193</v>
      </c>
      <c r="C26" s="212"/>
      <c r="D26" s="212"/>
      <c r="E26" s="212"/>
      <c r="F26" s="212"/>
      <c r="G26" s="212"/>
      <c r="H26" s="212"/>
      <c r="I26" s="212"/>
      <c r="J26" s="212"/>
      <c r="K26" s="212"/>
      <c r="L26" s="212" t="s">
        <v>194</v>
      </c>
      <c r="M26" s="212"/>
      <c r="N26" s="212"/>
      <c r="O26" s="212"/>
      <c r="P26" s="94" t="s">
        <v>144</v>
      </c>
    </row>
    <row r="27" spans="1:16" ht="49.5" customHeight="1" x14ac:dyDescent="0.2">
      <c r="A27" s="100" t="s">
        <v>55</v>
      </c>
      <c r="B27" s="212" t="s">
        <v>195</v>
      </c>
      <c r="C27" s="212"/>
      <c r="D27" s="212"/>
      <c r="E27" s="212"/>
      <c r="F27" s="212"/>
      <c r="G27" s="212"/>
      <c r="H27" s="212"/>
      <c r="I27" s="212"/>
      <c r="J27" s="212"/>
      <c r="K27" s="212"/>
      <c r="L27" s="212" t="s">
        <v>194</v>
      </c>
      <c r="M27" s="212"/>
      <c r="N27" s="212"/>
      <c r="O27" s="212"/>
      <c r="P27" s="94" t="s">
        <v>144</v>
      </c>
    </row>
    <row r="28" spans="1:16" ht="47.25" customHeight="1" x14ac:dyDescent="0.2">
      <c r="A28" s="100" t="s">
        <v>56</v>
      </c>
      <c r="B28" s="212" t="s">
        <v>197</v>
      </c>
      <c r="C28" s="212"/>
      <c r="D28" s="212"/>
      <c r="E28" s="212"/>
      <c r="F28" s="212"/>
      <c r="G28" s="212"/>
      <c r="H28" s="212"/>
      <c r="I28" s="212"/>
      <c r="J28" s="212"/>
      <c r="K28" s="212"/>
      <c r="L28" s="212" t="s">
        <v>196</v>
      </c>
      <c r="M28" s="212"/>
      <c r="N28" s="212"/>
      <c r="O28" s="212"/>
      <c r="P28" s="94" t="s">
        <v>144</v>
      </c>
    </row>
    <row r="29" spans="1:16" ht="66.75" customHeight="1" x14ac:dyDescent="0.2">
      <c r="A29" s="100" t="s">
        <v>57</v>
      </c>
      <c r="B29" s="212" t="s">
        <v>198</v>
      </c>
      <c r="C29" s="212"/>
      <c r="D29" s="212"/>
      <c r="E29" s="212"/>
      <c r="F29" s="212"/>
      <c r="G29" s="212"/>
      <c r="H29" s="212"/>
      <c r="I29" s="212"/>
      <c r="J29" s="212"/>
      <c r="K29" s="212"/>
      <c r="L29" s="212" t="s">
        <v>196</v>
      </c>
      <c r="M29" s="212"/>
      <c r="N29" s="212"/>
      <c r="O29" s="212"/>
      <c r="P29" s="94" t="s">
        <v>144</v>
      </c>
    </row>
    <row r="30" spans="1:16" ht="45.75" customHeight="1" thickBot="1" x14ac:dyDescent="0.25">
      <c r="A30" s="101" t="s">
        <v>58</v>
      </c>
      <c r="B30" s="208"/>
      <c r="C30" s="209"/>
      <c r="D30" s="209"/>
      <c r="E30" s="209"/>
      <c r="F30" s="209"/>
      <c r="G30" s="210"/>
      <c r="H30" s="211"/>
      <c r="I30" s="211"/>
      <c r="J30" s="211"/>
      <c r="K30" s="211"/>
      <c r="L30" s="211"/>
      <c r="M30" s="211"/>
      <c r="N30" s="211"/>
      <c r="O30" s="211"/>
      <c r="P30" s="95"/>
    </row>
    <row r="31" spans="1:16" ht="29.25" customHeight="1" thickBot="1" x14ac:dyDescent="0.25">
      <c r="A31" s="101" t="s">
        <v>145</v>
      </c>
      <c r="B31" s="213"/>
      <c r="C31" s="214"/>
      <c r="D31" s="214"/>
      <c r="E31" s="214"/>
      <c r="F31" s="214"/>
      <c r="G31" s="215"/>
      <c r="H31" s="212"/>
      <c r="I31" s="212"/>
      <c r="J31" s="212"/>
      <c r="K31" s="212"/>
      <c r="L31" s="212"/>
      <c r="M31" s="212"/>
      <c r="N31" s="212"/>
      <c r="O31" s="212"/>
      <c r="P31" s="94"/>
    </row>
    <row r="32" spans="1:16" ht="55.5" customHeight="1" thickBot="1" x14ac:dyDescent="0.25">
      <c r="A32" s="101" t="s">
        <v>146</v>
      </c>
      <c r="B32" s="213"/>
      <c r="C32" s="214"/>
      <c r="D32" s="214"/>
      <c r="E32" s="214"/>
      <c r="F32" s="214"/>
      <c r="G32" s="215"/>
      <c r="H32" s="212"/>
      <c r="I32" s="212"/>
      <c r="J32" s="212"/>
      <c r="K32" s="212"/>
      <c r="L32" s="212"/>
      <c r="M32" s="212"/>
      <c r="N32" s="212"/>
      <c r="O32" s="212"/>
      <c r="P32" s="94"/>
    </row>
    <row r="33" spans="1:16" ht="45.75" customHeight="1" thickBot="1" x14ac:dyDescent="0.25">
      <c r="A33" s="101" t="s">
        <v>147</v>
      </c>
      <c r="B33" s="208"/>
      <c r="C33" s="209"/>
      <c r="D33" s="209"/>
      <c r="E33" s="209"/>
      <c r="F33" s="209"/>
      <c r="G33" s="210"/>
      <c r="H33" s="211"/>
      <c r="I33" s="211"/>
      <c r="J33" s="211"/>
      <c r="K33" s="211"/>
      <c r="L33" s="211"/>
      <c r="M33" s="211"/>
      <c r="N33" s="211"/>
      <c r="O33" s="211"/>
      <c r="P33" s="94"/>
    </row>
    <row r="34" spans="1:16" ht="45.75" customHeight="1" thickBot="1" x14ac:dyDescent="0.25">
      <c r="A34" s="101" t="s">
        <v>148</v>
      </c>
      <c r="B34" s="213"/>
      <c r="C34" s="214"/>
      <c r="D34" s="214"/>
      <c r="E34" s="214"/>
      <c r="F34" s="214"/>
      <c r="G34" s="215"/>
      <c r="H34" s="212"/>
      <c r="I34" s="212"/>
      <c r="J34" s="212"/>
      <c r="K34" s="212"/>
      <c r="L34" s="212"/>
      <c r="M34" s="212"/>
      <c r="N34" s="212"/>
      <c r="O34" s="212"/>
      <c r="P34" s="94"/>
    </row>
    <row r="35" spans="1:16" ht="48" customHeight="1" thickBot="1" x14ac:dyDescent="0.25">
      <c r="A35" s="101" t="s">
        <v>149</v>
      </c>
      <c r="B35" s="213"/>
      <c r="C35" s="214"/>
      <c r="D35" s="214"/>
      <c r="E35" s="214"/>
      <c r="F35" s="214"/>
      <c r="G35" s="215"/>
      <c r="H35" s="212"/>
      <c r="I35" s="212"/>
      <c r="J35" s="212"/>
      <c r="K35" s="212"/>
      <c r="L35" s="212"/>
      <c r="M35" s="212"/>
      <c r="N35" s="212"/>
      <c r="O35" s="212"/>
      <c r="P35" s="94"/>
    </row>
    <row r="36" spans="1:16" ht="45.75" customHeight="1" thickBot="1" x14ac:dyDescent="0.25">
      <c r="A36" s="101" t="s">
        <v>150</v>
      </c>
      <c r="B36" s="208"/>
      <c r="C36" s="209"/>
      <c r="D36" s="209"/>
      <c r="E36" s="209"/>
      <c r="F36" s="209"/>
      <c r="G36" s="210"/>
      <c r="H36" s="211"/>
      <c r="I36" s="211"/>
      <c r="J36" s="211"/>
      <c r="K36" s="211"/>
      <c r="L36" s="212"/>
      <c r="M36" s="212"/>
      <c r="N36" s="212"/>
      <c r="O36" s="212"/>
      <c r="P36" s="95"/>
    </row>
    <row r="37" spans="1:16" ht="66" customHeight="1" thickBot="1" x14ac:dyDescent="0.25">
      <c r="A37" s="101" t="s">
        <v>151</v>
      </c>
      <c r="B37" s="208"/>
      <c r="C37" s="209"/>
      <c r="D37" s="209"/>
      <c r="E37" s="209"/>
      <c r="F37" s="209"/>
      <c r="G37" s="210"/>
      <c r="H37" s="211"/>
      <c r="I37" s="211"/>
      <c r="J37" s="211"/>
      <c r="K37" s="211"/>
      <c r="L37" s="212"/>
      <c r="M37" s="212"/>
      <c r="N37" s="212"/>
      <c r="O37" s="212"/>
      <c r="P37" s="95"/>
    </row>
    <row r="38" spans="1:16" ht="45.75" customHeight="1" thickBot="1" x14ac:dyDescent="0.25">
      <c r="A38" s="101" t="s">
        <v>152</v>
      </c>
      <c r="B38" s="208"/>
      <c r="C38" s="209"/>
      <c r="D38" s="209"/>
      <c r="E38" s="209"/>
      <c r="F38" s="209"/>
      <c r="G38" s="210"/>
      <c r="H38" s="211"/>
      <c r="I38" s="211"/>
      <c r="J38" s="211"/>
      <c r="K38" s="211"/>
      <c r="L38" s="211"/>
      <c r="M38" s="211"/>
      <c r="N38" s="211"/>
      <c r="O38" s="211"/>
      <c r="P38" s="95"/>
    </row>
    <row r="39" spans="1:16" ht="45.75" customHeight="1" thickBot="1" x14ac:dyDescent="0.25">
      <c r="A39" s="101" t="s">
        <v>153</v>
      </c>
      <c r="B39" s="208"/>
      <c r="C39" s="209"/>
      <c r="D39" s="209"/>
      <c r="E39" s="209"/>
      <c r="F39" s="209"/>
      <c r="G39" s="210"/>
      <c r="H39" s="211"/>
      <c r="I39" s="211"/>
      <c r="J39" s="211"/>
      <c r="K39" s="211"/>
      <c r="L39" s="211"/>
      <c r="M39" s="211"/>
      <c r="N39" s="211"/>
      <c r="O39" s="211"/>
      <c r="P39" s="95"/>
    </row>
    <row r="40" spans="1:16" ht="45.75" customHeight="1" thickBot="1" x14ac:dyDescent="0.25">
      <c r="A40" s="101" t="s">
        <v>155</v>
      </c>
      <c r="B40" s="208"/>
      <c r="C40" s="209"/>
      <c r="D40" s="209"/>
      <c r="E40" s="209"/>
      <c r="F40" s="209"/>
      <c r="G40" s="210"/>
      <c r="H40" s="211"/>
      <c r="I40" s="211"/>
      <c r="J40" s="211"/>
      <c r="K40" s="211"/>
      <c r="L40" s="211"/>
      <c r="M40" s="211"/>
      <c r="N40" s="211"/>
      <c r="O40" s="211"/>
      <c r="P40" s="95"/>
    </row>
    <row r="41" spans="1:16" ht="45.75" customHeight="1" thickBot="1" x14ac:dyDescent="0.25">
      <c r="A41" s="101" t="s">
        <v>156</v>
      </c>
      <c r="B41" s="208"/>
      <c r="C41" s="209"/>
      <c r="D41" s="209"/>
      <c r="E41" s="209"/>
      <c r="F41" s="209"/>
      <c r="G41" s="210"/>
      <c r="H41" s="211"/>
      <c r="I41" s="211"/>
      <c r="J41" s="211"/>
      <c r="K41" s="211"/>
      <c r="L41" s="211"/>
      <c r="M41" s="211"/>
      <c r="N41" s="211"/>
      <c r="O41" s="211"/>
      <c r="P41" s="95"/>
    </row>
    <row r="42" spans="1:16" ht="45.75" customHeight="1" thickBot="1" x14ac:dyDescent="0.25">
      <c r="A42" s="101" t="s">
        <v>157</v>
      </c>
      <c r="B42" s="208"/>
      <c r="C42" s="209"/>
      <c r="D42" s="209"/>
      <c r="E42" s="209"/>
      <c r="F42" s="209"/>
      <c r="G42" s="210"/>
      <c r="H42" s="211"/>
      <c r="I42" s="211"/>
      <c r="J42" s="211"/>
      <c r="K42" s="211"/>
      <c r="L42" s="211"/>
      <c r="M42" s="211"/>
      <c r="N42" s="211"/>
      <c r="O42" s="211"/>
      <c r="P42" s="95"/>
    </row>
    <row r="43" spans="1:16" ht="45.75" customHeight="1" thickBot="1" x14ac:dyDescent="0.25">
      <c r="A43" s="101" t="s">
        <v>158</v>
      </c>
      <c r="B43" s="208"/>
      <c r="C43" s="209"/>
      <c r="D43" s="209"/>
      <c r="E43" s="209"/>
      <c r="F43" s="209"/>
      <c r="G43" s="210"/>
      <c r="H43" s="211"/>
      <c r="I43" s="211"/>
      <c r="J43" s="211"/>
      <c r="K43" s="211"/>
      <c r="L43" s="211"/>
      <c r="M43" s="211"/>
      <c r="N43" s="211"/>
      <c r="O43" s="211"/>
      <c r="P43" s="95"/>
    </row>
    <row r="44" spans="1:16" ht="45.75" customHeight="1" thickBot="1" x14ac:dyDescent="0.25">
      <c r="A44" s="101" t="s">
        <v>159</v>
      </c>
      <c r="B44" s="208"/>
      <c r="C44" s="209"/>
      <c r="D44" s="209"/>
      <c r="E44" s="209"/>
      <c r="F44" s="209"/>
      <c r="G44" s="210"/>
      <c r="H44" s="211"/>
      <c r="I44" s="211"/>
      <c r="J44" s="211"/>
      <c r="K44" s="211"/>
      <c r="L44" s="211"/>
      <c r="M44" s="211"/>
      <c r="N44" s="211"/>
      <c r="O44" s="211"/>
      <c r="P44" s="95"/>
    </row>
    <row r="45" spans="1:16" ht="45.75" customHeight="1" thickBot="1" x14ac:dyDescent="0.25">
      <c r="A45" s="101" t="s">
        <v>160</v>
      </c>
      <c r="B45" s="208"/>
      <c r="C45" s="209"/>
      <c r="D45" s="209"/>
      <c r="E45" s="209"/>
      <c r="F45" s="209"/>
      <c r="G45" s="210"/>
      <c r="H45" s="211"/>
      <c r="I45" s="211"/>
      <c r="J45" s="211"/>
      <c r="K45" s="211"/>
      <c r="L45" s="211"/>
      <c r="M45" s="211"/>
      <c r="N45" s="211"/>
      <c r="O45" s="211"/>
      <c r="P45" s="95"/>
    </row>
    <row r="46" spans="1:16" ht="45.75" customHeight="1" thickBot="1" x14ac:dyDescent="0.25">
      <c r="A46" s="101" t="s">
        <v>161</v>
      </c>
      <c r="B46" s="208"/>
      <c r="C46" s="209"/>
      <c r="D46" s="209"/>
      <c r="E46" s="209"/>
      <c r="F46" s="209"/>
      <c r="G46" s="210"/>
      <c r="H46" s="211"/>
      <c r="I46" s="211"/>
      <c r="J46" s="211"/>
      <c r="K46" s="211"/>
      <c r="L46" s="211"/>
      <c r="M46" s="211"/>
      <c r="N46" s="211"/>
      <c r="O46" s="211"/>
      <c r="P46" s="95"/>
    </row>
    <row r="47" spans="1:16" ht="45.75" customHeight="1" thickBot="1" x14ac:dyDescent="0.25">
      <c r="A47" s="101" t="s">
        <v>162</v>
      </c>
      <c r="B47" s="208"/>
      <c r="C47" s="209"/>
      <c r="D47" s="209"/>
      <c r="E47" s="209"/>
      <c r="F47" s="209"/>
      <c r="G47" s="210"/>
      <c r="H47" s="211"/>
      <c r="I47" s="211"/>
      <c r="J47" s="211"/>
      <c r="K47" s="211"/>
      <c r="L47" s="211"/>
      <c r="M47" s="211"/>
      <c r="N47" s="211"/>
      <c r="O47" s="211"/>
      <c r="P47" s="95"/>
    </row>
    <row r="48" spans="1:16" ht="45.75" customHeight="1" thickBot="1" x14ac:dyDescent="0.25">
      <c r="A48" s="101" t="s">
        <v>163</v>
      </c>
      <c r="B48" s="208"/>
      <c r="C48" s="209"/>
      <c r="D48" s="209"/>
      <c r="E48" s="209"/>
      <c r="F48" s="209"/>
      <c r="G48" s="210"/>
      <c r="H48" s="211"/>
      <c r="I48" s="211"/>
      <c r="J48" s="211"/>
      <c r="K48" s="211"/>
      <c r="L48" s="211"/>
      <c r="M48" s="211"/>
      <c r="N48" s="211"/>
      <c r="O48" s="211"/>
      <c r="P48" s="95"/>
    </row>
    <row r="49" spans="1:16" ht="45.75" customHeight="1" thickBot="1" x14ac:dyDescent="0.25">
      <c r="A49" s="101" t="s">
        <v>164</v>
      </c>
      <c r="B49" s="208"/>
      <c r="C49" s="209"/>
      <c r="D49" s="209"/>
      <c r="E49" s="209"/>
      <c r="F49" s="209"/>
      <c r="G49" s="210"/>
      <c r="H49" s="211"/>
      <c r="I49" s="211"/>
      <c r="J49" s="211"/>
      <c r="K49" s="211"/>
      <c r="L49" s="211"/>
      <c r="M49" s="211"/>
      <c r="N49" s="211"/>
      <c r="O49" s="211"/>
      <c r="P49" s="95"/>
    </row>
    <row r="50" spans="1:16" ht="45.75" customHeight="1" thickBot="1" x14ac:dyDescent="0.25">
      <c r="A50" s="101" t="s">
        <v>165</v>
      </c>
      <c r="B50" s="208"/>
      <c r="C50" s="209"/>
      <c r="D50" s="209"/>
      <c r="E50" s="209"/>
      <c r="F50" s="209"/>
      <c r="G50" s="210"/>
      <c r="H50" s="211"/>
      <c r="I50" s="211"/>
      <c r="J50" s="211"/>
      <c r="K50" s="211"/>
      <c r="L50" s="211"/>
      <c r="M50" s="211"/>
      <c r="N50" s="211"/>
      <c r="O50" s="211"/>
      <c r="P50" s="95"/>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89" priority="33" operator="equal">
      <formula>"Nok"</formula>
    </cfRule>
    <cfRule type="cellIs" dxfId="288" priority="34" operator="equal">
      <formula>"Ok"</formula>
    </cfRule>
  </conditionalFormatting>
  <conditionalFormatting sqref="P22:P30">
    <cfRule type="cellIs" dxfId="287" priority="31" operator="equal">
      <formula>"Nok"</formula>
    </cfRule>
    <cfRule type="cellIs" dxfId="286" priority="32" operator="equal">
      <formula>"Ok"</formula>
    </cfRule>
  </conditionalFormatting>
  <conditionalFormatting sqref="P31:P35">
    <cfRule type="cellIs" dxfId="285" priority="29" operator="equal">
      <formula>"Nok"</formula>
    </cfRule>
    <cfRule type="cellIs" dxfId="284" priority="30" operator="equal">
      <formula>"Ok"</formula>
    </cfRule>
  </conditionalFormatting>
  <conditionalFormatting sqref="P36:P37">
    <cfRule type="cellIs" dxfId="283" priority="27" operator="equal">
      <formula>"Nok"</formula>
    </cfRule>
    <cfRule type="cellIs" dxfId="282" priority="28" operator="equal">
      <formula>"Ok"</formula>
    </cfRule>
  </conditionalFormatting>
  <conditionalFormatting sqref="P38">
    <cfRule type="cellIs" dxfId="281" priority="25" operator="equal">
      <formula>"Nok"</formula>
    </cfRule>
    <cfRule type="cellIs" dxfId="280" priority="26" operator="equal">
      <formula>"Ok"</formula>
    </cfRule>
  </conditionalFormatting>
  <conditionalFormatting sqref="P39">
    <cfRule type="cellIs" dxfId="279" priority="23" operator="equal">
      <formula>"Nok"</formula>
    </cfRule>
    <cfRule type="cellIs" dxfId="278" priority="24" operator="equal">
      <formula>"Ok"</formula>
    </cfRule>
  </conditionalFormatting>
  <conditionalFormatting sqref="P40">
    <cfRule type="cellIs" dxfId="277" priority="21" operator="equal">
      <formula>"Nok"</formula>
    </cfRule>
    <cfRule type="cellIs" dxfId="276" priority="22" operator="equal">
      <formula>"Ok"</formula>
    </cfRule>
  </conditionalFormatting>
  <conditionalFormatting sqref="P41">
    <cfRule type="cellIs" dxfId="275" priority="19" operator="equal">
      <formula>"Nok"</formula>
    </cfRule>
    <cfRule type="cellIs" dxfId="274" priority="20" operator="equal">
      <formula>"Ok"</formula>
    </cfRule>
  </conditionalFormatting>
  <conditionalFormatting sqref="P42">
    <cfRule type="cellIs" dxfId="273" priority="17" operator="equal">
      <formula>"Nok"</formula>
    </cfRule>
    <cfRule type="cellIs" dxfId="272" priority="18" operator="equal">
      <formula>"Ok"</formula>
    </cfRule>
  </conditionalFormatting>
  <conditionalFormatting sqref="P43">
    <cfRule type="cellIs" dxfId="271" priority="15" operator="equal">
      <formula>"Nok"</formula>
    </cfRule>
    <cfRule type="cellIs" dxfId="270" priority="16" operator="equal">
      <formula>"Ok"</formula>
    </cfRule>
  </conditionalFormatting>
  <conditionalFormatting sqref="P44">
    <cfRule type="cellIs" dxfId="269" priority="13" operator="equal">
      <formula>"Nok"</formula>
    </cfRule>
    <cfRule type="cellIs" dxfId="268" priority="14" operator="equal">
      <formula>"Ok"</formula>
    </cfRule>
  </conditionalFormatting>
  <conditionalFormatting sqref="P45">
    <cfRule type="cellIs" dxfId="267" priority="11" operator="equal">
      <formula>"Nok"</formula>
    </cfRule>
    <cfRule type="cellIs" dxfId="266" priority="12" operator="equal">
      <formula>"Ok"</formula>
    </cfRule>
  </conditionalFormatting>
  <conditionalFormatting sqref="P46">
    <cfRule type="cellIs" dxfId="265" priority="9" operator="equal">
      <formula>"Nok"</formula>
    </cfRule>
    <cfRule type="cellIs" dxfId="264" priority="10" operator="equal">
      <formula>"Ok"</formula>
    </cfRule>
  </conditionalFormatting>
  <conditionalFormatting sqref="P47">
    <cfRule type="cellIs" dxfId="263" priority="7" operator="equal">
      <formula>"Nok"</formula>
    </cfRule>
    <cfRule type="cellIs" dxfId="262" priority="8" operator="equal">
      <formula>"Ok"</formula>
    </cfRule>
  </conditionalFormatting>
  <conditionalFormatting sqref="P48">
    <cfRule type="cellIs" dxfId="261" priority="5" operator="equal">
      <formula>"Nok"</formula>
    </cfRule>
    <cfRule type="cellIs" dxfId="260" priority="6" operator="equal">
      <formula>"Ok"</formula>
    </cfRule>
  </conditionalFormatting>
  <conditionalFormatting sqref="P49">
    <cfRule type="cellIs" dxfId="259" priority="3" operator="equal">
      <formula>"Nok"</formula>
    </cfRule>
    <cfRule type="cellIs" dxfId="258" priority="4" operator="equal">
      <formula>"Ok"</formula>
    </cfRule>
  </conditionalFormatting>
  <conditionalFormatting sqref="P50">
    <cfRule type="cellIs" dxfId="257" priority="1" operator="equal">
      <formula>"Nok"</formula>
    </cfRule>
    <cfRule type="cellIs" dxfId="256"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B24" sqref="B24:P24"/>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168</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8" t="s">
        <v>46</v>
      </c>
      <c r="B3" s="233" t="s">
        <v>214</v>
      </c>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7" t="s">
        <v>42</v>
      </c>
      <c r="B7" s="233" t="s">
        <v>169</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143</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93.75" customHeight="1" x14ac:dyDescent="0.2">
      <c r="A22" s="100" t="s">
        <v>50</v>
      </c>
      <c r="B22" s="212" t="s">
        <v>200</v>
      </c>
      <c r="C22" s="212"/>
      <c r="D22" s="212"/>
      <c r="E22" s="212"/>
      <c r="F22" s="212"/>
      <c r="G22" s="212"/>
      <c r="H22" s="212"/>
      <c r="I22" s="212"/>
      <c r="J22" s="212"/>
      <c r="K22" s="212"/>
      <c r="L22" s="212" t="s">
        <v>201</v>
      </c>
      <c r="M22" s="212"/>
      <c r="N22" s="212"/>
      <c r="O22" s="212"/>
      <c r="P22" s="94" t="s">
        <v>143</v>
      </c>
    </row>
    <row r="23" spans="1:16" ht="42.75" customHeight="1" x14ac:dyDescent="0.2">
      <c r="A23" s="100" t="s">
        <v>51</v>
      </c>
      <c r="B23" s="212" t="s">
        <v>202</v>
      </c>
      <c r="C23" s="212"/>
      <c r="D23" s="212"/>
      <c r="E23" s="212"/>
      <c r="F23" s="212"/>
      <c r="G23" s="212"/>
      <c r="H23" s="212"/>
      <c r="I23" s="212"/>
      <c r="J23" s="212"/>
      <c r="K23" s="212"/>
      <c r="L23" s="212" t="s">
        <v>186</v>
      </c>
      <c r="M23" s="212"/>
      <c r="N23" s="212"/>
      <c r="O23" s="212"/>
      <c r="P23" s="94" t="s">
        <v>143</v>
      </c>
    </row>
    <row r="24" spans="1:16" ht="42" customHeight="1" x14ac:dyDescent="0.2">
      <c r="A24" s="100" t="s">
        <v>52</v>
      </c>
      <c r="B24" s="212" t="s">
        <v>213</v>
      </c>
      <c r="C24" s="212"/>
      <c r="D24" s="212"/>
      <c r="E24" s="212"/>
      <c r="F24" s="212"/>
      <c r="G24" s="212"/>
      <c r="H24" s="212"/>
      <c r="I24" s="212"/>
      <c r="J24" s="212"/>
      <c r="K24" s="212"/>
      <c r="L24" s="212" t="s">
        <v>201</v>
      </c>
      <c r="M24" s="212"/>
      <c r="N24" s="212"/>
      <c r="O24" s="212"/>
      <c r="P24" s="94" t="s">
        <v>143</v>
      </c>
    </row>
    <row r="25" spans="1:16" ht="46.5" customHeight="1" x14ac:dyDescent="0.2">
      <c r="A25" s="100" t="s">
        <v>53</v>
      </c>
      <c r="B25" s="212"/>
      <c r="C25" s="212"/>
      <c r="D25" s="212"/>
      <c r="E25" s="212"/>
      <c r="F25" s="212"/>
      <c r="G25" s="212"/>
      <c r="H25" s="212"/>
      <c r="I25" s="212"/>
      <c r="J25" s="212"/>
      <c r="K25" s="212"/>
      <c r="L25" s="212"/>
      <c r="M25" s="212"/>
      <c r="N25" s="212"/>
      <c r="O25" s="212"/>
      <c r="P25" s="94"/>
    </row>
    <row r="26" spans="1:16" ht="45.75" customHeight="1" x14ac:dyDescent="0.2">
      <c r="A26" s="100" t="s">
        <v>54</v>
      </c>
      <c r="B26" s="212"/>
      <c r="C26" s="212"/>
      <c r="D26" s="212"/>
      <c r="E26" s="212"/>
      <c r="F26" s="212"/>
      <c r="G26" s="212"/>
      <c r="H26" s="212"/>
      <c r="I26" s="212"/>
      <c r="J26" s="212"/>
      <c r="K26" s="212"/>
      <c r="L26" s="212"/>
      <c r="M26" s="212"/>
      <c r="N26" s="212"/>
      <c r="O26" s="212"/>
      <c r="P26" s="94"/>
    </row>
    <row r="27" spans="1:16" ht="42.75" customHeight="1" x14ac:dyDescent="0.2">
      <c r="A27" s="100" t="s">
        <v>55</v>
      </c>
      <c r="B27" s="212"/>
      <c r="C27" s="212"/>
      <c r="D27" s="212"/>
      <c r="E27" s="212"/>
      <c r="F27" s="212"/>
      <c r="G27" s="212"/>
      <c r="H27" s="212"/>
      <c r="I27" s="212"/>
      <c r="J27" s="212"/>
      <c r="K27" s="212"/>
      <c r="L27" s="212"/>
      <c r="M27" s="212"/>
      <c r="N27" s="212"/>
      <c r="O27" s="212"/>
      <c r="P27" s="94"/>
    </row>
    <row r="28" spans="1:16" ht="42.75" customHeight="1" x14ac:dyDescent="0.2">
      <c r="A28" s="100" t="s">
        <v>56</v>
      </c>
      <c r="B28" s="212"/>
      <c r="C28" s="212"/>
      <c r="D28" s="212"/>
      <c r="E28" s="212"/>
      <c r="F28" s="212"/>
      <c r="G28" s="212"/>
      <c r="H28" s="212"/>
      <c r="I28" s="212"/>
      <c r="J28" s="212"/>
      <c r="K28" s="212"/>
      <c r="L28" s="212"/>
      <c r="M28" s="212"/>
      <c r="N28" s="212"/>
      <c r="O28" s="212"/>
      <c r="P28" s="94"/>
    </row>
    <row r="29" spans="1:16" ht="40.5" customHeight="1" x14ac:dyDescent="0.2">
      <c r="A29" s="100" t="s">
        <v>57</v>
      </c>
      <c r="B29" s="212"/>
      <c r="C29" s="212"/>
      <c r="D29" s="212"/>
      <c r="E29" s="212"/>
      <c r="F29" s="212"/>
      <c r="G29" s="212"/>
      <c r="H29" s="212"/>
      <c r="I29" s="212"/>
      <c r="J29" s="212"/>
      <c r="K29" s="212"/>
      <c r="L29" s="212"/>
      <c r="M29" s="212"/>
      <c r="N29" s="212"/>
      <c r="O29" s="212"/>
      <c r="P29" s="94"/>
    </row>
    <row r="30" spans="1:16" ht="53.25" customHeight="1" thickBot="1" x14ac:dyDescent="0.25">
      <c r="A30" s="101" t="s">
        <v>58</v>
      </c>
      <c r="B30" s="212"/>
      <c r="C30" s="212"/>
      <c r="D30" s="212"/>
      <c r="E30" s="212"/>
      <c r="F30" s="212"/>
      <c r="G30" s="212"/>
      <c r="H30" s="211"/>
      <c r="I30" s="211"/>
      <c r="J30" s="211"/>
      <c r="K30" s="211"/>
      <c r="L30" s="211"/>
      <c r="M30" s="211"/>
      <c r="N30" s="211"/>
      <c r="O30" s="211"/>
      <c r="P30" s="95"/>
    </row>
    <row r="31" spans="1:16" ht="51" customHeight="1" thickBot="1" x14ac:dyDescent="0.25">
      <c r="A31" s="101" t="s">
        <v>145</v>
      </c>
      <c r="B31" s="212"/>
      <c r="C31" s="212"/>
      <c r="D31" s="212"/>
      <c r="E31" s="212"/>
      <c r="F31" s="212"/>
      <c r="G31" s="212"/>
      <c r="H31" s="212"/>
      <c r="I31" s="212"/>
      <c r="J31" s="212"/>
      <c r="K31" s="212"/>
      <c r="L31" s="212"/>
      <c r="M31" s="212"/>
      <c r="N31" s="212"/>
      <c r="O31" s="212"/>
      <c r="P31" s="95"/>
    </row>
    <row r="32" spans="1:16" ht="55.5" customHeight="1" thickBot="1" x14ac:dyDescent="0.25">
      <c r="A32" s="101" t="s">
        <v>146</v>
      </c>
      <c r="B32" s="212"/>
      <c r="C32" s="212"/>
      <c r="D32" s="212"/>
      <c r="E32" s="212"/>
      <c r="F32" s="212"/>
      <c r="G32" s="212"/>
      <c r="H32" s="212"/>
      <c r="I32" s="212"/>
      <c r="J32" s="212"/>
      <c r="K32" s="212"/>
      <c r="L32" s="212"/>
      <c r="M32" s="212"/>
      <c r="N32" s="212"/>
      <c r="O32" s="212"/>
      <c r="P32" s="95"/>
    </row>
    <row r="33" spans="1:16" ht="66" customHeight="1" thickBot="1" x14ac:dyDescent="0.25">
      <c r="A33" s="101" t="s">
        <v>147</v>
      </c>
      <c r="B33" s="212"/>
      <c r="C33" s="212"/>
      <c r="D33" s="212"/>
      <c r="E33" s="212"/>
      <c r="F33" s="212"/>
      <c r="G33" s="212"/>
      <c r="H33" s="211"/>
      <c r="I33" s="211"/>
      <c r="J33" s="211"/>
      <c r="K33" s="211"/>
      <c r="L33" s="212"/>
      <c r="M33" s="212"/>
      <c r="N33" s="212"/>
      <c r="O33" s="212"/>
      <c r="P33" s="95"/>
    </row>
    <row r="34" spans="1:16" ht="45.75" customHeight="1" thickBot="1" x14ac:dyDescent="0.25">
      <c r="A34" s="101" t="s">
        <v>148</v>
      </c>
      <c r="B34" s="212"/>
      <c r="C34" s="212"/>
      <c r="D34" s="212"/>
      <c r="E34" s="212"/>
      <c r="F34" s="212"/>
      <c r="G34" s="212"/>
      <c r="H34" s="212"/>
      <c r="I34" s="212"/>
      <c r="J34" s="212"/>
      <c r="K34" s="212"/>
      <c r="L34" s="212"/>
      <c r="M34" s="212"/>
      <c r="N34" s="212"/>
      <c r="O34" s="212"/>
      <c r="P34" s="95"/>
    </row>
    <row r="35" spans="1:16" ht="48" customHeight="1" thickBot="1" x14ac:dyDescent="0.25">
      <c r="A35" s="101" t="s">
        <v>149</v>
      </c>
      <c r="B35" s="212"/>
      <c r="C35" s="212"/>
      <c r="D35" s="212"/>
      <c r="E35" s="212"/>
      <c r="F35" s="212"/>
      <c r="G35" s="212"/>
      <c r="H35" s="212"/>
      <c r="I35" s="212"/>
      <c r="J35" s="212"/>
      <c r="K35" s="212"/>
      <c r="L35" s="212"/>
      <c r="M35" s="212"/>
      <c r="N35" s="212"/>
      <c r="O35" s="212"/>
      <c r="P35" s="95"/>
    </row>
    <row r="36" spans="1:16" ht="45.75" customHeight="1" thickBot="1" x14ac:dyDescent="0.25">
      <c r="A36" s="101" t="s">
        <v>150</v>
      </c>
      <c r="B36" s="212"/>
      <c r="C36" s="212"/>
      <c r="D36" s="212"/>
      <c r="E36" s="212"/>
      <c r="F36" s="212"/>
      <c r="G36" s="212"/>
      <c r="H36" s="211"/>
      <c r="I36" s="211"/>
      <c r="J36" s="211"/>
      <c r="K36" s="211"/>
      <c r="L36" s="212"/>
      <c r="M36" s="212"/>
      <c r="N36" s="212"/>
      <c r="O36" s="212"/>
      <c r="P36" s="95"/>
    </row>
    <row r="37" spans="1:16" ht="66" customHeight="1" thickBot="1" x14ac:dyDescent="0.25">
      <c r="A37" s="101" t="s">
        <v>151</v>
      </c>
      <c r="B37" s="208"/>
      <c r="C37" s="209"/>
      <c r="D37" s="209"/>
      <c r="E37" s="209"/>
      <c r="F37" s="209"/>
      <c r="G37" s="210"/>
      <c r="H37" s="211"/>
      <c r="I37" s="211"/>
      <c r="J37" s="211"/>
      <c r="K37" s="211"/>
      <c r="L37" s="212"/>
      <c r="M37" s="212"/>
      <c r="N37" s="212"/>
      <c r="O37" s="212"/>
      <c r="P37" s="95"/>
    </row>
    <row r="38" spans="1:16" ht="45.75" customHeight="1" thickBot="1" x14ac:dyDescent="0.25">
      <c r="A38" s="101" t="s">
        <v>152</v>
      </c>
      <c r="B38" s="208"/>
      <c r="C38" s="209"/>
      <c r="D38" s="209"/>
      <c r="E38" s="209"/>
      <c r="F38" s="209"/>
      <c r="G38" s="210"/>
      <c r="H38" s="211"/>
      <c r="I38" s="211"/>
      <c r="J38" s="211"/>
      <c r="K38" s="211"/>
      <c r="L38" s="211"/>
      <c r="M38" s="211"/>
      <c r="N38" s="211"/>
      <c r="O38" s="211"/>
      <c r="P38" s="95"/>
    </row>
    <row r="39" spans="1:16" ht="45.75" customHeight="1" thickBot="1" x14ac:dyDescent="0.25">
      <c r="A39" s="101" t="s">
        <v>153</v>
      </c>
      <c r="B39" s="208"/>
      <c r="C39" s="209"/>
      <c r="D39" s="209"/>
      <c r="E39" s="209"/>
      <c r="F39" s="209"/>
      <c r="G39" s="210"/>
      <c r="H39" s="211"/>
      <c r="I39" s="211"/>
      <c r="J39" s="211"/>
      <c r="K39" s="211"/>
      <c r="L39" s="211"/>
      <c r="M39" s="211"/>
      <c r="N39" s="211"/>
      <c r="O39" s="211"/>
      <c r="P39" s="95"/>
    </row>
    <row r="40" spans="1:16" ht="45.75" customHeight="1" thickBot="1" x14ac:dyDescent="0.25">
      <c r="A40" s="101" t="s">
        <v>155</v>
      </c>
      <c r="B40" s="208"/>
      <c r="C40" s="209"/>
      <c r="D40" s="209"/>
      <c r="E40" s="209"/>
      <c r="F40" s="209"/>
      <c r="G40" s="210"/>
      <c r="H40" s="211"/>
      <c r="I40" s="211"/>
      <c r="J40" s="211"/>
      <c r="K40" s="211"/>
      <c r="L40" s="211"/>
      <c r="M40" s="211"/>
      <c r="N40" s="211"/>
      <c r="O40" s="211"/>
      <c r="P40" s="95"/>
    </row>
    <row r="41" spans="1:16" ht="45.75" customHeight="1" thickBot="1" x14ac:dyDescent="0.25">
      <c r="A41" s="101" t="s">
        <v>156</v>
      </c>
      <c r="B41" s="208"/>
      <c r="C41" s="209"/>
      <c r="D41" s="209"/>
      <c r="E41" s="209"/>
      <c r="F41" s="209"/>
      <c r="G41" s="210"/>
      <c r="H41" s="211"/>
      <c r="I41" s="211"/>
      <c r="J41" s="211"/>
      <c r="K41" s="211"/>
      <c r="L41" s="211"/>
      <c r="M41" s="211"/>
      <c r="N41" s="211"/>
      <c r="O41" s="211"/>
      <c r="P41" s="95"/>
    </row>
    <row r="42" spans="1:16" ht="45.75" customHeight="1" thickBot="1" x14ac:dyDescent="0.25">
      <c r="A42" s="101" t="s">
        <v>157</v>
      </c>
      <c r="B42" s="208"/>
      <c r="C42" s="209"/>
      <c r="D42" s="209"/>
      <c r="E42" s="209"/>
      <c r="F42" s="209"/>
      <c r="G42" s="210"/>
      <c r="H42" s="211"/>
      <c r="I42" s="211"/>
      <c r="J42" s="211"/>
      <c r="K42" s="211"/>
      <c r="L42" s="211"/>
      <c r="M42" s="211"/>
      <c r="N42" s="211"/>
      <c r="O42" s="211"/>
      <c r="P42" s="95"/>
    </row>
    <row r="43" spans="1:16" ht="45.75" customHeight="1" thickBot="1" x14ac:dyDescent="0.25">
      <c r="A43" s="101" t="s">
        <v>158</v>
      </c>
      <c r="B43" s="208"/>
      <c r="C43" s="209"/>
      <c r="D43" s="209"/>
      <c r="E43" s="209"/>
      <c r="F43" s="209"/>
      <c r="G43" s="210"/>
      <c r="H43" s="211"/>
      <c r="I43" s="211"/>
      <c r="J43" s="211"/>
      <c r="K43" s="211"/>
      <c r="L43" s="211"/>
      <c r="M43" s="211"/>
      <c r="N43" s="211"/>
      <c r="O43" s="211"/>
      <c r="P43" s="95"/>
    </row>
    <row r="44" spans="1:16" ht="45.75" customHeight="1" thickBot="1" x14ac:dyDescent="0.25">
      <c r="A44" s="101" t="s">
        <v>159</v>
      </c>
      <c r="B44" s="208"/>
      <c r="C44" s="209"/>
      <c r="D44" s="209"/>
      <c r="E44" s="209"/>
      <c r="F44" s="209"/>
      <c r="G44" s="210"/>
      <c r="H44" s="211"/>
      <c r="I44" s="211"/>
      <c r="J44" s="211"/>
      <c r="K44" s="211"/>
      <c r="L44" s="211"/>
      <c r="M44" s="211"/>
      <c r="N44" s="211"/>
      <c r="O44" s="211"/>
      <c r="P44" s="95"/>
    </row>
    <row r="45" spans="1:16" ht="45.75" customHeight="1" thickBot="1" x14ac:dyDescent="0.25">
      <c r="A45" s="101" t="s">
        <v>160</v>
      </c>
      <c r="B45" s="208"/>
      <c r="C45" s="209"/>
      <c r="D45" s="209"/>
      <c r="E45" s="209"/>
      <c r="F45" s="209"/>
      <c r="G45" s="210"/>
      <c r="H45" s="211"/>
      <c r="I45" s="211"/>
      <c r="J45" s="211"/>
      <c r="K45" s="211"/>
      <c r="L45" s="211"/>
      <c r="M45" s="211"/>
      <c r="N45" s="211"/>
      <c r="O45" s="211"/>
      <c r="P45" s="95"/>
    </row>
    <row r="46" spans="1:16" ht="45.75" customHeight="1" thickBot="1" x14ac:dyDescent="0.25">
      <c r="A46" s="101" t="s">
        <v>161</v>
      </c>
      <c r="B46" s="208"/>
      <c r="C46" s="209"/>
      <c r="D46" s="209"/>
      <c r="E46" s="209"/>
      <c r="F46" s="209"/>
      <c r="G46" s="210"/>
      <c r="H46" s="211"/>
      <c r="I46" s="211"/>
      <c r="J46" s="211"/>
      <c r="K46" s="211"/>
      <c r="L46" s="211"/>
      <c r="M46" s="211"/>
      <c r="N46" s="211"/>
      <c r="O46" s="211"/>
      <c r="P46" s="95"/>
    </row>
    <row r="47" spans="1:16" ht="45.75" customHeight="1" thickBot="1" x14ac:dyDescent="0.25">
      <c r="A47" s="101" t="s">
        <v>162</v>
      </c>
      <c r="B47" s="208"/>
      <c r="C47" s="209"/>
      <c r="D47" s="209"/>
      <c r="E47" s="209"/>
      <c r="F47" s="209"/>
      <c r="G47" s="210"/>
      <c r="H47" s="211"/>
      <c r="I47" s="211"/>
      <c r="J47" s="211"/>
      <c r="K47" s="211"/>
      <c r="L47" s="211"/>
      <c r="M47" s="211"/>
      <c r="N47" s="211"/>
      <c r="O47" s="211"/>
      <c r="P47" s="95"/>
    </row>
    <row r="48" spans="1:16" ht="45.75" customHeight="1" thickBot="1" x14ac:dyDescent="0.25">
      <c r="A48" s="101" t="s">
        <v>163</v>
      </c>
      <c r="B48" s="208"/>
      <c r="C48" s="209"/>
      <c r="D48" s="209"/>
      <c r="E48" s="209"/>
      <c r="F48" s="209"/>
      <c r="G48" s="210"/>
      <c r="H48" s="211"/>
      <c r="I48" s="211"/>
      <c r="J48" s="211"/>
      <c r="K48" s="211"/>
      <c r="L48" s="211"/>
      <c r="M48" s="211"/>
      <c r="N48" s="211"/>
      <c r="O48" s="211"/>
      <c r="P48" s="95"/>
    </row>
    <row r="49" spans="1:16" ht="45.75" customHeight="1" thickBot="1" x14ac:dyDescent="0.25">
      <c r="A49" s="101" t="s">
        <v>164</v>
      </c>
      <c r="B49" s="208"/>
      <c r="C49" s="209"/>
      <c r="D49" s="209"/>
      <c r="E49" s="209"/>
      <c r="F49" s="209"/>
      <c r="G49" s="210"/>
      <c r="H49" s="211"/>
      <c r="I49" s="211"/>
      <c r="J49" s="211"/>
      <c r="K49" s="211"/>
      <c r="L49" s="211"/>
      <c r="M49" s="211"/>
      <c r="N49" s="211"/>
      <c r="O49" s="211"/>
      <c r="P49" s="95"/>
    </row>
    <row r="50" spans="1:16" ht="45.75" customHeight="1" thickBot="1" x14ac:dyDescent="0.25">
      <c r="A50" s="101" t="s">
        <v>165</v>
      </c>
      <c r="B50" s="208"/>
      <c r="C50" s="209"/>
      <c r="D50" s="209"/>
      <c r="E50" s="209"/>
      <c r="F50" s="209"/>
      <c r="G50" s="210"/>
      <c r="H50" s="211"/>
      <c r="I50" s="211"/>
      <c r="J50" s="211"/>
      <c r="K50" s="211"/>
      <c r="L50" s="211"/>
      <c r="M50" s="211"/>
      <c r="N50" s="211"/>
      <c r="O50" s="211"/>
      <c r="P50" s="95"/>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55" priority="33" operator="equal">
      <formula>"Nok"</formula>
    </cfRule>
    <cfRule type="cellIs" dxfId="254" priority="34" operator="equal">
      <formula>"Ok"</formula>
    </cfRule>
  </conditionalFormatting>
  <conditionalFormatting sqref="P22:P36">
    <cfRule type="cellIs" dxfId="253" priority="31" operator="equal">
      <formula>"Nok"</formula>
    </cfRule>
    <cfRule type="cellIs" dxfId="252" priority="32" operator="equal">
      <formula>"Ok"</formula>
    </cfRule>
  </conditionalFormatting>
  <conditionalFormatting sqref="P37">
    <cfRule type="cellIs" dxfId="251" priority="27" operator="equal">
      <formula>"Nok"</formula>
    </cfRule>
    <cfRule type="cellIs" dxfId="250" priority="28" operator="equal">
      <formula>"Ok"</formula>
    </cfRule>
  </conditionalFormatting>
  <conditionalFormatting sqref="P38">
    <cfRule type="cellIs" dxfId="249" priority="25" operator="equal">
      <formula>"Nok"</formula>
    </cfRule>
    <cfRule type="cellIs" dxfId="248" priority="26" operator="equal">
      <formula>"Ok"</formula>
    </cfRule>
  </conditionalFormatting>
  <conditionalFormatting sqref="P39">
    <cfRule type="cellIs" dxfId="247" priority="23" operator="equal">
      <formula>"Nok"</formula>
    </cfRule>
    <cfRule type="cellIs" dxfId="246" priority="24" operator="equal">
      <formula>"Ok"</formula>
    </cfRule>
  </conditionalFormatting>
  <conditionalFormatting sqref="P40">
    <cfRule type="cellIs" dxfId="245" priority="21" operator="equal">
      <formula>"Nok"</formula>
    </cfRule>
    <cfRule type="cellIs" dxfId="244" priority="22" operator="equal">
      <formula>"Ok"</formula>
    </cfRule>
  </conditionalFormatting>
  <conditionalFormatting sqref="P41">
    <cfRule type="cellIs" dxfId="243" priority="19" operator="equal">
      <formula>"Nok"</formula>
    </cfRule>
    <cfRule type="cellIs" dxfId="242" priority="20" operator="equal">
      <formula>"Ok"</formula>
    </cfRule>
  </conditionalFormatting>
  <conditionalFormatting sqref="P42">
    <cfRule type="cellIs" dxfId="241" priority="17" operator="equal">
      <formula>"Nok"</formula>
    </cfRule>
    <cfRule type="cellIs" dxfId="240" priority="18" operator="equal">
      <formula>"Ok"</formula>
    </cfRule>
  </conditionalFormatting>
  <conditionalFormatting sqref="P43">
    <cfRule type="cellIs" dxfId="239" priority="15" operator="equal">
      <formula>"Nok"</formula>
    </cfRule>
    <cfRule type="cellIs" dxfId="238" priority="16" operator="equal">
      <formula>"Ok"</formula>
    </cfRule>
  </conditionalFormatting>
  <conditionalFormatting sqref="P44">
    <cfRule type="cellIs" dxfId="237" priority="13" operator="equal">
      <formula>"Nok"</formula>
    </cfRule>
    <cfRule type="cellIs" dxfId="236" priority="14" operator="equal">
      <formula>"Ok"</formula>
    </cfRule>
  </conditionalFormatting>
  <conditionalFormatting sqref="P45">
    <cfRule type="cellIs" dxfId="235" priority="11" operator="equal">
      <formula>"Nok"</formula>
    </cfRule>
    <cfRule type="cellIs" dxfId="234" priority="12" operator="equal">
      <formula>"Ok"</formula>
    </cfRule>
  </conditionalFormatting>
  <conditionalFormatting sqref="P46">
    <cfRule type="cellIs" dxfId="233" priority="9" operator="equal">
      <formula>"Nok"</formula>
    </cfRule>
    <cfRule type="cellIs" dxfId="232" priority="10" operator="equal">
      <formula>"Ok"</formula>
    </cfRule>
  </conditionalFormatting>
  <conditionalFormatting sqref="P47">
    <cfRule type="cellIs" dxfId="231" priority="7" operator="equal">
      <formula>"Nok"</formula>
    </cfRule>
    <cfRule type="cellIs" dxfId="230" priority="8" operator="equal">
      <formula>"Ok"</formula>
    </cfRule>
  </conditionalFormatting>
  <conditionalFormatting sqref="P48">
    <cfRule type="cellIs" dxfId="229" priority="5" operator="equal">
      <formula>"Nok"</formula>
    </cfRule>
    <cfRule type="cellIs" dxfId="228" priority="6" operator="equal">
      <formula>"Ok"</formula>
    </cfRule>
  </conditionalFormatting>
  <conditionalFormatting sqref="P49">
    <cfRule type="cellIs" dxfId="227" priority="3" operator="equal">
      <formula>"Nok"</formula>
    </cfRule>
    <cfRule type="cellIs" dxfId="226" priority="4" operator="equal">
      <formula>"Ok"</formula>
    </cfRule>
  </conditionalFormatting>
  <conditionalFormatting sqref="P50">
    <cfRule type="cellIs" dxfId="225" priority="1" operator="equal">
      <formula>"Nok"</formula>
    </cfRule>
    <cfRule type="cellIs" dxfId="224"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topLeftCell="A16" zoomScale="85" zoomScaleNormal="85" workbookViewId="0">
      <selection activeCell="L22" sqref="L22:O22"/>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170</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8" t="s">
        <v>46</v>
      </c>
      <c r="B3" s="233" t="s">
        <v>216</v>
      </c>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7.75" customHeight="1" thickBot="1" x14ac:dyDescent="0.25">
      <c r="A7" s="97" t="s">
        <v>42</v>
      </c>
      <c r="B7" s="233" t="s">
        <v>169</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144</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113.25" customHeight="1" x14ac:dyDescent="0.2">
      <c r="A22" s="100" t="s">
        <v>50</v>
      </c>
      <c r="B22" s="212" t="s">
        <v>203</v>
      </c>
      <c r="C22" s="212"/>
      <c r="D22" s="212"/>
      <c r="E22" s="212"/>
      <c r="F22" s="212"/>
      <c r="G22" s="212"/>
      <c r="H22" s="212"/>
      <c r="I22" s="212"/>
      <c r="J22" s="212"/>
      <c r="K22" s="212"/>
      <c r="L22" s="212" t="s">
        <v>189</v>
      </c>
      <c r="M22" s="212"/>
      <c r="N22" s="212"/>
      <c r="O22" s="212"/>
      <c r="P22" s="94" t="s">
        <v>144</v>
      </c>
    </row>
    <row r="23" spans="1:16" ht="46.5" customHeight="1" x14ac:dyDescent="0.2">
      <c r="A23" s="100" t="s">
        <v>51</v>
      </c>
      <c r="B23" s="212" t="s">
        <v>204</v>
      </c>
      <c r="C23" s="212"/>
      <c r="D23" s="212"/>
      <c r="E23" s="212"/>
      <c r="F23" s="212"/>
      <c r="G23" s="212"/>
      <c r="H23" s="212"/>
      <c r="I23" s="212"/>
      <c r="J23" s="212"/>
      <c r="K23" s="212"/>
      <c r="L23" s="212" t="s">
        <v>189</v>
      </c>
      <c r="M23" s="212"/>
      <c r="N23" s="212"/>
      <c r="O23" s="212"/>
      <c r="P23" s="94" t="s">
        <v>144</v>
      </c>
    </row>
    <row r="24" spans="1:16" ht="48" customHeight="1" x14ac:dyDescent="0.2">
      <c r="A24" s="100" t="s">
        <v>52</v>
      </c>
      <c r="B24" s="212" t="s">
        <v>205</v>
      </c>
      <c r="C24" s="212"/>
      <c r="D24" s="212"/>
      <c r="E24" s="212"/>
      <c r="F24" s="212"/>
      <c r="G24" s="212"/>
      <c r="H24" s="212"/>
      <c r="I24" s="212"/>
      <c r="J24" s="212"/>
      <c r="K24" s="212"/>
      <c r="L24" s="212" t="s">
        <v>194</v>
      </c>
      <c r="M24" s="212"/>
      <c r="N24" s="212"/>
      <c r="O24" s="212"/>
      <c r="P24" s="94" t="s">
        <v>144</v>
      </c>
    </row>
    <row r="25" spans="1:16" ht="73.5" customHeight="1" x14ac:dyDescent="0.2">
      <c r="A25" s="100" t="s">
        <v>53</v>
      </c>
      <c r="B25" s="212" t="s">
        <v>206</v>
      </c>
      <c r="C25" s="212"/>
      <c r="D25" s="212"/>
      <c r="E25" s="212"/>
      <c r="F25" s="212"/>
      <c r="G25" s="212"/>
      <c r="H25" s="212"/>
      <c r="I25" s="212"/>
      <c r="J25" s="212"/>
      <c r="K25" s="212"/>
      <c r="L25" s="212" t="s">
        <v>194</v>
      </c>
      <c r="M25" s="212"/>
      <c r="N25" s="212"/>
      <c r="O25" s="212"/>
      <c r="P25" s="94" t="s">
        <v>144</v>
      </c>
    </row>
    <row r="26" spans="1:16" ht="49.5" customHeight="1" x14ac:dyDescent="0.2">
      <c r="A26" s="100" t="s">
        <v>54</v>
      </c>
      <c r="B26" s="212" t="s">
        <v>208</v>
      </c>
      <c r="C26" s="212"/>
      <c r="D26" s="212"/>
      <c r="E26" s="212"/>
      <c r="F26" s="212"/>
      <c r="G26" s="212"/>
      <c r="H26" s="212"/>
      <c r="I26" s="212"/>
      <c r="J26" s="212"/>
      <c r="K26" s="212"/>
      <c r="L26" s="212" t="s">
        <v>209</v>
      </c>
      <c r="M26" s="212"/>
      <c r="N26" s="212"/>
      <c r="O26" s="212"/>
      <c r="P26" s="94" t="s">
        <v>210</v>
      </c>
    </row>
    <row r="27" spans="1:16" ht="45.75" customHeight="1" x14ac:dyDescent="0.2">
      <c r="A27" s="100" t="s">
        <v>55</v>
      </c>
      <c r="B27" s="212" t="s">
        <v>211</v>
      </c>
      <c r="C27" s="212"/>
      <c r="D27" s="212"/>
      <c r="E27" s="212"/>
      <c r="F27" s="212"/>
      <c r="G27" s="212"/>
      <c r="H27" s="212"/>
      <c r="I27" s="212"/>
      <c r="J27" s="212"/>
      <c r="K27" s="212"/>
      <c r="L27" s="212" t="s">
        <v>212</v>
      </c>
      <c r="M27" s="212"/>
      <c r="N27" s="212"/>
      <c r="O27" s="212"/>
      <c r="P27" s="94" t="s">
        <v>144</v>
      </c>
    </row>
    <row r="28" spans="1:16" ht="51" customHeight="1" x14ac:dyDescent="0.2">
      <c r="A28" s="100" t="s">
        <v>56</v>
      </c>
      <c r="B28" s="212" t="s">
        <v>215</v>
      </c>
      <c r="C28" s="212"/>
      <c r="D28" s="212"/>
      <c r="E28" s="212"/>
      <c r="F28" s="212"/>
      <c r="G28" s="212"/>
      <c r="H28" s="212"/>
      <c r="I28" s="212"/>
      <c r="J28" s="212"/>
      <c r="K28" s="212"/>
      <c r="L28" s="212" t="s">
        <v>189</v>
      </c>
      <c r="M28" s="212"/>
      <c r="N28" s="212"/>
      <c r="O28" s="212"/>
      <c r="P28" s="94" t="s">
        <v>144</v>
      </c>
    </row>
    <row r="29" spans="1:16" ht="43.5" customHeight="1" x14ac:dyDescent="0.2">
      <c r="A29" s="100" t="s">
        <v>57</v>
      </c>
      <c r="B29" s="212"/>
      <c r="C29" s="212"/>
      <c r="D29" s="212"/>
      <c r="E29" s="212"/>
      <c r="F29" s="212"/>
      <c r="G29" s="212"/>
      <c r="H29" s="212"/>
      <c r="I29" s="212"/>
      <c r="J29" s="212"/>
      <c r="K29" s="212"/>
      <c r="L29" s="212"/>
      <c r="M29" s="212"/>
      <c r="N29" s="212"/>
      <c r="O29" s="212"/>
      <c r="P29" s="94"/>
    </row>
    <row r="30" spans="1:16" ht="45.75" customHeight="1" thickBot="1" x14ac:dyDescent="0.25">
      <c r="A30" s="101" t="s">
        <v>58</v>
      </c>
      <c r="B30" s="212"/>
      <c r="C30" s="212"/>
      <c r="D30" s="212"/>
      <c r="E30" s="212"/>
      <c r="F30" s="212"/>
      <c r="G30" s="212"/>
      <c r="H30" s="211"/>
      <c r="I30" s="211"/>
      <c r="J30" s="211"/>
      <c r="K30" s="211"/>
      <c r="L30" s="212"/>
      <c r="M30" s="212"/>
      <c r="N30" s="212"/>
      <c r="O30" s="212"/>
      <c r="P30" s="94"/>
    </row>
    <row r="31" spans="1:16" ht="42" customHeight="1" thickBot="1" x14ac:dyDescent="0.25">
      <c r="A31" s="101" t="s">
        <v>145</v>
      </c>
      <c r="B31" s="212"/>
      <c r="C31" s="212"/>
      <c r="D31" s="212"/>
      <c r="E31" s="212"/>
      <c r="F31" s="212"/>
      <c r="G31" s="212"/>
      <c r="H31" s="212"/>
      <c r="I31" s="212"/>
      <c r="J31" s="212"/>
      <c r="K31" s="212"/>
      <c r="L31" s="212"/>
      <c r="M31" s="212"/>
      <c r="N31" s="212"/>
      <c r="O31" s="212"/>
      <c r="P31" s="94"/>
    </row>
    <row r="32" spans="1:16" ht="55.5" customHeight="1" thickBot="1" x14ac:dyDescent="0.25">
      <c r="A32" s="101" t="s">
        <v>146</v>
      </c>
      <c r="B32" s="212"/>
      <c r="C32" s="212"/>
      <c r="D32" s="212"/>
      <c r="E32" s="212"/>
      <c r="F32" s="212"/>
      <c r="G32" s="212"/>
      <c r="H32" s="212"/>
      <c r="I32" s="212"/>
      <c r="J32" s="212"/>
      <c r="K32" s="212"/>
      <c r="L32" s="212"/>
      <c r="M32" s="212"/>
      <c r="N32" s="212"/>
      <c r="O32" s="212"/>
      <c r="P32" s="94"/>
    </row>
    <row r="33" spans="1:16" ht="45.75" customHeight="1" thickBot="1" x14ac:dyDescent="0.25">
      <c r="A33" s="101" t="s">
        <v>147</v>
      </c>
      <c r="B33" s="212"/>
      <c r="C33" s="212"/>
      <c r="D33" s="212"/>
      <c r="E33" s="212"/>
      <c r="F33" s="212"/>
      <c r="G33" s="212"/>
      <c r="H33" s="211"/>
      <c r="I33" s="211"/>
      <c r="J33" s="211"/>
      <c r="K33" s="211"/>
      <c r="L33" s="212"/>
      <c r="M33" s="212"/>
      <c r="N33" s="212"/>
      <c r="O33" s="212"/>
      <c r="P33" s="94"/>
    </row>
    <row r="34" spans="1:16" ht="45.75" customHeight="1" thickBot="1" x14ac:dyDescent="0.25">
      <c r="A34" s="101" t="s">
        <v>148</v>
      </c>
      <c r="B34" s="213"/>
      <c r="C34" s="214"/>
      <c r="D34" s="214"/>
      <c r="E34" s="214"/>
      <c r="F34" s="214"/>
      <c r="G34" s="215"/>
      <c r="H34" s="212"/>
      <c r="I34" s="212"/>
      <c r="J34" s="212"/>
      <c r="K34" s="212"/>
      <c r="L34" s="212"/>
      <c r="M34" s="212"/>
      <c r="N34" s="212"/>
      <c r="O34" s="212"/>
      <c r="P34" s="94"/>
    </row>
    <row r="35" spans="1:16" ht="48" customHeight="1" thickBot="1" x14ac:dyDescent="0.25">
      <c r="A35" s="101" t="s">
        <v>149</v>
      </c>
      <c r="B35" s="213"/>
      <c r="C35" s="214"/>
      <c r="D35" s="214"/>
      <c r="E35" s="214"/>
      <c r="F35" s="214"/>
      <c r="G35" s="215"/>
      <c r="H35" s="212"/>
      <c r="I35" s="212"/>
      <c r="J35" s="212"/>
      <c r="K35" s="212"/>
      <c r="L35" s="212"/>
      <c r="M35" s="212"/>
      <c r="N35" s="212"/>
      <c r="O35" s="212"/>
      <c r="P35" s="94"/>
    </row>
    <row r="36" spans="1:16" ht="45.75" customHeight="1" thickBot="1" x14ac:dyDescent="0.25">
      <c r="A36" s="101" t="s">
        <v>150</v>
      </c>
      <c r="B36" s="208"/>
      <c r="C36" s="209"/>
      <c r="D36" s="209"/>
      <c r="E36" s="209"/>
      <c r="F36" s="209"/>
      <c r="G36" s="210"/>
      <c r="H36" s="211"/>
      <c r="I36" s="211"/>
      <c r="J36" s="211"/>
      <c r="K36" s="211"/>
      <c r="L36" s="212"/>
      <c r="M36" s="212"/>
      <c r="N36" s="212"/>
      <c r="O36" s="212"/>
      <c r="P36" s="95"/>
    </row>
    <row r="37" spans="1:16" ht="66" customHeight="1" thickBot="1" x14ac:dyDescent="0.25">
      <c r="A37" s="101" t="s">
        <v>151</v>
      </c>
      <c r="B37" s="208"/>
      <c r="C37" s="209"/>
      <c r="D37" s="209"/>
      <c r="E37" s="209"/>
      <c r="F37" s="209"/>
      <c r="G37" s="210"/>
      <c r="H37" s="211"/>
      <c r="I37" s="211"/>
      <c r="J37" s="211"/>
      <c r="K37" s="211"/>
      <c r="L37" s="212"/>
      <c r="M37" s="212"/>
      <c r="N37" s="212"/>
      <c r="O37" s="212"/>
      <c r="P37" s="95"/>
    </row>
    <row r="38" spans="1:16" ht="45.75" customHeight="1" thickBot="1" x14ac:dyDescent="0.25">
      <c r="A38" s="101" t="s">
        <v>152</v>
      </c>
      <c r="B38" s="208"/>
      <c r="C38" s="209"/>
      <c r="D38" s="209"/>
      <c r="E38" s="209"/>
      <c r="F38" s="209"/>
      <c r="G38" s="210"/>
      <c r="H38" s="211"/>
      <c r="I38" s="211"/>
      <c r="J38" s="211"/>
      <c r="K38" s="211"/>
      <c r="L38" s="211"/>
      <c r="M38" s="211"/>
      <c r="N38" s="211"/>
      <c r="O38" s="211"/>
      <c r="P38" s="95"/>
    </row>
    <row r="39" spans="1:16" ht="45.75" customHeight="1" thickBot="1" x14ac:dyDescent="0.25">
      <c r="A39" s="101" t="s">
        <v>153</v>
      </c>
      <c r="B39" s="208"/>
      <c r="C39" s="209"/>
      <c r="D39" s="209"/>
      <c r="E39" s="209"/>
      <c r="F39" s="209"/>
      <c r="G39" s="210"/>
      <c r="H39" s="211"/>
      <c r="I39" s="211"/>
      <c r="J39" s="211"/>
      <c r="K39" s="211"/>
      <c r="L39" s="211"/>
      <c r="M39" s="211"/>
      <c r="N39" s="211"/>
      <c r="O39" s="211"/>
      <c r="P39" s="95"/>
    </row>
    <row r="40" spans="1:16" ht="45.75" customHeight="1" thickBot="1" x14ac:dyDescent="0.25">
      <c r="A40" s="101" t="s">
        <v>155</v>
      </c>
      <c r="B40" s="208"/>
      <c r="C40" s="209"/>
      <c r="D40" s="209"/>
      <c r="E40" s="209"/>
      <c r="F40" s="209"/>
      <c r="G40" s="210"/>
      <c r="H40" s="211"/>
      <c r="I40" s="211"/>
      <c r="J40" s="211"/>
      <c r="K40" s="211"/>
      <c r="L40" s="211"/>
      <c r="M40" s="211"/>
      <c r="N40" s="211"/>
      <c r="O40" s="211"/>
      <c r="P40" s="95"/>
    </row>
    <row r="41" spans="1:16" ht="45.75" customHeight="1" thickBot="1" x14ac:dyDescent="0.25">
      <c r="A41" s="101" t="s">
        <v>156</v>
      </c>
      <c r="B41" s="208"/>
      <c r="C41" s="209"/>
      <c r="D41" s="209"/>
      <c r="E41" s="209"/>
      <c r="F41" s="209"/>
      <c r="G41" s="210"/>
      <c r="H41" s="211"/>
      <c r="I41" s="211"/>
      <c r="J41" s="211"/>
      <c r="K41" s="211"/>
      <c r="L41" s="211"/>
      <c r="M41" s="211"/>
      <c r="N41" s="211"/>
      <c r="O41" s="211"/>
      <c r="P41" s="95"/>
    </row>
    <row r="42" spans="1:16" ht="45.75" customHeight="1" thickBot="1" x14ac:dyDescent="0.25">
      <c r="A42" s="101" t="s">
        <v>157</v>
      </c>
      <c r="B42" s="208"/>
      <c r="C42" s="209"/>
      <c r="D42" s="209"/>
      <c r="E42" s="209"/>
      <c r="F42" s="209"/>
      <c r="G42" s="210"/>
      <c r="H42" s="211"/>
      <c r="I42" s="211"/>
      <c r="J42" s="211"/>
      <c r="K42" s="211"/>
      <c r="L42" s="211"/>
      <c r="M42" s="211"/>
      <c r="N42" s="211"/>
      <c r="O42" s="211"/>
      <c r="P42" s="95"/>
    </row>
    <row r="43" spans="1:16" ht="45.75" customHeight="1" thickBot="1" x14ac:dyDescent="0.25">
      <c r="A43" s="101" t="s">
        <v>158</v>
      </c>
      <c r="B43" s="208"/>
      <c r="C43" s="209"/>
      <c r="D43" s="209"/>
      <c r="E43" s="209"/>
      <c r="F43" s="209"/>
      <c r="G43" s="210"/>
      <c r="H43" s="211"/>
      <c r="I43" s="211"/>
      <c r="J43" s="211"/>
      <c r="K43" s="211"/>
      <c r="L43" s="211"/>
      <c r="M43" s="211"/>
      <c r="N43" s="211"/>
      <c r="O43" s="211"/>
      <c r="P43" s="95"/>
    </row>
    <row r="44" spans="1:16" ht="45.75" customHeight="1" thickBot="1" x14ac:dyDescent="0.25">
      <c r="A44" s="101" t="s">
        <v>159</v>
      </c>
      <c r="B44" s="208"/>
      <c r="C44" s="209"/>
      <c r="D44" s="209"/>
      <c r="E44" s="209"/>
      <c r="F44" s="209"/>
      <c r="G44" s="210"/>
      <c r="H44" s="211"/>
      <c r="I44" s="211"/>
      <c r="J44" s="211"/>
      <c r="K44" s="211"/>
      <c r="L44" s="211"/>
      <c r="M44" s="211"/>
      <c r="N44" s="211"/>
      <c r="O44" s="211"/>
      <c r="P44" s="95"/>
    </row>
    <row r="45" spans="1:16" ht="45.75" customHeight="1" thickBot="1" x14ac:dyDescent="0.25">
      <c r="A45" s="101" t="s">
        <v>160</v>
      </c>
      <c r="B45" s="208"/>
      <c r="C45" s="209"/>
      <c r="D45" s="209"/>
      <c r="E45" s="209"/>
      <c r="F45" s="209"/>
      <c r="G45" s="210"/>
      <c r="H45" s="211"/>
      <c r="I45" s="211"/>
      <c r="J45" s="211"/>
      <c r="K45" s="211"/>
      <c r="L45" s="211"/>
      <c r="M45" s="211"/>
      <c r="N45" s="211"/>
      <c r="O45" s="211"/>
      <c r="P45" s="95"/>
    </row>
    <row r="46" spans="1:16" ht="45.75" customHeight="1" thickBot="1" x14ac:dyDescent="0.25">
      <c r="A46" s="101" t="s">
        <v>161</v>
      </c>
      <c r="B46" s="208"/>
      <c r="C46" s="209"/>
      <c r="D46" s="209"/>
      <c r="E46" s="209"/>
      <c r="F46" s="209"/>
      <c r="G46" s="210"/>
      <c r="H46" s="211"/>
      <c r="I46" s="211"/>
      <c r="J46" s="211"/>
      <c r="K46" s="211"/>
      <c r="L46" s="211"/>
      <c r="M46" s="211"/>
      <c r="N46" s="211"/>
      <c r="O46" s="211"/>
      <c r="P46" s="95"/>
    </row>
    <row r="47" spans="1:16" ht="45.75" customHeight="1" thickBot="1" x14ac:dyDescent="0.25">
      <c r="A47" s="101" t="s">
        <v>162</v>
      </c>
      <c r="B47" s="208"/>
      <c r="C47" s="209"/>
      <c r="D47" s="209"/>
      <c r="E47" s="209"/>
      <c r="F47" s="209"/>
      <c r="G47" s="210"/>
      <c r="H47" s="211"/>
      <c r="I47" s="211"/>
      <c r="J47" s="211"/>
      <c r="K47" s="211"/>
      <c r="L47" s="211"/>
      <c r="M47" s="211"/>
      <c r="N47" s="211"/>
      <c r="O47" s="211"/>
      <c r="P47" s="95"/>
    </row>
    <row r="48" spans="1:16" ht="45.75" customHeight="1" thickBot="1" x14ac:dyDescent="0.25">
      <c r="A48" s="101" t="s">
        <v>163</v>
      </c>
      <c r="B48" s="208"/>
      <c r="C48" s="209"/>
      <c r="D48" s="209"/>
      <c r="E48" s="209"/>
      <c r="F48" s="209"/>
      <c r="G48" s="210"/>
      <c r="H48" s="211"/>
      <c r="I48" s="211"/>
      <c r="J48" s="211"/>
      <c r="K48" s="211"/>
      <c r="L48" s="211"/>
      <c r="M48" s="211"/>
      <c r="N48" s="211"/>
      <c r="O48" s="211"/>
      <c r="P48" s="95"/>
    </row>
    <row r="49" spans="1:16" ht="45.75" customHeight="1" thickBot="1" x14ac:dyDescent="0.25">
      <c r="A49" s="101" t="s">
        <v>164</v>
      </c>
      <c r="B49" s="208"/>
      <c r="C49" s="209"/>
      <c r="D49" s="209"/>
      <c r="E49" s="209"/>
      <c r="F49" s="209"/>
      <c r="G49" s="210"/>
      <c r="H49" s="211"/>
      <c r="I49" s="211"/>
      <c r="J49" s="211"/>
      <c r="K49" s="211"/>
      <c r="L49" s="211"/>
      <c r="M49" s="211"/>
      <c r="N49" s="211"/>
      <c r="O49" s="211"/>
      <c r="P49" s="95"/>
    </row>
    <row r="50" spans="1:16" ht="45.75" customHeight="1" thickBot="1" x14ac:dyDescent="0.25">
      <c r="A50" s="101" t="s">
        <v>165</v>
      </c>
      <c r="B50" s="208"/>
      <c r="C50" s="209"/>
      <c r="D50" s="209"/>
      <c r="E50" s="209"/>
      <c r="F50" s="209"/>
      <c r="G50" s="210"/>
      <c r="H50" s="211"/>
      <c r="I50" s="211"/>
      <c r="J50" s="211"/>
      <c r="K50" s="211"/>
      <c r="L50" s="211"/>
      <c r="M50" s="211"/>
      <c r="N50" s="211"/>
      <c r="O50" s="211"/>
      <c r="P50" s="95"/>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23" priority="33" operator="equal">
      <formula>"Nok"</formula>
    </cfRule>
    <cfRule type="cellIs" dxfId="222" priority="34" operator="equal">
      <formula>"Ok"</formula>
    </cfRule>
  </conditionalFormatting>
  <conditionalFormatting sqref="P22:P33">
    <cfRule type="cellIs" dxfId="221" priority="31" operator="equal">
      <formula>"Nok"</formula>
    </cfRule>
    <cfRule type="cellIs" dxfId="220" priority="32" operator="equal">
      <formula>"Ok"</formula>
    </cfRule>
  </conditionalFormatting>
  <conditionalFormatting sqref="P34:P35">
    <cfRule type="cellIs" dxfId="219" priority="29" operator="equal">
      <formula>"Nok"</formula>
    </cfRule>
    <cfRule type="cellIs" dxfId="218" priority="30" operator="equal">
      <formula>"Ok"</formula>
    </cfRule>
  </conditionalFormatting>
  <conditionalFormatting sqref="P36:P37">
    <cfRule type="cellIs" dxfId="217" priority="27" operator="equal">
      <formula>"Nok"</formula>
    </cfRule>
    <cfRule type="cellIs" dxfId="216" priority="28" operator="equal">
      <formula>"Ok"</formula>
    </cfRule>
  </conditionalFormatting>
  <conditionalFormatting sqref="P38">
    <cfRule type="cellIs" dxfId="215" priority="25" operator="equal">
      <formula>"Nok"</formula>
    </cfRule>
    <cfRule type="cellIs" dxfId="214" priority="26" operator="equal">
      <formula>"Ok"</formula>
    </cfRule>
  </conditionalFormatting>
  <conditionalFormatting sqref="P39">
    <cfRule type="cellIs" dxfId="213" priority="23" operator="equal">
      <formula>"Nok"</formula>
    </cfRule>
    <cfRule type="cellIs" dxfId="212" priority="24" operator="equal">
      <formula>"Ok"</formula>
    </cfRule>
  </conditionalFormatting>
  <conditionalFormatting sqref="P40">
    <cfRule type="cellIs" dxfId="211" priority="21" operator="equal">
      <formula>"Nok"</formula>
    </cfRule>
    <cfRule type="cellIs" dxfId="210" priority="22" operator="equal">
      <formula>"Ok"</formula>
    </cfRule>
  </conditionalFormatting>
  <conditionalFormatting sqref="P41">
    <cfRule type="cellIs" dxfId="209" priority="19" operator="equal">
      <formula>"Nok"</formula>
    </cfRule>
    <cfRule type="cellIs" dxfId="208" priority="20" operator="equal">
      <formula>"Ok"</formula>
    </cfRule>
  </conditionalFormatting>
  <conditionalFormatting sqref="P42">
    <cfRule type="cellIs" dxfId="207" priority="17" operator="equal">
      <formula>"Nok"</formula>
    </cfRule>
    <cfRule type="cellIs" dxfId="206" priority="18" operator="equal">
      <formula>"Ok"</formula>
    </cfRule>
  </conditionalFormatting>
  <conditionalFormatting sqref="P43">
    <cfRule type="cellIs" dxfId="205" priority="15" operator="equal">
      <formula>"Nok"</formula>
    </cfRule>
    <cfRule type="cellIs" dxfId="204" priority="16" operator="equal">
      <formula>"Ok"</formula>
    </cfRule>
  </conditionalFormatting>
  <conditionalFormatting sqref="P44">
    <cfRule type="cellIs" dxfId="203" priority="13" operator="equal">
      <formula>"Nok"</formula>
    </cfRule>
    <cfRule type="cellIs" dxfId="202" priority="14" operator="equal">
      <formula>"Ok"</formula>
    </cfRule>
  </conditionalFormatting>
  <conditionalFormatting sqref="P45">
    <cfRule type="cellIs" dxfId="201" priority="11" operator="equal">
      <formula>"Nok"</formula>
    </cfRule>
    <cfRule type="cellIs" dxfId="200" priority="12" operator="equal">
      <formula>"Ok"</formula>
    </cfRule>
  </conditionalFormatting>
  <conditionalFormatting sqref="P46">
    <cfRule type="cellIs" dxfId="199" priority="9" operator="equal">
      <formula>"Nok"</formula>
    </cfRule>
    <cfRule type="cellIs" dxfId="198" priority="10" operator="equal">
      <formula>"Ok"</formula>
    </cfRule>
  </conditionalFormatting>
  <conditionalFormatting sqref="P47">
    <cfRule type="cellIs" dxfId="197" priority="7" operator="equal">
      <formula>"Nok"</formula>
    </cfRule>
    <cfRule type="cellIs" dxfId="196" priority="8" operator="equal">
      <formula>"Ok"</formula>
    </cfRule>
  </conditionalFormatting>
  <conditionalFormatting sqref="P48">
    <cfRule type="cellIs" dxfId="195" priority="5" operator="equal">
      <formula>"Nok"</formula>
    </cfRule>
    <cfRule type="cellIs" dxfId="194" priority="6" operator="equal">
      <formula>"Ok"</formula>
    </cfRule>
  </conditionalFormatting>
  <conditionalFormatting sqref="P49">
    <cfRule type="cellIs" dxfId="193" priority="3" operator="equal">
      <formula>"Nok"</formula>
    </cfRule>
    <cfRule type="cellIs" dxfId="192" priority="4" operator="equal">
      <formula>"Ok"</formula>
    </cfRule>
  </conditionalFormatting>
  <conditionalFormatting sqref="P50">
    <cfRule type="cellIs" dxfId="191" priority="1" operator="equal">
      <formula>"Nok"</formula>
    </cfRule>
    <cfRule type="cellIs" dxfId="190" priority="2" operator="equal">
      <formula>"Ok"</formula>
    </cfRule>
  </conditionalFormatting>
  <dataValidations count="3">
    <dataValidation type="list" allowBlank="1" showInputMessage="1" showErrorMessage="1" sqref="P22:P50">
      <formula1>"Ok, Nok, Not run, ,"</formula1>
    </dataValidation>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L22" sqref="L22:O22"/>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218</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8" t="s">
        <v>46</v>
      </c>
      <c r="B3" s="233" t="s">
        <v>225</v>
      </c>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7.75" customHeight="1" thickBot="1" x14ac:dyDescent="0.25">
      <c r="A7" s="97" t="s">
        <v>42</v>
      </c>
      <c r="B7" s="233" t="s">
        <v>172</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143</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53.25" customHeight="1" x14ac:dyDescent="0.2">
      <c r="A22" s="100" t="s">
        <v>50</v>
      </c>
      <c r="B22" s="212" t="s">
        <v>217</v>
      </c>
      <c r="C22" s="212"/>
      <c r="D22" s="212"/>
      <c r="E22" s="212"/>
      <c r="F22" s="212"/>
      <c r="G22" s="212"/>
      <c r="H22" s="212"/>
      <c r="I22" s="212"/>
      <c r="J22" s="212"/>
      <c r="K22" s="212"/>
      <c r="L22" s="212" t="s">
        <v>186</v>
      </c>
      <c r="M22" s="212"/>
      <c r="N22" s="212"/>
      <c r="O22" s="212"/>
      <c r="P22" s="94" t="s">
        <v>143</v>
      </c>
    </row>
    <row r="23" spans="1:16" ht="77.25" customHeight="1" x14ac:dyDescent="0.2">
      <c r="A23" s="100" t="s">
        <v>51</v>
      </c>
      <c r="B23" s="212" t="s">
        <v>224</v>
      </c>
      <c r="C23" s="212"/>
      <c r="D23" s="212"/>
      <c r="E23" s="212"/>
      <c r="F23" s="212"/>
      <c r="G23" s="212"/>
      <c r="H23" s="212"/>
      <c r="I23" s="212"/>
      <c r="J23" s="212"/>
      <c r="K23" s="212"/>
      <c r="L23" s="212" t="s">
        <v>201</v>
      </c>
      <c r="M23" s="212"/>
      <c r="N23" s="212"/>
      <c r="O23" s="212"/>
      <c r="P23" s="94" t="s">
        <v>143</v>
      </c>
    </row>
    <row r="24" spans="1:16" ht="42.75" customHeight="1" x14ac:dyDescent="0.2">
      <c r="A24" s="100" t="s">
        <v>52</v>
      </c>
      <c r="B24" s="212"/>
      <c r="C24" s="212"/>
      <c r="D24" s="212"/>
      <c r="E24" s="212"/>
      <c r="F24" s="212"/>
      <c r="G24" s="212"/>
      <c r="H24" s="212"/>
      <c r="I24" s="212"/>
      <c r="J24" s="212"/>
      <c r="K24" s="212"/>
      <c r="L24" s="212"/>
      <c r="M24" s="212"/>
      <c r="N24" s="212"/>
      <c r="O24" s="212"/>
      <c r="P24" s="94" t="s">
        <v>143</v>
      </c>
    </row>
    <row r="25" spans="1:16" ht="42.75" customHeight="1" x14ac:dyDescent="0.2">
      <c r="A25" s="100" t="s">
        <v>53</v>
      </c>
      <c r="B25" s="212"/>
      <c r="C25" s="212"/>
      <c r="D25" s="212"/>
      <c r="E25" s="212"/>
      <c r="F25" s="212"/>
      <c r="G25" s="212"/>
      <c r="H25" s="212"/>
      <c r="I25" s="212"/>
      <c r="J25" s="212"/>
      <c r="K25" s="212"/>
      <c r="L25" s="212"/>
      <c r="M25" s="212"/>
      <c r="N25" s="212"/>
      <c r="O25" s="212"/>
      <c r="P25" s="94"/>
    </row>
    <row r="26" spans="1:16" ht="79.5" customHeight="1" x14ac:dyDescent="0.2">
      <c r="A26" s="100" t="s">
        <v>54</v>
      </c>
      <c r="B26" s="213"/>
      <c r="C26" s="214"/>
      <c r="D26" s="214"/>
      <c r="E26" s="214"/>
      <c r="F26" s="214"/>
      <c r="G26" s="215"/>
      <c r="H26" s="212"/>
      <c r="I26" s="212"/>
      <c r="J26" s="212"/>
      <c r="K26" s="212"/>
      <c r="L26" s="212"/>
      <c r="M26" s="212"/>
      <c r="N26" s="212"/>
      <c r="O26" s="212"/>
      <c r="P26" s="94"/>
    </row>
    <row r="27" spans="1:16" ht="29.25" customHeight="1" x14ac:dyDescent="0.2">
      <c r="A27" s="100" t="s">
        <v>55</v>
      </c>
      <c r="B27" s="213"/>
      <c r="C27" s="214"/>
      <c r="D27" s="214"/>
      <c r="E27" s="214"/>
      <c r="F27" s="214"/>
      <c r="G27" s="215"/>
      <c r="H27" s="212"/>
      <c r="I27" s="212"/>
      <c r="J27" s="212"/>
      <c r="K27" s="212"/>
      <c r="L27" s="212"/>
      <c r="M27" s="212"/>
      <c r="N27" s="212"/>
      <c r="O27" s="212"/>
      <c r="P27" s="94"/>
    </row>
    <row r="28" spans="1:16" ht="29.25" customHeight="1" x14ac:dyDescent="0.2">
      <c r="A28" s="100" t="s">
        <v>56</v>
      </c>
      <c r="B28" s="213"/>
      <c r="C28" s="214"/>
      <c r="D28" s="214"/>
      <c r="E28" s="214"/>
      <c r="F28" s="214"/>
      <c r="G28" s="215"/>
      <c r="H28" s="212"/>
      <c r="I28" s="212"/>
      <c r="J28" s="212"/>
      <c r="K28" s="212"/>
      <c r="L28" s="212"/>
      <c r="M28" s="212"/>
      <c r="N28" s="212"/>
      <c r="O28" s="212"/>
      <c r="P28" s="94"/>
    </row>
    <row r="29" spans="1:16" ht="29.25" customHeight="1" x14ac:dyDescent="0.2">
      <c r="A29" s="100" t="s">
        <v>57</v>
      </c>
      <c r="B29" s="213"/>
      <c r="C29" s="214"/>
      <c r="D29" s="214"/>
      <c r="E29" s="214"/>
      <c r="F29" s="214"/>
      <c r="G29" s="215"/>
      <c r="H29" s="212"/>
      <c r="I29" s="212"/>
      <c r="J29" s="212"/>
      <c r="K29" s="212"/>
      <c r="L29" s="212"/>
      <c r="M29" s="212"/>
      <c r="N29" s="212"/>
      <c r="O29" s="212"/>
      <c r="P29" s="94"/>
    </row>
    <row r="30" spans="1:16" ht="45.75" customHeight="1" thickBot="1" x14ac:dyDescent="0.25">
      <c r="A30" s="101" t="s">
        <v>58</v>
      </c>
      <c r="B30" s="208"/>
      <c r="C30" s="209"/>
      <c r="D30" s="209"/>
      <c r="E30" s="209"/>
      <c r="F30" s="209"/>
      <c r="G30" s="210"/>
      <c r="H30" s="211"/>
      <c r="I30" s="211"/>
      <c r="J30" s="211"/>
      <c r="K30" s="211"/>
      <c r="L30" s="211"/>
      <c r="M30" s="211"/>
      <c r="N30" s="211"/>
      <c r="O30" s="211"/>
      <c r="P30" s="95"/>
    </row>
    <row r="31" spans="1:16" ht="29.25" customHeight="1" thickBot="1" x14ac:dyDescent="0.25">
      <c r="A31" s="101" t="s">
        <v>145</v>
      </c>
      <c r="B31" s="213"/>
      <c r="C31" s="214"/>
      <c r="D31" s="214"/>
      <c r="E31" s="214"/>
      <c r="F31" s="214"/>
      <c r="G31" s="215"/>
      <c r="H31" s="212"/>
      <c r="I31" s="212"/>
      <c r="J31" s="212"/>
      <c r="K31" s="212"/>
      <c r="L31" s="212"/>
      <c r="M31" s="212"/>
      <c r="N31" s="212"/>
      <c r="O31" s="212"/>
      <c r="P31" s="94"/>
    </row>
    <row r="32" spans="1:16" ht="55.5" customHeight="1" thickBot="1" x14ac:dyDescent="0.25">
      <c r="A32" s="101" t="s">
        <v>146</v>
      </c>
      <c r="B32" s="213"/>
      <c r="C32" s="214"/>
      <c r="D32" s="214"/>
      <c r="E32" s="214"/>
      <c r="F32" s="214"/>
      <c r="G32" s="215"/>
      <c r="H32" s="212"/>
      <c r="I32" s="212"/>
      <c r="J32" s="212"/>
      <c r="K32" s="212"/>
      <c r="L32" s="212"/>
      <c r="M32" s="212"/>
      <c r="N32" s="212"/>
      <c r="O32" s="212"/>
      <c r="P32" s="94"/>
    </row>
    <row r="33" spans="1:16" ht="45.75" customHeight="1" thickBot="1" x14ac:dyDescent="0.25">
      <c r="A33" s="101" t="s">
        <v>147</v>
      </c>
      <c r="B33" s="208"/>
      <c r="C33" s="209"/>
      <c r="D33" s="209"/>
      <c r="E33" s="209"/>
      <c r="F33" s="209"/>
      <c r="G33" s="210"/>
      <c r="H33" s="211"/>
      <c r="I33" s="211"/>
      <c r="J33" s="211"/>
      <c r="K33" s="211"/>
      <c r="L33" s="211"/>
      <c r="M33" s="211"/>
      <c r="N33" s="211"/>
      <c r="O33" s="211"/>
      <c r="P33" s="94"/>
    </row>
    <row r="34" spans="1:16" ht="45.75" customHeight="1" thickBot="1" x14ac:dyDescent="0.25">
      <c r="A34" s="101" t="s">
        <v>148</v>
      </c>
      <c r="B34" s="213"/>
      <c r="C34" s="214"/>
      <c r="D34" s="214"/>
      <c r="E34" s="214"/>
      <c r="F34" s="214"/>
      <c r="G34" s="215"/>
      <c r="H34" s="212"/>
      <c r="I34" s="212"/>
      <c r="J34" s="212"/>
      <c r="K34" s="212"/>
      <c r="L34" s="212"/>
      <c r="M34" s="212"/>
      <c r="N34" s="212"/>
      <c r="O34" s="212"/>
      <c r="P34" s="94"/>
    </row>
    <row r="35" spans="1:16" ht="48" customHeight="1" thickBot="1" x14ac:dyDescent="0.25">
      <c r="A35" s="101" t="s">
        <v>149</v>
      </c>
      <c r="B35" s="213"/>
      <c r="C35" s="214"/>
      <c r="D35" s="214"/>
      <c r="E35" s="214"/>
      <c r="F35" s="214"/>
      <c r="G35" s="215"/>
      <c r="H35" s="212"/>
      <c r="I35" s="212"/>
      <c r="J35" s="212"/>
      <c r="K35" s="212"/>
      <c r="L35" s="212"/>
      <c r="M35" s="212"/>
      <c r="N35" s="212"/>
      <c r="O35" s="212"/>
      <c r="P35" s="94"/>
    </row>
    <row r="36" spans="1:16" ht="45.75" customHeight="1" thickBot="1" x14ac:dyDescent="0.25">
      <c r="A36" s="101" t="s">
        <v>150</v>
      </c>
      <c r="B36" s="208"/>
      <c r="C36" s="209"/>
      <c r="D36" s="209"/>
      <c r="E36" s="209"/>
      <c r="F36" s="209"/>
      <c r="G36" s="210"/>
      <c r="H36" s="211"/>
      <c r="I36" s="211"/>
      <c r="J36" s="211"/>
      <c r="K36" s="211"/>
      <c r="L36" s="212"/>
      <c r="M36" s="212"/>
      <c r="N36" s="212"/>
      <c r="O36" s="212"/>
      <c r="P36" s="95"/>
    </row>
    <row r="37" spans="1:16" ht="66" customHeight="1" thickBot="1" x14ac:dyDescent="0.25">
      <c r="A37" s="101" t="s">
        <v>151</v>
      </c>
      <c r="B37" s="208"/>
      <c r="C37" s="209"/>
      <c r="D37" s="209"/>
      <c r="E37" s="209"/>
      <c r="F37" s="209"/>
      <c r="G37" s="210"/>
      <c r="H37" s="211"/>
      <c r="I37" s="211"/>
      <c r="J37" s="211"/>
      <c r="K37" s="211"/>
      <c r="L37" s="212"/>
      <c r="M37" s="212"/>
      <c r="N37" s="212"/>
      <c r="O37" s="212"/>
      <c r="P37" s="95"/>
    </row>
    <row r="38" spans="1:16" ht="45.75" customHeight="1" thickBot="1" x14ac:dyDescent="0.25">
      <c r="A38" s="101" t="s">
        <v>152</v>
      </c>
      <c r="B38" s="208"/>
      <c r="C38" s="209"/>
      <c r="D38" s="209"/>
      <c r="E38" s="209"/>
      <c r="F38" s="209"/>
      <c r="G38" s="210"/>
      <c r="H38" s="211"/>
      <c r="I38" s="211"/>
      <c r="J38" s="211"/>
      <c r="K38" s="211"/>
      <c r="L38" s="211"/>
      <c r="M38" s="211"/>
      <c r="N38" s="211"/>
      <c r="O38" s="211"/>
      <c r="P38" s="95"/>
    </row>
    <row r="39" spans="1:16" ht="45.75" customHeight="1" thickBot="1" x14ac:dyDescent="0.25">
      <c r="A39" s="101" t="s">
        <v>153</v>
      </c>
      <c r="B39" s="208"/>
      <c r="C39" s="209"/>
      <c r="D39" s="209"/>
      <c r="E39" s="209"/>
      <c r="F39" s="209"/>
      <c r="G39" s="210"/>
      <c r="H39" s="211"/>
      <c r="I39" s="211"/>
      <c r="J39" s="211"/>
      <c r="K39" s="211"/>
      <c r="L39" s="211"/>
      <c r="M39" s="211"/>
      <c r="N39" s="211"/>
      <c r="O39" s="211"/>
      <c r="P39" s="95"/>
    </row>
    <row r="40" spans="1:16" ht="45.75" customHeight="1" thickBot="1" x14ac:dyDescent="0.25">
      <c r="A40" s="101" t="s">
        <v>155</v>
      </c>
      <c r="B40" s="208"/>
      <c r="C40" s="209"/>
      <c r="D40" s="209"/>
      <c r="E40" s="209"/>
      <c r="F40" s="209"/>
      <c r="G40" s="210"/>
      <c r="H40" s="211"/>
      <c r="I40" s="211"/>
      <c r="J40" s="211"/>
      <c r="K40" s="211"/>
      <c r="L40" s="211"/>
      <c r="M40" s="211"/>
      <c r="N40" s="211"/>
      <c r="O40" s="211"/>
      <c r="P40" s="95"/>
    </row>
    <row r="41" spans="1:16" ht="45.75" customHeight="1" thickBot="1" x14ac:dyDescent="0.25">
      <c r="A41" s="101" t="s">
        <v>156</v>
      </c>
      <c r="B41" s="208"/>
      <c r="C41" s="209"/>
      <c r="D41" s="209"/>
      <c r="E41" s="209"/>
      <c r="F41" s="209"/>
      <c r="G41" s="210"/>
      <c r="H41" s="211"/>
      <c r="I41" s="211"/>
      <c r="J41" s="211"/>
      <c r="K41" s="211"/>
      <c r="L41" s="211"/>
      <c r="M41" s="211"/>
      <c r="N41" s="211"/>
      <c r="O41" s="211"/>
      <c r="P41" s="95"/>
    </row>
    <row r="42" spans="1:16" ht="45.75" customHeight="1" thickBot="1" x14ac:dyDescent="0.25">
      <c r="A42" s="101" t="s">
        <v>157</v>
      </c>
      <c r="B42" s="208"/>
      <c r="C42" s="209"/>
      <c r="D42" s="209"/>
      <c r="E42" s="209"/>
      <c r="F42" s="209"/>
      <c r="G42" s="210"/>
      <c r="H42" s="211"/>
      <c r="I42" s="211"/>
      <c r="J42" s="211"/>
      <c r="K42" s="211"/>
      <c r="L42" s="211"/>
      <c r="M42" s="211"/>
      <c r="N42" s="211"/>
      <c r="O42" s="211"/>
      <c r="P42" s="95"/>
    </row>
    <row r="43" spans="1:16" ht="45.75" customHeight="1" thickBot="1" x14ac:dyDescent="0.25">
      <c r="A43" s="101" t="s">
        <v>158</v>
      </c>
      <c r="B43" s="208"/>
      <c r="C43" s="209"/>
      <c r="D43" s="209"/>
      <c r="E43" s="209"/>
      <c r="F43" s="209"/>
      <c r="G43" s="210"/>
      <c r="H43" s="211"/>
      <c r="I43" s="211"/>
      <c r="J43" s="211"/>
      <c r="K43" s="211"/>
      <c r="L43" s="211"/>
      <c r="M43" s="211"/>
      <c r="N43" s="211"/>
      <c r="O43" s="211"/>
      <c r="P43" s="95"/>
    </row>
    <row r="44" spans="1:16" ht="45.75" customHeight="1" thickBot="1" x14ac:dyDescent="0.25">
      <c r="A44" s="101" t="s">
        <v>159</v>
      </c>
      <c r="B44" s="208"/>
      <c r="C44" s="209"/>
      <c r="D44" s="209"/>
      <c r="E44" s="209"/>
      <c r="F44" s="209"/>
      <c r="G44" s="210"/>
      <c r="H44" s="211"/>
      <c r="I44" s="211"/>
      <c r="J44" s="211"/>
      <c r="K44" s="211"/>
      <c r="L44" s="211"/>
      <c r="M44" s="211"/>
      <c r="N44" s="211"/>
      <c r="O44" s="211"/>
      <c r="P44" s="95"/>
    </row>
    <row r="45" spans="1:16" ht="45.75" customHeight="1" thickBot="1" x14ac:dyDescent="0.25">
      <c r="A45" s="101" t="s">
        <v>160</v>
      </c>
      <c r="B45" s="208"/>
      <c r="C45" s="209"/>
      <c r="D45" s="209"/>
      <c r="E45" s="209"/>
      <c r="F45" s="209"/>
      <c r="G45" s="210"/>
      <c r="H45" s="211"/>
      <c r="I45" s="211"/>
      <c r="J45" s="211"/>
      <c r="K45" s="211"/>
      <c r="L45" s="211"/>
      <c r="M45" s="211"/>
      <c r="N45" s="211"/>
      <c r="O45" s="211"/>
      <c r="P45" s="95"/>
    </row>
    <row r="46" spans="1:16" ht="45.75" customHeight="1" thickBot="1" x14ac:dyDescent="0.25">
      <c r="A46" s="101" t="s">
        <v>161</v>
      </c>
      <c r="B46" s="208"/>
      <c r="C46" s="209"/>
      <c r="D46" s="209"/>
      <c r="E46" s="209"/>
      <c r="F46" s="209"/>
      <c r="G46" s="210"/>
      <c r="H46" s="211"/>
      <c r="I46" s="211"/>
      <c r="J46" s="211"/>
      <c r="K46" s="211"/>
      <c r="L46" s="211"/>
      <c r="M46" s="211"/>
      <c r="N46" s="211"/>
      <c r="O46" s="211"/>
      <c r="P46" s="95"/>
    </row>
    <row r="47" spans="1:16" ht="45.75" customHeight="1" thickBot="1" x14ac:dyDescent="0.25">
      <c r="A47" s="101" t="s">
        <v>162</v>
      </c>
      <c r="B47" s="208"/>
      <c r="C47" s="209"/>
      <c r="D47" s="209"/>
      <c r="E47" s="209"/>
      <c r="F47" s="209"/>
      <c r="G47" s="210"/>
      <c r="H47" s="211"/>
      <c r="I47" s="211"/>
      <c r="J47" s="211"/>
      <c r="K47" s="211"/>
      <c r="L47" s="211"/>
      <c r="M47" s="211"/>
      <c r="N47" s="211"/>
      <c r="O47" s="211"/>
      <c r="P47" s="95"/>
    </row>
    <row r="48" spans="1:16" ht="45.75" customHeight="1" thickBot="1" x14ac:dyDescent="0.25">
      <c r="A48" s="101" t="s">
        <v>163</v>
      </c>
      <c r="B48" s="208"/>
      <c r="C48" s="209"/>
      <c r="D48" s="209"/>
      <c r="E48" s="209"/>
      <c r="F48" s="209"/>
      <c r="G48" s="210"/>
      <c r="H48" s="211"/>
      <c r="I48" s="211"/>
      <c r="J48" s="211"/>
      <c r="K48" s="211"/>
      <c r="L48" s="211"/>
      <c r="M48" s="211"/>
      <c r="N48" s="211"/>
      <c r="O48" s="211"/>
      <c r="P48" s="95"/>
    </row>
    <row r="49" spans="1:16" ht="45.75" customHeight="1" thickBot="1" x14ac:dyDescent="0.25">
      <c r="A49" s="101" t="s">
        <v>164</v>
      </c>
      <c r="B49" s="208"/>
      <c r="C49" s="209"/>
      <c r="D49" s="209"/>
      <c r="E49" s="209"/>
      <c r="F49" s="209"/>
      <c r="G49" s="210"/>
      <c r="H49" s="211"/>
      <c r="I49" s="211"/>
      <c r="J49" s="211"/>
      <c r="K49" s="211"/>
      <c r="L49" s="211"/>
      <c r="M49" s="211"/>
      <c r="N49" s="211"/>
      <c r="O49" s="211"/>
      <c r="P49" s="95"/>
    </row>
    <row r="50" spans="1:16" ht="45.75" customHeight="1" thickBot="1" x14ac:dyDescent="0.25">
      <c r="A50" s="101" t="s">
        <v>165</v>
      </c>
      <c r="B50" s="208"/>
      <c r="C50" s="209"/>
      <c r="D50" s="209"/>
      <c r="E50" s="209"/>
      <c r="F50" s="209"/>
      <c r="G50" s="210"/>
      <c r="H50" s="211"/>
      <c r="I50" s="211"/>
      <c r="J50" s="211"/>
      <c r="K50" s="211"/>
      <c r="L50" s="211"/>
      <c r="M50" s="211"/>
      <c r="N50" s="211"/>
      <c r="O50" s="211"/>
      <c r="P50" s="95"/>
    </row>
  </sheetData>
  <mergeCells count="9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 ref="B45:G45"/>
    <mergeCell ref="H45:K45"/>
    <mergeCell ref="L45:O45"/>
    <mergeCell ref="B46:G46"/>
    <mergeCell ref="H46:K46"/>
    <mergeCell ref="L46:O46"/>
    <mergeCell ref="B47:G47"/>
    <mergeCell ref="H47:K47"/>
    <mergeCell ref="L47:O47"/>
    <mergeCell ref="B48:G48"/>
    <mergeCell ref="H48:K48"/>
    <mergeCell ref="L48:O48"/>
    <mergeCell ref="B49:G49"/>
    <mergeCell ref="H49:K49"/>
    <mergeCell ref="L49:O49"/>
    <mergeCell ref="B50:G50"/>
    <mergeCell ref="H50:K50"/>
    <mergeCell ref="L50:O50"/>
  </mergeCells>
  <conditionalFormatting sqref="B9:B10">
    <cfRule type="cellIs" dxfId="189" priority="37" operator="equal">
      <formula>"Nok"</formula>
    </cfRule>
    <cfRule type="cellIs" dxfId="188" priority="38" operator="equal">
      <formula>"Ok"</formula>
    </cfRule>
  </conditionalFormatting>
  <conditionalFormatting sqref="P25:P30">
    <cfRule type="cellIs" dxfId="187" priority="35" operator="equal">
      <formula>"Nok"</formula>
    </cfRule>
    <cfRule type="cellIs" dxfId="186" priority="36" operator="equal">
      <formula>"Ok"</formula>
    </cfRule>
  </conditionalFormatting>
  <conditionalFormatting sqref="P31:P35">
    <cfRule type="cellIs" dxfId="185" priority="33" operator="equal">
      <formula>"Nok"</formula>
    </cfRule>
    <cfRule type="cellIs" dxfId="184" priority="34" operator="equal">
      <formula>"Ok"</formula>
    </cfRule>
  </conditionalFormatting>
  <conditionalFormatting sqref="P36:P37">
    <cfRule type="cellIs" dxfId="183" priority="31" operator="equal">
      <formula>"Nok"</formula>
    </cfRule>
    <cfRule type="cellIs" dxfId="182" priority="32" operator="equal">
      <formula>"Ok"</formula>
    </cfRule>
  </conditionalFormatting>
  <conditionalFormatting sqref="P38">
    <cfRule type="cellIs" dxfId="181" priority="29" operator="equal">
      <formula>"Nok"</formula>
    </cfRule>
    <cfRule type="cellIs" dxfId="180" priority="30" operator="equal">
      <formula>"Ok"</formula>
    </cfRule>
  </conditionalFormatting>
  <conditionalFormatting sqref="P39">
    <cfRule type="cellIs" dxfId="179" priority="27" operator="equal">
      <formula>"Nok"</formula>
    </cfRule>
    <cfRule type="cellIs" dxfId="178" priority="28" operator="equal">
      <formula>"Ok"</formula>
    </cfRule>
  </conditionalFormatting>
  <conditionalFormatting sqref="P40">
    <cfRule type="cellIs" dxfId="177" priority="25" operator="equal">
      <formula>"Nok"</formula>
    </cfRule>
    <cfRule type="cellIs" dxfId="176" priority="26" operator="equal">
      <formula>"Ok"</formula>
    </cfRule>
  </conditionalFormatting>
  <conditionalFormatting sqref="P41">
    <cfRule type="cellIs" dxfId="175" priority="23" operator="equal">
      <formula>"Nok"</formula>
    </cfRule>
    <cfRule type="cellIs" dxfId="174" priority="24" operator="equal">
      <formula>"Ok"</formula>
    </cfRule>
  </conditionalFormatting>
  <conditionalFormatting sqref="P42">
    <cfRule type="cellIs" dxfId="173" priority="21" operator="equal">
      <formula>"Nok"</formula>
    </cfRule>
    <cfRule type="cellIs" dxfId="172" priority="22" operator="equal">
      <formula>"Ok"</formula>
    </cfRule>
  </conditionalFormatting>
  <conditionalFormatting sqref="P43">
    <cfRule type="cellIs" dxfId="171" priority="19" operator="equal">
      <formula>"Nok"</formula>
    </cfRule>
    <cfRule type="cellIs" dxfId="170" priority="20" operator="equal">
      <formula>"Ok"</formula>
    </cfRule>
  </conditionalFormatting>
  <conditionalFormatting sqref="P44">
    <cfRule type="cellIs" dxfId="169" priority="17" operator="equal">
      <formula>"Nok"</formula>
    </cfRule>
    <cfRule type="cellIs" dxfId="168" priority="18" operator="equal">
      <formula>"Ok"</formula>
    </cfRule>
  </conditionalFormatting>
  <conditionalFormatting sqref="P45">
    <cfRule type="cellIs" dxfId="167" priority="15" operator="equal">
      <formula>"Nok"</formula>
    </cfRule>
    <cfRule type="cellIs" dxfId="166" priority="16" operator="equal">
      <formula>"Ok"</formula>
    </cfRule>
  </conditionalFormatting>
  <conditionalFormatting sqref="P46">
    <cfRule type="cellIs" dxfId="165" priority="13" operator="equal">
      <formula>"Nok"</formula>
    </cfRule>
    <cfRule type="cellIs" dxfId="164" priority="14" operator="equal">
      <formula>"Ok"</formula>
    </cfRule>
  </conditionalFormatting>
  <conditionalFormatting sqref="P47">
    <cfRule type="cellIs" dxfId="163" priority="11" operator="equal">
      <formula>"Nok"</formula>
    </cfRule>
    <cfRule type="cellIs" dxfId="162" priority="12" operator="equal">
      <formula>"Ok"</formula>
    </cfRule>
  </conditionalFormatting>
  <conditionalFormatting sqref="P48">
    <cfRule type="cellIs" dxfId="161" priority="9" operator="equal">
      <formula>"Nok"</formula>
    </cfRule>
    <cfRule type="cellIs" dxfId="160" priority="10" operator="equal">
      <formula>"Ok"</formula>
    </cfRule>
  </conditionalFormatting>
  <conditionalFormatting sqref="P49">
    <cfRule type="cellIs" dxfId="159" priority="7" operator="equal">
      <formula>"Nok"</formula>
    </cfRule>
    <cfRule type="cellIs" dxfId="158" priority="8" operator="equal">
      <formula>"Ok"</formula>
    </cfRule>
  </conditionalFormatting>
  <conditionalFormatting sqref="P50">
    <cfRule type="cellIs" dxfId="157" priority="5" operator="equal">
      <formula>"Nok"</formula>
    </cfRule>
    <cfRule type="cellIs" dxfId="156" priority="6" operator="equal">
      <formula>"Ok"</formula>
    </cfRule>
  </conditionalFormatting>
  <conditionalFormatting sqref="P22 P24">
    <cfRule type="cellIs" dxfId="155" priority="3" operator="equal">
      <formula>"Nok"</formula>
    </cfRule>
    <cfRule type="cellIs" dxfId="154" priority="4" operator="equal">
      <formula>"Ok"</formula>
    </cfRule>
  </conditionalFormatting>
  <conditionalFormatting sqref="P23">
    <cfRule type="cellIs" dxfId="153" priority="1" operator="equal">
      <formula>"Nok"</formula>
    </cfRule>
    <cfRule type="cellIs" dxfId="152" priority="2" operator="equal">
      <formula>"Ok"</formula>
    </cfRule>
  </conditionalFormatting>
  <dataValidations count="3">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topLeftCell="A10" zoomScale="85" zoomScaleNormal="85" workbookViewId="0">
      <selection activeCell="B23" sqref="B23:P26"/>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171</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8" t="s">
        <v>46</v>
      </c>
      <c r="B3" s="233" t="s">
        <v>227</v>
      </c>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7.75" customHeight="1" thickBot="1" x14ac:dyDescent="0.25">
      <c r="A7" s="97" t="s">
        <v>42</v>
      </c>
      <c r="B7" s="233" t="s">
        <v>172</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144</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53.25" customHeight="1" x14ac:dyDescent="0.2">
      <c r="A22" s="100" t="s">
        <v>50</v>
      </c>
      <c r="B22" s="212" t="s">
        <v>219</v>
      </c>
      <c r="C22" s="212"/>
      <c r="D22" s="212"/>
      <c r="E22" s="212"/>
      <c r="F22" s="212"/>
      <c r="G22" s="212"/>
      <c r="H22" s="212"/>
      <c r="I22" s="212"/>
      <c r="J22" s="212"/>
      <c r="K22" s="212"/>
      <c r="L22" s="212" t="s">
        <v>220</v>
      </c>
      <c r="M22" s="212"/>
      <c r="N22" s="212"/>
      <c r="O22" s="212"/>
      <c r="P22" s="94" t="s">
        <v>144</v>
      </c>
    </row>
    <row r="23" spans="1:16" ht="77.25" customHeight="1" x14ac:dyDescent="0.2">
      <c r="A23" s="100" t="s">
        <v>51</v>
      </c>
      <c r="B23" s="212" t="s">
        <v>221</v>
      </c>
      <c r="C23" s="212"/>
      <c r="D23" s="212"/>
      <c r="E23" s="212"/>
      <c r="F23" s="212"/>
      <c r="G23" s="212"/>
      <c r="H23" s="212"/>
      <c r="I23" s="212"/>
      <c r="J23" s="212"/>
      <c r="K23" s="212"/>
      <c r="L23" s="212" t="s">
        <v>189</v>
      </c>
      <c r="M23" s="212"/>
      <c r="N23" s="212"/>
      <c r="O23" s="212"/>
      <c r="P23" s="94" t="s">
        <v>144</v>
      </c>
    </row>
    <row r="24" spans="1:16" ht="42.75" customHeight="1" x14ac:dyDescent="0.2">
      <c r="A24" s="100" t="s">
        <v>52</v>
      </c>
      <c r="B24" s="212" t="s">
        <v>222</v>
      </c>
      <c r="C24" s="212"/>
      <c r="D24" s="212"/>
      <c r="E24" s="212"/>
      <c r="F24" s="212"/>
      <c r="G24" s="212"/>
      <c r="H24" s="212"/>
      <c r="I24" s="212"/>
      <c r="J24" s="212"/>
      <c r="K24" s="212"/>
      <c r="L24" s="212" t="s">
        <v>194</v>
      </c>
      <c r="M24" s="212"/>
      <c r="N24" s="212"/>
      <c r="O24" s="212"/>
      <c r="P24" s="94" t="s">
        <v>144</v>
      </c>
    </row>
    <row r="25" spans="1:16" ht="42.75" customHeight="1" x14ac:dyDescent="0.2">
      <c r="A25" s="100" t="s">
        <v>53</v>
      </c>
      <c r="B25" s="212" t="s">
        <v>223</v>
      </c>
      <c r="C25" s="212"/>
      <c r="D25" s="212"/>
      <c r="E25" s="212"/>
      <c r="F25" s="212"/>
      <c r="G25" s="212"/>
      <c r="H25" s="212"/>
      <c r="I25" s="212"/>
      <c r="J25" s="212"/>
      <c r="K25" s="212"/>
      <c r="L25" s="212" t="s">
        <v>194</v>
      </c>
      <c r="M25" s="212"/>
      <c r="N25" s="212"/>
      <c r="O25" s="212"/>
      <c r="P25" s="94" t="s">
        <v>144</v>
      </c>
    </row>
    <row r="26" spans="1:16" ht="79.5" customHeight="1" x14ac:dyDescent="0.2">
      <c r="A26" s="100" t="s">
        <v>54</v>
      </c>
      <c r="B26" s="212" t="s">
        <v>226</v>
      </c>
      <c r="C26" s="212"/>
      <c r="D26" s="212"/>
      <c r="E26" s="212"/>
      <c r="F26" s="212"/>
      <c r="G26" s="212"/>
      <c r="H26" s="212"/>
      <c r="I26" s="212"/>
      <c r="J26" s="212"/>
      <c r="K26" s="212"/>
      <c r="L26" s="212" t="s">
        <v>189</v>
      </c>
      <c r="M26" s="212"/>
      <c r="N26" s="212"/>
      <c r="O26" s="212"/>
      <c r="P26" s="94" t="s">
        <v>144</v>
      </c>
    </row>
    <row r="27" spans="1:16" ht="29.25" customHeight="1" x14ac:dyDescent="0.2">
      <c r="A27" s="100" t="s">
        <v>55</v>
      </c>
      <c r="B27" s="213"/>
      <c r="C27" s="214"/>
      <c r="D27" s="214"/>
      <c r="E27" s="214"/>
      <c r="F27" s="214"/>
      <c r="G27" s="215"/>
      <c r="H27" s="212"/>
      <c r="I27" s="212"/>
      <c r="J27" s="212"/>
      <c r="K27" s="212"/>
      <c r="L27" s="212"/>
      <c r="M27" s="212"/>
      <c r="N27" s="212"/>
      <c r="O27" s="212"/>
      <c r="P27" s="94"/>
    </row>
    <row r="28" spans="1:16" ht="29.25" customHeight="1" x14ac:dyDescent="0.2">
      <c r="A28" s="100" t="s">
        <v>56</v>
      </c>
      <c r="B28" s="213"/>
      <c r="C28" s="214"/>
      <c r="D28" s="214"/>
      <c r="E28" s="214"/>
      <c r="F28" s="214"/>
      <c r="G28" s="215"/>
      <c r="H28" s="212"/>
      <c r="I28" s="212"/>
      <c r="J28" s="212"/>
      <c r="K28" s="212"/>
      <c r="L28" s="212"/>
      <c r="M28" s="212"/>
      <c r="N28" s="212"/>
      <c r="O28" s="212"/>
      <c r="P28" s="94"/>
    </row>
    <row r="29" spans="1:16" ht="29.25" customHeight="1" x14ac:dyDescent="0.2">
      <c r="A29" s="100" t="s">
        <v>57</v>
      </c>
      <c r="B29" s="213"/>
      <c r="C29" s="214"/>
      <c r="D29" s="214"/>
      <c r="E29" s="214"/>
      <c r="F29" s="214"/>
      <c r="G29" s="215"/>
      <c r="H29" s="212"/>
      <c r="I29" s="212"/>
      <c r="J29" s="212"/>
      <c r="K29" s="212"/>
      <c r="L29" s="212"/>
      <c r="M29" s="212"/>
      <c r="N29" s="212"/>
      <c r="O29" s="212"/>
      <c r="P29" s="94"/>
    </row>
    <row r="30" spans="1:16" ht="45.75" customHeight="1" thickBot="1" x14ac:dyDescent="0.25">
      <c r="A30" s="101" t="s">
        <v>58</v>
      </c>
      <c r="B30" s="208"/>
      <c r="C30" s="209"/>
      <c r="D30" s="209"/>
      <c r="E30" s="209"/>
      <c r="F30" s="209"/>
      <c r="G30" s="210"/>
      <c r="H30" s="211"/>
      <c r="I30" s="211"/>
      <c r="J30" s="211"/>
      <c r="K30" s="211"/>
      <c r="L30" s="211"/>
      <c r="M30" s="211"/>
      <c r="N30" s="211"/>
      <c r="O30" s="211"/>
      <c r="P30" s="95"/>
    </row>
    <row r="31" spans="1:16" ht="29.25" customHeight="1" thickBot="1" x14ac:dyDescent="0.25">
      <c r="A31" s="101" t="s">
        <v>145</v>
      </c>
      <c r="B31" s="213"/>
      <c r="C31" s="214"/>
      <c r="D31" s="214"/>
      <c r="E31" s="214"/>
      <c r="F31" s="214"/>
      <c r="G31" s="215"/>
      <c r="H31" s="212"/>
      <c r="I31" s="212"/>
      <c r="J31" s="212"/>
      <c r="K31" s="212"/>
      <c r="L31" s="212"/>
      <c r="M31" s="212"/>
      <c r="N31" s="212"/>
      <c r="O31" s="212"/>
      <c r="P31" s="94"/>
    </row>
    <row r="32" spans="1:16" ht="55.5" customHeight="1" thickBot="1" x14ac:dyDescent="0.25">
      <c r="A32" s="101" t="s">
        <v>146</v>
      </c>
      <c r="B32" s="213"/>
      <c r="C32" s="214"/>
      <c r="D32" s="214"/>
      <c r="E32" s="214"/>
      <c r="F32" s="214"/>
      <c r="G32" s="215"/>
      <c r="H32" s="212"/>
      <c r="I32" s="212"/>
      <c r="J32" s="212"/>
      <c r="K32" s="212"/>
      <c r="L32" s="212"/>
      <c r="M32" s="212"/>
      <c r="N32" s="212"/>
      <c r="O32" s="212"/>
      <c r="P32" s="94"/>
    </row>
    <row r="33" spans="1:16" ht="45.75" customHeight="1" thickBot="1" x14ac:dyDescent="0.25">
      <c r="A33" s="101" t="s">
        <v>147</v>
      </c>
      <c r="B33" s="208"/>
      <c r="C33" s="209"/>
      <c r="D33" s="209"/>
      <c r="E33" s="209"/>
      <c r="F33" s="209"/>
      <c r="G33" s="210"/>
      <c r="H33" s="211"/>
      <c r="I33" s="211"/>
      <c r="J33" s="211"/>
      <c r="K33" s="211"/>
      <c r="L33" s="211"/>
      <c r="M33" s="211"/>
      <c r="N33" s="211"/>
      <c r="O33" s="211"/>
      <c r="P33" s="94"/>
    </row>
    <row r="34" spans="1:16" ht="45.75" customHeight="1" thickBot="1" x14ac:dyDescent="0.25">
      <c r="A34" s="101" t="s">
        <v>148</v>
      </c>
      <c r="B34" s="213"/>
      <c r="C34" s="214"/>
      <c r="D34" s="214"/>
      <c r="E34" s="214"/>
      <c r="F34" s="214"/>
      <c r="G34" s="215"/>
      <c r="H34" s="212"/>
      <c r="I34" s="212"/>
      <c r="J34" s="212"/>
      <c r="K34" s="212"/>
      <c r="L34" s="212"/>
      <c r="M34" s="212"/>
      <c r="N34" s="212"/>
      <c r="O34" s="212"/>
      <c r="P34" s="94"/>
    </row>
    <row r="35" spans="1:16" ht="48" customHeight="1" thickBot="1" x14ac:dyDescent="0.25">
      <c r="A35" s="101" t="s">
        <v>149</v>
      </c>
      <c r="B35" s="213"/>
      <c r="C35" s="214"/>
      <c r="D35" s="214"/>
      <c r="E35" s="214"/>
      <c r="F35" s="214"/>
      <c r="G35" s="215"/>
      <c r="H35" s="212"/>
      <c r="I35" s="212"/>
      <c r="J35" s="212"/>
      <c r="K35" s="212"/>
      <c r="L35" s="212"/>
      <c r="M35" s="212"/>
      <c r="N35" s="212"/>
      <c r="O35" s="212"/>
      <c r="P35" s="94"/>
    </row>
    <row r="36" spans="1:16" ht="45.75" customHeight="1" thickBot="1" x14ac:dyDescent="0.25">
      <c r="A36" s="101" t="s">
        <v>150</v>
      </c>
      <c r="B36" s="208"/>
      <c r="C36" s="209"/>
      <c r="D36" s="209"/>
      <c r="E36" s="209"/>
      <c r="F36" s="209"/>
      <c r="G36" s="210"/>
      <c r="H36" s="211"/>
      <c r="I36" s="211"/>
      <c r="J36" s="211"/>
      <c r="K36" s="211"/>
      <c r="L36" s="212"/>
      <c r="M36" s="212"/>
      <c r="N36" s="212"/>
      <c r="O36" s="212"/>
      <c r="P36" s="95"/>
    </row>
    <row r="37" spans="1:16" ht="66" customHeight="1" thickBot="1" x14ac:dyDescent="0.25">
      <c r="A37" s="101" t="s">
        <v>151</v>
      </c>
      <c r="B37" s="208"/>
      <c r="C37" s="209"/>
      <c r="D37" s="209"/>
      <c r="E37" s="209"/>
      <c r="F37" s="209"/>
      <c r="G37" s="210"/>
      <c r="H37" s="211"/>
      <c r="I37" s="211"/>
      <c r="J37" s="211"/>
      <c r="K37" s="211"/>
      <c r="L37" s="212"/>
      <c r="M37" s="212"/>
      <c r="N37" s="212"/>
      <c r="O37" s="212"/>
      <c r="P37" s="95"/>
    </row>
    <row r="38" spans="1:16" ht="45.75" customHeight="1" thickBot="1" x14ac:dyDescent="0.25">
      <c r="A38" s="101" t="s">
        <v>152</v>
      </c>
      <c r="B38" s="208"/>
      <c r="C38" s="209"/>
      <c r="D38" s="209"/>
      <c r="E38" s="209"/>
      <c r="F38" s="209"/>
      <c r="G38" s="210"/>
      <c r="H38" s="211"/>
      <c r="I38" s="211"/>
      <c r="J38" s="211"/>
      <c r="K38" s="211"/>
      <c r="L38" s="211"/>
      <c r="M38" s="211"/>
      <c r="N38" s="211"/>
      <c r="O38" s="211"/>
      <c r="P38" s="95"/>
    </row>
    <row r="39" spans="1:16" ht="45.75" customHeight="1" thickBot="1" x14ac:dyDescent="0.25">
      <c r="A39" s="101" t="s">
        <v>153</v>
      </c>
      <c r="B39" s="208"/>
      <c r="C39" s="209"/>
      <c r="D39" s="209"/>
      <c r="E39" s="209"/>
      <c r="F39" s="209"/>
      <c r="G39" s="210"/>
      <c r="H39" s="211"/>
      <c r="I39" s="211"/>
      <c r="J39" s="211"/>
      <c r="K39" s="211"/>
      <c r="L39" s="211"/>
      <c r="M39" s="211"/>
      <c r="N39" s="211"/>
      <c r="O39" s="211"/>
      <c r="P39" s="95"/>
    </row>
    <row r="40" spans="1:16" ht="45.75" customHeight="1" thickBot="1" x14ac:dyDescent="0.25">
      <c r="A40" s="101" t="s">
        <v>155</v>
      </c>
      <c r="B40" s="208"/>
      <c r="C40" s="209"/>
      <c r="D40" s="209"/>
      <c r="E40" s="209"/>
      <c r="F40" s="209"/>
      <c r="G40" s="210"/>
      <c r="H40" s="211"/>
      <c r="I40" s="211"/>
      <c r="J40" s="211"/>
      <c r="K40" s="211"/>
      <c r="L40" s="211"/>
      <c r="M40" s="211"/>
      <c r="N40" s="211"/>
      <c r="O40" s="211"/>
      <c r="P40" s="95"/>
    </row>
    <row r="41" spans="1:16" ht="45.75" customHeight="1" thickBot="1" x14ac:dyDescent="0.25">
      <c r="A41" s="101" t="s">
        <v>156</v>
      </c>
      <c r="B41" s="208"/>
      <c r="C41" s="209"/>
      <c r="D41" s="209"/>
      <c r="E41" s="209"/>
      <c r="F41" s="209"/>
      <c r="G41" s="210"/>
      <c r="H41" s="211"/>
      <c r="I41" s="211"/>
      <c r="J41" s="211"/>
      <c r="K41" s="211"/>
      <c r="L41" s="211"/>
      <c r="M41" s="211"/>
      <c r="N41" s="211"/>
      <c r="O41" s="211"/>
      <c r="P41" s="95"/>
    </row>
    <row r="42" spans="1:16" ht="45.75" customHeight="1" thickBot="1" x14ac:dyDescent="0.25">
      <c r="A42" s="101" t="s">
        <v>157</v>
      </c>
      <c r="B42" s="208"/>
      <c r="C42" s="209"/>
      <c r="D42" s="209"/>
      <c r="E42" s="209"/>
      <c r="F42" s="209"/>
      <c r="G42" s="210"/>
      <c r="H42" s="211"/>
      <c r="I42" s="211"/>
      <c r="J42" s="211"/>
      <c r="K42" s="211"/>
      <c r="L42" s="211"/>
      <c r="M42" s="211"/>
      <c r="N42" s="211"/>
      <c r="O42" s="211"/>
      <c r="P42" s="95"/>
    </row>
    <row r="43" spans="1:16" ht="45.75" customHeight="1" thickBot="1" x14ac:dyDescent="0.25">
      <c r="A43" s="101" t="s">
        <v>158</v>
      </c>
      <c r="B43" s="208"/>
      <c r="C43" s="209"/>
      <c r="D43" s="209"/>
      <c r="E43" s="209"/>
      <c r="F43" s="209"/>
      <c r="G43" s="210"/>
      <c r="H43" s="211"/>
      <c r="I43" s="211"/>
      <c r="J43" s="211"/>
      <c r="K43" s="211"/>
      <c r="L43" s="211"/>
      <c r="M43" s="211"/>
      <c r="N43" s="211"/>
      <c r="O43" s="211"/>
      <c r="P43" s="95"/>
    </row>
    <row r="44" spans="1:16" ht="45.75" customHeight="1" thickBot="1" x14ac:dyDescent="0.25">
      <c r="A44" s="101" t="s">
        <v>159</v>
      </c>
      <c r="B44" s="208"/>
      <c r="C44" s="209"/>
      <c r="D44" s="209"/>
      <c r="E44" s="209"/>
      <c r="F44" s="209"/>
      <c r="G44" s="210"/>
      <c r="H44" s="211"/>
      <c r="I44" s="211"/>
      <c r="J44" s="211"/>
      <c r="K44" s="211"/>
      <c r="L44" s="211"/>
      <c r="M44" s="211"/>
      <c r="N44" s="211"/>
      <c r="O44" s="211"/>
      <c r="P44" s="95"/>
    </row>
    <row r="45" spans="1:16" ht="45.75" customHeight="1" thickBot="1" x14ac:dyDescent="0.25">
      <c r="A45" s="101" t="s">
        <v>160</v>
      </c>
      <c r="B45" s="208"/>
      <c r="C45" s="209"/>
      <c r="D45" s="209"/>
      <c r="E45" s="209"/>
      <c r="F45" s="209"/>
      <c r="G45" s="210"/>
      <c r="H45" s="211"/>
      <c r="I45" s="211"/>
      <c r="J45" s="211"/>
      <c r="K45" s="211"/>
      <c r="L45" s="211"/>
      <c r="M45" s="211"/>
      <c r="N45" s="211"/>
      <c r="O45" s="211"/>
      <c r="P45" s="95"/>
    </row>
    <row r="46" spans="1:16" ht="45.75" customHeight="1" thickBot="1" x14ac:dyDescent="0.25">
      <c r="A46" s="101" t="s">
        <v>161</v>
      </c>
      <c r="B46" s="208"/>
      <c r="C46" s="209"/>
      <c r="D46" s="209"/>
      <c r="E46" s="209"/>
      <c r="F46" s="209"/>
      <c r="G46" s="210"/>
      <c r="H46" s="211"/>
      <c r="I46" s="211"/>
      <c r="J46" s="211"/>
      <c r="K46" s="211"/>
      <c r="L46" s="211"/>
      <c r="M46" s="211"/>
      <c r="N46" s="211"/>
      <c r="O46" s="211"/>
      <c r="P46" s="95"/>
    </row>
    <row r="47" spans="1:16" ht="45.75" customHeight="1" thickBot="1" x14ac:dyDescent="0.25">
      <c r="A47" s="101" t="s">
        <v>162</v>
      </c>
      <c r="B47" s="208"/>
      <c r="C47" s="209"/>
      <c r="D47" s="209"/>
      <c r="E47" s="209"/>
      <c r="F47" s="209"/>
      <c r="G47" s="210"/>
      <c r="H47" s="211"/>
      <c r="I47" s="211"/>
      <c r="J47" s="211"/>
      <c r="K47" s="211"/>
      <c r="L47" s="211"/>
      <c r="M47" s="211"/>
      <c r="N47" s="211"/>
      <c r="O47" s="211"/>
      <c r="P47" s="95"/>
    </row>
    <row r="48" spans="1:16" ht="45.75" customHeight="1" thickBot="1" x14ac:dyDescent="0.25">
      <c r="A48" s="101" t="s">
        <v>163</v>
      </c>
      <c r="B48" s="208"/>
      <c r="C48" s="209"/>
      <c r="D48" s="209"/>
      <c r="E48" s="209"/>
      <c r="F48" s="209"/>
      <c r="G48" s="210"/>
      <c r="H48" s="211"/>
      <c r="I48" s="211"/>
      <c r="J48" s="211"/>
      <c r="K48" s="211"/>
      <c r="L48" s="211"/>
      <c r="M48" s="211"/>
      <c r="N48" s="211"/>
      <c r="O48" s="211"/>
      <c r="P48" s="95"/>
    </row>
    <row r="49" spans="1:16" ht="45.75" customHeight="1" thickBot="1" x14ac:dyDescent="0.25">
      <c r="A49" s="101" t="s">
        <v>164</v>
      </c>
      <c r="B49" s="208"/>
      <c r="C49" s="209"/>
      <c r="D49" s="209"/>
      <c r="E49" s="209"/>
      <c r="F49" s="209"/>
      <c r="G49" s="210"/>
      <c r="H49" s="211"/>
      <c r="I49" s="211"/>
      <c r="J49" s="211"/>
      <c r="K49" s="211"/>
      <c r="L49" s="211"/>
      <c r="M49" s="211"/>
      <c r="N49" s="211"/>
      <c r="O49" s="211"/>
      <c r="P49" s="95"/>
    </row>
    <row r="50" spans="1:16" ht="45.75" customHeight="1" thickBot="1" x14ac:dyDescent="0.25">
      <c r="A50" s="101" t="s">
        <v>165</v>
      </c>
      <c r="B50" s="208"/>
      <c r="C50" s="209"/>
      <c r="D50" s="209"/>
      <c r="E50" s="209"/>
      <c r="F50" s="209"/>
      <c r="G50" s="210"/>
      <c r="H50" s="211"/>
      <c r="I50" s="211"/>
      <c r="J50" s="211"/>
      <c r="K50" s="211"/>
      <c r="L50" s="211"/>
      <c r="M50" s="211"/>
      <c r="N50" s="211"/>
      <c r="O50" s="211"/>
      <c r="P50" s="95"/>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51" priority="37" operator="equal">
      <formula>"Nok"</formula>
    </cfRule>
    <cfRule type="cellIs" dxfId="150" priority="38" operator="equal">
      <formula>"Ok"</formula>
    </cfRule>
  </conditionalFormatting>
  <conditionalFormatting sqref="P26:P30">
    <cfRule type="cellIs" dxfId="149" priority="35" operator="equal">
      <formula>"Nok"</formula>
    </cfRule>
    <cfRule type="cellIs" dxfId="148" priority="36" operator="equal">
      <formula>"Ok"</formula>
    </cfRule>
  </conditionalFormatting>
  <conditionalFormatting sqref="P31:P35">
    <cfRule type="cellIs" dxfId="147" priority="33" operator="equal">
      <formula>"Nok"</formula>
    </cfRule>
    <cfRule type="cellIs" dxfId="146" priority="34" operator="equal">
      <formula>"Ok"</formula>
    </cfRule>
  </conditionalFormatting>
  <conditionalFormatting sqref="P36:P37">
    <cfRule type="cellIs" dxfId="145" priority="31" operator="equal">
      <formula>"Nok"</formula>
    </cfRule>
    <cfRule type="cellIs" dxfId="144" priority="32" operator="equal">
      <formula>"Ok"</formula>
    </cfRule>
  </conditionalFormatting>
  <conditionalFormatting sqref="P38">
    <cfRule type="cellIs" dxfId="143" priority="29" operator="equal">
      <formula>"Nok"</formula>
    </cfRule>
    <cfRule type="cellIs" dxfId="142" priority="30" operator="equal">
      <formula>"Ok"</formula>
    </cfRule>
  </conditionalFormatting>
  <conditionalFormatting sqref="P39">
    <cfRule type="cellIs" dxfId="141" priority="27" operator="equal">
      <formula>"Nok"</formula>
    </cfRule>
    <cfRule type="cellIs" dxfId="140" priority="28" operator="equal">
      <formula>"Ok"</formula>
    </cfRule>
  </conditionalFormatting>
  <conditionalFormatting sqref="P40">
    <cfRule type="cellIs" dxfId="139" priority="25" operator="equal">
      <formula>"Nok"</formula>
    </cfRule>
    <cfRule type="cellIs" dxfId="138" priority="26" operator="equal">
      <formula>"Ok"</formula>
    </cfRule>
  </conditionalFormatting>
  <conditionalFormatting sqref="P41">
    <cfRule type="cellIs" dxfId="137" priority="23" operator="equal">
      <formula>"Nok"</formula>
    </cfRule>
    <cfRule type="cellIs" dxfId="136" priority="24" operator="equal">
      <formula>"Ok"</formula>
    </cfRule>
  </conditionalFormatting>
  <conditionalFormatting sqref="P42">
    <cfRule type="cellIs" dxfId="135" priority="21" operator="equal">
      <formula>"Nok"</formula>
    </cfRule>
    <cfRule type="cellIs" dxfId="134" priority="22" operator="equal">
      <formula>"Ok"</formula>
    </cfRule>
  </conditionalFormatting>
  <conditionalFormatting sqref="P43">
    <cfRule type="cellIs" dxfId="133" priority="19" operator="equal">
      <formula>"Nok"</formula>
    </cfRule>
    <cfRule type="cellIs" dxfId="132" priority="20" operator="equal">
      <formula>"Ok"</formula>
    </cfRule>
  </conditionalFormatting>
  <conditionalFormatting sqref="P44">
    <cfRule type="cellIs" dxfId="131" priority="17" operator="equal">
      <formula>"Nok"</formula>
    </cfRule>
    <cfRule type="cellIs" dxfId="130" priority="18" operator="equal">
      <formula>"Ok"</formula>
    </cfRule>
  </conditionalFormatting>
  <conditionalFormatting sqref="P45">
    <cfRule type="cellIs" dxfId="129" priority="15" operator="equal">
      <formula>"Nok"</formula>
    </cfRule>
    <cfRule type="cellIs" dxfId="128" priority="16" operator="equal">
      <formula>"Ok"</formula>
    </cfRule>
  </conditionalFormatting>
  <conditionalFormatting sqref="P46">
    <cfRule type="cellIs" dxfId="127" priority="13" operator="equal">
      <formula>"Nok"</formula>
    </cfRule>
    <cfRule type="cellIs" dxfId="126" priority="14" operator="equal">
      <formula>"Ok"</formula>
    </cfRule>
  </conditionalFormatting>
  <conditionalFormatting sqref="P47">
    <cfRule type="cellIs" dxfId="125" priority="11" operator="equal">
      <formula>"Nok"</formula>
    </cfRule>
    <cfRule type="cellIs" dxfId="124" priority="12" operator="equal">
      <formula>"Ok"</formula>
    </cfRule>
  </conditionalFormatting>
  <conditionalFormatting sqref="P48">
    <cfRule type="cellIs" dxfId="123" priority="9" operator="equal">
      <formula>"Nok"</formula>
    </cfRule>
    <cfRule type="cellIs" dxfId="122" priority="10" operator="equal">
      <formula>"Ok"</formula>
    </cfRule>
  </conditionalFormatting>
  <conditionalFormatting sqref="P49">
    <cfRule type="cellIs" dxfId="121" priority="7" operator="equal">
      <formula>"Nok"</formula>
    </cfRule>
    <cfRule type="cellIs" dxfId="120" priority="8" operator="equal">
      <formula>"Ok"</formula>
    </cfRule>
  </conditionalFormatting>
  <conditionalFormatting sqref="P50">
    <cfRule type="cellIs" dxfId="119" priority="5" operator="equal">
      <formula>"Nok"</formula>
    </cfRule>
    <cfRule type="cellIs" dxfId="118" priority="6" operator="equal">
      <formula>"Ok"</formula>
    </cfRule>
  </conditionalFormatting>
  <conditionalFormatting sqref="P22">
    <cfRule type="cellIs" dxfId="117" priority="3" operator="equal">
      <formula>"Nok"</formula>
    </cfRule>
    <cfRule type="cellIs" dxfId="116" priority="4" operator="equal">
      <formula>"Ok"</formula>
    </cfRule>
  </conditionalFormatting>
  <conditionalFormatting sqref="P23:P25">
    <cfRule type="cellIs" dxfId="115" priority="1" operator="equal">
      <formula>"Nok"</formula>
    </cfRule>
    <cfRule type="cellIs" dxfId="114"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K11" sqref="K11"/>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173</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8" t="s">
        <v>46</v>
      </c>
      <c r="B3" s="233"/>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6" customHeight="1" thickBot="1" x14ac:dyDescent="0.25">
      <c r="A7" s="97" t="s">
        <v>42</v>
      </c>
      <c r="B7" s="233" t="s">
        <v>174</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143</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53.25" customHeight="1" x14ac:dyDescent="0.2">
      <c r="A22" s="100" t="s">
        <v>50</v>
      </c>
      <c r="B22" s="213"/>
      <c r="C22" s="214"/>
      <c r="D22" s="214"/>
      <c r="E22" s="214"/>
      <c r="F22" s="214"/>
      <c r="G22" s="215"/>
      <c r="H22" s="212"/>
      <c r="I22" s="212"/>
      <c r="J22" s="212"/>
      <c r="K22" s="212"/>
      <c r="L22" s="212"/>
      <c r="M22" s="212"/>
      <c r="N22" s="212"/>
      <c r="O22" s="212"/>
      <c r="P22" s="94"/>
    </row>
    <row r="23" spans="1:16" ht="42.75" customHeight="1" x14ac:dyDescent="0.2">
      <c r="A23" s="100" t="s">
        <v>51</v>
      </c>
      <c r="B23" s="213"/>
      <c r="C23" s="214"/>
      <c r="D23" s="214"/>
      <c r="E23" s="214"/>
      <c r="F23" s="214"/>
      <c r="G23" s="215"/>
      <c r="H23" s="212"/>
      <c r="I23" s="212"/>
      <c r="J23" s="212"/>
      <c r="K23" s="212"/>
      <c r="L23" s="212"/>
      <c r="M23" s="212"/>
      <c r="N23" s="212"/>
      <c r="O23" s="212"/>
      <c r="P23" s="94"/>
    </row>
    <row r="24" spans="1:16" ht="30" customHeight="1" x14ac:dyDescent="0.2">
      <c r="A24" s="100" t="s">
        <v>52</v>
      </c>
      <c r="B24" s="236"/>
      <c r="C24" s="237"/>
      <c r="D24" s="237"/>
      <c r="E24" s="237"/>
      <c r="F24" s="237"/>
      <c r="G24" s="238"/>
      <c r="H24" s="212"/>
      <c r="I24" s="212"/>
      <c r="J24" s="212"/>
      <c r="K24" s="212"/>
      <c r="L24" s="212"/>
      <c r="M24" s="212"/>
      <c r="N24" s="212"/>
      <c r="O24" s="212"/>
      <c r="P24" s="94"/>
    </row>
    <row r="25" spans="1:16" ht="31.5" customHeight="1" x14ac:dyDescent="0.2">
      <c r="A25" s="100" t="s">
        <v>53</v>
      </c>
      <c r="B25" s="213"/>
      <c r="C25" s="214"/>
      <c r="D25" s="214"/>
      <c r="E25" s="214"/>
      <c r="F25" s="214"/>
      <c r="G25" s="215"/>
      <c r="H25" s="212"/>
      <c r="I25" s="212"/>
      <c r="J25" s="212"/>
      <c r="K25" s="212"/>
      <c r="L25" s="212"/>
      <c r="M25" s="212"/>
      <c r="N25" s="212"/>
      <c r="O25" s="212"/>
      <c r="P25" s="94"/>
    </row>
    <row r="26" spans="1:16" ht="79.5" customHeight="1" x14ac:dyDescent="0.2">
      <c r="A26" s="100" t="s">
        <v>54</v>
      </c>
      <c r="B26" s="213"/>
      <c r="C26" s="214"/>
      <c r="D26" s="214"/>
      <c r="E26" s="214"/>
      <c r="F26" s="214"/>
      <c r="G26" s="215"/>
      <c r="H26" s="212"/>
      <c r="I26" s="212"/>
      <c r="J26" s="212"/>
      <c r="K26" s="212"/>
      <c r="L26" s="212"/>
      <c r="M26" s="212"/>
      <c r="N26" s="212"/>
      <c r="O26" s="212"/>
      <c r="P26" s="94"/>
    </row>
    <row r="27" spans="1:16" ht="29.25" customHeight="1" x14ac:dyDescent="0.2">
      <c r="A27" s="100" t="s">
        <v>55</v>
      </c>
      <c r="B27" s="213"/>
      <c r="C27" s="214"/>
      <c r="D27" s="214"/>
      <c r="E27" s="214"/>
      <c r="F27" s="214"/>
      <c r="G27" s="215"/>
      <c r="H27" s="212"/>
      <c r="I27" s="212"/>
      <c r="J27" s="212"/>
      <c r="K27" s="212"/>
      <c r="L27" s="212"/>
      <c r="M27" s="212"/>
      <c r="N27" s="212"/>
      <c r="O27" s="212"/>
      <c r="P27" s="94"/>
    </row>
    <row r="28" spans="1:16" ht="29.25" customHeight="1" x14ac:dyDescent="0.2">
      <c r="A28" s="100" t="s">
        <v>56</v>
      </c>
      <c r="B28" s="213"/>
      <c r="C28" s="214"/>
      <c r="D28" s="214"/>
      <c r="E28" s="214"/>
      <c r="F28" s="214"/>
      <c r="G28" s="215"/>
      <c r="H28" s="212"/>
      <c r="I28" s="212"/>
      <c r="J28" s="212"/>
      <c r="K28" s="212"/>
      <c r="L28" s="212"/>
      <c r="M28" s="212"/>
      <c r="N28" s="212"/>
      <c r="O28" s="212"/>
      <c r="P28" s="94"/>
    </row>
    <row r="29" spans="1:16" ht="29.25" customHeight="1" x14ac:dyDescent="0.2">
      <c r="A29" s="100" t="s">
        <v>57</v>
      </c>
      <c r="B29" s="213"/>
      <c r="C29" s="214"/>
      <c r="D29" s="214"/>
      <c r="E29" s="214"/>
      <c r="F29" s="214"/>
      <c r="G29" s="215"/>
      <c r="H29" s="212"/>
      <c r="I29" s="212"/>
      <c r="J29" s="212"/>
      <c r="K29" s="212"/>
      <c r="L29" s="212"/>
      <c r="M29" s="212"/>
      <c r="N29" s="212"/>
      <c r="O29" s="212"/>
      <c r="P29" s="94"/>
    </row>
    <row r="30" spans="1:16" ht="45.75" customHeight="1" thickBot="1" x14ac:dyDescent="0.25">
      <c r="A30" s="101" t="s">
        <v>58</v>
      </c>
      <c r="B30" s="208"/>
      <c r="C30" s="209"/>
      <c r="D30" s="209"/>
      <c r="E30" s="209"/>
      <c r="F30" s="209"/>
      <c r="G30" s="210"/>
      <c r="H30" s="211"/>
      <c r="I30" s="211"/>
      <c r="J30" s="211"/>
      <c r="K30" s="211"/>
      <c r="L30" s="211"/>
      <c r="M30" s="211"/>
      <c r="N30" s="211"/>
      <c r="O30" s="211"/>
      <c r="P30" s="95"/>
    </row>
    <row r="31" spans="1:16" ht="29.25" customHeight="1" thickBot="1" x14ac:dyDescent="0.25">
      <c r="A31" s="101" t="s">
        <v>145</v>
      </c>
      <c r="B31" s="213"/>
      <c r="C31" s="214"/>
      <c r="D31" s="214"/>
      <c r="E31" s="214"/>
      <c r="F31" s="214"/>
      <c r="G31" s="215"/>
      <c r="H31" s="212"/>
      <c r="I31" s="212"/>
      <c r="J31" s="212"/>
      <c r="K31" s="212"/>
      <c r="L31" s="212"/>
      <c r="M31" s="212"/>
      <c r="N31" s="212"/>
      <c r="O31" s="212"/>
      <c r="P31" s="94"/>
    </row>
    <row r="32" spans="1:16" ht="55.5" customHeight="1" thickBot="1" x14ac:dyDescent="0.25">
      <c r="A32" s="101" t="s">
        <v>146</v>
      </c>
      <c r="B32" s="213"/>
      <c r="C32" s="214"/>
      <c r="D32" s="214"/>
      <c r="E32" s="214"/>
      <c r="F32" s="214"/>
      <c r="G32" s="215"/>
      <c r="H32" s="212"/>
      <c r="I32" s="212"/>
      <c r="J32" s="212"/>
      <c r="K32" s="212"/>
      <c r="L32" s="212"/>
      <c r="M32" s="212"/>
      <c r="N32" s="212"/>
      <c r="O32" s="212"/>
      <c r="P32" s="94"/>
    </row>
    <row r="33" spans="1:16" ht="45.75" customHeight="1" thickBot="1" x14ac:dyDescent="0.25">
      <c r="A33" s="101" t="s">
        <v>147</v>
      </c>
      <c r="B33" s="208"/>
      <c r="C33" s="209"/>
      <c r="D33" s="209"/>
      <c r="E33" s="209"/>
      <c r="F33" s="209"/>
      <c r="G33" s="210"/>
      <c r="H33" s="211"/>
      <c r="I33" s="211"/>
      <c r="J33" s="211"/>
      <c r="K33" s="211"/>
      <c r="L33" s="211"/>
      <c r="M33" s="211"/>
      <c r="N33" s="211"/>
      <c r="O33" s="211"/>
      <c r="P33" s="94"/>
    </row>
    <row r="34" spans="1:16" ht="45.75" customHeight="1" thickBot="1" x14ac:dyDescent="0.25">
      <c r="A34" s="101" t="s">
        <v>148</v>
      </c>
      <c r="B34" s="213"/>
      <c r="C34" s="214"/>
      <c r="D34" s="214"/>
      <c r="E34" s="214"/>
      <c r="F34" s="214"/>
      <c r="G34" s="215"/>
      <c r="H34" s="212"/>
      <c r="I34" s="212"/>
      <c r="J34" s="212"/>
      <c r="K34" s="212"/>
      <c r="L34" s="212"/>
      <c r="M34" s="212"/>
      <c r="N34" s="212"/>
      <c r="O34" s="212"/>
      <c r="P34" s="94"/>
    </row>
    <row r="35" spans="1:16" ht="48" customHeight="1" thickBot="1" x14ac:dyDescent="0.25">
      <c r="A35" s="101" t="s">
        <v>149</v>
      </c>
      <c r="B35" s="213"/>
      <c r="C35" s="214"/>
      <c r="D35" s="214"/>
      <c r="E35" s="214"/>
      <c r="F35" s="214"/>
      <c r="G35" s="215"/>
      <c r="H35" s="212"/>
      <c r="I35" s="212"/>
      <c r="J35" s="212"/>
      <c r="K35" s="212"/>
      <c r="L35" s="212"/>
      <c r="M35" s="212"/>
      <c r="N35" s="212"/>
      <c r="O35" s="212"/>
      <c r="P35" s="94"/>
    </row>
    <row r="36" spans="1:16" ht="45.75" customHeight="1" thickBot="1" x14ac:dyDescent="0.25">
      <c r="A36" s="101" t="s">
        <v>150</v>
      </c>
      <c r="B36" s="208"/>
      <c r="C36" s="209"/>
      <c r="D36" s="209"/>
      <c r="E36" s="209"/>
      <c r="F36" s="209"/>
      <c r="G36" s="210"/>
      <c r="H36" s="211"/>
      <c r="I36" s="211"/>
      <c r="J36" s="211"/>
      <c r="K36" s="211"/>
      <c r="L36" s="212"/>
      <c r="M36" s="212"/>
      <c r="N36" s="212"/>
      <c r="O36" s="212"/>
      <c r="P36" s="95"/>
    </row>
    <row r="37" spans="1:16" ht="66" customHeight="1" thickBot="1" x14ac:dyDescent="0.25">
      <c r="A37" s="101" t="s">
        <v>151</v>
      </c>
      <c r="B37" s="208"/>
      <c r="C37" s="209"/>
      <c r="D37" s="209"/>
      <c r="E37" s="209"/>
      <c r="F37" s="209"/>
      <c r="G37" s="210"/>
      <c r="H37" s="211"/>
      <c r="I37" s="211"/>
      <c r="J37" s="211"/>
      <c r="K37" s="211"/>
      <c r="L37" s="212"/>
      <c r="M37" s="212"/>
      <c r="N37" s="212"/>
      <c r="O37" s="212"/>
      <c r="P37" s="95"/>
    </row>
    <row r="38" spans="1:16" ht="45.75" customHeight="1" thickBot="1" x14ac:dyDescent="0.25">
      <c r="A38" s="101" t="s">
        <v>152</v>
      </c>
      <c r="B38" s="208"/>
      <c r="C38" s="209"/>
      <c r="D38" s="209"/>
      <c r="E38" s="209"/>
      <c r="F38" s="209"/>
      <c r="G38" s="210"/>
      <c r="H38" s="211"/>
      <c r="I38" s="211"/>
      <c r="J38" s="211"/>
      <c r="K38" s="211"/>
      <c r="L38" s="211"/>
      <c r="M38" s="211"/>
      <c r="N38" s="211"/>
      <c r="O38" s="211"/>
      <c r="P38" s="95"/>
    </row>
    <row r="39" spans="1:16" ht="45.75" customHeight="1" thickBot="1" x14ac:dyDescent="0.25">
      <c r="A39" s="101" t="s">
        <v>153</v>
      </c>
      <c r="B39" s="208"/>
      <c r="C39" s="209"/>
      <c r="D39" s="209"/>
      <c r="E39" s="209"/>
      <c r="F39" s="209"/>
      <c r="G39" s="210"/>
      <c r="H39" s="211"/>
      <c r="I39" s="211"/>
      <c r="J39" s="211"/>
      <c r="K39" s="211"/>
      <c r="L39" s="211"/>
      <c r="M39" s="211"/>
      <c r="N39" s="211"/>
      <c r="O39" s="211"/>
      <c r="P39" s="95"/>
    </row>
    <row r="40" spans="1:16" ht="45.75" customHeight="1" thickBot="1" x14ac:dyDescent="0.25">
      <c r="A40" s="101" t="s">
        <v>155</v>
      </c>
      <c r="B40" s="208"/>
      <c r="C40" s="209"/>
      <c r="D40" s="209"/>
      <c r="E40" s="209"/>
      <c r="F40" s="209"/>
      <c r="G40" s="210"/>
      <c r="H40" s="211"/>
      <c r="I40" s="211"/>
      <c r="J40" s="211"/>
      <c r="K40" s="211"/>
      <c r="L40" s="211"/>
      <c r="M40" s="211"/>
      <c r="N40" s="211"/>
      <c r="O40" s="211"/>
      <c r="P40" s="95"/>
    </row>
    <row r="41" spans="1:16" ht="45.75" customHeight="1" thickBot="1" x14ac:dyDescent="0.25">
      <c r="A41" s="101" t="s">
        <v>156</v>
      </c>
      <c r="B41" s="208"/>
      <c r="C41" s="209"/>
      <c r="D41" s="209"/>
      <c r="E41" s="209"/>
      <c r="F41" s="209"/>
      <c r="G41" s="210"/>
      <c r="H41" s="211"/>
      <c r="I41" s="211"/>
      <c r="J41" s="211"/>
      <c r="K41" s="211"/>
      <c r="L41" s="211"/>
      <c r="M41" s="211"/>
      <c r="N41" s="211"/>
      <c r="O41" s="211"/>
      <c r="P41" s="95"/>
    </row>
    <row r="42" spans="1:16" ht="45.75" customHeight="1" thickBot="1" x14ac:dyDescent="0.25">
      <c r="A42" s="101" t="s">
        <v>157</v>
      </c>
      <c r="B42" s="208"/>
      <c r="C42" s="209"/>
      <c r="D42" s="209"/>
      <c r="E42" s="209"/>
      <c r="F42" s="209"/>
      <c r="G42" s="210"/>
      <c r="H42" s="211"/>
      <c r="I42" s="211"/>
      <c r="J42" s="211"/>
      <c r="K42" s="211"/>
      <c r="L42" s="211"/>
      <c r="M42" s="211"/>
      <c r="N42" s="211"/>
      <c r="O42" s="211"/>
      <c r="P42" s="95"/>
    </row>
    <row r="43" spans="1:16" ht="45.75" customHeight="1" thickBot="1" x14ac:dyDescent="0.25">
      <c r="A43" s="101" t="s">
        <v>158</v>
      </c>
      <c r="B43" s="208"/>
      <c r="C43" s="209"/>
      <c r="D43" s="209"/>
      <c r="E43" s="209"/>
      <c r="F43" s="209"/>
      <c r="G43" s="210"/>
      <c r="H43" s="211"/>
      <c r="I43" s="211"/>
      <c r="J43" s="211"/>
      <c r="K43" s="211"/>
      <c r="L43" s="211"/>
      <c r="M43" s="211"/>
      <c r="N43" s="211"/>
      <c r="O43" s="211"/>
      <c r="P43" s="95"/>
    </row>
    <row r="44" spans="1:16" ht="45.75" customHeight="1" thickBot="1" x14ac:dyDescent="0.25">
      <c r="A44" s="101" t="s">
        <v>159</v>
      </c>
      <c r="B44" s="208"/>
      <c r="C44" s="209"/>
      <c r="D44" s="209"/>
      <c r="E44" s="209"/>
      <c r="F44" s="209"/>
      <c r="G44" s="210"/>
      <c r="H44" s="211"/>
      <c r="I44" s="211"/>
      <c r="J44" s="211"/>
      <c r="K44" s="211"/>
      <c r="L44" s="211"/>
      <c r="M44" s="211"/>
      <c r="N44" s="211"/>
      <c r="O44" s="211"/>
      <c r="P44" s="95"/>
    </row>
    <row r="45" spans="1:16" ht="45.75" customHeight="1" thickBot="1" x14ac:dyDescent="0.25">
      <c r="A45" s="101" t="s">
        <v>160</v>
      </c>
      <c r="B45" s="208"/>
      <c r="C45" s="209"/>
      <c r="D45" s="209"/>
      <c r="E45" s="209"/>
      <c r="F45" s="209"/>
      <c r="G45" s="210"/>
      <c r="H45" s="211"/>
      <c r="I45" s="211"/>
      <c r="J45" s="211"/>
      <c r="K45" s="211"/>
      <c r="L45" s="211"/>
      <c r="M45" s="211"/>
      <c r="N45" s="211"/>
      <c r="O45" s="211"/>
      <c r="P45" s="95"/>
    </row>
    <row r="46" spans="1:16" ht="45.75" customHeight="1" thickBot="1" x14ac:dyDescent="0.25">
      <c r="A46" s="101" t="s">
        <v>161</v>
      </c>
      <c r="B46" s="208"/>
      <c r="C46" s="209"/>
      <c r="D46" s="209"/>
      <c r="E46" s="209"/>
      <c r="F46" s="209"/>
      <c r="G46" s="210"/>
      <c r="H46" s="211"/>
      <c r="I46" s="211"/>
      <c r="J46" s="211"/>
      <c r="K46" s="211"/>
      <c r="L46" s="211"/>
      <c r="M46" s="211"/>
      <c r="N46" s="211"/>
      <c r="O46" s="211"/>
      <c r="P46" s="95"/>
    </row>
    <row r="47" spans="1:16" ht="45.75" customHeight="1" thickBot="1" x14ac:dyDescent="0.25">
      <c r="A47" s="101" t="s">
        <v>162</v>
      </c>
      <c r="B47" s="208"/>
      <c r="C47" s="209"/>
      <c r="D47" s="209"/>
      <c r="E47" s="209"/>
      <c r="F47" s="209"/>
      <c r="G47" s="210"/>
      <c r="H47" s="211"/>
      <c r="I47" s="211"/>
      <c r="J47" s="211"/>
      <c r="K47" s="211"/>
      <c r="L47" s="211"/>
      <c r="M47" s="211"/>
      <c r="N47" s="211"/>
      <c r="O47" s="211"/>
      <c r="P47" s="95"/>
    </row>
    <row r="48" spans="1:16" ht="45.75" customHeight="1" thickBot="1" x14ac:dyDescent="0.25">
      <c r="A48" s="101" t="s">
        <v>163</v>
      </c>
      <c r="B48" s="208"/>
      <c r="C48" s="209"/>
      <c r="D48" s="209"/>
      <c r="E48" s="209"/>
      <c r="F48" s="209"/>
      <c r="G48" s="210"/>
      <c r="H48" s="211"/>
      <c r="I48" s="211"/>
      <c r="J48" s="211"/>
      <c r="K48" s="211"/>
      <c r="L48" s="211"/>
      <c r="M48" s="211"/>
      <c r="N48" s="211"/>
      <c r="O48" s="211"/>
      <c r="P48" s="95"/>
    </row>
    <row r="49" spans="1:16" ht="45.75" customHeight="1" thickBot="1" x14ac:dyDescent="0.25">
      <c r="A49" s="101" t="s">
        <v>164</v>
      </c>
      <c r="B49" s="208"/>
      <c r="C49" s="209"/>
      <c r="D49" s="209"/>
      <c r="E49" s="209"/>
      <c r="F49" s="209"/>
      <c r="G49" s="210"/>
      <c r="H49" s="211"/>
      <c r="I49" s="211"/>
      <c r="J49" s="211"/>
      <c r="K49" s="211"/>
      <c r="L49" s="211"/>
      <c r="M49" s="211"/>
      <c r="N49" s="211"/>
      <c r="O49" s="211"/>
      <c r="P49" s="95"/>
    </row>
    <row r="50" spans="1:16" ht="45.75" customHeight="1" thickBot="1" x14ac:dyDescent="0.25">
      <c r="A50" s="101" t="s">
        <v>165</v>
      </c>
      <c r="B50" s="208"/>
      <c r="C50" s="209"/>
      <c r="D50" s="209"/>
      <c r="E50" s="209"/>
      <c r="F50" s="209"/>
      <c r="G50" s="210"/>
      <c r="H50" s="211"/>
      <c r="I50" s="211"/>
      <c r="J50" s="211"/>
      <c r="K50" s="211"/>
      <c r="L50" s="211"/>
      <c r="M50" s="211"/>
      <c r="N50" s="211"/>
      <c r="O50" s="211"/>
      <c r="P50" s="95"/>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1:G1"/>
    <mergeCell ref="B3:G3"/>
    <mergeCell ref="B7:G7"/>
    <mergeCell ref="H21:K21"/>
    <mergeCell ref="H22:K22"/>
    <mergeCell ref="B11:G14"/>
    <mergeCell ref="B16:G19"/>
    <mergeCell ref="L30:O30"/>
    <mergeCell ref="L25:O25"/>
    <mergeCell ref="B29:G29"/>
    <mergeCell ref="B30:G30"/>
    <mergeCell ref="H25:K25"/>
    <mergeCell ref="H26:K26"/>
    <mergeCell ref="H27:K27"/>
    <mergeCell ref="B25:G25"/>
    <mergeCell ref="B26:G26"/>
    <mergeCell ref="B27:G27"/>
    <mergeCell ref="L26:O26"/>
    <mergeCell ref="L27:O27"/>
    <mergeCell ref="L28:O28"/>
    <mergeCell ref="L29:O29"/>
    <mergeCell ref="H30:K30"/>
    <mergeCell ref="A11:A14"/>
    <mergeCell ref="A16:A19"/>
    <mergeCell ref="B28:G28"/>
    <mergeCell ref="H28:K28"/>
    <mergeCell ref="H29:K29"/>
    <mergeCell ref="H24:K24"/>
    <mergeCell ref="A21:G21"/>
    <mergeCell ref="B22:G22"/>
    <mergeCell ref="B23:G23"/>
    <mergeCell ref="B24:G24"/>
    <mergeCell ref="L21:O21"/>
    <mergeCell ref="L22:O22"/>
    <mergeCell ref="L23:O23"/>
    <mergeCell ref="L24:O24"/>
    <mergeCell ref="H23:K23"/>
  </mergeCells>
  <conditionalFormatting sqref="B9:B10">
    <cfRule type="cellIs" dxfId="113" priority="35" operator="equal">
      <formula>"Nok"</formula>
    </cfRule>
    <cfRule type="cellIs" dxfId="112" priority="36" operator="equal">
      <formula>"Ok"</formula>
    </cfRule>
  </conditionalFormatting>
  <conditionalFormatting sqref="P22:P30">
    <cfRule type="cellIs" dxfId="111" priority="33" operator="equal">
      <formula>"Nok"</formula>
    </cfRule>
    <cfRule type="cellIs" dxfId="110" priority="34" operator="equal">
      <formula>"Ok"</formula>
    </cfRule>
  </conditionalFormatting>
  <conditionalFormatting sqref="P31:P35">
    <cfRule type="cellIs" dxfId="109" priority="31" operator="equal">
      <formula>"Nok"</formula>
    </cfRule>
    <cfRule type="cellIs" dxfId="108" priority="32" operator="equal">
      <formula>"Ok"</formula>
    </cfRule>
  </conditionalFormatting>
  <conditionalFormatting sqref="P36:P37">
    <cfRule type="cellIs" dxfId="107" priority="29" operator="equal">
      <formula>"Nok"</formula>
    </cfRule>
    <cfRule type="cellIs" dxfId="106" priority="30" operator="equal">
      <formula>"Ok"</formula>
    </cfRule>
  </conditionalFormatting>
  <conditionalFormatting sqref="P38">
    <cfRule type="cellIs" dxfId="105" priority="25" operator="equal">
      <formula>"Nok"</formula>
    </cfRule>
    <cfRule type="cellIs" dxfId="104" priority="26" operator="equal">
      <formula>"Ok"</formula>
    </cfRule>
  </conditionalFormatting>
  <conditionalFormatting sqref="P39">
    <cfRule type="cellIs" dxfId="103" priority="23" operator="equal">
      <formula>"Nok"</formula>
    </cfRule>
    <cfRule type="cellIs" dxfId="102" priority="24" operator="equal">
      <formula>"Ok"</formula>
    </cfRule>
  </conditionalFormatting>
  <conditionalFormatting sqref="P40">
    <cfRule type="cellIs" dxfId="101" priority="21" operator="equal">
      <formula>"Nok"</formula>
    </cfRule>
    <cfRule type="cellIs" dxfId="100" priority="22" operator="equal">
      <formula>"Ok"</formula>
    </cfRule>
  </conditionalFormatting>
  <conditionalFormatting sqref="P41">
    <cfRule type="cellIs" dxfId="99" priority="19" operator="equal">
      <formula>"Nok"</formula>
    </cfRule>
    <cfRule type="cellIs" dxfId="98" priority="20" operator="equal">
      <formula>"Ok"</formula>
    </cfRule>
  </conditionalFormatting>
  <conditionalFormatting sqref="P42">
    <cfRule type="cellIs" dxfId="97" priority="17" operator="equal">
      <formula>"Nok"</formula>
    </cfRule>
    <cfRule type="cellIs" dxfId="96" priority="18" operator="equal">
      <formula>"Ok"</formula>
    </cfRule>
  </conditionalFormatting>
  <conditionalFormatting sqref="P43">
    <cfRule type="cellIs" dxfId="95" priority="15" operator="equal">
      <formula>"Nok"</formula>
    </cfRule>
    <cfRule type="cellIs" dxfId="94" priority="16" operator="equal">
      <formula>"Ok"</formula>
    </cfRule>
  </conditionalFormatting>
  <conditionalFormatting sqref="P44">
    <cfRule type="cellIs" dxfId="93" priority="13" operator="equal">
      <formula>"Nok"</formula>
    </cfRule>
    <cfRule type="cellIs" dxfId="92" priority="14" operator="equal">
      <formula>"Ok"</formula>
    </cfRule>
  </conditionalFormatting>
  <conditionalFormatting sqref="P45">
    <cfRule type="cellIs" dxfId="91" priority="11" operator="equal">
      <formula>"Nok"</formula>
    </cfRule>
    <cfRule type="cellIs" dxfId="90" priority="12" operator="equal">
      <formula>"Ok"</formula>
    </cfRule>
  </conditionalFormatting>
  <conditionalFormatting sqref="P46">
    <cfRule type="cellIs" dxfId="89" priority="9" operator="equal">
      <formula>"Nok"</formula>
    </cfRule>
    <cfRule type="cellIs" dxfId="88" priority="10" operator="equal">
      <formula>"Ok"</formula>
    </cfRule>
  </conditionalFormatting>
  <conditionalFormatting sqref="P47">
    <cfRule type="cellIs" dxfId="87" priority="7" operator="equal">
      <formula>"Nok"</formula>
    </cfRule>
    <cfRule type="cellIs" dxfId="86" priority="8" operator="equal">
      <formula>"Ok"</formula>
    </cfRule>
  </conditionalFormatting>
  <conditionalFormatting sqref="P48">
    <cfRule type="cellIs" dxfId="85" priority="5" operator="equal">
      <formula>"Nok"</formula>
    </cfRule>
    <cfRule type="cellIs" dxfId="84" priority="6" operator="equal">
      <formula>"Ok"</formula>
    </cfRule>
  </conditionalFormatting>
  <conditionalFormatting sqref="P49">
    <cfRule type="cellIs" dxfId="83" priority="3" operator="equal">
      <formula>"Nok"</formula>
    </cfRule>
    <cfRule type="cellIs" dxfId="82" priority="4" operator="equal">
      <formula>"Ok"</formula>
    </cfRule>
  </conditionalFormatting>
  <conditionalFormatting sqref="P50">
    <cfRule type="cellIs" dxfId="81" priority="1" operator="equal">
      <formula>"Nok"</formula>
    </cfRule>
    <cfRule type="cellIs" dxfId="80"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27"/>
  <sheetViews>
    <sheetView zoomScale="85" zoomScaleNormal="85" workbookViewId="0">
      <selection activeCell="H14" sqref="H14"/>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175</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26.25" thickBot="1" x14ac:dyDescent="0.25">
      <c r="A3" s="98" t="s">
        <v>46</v>
      </c>
      <c r="B3" s="233" t="s">
        <v>233</v>
      </c>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28.5" customHeight="1" thickBot="1" x14ac:dyDescent="0.25">
      <c r="A7" s="97" t="s">
        <v>42</v>
      </c>
      <c r="B7" s="233" t="s">
        <v>174</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144</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132" customHeight="1" thickBot="1" x14ac:dyDescent="0.25">
      <c r="A22" s="101" t="s">
        <v>50</v>
      </c>
      <c r="B22" s="208" t="s">
        <v>228</v>
      </c>
      <c r="C22" s="209"/>
      <c r="D22" s="209"/>
      <c r="E22" s="209"/>
      <c r="F22" s="209"/>
      <c r="G22" s="210"/>
      <c r="H22" s="211"/>
      <c r="I22" s="211"/>
      <c r="J22" s="211"/>
      <c r="K22" s="211"/>
      <c r="L22" s="212" t="s">
        <v>189</v>
      </c>
      <c r="M22" s="212"/>
      <c r="N22" s="212"/>
      <c r="O22" s="212"/>
      <c r="P22" s="95" t="s">
        <v>144</v>
      </c>
    </row>
    <row r="23" spans="1:16" ht="65.25" customHeight="1" thickBot="1" x14ac:dyDescent="0.25">
      <c r="A23" s="101" t="s">
        <v>51</v>
      </c>
      <c r="B23" s="208" t="s">
        <v>229</v>
      </c>
      <c r="C23" s="209"/>
      <c r="D23" s="209"/>
      <c r="E23" s="209"/>
      <c r="F23" s="209"/>
      <c r="G23" s="210"/>
      <c r="H23" s="211"/>
      <c r="I23" s="211"/>
      <c r="J23" s="211"/>
      <c r="K23" s="211"/>
      <c r="L23" s="212" t="s">
        <v>189</v>
      </c>
      <c r="M23" s="212"/>
      <c r="N23" s="212"/>
      <c r="O23" s="212"/>
      <c r="P23" s="95" t="s">
        <v>144</v>
      </c>
    </row>
    <row r="24" spans="1:16" ht="45.75" customHeight="1" thickBot="1" x14ac:dyDescent="0.25">
      <c r="A24" s="101" t="s">
        <v>52</v>
      </c>
      <c r="B24" s="208" t="s">
        <v>230</v>
      </c>
      <c r="C24" s="209"/>
      <c r="D24" s="209"/>
      <c r="E24" s="209"/>
      <c r="F24" s="209"/>
      <c r="G24" s="210"/>
      <c r="H24" s="211"/>
      <c r="I24" s="211"/>
      <c r="J24" s="211"/>
      <c r="K24" s="211"/>
      <c r="L24" s="212" t="s">
        <v>189</v>
      </c>
      <c r="M24" s="212"/>
      <c r="N24" s="212"/>
      <c r="O24" s="212"/>
      <c r="P24" s="95" t="s">
        <v>144</v>
      </c>
    </row>
    <row r="25" spans="1:16" ht="58.5" customHeight="1" thickBot="1" x14ac:dyDescent="0.25">
      <c r="A25" s="101" t="s">
        <v>53</v>
      </c>
      <c r="B25" s="208" t="s">
        <v>231</v>
      </c>
      <c r="C25" s="209"/>
      <c r="D25" s="209"/>
      <c r="E25" s="209"/>
      <c r="F25" s="209"/>
      <c r="G25" s="210"/>
      <c r="H25" s="211"/>
      <c r="I25" s="211"/>
      <c r="J25" s="211"/>
      <c r="K25" s="211"/>
      <c r="L25" s="212" t="s">
        <v>189</v>
      </c>
      <c r="M25" s="212"/>
      <c r="N25" s="212"/>
      <c r="O25" s="212"/>
      <c r="P25" s="95" t="s">
        <v>144</v>
      </c>
    </row>
    <row r="26" spans="1:16" ht="45.75" customHeight="1" thickBot="1" x14ac:dyDescent="0.25">
      <c r="A26" s="101" t="s">
        <v>54</v>
      </c>
      <c r="B26" s="208" t="s">
        <v>232</v>
      </c>
      <c r="C26" s="209"/>
      <c r="D26" s="209"/>
      <c r="E26" s="209"/>
      <c r="F26" s="209"/>
      <c r="G26" s="210"/>
      <c r="H26" s="211"/>
      <c r="I26" s="211"/>
      <c r="J26" s="211"/>
      <c r="K26" s="211"/>
      <c r="L26" s="212" t="s">
        <v>189</v>
      </c>
      <c r="M26" s="212"/>
      <c r="N26" s="212"/>
      <c r="O26" s="212"/>
      <c r="P26" s="95" t="s">
        <v>144</v>
      </c>
    </row>
    <row r="27" spans="1:16" ht="45.75" customHeight="1" thickBot="1" x14ac:dyDescent="0.25">
      <c r="A27" s="101" t="s">
        <v>55</v>
      </c>
      <c r="B27" s="208"/>
      <c r="C27" s="209"/>
      <c r="D27" s="209"/>
      <c r="E27" s="209"/>
      <c r="F27" s="209"/>
      <c r="G27" s="210"/>
      <c r="H27" s="211"/>
      <c r="I27" s="211"/>
      <c r="J27" s="211"/>
      <c r="K27" s="211"/>
      <c r="L27" s="211"/>
      <c r="M27" s="211"/>
      <c r="N27" s="211"/>
      <c r="O27" s="211"/>
      <c r="P27" s="95"/>
    </row>
  </sheetData>
  <mergeCells count="28">
    <mergeCell ref="B27:G27"/>
    <mergeCell ref="H27:K27"/>
    <mergeCell ref="L27:O27"/>
    <mergeCell ref="B25:G25"/>
    <mergeCell ref="H25:K25"/>
    <mergeCell ref="L25:O25"/>
    <mergeCell ref="B26:G26"/>
    <mergeCell ref="H26:K26"/>
    <mergeCell ref="L26:O26"/>
    <mergeCell ref="H24:K24"/>
    <mergeCell ref="L24:O24"/>
    <mergeCell ref="A21:G21"/>
    <mergeCell ref="H21:K21"/>
    <mergeCell ref="L21:O21"/>
    <mergeCell ref="B22:G22"/>
    <mergeCell ref="H22:K22"/>
    <mergeCell ref="L22:O22"/>
    <mergeCell ref="B23:G23"/>
    <mergeCell ref="H23:K23"/>
    <mergeCell ref="L23:O23"/>
    <mergeCell ref="B24:G24"/>
    <mergeCell ref="A16:A19"/>
    <mergeCell ref="B16:G19"/>
    <mergeCell ref="B1:G1"/>
    <mergeCell ref="B3:G3"/>
    <mergeCell ref="B7:G7"/>
    <mergeCell ref="A11:A14"/>
    <mergeCell ref="B11:G14"/>
  </mergeCells>
  <conditionalFormatting sqref="B9:B10">
    <cfRule type="cellIs" dxfId="79" priority="15" operator="equal">
      <formula>"Nok"</formula>
    </cfRule>
    <cfRule type="cellIs" dxfId="78" priority="16" operator="equal">
      <formula>"Ok"</formula>
    </cfRule>
  </conditionalFormatting>
  <conditionalFormatting sqref="P22:P26">
    <cfRule type="cellIs" dxfId="77" priority="13" operator="equal">
      <formula>"Nok"</formula>
    </cfRule>
    <cfRule type="cellIs" dxfId="76" priority="14" operator="equal">
      <formula>"Ok"</formula>
    </cfRule>
  </conditionalFormatting>
  <conditionalFormatting sqref="P27">
    <cfRule type="cellIs" dxfId="75" priority="1" operator="equal">
      <formula>"Nok"</formula>
    </cfRule>
    <cfRule type="cellIs" dxfId="74" priority="2" operator="equal">
      <formula>"Ok"</formula>
    </cfRule>
  </conditionalFormatting>
  <dataValidations count="3">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 type="list" allowBlank="1" showInputMessage="1" showErrorMessage="1" sqref="P22:P27">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workbookViewId="0">
      <selection activeCell="B24" sqref="B24:P28"/>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177</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8" t="s">
        <v>46</v>
      </c>
      <c r="B3" s="233" t="s">
        <v>239</v>
      </c>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7" t="s">
        <v>42</v>
      </c>
      <c r="B7" s="233" t="s">
        <v>176</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143</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53.25" customHeight="1" thickBot="1" x14ac:dyDescent="0.25">
      <c r="A22" s="100" t="s">
        <v>50</v>
      </c>
      <c r="B22" s="208" t="s">
        <v>237</v>
      </c>
      <c r="C22" s="209"/>
      <c r="D22" s="209"/>
      <c r="E22" s="209"/>
      <c r="F22" s="209"/>
      <c r="G22" s="210"/>
      <c r="H22" s="212"/>
      <c r="I22" s="212"/>
      <c r="J22" s="212"/>
      <c r="K22" s="212"/>
      <c r="L22" s="212" t="s">
        <v>201</v>
      </c>
      <c r="M22" s="212"/>
      <c r="N22" s="212"/>
      <c r="O22" s="212"/>
      <c r="P22" s="94" t="s">
        <v>143</v>
      </c>
    </row>
    <row r="23" spans="1:16" ht="54" customHeight="1" thickBot="1" x14ac:dyDescent="0.25">
      <c r="A23" s="100" t="s">
        <v>51</v>
      </c>
      <c r="B23" s="208" t="s">
        <v>238</v>
      </c>
      <c r="C23" s="209"/>
      <c r="D23" s="209"/>
      <c r="E23" s="209"/>
      <c r="F23" s="209"/>
      <c r="G23" s="210"/>
      <c r="H23" s="212"/>
      <c r="I23" s="212"/>
      <c r="J23" s="212"/>
      <c r="K23" s="212"/>
      <c r="L23" s="212" t="s">
        <v>186</v>
      </c>
      <c r="M23" s="212"/>
      <c r="N23" s="212"/>
      <c r="O23" s="212"/>
      <c r="P23" s="94" t="s">
        <v>143</v>
      </c>
    </row>
    <row r="24" spans="1:16" ht="43.5" customHeight="1" x14ac:dyDescent="0.2">
      <c r="A24" s="100" t="s">
        <v>52</v>
      </c>
    </row>
    <row r="25" spans="1:16" ht="72.75" customHeight="1" x14ac:dyDescent="0.2">
      <c r="A25" s="100" t="s">
        <v>53</v>
      </c>
    </row>
    <row r="26" spans="1:16" ht="104.25" customHeight="1" x14ac:dyDescent="0.2">
      <c r="A26" s="100" t="s">
        <v>54</v>
      </c>
    </row>
    <row r="27" spans="1:16" ht="29.25" customHeight="1" x14ac:dyDescent="0.2">
      <c r="A27" s="100" t="s">
        <v>55</v>
      </c>
    </row>
    <row r="28" spans="1:16" ht="29.25" customHeight="1" x14ac:dyDescent="0.2">
      <c r="A28" s="100" t="s">
        <v>56</v>
      </c>
    </row>
    <row r="29" spans="1:16" ht="29.25" customHeight="1" x14ac:dyDescent="0.2">
      <c r="A29" s="100" t="s">
        <v>57</v>
      </c>
      <c r="B29" s="213"/>
      <c r="C29" s="214"/>
      <c r="D29" s="214"/>
      <c r="E29" s="214"/>
      <c r="F29" s="214"/>
      <c r="G29" s="215"/>
      <c r="H29" s="212"/>
      <c r="I29" s="212"/>
      <c r="J29" s="212"/>
      <c r="K29" s="212"/>
      <c r="L29" s="212"/>
      <c r="M29" s="212"/>
      <c r="N29" s="212"/>
      <c r="O29" s="212"/>
      <c r="P29" s="94"/>
    </row>
    <row r="30" spans="1:16" ht="45.75" customHeight="1" thickBot="1" x14ac:dyDescent="0.25">
      <c r="A30" s="101" t="s">
        <v>58</v>
      </c>
      <c r="B30" s="208"/>
      <c r="C30" s="209"/>
      <c r="D30" s="209"/>
      <c r="E30" s="209"/>
      <c r="F30" s="209"/>
      <c r="G30" s="210"/>
      <c r="H30" s="211"/>
      <c r="I30" s="211"/>
      <c r="J30" s="211"/>
      <c r="K30" s="211"/>
      <c r="L30" s="211"/>
      <c r="M30" s="211"/>
      <c r="N30" s="211"/>
      <c r="O30" s="211"/>
      <c r="P30" s="95"/>
    </row>
    <row r="31" spans="1:16" ht="29.25" customHeight="1" thickBot="1" x14ac:dyDescent="0.25">
      <c r="A31" s="101" t="s">
        <v>145</v>
      </c>
      <c r="B31" s="213"/>
      <c r="C31" s="214"/>
      <c r="D31" s="214"/>
      <c r="E31" s="214"/>
      <c r="F31" s="214"/>
      <c r="G31" s="215"/>
      <c r="H31" s="212"/>
      <c r="I31" s="212"/>
      <c r="J31" s="212"/>
      <c r="K31" s="212"/>
      <c r="L31" s="212"/>
      <c r="M31" s="212"/>
      <c r="N31" s="212"/>
      <c r="O31" s="212"/>
      <c r="P31" s="94"/>
    </row>
    <row r="32" spans="1:16" ht="55.5" customHeight="1" thickBot="1" x14ac:dyDescent="0.25">
      <c r="A32" s="101" t="s">
        <v>146</v>
      </c>
      <c r="B32" s="213"/>
      <c r="C32" s="214"/>
      <c r="D32" s="214"/>
      <c r="E32" s="214"/>
      <c r="F32" s="214"/>
      <c r="G32" s="215"/>
      <c r="H32" s="212"/>
      <c r="I32" s="212"/>
      <c r="J32" s="212"/>
      <c r="K32" s="212"/>
      <c r="L32" s="212"/>
      <c r="M32" s="212"/>
      <c r="N32" s="212"/>
      <c r="O32" s="212"/>
      <c r="P32" s="94"/>
    </row>
    <row r="33" spans="1:16" ht="45.75" customHeight="1" thickBot="1" x14ac:dyDescent="0.25">
      <c r="A33" s="101" t="s">
        <v>147</v>
      </c>
      <c r="B33" s="208"/>
      <c r="C33" s="209"/>
      <c r="D33" s="209"/>
      <c r="E33" s="209"/>
      <c r="F33" s="209"/>
      <c r="G33" s="210"/>
      <c r="H33" s="211"/>
      <c r="I33" s="211"/>
      <c r="J33" s="211"/>
      <c r="K33" s="211"/>
      <c r="L33" s="211"/>
      <c r="M33" s="211"/>
      <c r="N33" s="211"/>
      <c r="O33" s="211"/>
      <c r="P33" s="94"/>
    </row>
    <row r="34" spans="1:16" ht="45.75" customHeight="1" thickBot="1" x14ac:dyDescent="0.25">
      <c r="A34" s="101" t="s">
        <v>148</v>
      </c>
      <c r="B34" s="213"/>
      <c r="C34" s="214"/>
      <c r="D34" s="214"/>
      <c r="E34" s="214"/>
      <c r="F34" s="214"/>
      <c r="G34" s="215"/>
      <c r="H34" s="212"/>
      <c r="I34" s="212"/>
      <c r="J34" s="212"/>
      <c r="K34" s="212"/>
      <c r="L34" s="212"/>
      <c r="M34" s="212"/>
      <c r="N34" s="212"/>
      <c r="O34" s="212"/>
      <c r="P34" s="94"/>
    </row>
    <row r="35" spans="1:16" ht="48" customHeight="1" thickBot="1" x14ac:dyDescent="0.25">
      <c r="A35" s="101" t="s">
        <v>149</v>
      </c>
      <c r="B35" s="213"/>
      <c r="C35" s="214"/>
      <c r="D35" s="214"/>
      <c r="E35" s="214"/>
      <c r="F35" s="214"/>
      <c r="G35" s="215"/>
      <c r="H35" s="212"/>
      <c r="I35" s="212"/>
      <c r="J35" s="212"/>
      <c r="K35" s="212"/>
      <c r="L35" s="212"/>
      <c r="M35" s="212"/>
      <c r="N35" s="212"/>
      <c r="O35" s="212"/>
      <c r="P35" s="94"/>
    </row>
    <row r="36" spans="1:16" ht="45.75" customHeight="1" thickBot="1" x14ac:dyDescent="0.25">
      <c r="A36" s="101" t="s">
        <v>150</v>
      </c>
      <c r="B36" s="208"/>
      <c r="C36" s="209"/>
      <c r="D36" s="209"/>
      <c r="E36" s="209"/>
      <c r="F36" s="209"/>
      <c r="G36" s="210"/>
      <c r="H36" s="211"/>
      <c r="I36" s="211"/>
      <c r="J36" s="211"/>
      <c r="K36" s="211"/>
      <c r="L36" s="212"/>
      <c r="M36" s="212"/>
      <c r="N36" s="212"/>
      <c r="O36" s="212"/>
      <c r="P36" s="95"/>
    </row>
    <row r="37" spans="1:16" ht="66" customHeight="1" thickBot="1" x14ac:dyDescent="0.25">
      <c r="A37" s="101" t="s">
        <v>151</v>
      </c>
      <c r="B37" s="208"/>
      <c r="C37" s="209"/>
      <c r="D37" s="209"/>
      <c r="E37" s="209"/>
      <c r="F37" s="209"/>
      <c r="G37" s="210"/>
      <c r="H37" s="211"/>
      <c r="I37" s="211"/>
      <c r="J37" s="211"/>
      <c r="K37" s="211"/>
      <c r="L37" s="212"/>
      <c r="M37" s="212"/>
      <c r="N37" s="212"/>
      <c r="O37" s="212"/>
      <c r="P37" s="95"/>
    </row>
    <row r="38" spans="1:16" ht="45.75" customHeight="1" thickBot="1" x14ac:dyDescent="0.25">
      <c r="A38" s="101" t="s">
        <v>152</v>
      </c>
      <c r="B38" s="208"/>
      <c r="C38" s="209"/>
      <c r="D38" s="209"/>
      <c r="E38" s="209"/>
      <c r="F38" s="209"/>
      <c r="G38" s="210"/>
      <c r="H38" s="211"/>
      <c r="I38" s="211"/>
      <c r="J38" s="211"/>
      <c r="K38" s="211"/>
      <c r="L38" s="211"/>
      <c r="M38" s="211"/>
      <c r="N38" s="211"/>
      <c r="O38" s="211"/>
      <c r="P38" s="95"/>
    </row>
    <row r="39" spans="1:16" ht="45.75" customHeight="1" thickBot="1" x14ac:dyDescent="0.25">
      <c r="A39" s="101" t="s">
        <v>153</v>
      </c>
      <c r="B39" s="208"/>
      <c r="C39" s="209"/>
      <c r="D39" s="209"/>
      <c r="E39" s="209"/>
      <c r="F39" s="209"/>
      <c r="G39" s="210"/>
      <c r="H39" s="211"/>
      <c r="I39" s="211"/>
      <c r="J39" s="211"/>
      <c r="K39" s="211"/>
      <c r="L39" s="211"/>
      <c r="M39" s="211"/>
      <c r="N39" s="211"/>
      <c r="O39" s="211"/>
      <c r="P39" s="95"/>
    </row>
    <row r="40" spans="1:16" ht="45.75" customHeight="1" thickBot="1" x14ac:dyDescent="0.25">
      <c r="A40" s="101" t="s">
        <v>155</v>
      </c>
      <c r="B40" s="208"/>
      <c r="C40" s="209"/>
      <c r="D40" s="209"/>
      <c r="E40" s="209"/>
      <c r="F40" s="209"/>
      <c r="G40" s="210"/>
      <c r="H40" s="211"/>
      <c r="I40" s="211"/>
      <c r="J40" s="211"/>
      <c r="K40" s="211"/>
      <c r="L40" s="211"/>
      <c r="M40" s="211"/>
      <c r="N40" s="211"/>
      <c r="O40" s="211"/>
      <c r="P40" s="95"/>
    </row>
    <row r="41" spans="1:16" ht="45.75" customHeight="1" thickBot="1" x14ac:dyDescent="0.25">
      <c r="A41" s="101" t="s">
        <v>156</v>
      </c>
      <c r="B41" s="208"/>
      <c r="C41" s="209"/>
      <c r="D41" s="209"/>
      <c r="E41" s="209"/>
      <c r="F41" s="209"/>
      <c r="G41" s="210"/>
      <c r="H41" s="211"/>
      <c r="I41" s="211"/>
      <c r="J41" s="211"/>
      <c r="K41" s="211"/>
      <c r="L41" s="211"/>
      <c r="M41" s="211"/>
      <c r="N41" s="211"/>
      <c r="O41" s="211"/>
      <c r="P41" s="95"/>
    </row>
    <row r="42" spans="1:16" ht="45.75" customHeight="1" thickBot="1" x14ac:dyDescent="0.25">
      <c r="A42" s="101" t="s">
        <v>157</v>
      </c>
      <c r="B42" s="208"/>
      <c r="C42" s="209"/>
      <c r="D42" s="209"/>
      <c r="E42" s="209"/>
      <c r="F42" s="209"/>
      <c r="G42" s="210"/>
      <c r="H42" s="211"/>
      <c r="I42" s="211"/>
      <c r="J42" s="211"/>
      <c r="K42" s="211"/>
      <c r="L42" s="211"/>
      <c r="M42" s="211"/>
      <c r="N42" s="211"/>
      <c r="O42" s="211"/>
      <c r="P42" s="95"/>
    </row>
    <row r="43" spans="1:16" ht="45.75" customHeight="1" thickBot="1" x14ac:dyDescent="0.25">
      <c r="A43" s="101" t="s">
        <v>158</v>
      </c>
      <c r="B43" s="208"/>
      <c r="C43" s="209"/>
      <c r="D43" s="209"/>
      <c r="E43" s="209"/>
      <c r="F43" s="209"/>
      <c r="G43" s="210"/>
      <c r="H43" s="211"/>
      <c r="I43" s="211"/>
      <c r="J43" s="211"/>
      <c r="K43" s="211"/>
      <c r="L43" s="211"/>
      <c r="M43" s="211"/>
      <c r="N43" s="211"/>
      <c r="O43" s="211"/>
      <c r="P43" s="95"/>
    </row>
    <row r="44" spans="1:16" ht="45.75" customHeight="1" thickBot="1" x14ac:dyDescent="0.25">
      <c r="A44" s="101" t="s">
        <v>159</v>
      </c>
      <c r="B44" s="208"/>
      <c r="C44" s="209"/>
      <c r="D44" s="209"/>
      <c r="E44" s="209"/>
      <c r="F44" s="209"/>
      <c r="G44" s="210"/>
      <c r="H44" s="211"/>
      <c r="I44" s="211"/>
      <c r="J44" s="211"/>
      <c r="K44" s="211"/>
      <c r="L44" s="211"/>
      <c r="M44" s="211"/>
      <c r="N44" s="211"/>
      <c r="O44" s="211"/>
      <c r="P44" s="95"/>
    </row>
    <row r="45" spans="1:16" ht="45.75" customHeight="1" thickBot="1" x14ac:dyDescent="0.25">
      <c r="A45" s="101" t="s">
        <v>160</v>
      </c>
      <c r="B45" s="208"/>
      <c r="C45" s="209"/>
      <c r="D45" s="209"/>
      <c r="E45" s="209"/>
      <c r="F45" s="209"/>
      <c r="G45" s="210"/>
      <c r="H45" s="211"/>
      <c r="I45" s="211"/>
      <c r="J45" s="211"/>
      <c r="K45" s="211"/>
      <c r="L45" s="211"/>
      <c r="M45" s="211"/>
      <c r="N45" s="211"/>
      <c r="O45" s="211"/>
      <c r="P45" s="95"/>
    </row>
    <row r="46" spans="1:16" ht="45.75" customHeight="1" thickBot="1" x14ac:dyDescent="0.25">
      <c r="A46" s="101" t="s">
        <v>161</v>
      </c>
      <c r="B46" s="208"/>
      <c r="C46" s="209"/>
      <c r="D46" s="209"/>
      <c r="E46" s="209"/>
      <c r="F46" s="209"/>
      <c r="G46" s="210"/>
      <c r="H46" s="211"/>
      <c r="I46" s="211"/>
      <c r="J46" s="211"/>
      <c r="K46" s="211"/>
      <c r="L46" s="211"/>
      <c r="M46" s="211"/>
      <c r="N46" s="211"/>
      <c r="O46" s="211"/>
      <c r="P46" s="95"/>
    </row>
    <row r="47" spans="1:16" ht="45.75" customHeight="1" thickBot="1" x14ac:dyDescent="0.25">
      <c r="A47" s="101" t="s">
        <v>162</v>
      </c>
      <c r="B47" s="208"/>
      <c r="C47" s="209"/>
      <c r="D47" s="209"/>
      <c r="E47" s="209"/>
      <c r="F47" s="209"/>
      <c r="G47" s="210"/>
      <c r="H47" s="211"/>
      <c r="I47" s="211"/>
      <c r="J47" s="211"/>
      <c r="K47" s="211"/>
      <c r="L47" s="211"/>
      <c r="M47" s="211"/>
      <c r="N47" s="211"/>
      <c r="O47" s="211"/>
      <c r="P47" s="95"/>
    </row>
    <row r="48" spans="1:16" ht="45.75" customHeight="1" thickBot="1" x14ac:dyDescent="0.25">
      <c r="A48" s="101" t="s">
        <v>163</v>
      </c>
      <c r="B48" s="208"/>
      <c r="C48" s="209"/>
      <c r="D48" s="209"/>
      <c r="E48" s="209"/>
      <c r="F48" s="209"/>
      <c r="G48" s="210"/>
      <c r="H48" s="211"/>
      <c r="I48" s="211"/>
      <c r="J48" s="211"/>
      <c r="K48" s="211"/>
      <c r="L48" s="211"/>
      <c r="M48" s="211"/>
      <c r="N48" s="211"/>
      <c r="O48" s="211"/>
      <c r="P48" s="95"/>
    </row>
    <row r="49" spans="1:16" ht="45.75" customHeight="1" thickBot="1" x14ac:dyDescent="0.25">
      <c r="A49" s="101" t="s">
        <v>164</v>
      </c>
      <c r="B49" s="208"/>
      <c r="C49" s="209"/>
      <c r="D49" s="209"/>
      <c r="E49" s="209"/>
      <c r="F49" s="209"/>
      <c r="G49" s="210"/>
      <c r="H49" s="211"/>
      <c r="I49" s="211"/>
      <c r="J49" s="211"/>
      <c r="K49" s="211"/>
      <c r="L49" s="211"/>
      <c r="M49" s="211"/>
      <c r="N49" s="211"/>
      <c r="O49" s="211"/>
      <c r="P49" s="95"/>
    </row>
    <row r="50" spans="1:16" ht="45.75" customHeight="1" thickBot="1" x14ac:dyDescent="0.25">
      <c r="A50" s="101" t="s">
        <v>165</v>
      </c>
      <c r="B50" s="208"/>
      <c r="C50" s="209"/>
      <c r="D50" s="209"/>
      <c r="E50" s="209"/>
      <c r="F50" s="209"/>
      <c r="G50" s="210"/>
      <c r="H50" s="211"/>
      <c r="I50" s="211"/>
      <c r="J50" s="211"/>
      <c r="K50" s="211"/>
      <c r="L50" s="211"/>
      <c r="M50" s="211"/>
      <c r="N50" s="211"/>
      <c r="O50" s="211"/>
      <c r="P50" s="95"/>
    </row>
  </sheetData>
  <mergeCells count="82">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3:G23"/>
    <mergeCell ref="H23:K23"/>
    <mergeCell ref="L23:O23"/>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73" priority="37" operator="equal">
      <formula>"Nok"</formula>
    </cfRule>
    <cfRule type="cellIs" dxfId="72" priority="38" operator="equal">
      <formula>"Ok"</formula>
    </cfRule>
  </conditionalFormatting>
  <conditionalFormatting sqref="P22:P23 P29:P30">
    <cfRule type="cellIs" dxfId="71" priority="35" operator="equal">
      <formula>"Nok"</formula>
    </cfRule>
    <cfRule type="cellIs" dxfId="70" priority="36" operator="equal">
      <formula>"Ok"</formula>
    </cfRule>
  </conditionalFormatting>
  <conditionalFormatting sqref="P31:P35">
    <cfRule type="cellIs" dxfId="69" priority="33" operator="equal">
      <formula>"Nok"</formula>
    </cfRule>
    <cfRule type="cellIs" dxfId="68" priority="34" operator="equal">
      <formula>"Ok"</formula>
    </cfRule>
  </conditionalFormatting>
  <conditionalFormatting sqref="P36:P37">
    <cfRule type="cellIs" dxfId="67" priority="31" operator="equal">
      <formula>"Nok"</formula>
    </cfRule>
    <cfRule type="cellIs" dxfId="66" priority="32" operator="equal">
      <formula>"Ok"</formula>
    </cfRule>
  </conditionalFormatting>
  <conditionalFormatting sqref="P38">
    <cfRule type="cellIs" dxfId="65" priority="29" operator="equal">
      <formula>"Nok"</formula>
    </cfRule>
    <cfRule type="cellIs" dxfId="64" priority="30" operator="equal">
      <formula>"Ok"</formula>
    </cfRule>
  </conditionalFormatting>
  <conditionalFormatting sqref="P39">
    <cfRule type="cellIs" dxfId="63" priority="27" operator="equal">
      <formula>"Nok"</formula>
    </cfRule>
    <cfRule type="cellIs" dxfId="62" priority="28" operator="equal">
      <formula>"Ok"</formula>
    </cfRule>
  </conditionalFormatting>
  <conditionalFormatting sqref="P40">
    <cfRule type="cellIs" dxfId="61" priority="25" operator="equal">
      <formula>"Nok"</formula>
    </cfRule>
    <cfRule type="cellIs" dxfId="60" priority="26" operator="equal">
      <formula>"Ok"</formula>
    </cfRule>
  </conditionalFormatting>
  <conditionalFormatting sqref="P41">
    <cfRule type="cellIs" dxfId="59" priority="23" operator="equal">
      <formula>"Nok"</formula>
    </cfRule>
    <cfRule type="cellIs" dxfId="58" priority="24" operator="equal">
      <formula>"Ok"</formula>
    </cfRule>
  </conditionalFormatting>
  <conditionalFormatting sqref="P42">
    <cfRule type="cellIs" dxfId="57" priority="21" operator="equal">
      <formula>"Nok"</formula>
    </cfRule>
    <cfRule type="cellIs" dxfId="56" priority="22" operator="equal">
      <formula>"Ok"</formula>
    </cfRule>
  </conditionalFormatting>
  <conditionalFormatting sqref="P43">
    <cfRule type="cellIs" dxfId="55" priority="19" operator="equal">
      <formula>"Nok"</formula>
    </cfRule>
    <cfRule type="cellIs" dxfId="54" priority="20" operator="equal">
      <formula>"Ok"</formula>
    </cfRule>
  </conditionalFormatting>
  <conditionalFormatting sqref="P44">
    <cfRule type="cellIs" dxfId="53" priority="17" operator="equal">
      <formula>"Nok"</formula>
    </cfRule>
    <cfRule type="cellIs" dxfId="52" priority="18" operator="equal">
      <formula>"Ok"</formula>
    </cfRule>
  </conditionalFormatting>
  <conditionalFormatting sqref="P45">
    <cfRule type="cellIs" dxfId="51" priority="15" operator="equal">
      <formula>"Nok"</formula>
    </cfRule>
    <cfRule type="cellIs" dxfId="50" priority="16" operator="equal">
      <formula>"Ok"</formula>
    </cfRule>
  </conditionalFormatting>
  <conditionalFormatting sqref="P46">
    <cfRule type="cellIs" dxfId="49" priority="13" operator="equal">
      <formula>"Nok"</formula>
    </cfRule>
    <cfRule type="cellIs" dxfId="48" priority="14" operator="equal">
      <formula>"Ok"</formula>
    </cfRule>
  </conditionalFormatting>
  <conditionalFormatting sqref="P47">
    <cfRule type="cellIs" dxfId="47" priority="11" operator="equal">
      <formula>"Nok"</formula>
    </cfRule>
    <cfRule type="cellIs" dxfId="46" priority="12" operator="equal">
      <formula>"Ok"</formula>
    </cfRule>
  </conditionalFormatting>
  <conditionalFormatting sqref="P48">
    <cfRule type="cellIs" dxfId="45" priority="9" operator="equal">
      <formula>"Nok"</formula>
    </cfRule>
    <cfRule type="cellIs" dxfId="44" priority="10" operator="equal">
      <formula>"Ok"</formula>
    </cfRule>
  </conditionalFormatting>
  <conditionalFormatting sqref="P49">
    <cfRule type="cellIs" dxfId="43" priority="7" operator="equal">
      <formula>"Nok"</formula>
    </cfRule>
    <cfRule type="cellIs" dxfId="42" priority="8" operator="equal">
      <formula>"Ok"</formula>
    </cfRule>
  </conditionalFormatting>
  <conditionalFormatting sqref="P50">
    <cfRule type="cellIs" dxfId="41" priority="5" operator="equal">
      <formula>"Nok"</formula>
    </cfRule>
    <cfRule type="cellIs" dxfId="40" priority="6" operator="equal">
      <formula>"Ok"</formula>
    </cfRule>
  </conditionalFormatting>
  <dataValidations count="3">
    <dataValidation type="list" allowBlank="1" showInputMessage="1" showErrorMessage="1" sqref="B9">
      <formula1>"Ok, Nok, Not run, NA"</formula1>
    </dataValidation>
    <dataValidation type="list" allowBlank="1" showInputMessage="1" showErrorMessage="1" sqref="B5">
      <formula1>"Nominal, Robustness, Endurance, Qualification"</formula1>
    </dataValidation>
    <dataValidation type="list" allowBlank="1" showInputMessage="1" showErrorMessage="1" sqref="P22:P23 P29: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6" tint="-0.499984740745262"/>
  </sheetPr>
  <dimension ref="A1:P50"/>
  <sheetViews>
    <sheetView zoomScale="85" zoomScaleNormal="85" workbookViewId="0">
      <selection activeCell="K10" sqref="K10"/>
    </sheetView>
  </sheetViews>
  <sheetFormatPr defaultRowHeight="12.75" x14ac:dyDescent="0.2"/>
  <cols>
    <col min="1" max="1" width="20.140625" style="96" customWidth="1"/>
    <col min="2" max="2" width="18.42578125" style="92" customWidth="1"/>
    <col min="3" max="7" width="9.140625" style="92"/>
    <col min="8" max="15" width="9.5703125" style="92" customWidth="1"/>
    <col min="16" max="16384" width="9.140625" style="92"/>
  </cols>
  <sheetData>
    <row r="1" spans="1:15" ht="13.5" thickBot="1" x14ac:dyDescent="0.25">
      <c r="A1" s="97" t="s">
        <v>41</v>
      </c>
      <c r="B1" s="230" t="s">
        <v>234</v>
      </c>
      <c r="C1" s="231"/>
      <c r="D1" s="231"/>
      <c r="E1" s="231"/>
      <c r="F1" s="231"/>
      <c r="G1" s="232"/>
      <c r="H1" s="71"/>
      <c r="I1" s="71"/>
      <c r="J1" s="71"/>
      <c r="K1" s="71"/>
      <c r="L1" s="71"/>
      <c r="M1" s="71"/>
      <c r="N1" s="71"/>
      <c r="O1" s="71"/>
    </row>
    <row r="2" spans="1:15" ht="13.5" thickBot="1" x14ac:dyDescent="0.25">
      <c r="A2" s="69"/>
      <c r="B2" s="70"/>
      <c r="C2" s="70"/>
      <c r="D2" s="71"/>
      <c r="E2" s="71"/>
      <c r="F2" s="71"/>
      <c r="G2" s="71"/>
      <c r="H2" s="71"/>
      <c r="I2" s="71"/>
      <c r="J2" s="71"/>
      <c r="K2" s="71"/>
      <c r="L2" s="71"/>
      <c r="M2" s="71"/>
      <c r="N2" s="71"/>
      <c r="O2" s="71"/>
    </row>
    <row r="3" spans="1:15" ht="61.5" customHeight="1" thickBot="1" x14ac:dyDescent="0.25">
      <c r="A3" s="98" t="s">
        <v>46</v>
      </c>
      <c r="B3" s="233" t="s">
        <v>244</v>
      </c>
      <c r="C3" s="234"/>
      <c r="D3" s="234"/>
      <c r="E3" s="234"/>
      <c r="F3" s="234"/>
      <c r="G3" s="235"/>
      <c r="H3" s="71"/>
      <c r="I3" s="71"/>
      <c r="J3" s="71"/>
      <c r="K3" s="71"/>
      <c r="L3" s="71"/>
      <c r="M3" s="71"/>
      <c r="N3" s="71"/>
      <c r="O3" s="71"/>
    </row>
    <row r="4" spans="1:15" ht="13.5" thickBot="1" x14ac:dyDescent="0.25">
      <c r="A4" s="69"/>
      <c r="B4" s="70"/>
      <c r="C4" s="70"/>
      <c r="D4" s="71"/>
      <c r="E4" s="71"/>
      <c r="F4" s="71"/>
      <c r="G4" s="71"/>
      <c r="H4" s="71"/>
      <c r="I4" s="71"/>
      <c r="J4" s="71"/>
      <c r="K4" s="71"/>
      <c r="L4" s="71"/>
      <c r="M4" s="71"/>
      <c r="N4" s="71"/>
      <c r="O4" s="71"/>
    </row>
    <row r="5" spans="1:15" ht="13.5" thickBot="1" x14ac:dyDescent="0.25">
      <c r="A5" s="97" t="s">
        <v>111</v>
      </c>
      <c r="B5" s="74" t="s">
        <v>142</v>
      </c>
      <c r="C5" s="70"/>
      <c r="D5" s="71"/>
      <c r="E5" s="71"/>
      <c r="F5" s="71"/>
      <c r="G5" s="71"/>
      <c r="H5" s="71"/>
      <c r="I5" s="71"/>
      <c r="J5" s="71"/>
      <c r="K5" s="71"/>
      <c r="L5" s="71"/>
      <c r="M5" s="71"/>
      <c r="N5" s="71"/>
      <c r="O5" s="71"/>
    </row>
    <row r="6" spans="1:15" ht="13.5" thickBot="1" x14ac:dyDescent="0.25">
      <c r="A6" s="69"/>
      <c r="B6" s="70"/>
      <c r="C6" s="70"/>
      <c r="D6" s="71"/>
      <c r="E6" s="71"/>
      <c r="F6" s="71"/>
      <c r="G6" s="71"/>
      <c r="H6" s="71"/>
      <c r="I6" s="71"/>
      <c r="J6" s="71"/>
      <c r="K6" s="71"/>
      <c r="L6" s="71"/>
      <c r="M6" s="71"/>
      <c r="N6" s="71"/>
      <c r="O6" s="71"/>
    </row>
    <row r="7" spans="1:15" ht="30.75" customHeight="1" thickBot="1" x14ac:dyDescent="0.25">
      <c r="A7" s="97" t="s">
        <v>42</v>
      </c>
      <c r="B7" s="233" t="s">
        <v>176</v>
      </c>
      <c r="C7" s="234"/>
      <c r="D7" s="234"/>
      <c r="E7" s="234"/>
      <c r="F7" s="234"/>
      <c r="G7" s="235"/>
      <c r="H7" s="71"/>
      <c r="I7" s="71"/>
      <c r="J7" s="71"/>
      <c r="K7" s="71"/>
      <c r="L7" s="71"/>
      <c r="M7" s="71"/>
      <c r="N7" s="71"/>
      <c r="O7" s="71"/>
    </row>
    <row r="8" spans="1:15" ht="13.5" thickBot="1" x14ac:dyDescent="0.25">
      <c r="A8" s="73"/>
      <c r="B8" s="72"/>
      <c r="C8" s="72"/>
      <c r="D8" s="72"/>
      <c r="E8" s="72"/>
      <c r="F8" s="72"/>
      <c r="G8" s="72"/>
      <c r="H8" s="71"/>
      <c r="I8" s="71"/>
      <c r="J8" s="71"/>
      <c r="K8" s="71"/>
      <c r="L8" s="71"/>
      <c r="M8" s="71"/>
      <c r="N8" s="71"/>
      <c r="O8" s="71"/>
    </row>
    <row r="9" spans="1:15" ht="13.5" thickBot="1" x14ac:dyDescent="0.25">
      <c r="A9" s="97" t="s">
        <v>43</v>
      </c>
      <c r="B9" s="102" t="s">
        <v>144</v>
      </c>
      <c r="C9" s="70"/>
      <c r="D9" s="71"/>
      <c r="E9" s="71"/>
      <c r="F9" s="71"/>
      <c r="G9" s="71"/>
      <c r="H9" s="71"/>
      <c r="I9" s="71"/>
      <c r="J9" s="71"/>
      <c r="K9" s="71"/>
      <c r="L9" s="71"/>
      <c r="M9" s="71"/>
      <c r="N9" s="71"/>
      <c r="O9" s="71"/>
    </row>
    <row r="10" spans="1:15" ht="13.5" thickBot="1" x14ac:dyDescent="0.25">
      <c r="A10" s="73"/>
      <c r="B10" s="93"/>
      <c r="C10" s="70"/>
      <c r="D10" s="71"/>
      <c r="E10" s="71"/>
      <c r="F10" s="71"/>
      <c r="G10" s="71"/>
      <c r="H10" s="71"/>
      <c r="I10" s="71"/>
      <c r="J10" s="71"/>
      <c r="K10" s="71"/>
      <c r="L10" s="71"/>
      <c r="M10" s="71"/>
      <c r="N10" s="71"/>
      <c r="O10" s="71"/>
    </row>
    <row r="11" spans="1:15" ht="12" customHeight="1" x14ac:dyDescent="0.2">
      <c r="A11" s="219" t="s">
        <v>113</v>
      </c>
      <c r="B11" s="221"/>
      <c r="C11" s="222"/>
      <c r="D11" s="222"/>
      <c r="E11" s="222"/>
      <c r="F11" s="222"/>
      <c r="G11" s="223"/>
      <c r="H11" s="71"/>
      <c r="I11" s="71"/>
      <c r="J11" s="71"/>
      <c r="K11" s="71"/>
      <c r="L11" s="71"/>
      <c r="M11" s="71"/>
      <c r="N11" s="71"/>
      <c r="O11" s="71"/>
    </row>
    <row r="12" spans="1:15" x14ac:dyDescent="0.2">
      <c r="A12" s="220"/>
      <c r="B12" s="224"/>
      <c r="C12" s="225"/>
      <c r="D12" s="225"/>
      <c r="E12" s="225"/>
      <c r="F12" s="225"/>
      <c r="G12" s="226"/>
      <c r="H12" s="71"/>
      <c r="I12" s="71"/>
      <c r="J12" s="71"/>
      <c r="K12" s="71"/>
      <c r="L12" s="71"/>
      <c r="M12" s="71"/>
      <c r="N12" s="71"/>
      <c r="O12" s="71"/>
    </row>
    <row r="13" spans="1:15" x14ac:dyDescent="0.2">
      <c r="A13" s="220"/>
      <c r="B13" s="224"/>
      <c r="C13" s="225"/>
      <c r="D13" s="225"/>
      <c r="E13" s="225"/>
      <c r="F13" s="225"/>
      <c r="G13" s="226"/>
      <c r="H13" s="69"/>
      <c r="I13" s="71"/>
      <c r="J13" s="71"/>
      <c r="K13" s="71"/>
      <c r="L13" s="71"/>
      <c r="M13" s="71"/>
      <c r="N13" s="71"/>
      <c r="O13" s="71"/>
    </row>
    <row r="14" spans="1:15" ht="13.5" thickBot="1" x14ac:dyDescent="0.25">
      <c r="A14" s="220"/>
      <c r="B14" s="227"/>
      <c r="C14" s="228"/>
      <c r="D14" s="228"/>
      <c r="E14" s="228"/>
      <c r="F14" s="228"/>
      <c r="G14" s="229"/>
      <c r="H14" s="75"/>
      <c r="I14" s="71"/>
      <c r="J14" s="71"/>
      <c r="K14" s="71"/>
      <c r="L14" s="71"/>
      <c r="M14" s="71"/>
      <c r="N14" s="71"/>
      <c r="O14" s="71"/>
    </row>
    <row r="15" spans="1:15" ht="13.5" thickBot="1" x14ac:dyDescent="0.25">
      <c r="A15" s="69"/>
      <c r="B15" s="69"/>
      <c r="C15" s="69"/>
      <c r="D15" s="69"/>
      <c r="E15" s="69"/>
      <c r="F15" s="69"/>
      <c r="G15" s="69"/>
      <c r="H15" s="75"/>
      <c r="I15" s="71"/>
      <c r="J15" s="71"/>
      <c r="K15" s="71"/>
      <c r="L15" s="71"/>
      <c r="M15" s="71"/>
      <c r="N15" s="71"/>
      <c r="O15" s="71"/>
    </row>
    <row r="16" spans="1:15" x14ac:dyDescent="0.2">
      <c r="A16" s="219" t="s">
        <v>44</v>
      </c>
      <c r="B16" s="221"/>
      <c r="C16" s="222"/>
      <c r="D16" s="222"/>
      <c r="E16" s="222"/>
      <c r="F16" s="222"/>
      <c r="G16" s="223"/>
      <c r="H16" s="71"/>
      <c r="I16" s="71"/>
      <c r="J16" s="71"/>
      <c r="K16" s="71"/>
      <c r="L16" s="71"/>
      <c r="M16" s="71"/>
      <c r="N16" s="71"/>
      <c r="O16" s="71"/>
    </row>
    <row r="17" spans="1:16" x14ac:dyDescent="0.2">
      <c r="A17" s="220"/>
      <c r="B17" s="224"/>
      <c r="C17" s="225"/>
      <c r="D17" s="225"/>
      <c r="E17" s="225"/>
      <c r="F17" s="225"/>
      <c r="G17" s="226"/>
      <c r="H17" s="71"/>
      <c r="I17" s="71"/>
      <c r="J17" s="71"/>
      <c r="K17" s="71"/>
      <c r="L17" s="71"/>
      <c r="M17" s="71"/>
      <c r="N17" s="71"/>
      <c r="O17" s="71"/>
    </row>
    <row r="18" spans="1:16" x14ac:dyDescent="0.2">
      <c r="A18" s="220"/>
      <c r="B18" s="224"/>
      <c r="C18" s="225"/>
      <c r="D18" s="225"/>
      <c r="E18" s="225"/>
      <c r="F18" s="225"/>
      <c r="G18" s="226"/>
      <c r="H18" s="69"/>
      <c r="I18" s="71"/>
      <c r="J18" s="71"/>
      <c r="K18" s="71"/>
      <c r="L18" s="71"/>
      <c r="M18" s="71"/>
      <c r="N18" s="71"/>
      <c r="O18" s="71"/>
    </row>
    <row r="19" spans="1:16" ht="13.5" thickBot="1" x14ac:dyDescent="0.25">
      <c r="A19" s="220"/>
      <c r="B19" s="227"/>
      <c r="C19" s="228"/>
      <c r="D19" s="228"/>
      <c r="E19" s="228"/>
      <c r="F19" s="228"/>
      <c r="G19" s="229"/>
      <c r="H19" s="75"/>
      <c r="I19" s="71"/>
      <c r="J19" s="71"/>
      <c r="K19" s="71"/>
      <c r="L19" s="71"/>
      <c r="M19" s="71"/>
      <c r="N19" s="71"/>
      <c r="O19" s="71"/>
    </row>
    <row r="20" spans="1:16" ht="13.5" thickBot="1" x14ac:dyDescent="0.25">
      <c r="A20" s="69"/>
      <c r="B20" s="69"/>
      <c r="C20" s="69"/>
      <c r="D20" s="69"/>
      <c r="E20" s="69"/>
      <c r="F20" s="69"/>
      <c r="G20" s="69"/>
      <c r="H20" s="75"/>
      <c r="I20" s="71"/>
      <c r="J20" s="71"/>
      <c r="K20" s="71"/>
      <c r="L20" s="71"/>
      <c r="M20" s="71"/>
      <c r="N20" s="71"/>
      <c r="O20" s="71"/>
    </row>
    <row r="21" spans="1:16" ht="12.75" customHeight="1" x14ac:dyDescent="0.2">
      <c r="A21" s="216" t="s">
        <v>48</v>
      </c>
      <c r="B21" s="217"/>
      <c r="C21" s="217"/>
      <c r="D21" s="217"/>
      <c r="E21" s="217"/>
      <c r="F21" s="217"/>
      <c r="G21" s="218"/>
      <c r="H21" s="216" t="s">
        <v>49</v>
      </c>
      <c r="I21" s="217"/>
      <c r="J21" s="217"/>
      <c r="K21" s="218"/>
      <c r="L21" s="216" t="s">
        <v>60</v>
      </c>
      <c r="M21" s="217"/>
      <c r="N21" s="217"/>
      <c r="O21" s="218"/>
      <c r="P21" s="99" t="s">
        <v>47</v>
      </c>
    </row>
    <row r="22" spans="1:16" ht="84.75" customHeight="1" thickBot="1" x14ac:dyDescent="0.25">
      <c r="A22" s="100" t="s">
        <v>50</v>
      </c>
      <c r="B22" s="208" t="s">
        <v>235</v>
      </c>
      <c r="C22" s="209"/>
      <c r="D22" s="209"/>
      <c r="E22" s="209"/>
      <c r="F22" s="209"/>
      <c r="G22" s="210"/>
      <c r="H22" s="212"/>
      <c r="I22" s="212"/>
      <c r="J22" s="212"/>
      <c r="K22" s="212"/>
      <c r="L22" s="212" t="s">
        <v>236</v>
      </c>
      <c r="M22" s="212"/>
      <c r="N22" s="212"/>
      <c r="O22" s="212"/>
      <c r="P22" s="94" t="s">
        <v>210</v>
      </c>
    </row>
    <row r="23" spans="1:16" ht="42.75" customHeight="1" x14ac:dyDescent="0.2">
      <c r="A23" s="100" t="s">
        <v>51</v>
      </c>
      <c r="B23" s="212" t="s">
        <v>240</v>
      </c>
      <c r="C23" s="212"/>
      <c r="D23" s="212"/>
      <c r="E23" s="212"/>
      <c r="F23" s="212"/>
      <c r="G23" s="212"/>
      <c r="H23" s="212"/>
      <c r="I23" s="212"/>
      <c r="J23" s="212"/>
      <c r="K23" s="212"/>
      <c r="L23" s="212" t="s">
        <v>189</v>
      </c>
      <c r="M23" s="212"/>
      <c r="N23" s="212"/>
      <c r="O23" s="212"/>
      <c r="P23" s="94" t="s">
        <v>144</v>
      </c>
    </row>
    <row r="24" spans="1:16" ht="82.5" customHeight="1" x14ac:dyDescent="0.2">
      <c r="A24" s="100" t="s">
        <v>52</v>
      </c>
      <c r="B24" s="212" t="s">
        <v>241</v>
      </c>
      <c r="C24" s="212"/>
      <c r="D24" s="212"/>
      <c r="E24" s="212"/>
      <c r="F24" s="212"/>
      <c r="G24" s="212"/>
      <c r="H24" s="212"/>
      <c r="I24" s="212"/>
      <c r="J24" s="212"/>
      <c r="K24" s="212"/>
      <c r="L24" s="212" t="s">
        <v>189</v>
      </c>
      <c r="M24" s="212"/>
      <c r="N24" s="212"/>
      <c r="O24" s="212"/>
      <c r="P24" s="94" t="s">
        <v>144</v>
      </c>
    </row>
    <row r="25" spans="1:16" ht="84" customHeight="1" x14ac:dyDescent="0.2">
      <c r="A25" s="100" t="s">
        <v>53</v>
      </c>
      <c r="B25" s="212" t="s">
        <v>242</v>
      </c>
      <c r="C25" s="212"/>
      <c r="D25" s="212"/>
      <c r="E25" s="212"/>
      <c r="F25" s="212"/>
      <c r="G25" s="212"/>
      <c r="H25" s="212"/>
      <c r="I25" s="212"/>
      <c r="J25" s="212"/>
      <c r="K25" s="212"/>
      <c r="L25" s="212" t="s">
        <v>194</v>
      </c>
      <c r="M25" s="212"/>
      <c r="N25" s="212"/>
      <c r="O25" s="212"/>
      <c r="P25" s="94" t="s">
        <v>144</v>
      </c>
    </row>
    <row r="26" spans="1:16" ht="79.5" customHeight="1" x14ac:dyDescent="0.2">
      <c r="A26" s="100" t="s">
        <v>54</v>
      </c>
      <c r="B26" s="212" t="s">
        <v>243</v>
      </c>
      <c r="C26" s="212"/>
      <c r="D26" s="212"/>
      <c r="E26" s="212"/>
      <c r="F26" s="212"/>
      <c r="G26" s="212"/>
      <c r="H26" s="212"/>
      <c r="I26" s="212"/>
      <c r="J26" s="212"/>
      <c r="K26" s="212"/>
      <c r="L26" s="212" t="s">
        <v>194</v>
      </c>
      <c r="M26" s="212"/>
      <c r="N26" s="212"/>
      <c r="O26" s="212"/>
      <c r="P26" s="94" t="s">
        <v>144</v>
      </c>
    </row>
    <row r="27" spans="1:16" ht="65.25" customHeight="1" x14ac:dyDescent="0.2">
      <c r="A27" s="100" t="s">
        <v>55</v>
      </c>
      <c r="B27" s="212"/>
      <c r="C27" s="212"/>
      <c r="D27" s="212"/>
      <c r="E27" s="212"/>
      <c r="F27" s="212"/>
      <c r="G27" s="212"/>
      <c r="H27" s="212"/>
      <c r="I27" s="212"/>
      <c r="J27" s="212"/>
      <c r="K27" s="212"/>
      <c r="L27" s="212"/>
      <c r="M27" s="212"/>
      <c r="N27" s="212"/>
      <c r="O27" s="212"/>
      <c r="P27" s="94"/>
    </row>
    <row r="28" spans="1:16" ht="29.25" customHeight="1" x14ac:dyDescent="0.2">
      <c r="A28" s="100" t="s">
        <v>56</v>
      </c>
      <c r="B28" s="213"/>
      <c r="C28" s="214"/>
      <c r="D28" s="214"/>
      <c r="E28" s="214"/>
      <c r="F28" s="214"/>
      <c r="G28" s="215"/>
      <c r="H28" s="212"/>
      <c r="I28" s="212"/>
      <c r="J28" s="212"/>
      <c r="K28" s="212"/>
      <c r="L28" s="212"/>
      <c r="M28" s="212"/>
      <c r="N28" s="212"/>
      <c r="O28" s="212"/>
      <c r="P28" s="94"/>
    </row>
    <row r="29" spans="1:16" ht="29.25" customHeight="1" x14ac:dyDescent="0.2">
      <c r="A29" s="100" t="s">
        <v>57</v>
      </c>
      <c r="B29" s="213"/>
      <c r="C29" s="214"/>
      <c r="D29" s="214"/>
      <c r="E29" s="214"/>
      <c r="F29" s="214"/>
      <c r="G29" s="215"/>
      <c r="H29" s="212"/>
      <c r="I29" s="212"/>
      <c r="J29" s="212"/>
      <c r="K29" s="212"/>
      <c r="L29" s="212"/>
      <c r="M29" s="212"/>
      <c r="N29" s="212"/>
      <c r="O29" s="212"/>
      <c r="P29" s="94"/>
    </row>
    <row r="30" spans="1:16" ht="45.75" customHeight="1" thickBot="1" x14ac:dyDescent="0.25">
      <c r="A30" s="101" t="s">
        <v>58</v>
      </c>
      <c r="B30" s="208"/>
      <c r="C30" s="209"/>
      <c r="D30" s="209"/>
      <c r="E30" s="209"/>
      <c r="F30" s="209"/>
      <c r="G30" s="210"/>
      <c r="H30" s="211"/>
      <c r="I30" s="211"/>
      <c r="J30" s="211"/>
      <c r="K30" s="211"/>
      <c r="L30" s="211"/>
      <c r="M30" s="211"/>
      <c r="N30" s="211"/>
      <c r="O30" s="211"/>
      <c r="P30" s="95"/>
    </row>
    <row r="31" spans="1:16" ht="29.25" customHeight="1" thickBot="1" x14ac:dyDescent="0.25">
      <c r="A31" s="101" t="s">
        <v>145</v>
      </c>
      <c r="B31" s="213"/>
      <c r="C31" s="214"/>
      <c r="D31" s="214"/>
      <c r="E31" s="214"/>
      <c r="F31" s="214"/>
      <c r="G31" s="215"/>
      <c r="H31" s="212"/>
      <c r="I31" s="212"/>
      <c r="J31" s="212"/>
      <c r="K31" s="212"/>
      <c r="L31" s="212"/>
      <c r="M31" s="212"/>
      <c r="N31" s="212"/>
      <c r="O31" s="212"/>
      <c r="P31" s="94"/>
    </row>
    <row r="32" spans="1:16" ht="55.5" customHeight="1" thickBot="1" x14ac:dyDescent="0.25">
      <c r="A32" s="101" t="s">
        <v>146</v>
      </c>
      <c r="B32" s="213"/>
      <c r="C32" s="214"/>
      <c r="D32" s="214"/>
      <c r="E32" s="214"/>
      <c r="F32" s="214"/>
      <c r="G32" s="215"/>
      <c r="H32" s="212"/>
      <c r="I32" s="212"/>
      <c r="J32" s="212"/>
      <c r="K32" s="212"/>
      <c r="L32" s="212"/>
      <c r="M32" s="212"/>
      <c r="N32" s="212"/>
      <c r="O32" s="212"/>
      <c r="P32" s="94"/>
    </row>
    <row r="33" spans="1:16" ht="45.75" customHeight="1" thickBot="1" x14ac:dyDescent="0.25">
      <c r="A33" s="101" t="s">
        <v>147</v>
      </c>
      <c r="B33" s="208"/>
      <c r="C33" s="209"/>
      <c r="D33" s="209"/>
      <c r="E33" s="209"/>
      <c r="F33" s="209"/>
      <c r="G33" s="210"/>
      <c r="H33" s="211"/>
      <c r="I33" s="211"/>
      <c r="J33" s="211"/>
      <c r="K33" s="211"/>
      <c r="L33" s="211"/>
      <c r="M33" s="211"/>
      <c r="N33" s="211"/>
      <c r="O33" s="211"/>
      <c r="P33" s="94"/>
    </row>
    <row r="34" spans="1:16" ht="45.75" customHeight="1" thickBot="1" x14ac:dyDescent="0.25">
      <c r="A34" s="101" t="s">
        <v>148</v>
      </c>
      <c r="B34" s="213"/>
      <c r="C34" s="214"/>
      <c r="D34" s="214"/>
      <c r="E34" s="214"/>
      <c r="F34" s="214"/>
      <c r="G34" s="215"/>
      <c r="H34" s="212"/>
      <c r="I34" s="212"/>
      <c r="J34" s="212"/>
      <c r="K34" s="212"/>
      <c r="L34" s="212"/>
      <c r="M34" s="212"/>
      <c r="N34" s="212"/>
      <c r="O34" s="212"/>
      <c r="P34" s="94"/>
    </row>
    <row r="35" spans="1:16" ht="48" customHeight="1" thickBot="1" x14ac:dyDescent="0.25">
      <c r="A35" s="101" t="s">
        <v>149</v>
      </c>
      <c r="B35" s="213"/>
      <c r="C35" s="214"/>
      <c r="D35" s="214"/>
      <c r="E35" s="214"/>
      <c r="F35" s="214"/>
      <c r="G35" s="215"/>
      <c r="H35" s="212"/>
      <c r="I35" s="212"/>
      <c r="J35" s="212"/>
      <c r="K35" s="212"/>
      <c r="L35" s="212"/>
      <c r="M35" s="212"/>
      <c r="N35" s="212"/>
      <c r="O35" s="212"/>
      <c r="P35" s="94"/>
    </row>
    <row r="36" spans="1:16" ht="45.75" customHeight="1" thickBot="1" x14ac:dyDescent="0.25">
      <c r="A36" s="101" t="s">
        <v>150</v>
      </c>
      <c r="B36" s="208"/>
      <c r="C36" s="209"/>
      <c r="D36" s="209"/>
      <c r="E36" s="209"/>
      <c r="F36" s="209"/>
      <c r="G36" s="210"/>
      <c r="H36" s="211"/>
      <c r="I36" s="211"/>
      <c r="J36" s="211"/>
      <c r="K36" s="211"/>
      <c r="L36" s="212"/>
      <c r="M36" s="212"/>
      <c r="N36" s="212"/>
      <c r="O36" s="212"/>
      <c r="P36" s="95"/>
    </row>
    <row r="37" spans="1:16" ht="66" customHeight="1" thickBot="1" x14ac:dyDescent="0.25">
      <c r="A37" s="101" t="s">
        <v>151</v>
      </c>
      <c r="B37" s="208"/>
      <c r="C37" s="209"/>
      <c r="D37" s="209"/>
      <c r="E37" s="209"/>
      <c r="F37" s="209"/>
      <c r="G37" s="210"/>
      <c r="H37" s="211"/>
      <c r="I37" s="211"/>
      <c r="J37" s="211"/>
      <c r="K37" s="211"/>
      <c r="L37" s="212"/>
      <c r="M37" s="212"/>
      <c r="N37" s="212"/>
      <c r="O37" s="212"/>
      <c r="P37" s="95"/>
    </row>
    <row r="38" spans="1:16" ht="45.75" customHeight="1" thickBot="1" x14ac:dyDescent="0.25">
      <c r="A38" s="101" t="s">
        <v>152</v>
      </c>
      <c r="B38" s="208"/>
      <c r="C38" s="209"/>
      <c r="D38" s="209"/>
      <c r="E38" s="209"/>
      <c r="F38" s="209"/>
      <c r="G38" s="210"/>
      <c r="H38" s="211"/>
      <c r="I38" s="211"/>
      <c r="J38" s="211"/>
      <c r="K38" s="211"/>
      <c r="L38" s="211"/>
      <c r="M38" s="211"/>
      <c r="N38" s="211"/>
      <c r="O38" s="211"/>
      <c r="P38" s="95"/>
    </row>
    <row r="39" spans="1:16" ht="45.75" customHeight="1" thickBot="1" x14ac:dyDescent="0.25">
      <c r="A39" s="101" t="s">
        <v>153</v>
      </c>
      <c r="B39" s="208"/>
      <c r="C39" s="209"/>
      <c r="D39" s="209"/>
      <c r="E39" s="209"/>
      <c r="F39" s="209"/>
      <c r="G39" s="210"/>
      <c r="H39" s="211"/>
      <c r="I39" s="211"/>
      <c r="J39" s="211"/>
      <c r="K39" s="211"/>
      <c r="L39" s="211"/>
      <c r="M39" s="211"/>
      <c r="N39" s="211"/>
      <c r="O39" s="211"/>
      <c r="P39" s="95"/>
    </row>
    <row r="40" spans="1:16" ht="45.75" customHeight="1" thickBot="1" x14ac:dyDescent="0.25">
      <c r="A40" s="101" t="s">
        <v>155</v>
      </c>
      <c r="B40" s="208"/>
      <c r="C40" s="209"/>
      <c r="D40" s="209"/>
      <c r="E40" s="209"/>
      <c r="F40" s="209"/>
      <c r="G40" s="210"/>
      <c r="H40" s="211"/>
      <c r="I40" s="211"/>
      <c r="J40" s="211"/>
      <c r="K40" s="211"/>
      <c r="L40" s="211"/>
      <c r="M40" s="211"/>
      <c r="N40" s="211"/>
      <c r="O40" s="211"/>
      <c r="P40" s="95"/>
    </row>
    <row r="41" spans="1:16" ht="45.75" customHeight="1" thickBot="1" x14ac:dyDescent="0.25">
      <c r="A41" s="101" t="s">
        <v>156</v>
      </c>
      <c r="B41" s="208"/>
      <c r="C41" s="209"/>
      <c r="D41" s="209"/>
      <c r="E41" s="209"/>
      <c r="F41" s="209"/>
      <c r="G41" s="210"/>
      <c r="H41" s="211"/>
      <c r="I41" s="211"/>
      <c r="J41" s="211"/>
      <c r="K41" s="211"/>
      <c r="L41" s="211"/>
      <c r="M41" s="211"/>
      <c r="N41" s="211"/>
      <c r="O41" s="211"/>
      <c r="P41" s="95"/>
    </row>
    <row r="42" spans="1:16" ht="45.75" customHeight="1" thickBot="1" x14ac:dyDescent="0.25">
      <c r="A42" s="101" t="s">
        <v>157</v>
      </c>
      <c r="B42" s="208"/>
      <c r="C42" s="209"/>
      <c r="D42" s="209"/>
      <c r="E42" s="209"/>
      <c r="F42" s="209"/>
      <c r="G42" s="210"/>
      <c r="H42" s="211"/>
      <c r="I42" s="211"/>
      <c r="J42" s="211"/>
      <c r="K42" s="211"/>
      <c r="L42" s="211"/>
      <c r="M42" s="211"/>
      <c r="N42" s="211"/>
      <c r="O42" s="211"/>
      <c r="P42" s="95"/>
    </row>
    <row r="43" spans="1:16" ht="45.75" customHeight="1" thickBot="1" x14ac:dyDescent="0.25">
      <c r="A43" s="101" t="s">
        <v>158</v>
      </c>
      <c r="B43" s="208"/>
      <c r="C43" s="209"/>
      <c r="D43" s="209"/>
      <c r="E43" s="209"/>
      <c r="F43" s="209"/>
      <c r="G43" s="210"/>
      <c r="H43" s="211"/>
      <c r="I43" s="211"/>
      <c r="J43" s="211"/>
      <c r="K43" s="211"/>
      <c r="L43" s="211"/>
      <c r="M43" s="211"/>
      <c r="N43" s="211"/>
      <c r="O43" s="211"/>
      <c r="P43" s="95"/>
    </row>
    <row r="44" spans="1:16" ht="45.75" customHeight="1" thickBot="1" x14ac:dyDescent="0.25">
      <c r="A44" s="101" t="s">
        <v>159</v>
      </c>
      <c r="B44" s="208"/>
      <c r="C44" s="209"/>
      <c r="D44" s="209"/>
      <c r="E44" s="209"/>
      <c r="F44" s="209"/>
      <c r="G44" s="210"/>
      <c r="H44" s="211"/>
      <c r="I44" s="211"/>
      <c r="J44" s="211"/>
      <c r="K44" s="211"/>
      <c r="L44" s="211"/>
      <c r="M44" s="211"/>
      <c r="N44" s="211"/>
      <c r="O44" s="211"/>
      <c r="P44" s="95"/>
    </row>
    <row r="45" spans="1:16" ht="45.75" customHeight="1" thickBot="1" x14ac:dyDescent="0.25">
      <c r="A45" s="101" t="s">
        <v>160</v>
      </c>
      <c r="B45" s="208"/>
      <c r="C45" s="209"/>
      <c r="D45" s="209"/>
      <c r="E45" s="209"/>
      <c r="F45" s="209"/>
      <c r="G45" s="210"/>
      <c r="H45" s="211"/>
      <c r="I45" s="211"/>
      <c r="J45" s="211"/>
      <c r="K45" s="211"/>
      <c r="L45" s="211"/>
      <c r="M45" s="211"/>
      <c r="N45" s="211"/>
      <c r="O45" s="211"/>
      <c r="P45" s="95"/>
    </row>
    <row r="46" spans="1:16" ht="45.75" customHeight="1" thickBot="1" x14ac:dyDescent="0.25">
      <c r="A46" s="101" t="s">
        <v>161</v>
      </c>
      <c r="B46" s="208"/>
      <c r="C46" s="209"/>
      <c r="D46" s="209"/>
      <c r="E46" s="209"/>
      <c r="F46" s="209"/>
      <c r="G46" s="210"/>
      <c r="H46" s="211"/>
      <c r="I46" s="211"/>
      <c r="J46" s="211"/>
      <c r="K46" s="211"/>
      <c r="L46" s="211"/>
      <c r="M46" s="211"/>
      <c r="N46" s="211"/>
      <c r="O46" s="211"/>
      <c r="P46" s="95"/>
    </row>
    <row r="47" spans="1:16" ht="45.75" customHeight="1" thickBot="1" x14ac:dyDescent="0.25">
      <c r="A47" s="101" t="s">
        <v>162</v>
      </c>
      <c r="B47" s="208"/>
      <c r="C47" s="209"/>
      <c r="D47" s="209"/>
      <c r="E47" s="209"/>
      <c r="F47" s="209"/>
      <c r="G47" s="210"/>
      <c r="H47" s="211"/>
      <c r="I47" s="211"/>
      <c r="J47" s="211"/>
      <c r="K47" s="211"/>
      <c r="L47" s="211"/>
      <c r="M47" s="211"/>
      <c r="N47" s="211"/>
      <c r="O47" s="211"/>
      <c r="P47" s="95"/>
    </row>
    <row r="48" spans="1:16" ht="45.75" customHeight="1" thickBot="1" x14ac:dyDescent="0.25">
      <c r="A48" s="101" t="s">
        <v>163</v>
      </c>
      <c r="B48" s="208"/>
      <c r="C48" s="209"/>
      <c r="D48" s="209"/>
      <c r="E48" s="209"/>
      <c r="F48" s="209"/>
      <c r="G48" s="210"/>
      <c r="H48" s="211"/>
      <c r="I48" s="211"/>
      <c r="J48" s="211"/>
      <c r="K48" s="211"/>
      <c r="L48" s="211"/>
      <c r="M48" s="211"/>
      <c r="N48" s="211"/>
      <c r="O48" s="211"/>
      <c r="P48" s="95"/>
    </row>
    <row r="49" spans="1:16" ht="45.75" customHeight="1" thickBot="1" x14ac:dyDescent="0.25">
      <c r="A49" s="101" t="s">
        <v>164</v>
      </c>
      <c r="B49" s="208"/>
      <c r="C49" s="209"/>
      <c r="D49" s="209"/>
      <c r="E49" s="209"/>
      <c r="F49" s="209"/>
      <c r="G49" s="210"/>
      <c r="H49" s="211"/>
      <c r="I49" s="211"/>
      <c r="J49" s="211"/>
      <c r="K49" s="211"/>
      <c r="L49" s="211"/>
      <c r="M49" s="211"/>
      <c r="N49" s="211"/>
      <c r="O49" s="211"/>
      <c r="P49" s="95"/>
    </row>
    <row r="50" spans="1:16" ht="45.75" customHeight="1" thickBot="1" x14ac:dyDescent="0.25">
      <c r="A50" s="101" t="s">
        <v>165</v>
      </c>
      <c r="B50" s="208"/>
      <c r="C50" s="209"/>
      <c r="D50" s="209"/>
      <c r="E50" s="209"/>
      <c r="F50" s="209"/>
      <c r="G50" s="210"/>
      <c r="H50" s="211"/>
      <c r="I50" s="211"/>
      <c r="J50" s="211"/>
      <c r="K50" s="211"/>
      <c r="L50" s="211"/>
      <c r="M50" s="211"/>
      <c r="N50" s="211"/>
      <c r="O50" s="211"/>
      <c r="P50" s="95"/>
    </row>
  </sheetData>
  <mergeCells count="97">
    <mergeCell ref="B49:G49"/>
    <mergeCell ref="H49:K49"/>
    <mergeCell ref="L49:O49"/>
    <mergeCell ref="B50:G50"/>
    <mergeCell ref="H50:K50"/>
    <mergeCell ref="L50:O50"/>
    <mergeCell ref="B47:G47"/>
    <mergeCell ref="H47:K47"/>
    <mergeCell ref="L47:O47"/>
    <mergeCell ref="B48:G48"/>
    <mergeCell ref="H48:K48"/>
    <mergeCell ref="L48:O48"/>
    <mergeCell ref="B45:G45"/>
    <mergeCell ref="H45:K45"/>
    <mergeCell ref="L45:O45"/>
    <mergeCell ref="B46:G46"/>
    <mergeCell ref="H46:K46"/>
    <mergeCell ref="L46:O46"/>
    <mergeCell ref="B43:G43"/>
    <mergeCell ref="H43:K43"/>
    <mergeCell ref="L43:O43"/>
    <mergeCell ref="B44:G44"/>
    <mergeCell ref="H44:K44"/>
    <mergeCell ref="L44:O44"/>
    <mergeCell ref="B41:G41"/>
    <mergeCell ref="H41:K41"/>
    <mergeCell ref="L41:O41"/>
    <mergeCell ref="B42:G42"/>
    <mergeCell ref="H42:K42"/>
    <mergeCell ref="L42:O42"/>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39" priority="39" operator="equal">
      <formula>"Nok"</formula>
    </cfRule>
    <cfRule type="cellIs" dxfId="38" priority="40" operator="equal">
      <formula>"Ok"</formula>
    </cfRule>
  </conditionalFormatting>
  <conditionalFormatting sqref="P22 P28:P30">
    <cfRule type="cellIs" dxfId="37" priority="37" operator="equal">
      <formula>"Nok"</formula>
    </cfRule>
    <cfRule type="cellIs" dxfId="36" priority="38" operator="equal">
      <formula>"Ok"</formula>
    </cfRule>
  </conditionalFormatting>
  <conditionalFormatting sqref="P31:P35">
    <cfRule type="cellIs" dxfId="35" priority="35" operator="equal">
      <formula>"Nok"</formula>
    </cfRule>
    <cfRule type="cellIs" dxfId="34" priority="36" operator="equal">
      <formula>"Ok"</formula>
    </cfRule>
  </conditionalFormatting>
  <conditionalFormatting sqref="P36:P37">
    <cfRule type="cellIs" dxfId="33" priority="33" operator="equal">
      <formula>"Nok"</formula>
    </cfRule>
    <cfRule type="cellIs" dxfId="32" priority="34" operator="equal">
      <formula>"Ok"</formula>
    </cfRule>
  </conditionalFormatting>
  <conditionalFormatting sqref="P38">
    <cfRule type="cellIs" dxfId="31" priority="31" operator="equal">
      <formula>"Nok"</formula>
    </cfRule>
    <cfRule type="cellIs" dxfId="30" priority="32" operator="equal">
      <formula>"Ok"</formula>
    </cfRule>
  </conditionalFormatting>
  <conditionalFormatting sqref="P39">
    <cfRule type="cellIs" dxfId="29" priority="29" operator="equal">
      <formula>"Nok"</formula>
    </cfRule>
    <cfRule type="cellIs" dxfId="28" priority="30" operator="equal">
      <formula>"Ok"</formula>
    </cfRule>
  </conditionalFormatting>
  <conditionalFormatting sqref="P40">
    <cfRule type="cellIs" dxfId="27" priority="27" operator="equal">
      <formula>"Nok"</formula>
    </cfRule>
    <cfRule type="cellIs" dxfId="26" priority="28" operator="equal">
      <formula>"Ok"</formula>
    </cfRule>
  </conditionalFormatting>
  <conditionalFormatting sqref="P41">
    <cfRule type="cellIs" dxfId="25" priority="25" operator="equal">
      <formula>"Nok"</formula>
    </cfRule>
    <cfRule type="cellIs" dxfId="24" priority="26" operator="equal">
      <formula>"Ok"</formula>
    </cfRule>
  </conditionalFormatting>
  <conditionalFormatting sqref="P42">
    <cfRule type="cellIs" dxfId="23" priority="23" operator="equal">
      <formula>"Nok"</formula>
    </cfRule>
    <cfRule type="cellIs" dxfId="22" priority="24" operator="equal">
      <formula>"Ok"</formula>
    </cfRule>
  </conditionalFormatting>
  <conditionalFormatting sqref="P43">
    <cfRule type="cellIs" dxfId="21" priority="21" operator="equal">
      <formula>"Nok"</formula>
    </cfRule>
    <cfRule type="cellIs" dxfId="20" priority="22" operator="equal">
      <formula>"Ok"</formula>
    </cfRule>
  </conditionalFormatting>
  <conditionalFormatting sqref="P44">
    <cfRule type="cellIs" dxfId="19" priority="19" operator="equal">
      <formula>"Nok"</formula>
    </cfRule>
    <cfRule type="cellIs" dxfId="18" priority="20" operator="equal">
      <formula>"Ok"</formula>
    </cfRule>
  </conditionalFormatting>
  <conditionalFormatting sqref="P45">
    <cfRule type="cellIs" dxfId="17" priority="17" operator="equal">
      <formula>"Nok"</formula>
    </cfRule>
    <cfRule type="cellIs" dxfId="16" priority="18" operator="equal">
      <formula>"Ok"</formula>
    </cfRule>
  </conditionalFormatting>
  <conditionalFormatting sqref="P46">
    <cfRule type="cellIs" dxfId="15" priority="15" operator="equal">
      <formula>"Nok"</formula>
    </cfRule>
    <cfRule type="cellIs" dxfId="14" priority="16" operator="equal">
      <formula>"Ok"</formula>
    </cfRule>
  </conditionalFormatting>
  <conditionalFormatting sqref="P47">
    <cfRule type="cellIs" dxfId="13" priority="13" operator="equal">
      <formula>"Nok"</formula>
    </cfRule>
    <cfRule type="cellIs" dxfId="12" priority="14" operator="equal">
      <formula>"Ok"</formula>
    </cfRule>
  </conditionalFormatting>
  <conditionalFormatting sqref="P48">
    <cfRule type="cellIs" dxfId="11" priority="11" operator="equal">
      <formula>"Nok"</formula>
    </cfRule>
    <cfRule type="cellIs" dxfId="10" priority="12" operator="equal">
      <formula>"Ok"</formula>
    </cfRule>
  </conditionalFormatting>
  <conditionalFormatting sqref="P49">
    <cfRule type="cellIs" dxfId="9" priority="9" operator="equal">
      <formula>"Nok"</formula>
    </cfRule>
    <cfRule type="cellIs" dxfId="8" priority="10" operator="equal">
      <formula>"Ok"</formula>
    </cfRule>
  </conditionalFormatting>
  <conditionalFormatting sqref="P50">
    <cfRule type="cellIs" dxfId="7" priority="7" operator="equal">
      <formula>"Nok"</formula>
    </cfRule>
    <cfRule type="cellIs" dxfId="6" priority="8" operator="equal">
      <formula>"Ok"</formula>
    </cfRule>
  </conditionalFormatting>
  <conditionalFormatting sqref="P23">
    <cfRule type="cellIs" dxfId="5" priority="5" operator="equal">
      <formula>"Nok"</formula>
    </cfRule>
    <cfRule type="cellIs" dxfId="4" priority="6" operator="equal">
      <formula>"Ok"</formula>
    </cfRule>
  </conditionalFormatting>
  <conditionalFormatting sqref="P27">
    <cfRule type="cellIs" dxfId="3" priority="3" operator="equal">
      <formula>"Nok"</formula>
    </cfRule>
    <cfRule type="cellIs" dxfId="2" priority="4" operator="equal">
      <formula>"Ok"</formula>
    </cfRule>
  </conditionalFormatting>
  <conditionalFormatting sqref="P24:P26">
    <cfRule type="cellIs" dxfId="1" priority="1" operator="equal">
      <formula>"Nok"</formula>
    </cfRule>
    <cfRule type="cellIs" dxfId="0" priority="2" operator="equal">
      <formula>"Ok"</formula>
    </cfRule>
  </conditionalFormatting>
  <dataValidations count="3">
    <dataValidation type="list" allowBlank="1" showInputMessage="1" showErrorMessage="1" sqref="B5">
      <formula1>"Nominal, Robustness, Endurance, Qualification"</formula1>
    </dataValidation>
    <dataValidation type="list" allowBlank="1" showInputMessage="1" showErrorMessage="1" sqref="B9">
      <formula1>"Ok, Nok, Not run, NA"</formula1>
    </dataValidation>
    <dataValidation type="list" allowBlank="1" showInputMessage="1" showErrorMessage="1" sqref="P22:P50">
      <formula1>"Ok, Nok, Not run, ,"</formula1>
    </dataValidation>
  </dataValidations>
  <pageMargins left="0.7" right="0.7" top="0.75" bottom="0.75" header="0.3" footer="0.3"/>
  <pageSetup paperSize="9" orientation="portrait" r:id="rId1"/>
  <headerFooter>
    <oddFooter>&amp;LE1355904 rev 000 ver 001&amp;R&amp;P</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2:H26"/>
  <sheetViews>
    <sheetView zoomScaleNormal="100" workbookViewId="0">
      <selection activeCell="H26" sqref="H26:K26"/>
    </sheetView>
  </sheetViews>
  <sheetFormatPr defaultRowHeight="15" x14ac:dyDescent="0.25"/>
  <cols>
    <col min="1" max="1" width="4.28515625" style="104" customWidth="1"/>
    <col min="2" max="2" width="24.85546875" style="104" customWidth="1"/>
    <col min="3" max="3" width="4.5703125" style="104" customWidth="1"/>
    <col min="4" max="4" width="4.42578125" style="104" customWidth="1"/>
    <col min="5" max="5" width="29.85546875" style="104" bestFit="1" customWidth="1"/>
    <col min="6" max="6" width="9.85546875" style="104" customWidth="1"/>
    <col min="7" max="16384" width="9.140625" style="104"/>
  </cols>
  <sheetData>
    <row r="2" spans="2:6" x14ac:dyDescent="0.25">
      <c r="B2" s="103" t="s">
        <v>61</v>
      </c>
      <c r="C2" s="103">
        <f ca="1">COUNTIF('Tests Synthesis'!K3:K46, "Ok")</f>
        <v>4</v>
      </c>
      <c r="E2" s="105" t="s">
        <v>62</v>
      </c>
      <c r="F2" s="106">
        <f ca="1">IF(C6=0,0,C2/C6)</f>
        <v>0.44444444444444442</v>
      </c>
    </row>
    <row r="3" spans="2:6" x14ac:dyDescent="0.25">
      <c r="B3" s="103" t="s">
        <v>63</v>
      </c>
      <c r="C3" s="103">
        <f ca="1">COUNTIF('Tests Synthesis'!K3:K46, "Nok")</f>
        <v>0</v>
      </c>
      <c r="E3" s="105" t="s">
        <v>64</v>
      </c>
      <c r="F3" s="106">
        <f ca="1">IF(C6=0,0,C3/C6)</f>
        <v>0</v>
      </c>
    </row>
    <row r="4" spans="2:6" x14ac:dyDescent="0.25">
      <c r="B4" s="103" t="s">
        <v>65</v>
      </c>
      <c r="C4" s="103">
        <f ca="1">COUNTIF('Tests Synthesis'!K3:K46, "not run")</f>
        <v>5</v>
      </c>
      <c r="E4" s="103" t="s">
        <v>66</v>
      </c>
      <c r="F4" s="106">
        <f ca="1">IF(C6=0,0,C4/C6)</f>
        <v>0.55555555555555558</v>
      </c>
    </row>
    <row r="5" spans="2:6" x14ac:dyDescent="0.25">
      <c r="B5" s="103" t="s">
        <v>119</v>
      </c>
      <c r="C5" s="103">
        <f ca="1">COUNTIF('Tests Synthesis'!K4:K47, "NA")</f>
        <v>0</v>
      </c>
      <c r="E5" s="103" t="s">
        <v>120</v>
      </c>
      <c r="F5" s="106">
        <f>IF(C7=0,0,C5/C7)</f>
        <v>0</v>
      </c>
    </row>
    <row r="6" spans="2:6" x14ac:dyDescent="0.25">
      <c r="B6" s="103" t="s">
        <v>67</v>
      </c>
      <c r="C6" s="103">
        <f ca="1">SUM(C2:C4)</f>
        <v>9</v>
      </c>
    </row>
    <row r="26" spans="8:8" x14ac:dyDescent="0.25">
      <c r="H26" s="104" t="s">
        <v>154</v>
      </c>
    </row>
  </sheetData>
  <pageMargins left="0.7" right="0.7" top="0.75" bottom="0.75" header="0.3" footer="0.3"/>
  <pageSetup paperSize="9" orientation="portrait" r:id="rId1"/>
  <headerFooter>
    <oddFooter>&amp;LE1355904 rev 000 ver 001&amp;R&amp;P</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12</vt:i4>
      </vt:variant>
    </vt:vector>
  </HeadingPairs>
  <TitlesOfParts>
    <vt:vector size="27" baseType="lpstr">
      <vt:lpstr>FrontPage</vt:lpstr>
      <vt:lpstr>General info</vt:lpstr>
      <vt:lpstr>Guide (help)</vt:lpstr>
      <vt:lpstr>Tests Synthesis</vt:lpstr>
      <vt:lpstr>SYS_Review_MF01_OK</vt:lpstr>
      <vt:lpstr>SYS_Review_MF01_TBD</vt:lpstr>
      <vt:lpstr>SYS_Review_MF02_OK</vt:lpstr>
      <vt:lpstr>SYS_Review_MF02_TBDorNOK</vt:lpstr>
      <vt:lpstr>SYS_Review_MF03_OK</vt:lpstr>
      <vt:lpstr>SYS_Review_MF03_TBD</vt:lpstr>
      <vt:lpstr>SYSReview_MF04_OK</vt:lpstr>
      <vt:lpstr>SYS_Review_MF04_TBD</vt:lpstr>
      <vt:lpstr>SYS_Review_MF05_OK</vt:lpstr>
      <vt:lpstr>SYS_Review_MF05_TBDorNOK</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Redon</dc:creator>
  <cp:lastModifiedBy>Jerome Lacroix</cp:lastModifiedBy>
  <cp:lastPrinted>2011-11-28T23:54:39Z</cp:lastPrinted>
  <dcterms:created xsi:type="dcterms:W3CDTF">2008-08-11T11:06:44Z</dcterms:created>
  <dcterms:modified xsi:type="dcterms:W3CDTF">2016-11-10T14:32:20Z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filetime>2014-06-15T22:00:00Z</vt:filetime>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124479 AHO GPM EL EL ECU PP LOW COST</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C. Sauvage, S. Flechelle, T. Demirel, S. Claveau, F. Gilbert, H. Egnifi, A. LeBeherec, E. Mariniuc, A. Teban, V. Rus-Staroste</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E1355904</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000</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SWArchitectureGlobalIntegrationTests - SW Scheduling</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001</vt:lpwstr>
  </property>
</Properties>
</file>