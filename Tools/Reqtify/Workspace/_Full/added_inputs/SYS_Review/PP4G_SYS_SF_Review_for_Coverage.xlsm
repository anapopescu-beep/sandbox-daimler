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ata\Sandboxes\SBE_Platform_PP4G_SHARED\Mainstream\Phase_02\Core\Tools\Reqtify\Workspace\_Full\added_inputs\SYS_Review\"/>
    </mc:Choice>
  </mc:AlternateContent>
  <bookViews>
    <workbookView xWindow="-2910" yWindow="-255" windowWidth="10380" windowHeight="8130" tabRatio="768" activeTab="3"/>
  </bookViews>
  <sheets>
    <sheet name="FrontPage" sheetId="4" r:id="rId1"/>
    <sheet name="General info" sheetId="11" r:id="rId2"/>
    <sheet name="Guide (help)" sheetId="18" r:id="rId3"/>
    <sheet name="Tests Synthesis" sheetId="13" r:id="rId4"/>
    <sheet name="SYS_Review_SF01_OK" sheetId="35" r:id="rId5"/>
    <sheet name="SYS_Review_SF01_TBDorNOK" sheetId="41" r:id="rId6"/>
    <sheet name="SYS_Review_SF02_OK" sheetId="36" r:id="rId7"/>
    <sheet name="SYS_Review_SF02_TBD" sheetId="37" r:id="rId8"/>
    <sheet name="SYS_Review_SF03_OK" sheetId="39" r:id="rId9"/>
    <sheet name="SYS_Review_SF03_TBDorNOK" sheetId="14" r:id="rId10"/>
    <sheet name="SYS_Review_SF04_OK" sheetId="32" r:id="rId11"/>
    <sheet name="SYS_Review_SF04_TBDorNOK" sheetId="38" r:id="rId12"/>
    <sheet name="SYSReview_SF05_OK" sheetId="40" r:id="rId13"/>
    <sheet name="SYSReview_SF05_TBD" sheetId="42" r:id="rId14"/>
    <sheet name="SYSReview_SF06_OK" sheetId="43" r:id="rId15"/>
    <sheet name="SYS_Review_SF06_TBD" sheetId="44" r:id="rId16"/>
    <sheet name="SYS_Review_SF07_OK" sheetId="45" r:id="rId17"/>
    <sheet name="SYS_Review_SF07_TBD" sheetId="46" r:id="rId18"/>
    <sheet name="SYS_Review_SF08_OK" sheetId="47" r:id="rId19"/>
    <sheet name="SYSReview_SF08_TBD" sheetId="48" r:id="rId20"/>
    <sheet name="SYSReview_SF09_OK" sheetId="49" r:id="rId21"/>
    <sheet name="SYSReview_SF09_TBD" sheetId="50" r:id="rId22"/>
    <sheet name="SYSReview_SF10_OK" sheetId="51" r:id="rId23"/>
    <sheet name="SYSReview_SF10_TBD" sheetId="52" r:id="rId24"/>
    <sheet name="SYSReview_SF11_OK" sheetId="53" r:id="rId25"/>
    <sheet name="SYSReview_SF11_TBD" sheetId="54" r:id="rId26"/>
    <sheet name="SYSReview_SF12_OK" sheetId="55" r:id="rId27"/>
    <sheet name="SYSReview_SF12_TBD" sheetId="56" r:id="rId28"/>
    <sheet name="Metrics" sheetId="16" r:id="rId29"/>
  </sheets>
  <externalReferences>
    <externalReference r:id="rId30"/>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 localSheetId="4">FrontPage!#REF!</definedName>
    <definedName name="MXPolicy" localSheetId="5">FrontPage!#REF!</definedName>
    <definedName name="MXPolicy" localSheetId="6">FrontPage!#REF!</definedName>
    <definedName name="MXPolicy" localSheetId="7">FrontPage!#REF!</definedName>
    <definedName name="MXPolicy" localSheetId="8">FrontPage!#REF!</definedName>
    <definedName name="MXPolicy" localSheetId="10">FrontPage!#REF!</definedName>
    <definedName name="MXPolicy" localSheetId="11">FrontPage!#REF!</definedName>
    <definedName name="MXPolicy" localSheetId="15">FrontPage!#REF!</definedName>
    <definedName name="MXPolicy" localSheetId="16">FrontPage!#REF!</definedName>
    <definedName name="MXPolicy" localSheetId="17">FrontPage!#REF!</definedName>
    <definedName name="MXPolicy" localSheetId="18">FrontPage!#REF!</definedName>
    <definedName name="MXPolicy" localSheetId="12">FrontPage!#REF!</definedName>
    <definedName name="MXPolicy" localSheetId="13">FrontPage!#REF!</definedName>
    <definedName name="MXPolicy" localSheetId="14">FrontPage!#REF!</definedName>
    <definedName name="MXPolicy" localSheetId="19">FrontPage!#REF!</definedName>
    <definedName name="MXPolicy" localSheetId="20">FrontPage!#REF!</definedName>
    <definedName name="MXPolicy" localSheetId="21">FrontPage!#REF!</definedName>
    <definedName name="MXPolicy" localSheetId="22">FrontPage!#REF!</definedName>
    <definedName name="MXPolicy" localSheetId="23">FrontPage!#REF!</definedName>
    <definedName name="MXPolicy" localSheetId="24">FrontPage!#REF!</definedName>
    <definedName name="MXPolicy" localSheetId="25">FrontPage!#REF!</definedName>
    <definedName name="MXPolicy" localSheetId="26">FrontPage!#REF!</definedName>
    <definedName name="MXPolicy" localSheetId="27">FrontPage!#REF!</definedName>
    <definedName name="MXPolicy">FrontPage!#REF!</definedName>
    <definedName name="MXRevision">FrontPage!$AB$7</definedName>
    <definedName name="MXTitle">FrontPage!$E$7</definedName>
    <definedName name="MXType.Localized" localSheetId="2">FrontPage!#REF!</definedName>
    <definedName name="MXType.Localized" localSheetId="4">FrontPage!#REF!</definedName>
    <definedName name="MXType.Localized" localSheetId="5">FrontPage!#REF!</definedName>
    <definedName name="MXType.Localized" localSheetId="6">FrontPage!#REF!</definedName>
    <definedName name="MXType.Localized" localSheetId="7">FrontPage!#REF!</definedName>
    <definedName name="MXType.Localized" localSheetId="8">FrontPage!#REF!</definedName>
    <definedName name="MXType.Localized" localSheetId="10">FrontPage!#REF!</definedName>
    <definedName name="MXType.Localized" localSheetId="11">FrontPage!#REF!</definedName>
    <definedName name="MXType.Localized" localSheetId="15">FrontPage!#REF!</definedName>
    <definedName name="MXType.Localized" localSheetId="16">FrontPage!#REF!</definedName>
    <definedName name="MXType.Localized" localSheetId="17">FrontPage!#REF!</definedName>
    <definedName name="MXType.Localized" localSheetId="18">FrontPage!#REF!</definedName>
    <definedName name="MXType.Localized" localSheetId="12">FrontPage!#REF!</definedName>
    <definedName name="MXType.Localized" localSheetId="13">FrontPage!#REF!</definedName>
    <definedName name="MXType.Localized" localSheetId="14">FrontPage!#REF!</definedName>
    <definedName name="MXType.Localized" localSheetId="19">FrontPage!#REF!</definedName>
    <definedName name="MXType.Localized" localSheetId="20">FrontPage!#REF!</definedName>
    <definedName name="MXType.Localized" localSheetId="21">FrontPage!#REF!</definedName>
    <definedName name="MXType.Localized" localSheetId="22">FrontPage!#REF!</definedName>
    <definedName name="MXType.Localized" localSheetId="23">FrontPage!#REF!</definedName>
    <definedName name="MXType.Localized" localSheetId="24">FrontPage!#REF!</definedName>
    <definedName name="MXType.Localized" localSheetId="25">FrontPage!#REF!</definedName>
    <definedName name="MXType.Localized" localSheetId="26">FrontPage!#REF!</definedName>
    <definedName name="MXType.Localized" localSheetId="27">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SW_IT_ADC_00005" localSheetId="4">[1]FrontPage!#REF!</definedName>
    <definedName name="SW_IT_ADC_00005" localSheetId="5">[1]FrontPage!#REF!</definedName>
    <definedName name="SW_IT_ADC_00005" localSheetId="6">[1]FrontPage!#REF!</definedName>
    <definedName name="SW_IT_ADC_00005" localSheetId="7">[1]FrontPage!#REF!</definedName>
    <definedName name="SW_IT_ADC_00005" localSheetId="8">[1]FrontPage!#REF!</definedName>
    <definedName name="SW_IT_ADC_00005" localSheetId="10">[1]FrontPage!#REF!</definedName>
    <definedName name="SW_IT_ADC_00005" localSheetId="11">[1]FrontPage!#REF!</definedName>
    <definedName name="SW_IT_ADC_00005" localSheetId="15">[1]FrontPage!#REF!</definedName>
    <definedName name="SW_IT_ADC_00005" localSheetId="16">[1]FrontPage!#REF!</definedName>
    <definedName name="SW_IT_ADC_00005" localSheetId="17">[1]FrontPage!#REF!</definedName>
    <definedName name="SW_IT_ADC_00005" localSheetId="18">[1]FrontPage!#REF!</definedName>
    <definedName name="SW_IT_ADC_00005" localSheetId="12">[1]FrontPage!#REF!</definedName>
    <definedName name="SW_IT_ADC_00005" localSheetId="13">[1]FrontPage!#REF!</definedName>
    <definedName name="SW_IT_ADC_00005" localSheetId="14">[1]FrontPage!#REF!</definedName>
    <definedName name="SW_IT_ADC_00005" localSheetId="19">[1]FrontPage!#REF!</definedName>
    <definedName name="SW_IT_ADC_00005" localSheetId="20">[1]FrontPage!#REF!</definedName>
    <definedName name="SW_IT_ADC_00005" localSheetId="21">[1]FrontPage!#REF!</definedName>
    <definedName name="SW_IT_ADC_00005" localSheetId="22">[1]FrontPage!#REF!</definedName>
    <definedName name="SW_IT_ADC_00005" localSheetId="23">[1]FrontPage!#REF!</definedName>
    <definedName name="SW_IT_ADC_00005" localSheetId="24">[1]FrontPage!#REF!</definedName>
    <definedName name="SW_IT_ADC_00005" localSheetId="25">[1]FrontPage!#REF!</definedName>
    <definedName name="SW_IT_ADC_00005" localSheetId="26">[1]FrontPage!#REF!</definedName>
    <definedName name="SW_IT_ADC_00005" localSheetId="27">[1]FrontPage!#REF!</definedName>
    <definedName name="SW_IT_ADC_00005">[1]FrontPage!#REF!</definedName>
    <definedName name="SW_IT_ADC_00006" localSheetId="4">[1]FrontPage!#REF!</definedName>
    <definedName name="SW_IT_ADC_00006" localSheetId="5">[1]FrontPage!#REF!</definedName>
    <definedName name="SW_IT_ADC_00006" localSheetId="6">[1]FrontPage!#REF!</definedName>
    <definedName name="SW_IT_ADC_00006" localSheetId="7">[1]FrontPage!#REF!</definedName>
    <definedName name="SW_IT_ADC_00006" localSheetId="8">[1]FrontPage!#REF!</definedName>
    <definedName name="SW_IT_ADC_00006" localSheetId="10">[1]FrontPage!#REF!</definedName>
    <definedName name="SW_IT_ADC_00006" localSheetId="11">[1]FrontPage!#REF!</definedName>
    <definedName name="SW_IT_ADC_00006" localSheetId="15">[1]FrontPage!#REF!</definedName>
    <definedName name="SW_IT_ADC_00006" localSheetId="16">[1]FrontPage!#REF!</definedName>
    <definedName name="SW_IT_ADC_00006" localSheetId="17">[1]FrontPage!#REF!</definedName>
    <definedName name="SW_IT_ADC_00006" localSheetId="18">[1]FrontPage!#REF!</definedName>
    <definedName name="SW_IT_ADC_00006" localSheetId="12">[1]FrontPage!#REF!</definedName>
    <definedName name="SW_IT_ADC_00006" localSheetId="13">[1]FrontPage!#REF!</definedName>
    <definedName name="SW_IT_ADC_00006" localSheetId="14">[1]FrontPage!#REF!</definedName>
    <definedName name="SW_IT_ADC_00006" localSheetId="19">[1]FrontPage!#REF!</definedName>
    <definedName name="SW_IT_ADC_00006" localSheetId="20">[1]FrontPage!#REF!</definedName>
    <definedName name="SW_IT_ADC_00006" localSheetId="21">[1]FrontPage!#REF!</definedName>
    <definedName name="SW_IT_ADC_00006" localSheetId="22">[1]FrontPage!#REF!</definedName>
    <definedName name="SW_IT_ADC_00006" localSheetId="23">[1]FrontPage!#REF!</definedName>
    <definedName name="SW_IT_ADC_00006" localSheetId="24">[1]FrontPage!#REF!</definedName>
    <definedName name="SW_IT_ADC_00006" localSheetId="25">[1]FrontPage!#REF!</definedName>
    <definedName name="SW_IT_ADC_00006" localSheetId="26">[1]FrontPage!#REF!</definedName>
    <definedName name="SW_IT_ADC_00006" localSheetId="27">[1]FrontPage!#REF!</definedName>
    <definedName name="SW_IT_ADC_00006">[1]FrontPage!#REF!</definedName>
    <definedName name="SW_IT_ADC_00007" localSheetId="4">[1]FrontPage!#REF!</definedName>
    <definedName name="SW_IT_ADC_00007" localSheetId="5">[1]FrontPage!#REF!</definedName>
    <definedName name="SW_IT_ADC_00007" localSheetId="6">[1]FrontPage!#REF!</definedName>
    <definedName name="SW_IT_ADC_00007" localSheetId="7">[1]FrontPage!#REF!</definedName>
    <definedName name="SW_IT_ADC_00007" localSheetId="8">[1]FrontPage!#REF!</definedName>
    <definedName name="SW_IT_ADC_00007" localSheetId="10">[1]FrontPage!#REF!</definedName>
    <definedName name="SW_IT_ADC_00007" localSheetId="11">[1]FrontPage!#REF!</definedName>
    <definedName name="SW_IT_ADC_00007" localSheetId="15">[1]FrontPage!#REF!</definedName>
    <definedName name="SW_IT_ADC_00007" localSheetId="16">[1]FrontPage!#REF!</definedName>
    <definedName name="SW_IT_ADC_00007" localSheetId="17">[1]FrontPage!#REF!</definedName>
    <definedName name="SW_IT_ADC_00007" localSheetId="18">[1]FrontPage!#REF!</definedName>
    <definedName name="SW_IT_ADC_00007" localSheetId="12">[1]FrontPage!#REF!</definedName>
    <definedName name="SW_IT_ADC_00007" localSheetId="13">[1]FrontPage!#REF!</definedName>
    <definedName name="SW_IT_ADC_00007" localSheetId="14">[1]FrontPage!#REF!</definedName>
    <definedName name="SW_IT_ADC_00007" localSheetId="19">[1]FrontPage!#REF!</definedName>
    <definedName name="SW_IT_ADC_00007" localSheetId="20">[1]FrontPage!#REF!</definedName>
    <definedName name="SW_IT_ADC_00007" localSheetId="21">[1]FrontPage!#REF!</definedName>
    <definedName name="SW_IT_ADC_00007" localSheetId="22">[1]FrontPage!#REF!</definedName>
    <definedName name="SW_IT_ADC_00007" localSheetId="23">[1]FrontPage!#REF!</definedName>
    <definedName name="SW_IT_ADC_00007" localSheetId="24">[1]FrontPage!#REF!</definedName>
    <definedName name="SW_IT_ADC_00007" localSheetId="25">[1]FrontPage!#REF!</definedName>
    <definedName name="SW_IT_ADC_00007" localSheetId="26">[1]FrontPage!#REF!</definedName>
    <definedName name="SW_IT_ADC_00007" localSheetId="27">[1]FrontPage!#REF!</definedName>
    <definedName name="SW_IT_ADC_00007">[1]FrontPage!#REF!</definedName>
    <definedName name="SYS_C01_ReqCovByReview_TBD" localSheetId="5">[1]FrontPage!#REF!</definedName>
    <definedName name="SYS_C01_ReqCovByReview_TBD" localSheetId="6">[1]FrontPage!#REF!</definedName>
    <definedName name="SYS_C01_ReqCovByReview_TBD" localSheetId="7">[1]FrontPage!#REF!</definedName>
    <definedName name="SYS_C01_ReqCovByReview_TBD" localSheetId="8">[1]FrontPage!#REF!</definedName>
    <definedName name="SYS_C01_ReqCovByReview_TBD" localSheetId="11">[1]FrontPage!#REF!</definedName>
    <definedName name="SYS_C01_ReqCovByReview_TBD" localSheetId="15">[1]FrontPage!#REF!</definedName>
    <definedName name="SYS_C01_ReqCovByReview_TBD" localSheetId="16">[1]FrontPage!#REF!</definedName>
    <definedName name="SYS_C01_ReqCovByReview_TBD" localSheetId="17">[1]FrontPage!#REF!</definedName>
    <definedName name="SYS_C01_ReqCovByReview_TBD" localSheetId="18">[1]FrontPage!#REF!</definedName>
    <definedName name="SYS_C01_ReqCovByReview_TBD" localSheetId="12">[1]FrontPage!#REF!</definedName>
    <definedName name="SYS_C01_ReqCovByReview_TBD" localSheetId="13">[1]FrontPage!#REF!</definedName>
    <definedName name="SYS_C01_ReqCovByReview_TBD" localSheetId="14">[1]FrontPage!#REF!</definedName>
    <definedName name="SYS_C01_ReqCovByReview_TBD" localSheetId="19">[1]FrontPage!#REF!</definedName>
    <definedName name="SYS_C01_ReqCovByReview_TBD" localSheetId="20">[1]FrontPage!#REF!</definedName>
    <definedName name="SYS_C01_ReqCovByReview_TBD" localSheetId="21">[1]FrontPage!#REF!</definedName>
    <definedName name="SYS_C01_ReqCovByReview_TBD" localSheetId="22">[1]FrontPage!#REF!</definedName>
    <definedName name="SYS_C01_ReqCovByReview_TBD" localSheetId="23">[1]FrontPage!#REF!</definedName>
    <definedName name="SYS_C01_ReqCovByReview_TBD" localSheetId="24">[1]FrontPage!#REF!</definedName>
    <definedName name="SYS_C01_ReqCovByReview_TBD" localSheetId="25">[1]FrontPage!#REF!</definedName>
    <definedName name="SYS_C01_ReqCovByReview_TBD" localSheetId="26">[1]FrontPage!#REF!</definedName>
    <definedName name="SYS_C01_ReqCovByReview_TBD" localSheetId="27">[1]FrontPage!#REF!</definedName>
    <definedName name="SYS_C01_ReqCovByReview_TBD">[1]FrontPage!#REF!</definedName>
    <definedName name="TemplateRef">FrontPage!$W$7</definedName>
  </definedNames>
  <calcPr calcId="152511"/>
</workbook>
</file>

<file path=xl/calcChain.xml><?xml version="1.0" encoding="utf-8"?>
<calcChain xmlns="http://schemas.openxmlformats.org/spreadsheetml/2006/main">
  <c r="L31" i="41" l="1"/>
  <c r="K15" i="13" l="1"/>
  <c r="K16" i="13"/>
  <c r="K17" i="13"/>
  <c r="K18" i="13"/>
  <c r="K19" i="13"/>
  <c r="K20" i="13"/>
  <c r="K21" i="13"/>
  <c r="K22" i="13"/>
  <c r="K23" i="13"/>
  <c r="K24" i="13"/>
  <c r="K25" i="13"/>
  <c r="K26" i="13"/>
  <c r="K27" i="13"/>
  <c r="K28" i="13"/>
  <c r="K29" i="13"/>
  <c r="K30" i="13"/>
  <c r="K31" i="13"/>
  <c r="K32" i="13"/>
  <c r="K33" i="13"/>
  <c r="K34" i="13"/>
  <c r="K35" i="13"/>
  <c r="D15" i="13"/>
  <c r="E15" i="13"/>
  <c r="F15" i="13"/>
  <c r="D16" i="13"/>
  <c r="E16" i="13"/>
  <c r="F16" i="13"/>
  <c r="D17" i="13"/>
  <c r="E17" i="13"/>
  <c r="F17" i="13"/>
  <c r="D18" i="13"/>
  <c r="E18" i="13"/>
  <c r="F18" i="13"/>
  <c r="D19" i="13"/>
  <c r="E19" i="13"/>
  <c r="F19" i="13"/>
  <c r="D20" i="13"/>
  <c r="E20" i="13"/>
  <c r="F20" i="13"/>
  <c r="D21" i="13"/>
  <c r="E21" i="13"/>
  <c r="F21" i="13"/>
  <c r="D22" i="13"/>
  <c r="E22" i="13"/>
  <c r="F22" i="13"/>
  <c r="D23" i="13"/>
  <c r="E23" i="13"/>
  <c r="F23" i="13"/>
  <c r="D24" i="13"/>
  <c r="E24" i="13"/>
  <c r="F24" i="13"/>
  <c r="D25" i="13"/>
  <c r="E25" i="13"/>
  <c r="F25" i="13"/>
  <c r="D26" i="13"/>
  <c r="E26" i="13"/>
  <c r="F26" i="13"/>
  <c r="D27" i="13"/>
  <c r="E27" i="13"/>
  <c r="F27" i="13"/>
  <c r="D28" i="13"/>
  <c r="E28" i="13"/>
  <c r="F28" i="13"/>
  <c r="D29" i="13"/>
  <c r="E29" i="13"/>
  <c r="F29" i="13"/>
  <c r="D30" i="13"/>
  <c r="E30" i="13"/>
  <c r="F30" i="13"/>
  <c r="D31" i="13"/>
  <c r="E31" i="13"/>
  <c r="F31" i="13"/>
  <c r="D32" i="13"/>
  <c r="E32" i="13"/>
  <c r="F32" i="13"/>
  <c r="D33" i="13"/>
  <c r="E33" i="13"/>
  <c r="F33" i="13"/>
  <c r="D34" i="13"/>
  <c r="E34" i="13"/>
  <c r="F34" i="13"/>
  <c r="D35" i="13"/>
  <c r="E35" i="13"/>
  <c r="F35" i="13"/>
  <c r="E5" i="13"/>
  <c r="K11" i="13"/>
  <c r="D4" i="13"/>
  <c r="E6" i="13"/>
  <c r="K13" i="13"/>
  <c r="K10" i="13"/>
  <c r="F12" i="13"/>
  <c r="F7" i="13"/>
  <c r="F4" i="13"/>
  <c r="K12" i="13"/>
  <c r="E11" i="13"/>
  <c r="E12" i="13"/>
  <c r="D13" i="13"/>
  <c r="E10" i="13"/>
  <c r="F14" i="13"/>
  <c r="F8" i="13"/>
  <c r="K4" i="13"/>
  <c r="D12" i="13"/>
  <c r="K5" i="13"/>
  <c r="D6" i="13"/>
  <c r="F10" i="13"/>
  <c r="K8" i="13"/>
  <c r="E4" i="13"/>
  <c r="K7" i="13"/>
  <c r="E13" i="13"/>
  <c r="D11" i="13"/>
  <c r="E14" i="13"/>
  <c r="F13" i="13"/>
  <c r="D8" i="13"/>
  <c r="E8" i="13"/>
  <c r="E7" i="13"/>
  <c r="D7" i="13"/>
  <c r="E9" i="13"/>
  <c r="K14" i="13"/>
  <c r="F9" i="13"/>
  <c r="F6" i="13"/>
  <c r="D5" i="13"/>
  <c r="K6" i="13"/>
  <c r="F11" i="13"/>
  <c r="D10" i="13"/>
  <c r="D14" i="13"/>
  <c r="D9" i="13"/>
  <c r="K9" i="13"/>
  <c r="F5" i="13"/>
  <c r="F5" i="16" l="1"/>
  <c r="AE7" i="11"/>
  <c r="AB7" i="11"/>
  <c r="W7" i="11"/>
  <c r="AB5" i="11"/>
  <c r="W5" i="11"/>
  <c r="E7" i="11"/>
  <c r="A7" i="11"/>
  <c r="A5" i="11"/>
  <c r="AD3" i="4"/>
  <c r="AD3" i="11" s="1"/>
  <c r="A23" i="4"/>
  <c r="F3" i="13"/>
  <c r="K3" i="13"/>
  <c r="D3" i="13"/>
  <c r="E3" i="13"/>
  <c r="C5" i="16" l="1"/>
  <c r="C4" i="16"/>
  <c r="C2" i="16"/>
  <c r="C3" i="16"/>
  <c r="C6" i="16" l="1"/>
  <c r="F2" i="16" s="1"/>
  <c r="F3" i="16" l="1"/>
  <c r="F4" i="16"/>
</calcChain>
</file>

<file path=xl/comments1.xml><?xml version="1.0" encoding="utf-8"?>
<comments xmlns="http://schemas.openxmlformats.org/spreadsheetml/2006/main">
  <authors>
    <author>Johannes Kask</author>
  </authors>
  <commentList>
    <comment ref="B15" authorId="0" shapeId="0">
      <text>
        <r>
          <rPr>
            <sz val="8"/>
            <color indexed="81"/>
            <rFont val="Tahoma"/>
            <family val="2"/>
          </rPr>
          <t>Insert name of tabs included in the document</t>
        </r>
        <r>
          <rPr>
            <sz val="8"/>
            <color indexed="81"/>
            <rFont val="Tahoma"/>
            <family val="2"/>
          </rPr>
          <t xml:space="preserve">
</t>
        </r>
      </text>
    </comment>
    <comment ref="G15" authorId="0" shapeId="0">
      <text>
        <r>
          <rPr>
            <sz val="8"/>
            <color indexed="81"/>
            <rFont val="Tahoma"/>
            <family val="2"/>
          </rPr>
          <t>Describe each Tab.</t>
        </r>
      </text>
    </comment>
    <comment ref="B24" authorId="0" shapeId="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4" authorId="0" shapeId="0">
      <text>
        <r>
          <rPr>
            <sz val="8"/>
            <color indexed="81"/>
            <rFont val="Tahoma"/>
            <family val="2"/>
          </rPr>
          <t>Date when the Revision is released</t>
        </r>
      </text>
    </comment>
    <comment ref="I24" authorId="0" shapeId="0">
      <text>
        <r>
          <rPr>
            <sz val="8"/>
            <color indexed="81"/>
            <rFont val="Tahoma"/>
            <family val="2"/>
          </rPr>
          <t>Author of the document. Authors if several.</t>
        </r>
      </text>
    </comment>
    <comment ref="R24" authorId="0" shapeId="0">
      <text>
        <r>
          <rPr>
            <sz val="8"/>
            <color indexed="81"/>
            <rFont val="Tahoma"/>
            <family val="2"/>
          </rPr>
          <t>Description or comment on the version. E.g. updated after meeting etc.</t>
        </r>
      </text>
    </comment>
    <comment ref="B40" authorId="0" shapeId="0">
      <text>
        <r>
          <rPr>
            <sz val="8"/>
            <color indexed="81"/>
            <rFont val="Tahoma"/>
            <family val="2"/>
          </rPr>
          <t>ID of possible reference documents. Any ID can be used, suggestion is [Int1], [Int2] etc. for internal references and [Ext1], [Ext2] etc. for external references</t>
        </r>
      </text>
    </comment>
    <comment ref="E40" authorId="0" shapeId="0">
      <text>
        <r>
          <rPr>
            <sz val="8"/>
            <color indexed="81"/>
            <rFont val="Tahoma"/>
            <family val="2"/>
          </rPr>
          <t>Title of reference documents.</t>
        </r>
      </text>
    </comment>
    <comment ref="Y40" authorId="0" shapeId="0">
      <text>
        <r>
          <rPr>
            <sz val="8"/>
            <color indexed="81"/>
            <rFont val="Tahoma"/>
            <family val="2"/>
          </rPr>
          <t>Reference number, e.g. E123456 and revision of the reference.</t>
        </r>
      </text>
    </comment>
    <comment ref="B46" authorId="0" shapeId="0">
      <text>
        <r>
          <rPr>
            <sz val="8"/>
            <color indexed="81"/>
            <rFont val="Tahoma"/>
            <family val="2"/>
          </rPr>
          <t>ID of possible reference documents. Any ID can be used, suggestion is [Int1], [Int2] etc. for internal references and [Ext1], [Ext2] etc. for external references</t>
        </r>
      </text>
    </comment>
    <comment ref="E46" authorId="0" shapeId="0">
      <text>
        <r>
          <rPr>
            <sz val="8"/>
            <color indexed="81"/>
            <rFont val="Tahoma"/>
            <family val="2"/>
          </rPr>
          <t>Title of reference documents.</t>
        </r>
      </text>
    </comment>
    <comment ref="Y46" authorId="0" shapeId="0">
      <text>
        <r>
          <rPr>
            <sz val="8"/>
            <color indexed="81"/>
            <rFont val="Tahoma"/>
            <family val="2"/>
          </rPr>
          <t>Reference number, e.g. E123456 and revision of the reference.</t>
        </r>
      </text>
    </comment>
  </commentList>
</comments>
</file>

<file path=xl/comments2.xml><?xml version="1.0" encoding="utf-8"?>
<comments xmlns="http://schemas.openxmlformats.org/spreadsheetml/2006/main">
  <authors>
    <author>Author</author>
    <author>Francine Chambin</author>
    <author>Crina Baciu</author>
  </authors>
  <commentList>
    <comment ref="C2" authorId="0" shapeId="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text>
        <r>
          <rPr>
            <b/>
            <sz val="9"/>
            <color indexed="81"/>
            <rFont val="Tahoma"/>
            <family val="2"/>
          </rPr>
          <t>Test Classification automatically filled (extracted from SW_IT_xxx sheet)
See General Info</t>
        </r>
      </text>
    </comment>
    <comment ref="F2" authorId="1" shapeId="0">
      <text>
        <r>
          <rPr>
            <b/>
            <sz val="9"/>
            <color indexed="81"/>
            <rFont val="Tahoma"/>
            <family val="2"/>
          </rPr>
          <t>Automatically filled
(extracted from SW_IT_xxx sheet)</t>
        </r>
      </text>
    </comment>
    <comment ref="G2" authorId="1" shapeId="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text>
        <r>
          <rPr>
            <b/>
            <sz val="9"/>
            <color indexed="81"/>
            <rFont val="Tahoma"/>
            <family val="2"/>
          </rPr>
          <t xml:space="preserve">To be filled manually </t>
        </r>
        <r>
          <rPr>
            <sz val="9"/>
            <color indexed="81"/>
            <rFont val="Tahoma"/>
            <family val="2"/>
          </rPr>
          <t xml:space="preserve">
Write initials of the tester. </t>
        </r>
      </text>
    </comment>
    <comment ref="M2" authorId="2" shapeId="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2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<sst xmlns="http://schemas.openxmlformats.org/spreadsheetml/2006/main" count="1402" uniqueCount="331">
  <si>
    <t>Revision</t>
  </si>
  <si>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</si>
  <si>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</si>
  <si>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</si>
  <si>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</si>
  <si>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</si>
  <si>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</si>
  <si>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</si>
  <si>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</si>
  <si>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</si>
  <si>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</si>
  <si>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</si>
  <si>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</si>
  <si>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</si>
  <si>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</si>
  <si>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</si>
  <si>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</si>
  <si>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</si>
  <si>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</si>
  <si>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</si>
  <si>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</si>
  <si>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</si>
  <si>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</si>
  <si>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</si>
  <si>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</si>
  <si>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</si>
  <si>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</si>
  <si>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</si>
  <si>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</si>
  <si>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</si>
  <si>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</si>
  <si>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</si>
  <si>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</si>
  <si>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</si>
  <si>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</si>
  <si>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</si>
  <si>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</si>
  <si>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</si>
  <si>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</si>
  <si>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</si>
  <si>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</si>
  <si>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</si>
  <si>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</si>
  <si>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</si>
  <si>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</si>
  <si>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</si>
  <si>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</si>
  <si>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</si>
  <si>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</si>
  <si>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</si>
  <si>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</si>
  <si>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</si>
  <si>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</si>
  <si>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</si>
  <si>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</si>
  <si>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</si>
  <si>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</si>
  <si>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</si>
  <si>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</si>
  <si>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</si>
  <si>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</si>
  <si>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</si>
  <si>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</si>
  <si>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</si>
  <si>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</si>
  <si>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</si>
  <si>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</si>
  <si>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</si>
  <si>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</si>
  <si>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</si>
  <si>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</si>
  <si>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</si>
  <si>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Comment</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</si>
  <si>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</si>
  <si>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</si>
  <si>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</si>
  <si>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</si>
  <si>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</si>
  <si>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</si>
  <si>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</si>
  <si>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</si>
  <si>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</si>
  <si>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</si>
  <si>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</si>
  <si>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</si>
  <si>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</si>
  <si>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</si>
  <si>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</si>
  <si>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</si>
  <si>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</si>
  <si>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</si>
  <si>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</si>
  <si>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</si>
  <si>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</si>
  <si>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</si>
  <si>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</si>
  <si>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</si>
  <si>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</si>
  <si>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</si>
  <si>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</si>
  <si>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</si>
  <si>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</si>
  <si>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</si>
  <si>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</si>
  <si>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</si>
  <si>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</si>
  <si>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</si>
  <si>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</si>
  <si>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</si>
  <si>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</si>
  <si>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</si>
  <si>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</si>
  <si>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</si>
  <si>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</si>
  <si>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</si>
  <si>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</si>
  <si>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</si>
  <si>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This sheet helps to fill up the differents tabs of the template.</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</si>
  <si>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</si>
  <si>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</si>
  <si>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</si>
  <si>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</si>
  <si>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</si>
  <si>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</si>
  <si>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</si>
  <si>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</si>
  <si>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Test for No Regression</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</si>
  <si>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</si>
  <si>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C. Sauvage, S. Flechelle, T. Demirel, S. Claveau, F. Gilbert, H. Egnifi, A. LeBeherec</t>
  </si>
  <si>
    <t>C. Sauvage, S. Flechelle, T. Demirel, S. Claveau, F. Gilbert, H. Egnifi, A. LeBeherec, E. Mariniuc, A. Teban, V. Rus-Staroste</t>
  </si>
  <si>
    <t>E. Mariniuc, A. Teban, V. Rus-Staroste</t>
  </si>
  <si>
    <t xml:space="preserve">S. Delcloy, K. Mohrath, X. Christmann, Y. Erb, P. Merrien, J.M. Lambert </t>
  </si>
  <si>
    <t>E1355904</t>
  </si>
  <si>
    <t>124479 AHO GPM EL EL ECU PP LOW COST</t>
  </si>
  <si>
    <t>SW04TEM001</t>
  </si>
  <si>
    <t>000</t>
  </si>
  <si>
    <t>001</t>
  </si>
  <si>
    <t>Draft</t>
  </si>
  <si>
    <t>SWArchitectureGlobalIntegrationTests - SW Scheduling</t>
  </si>
  <si>
    <t>SwD:</t>
  </si>
  <si>
    <t xml:space="preserve">STL: C. Redon
</t>
  </si>
  <si>
    <t>DL: S. Delcloy</t>
  </si>
  <si>
    <t>Nominal</t>
  </si>
  <si>
    <t>Ok</t>
  </si>
  <si>
    <t>Not run</t>
  </si>
  <si>
    <t>Step 10</t>
  </si>
  <si>
    <t>Step 11</t>
  </si>
  <si>
    <t>Step 12</t>
  </si>
  <si>
    <t>Step 13</t>
  </si>
  <si>
    <t>Step 14</t>
  </si>
  <si>
    <t>Step 15</t>
  </si>
  <si>
    <t>Step 16</t>
  </si>
  <si>
    <t>Step 17</t>
  </si>
  <si>
    <t>Step 18</t>
  </si>
  <si>
    <t>To be checked if specified somewhere.</t>
  </si>
  <si>
    <t>Step 19</t>
  </si>
  <si>
    <t>Step 20</t>
  </si>
  <si>
    <t>Step 21</t>
  </si>
  <si>
    <t>Step 22</t>
  </si>
  <si>
    <t>Step 23</t>
  </si>
  <si>
    <t>Step 24</t>
  </si>
  <si>
    <t>Step 25</t>
  </si>
  <si>
    <t>Step 26</t>
  </si>
  <si>
    <t>Step 27</t>
  </si>
  <si>
    <t>Step 28</t>
  </si>
  <si>
    <t>Step 29</t>
  </si>
  <si>
    <t>The goal of this test is to cover SYS_SF01 Req whithout traceability when test can not be perfomed.</t>
  </si>
  <si>
    <t>SYS_SF01 Uncovered Req Review for traceability - OK result</t>
  </si>
  <si>
    <t>SYS_SF01 Uncovered Req Review for traceability - TBD result</t>
  </si>
  <si>
    <t>SYS_SF02 Uncovered Req Review for traceability - OK result</t>
  </si>
  <si>
    <t>The goal of this test is to cover SYS_SF02 Req whithout traceability when test can not be perfomed.</t>
  </si>
  <si>
    <t>SYS_SF02 Uncovered Req Review for traceability - TBD result</t>
  </si>
  <si>
    <t>SYS_SF03 Uncovered Req Review for traceability - OK result</t>
  </si>
  <si>
    <t>The goal of this test is to cover SYS_SF03 Req whithout traceability when test can not be perfomed.</t>
  </si>
  <si>
    <t>SYS_SF03 Uncovered Req Review for traceability - TBD result</t>
  </si>
  <si>
    <t>SYS_SF04 Uncovered Req Review for traceability - OK Result</t>
  </si>
  <si>
    <t>The goal of this test is to cover SYS_SF04 Req whithout traceability when test can not be perfomed.</t>
  </si>
  <si>
    <t>SYS_SF05 Uncovered Req Review for traceability - OK result</t>
  </si>
  <si>
    <t>The goal of this test is to cover SYS_SF05 Req whithout traceability when test can not be perfomed.</t>
  </si>
  <si>
    <t>SYS_SF05 Uncovered Req Review for traceability - TBD result</t>
  </si>
  <si>
    <t>SYS_SF06 Uncovered Req Review for traceability - OK result</t>
  </si>
  <si>
    <t>The goal of this test is to cover SYS_SF06 Req whithout traceability when test can not be perfomed.</t>
  </si>
  <si>
    <t>SYS_SF06 Uncovered Req Review for traceability - TBD result</t>
  </si>
  <si>
    <t>SYS_SF07 Uncovered Req Review for traceability - OK result</t>
  </si>
  <si>
    <t>The goal of this test is to cover SYS_SF07 Req whithout traceability when test can not be perfomed.</t>
  </si>
  <si>
    <t>SYS_SF07 Uncovered Req Review for traceability - TBD result</t>
  </si>
  <si>
    <t>The goal of this test is to cover SYS_SF08 Req whithout traceability when test can not be perfomed.</t>
  </si>
  <si>
    <t>SYS_SF08 Uncovered Req Review for traceability - OK result</t>
  </si>
  <si>
    <t>SYS_SF08 Uncovered Req Review for traceability - TBD result</t>
  </si>
  <si>
    <t>SYS_SF09 Uncovered Req Review for traceability - OK result</t>
  </si>
  <si>
    <t>The goal of this test is to cover SYS_SF09 Req whithout traceability when test can not be perfomed.</t>
  </si>
  <si>
    <t>SYS_SF09 Uncovered Req Review for traceability - TBD result</t>
  </si>
  <si>
    <t>The goal of this test is to cover SYS_SF10 Req whithout traceability when test can not be perfomed.</t>
  </si>
  <si>
    <t>SYS_SF10 Uncovered Req Review for traceability - OK result</t>
  </si>
  <si>
    <t>SYS_SF10 Uncovered Req Review for traceability - TBD result</t>
  </si>
  <si>
    <t>SYS_SF11 Uncovered Req Review for traceability - OK result</t>
  </si>
  <si>
    <t>The goal of this test is to cover SYS_SF11 Req whithout traceability when test can not be perfomed.</t>
  </si>
  <si>
    <t>SYS_SF11 Uncovered Req Review for traceability - TBD result</t>
  </si>
  <si>
    <t>SYS_SF12 Uncovered Req Review for traceability - OK result</t>
  </si>
  <si>
    <t>The goal of this test is to cover SYS_SF12 Req whithout traceability when test can not be perfomed.</t>
  </si>
  <si>
    <t>SYS_SF12 Uncovered Req Review for traceability - TBD result</t>
  </si>
  <si>
    <t>SYS_Review_SF01_OK</t>
  </si>
  <si>
    <t>SYS_Review_SF02_TBD</t>
  </si>
  <si>
    <t>SYS_Review_SF02_OK</t>
  </si>
  <si>
    <t>SYS_Review_SF03_OK</t>
  </si>
  <si>
    <t>SYS_Review_SF04_OK</t>
  </si>
  <si>
    <t>SYS_Review_SF06_TBD</t>
  </si>
  <si>
    <t>SYS_Review_SF07_OK</t>
  </si>
  <si>
    <t>SYS_Review_SF07_TBD</t>
  </si>
  <si>
    <t>SYS_Review_SF08_OK</t>
  </si>
  <si>
    <t>SYS_Review_SF01_TBDorNOK</t>
  </si>
  <si>
    <r>
      <rPr>
        <b/>
        <u/>
        <sz val="10"/>
        <rFont val="Arial"/>
        <family val="2"/>
      </rPr>
      <t>SYS_SF01_156:</t>
    </r>
    <r>
      <rPr>
        <sz val="10"/>
        <rFont val="Arial"/>
        <family val="2"/>
      </rPr>
      <t xml:space="preserve">
IF ECU PP is in ECU_STARTUP State
 AND
IF Belt movement wake-up condition is CONFIRMED
THEN ECU PP shall switch to ECU_ALIVE State.</t>
    </r>
  </si>
  <si>
    <r>
      <rPr>
        <b/>
        <u/>
        <sz val="10"/>
        <rFont val="Arial"/>
        <family val="2"/>
      </rPr>
      <t>SYS_SF01_104:</t>
    </r>
    <r>
      <rPr>
        <sz val="10"/>
        <rFont val="Arial"/>
        <family val="2"/>
      </rPr>
      <t xml:space="preserve">
IF ECU PP confirms the belt movement detection 
Then the wake-up condition is CONFIRMED</t>
    </r>
  </si>
  <si>
    <t>Nok</t>
  </si>
  <si>
    <t>Not Yet implemented</t>
  </si>
  <si>
    <r>
      <rPr>
        <b/>
        <u/>
        <sz val="10"/>
        <rFont val="Arial"/>
        <family val="2"/>
      </rPr>
      <t>SYS_SF01_107:</t>
    </r>
    <r>
      <rPr>
        <sz val="10"/>
        <rFont val="Arial"/>
        <family val="2"/>
      </rPr>
      <t xml:space="preserve">
IF ECU PP is in ECU_STARTUP State
 AND
IF ALL of the following wake-up condition are NOT CONFIRMED, i.e:
NOT Confirmed Network Management wake-up
NOT Confirmed Wake-up wire
NOT Confirmed Belt movement wake-up
NO CAN Diagnostic request received
THEN ECU PP shall switch to ECU_LOW_POWER State.</t>
    </r>
  </si>
  <si>
    <r>
      <t xml:space="preserve">Not specified directly at DES level
</t>
    </r>
    <r>
      <rPr>
        <b/>
        <u/>
        <sz val="10"/>
        <rFont val="Arial"/>
        <family val="2"/>
      </rPr>
      <t>Need to be adde at DES Level.</t>
    </r>
  </si>
  <si>
    <r>
      <rPr>
        <b/>
        <u/>
        <sz val="10"/>
        <rFont val="Arial"/>
        <family val="2"/>
      </rPr>
      <t>SYS_SF01_109:</t>
    </r>
    <r>
      <rPr>
        <sz val="10"/>
        <rFont val="Arial"/>
        <family val="2"/>
      </rPr>
      <t xml:space="preserve">
IF SBE ECU does not detect valid Network Management activity on the communication bus: no NM valid frame received during PARAM_GO_TO_LOW_POWER_TIMER timer
Then this wake-up condition is NOT CONFIRMED</t>
    </r>
  </si>
  <si>
    <r>
      <rPr>
        <b/>
        <u/>
        <sz val="10"/>
        <rFont val="Arial"/>
        <family val="2"/>
      </rPr>
      <t>SYS_SF01_111:</t>
    </r>
    <r>
      <rPr>
        <sz val="10"/>
        <rFont val="Arial"/>
        <family val="2"/>
      </rPr>
      <t xml:space="preserve">
IF SBE ECU does not detect a valid AND confirmed wired wake-up signal on a dedicated peripheral line during PARAM_GO_TO_LOW_POWER_TIMER timer
Then this wake-up condition is NOT CONFIRMED</t>
    </r>
  </si>
  <si>
    <r>
      <rPr>
        <b/>
        <u/>
        <sz val="10"/>
        <rFont val="Arial"/>
        <family val="2"/>
      </rPr>
      <t>SYS_SF01_114:</t>
    </r>
    <r>
      <rPr>
        <sz val="10"/>
        <rFont val="Arial"/>
        <family val="2"/>
      </rPr>
      <t xml:space="preserve">
IF ECU PP does not detect a valid belt movement during PARAM_GO_TO_LOW_POWER_TIMER timer 
Then this wake-up condition is NOT CONFIRMED</t>
    </r>
  </si>
  <si>
    <r>
      <rPr>
        <b/>
        <u/>
        <sz val="10"/>
        <rFont val="Arial"/>
        <family val="2"/>
      </rPr>
      <t>SYS_SF01_132:</t>
    </r>
    <r>
      <rPr>
        <sz val="10"/>
        <rFont val="Arial"/>
        <family val="2"/>
      </rPr>
      <t xml:space="preserve">
IF SBE ECU does not detect valid CAN Diagnostic frame activity on the communication bus : no valid CAN diagnostic frame received in functional diffusion or physical diffusion, during PARAM_GO_TO_LOW_POWER_TIMER timer
Then this wake-up condition is NOT CONFIRMED</t>
    </r>
  </si>
  <si>
    <r>
      <rPr>
        <b/>
        <u/>
        <sz val="10"/>
        <rFont val="Arial"/>
        <family val="2"/>
      </rPr>
      <t>SYS_SF01_137:</t>
    </r>
    <r>
      <rPr>
        <sz val="10"/>
        <rFont val="Arial"/>
        <family val="2"/>
      </rPr>
      <t xml:space="preserve">
IF SBE ECU is in ECU_STARTUP 
  AND 
IF Power supply voltage falls under PARAM_POWER_MINIMUM_THRS, SBE ECU is not properly supplied.
THEN SBE_ECU shall switch to ECU_OFF State.</t>
    </r>
  </si>
  <si>
    <r>
      <rPr>
        <b/>
        <u/>
        <sz val="10"/>
        <rFont val="Arial"/>
        <family val="2"/>
      </rPr>
      <t>SYS_SF01_153:</t>
    </r>
    <r>
      <rPr>
        <sz val="10"/>
        <rFont val="Arial"/>
        <family val="2"/>
      </rPr>
      <t xml:space="preserve">
Other transitions from ECU_STARTUP are not allowed.</t>
    </r>
  </si>
  <si>
    <r>
      <rPr>
        <b/>
        <u/>
        <sz val="10"/>
        <rFont val="Arial"/>
        <family val="2"/>
      </rPr>
      <t>SYS_SF01_56:</t>
    </r>
    <r>
      <rPr>
        <sz val="10"/>
        <rFont val="Arial"/>
        <family val="2"/>
      </rPr>
      <t xml:space="preserve">
In ECU_ALIVE State, SBE ECU is supplied.</t>
    </r>
  </si>
  <si>
    <t>Implicitly OK</t>
  </si>
  <si>
    <r>
      <rPr>
        <b/>
        <u/>
        <sz val="10"/>
        <rFont val="Arial"/>
        <family val="2"/>
      </rPr>
      <t>SYS_SF01_65:</t>
    </r>
    <r>
      <rPr>
        <sz val="10"/>
        <rFont val="Arial"/>
        <family val="2"/>
      </rPr>
      <t xml:space="preserve">
In ECU_ALIVE State, SBE ECU can execute Main Functions (MFx).</t>
    </r>
  </si>
  <si>
    <r>
      <rPr>
        <b/>
        <u/>
        <sz val="10"/>
        <rFont val="Arial"/>
        <family val="2"/>
      </rPr>
      <t>SYS_SF01_125:</t>
    </r>
    <r>
      <rPr>
        <sz val="10"/>
        <rFont val="Arial"/>
        <family val="2"/>
      </rPr>
      <t xml:space="preserve">
___this condition is optional ___
IF SBE ECU is in ECU_ALIVE State 
  AND 
A Network Management frame with a SLEEP condition is received
THEN SBE_ECU shall switch to ECU_PREPARE_LOW_POWER State.</t>
    </r>
  </si>
  <si>
    <r>
      <rPr>
        <b/>
        <u/>
        <sz val="10"/>
        <rFont val="Arial"/>
        <family val="2"/>
      </rPr>
      <t>SYS_SF01_139:</t>
    </r>
    <r>
      <rPr>
        <sz val="10"/>
        <rFont val="Arial"/>
        <family val="2"/>
      </rPr>
      <t xml:space="preserve">
IF SBE ECU is in ECU_ALIVE 
  AND 
IF Power supply voltage falls under PARAM_POWER_MINIMUM_THRS, SBE ECU is not properly supplied.
THEN SBE_ECU shall switch to ECU_OFF State.</t>
    </r>
  </si>
  <si>
    <r>
      <rPr>
        <b/>
        <u/>
        <sz val="10"/>
        <rFont val="Arial"/>
        <family val="2"/>
      </rPr>
      <t>SYS_SF01_151:</t>
    </r>
    <r>
      <rPr>
        <sz val="10"/>
        <rFont val="Arial"/>
        <family val="2"/>
      </rPr>
      <t xml:space="preserve">
Other transitions from ECU_ALIVE are not allowed.</t>
    </r>
  </si>
  <si>
    <t>Cannot be track since Req 139 is not define at DES level.</t>
  </si>
  <si>
    <r>
      <rPr>
        <b/>
        <u/>
        <sz val="10"/>
        <rFont val="Arial"/>
        <family val="2"/>
      </rPr>
      <t>SYS_SF01_75:</t>
    </r>
    <r>
      <rPr>
        <sz val="10"/>
        <rFont val="Arial"/>
        <family val="2"/>
      </rPr>
      <t xml:space="preserve">
In ECU_PREPARE_LOW_POWER State, SBE ECU is supplied.</t>
    </r>
  </si>
  <si>
    <r>
      <rPr>
        <b/>
        <u/>
        <sz val="10"/>
        <rFont val="Arial"/>
        <family val="2"/>
      </rPr>
      <t>SYS_SF01_76:</t>
    </r>
    <r>
      <rPr>
        <sz val="10"/>
        <rFont val="Arial"/>
        <family val="2"/>
      </rPr>
      <t xml:space="preserve">
In ECU_PREPARE_LOW_POWER State, SBE ECU stops SW activities and prepare HW for transition to ECU_LOW_POWER State.</t>
    </r>
  </si>
  <si>
    <r>
      <rPr>
        <b/>
        <u/>
        <sz val="10"/>
        <rFont val="Arial"/>
        <family val="2"/>
      </rPr>
      <t>SYS_SF01_57:</t>
    </r>
    <r>
      <rPr>
        <sz val="10"/>
        <rFont val="Arial"/>
        <family val="2"/>
      </rPr>
      <t xml:space="preserve">
In ECU_PREPARE_LOW_POWER State, SBE ECU shall memorize all needed information before entering ECU_LOW_POWER State.</t>
    </r>
  </si>
  <si>
    <r>
      <rPr>
        <b/>
        <u/>
        <sz val="10"/>
        <rFont val="Arial"/>
        <family val="2"/>
      </rPr>
      <t>SYS_SF01_79:</t>
    </r>
    <r>
      <rPr>
        <sz val="10"/>
        <rFont val="Arial"/>
        <family val="2"/>
      </rPr>
      <t xml:space="preserve">
In ECU_PREPARE_LOW_POWER State, SBE ECU main functions are not active.</t>
    </r>
  </si>
  <si>
    <r>
      <rPr>
        <b/>
        <u/>
        <sz val="10"/>
        <rFont val="Arial"/>
        <family val="2"/>
      </rPr>
      <t>SYS_SF01_143:</t>
    </r>
    <r>
      <rPr>
        <sz val="10"/>
        <rFont val="Arial"/>
        <family val="2"/>
      </rPr>
      <t xml:space="preserve">
IF SBE ECU is in ECU_PREPARE_LOW_POWER 
  AND 
IF Power supply voltage falls under PARAM_POWER_MINIMUM_THRS, SBE ECU is not properly supplied.
THEN SBE_ECU shall switch to ECU_OFF State.</t>
    </r>
  </si>
  <si>
    <r>
      <rPr>
        <b/>
        <u/>
        <sz val="10"/>
        <rFont val="Arial"/>
        <family val="2"/>
      </rPr>
      <t>SYS_SF01_147:</t>
    </r>
    <r>
      <rPr>
        <sz val="10"/>
        <rFont val="Arial"/>
        <family val="2"/>
      </rPr>
      <t xml:space="preserve">
Other transitions from ECU_PREPARE_LOW_POWER are not allowed.</t>
    </r>
  </si>
  <si>
    <t>Cannot be track since Req 143 is not define at DES level.</t>
  </si>
  <si>
    <r>
      <rPr>
        <b/>
        <u/>
        <sz val="10"/>
        <rFont val="Arial"/>
        <family val="2"/>
      </rPr>
      <t>SYS_SF01_126:</t>
    </r>
    <r>
      <rPr>
        <sz val="10"/>
        <rFont val="Arial"/>
        <family val="2"/>
      </rPr>
      <t xml:space="preserve">
In ECU_LOW_POWER State, SBE ECU is supplied.</t>
    </r>
  </si>
  <si>
    <t xml:space="preserve">SYS_SF01_56, SYS_SF01_65, SYS_SF01_75, SYS_SF01_126, </t>
  </si>
  <si>
    <r>
      <rPr>
        <b/>
        <u/>
        <sz val="10"/>
        <rFont val="Arial"/>
        <family val="2"/>
      </rPr>
      <t>SYS_SF01_49:</t>
    </r>
    <r>
      <rPr>
        <sz val="10"/>
        <rFont val="Arial"/>
        <family val="2"/>
      </rPr>
      <t xml:space="preserve">
In ECU_LOW_POWER State, SBE ECU consumption on power supply line shall be reduced as much as possible (see C07 for details).  All peripherals not needed for wake-up event detection shall be stopped.</t>
    </r>
  </si>
  <si>
    <r>
      <rPr>
        <b/>
        <u/>
        <sz val="10"/>
        <rFont val="Arial"/>
        <family val="2"/>
      </rPr>
      <t>SYS_SF01_83:</t>
    </r>
    <r>
      <rPr>
        <sz val="10"/>
        <rFont val="Arial"/>
        <family val="2"/>
      </rPr>
      <t xml:space="preserve">
In ECU_LOW_POWER State, SBE ECU main functions are not active.</t>
    </r>
  </si>
  <si>
    <r>
      <rPr>
        <b/>
        <u/>
        <sz val="10"/>
        <rFont val="Arial"/>
        <family val="2"/>
      </rPr>
      <t>SYS_SF01_16:</t>
    </r>
    <r>
      <rPr>
        <sz val="10"/>
        <rFont val="Arial"/>
        <family val="2"/>
      </rPr>
      <t xml:space="preserve">
IF SBE ECU detects a valid wake-up signal on a dedicated peripheral line 
Then wake-up condition is active</t>
    </r>
  </si>
  <si>
    <r>
      <rPr>
        <b/>
        <u/>
        <sz val="10"/>
        <rFont val="Arial"/>
        <family val="2"/>
      </rPr>
      <t>SYS_SF01_17:</t>
    </r>
    <r>
      <rPr>
        <sz val="10"/>
        <rFont val="Arial"/>
        <family val="2"/>
      </rPr>
      <t xml:space="preserve">
IF ECU PP detects a valid belt movement 
Then wake-up condition is active</t>
    </r>
  </si>
  <si>
    <r>
      <rPr>
        <b/>
        <u/>
        <sz val="10"/>
        <rFont val="Arial"/>
        <family val="2"/>
      </rPr>
      <t>SYS_SF01_145:</t>
    </r>
    <r>
      <rPr>
        <sz val="10"/>
        <rFont val="Arial"/>
        <family val="2"/>
      </rPr>
      <t xml:space="preserve">
IF SBE ECU is in ECU_LOW_POWER 
  AND 
IF Power supply voltage falls under PARAM_POWER_MINIMUM_THRS, SBE ECU is not properly supplied.
THEN SBE_ECU shall switch to ECU_OFF State.</t>
    </r>
  </si>
  <si>
    <r>
      <rPr>
        <b/>
        <u/>
        <sz val="10"/>
        <rFont val="Arial"/>
        <family val="2"/>
      </rPr>
      <t>SYS_SF01_128:</t>
    </r>
    <r>
      <rPr>
        <sz val="10"/>
        <rFont val="Arial"/>
        <family val="2"/>
      </rPr>
      <t xml:space="preserve">
Other transitions from ECU_LOW_POWER are not allowed.</t>
    </r>
  </si>
  <si>
    <t>Cannot be track since Req 145 is not define at DES level.</t>
  </si>
  <si>
    <t>SYS_SF01_156, SYS_SF01_104, SYS_SF01_107, SYS_SF01_109, SYS_SF01_111, SYS_SF01_114, SYS_SF01_132, SYS_SF01_137, SYS_SF01_153, SYS_SF01_125, SYS_SF01_139, SYS_SF01_151, SYS_SF01_76, SYS_SF01_57, SYS_SF01_79, SYS_SF01_143, SYS_SF01_147, SYS_SF01_49, SYS_SF01_83, SYS_SF01_16, SYS_SF01_17, SYS_SF01_128, SYS_SF01_145</t>
  </si>
  <si>
    <r>
      <rPr>
        <b/>
        <u/>
        <sz val="10"/>
        <rFont val="Arial"/>
        <family val="2"/>
      </rPr>
      <t>SYS_SF02_3881:</t>
    </r>
    <r>
      <rPr>
        <sz val="10"/>
        <rFont val="Arial"/>
        <family val="2"/>
      </rPr>
      <t xml:space="preserve">
SBE ECU communicates with the other ECUs of the vehicle using a high-speed CAN interface (500kbps).  </t>
    </r>
  </si>
  <si>
    <r>
      <t xml:space="preserve">Implicitly OK but
</t>
    </r>
    <r>
      <rPr>
        <b/>
        <u/>
        <sz val="10"/>
        <rFont val="Arial"/>
        <family val="2"/>
      </rPr>
      <t xml:space="preserve">Need to be specified at DES Level </t>
    </r>
  </si>
  <si>
    <r>
      <t xml:space="preserve">OK but not defined as DES Level
</t>
    </r>
    <r>
      <rPr>
        <b/>
        <u/>
        <sz val="10"/>
        <rFont val="Arial"/>
        <family val="2"/>
      </rPr>
      <t xml:space="preserve">Need to be specified at DES Level </t>
    </r>
  </si>
  <si>
    <t xml:space="preserve">SYS_SF02_3881, </t>
  </si>
  <si>
    <t xml:space="preserve">SYS_SF02_13553, SYS_SF02_13554, SYS_SF02_13555, SYS_SF02_13556, SYS_SF02_13557, SYS_SF02_13558, </t>
  </si>
  <si>
    <r>
      <t xml:space="preserve">REAR Middle ECU is not defined at DES Level
</t>
    </r>
    <r>
      <rPr>
        <b/>
        <u/>
        <sz val="10"/>
        <rFont val="Arial"/>
        <family val="2"/>
      </rPr>
      <t>Need to be defined &amp; implemented at DES Level (Bucckle Switch info)</t>
    </r>
  </si>
  <si>
    <t>SYS_SF02_13415, SYS_SF02_13416, SYS_SF02_13417, SYS_SF02_13418</t>
  </si>
  <si>
    <t>ECU load activation allowed not define… need tobe clarified at SYS &amp; DES level.</t>
  </si>
  <si>
    <r>
      <rPr>
        <b/>
        <u/>
        <sz val="10"/>
        <rFont val="Arial"/>
        <family val="2"/>
      </rPr>
      <t>SYS_SF03_1999:</t>
    </r>
    <r>
      <rPr>
        <sz val="10"/>
        <rFont val="Arial"/>
        <family val="2"/>
      </rPr>
      <t xml:space="preserve">
NVM Integrity monitoring shall not be done during car cranking procedure.
</t>
    </r>
    <r>
      <rPr>
        <b/>
        <u/>
        <sz val="10"/>
        <rFont val="Arial"/>
        <family val="2"/>
      </rPr>
      <t>SYS_SF03_55:</t>
    </r>
    <r>
      <rPr>
        <sz val="10"/>
        <rFont val="Arial"/>
        <family val="2"/>
      </rPr>
      <t xml:space="preserve">
If car cranking procedure start when NVM Integrity Monitoring already started: 
</t>
    </r>
    <r>
      <rPr>
        <b/>
        <u/>
        <sz val="10"/>
        <rFont val="Arial"/>
        <family val="2"/>
      </rPr>
      <t>SYS_SF03_2006:</t>
    </r>
    <r>
      <rPr>
        <sz val="10"/>
        <rFont val="Arial"/>
        <family val="2"/>
      </rPr>
      <t xml:space="preserve">
Then
NVM Integrity Monitoring shall be aborted 
NVM Integrity Monitoring shall remain inhibited untill cranking procedure is ended
An encodeable time (PARAM_NVM_AFTER_CRANK) shall be elapsed before enabling and activating NVM Integrity Monitoring again.</t>
    </r>
  </si>
  <si>
    <r>
      <rPr>
        <b/>
        <u/>
        <sz val="10"/>
        <rFont val="Arial"/>
        <family val="2"/>
      </rPr>
      <t>SYS_SF03_2000:</t>
    </r>
    <r>
      <rPr>
        <sz val="10"/>
        <rFont val="Arial"/>
        <family val="2"/>
      </rPr>
      <t xml:space="preserve">
NVM Integrity monitoring shall be aborted IF a power-down situation occurs.
</t>
    </r>
    <r>
      <rPr>
        <b/>
        <u/>
        <sz val="10"/>
        <rFont val="Arial"/>
        <family val="2"/>
      </rPr>
      <t>SYS_SF03_56:</t>
    </r>
    <r>
      <rPr>
        <sz val="10"/>
        <rFont val="Arial"/>
        <family val="2"/>
      </rPr>
      <t xml:space="preserve">
When aborted by a power down situation, NVM Integrity monitoring shall remain deactivated until the next SBE ECU wake-up.
</t>
    </r>
    <r>
      <rPr>
        <b/>
        <u/>
        <sz val="10"/>
        <rFont val="Arial"/>
        <family val="2"/>
      </rPr>
      <t/>
    </r>
  </si>
  <si>
    <r>
      <t xml:space="preserve">These 3 Req define Pre-condition of NVM integrity test regarding </t>
    </r>
    <r>
      <rPr>
        <b/>
        <u/>
        <sz val="10"/>
        <rFont val="Arial"/>
        <family val="2"/>
      </rPr>
      <t>cranking….</t>
    </r>
    <r>
      <rPr>
        <sz val="10"/>
        <rFont val="Arial"/>
        <family val="2"/>
      </rPr>
      <t xml:space="preserve"> Not sure it's really expected
</t>
    </r>
    <r>
      <rPr>
        <b/>
        <u/>
        <sz val="10"/>
        <rFont val="Arial"/>
        <family val="2"/>
      </rPr>
      <t>SYS_REQ to be analyzed and updated in obsolete if not required or track at DES level if expected</t>
    </r>
  </si>
  <si>
    <r>
      <t xml:space="preserve">These 2 Req define Pre-condition of NVM integrity test regarding </t>
    </r>
    <r>
      <rPr>
        <b/>
        <u/>
        <sz val="10"/>
        <rFont val="Arial"/>
        <family val="2"/>
      </rPr>
      <t>Power Down,,,</t>
    </r>
    <r>
      <rPr>
        <sz val="10"/>
        <rFont val="Arial"/>
        <family val="2"/>
      </rPr>
      <t xml:space="preserve"> Not sure it's really expected
</t>
    </r>
    <r>
      <rPr>
        <b/>
        <u/>
        <sz val="10"/>
        <rFont val="Arial"/>
        <family val="2"/>
      </rPr>
      <t>SYS_REQ to be analyzed and updated in obsolete if not required or track at DES level if expected</t>
    </r>
  </si>
  <si>
    <r>
      <t xml:space="preserve">These 3 Req define Pre-condition of Flash Memory test regarding </t>
    </r>
    <r>
      <rPr>
        <b/>
        <u/>
        <sz val="10"/>
        <rFont val="Arial"/>
        <family val="2"/>
      </rPr>
      <t>cranking….</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</si>
  <si>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SYS_SF03_2016:</t>
    </r>
    <r>
      <rPr>
        <sz val="10"/>
        <rFont val="Arial"/>
        <family val="2"/>
      </rPr>
      <t xml:space="preserve">
Flash Memory Monitoring shall not be done during car cranking procedure.
</t>
    </r>
    <r>
      <rPr>
        <b/>
        <u/>
        <sz val="10"/>
        <rFont val="Arial"/>
        <family val="2"/>
      </rPr>
      <t>SYS_SF03_2017:</t>
    </r>
    <r>
      <rPr>
        <sz val="10"/>
        <rFont val="Arial"/>
        <family val="2"/>
      </rPr>
      <t xml:space="preserve">
If car cranking procedure start when Flash Memory Monitoring already started: 
</t>
    </r>
    <r>
      <rPr>
        <b/>
        <u/>
        <sz val="10"/>
        <rFont val="Arial"/>
        <family val="2"/>
      </rPr>
      <t>SYS_SF03_2018:</t>
    </r>
    <r>
      <rPr>
        <sz val="10"/>
        <rFont val="Arial"/>
        <family val="2"/>
      </rPr>
      <t xml:space="preserve">
Then
Flash Memory  Monitoring shall be aborted 
Flash Memory  Monitoring shall remain inhibited untill cranking procedure is ended
An encodeable time (PARAM_FLASH_AFTER_CRANK) shall be elapsed before enabling and activating Flash Memory Monitoring again.</t>
    </r>
  </si>
  <si>
    <r>
      <rPr>
        <b/>
        <u/>
        <sz val="10"/>
        <rFont val="Arial"/>
        <family val="2"/>
      </rPr>
      <t>SYS_SF03_2020:</t>
    </r>
    <r>
      <rPr>
        <sz val="10"/>
        <rFont val="Arial"/>
        <family val="2"/>
      </rPr>
      <t xml:space="preserve">
Flash Memory  monitoring shall be aborted IF the ECU shutdown procedure is started.
</t>
    </r>
    <r>
      <rPr>
        <b/>
        <u/>
        <sz val="10"/>
        <rFont val="Arial"/>
        <family val="2"/>
      </rPr>
      <t>SYS_SF03_2021:</t>
    </r>
    <r>
      <rPr>
        <sz val="10"/>
        <rFont val="Arial"/>
        <family val="2"/>
      </rPr>
      <t xml:space="preserve">
When aborted by a ECU shutdown procedure, Flash Memory monitoring shall remain deactivated until the next SBE ECU wake-up.
</t>
    </r>
    <r>
      <rPr>
        <b/>
        <u/>
        <sz val="10"/>
        <rFont val="Arial"/>
        <family val="2"/>
      </rPr>
      <t/>
    </r>
  </si>
  <si>
    <r>
      <rPr>
        <b/>
        <u/>
        <sz val="10"/>
        <rFont val="Arial"/>
        <family val="2"/>
      </rPr>
      <t>SYS_SF03_2184:</t>
    </r>
    <r>
      <rPr>
        <sz val="10"/>
        <rFont val="Arial"/>
        <family val="2"/>
      </rPr>
      <t xml:space="preserve">
ADC Monitoring execution period shall be tunable in a persistent way (non-volatile memory). (PARAM_ADC_MONITORING_PERIOD)
</t>
    </r>
    <r>
      <rPr>
        <b/>
        <u/>
        <sz val="10"/>
        <rFont val="Arial"/>
        <family val="2"/>
      </rPr>
      <t>SYS_SF03_2186:</t>
    </r>
    <r>
      <rPr>
        <sz val="10"/>
        <rFont val="Arial"/>
        <family val="2"/>
      </rPr>
      <t xml:space="preserve">
ADC monitoring shall be aborted IF the ECU shutdown procedure is started.
</t>
    </r>
    <r>
      <rPr>
        <b/>
        <u/>
        <sz val="10"/>
        <rFont val="Arial"/>
        <family val="2"/>
      </rPr>
      <t xml:space="preserve">SYS_SF03_2187:
</t>
    </r>
    <r>
      <rPr>
        <sz val="10"/>
        <rFont val="Arial"/>
        <family val="2"/>
      </rPr>
      <t xml:space="preserve">When aborted by a ECU shutdown procedure, ADC monitoring shall remain deactivated until the next SBE ECU wake-up.
</t>
    </r>
    <r>
      <rPr>
        <b/>
        <u/>
        <sz val="10"/>
        <rFont val="Arial"/>
        <family val="2"/>
      </rPr>
      <t/>
    </r>
  </si>
  <si>
    <r>
      <t xml:space="preserve">Not defined at DES Level
</t>
    </r>
    <r>
      <rPr>
        <b/>
        <u/>
        <sz val="10"/>
        <rFont val="Arial"/>
        <family val="2"/>
      </rPr>
      <t>Need to be specified at DES level!</t>
    </r>
  </si>
  <si>
    <t>SYS_Review_SF03_TBDorNOK</t>
  </si>
  <si>
    <r>
      <t xml:space="preserve">These 2 Req define Pre-condition of Flash Memory test regarding </t>
    </r>
    <r>
      <rPr>
        <b/>
        <u/>
        <sz val="10"/>
        <rFont val="Arial"/>
        <family val="2"/>
      </rPr>
      <t>Power Down,,,</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</si>
  <si>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SYS_SF03_2184:</t>
    </r>
    <r>
      <rPr>
        <sz val="10"/>
        <rFont val="Arial"/>
        <family val="2"/>
      </rPr>
      <t xml:space="preserve">
ADC Monitoring execution period shall be tunable in a persistent way (non-volatile memory). (PARAM_ADC_MONITORING_PERIOD)
</t>
    </r>
    <r>
      <rPr>
        <sz val="10"/>
        <rFont val="Arial"/>
        <family val="2"/>
      </rPr>
      <t xml:space="preserve">
</t>
    </r>
    <r>
      <rPr>
        <b/>
        <u/>
        <sz val="10"/>
        <rFont val="Arial"/>
        <family val="2"/>
      </rPr>
      <t/>
    </r>
  </si>
  <si>
    <r>
      <rPr>
        <b/>
        <u/>
        <sz val="10"/>
        <rFont val="Arial"/>
        <family val="2"/>
      </rPr>
      <t xml:space="preserve">SYS_SF06_30:
</t>
    </r>
    <r>
      <rPr>
        <sz val="8"/>
        <rFont val="Arial"/>
        <family val="2"/>
      </rPr>
      <t>The AEE traceability number is written by AUTOLIV at ECU In-Circuit Tester, i.e. via direct memory programming.
Its ASCII format can be described as follows:
"YDDDFFLPPPB "   (note: there is a space at the end of the number).
Y  =&gt; manufacturing year, A == 2000, B == 2001...
DDD  =&gt; manfuacting day of the given year
FF =&gt; ECU family (freely defined by AEE/R)</t>
    </r>
    <r>
      <rPr>
        <sz val="10"/>
        <rFont val="Arial"/>
        <family val="2"/>
      </rPr>
      <t xml:space="preserve">
L =&gt; line identifier
PPP =&gt; panel number in the given day
B =&gt; board number of given panel</t>
    </r>
  </si>
  <si>
    <t>Shall be Ok but need to be checked during PV for each project.</t>
  </si>
  <si>
    <r>
      <rPr>
        <b/>
        <u/>
        <sz val="10"/>
        <rFont val="Arial"/>
        <family val="2"/>
      </rPr>
      <t xml:space="preserve">SYS_SF06_37:
</t>
    </r>
    <r>
      <rPr>
        <sz val="8"/>
        <rFont val="Arial"/>
        <family val="2"/>
      </rPr>
      <t>ECU Log Data.</t>
    </r>
  </si>
  <si>
    <t>Not Yet implemented nor defined at DES level. Scheduled for P30.</t>
  </si>
  <si>
    <r>
      <rPr>
        <b/>
        <u/>
        <sz val="10"/>
        <rFont val="Arial"/>
        <family val="2"/>
      </rPr>
      <t xml:space="preserve">SYS_SF06_41:
</t>
    </r>
    <r>
      <rPr>
        <sz val="8"/>
        <rFont val="Arial"/>
        <family val="2"/>
      </rPr>
      <t>HW components variants (if available for used components).</t>
    </r>
  </si>
  <si>
    <t>Not expected today</t>
  </si>
  <si>
    <t>SYS_SF06_30, SYS_SF06_37, SYS_SF06_41</t>
  </si>
  <si>
    <r>
      <rPr>
        <b/>
        <u/>
        <sz val="10"/>
        <rFont val="Arial"/>
        <family val="2"/>
      </rPr>
      <t xml:space="preserve">SYS_SF07_70:
</t>
    </r>
    <r>
      <rPr>
        <sz val="10"/>
        <rFont val="Arial"/>
        <family val="2"/>
      </rPr>
      <t>The application should not be able to overwrite the Default Motor activation profiles.</t>
    </r>
  </si>
  <si>
    <r>
      <t xml:space="preserve">OK, but not explicit at DES level.
</t>
    </r>
    <r>
      <rPr>
        <b/>
        <u/>
        <sz val="10"/>
        <rFont val="Arial"/>
        <family val="2"/>
      </rPr>
      <t>Need to be clearly defined at DES level</t>
    </r>
  </si>
  <si>
    <r>
      <rPr>
        <b/>
        <u/>
        <sz val="10"/>
        <rFont val="Arial"/>
        <family val="2"/>
      </rPr>
      <t xml:space="preserve">SYS_SF07_64:
</t>
    </r>
    <r>
      <rPr>
        <sz val="10"/>
        <rFont val="Arial"/>
        <family val="2"/>
      </rPr>
      <t>If SBE ECU has not been programmed with Motor activation profile, SBE ECU shall use default hard-coded parameters.</t>
    </r>
  </si>
  <si>
    <r>
      <rPr>
        <b/>
        <u/>
        <sz val="10"/>
        <rFont val="Arial"/>
        <family val="2"/>
      </rPr>
      <t>SYS_SF07_65:</t>
    </r>
    <r>
      <rPr>
        <sz val="10"/>
        <rFont val="Arial"/>
        <family val="2"/>
      </rPr>
      <t xml:space="preserve">
If Motor activation profile parameters are detected as corrupted then SBE ECU shall use default hard-coded parameters.</t>
    </r>
  </si>
  <si>
    <t>Need to be checked how parameters corruption are checked.</t>
  </si>
  <si>
    <t xml:space="preserve">SYS_SF07_65, </t>
  </si>
  <si>
    <t xml:space="preserve">SYS_SF07_70, SYS_SF07_64, </t>
  </si>
  <si>
    <r>
      <rPr>
        <b/>
        <u/>
        <sz val="10"/>
        <rFont val="Arial"/>
        <family val="2"/>
      </rPr>
      <t xml:space="preserve">SYS_SF08_36:
</t>
    </r>
    <r>
      <rPr>
        <sz val="10"/>
        <rFont val="Arial"/>
        <family val="2"/>
      </rPr>
      <t>If no valid Application SW is present, the ECU remains in the Bootloader SW.</t>
    </r>
  </si>
  <si>
    <r>
      <t xml:space="preserve">Not clearly defined at DES level. But functionally OK.
</t>
    </r>
    <r>
      <rPr>
        <b/>
        <u/>
        <sz val="10"/>
        <rFont val="Arial"/>
        <family val="2"/>
      </rPr>
      <t>Need to be added in TF-D.</t>
    </r>
  </si>
  <si>
    <r>
      <rPr>
        <b/>
        <u/>
        <sz val="10"/>
        <rFont val="Arial"/>
        <family val="2"/>
      </rPr>
      <t xml:space="preserve">SYS_SF08_154:
</t>
    </r>
    <r>
      <rPr>
        <sz val="10"/>
        <rFont val="Arial"/>
        <family val="2"/>
      </rPr>
      <t>If the ECU remains in the Bootloader SW without diagnostic activity, it waits for expiration of diagnostic session timeout, then it resets.</t>
    </r>
  </si>
  <si>
    <t>SYS_SF08_36, SYS_SF08_154</t>
  </si>
  <si>
    <r>
      <rPr>
        <b/>
        <u/>
        <sz val="10"/>
        <rFont val="Arial"/>
        <family val="2"/>
      </rPr>
      <t>SYS_SF03_2308:</t>
    </r>
    <r>
      <rPr>
        <sz val="10"/>
        <rFont val="Arial"/>
        <family val="2"/>
      </rPr>
      <t xml:space="preserve">
Half Bridge Activation monitoring shall be aborted IF a power-down situation occurs.
</t>
    </r>
    <r>
      <rPr>
        <b/>
        <u/>
        <sz val="10"/>
        <rFont val="Arial"/>
        <family val="2"/>
      </rPr>
      <t>SYS_SF03_2309:</t>
    </r>
    <r>
      <rPr>
        <sz val="10"/>
        <rFont val="Arial"/>
        <family val="2"/>
      </rPr>
      <t xml:space="preserve">
Half Bridge Activation monitoring shall be aborted IF a power-down situation occurs.
</t>
    </r>
    <r>
      <rPr>
        <b/>
        <u/>
        <sz val="10"/>
        <rFont val="Arial"/>
        <family val="2"/>
      </rPr>
      <t/>
    </r>
  </si>
  <si>
    <r>
      <t xml:space="preserve">These 2 Req define Pre-condition of HB command consistency ATt regarding </t>
    </r>
    <r>
      <rPr>
        <b/>
        <u/>
        <sz val="10"/>
        <rFont val="Arial"/>
        <family val="2"/>
      </rPr>
      <t>Power Down,,,</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</si>
  <si>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SYS_SF03_2321:</t>
    </r>
    <r>
      <rPr>
        <sz val="10"/>
        <rFont val="Arial"/>
        <family val="2"/>
      </rPr>
      <t xml:space="preserve">
HB Thermal Protection monitoring shall be aborted IF a power-down situation occurs.
</t>
    </r>
    <r>
      <rPr>
        <b/>
        <u/>
        <sz val="10"/>
        <rFont val="Arial"/>
        <family val="2"/>
      </rPr>
      <t>SYS_SF03_2322:</t>
    </r>
    <r>
      <rPr>
        <sz val="10"/>
        <rFont val="Arial"/>
        <family val="2"/>
      </rPr>
      <t xml:space="preserve">
When aborted by a power down situation, HBThermal Protection monitoring shall remain deactivated until the next SBE ECU wake-up.
</t>
    </r>
    <r>
      <rPr>
        <b/>
        <u/>
        <sz val="10"/>
        <rFont val="Arial"/>
        <family val="2"/>
      </rPr>
      <t/>
    </r>
  </si>
  <si>
    <r>
      <t xml:space="preserve">These 2 Req define Pre-condition of HB Thermal Protection AT regarding </t>
    </r>
    <r>
      <rPr>
        <b/>
        <u/>
        <sz val="10"/>
        <rFont val="Arial"/>
        <family val="2"/>
      </rPr>
      <t>Power Down,,,</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</si>
  <si>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SYS_SF03_2327:</t>
    </r>
    <r>
      <rPr>
        <sz val="10"/>
        <rFont val="Arial"/>
        <family val="2"/>
      </rPr>
      <t xml:space="preserve">
HB Thermal Protection Monitoring shall be aborted IF the ECU is in Under Voltage situation.
</t>
    </r>
    <r>
      <rPr>
        <b/>
        <u/>
        <sz val="10"/>
        <rFont val="Arial"/>
        <family val="2"/>
      </rPr>
      <t>SYS_SF03_2328:</t>
    </r>
    <r>
      <rPr>
        <sz val="10"/>
        <rFont val="Arial"/>
        <family val="2"/>
      </rPr>
      <t xml:space="preserve">
When aborted by a ECU under voltage situation, HB Thermal Protection monitoring shall remain deactivated until the under voltage is no more present.
</t>
    </r>
    <r>
      <rPr>
        <b/>
        <u/>
        <sz val="10"/>
        <rFont val="Arial"/>
        <family val="2"/>
      </rPr>
      <t/>
    </r>
  </si>
  <si>
    <r>
      <t xml:space="preserve">These 2 Req define Pre-condition of HB Thermal Protection AT regarding </t>
    </r>
    <r>
      <rPr>
        <b/>
        <u/>
        <sz val="10"/>
        <rFont val="Arial"/>
        <family val="2"/>
      </rPr>
      <t>UnderVoltage,,,</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</si>
  <si>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SYS_SF03_2698:</t>
    </r>
    <r>
      <rPr>
        <sz val="10"/>
        <rFont val="Arial"/>
        <family val="2"/>
      </rPr>
      <t xml:space="preserve">
Motor Disconnection Monitoring shall be aborted IF the ECU is in Process Mode.
</t>
    </r>
    <r>
      <rPr>
        <b/>
        <u/>
        <sz val="10"/>
        <rFont val="Arial"/>
        <family val="2"/>
      </rPr>
      <t>SYS_SF03_2699:</t>
    </r>
    <r>
      <rPr>
        <sz val="10"/>
        <rFont val="Arial"/>
        <family val="2"/>
      </rPr>
      <t xml:space="preserve">
When aborted by Process Mode, Motor Disconnection monitoring shall remain deactivated until the Process Mode is leaved.
</t>
    </r>
    <r>
      <rPr>
        <b/>
        <u/>
        <sz val="10"/>
        <rFont val="Arial"/>
        <family val="2"/>
      </rPr>
      <t/>
    </r>
  </si>
  <si>
    <r>
      <t xml:space="preserve">These 2 Req define Pre-condition Motor disconnection AT regarding </t>
    </r>
    <r>
      <rPr>
        <b/>
        <u/>
        <sz val="10"/>
        <rFont val="Arial"/>
        <family val="2"/>
      </rPr>
      <t>ProcessMode,,,</t>
    </r>
    <r>
      <rPr>
        <sz val="10"/>
        <rFont val="Arial"/>
        <family val="2"/>
      </rPr>
      <t xml:space="preserve"> Not sure it's really expected
</t>
    </r>
    <r>
      <rPr>
        <b/>
        <u/>
        <sz val="10"/>
        <rFont val="Arial"/>
        <family val="2"/>
      </rPr>
      <t>SYS_REQ to be analyzed and updated in obsolete if not required or track at DES level if expected</t>
    </r>
  </si>
  <si>
    <r>
      <rPr>
        <b/>
        <u/>
        <sz val="10"/>
        <rFont val="Arial"/>
        <family val="2"/>
      </rPr>
      <t>SYS_SF03_2787:</t>
    </r>
    <r>
      <rPr>
        <sz val="10"/>
        <rFont val="Arial"/>
        <family val="2"/>
      </rPr>
      <t xml:space="preserve">
SBE ECU shall embed a Motor Parameters Monitoring, to check their consistency.
</t>
    </r>
    <r>
      <rPr>
        <b/>
        <u/>
        <sz val="10"/>
        <rFont val="Arial"/>
        <family val="2"/>
      </rPr>
      <t>SYS_SF03_2788:</t>
    </r>
    <r>
      <rPr>
        <sz val="10"/>
        <rFont val="Arial"/>
        <family val="2"/>
      </rPr>
      <t xml:space="preserve">
Motor Parameters Monitoring shall be configurable (enable/disable) in a persistent way (PARAM_INT_MOTORPARAM_CHECK_ENABLE)
</t>
    </r>
    <r>
      <rPr>
        <b/>
        <u/>
        <sz val="10"/>
        <rFont val="Arial"/>
        <family val="2"/>
      </rPr>
      <t>SYS_SF03_2790:</t>
    </r>
    <r>
      <rPr>
        <sz val="10"/>
        <rFont val="Arial"/>
        <family val="2"/>
      </rPr>
      <t xml:space="preserve">
Motor Parameters check shall provide a status (SIG_INT_MOTOR_PARAM_CHECK) of Motor Parameters Consistency.
</t>
    </r>
    <r>
      <rPr>
        <b/>
        <u/>
        <sz val="10"/>
        <rFont val="Arial"/>
        <family val="2"/>
      </rPr>
      <t>SYS_SF03_2792:</t>
    </r>
    <r>
      <rPr>
        <sz val="10"/>
        <rFont val="Arial"/>
        <family val="2"/>
      </rPr>
      <t xml:space="preserve">
Motor Parameters Monitoring shall be periodically executed once the SBE ECU is waked up and initialized.
</t>
    </r>
    <r>
      <rPr>
        <b/>
        <u/>
        <sz val="10"/>
        <rFont val="Arial"/>
        <family val="2"/>
      </rPr>
      <t>SYS_SF03_2794:</t>
    </r>
    <r>
      <rPr>
        <sz val="10"/>
        <rFont val="Arial"/>
        <family val="2"/>
      </rPr>
      <t xml:space="preserve">
Motor Parameters check shall be aborted IF the ECU shutdown procedure is started.
</t>
    </r>
    <r>
      <rPr>
        <b/>
        <u/>
        <sz val="10"/>
        <rFont val="Arial"/>
        <family val="2"/>
      </rPr>
      <t>SYS_SF03_2795:</t>
    </r>
    <r>
      <rPr>
        <sz val="10"/>
        <rFont val="Arial"/>
        <family val="2"/>
      </rPr>
      <t xml:space="preserve">
When aborted by a ECU shutdown procedure, Motor Parameters monitoring shall remain deactivated until the next SBE ECU wake-up.
</t>
    </r>
    <r>
      <rPr>
        <b/>
        <u/>
        <sz val="10"/>
        <rFont val="Arial"/>
        <family val="2"/>
      </rPr>
      <t/>
    </r>
  </si>
  <si>
    <t>Motor parameters Monitoring is not implemented today.</t>
  </si>
  <si>
    <r>
      <rPr>
        <b/>
        <u/>
        <sz val="10"/>
        <rFont val="Arial"/>
        <family val="2"/>
      </rPr>
      <t>SYS_SF03_2805:</t>
    </r>
    <r>
      <rPr>
        <sz val="10"/>
        <rFont val="Arial"/>
        <family val="2"/>
      </rPr>
      <t xml:space="preserve">
SBE ECU shall embed a CAN frame reception Monitoring, to detect missing frames from bus.</t>
    </r>
  </si>
  <si>
    <t>Not implemented at platform level as shall be managed by application project.</t>
  </si>
  <si>
    <r>
      <rPr>
        <b/>
        <u/>
        <sz val="10"/>
        <rFont val="Arial"/>
        <family val="2"/>
      </rPr>
      <t>SYS_SF03_2807:</t>
    </r>
    <r>
      <rPr>
        <sz val="10"/>
        <rFont val="Arial"/>
        <family val="2"/>
      </rPr>
      <t xml:space="preserve">
SBE ECU shall embed a message CRC Monitoring, to detect invalid CRC on recieved messages.</t>
    </r>
  </si>
  <si>
    <r>
      <rPr>
        <b/>
        <u/>
        <sz val="10"/>
        <rFont val="Arial"/>
        <family val="2"/>
      </rPr>
      <t>SYS_SF03_2808:</t>
    </r>
    <r>
      <rPr>
        <sz val="10"/>
        <rFont val="Arial"/>
        <family val="2"/>
      </rPr>
      <t xml:space="preserve">
SBE ECU shall embed a message Alive Counter Monitoring, to detect invalid counters on recieved messages.</t>
    </r>
  </si>
  <si>
    <r>
      <rPr>
        <b/>
        <u/>
        <sz val="10"/>
        <rFont val="Arial"/>
        <family val="2"/>
      </rPr>
      <t>SYS_SF03_2809:</t>
    </r>
    <r>
      <rPr>
        <sz val="10"/>
        <rFont val="Arial"/>
        <family val="2"/>
      </rPr>
      <t xml:space="preserve">
SBE ECU P shall embed a signal Monitoring, to detect invalid signals in recieved messages.</t>
    </r>
  </si>
  <si>
    <r>
      <rPr>
        <b/>
        <u/>
        <sz val="10"/>
        <rFont val="Arial"/>
        <family val="2"/>
      </rPr>
      <t>SYS_SF03_2811:</t>
    </r>
    <r>
      <rPr>
        <sz val="10"/>
        <rFont val="Arial"/>
        <family val="2"/>
      </rPr>
      <t xml:space="preserve">
SBE ECU shall embed a Bus-Overrun Monitoring.</t>
    </r>
  </si>
  <si>
    <t>Not implemented at platform level today,</t>
  </si>
  <si>
    <t xml:space="preserve">SYS_SF03_1999, SYS_SF03_55, SYS_SF03_2006, SYS_SF03_2000, SYS_SF03_56,  SYS_SF03_2016, SYS_SF03_2017, SYS_SF03_2018,  SYS_SF03_2020, SYS_SF03_2021, SYS_SF03_2184, SYS_SF03_2308, SYS_SF03_2309, SYS_SF03_2321, SYS_SF03_2322, SYS_SF03_2327, SYS_SF03_2328, SYS_SF03_2698, SYS_SF03_2699, SYS_SF03_2787, SYS_SF03_2788, SYS_SF03_2790, SYS_SF03_2792, SYS_SF03_2794, SYS_SF03_2795, SYS_SF03_2805, SYS_SF03_2807, SYS_SF03_2808, SYS_SF03_2809,  SYS_SF03_2811,    </t>
  </si>
  <si>
    <r>
      <rPr>
        <b/>
        <u/>
        <sz val="10"/>
        <rFont val="Arial"/>
        <family val="2"/>
      </rPr>
      <t xml:space="preserve">SYS_SF03_2821:
</t>
    </r>
    <r>
      <rPr>
        <sz val="10"/>
        <rFont val="Arial"/>
        <family val="2"/>
      </rPr>
      <t>SBE ECU shall monitor failures.</t>
    </r>
  </si>
  <si>
    <r>
      <rPr>
        <b/>
        <u/>
        <sz val="10"/>
        <rFont val="Arial"/>
        <family val="2"/>
      </rPr>
      <t xml:space="preserve">SYS_SF03_2822:
</t>
    </r>
    <r>
      <rPr>
        <sz val="10"/>
        <rFont val="Arial"/>
        <family val="2"/>
      </rPr>
      <t>SBE ECU shall be able to provide a dedicated failure state for every failure.</t>
    </r>
  </si>
  <si>
    <t>Need to be checked indepenenttly for each bit.</t>
  </si>
  <si>
    <r>
      <rPr>
        <b/>
        <u/>
        <sz val="10"/>
        <rFont val="Arial"/>
        <family val="2"/>
      </rPr>
      <t xml:space="preserve">SYS_SF03_2827:
</t>
    </r>
    <r>
      <rPr>
        <sz val="10"/>
        <rFont val="Arial"/>
        <family val="2"/>
      </rPr>
      <t>The failure state depends on customer needs and should include at least :
failure is qualified (i.e. present)
failure is deskilled (i.e. absent)
failure has already been tested since last reset.
failure state is being evolving (i.e qualification or deskill in progress).
failure has already been qualified during ECU life.</t>
    </r>
  </si>
  <si>
    <r>
      <rPr>
        <b/>
        <u/>
        <sz val="10"/>
        <rFont val="Arial"/>
        <family val="2"/>
      </rPr>
      <t xml:space="preserve">SYS_SF03_2826:
</t>
    </r>
    <r>
      <rPr>
        <sz val="10"/>
        <rFont val="Arial"/>
        <family val="2"/>
      </rPr>
      <t>SBE ECU shall include a debouncing (filtering) strategy for every failure.</t>
    </r>
  </si>
  <si>
    <r>
      <rPr>
        <b/>
        <u/>
        <sz val="10"/>
        <rFont val="Arial"/>
        <family val="2"/>
      </rPr>
      <t xml:space="preserve">SYS_SF03_2825:
</t>
    </r>
    <r>
      <rPr>
        <sz val="10"/>
        <rFont val="Arial"/>
        <family val="2"/>
      </rPr>
      <t>SBE ECU shall include an Inhibition Strategy (to inhibit full or part of the main functions or secondary functions) for every failures.
Note: the inhibition strategy is applied to preserve the PP belt assembly integrity.</t>
    </r>
  </si>
  <si>
    <r>
      <rPr>
        <b/>
        <u/>
        <sz val="10"/>
        <rFont val="Arial"/>
        <family val="2"/>
      </rPr>
      <t xml:space="preserve">SYS_SF03_2824:
</t>
    </r>
    <r>
      <rPr>
        <sz val="10"/>
        <rFont val="Arial"/>
        <family val="2"/>
      </rPr>
      <t>SBE ECU shall include an Abortion Strategy (to abort main or secondary function executed) for every failure.
Note: the abortion strategy is applied to preserve the PP belt assembly integrity.</t>
    </r>
  </si>
  <si>
    <r>
      <rPr>
        <b/>
        <u/>
        <sz val="10"/>
        <rFont val="Arial"/>
        <family val="2"/>
      </rPr>
      <t xml:space="preserve">SYS_SF03_2823:
</t>
    </r>
    <r>
      <rPr>
        <sz val="10"/>
        <rFont val="Arial"/>
        <family val="2"/>
      </rPr>
      <t>SBE ECU AEC shall be classified by group for easier interpretation.</t>
    </r>
  </si>
  <si>
    <t>SYS_SF04 Uncovered Req Review for traceability - TBD or NOK result</t>
  </si>
  <si>
    <t>SYS_Review_SF04_TBDorNOK</t>
  </si>
  <si>
    <t xml:space="preserve">SYS_SF03_2184, SYS_SF03_2186, SYS_SF03_2821, SYS_SF03_2822,  SYS_SF03_2823, SYS_SF03_2824, SYS_SF03_2825, SYS_SF03_2826, </t>
  </si>
  <si>
    <r>
      <rPr>
        <b/>
        <u/>
        <sz val="10"/>
        <rFont val="Arial"/>
        <family val="2"/>
      </rPr>
      <t xml:space="preserve">SYS_SF04_54:
</t>
    </r>
    <r>
      <rPr>
        <sz val="10"/>
        <rFont val="Arial"/>
        <family val="2"/>
      </rPr>
      <t xml:space="preserve">Part #1 - Record pre-crash cycle triggering reason
</t>
    </r>
    <r>
      <rPr>
        <b/>
        <u/>
        <sz val="10"/>
        <rFont val="Arial"/>
        <family val="2"/>
      </rPr>
      <t>SYS_SF04_55:</t>
    </r>
    <r>
      <rPr>
        <sz val="10"/>
        <rFont val="Arial"/>
        <family val="2"/>
      </rPr>
      <t xml:space="preserve">
Part #2 - Record end of pre-crash cycle conditions
</t>
    </r>
    <r>
      <rPr>
        <b/>
        <u/>
        <sz val="10"/>
        <rFont val="Arial"/>
        <family val="2"/>
      </rPr>
      <t>SYS_SF04_56:</t>
    </r>
    <r>
      <rPr>
        <sz val="10"/>
        <rFont val="Arial"/>
        <family val="2"/>
      </rPr>
      <t xml:space="preserve">
Part #3 -Record reason of abortion or rejection of pre-crash cycle</t>
    </r>
  </si>
  <si>
    <r>
      <rPr>
        <b/>
        <u/>
        <sz val="10"/>
        <rFont val="Arial"/>
        <family val="2"/>
      </rPr>
      <t>SYS_SF04_57:</t>
    </r>
    <r>
      <rPr>
        <sz val="10"/>
        <rFont val="Arial"/>
        <family val="2"/>
      </rPr>
      <t xml:space="preserve">
Each part shall be recorded only when needed.</t>
    </r>
  </si>
  <si>
    <r>
      <rPr>
        <b/>
        <u/>
        <sz val="10"/>
        <rFont val="Arial"/>
        <family val="2"/>
      </rPr>
      <t xml:space="preserve">SYS_SF04_59:
</t>
    </r>
    <r>
      <rPr>
        <sz val="10"/>
        <rFont val="Arial"/>
        <family val="2"/>
      </rPr>
      <t xml:space="preserve">Nominal case: Cycle started and successfully ended - part 1 and 2 shall be recorded
</t>
    </r>
    <r>
      <rPr>
        <b/>
        <u/>
        <sz val="10"/>
        <rFont val="Arial"/>
        <family val="2"/>
      </rPr>
      <t>SYS_SF04_61:</t>
    </r>
    <r>
      <rPr>
        <sz val="10"/>
        <rFont val="Arial"/>
        <family val="2"/>
      </rPr>
      <t xml:space="preserve">
Cycle started and not successfully ended - parts 1, 2 and 3 shall be recorded
</t>
    </r>
    <r>
      <rPr>
        <b/>
        <u/>
        <sz val="10"/>
        <rFont val="Arial"/>
        <family val="2"/>
      </rPr>
      <t>SYS_SF04_60:</t>
    </r>
    <r>
      <rPr>
        <sz val="10"/>
        <rFont val="Arial"/>
        <family val="2"/>
      </rPr>
      <t xml:space="preserve">
Cycle rejected - parts 1 and 3 shall be recorded
</t>
    </r>
    <r>
      <rPr>
        <b/>
        <u/>
        <sz val="10"/>
        <rFont val="Arial"/>
        <family val="2"/>
      </rPr>
      <t>SYS_SF04_62:</t>
    </r>
    <r>
      <rPr>
        <sz val="10"/>
        <rFont val="Arial"/>
        <family val="2"/>
      </rPr>
      <t xml:space="preserve">
Cycle preempted by another cycle - parts 1 and 2 shall be recorded</t>
    </r>
  </si>
  <si>
    <r>
      <rPr>
        <b/>
        <u/>
        <sz val="10"/>
        <rFont val="Arial"/>
        <family val="2"/>
      </rPr>
      <t>SYS_SF04_14:</t>
    </r>
    <r>
      <rPr>
        <sz val="10"/>
        <rFont val="Arial"/>
        <family val="2"/>
      </rPr>
      <t xml:space="preserve">
At least the last 2 successfull Pre-Crash telegrams must be recorded in NVM.</t>
    </r>
  </si>
  <si>
    <r>
      <rPr>
        <b/>
        <u/>
        <sz val="10"/>
        <rFont val="Arial"/>
        <family val="2"/>
      </rPr>
      <t>SYS_SF04_90:</t>
    </r>
    <r>
      <rPr>
        <sz val="10"/>
        <rFont val="Arial"/>
        <family val="2"/>
      </rPr>
      <t xml:space="preserve">
At least the last 2 "not successfull", "rejected" or "preempted" Pre-Crash telegrams must be recorded in NVM.</t>
    </r>
  </si>
  <si>
    <r>
      <rPr>
        <b/>
        <u/>
        <sz val="10"/>
        <rFont val="Arial"/>
        <family val="2"/>
      </rPr>
      <t xml:space="preserve">SYS_SF04_38:
</t>
    </r>
    <r>
      <rPr>
        <sz val="10"/>
        <rFont val="Arial"/>
        <family val="2"/>
      </rPr>
      <t xml:space="preserve">The reason of the pre-crash function triggering
</t>
    </r>
    <r>
      <rPr>
        <b/>
        <u/>
        <sz val="10"/>
        <rFont val="Arial"/>
        <family val="2"/>
      </rPr>
      <t>SYS_SF04_39:</t>
    </r>
    <r>
      <rPr>
        <sz val="10"/>
        <rFont val="Arial"/>
        <family val="2"/>
      </rPr>
      <t xml:space="preserve">
The absolute system time
</t>
    </r>
    <r>
      <rPr>
        <b/>
        <u/>
        <sz val="10"/>
        <rFont val="Arial"/>
        <family val="2"/>
      </rPr>
      <t>SYS_SF04_42:</t>
    </r>
    <r>
      <rPr>
        <sz val="10"/>
        <rFont val="Arial"/>
        <family val="2"/>
      </rPr>
      <t xml:space="preserve">
The battery voltage measured at ECU level
</t>
    </r>
    <r>
      <rPr>
        <b/>
        <u/>
        <sz val="10"/>
        <rFont val="Arial"/>
        <family val="2"/>
      </rPr>
      <t>SYS_SF04_43:</t>
    </r>
    <r>
      <rPr>
        <sz val="10"/>
        <rFont val="Arial"/>
        <family val="2"/>
      </rPr>
      <t xml:space="preserve">
The ECU thermal state
</t>
    </r>
    <r>
      <rPr>
        <b/>
        <u/>
        <sz val="10"/>
        <rFont val="Arial"/>
        <family val="2"/>
      </rPr>
      <t>SYS_SF04_95:</t>
    </r>
    <r>
      <rPr>
        <sz val="10"/>
        <rFont val="Arial"/>
        <family val="2"/>
      </rPr>
      <t xml:space="preserve">
The triggered cycle identifier</t>
    </r>
  </si>
  <si>
    <r>
      <rPr>
        <b/>
        <u/>
        <sz val="10"/>
        <rFont val="Arial"/>
        <family val="2"/>
      </rPr>
      <t xml:space="preserve">SYS_SF04_65:
</t>
    </r>
    <r>
      <rPr>
        <sz val="10"/>
        <rFont val="Arial"/>
        <family val="2"/>
      </rPr>
      <t xml:space="preserve">The reason of the pre-crash function ending
</t>
    </r>
    <r>
      <rPr>
        <b/>
        <u/>
        <sz val="10"/>
        <rFont val="Arial"/>
        <family val="2"/>
      </rPr>
      <t>SYS_SF04_66:</t>
    </r>
    <r>
      <rPr>
        <sz val="10"/>
        <rFont val="Arial"/>
        <family val="2"/>
      </rPr>
      <t xml:space="preserve">
The absolute system time
</t>
    </r>
    <r>
      <rPr>
        <b/>
        <u/>
        <sz val="10"/>
        <rFont val="Arial"/>
        <family val="2"/>
      </rPr>
      <t>SYS_SF04_68:</t>
    </r>
    <r>
      <rPr>
        <sz val="10"/>
        <rFont val="Arial"/>
        <family val="2"/>
      </rPr>
      <t xml:space="preserve">
The battery voltage measured at ECU level
</t>
    </r>
    <r>
      <rPr>
        <b/>
        <u/>
        <sz val="10"/>
        <rFont val="Arial"/>
        <family val="2"/>
      </rPr>
      <t>SYS_SF04_69:</t>
    </r>
    <r>
      <rPr>
        <sz val="10"/>
        <rFont val="Arial"/>
        <family val="2"/>
      </rPr>
      <t xml:space="preserve">
The ECU thermal state
</t>
    </r>
    <r>
      <rPr>
        <b/>
        <u/>
        <sz val="10"/>
        <rFont val="Arial"/>
        <family val="2"/>
      </rPr>
      <t>SYS_SF04_96:</t>
    </r>
    <r>
      <rPr>
        <sz val="10"/>
        <rFont val="Arial"/>
        <family val="2"/>
      </rPr>
      <t xml:space="preserve">
The executed cycle identifier</t>
    </r>
  </si>
  <si>
    <r>
      <rPr>
        <b/>
        <u/>
        <sz val="10"/>
        <rFont val="Arial"/>
        <family val="2"/>
      </rPr>
      <t xml:space="preserve">SYS_SF04_44:
</t>
    </r>
    <r>
      <rPr>
        <sz val="10"/>
        <rFont val="Arial"/>
        <family val="2"/>
      </rPr>
      <t xml:space="preserve">Seat belt status change (received through communication network)
</t>
    </r>
    <r>
      <rPr>
        <b/>
        <u/>
        <sz val="10"/>
        <rFont val="Arial"/>
        <family val="2"/>
      </rPr>
      <t>SYS_SF04_45:</t>
    </r>
    <r>
      <rPr>
        <sz val="10"/>
        <rFont val="Arial"/>
        <family val="2"/>
      </rPr>
      <t xml:space="preserve">
Inhibition request received through communication network
</t>
    </r>
    <r>
      <rPr>
        <b/>
        <u/>
        <sz val="10"/>
        <rFont val="Arial"/>
        <family val="2"/>
      </rPr>
      <t>SYS_SF04_46:</t>
    </r>
    <r>
      <rPr>
        <sz val="10"/>
        <rFont val="Arial"/>
        <family val="2"/>
      </rPr>
      <t xml:space="preserve">
End of life reached for the interrupted/aborted cycle
</t>
    </r>
    <r>
      <rPr>
        <b/>
        <u/>
        <sz val="10"/>
        <rFont val="Arial"/>
        <family val="2"/>
      </rPr>
      <t>SYS_SF04_47:</t>
    </r>
    <r>
      <rPr>
        <sz val="10"/>
        <rFont val="Arial"/>
        <family val="2"/>
      </rPr>
      <t xml:space="preserve">
Undervoltage situation
</t>
    </r>
    <r>
      <rPr>
        <b/>
        <u/>
        <sz val="10"/>
        <rFont val="Arial"/>
        <family val="2"/>
      </rPr>
      <t>SYS_SF04_49:</t>
    </r>
    <r>
      <rPr>
        <sz val="10"/>
        <rFont val="Arial"/>
        <family val="2"/>
      </rPr>
      <t xml:space="preserve">
Temperature threshold exceeded
</t>
    </r>
    <r>
      <rPr>
        <b/>
        <u/>
        <sz val="10"/>
        <rFont val="Arial"/>
        <family val="2"/>
      </rPr>
      <t>SYS_SF04_50:</t>
    </r>
    <r>
      <rPr>
        <sz val="10"/>
        <rFont val="Arial"/>
        <family val="2"/>
      </rPr>
      <t xml:space="preserve">
SW exception, e.g. warm reset
</t>
    </r>
    <r>
      <rPr>
        <b/>
        <u/>
        <sz val="10"/>
        <rFont val="Arial"/>
        <family val="2"/>
      </rPr>
      <t>SYS_SF04_51:</t>
    </r>
    <r>
      <rPr>
        <sz val="10"/>
        <rFont val="Arial"/>
        <family val="2"/>
      </rPr>
      <t xml:space="preserve">
System failure (AEC qualified)
</t>
    </r>
    <r>
      <rPr>
        <b/>
        <u/>
        <sz val="10"/>
        <rFont val="Arial"/>
        <family val="2"/>
      </rPr>
      <t>SYS_SF04_52:</t>
    </r>
    <r>
      <rPr>
        <sz val="10"/>
        <rFont val="Arial"/>
        <family val="2"/>
      </rPr>
      <t xml:space="preserve">
System not ready (initialization not finalized)</t>
    </r>
  </si>
  <si>
    <r>
      <rPr>
        <b/>
        <u/>
        <sz val="10"/>
        <rFont val="Arial"/>
        <family val="2"/>
      </rPr>
      <t>SYS_SF04_82:</t>
    </r>
    <r>
      <rPr>
        <sz val="10"/>
        <rFont val="Arial"/>
        <family val="2"/>
      </rPr>
      <t xml:space="preserve">
For each AEC, AEC_EVER_QUAL shall be memorized in NVM.</t>
    </r>
  </si>
  <si>
    <r>
      <rPr>
        <b/>
        <u/>
        <sz val="10"/>
        <rFont val="Arial"/>
        <family val="2"/>
      </rPr>
      <t xml:space="preserve">SYS_SF04_03:
</t>
    </r>
    <r>
      <rPr>
        <sz val="10"/>
        <rFont val="Arial"/>
        <family val="2"/>
      </rPr>
      <t xml:space="preserve">Failure per failure, it shall be defined if additional information shall be recorded in NVM when failure becomes qualified in order to ease expertise of system.
</t>
    </r>
    <r>
      <rPr>
        <b/>
        <u/>
        <sz val="10"/>
        <rFont val="Arial"/>
        <family val="2"/>
      </rPr>
      <t>SYS_SF04_04:</t>
    </r>
    <r>
      <rPr>
        <sz val="10"/>
        <rFont val="Arial"/>
        <family val="2"/>
      </rPr>
      <t xml:space="preserve">
For a given failure, if record of additional information shall be done on qualification then a list of associated parameters shall be defined.
</t>
    </r>
    <r>
      <rPr>
        <b/>
        <u/>
        <sz val="10"/>
        <rFont val="Arial"/>
        <family val="2"/>
      </rPr>
      <t>SYS_SF04_98:</t>
    </r>
    <r>
      <rPr>
        <sz val="10"/>
        <rFont val="Arial"/>
        <family val="2"/>
      </rPr>
      <t xml:space="preserve">
SBE ECU shall be able to record the first and last snapshots for the first 10 different AEC qualified.
</t>
    </r>
    <r>
      <rPr>
        <b/>
        <u/>
        <sz val="10"/>
        <rFont val="Arial"/>
        <family val="2"/>
      </rPr>
      <t>SYS_SF04_6:</t>
    </r>
    <r>
      <rPr>
        <sz val="10"/>
        <rFont val="Arial"/>
        <family val="2"/>
      </rPr>
      <t xml:space="preserve">
The amount of snapshots shall be easily configured.
</t>
    </r>
    <r>
      <rPr>
        <b/>
        <u/>
        <sz val="10"/>
        <rFont val="Arial"/>
        <family val="2"/>
      </rPr>
      <t>SYS_SF04_7:</t>
    </r>
    <r>
      <rPr>
        <sz val="10"/>
        <rFont val="Arial"/>
        <family val="2"/>
      </rPr>
      <t xml:space="preserve">
IF
AEC qualification event happens
AND
AEC is configured to have snapshot stored in NVM 
AND
there is a snapshot slot available in NVM
THEN the associated snapshot shall be stored in NVM
ELSE nothing shall be done
</t>
    </r>
    <r>
      <rPr>
        <b/>
        <u/>
        <sz val="10"/>
        <rFont val="Arial"/>
        <family val="2"/>
      </rPr>
      <t>SYS_SF04_78:</t>
    </r>
    <r>
      <rPr>
        <sz val="10"/>
        <rFont val="Arial"/>
        <family val="2"/>
      </rPr>
      <t xml:space="preserve">
When "snapshot" shall be recorded and in case the failure is a filtered one, its content shall reflect the information at its first occurence (i.e. first increment of associated filter) and not information at its confirmation/qualification.
</t>
    </r>
    <r>
      <rPr>
        <b/>
        <u/>
        <sz val="10"/>
        <rFont val="Arial"/>
        <family val="2"/>
      </rPr>
      <t xml:space="preserve">SYS_SF04_20:
</t>
    </r>
    <r>
      <rPr>
        <sz val="10"/>
        <rFont val="Arial"/>
        <family val="2"/>
      </rPr>
      <t xml:space="preserve">Stored information shall not be lost in case of power-off.
</t>
    </r>
    <r>
      <rPr>
        <b/>
        <u/>
        <sz val="10"/>
        <rFont val="Arial"/>
        <family val="2"/>
      </rPr>
      <t/>
    </r>
  </si>
  <si>
    <t>related to logger, not implemented yet</t>
  </si>
  <si>
    <r>
      <rPr>
        <b/>
        <u/>
        <sz val="10"/>
        <rFont val="Arial"/>
        <family val="2"/>
      </rPr>
      <t>SYS_SF04_89:</t>
    </r>
    <r>
      <rPr>
        <sz val="10"/>
        <rFont val="Arial"/>
        <family val="2"/>
      </rPr>
      <t xml:space="preserve">
To ease diagnosis of error codes, the qualification_weight, deskill_weight, and LIMIT attributes of each error code shall be gathered in a document for deployment on expertise tools.</t>
    </r>
  </si>
  <si>
    <t>Not expected at plateform level but only for application projects.</t>
  </si>
  <si>
    <t xml:space="preserve">SYS_SF04_82, </t>
  </si>
  <si>
    <t>but no traça.</t>
  </si>
  <si>
    <t>SYS_SF04_54, SYS_SF04_55, SYS_SF04_56, SYS_SF04_57, SYS_SF04_59, SYS_SF04_60, SYS_SF04_61, SYS_SF04_62, SYS_SF04_14, SYS_SF04_90, SYS_SF04_38, SYS_SF04_39, SYS_SF04_42, SYS_SF04_43, SYS_SF04_95, SYS_SF04_65, SYS_SF04_66, SYS_SF04_68, SYS_SF04_69, SYS_SF04_96, SYS_SF04_44, SYS_SF04_45, SYS_SF04_46, SYS_SF04_47, SYS_SF04_49, SYS_SF04_50, SYS_SF04_51, SYS_SF04_52, SYS_SF04_3,  SYS_SF04_4,  SYS_SF04_98, SYS_SF04_6, SYS_SF04_7,  SYS_SF04_78,  SYS_SF04_20,  SYS_SF04_89</t>
  </si>
  <si>
    <t>SYS_SF02_13553, SYS_SF02_13554, SYS_SF02_13555, SYS_SF02_13556, SYS_SF02_13557, SYS_SF02_13558,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</si>
</sst>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42"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b/>
      <i/>
      <u/>
      <sz val="11"/>
      <name val="Calibri"/>
      <family val="2"/>
      <charset val="238"/>
      <scheme val="minor"/>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29">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9"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6" fillId="5" borderId="7" xfId="0" applyFont="1" applyFill="1" applyBorder="1" applyAlignment="1">
      <alignment horizontal="left" vertical="center"/>
    </xf>
    <xf numFmtId="0" fontId="33" fillId="5" borderId="10" xfId="0" applyFont="1" applyFill="1" applyBorder="1"/>
    <xf numFmtId="0" fontId="33" fillId="5" borderId="0" xfId="0" applyFont="1" applyFill="1" applyBorder="1"/>
    <xf numFmtId="0" fontId="20" fillId="5" borderId="10" xfId="0" applyFont="1" applyFill="1" applyBorder="1"/>
    <xf numFmtId="10" fontId="33" fillId="5" borderId="10" xfId="0" applyNumberFormat="1" applyFont="1" applyFill="1" applyBorder="1"/>
    <xf numFmtId="0" fontId="41" fillId="0" borderId="10" xfId="0" applyFont="1" applyBorder="1" applyAlignment="1">
      <alignment vertical="top"/>
    </xf>
    <xf numFmtId="0" fontId="41" fillId="0" borderId="14" xfId="0" applyFont="1" applyBorder="1" applyAlignment="1">
      <alignment vertical="top"/>
    </xf>
    <xf numFmtId="0" fontId="31" fillId="0" borderId="11" xfId="0" applyFont="1" applyBorder="1" applyAlignment="1">
      <alignment horizontal="center" vertical="top"/>
    </xf>
    <xf numFmtId="49" fontId="1"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center" wrapText="1"/>
      <protection locked="0"/>
    </xf>
    <xf numFmtId="0" fontId="37" fillId="0" borderId="11" xfId="0" applyFont="1" applyFill="1" applyBorder="1" applyAlignment="1">
      <alignment vertical="top" wrapText="1"/>
    </xf>
    <xf numFmtId="0" fontId="0" fillId="0" borderId="0" xfId="0" applyAlignment="1">
      <alignment wrapText="1"/>
    </xf>
    <xf numFmtId="0" fontId="31" fillId="0" borderId="11" xfId="0" applyFont="1" applyFill="1" applyBorder="1" applyAlignment="1">
      <alignment horizontal="center" vertical="center"/>
    </xf>
    <xf numFmtId="0" fontId="35" fillId="6" borderId="11" xfId="1" applyFont="1" applyFill="1" applyBorder="1" applyAlignment="1">
      <alignment horizontal="left" vertical="center"/>
    </xf>
    <xf numFmtId="0" fontId="31" fillId="0" borderId="11" xfId="0" applyFont="1" applyFill="1" applyBorder="1" applyAlignment="1">
      <alignment horizontal="left" vertical="center"/>
    </xf>
    <xf numFmtId="0" fontId="31" fillId="0" borderId="11" xfId="0" applyFont="1" applyFill="1" applyBorder="1" applyAlignment="1">
      <alignment horizontal="left" vertical="top"/>
    </xf>
    <xf numFmtId="0" fontId="31" fillId="0" borderId="11" xfId="0" applyFont="1" applyFill="1" applyBorder="1" applyAlignment="1">
      <alignment horizontal="center" vertical="top"/>
    </xf>
    <xf numFmtId="0" fontId="1" fillId="0" borderId="15"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5" xfId="0" applyFont="1" applyFill="1" applyBorder="1" applyAlignment="1" applyProtection="1">
      <alignment horizontal="left" vertical="top" shrinkToFit="1"/>
      <protection locked="0"/>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14" fontId="39" fillId="0" borderId="15" xfId="0" applyNumberFormat="1"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5" xfId="0"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39" fillId="0" borderId="15" xfId="0" applyFont="1" applyBorder="1" applyAlignment="1" applyProtection="1">
      <alignment horizontal="left" vertical="center" shrinkToFit="1"/>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1" fillId="0" borderId="1" xfId="0" applyFont="1" applyFill="1" applyBorder="1" applyAlignment="1" applyProtection="1">
      <alignment horizontal="left" vertical="top" wrapText="1" shrinkToFit="1"/>
      <protection locked="0"/>
    </xf>
    <xf numFmtId="0" fontId="1" fillId="0" borderId="2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7"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49" fontId="39" fillId="0" borderId="15" xfId="0" applyNumberFormat="1" applyFont="1" applyBorder="1" applyAlignment="1" applyProtection="1">
      <alignment horizontal="left" vertical="center" shrinkToFit="1"/>
    </xf>
    <xf numFmtId="49" fontId="39" fillId="0" borderId="1" xfId="0" applyNumberFormat="1" applyFont="1" applyBorder="1" applyAlignment="1" applyProtection="1">
      <alignment horizontal="left" vertical="center" shrinkToFit="1"/>
    </xf>
    <xf numFmtId="49" fontId="39" fillId="0" borderId="25" xfId="0" applyNumberFormat="1" applyFont="1" applyBorder="1" applyAlignment="1" applyProtection="1">
      <alignment horizontal="left" vertical="center" shrinkToFit="1"/>
    </xf>
    <xf numFmtId="0" fontId="40" fillId="9" borderId="2" xfId="0" applyFont="1" applyFill="1" applyBorder="1" applyAlignment="1" applyProtection="1">
      <alignment horizontal="center" vertical="center" shrinkToFit="1"/>
      <protection locked="0"/>
    </xf>
    <xf numFmtId="0" fontId="40" fillId="9" borderId="0" xfId="0" applyFont="1" applyFill="1" applyBorder="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4"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40" fillId="9" borderId="23"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5" xfId="0" applyFont="1" applyFill="1" applyBorder="1" applyAlignment="1" applyProtection="1">
      <alignment horizontal="left" vertical="top"/>
      <protection locked="0"/>
    </xf>
    <xf numFmtId="0" fontId="40" fillId="9" borderId="22" xfId="0" applyFont="1" applyFill="1" applyBorder="1" applyAlignment="1" applyProtection="1">
      <alignment horizontal="center" vertical="center" shrinkToFit="1"/>
      <protection locked="0"/>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1"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1" fillId="0" borderId="10" xfId="0" applyNumberFormat="1" applyFont="1" applyFill="1" applyBorder="1" applyAlignment="1" applyProtection="1">
      <alignment horizontal="center" vertical="top" wrapText="1"/>
      <protection locked="0"/>
    </xf>
    <xf numFmtId="49" fontId="4" fillId="0" borderId="10" xfId="0" applyNumberFormat="1" applyFont="1" applyFill="1" applyBorder="1" applyAlignment="1">
      <alignment horizontal="center" vertical="top" wrapText="1"/>
    </xf>
    <xf numFmtId="49" fontId="1"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lignment horizontal="left" vertical="top" wrapText="1"/>
    </xf>
    <xf numFmtId="49" fontId="1" fillId="0" borderId="27" xfId="0" applyNumberFormat="1" applyFont="1" applyFill="1" applyBorder="1" applyAlignment="1" applyProtection="1">
      <alignment horizontal="left" vertical="top" wrapText="1"/>
      <protection locked="0"/>
    </xf>
    <xf numFmtId="49" fontId="1" fillId="0" borderId="26" xfId="0" applyNumberFormat="1" applyFont="1" applyFill="1" applyBorder="1" applyAlignment="1" applyProtection="1">
      <alignment horizontal="left" vertical="top" wrapText="1"/>
      <protection locked="0"/>
    </xf>
    <xf numFmtId="49" fontId="1" fillId="0" borderId="16" xfId="0" applyNumberFormat="1" applyFont="1" applyFill="1" applyBorder="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5"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5" xfId="0" applyFont="1" applyFill="1" applyBorder="1" applyAlignment="1" applyProtection="1">
      <alignment horizontal="left" vertical="center" shrinkToFit="1"/>
    </xf>
    <xf numFmtId="49" fontId="5" fillId="0" borderId="0" xfId="0" applyNumberFormat="1" applyFont="1" applyFill="1" applyAlignment="1" applyProtection="1">
      <alignment horizontal="left" vertical="top" wrapText="1"/>
      <protection locked="0"/>
    </xf>
    <xf numFmtId="49" fontId="1" fillId="0" borderId="27"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7"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7" xfId="0" applyFont="1" applyBorder="1" applyAlignment="1">
      <alignment horizontal="left" vertical="center" wrapText="1"/>
    </xf>
    <xf numFmtId="49" fontId="1" fillId="0" borderId="0" xfId="0" applyNumberFormat="1" applyFont="1" applyFill="1" applyBorder="1" applyAlignment="1" applyProtection="1">
      <alignment horizontal="left" vertical="top" wrapText="1"/>
      <protection locked="0"/>
    </xf>
    <xf numFmtId="0" fontId="38" fillId="7" borderId="28" xfId="0" applyFont="1" applyFill="1" applyBorder="1" applyAlignment="1">
      <alignment horizontal="left" vertical="center" wrapText="1"/>
    </xf>
    <xf numFmtId="0" fontId="38" fillId="7" borderId="29" xfId="0" applyFont="1" applyFill="1" applyBorder="1" applyAlignment="1">
      <alignment horizontal="left" vertical="center" wrapTex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28"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29" xfId="0" applyFont="1" applyFill="1" applyBorder="1" applyAlignment="1">
      <alignment horizontal="left" vertical="top" wrapText="1" shrinkToFit="1"/>
    </xf>
    <xf numFmtId="0" fontId="1" fillId="5" borderId="41" xfId="0" applyFont="1" applyFill="1" applyBorder="1" applyAlignment="1">
      <alignment horizontal="left" vertical="top" wrapText="1" shrinkToFit="1"/>
    </xf>
    <xf numFmtId="0" fontId="1" fillId="5" borderId="42" xfId="0" applyFont="1" applyFill="1" applyBorder="1" applyAlignment="1">
      <alignment horizontal="left" vertical="top" wrapText="1" shrinkToFit="1"/>
    </xf>
    <xf numFmtId="0" fontId="1" fillId="5" borderId="43"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36" xfId="0" applyFont="1" applyFill="1" applyBorder="1" applyAlignment="1">
      <alignment horizontal="left"/>
    </xf>
    <xf numFmtId="0" fontId="1" fillId="5" borderId="37" xfId="0" applyFont="1" applyFill="1" applyBorder="1" applyAlignment="1">
      <alignment horizontal="left"/>
    </xf>
    <xf numFmtId="0" fontId="1" fillId="5" borderId="6" xfId="0" applyFont="1" applyFill="1" applyBorder="1" applyAlignment="1">
      <alignment horizontal="left" vertical="top" wrapText="1"/>
    </xf>
    <xf numFmtId="0" fontId="1" fillId="5" borderId="36" xfId="0" applyFont="1" applyFill="1" applyBorder="1" applyAlignment="1">
      <alignment horizontal="left" vertical="top" wrapText="1"/>
    </xf>
    <xf numFmtId="0" fontId="1" fillId="5" borderId="37" xfId="0" applyFont="1" applyFill="1" applyBorder="1" applyAlignment="1">
      <alignment horizontal="left" vertical="top" wrapText="1"/>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1" fillId="5" borderId="10" xfId="2" applyFont="1" applyFill="1" applyBorder="1" applyAlignment="1">
      <alignment horizontal="left" vertical="top" wrapText="1" shrinkToFit="1"/>
    </xf>
    <xf numFmtId="0" fontId="1" fillId="5" borderId="27"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33" xfId="2" applyFont="1" applyFill="1" applyBorder="1" applyAlignment="1">
      <alignment horizontal="left" vertical="top" wrapText="1" shrinkToFit="1"/>
    </xf>
    <xf numFmtId="0" fontId="1" fillId="5" borderId="34" xfId="2" applyFont="1" applyFill="1" applyBorder="1" applyAlignment="1">
      <alignment horizontal="left" vertical="top" wrapText="1" shrinkToFit="1"/>
    </xf>
    <xf numFmtId="0" fontId="1" fillId="5" borderId="35"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cellXfs>
  <cellStyles count="3">
    <cellStyle name="Hyperlink" xfId="1" builtinId="8"/>
    <cellStyle name="Normal" xfId="0" builtinId="0"/>
    <cellStyle name="Normal 2" xfId="2"/>
  </cellStyles>
  <dxfs count="799">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fr-FR"/>
              <a:t>SW integration test progress</a:t>
            </a:r>
          </a:p>
        </c:rich>
      </c:tx>
      <c:overlay val="0"/>
    </c:title>
    <c:autoTitleDeleted val="0"/>
    <c:plotArea>
      <c:layout/>
      <c:pieChart>
        <c:varyColors val="1"/>
        <c:ser>
          <c:idx val="0"/>
          <c:order val="0"/>
          <c:spPr>
            <a:scene3d>
              <a:camera prst="orthographicFront"/>
              <a:lightRig rig="threePt" dir="t"/>
            </a:scene3d>
            <a:sp3d>
              <a:bevelT/>
            </a:sp3d>
          </c:spPr>
          <c:dPt>
            <c:idx val="0"/>
            <c:bubble3D val="0"/>
            <c:spPr>
              <a:solidFill>
                <a:schemeClr val="accent3"/>
              </a:solidFill>
              <a:scene3d>
                <a:camera prst="orthographicFront"/>
                <a:lightRig rig="threePt" dir="t"/>
              </a:scene3d>
              <a:sp3d>
                <a:bevelT/>
              </a:sp3d>
            </c:spPr>
          </c:dPt>
          <c:dPt>
            <c:idx val="1"/>
            <c:bubble3D val="0"/>
          </c:dPt>
          <c:dPt>
            <c:idx val="2"/>
            <c:bubble3D val="0"/>
            <c:spPr>
              <a:solidFill>
                <a:schemeClr val="bg1">
                  <a:lumMod val="75000"/>
                </a:schemeClr>
              </a:solidFill>
              <a:scene3d>
                <a:camera prst="orthographicFront"/>
                <a:lightRig rig="threePt" dir="t"/>
              </a:scene3d>
              <a:sp3d>
                <a:bevelT/>
              </a:sp3d>
            </c:spPr>
          </c:dPt>
          <c:dPt>
            <c:idx val="3"/>
            <c:bubble3D val="0"/>
          </c:dPt>
          <c:dLbls>
            <c:spPr>
              <a:noFill/>
              <a:ln>
                <a:noFill/>
              </a:ln>
              <a:effectLst/>
            </c:spPr>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0.5</c:v>
                </c:pt>
                <c:pt idx="1">
                  <c:v>0.25</c:v>
                </c:pt>
                <c:pt idx="2">
                  <c:v>0.25</c:v>
                </c:pt>
                <c:pt idx="3">
                  <c:v>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4"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Sandbox\ECU_PP_4G\Mainstream\Phase_01\Configuration_Item_View\Application\_SCH_Scheduler\Test\SW01TEM001_SCH_SW_Integration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uide (help)"/>
      <sheetName val="Tests Synthesis"/>
      <sheetName val="Metrics"/>
      <sheetName val="TestConfig"/>
      <sheetName val="SW_IT_SCH_00001"/>
      <sheetName val="SW_IT_SCH_00002"/>
      <sheetName val="Compatibility Report"/>
    </sheetNames>
    <sheetDataSet>
      <sheetData sheetId="0">
        <row r="3">
          <cell r="AD3" t="str">
            <v>E1355904_SWArchitectureGlobalIntegrationTests - SW Scheduling.xlsm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249977111117893"/>
  </sheetPr>
  <dimension ref="A1:BH116"/>
  <sheetViews>
    <sheetView showGridLines="0" topLeftCell="A19" zoomScale="115" zoomScaleNormal="115" workbookViewId="0">
      <selection activeCell="H26" sqref="H26:K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PP4G_SYS_SF_Review_for_Coverage.xlsm</v>
      </c>
      <c r="AE3" s="8"/>
      <c r="AF3" s="8"/>
      <c r="AG3" s="8"/>
      <c r="AH3" s="8"/>
      <c r="AI3" s="8"/>
      <c r="AJ3" s="8"/>
      <c r="AK3" s="8"/>
    </row>
    <row r="4" spans="1:37" s="7" customFormat="1" ht="11.1" customHeight="1" x14ac:dyDescent="0.2">
      <c r="A4" s="131" t="s">
        <v>1</v>
      </c>
      <c r="B4" s="132"/>
      <c r="C4" s="132"/>
      <c r="D4" s="132"/>
      <c r="E4" s="132"/>
      <c r="F4" s="132"/>
      <c r="G4" s="132"/>
      <c r="H4" s="132"/>
      <c r="I4" s="132"/>
      <c r="J4" s="132"/>
      <c r="K4" s="132"/>
      <c r="L4" s="132"/>
      <c r="M4" s="132"/>
      <c r="N4" s="132"/>
      <c r="O4" s="132"/>
      <c r="P4" s="132"/>
      <c r="Q4" s="132"/>
      <c r="R4" s="132"/>
      <c r="S4" s="132"/>
      <c r="T4" s="132"/>
      <c r="U4" s="132"/>
      <c r="V4" s="133"/>
      <c r="W4" s="127" t="s">
        <v>2</v>
      </c>
      <c r="X4" s="128"/>
      <c r="Y4" s="128"/>
      <c r="Z4" s="128"/>
      <c r="AA4" s="129"/>
      <c r="AB4" s="121" t="s">
        <v>21</v>
      </c>
      <c r="AC4" s="122"/>
      <c r="AD4" s="122"/>
      <c r="AE4" s="122"/>
      <c r="AF4" s="122"/>
      <c r="AG4" s="123"/>
      <c r="AH4" s="10"/>
      <c r="AI4" s="10"/>
      <c r="AJ4" s="10"/>
      <c r="AK4" s="8"/>
    </row>
    <row r="5" spans="1:37" s="12" customFormat="1" ht="12.75" customHeight="1" x14ac:dyDescent="0.2">
      <c r="A5" s="130" t="s">
        <v>133</v>
      </c>
      <c r="B5" s="125"/>
      <c r="C5" s="125"/>
      <c r="D5" s="125"/>
      <c r="E5" s="125"/>
      <c r="F5" s="125"/>
      <c r="G5" s="125"/>
      <c r="H5" s="125"/>
      <c r="I5" s="125"/>
      <c r="J5" s="125"/>
      <c r="K5" s="125"/>
      <c r="L5" s="125"/>
      <c r="M5" s="125"/>
      <c r="N5" s="125"/>
      <c r="O5" s="125"/>
      <c r="P5" s="125"/>
      <c r="Q5" s="125"/>
      <c r="R5" s="125"/>
      <c r="S5" s="125"/>
      <c r="T5" s="125"/>
      <c r="U5" s="125"/>
      <c r="V5" s="126"/>
      <c r="W5" s="130" t="s">
        <v>137</v>
      </c>
      <c r="X5" s="125"/>
      <c r="Y5" s="125"/>
      <c r="Z5" s="125"/>
      <c r="AA5" s="126"/>
      <c r="AB5" s="124">
        <v>41805.666666666664</v>
      </c>
      <c r="AC5" s="125"/>
      <c r="AD5" s="125"/>
      <c r="AE5" s="125"/>
      <c r="AF5" s="125"/>
      <c r="AG5" s="126"/>
      <c r="AH5" s="11"/>
      <c r="AI5" s="11"/>
      <c r="AJ5" s="11"/>
      <c r="AK5" s="11"/>
    </row>
    <row r="6" spans="1:37" s="45" customFormat="1" ht="11.1" customHeight="1" x14ac:dyDescent="0.2">
      <c r="A6" s="127" t="s">
        <v>3</v>
      </c>
      <c r="B6" s="128"/>
      <c r="C6" s="128"/>
      <c r="D6" s="129"/>
      <c r="E6" s="127" t="s">
        <v>4</v>
      </c>
      <c r="F6" s="128"/>
      <c r="G6" s="128"/>
      <c r="H6" s="128"/>
      <c r="I6" s="128"/>
      <c r="J6" s="128"/>
      <c r="K6" s="128"/>
      <c r="L6" s="128"/>
      <c r="M6" s="128"/>
      <c r="N6" s="128"/>
      <c r="O6" s="128"/>
      <c r="P6" s="128"/>
      <c r="Q6" s="128"/>
      <c r="R6" s="128"/>
      <c r="S6" s="128"/>
      <c r="T6" s="128"/>
      <c r="U6" s="128"/>
      <c r="V6" s="129"/>
      <c r="W6" s="131" t="s">
        <v>16</v>
      </c>
      <c r="X6" s="132"/>
      <c r="Y6" s="132"/>
      <c r="Z6" s="132"/>
      <c r="AA6" s="133"/>
      <c r="AB6" s="127" t="s">
        <v>0</v>
      </c>
      <c r="AC6" s="128"/>
      <c r="AD6" s="129"/>
      <c r="AE6" s="127" t="s">
        <v>5</v>
      </c>
      <c r="AF6" s="128"/>
      <c r="AG6" s="129"/>
      <c r="AH6" s="44"/>
      <c r="AI6" s="44"/>
      <c r="AJ6" s="44"/>
      <c r="AK6" s="44"/>
    </row>
    <row r="7" spans="1:37" s="14" customFormat="1" ht="12.75" customHeight="1" x14ac:dyDescent="0.2">
      <c r="A7" s="130" t="s">
        <v>132</v>
      </c>
      <c r="B7" s="125"/>
      <c r="C7" s="125"/>
      <c r="D7" s="126"/>
      <c r="E7" s="130" t="s">
        <v>138</v>
      </c>
      <c r="F7" s="125"/>
      <c r="G7" s="125"/>
      <c r="H7" s="125"/>
      <c r="I7" s="125"/>
      <c r="J7" s="125"/>
      <c r="K7" s="125"/>
      <c r="L7" s="125"/>
      <c r="M7" s="125"/>
      <c r="N7" s="125"/>
      <c r="O7" s="125"/>
      <c r="P7" s="125"/>
      <c r="Q7" s="125"/>
      <c r="R7" s="125"/>
      <c r="S7" s="125"/>
      <c r="T7" s="125"/>
      <c r="U7" s="125"/>
      <c r="V7" s="126"/>
      <c r="W7" s="130" t="s">
        <v>134</v>
      </c>
      <c r="X7" s="125"/>
      <c r="Y7" s="125"/>
      <c r="Z7" s="125"/>
      <c r="AA7" s="126"/>
      <c r="AB7" s="141" t="s">
        <v>135</v>
      </c>
      <c r="AC7" s="142"/>
      <c r="AD7" s="143"/>
      <c r="AE7" s="141" t="s">
        <v>136</v>
      </c>
      <c r="AF7" s="142"/>
      <c r="AG7" s="143"/>
      <c r="AH7" s="13"/>
      <c r="AI7" s="13"/>
      <c r="AJ7" s="13"/>
      <c r="AK7" s="13"/>
    </row>
    <row r="8" spans="1:37" s="12" customFormat="1"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144" t="s">
        <v>22</v>
      </c>
      <c r="B9" s="145"/>
      <c r="C9" s="145"/>
      <c r="D9" s="145"/>
      <c r="E9" s="145"/>
      <c r="F9" s="145"/>
      <c r="G9" s="145"/>
      <c r="H9" s="145"/>
      <c r="I9" s="145"/>
      <c r="J9" s="145"/>
      <c r="K9" s="146"/>
      <c r="L9" s="144" t="s">
        <v>23</v>
      </c>
      <c r="M9" s="145"/>
      <c r="N9" s="145"/>
      <c r="O9" s="145"/>
      <c r="P9" s="145"/>
      <c r="Q9" s="145"/>
      <c r="R9" s="145"/>
      <c r="S9" s="145"/>
      <c r="T9" s="145"/>
      <c r="U9" s="145"/>
      <c r="V9" s="146"/>
      <c r="W9" s="144" t="s">
        <v>24</v>
      </c>
      <c r="X9" s="145"/>
      <c r="Y9" s="145"/>
      <c r="Z9" s="145"/>
      <c r="AA9" s="145"/>
      <c r="AB9" s="145"/>
      <c r="AC9" s="145"/>
      <c r="AD9" s="145"/>
      <c r="AE9" s="145"/>
      <c r="AF9" s="145"/>
      <c r="AG9" s="146"/>
      <c r="AH9" s="15"/>
      <c r="AI9" s="15"/>
    </row>
    <row r="10" spans="1:37" s="49" customFormat="1" ht="108.75" customHeight="1" x14ac:dyDescent="0.2">
      <c r="A10" s="158" t="s">
        <v>139</v>
      </c>
      <c r="B10" s="159"/>
      <c r="C10" s="159"/>
      <c r="D10" s="159"/>
      <c r="E10" s="159"/>
      <c r="F10" s="134" t="s">
        <v>129</v>
      </c>
      <c r="G10" s="134"/>
      <c r="H10" s="134"/>
      <c r="I10" s="134"/>
      <c r="J10" s="134"/>
      <c r="K10" s="135"/>
      <c r="L10" s="134" t="s">
        <v>140</v>
      </c>
      <c r="M10" s="119"/>
      <c r="N10" s="119"/>
      <c r="O10" s="119"/>
      <c r="P10" s="119"/>
      <c r="Q10" s="119"/>
      <c r="R10" s="119"/>
      <c r="S10" s="119"/>
      <c r="T10" s="119"/>
      <c r="U10" s="119"/>
      <c r="V10" s="120"/>
      <c r="W10" s="118" t="s">
        <v>141</v>
      </c>
      <c r="X10" s="119"/>
      <c r="Y10" s="119"/>
      <c r="Z10" s="119"/>
      <c r="AA10" s="119"/>
      <c r="AB10" s="119"/>
      <c r="AC10" s="119"/>
      <c r="AD10" s="119"/>
      <c r="AE10" s="119"/>
      <c r="AF10" s="119"/>
      <c r="AG10" s="120"/>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155" t="s">
        <v>25</v>
      </c>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56"/>
      <c r="AG12" s="157"/>
      <c r="AH12" s="15"/>
      <c r="AI12" s="15"/>
      <c r="AJ12" s="15"/>
      <c r="AK12" s="15"/>
    </row>
    <row r="13" spans="1:37" s="49" customFormat="1" ht="54.75" customHeight="1" x14ac:dyDescent="0.2">
      <c r="A13" s="138" t="s">
        <v>128</v>
      </c>
      <c r="B13" s="139"/>
      <c r="C13" s="139"/>
      <c r="D13" s="139"/>
      <c r="E13" s="139"/>
      <c r="F13" s="139"/>
      <c r="G13" s="139"/>
      <c r="H13" s="139"/>
      <c r="I13" s="139"/>
      <c r="J13" s="139"/>
      <c r="K13" s="140"/>
      <c r="L13" s="118" t="s">
        <v>130</v>
      </c>
      <c r="M13" s="119"/>
      <c r="N13" s="119"/>
      <c r="O13" s="119"/>
      <c r="P13" s="119"/>
      <c r="Q13" s="119"/>
      <c r="R13" s="119"/>
      <c r="S13" s="119"/>
      <c r="T13" s="119"/>
      <c r="U13" s="119"/>
      <c r="V13" s="120"/>
      <c r="W13" s="138" t="s">
        <v>131</v>
      </c>
      <c r="X13" s="139"/>
      <c r="Y13" s="139"/>
      <c r="Z13" s="139"/>
      <c r="AA13" s="139"/>
      <c r="AB13" s="139"/>
      <c r="AC13" s="139"/>
      <c r="AD13" s="139"/>
      <c r="AE13" s="139"/>
      <c r="AF13" s="139"/>
      <c r="AG13" s="140"/>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
      <c r="A15" s="150" t="s">
        <v>26</v>
      </c>
      <c r="B15" s="150"/>
      <c r="C15" s="150"/>
      <c r="D15" s="150"/>
      <c r="E15" s="147"/>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9"/>
      <c r="AH15" s="17"/>
      <c r="AI15" s="17"/>
      <c r="AJ15" s="17"/>
      <c r="AK15" s="17"/>
    </row>
    <row r="16" spans="1:37" s="18" customFormat="1" ht="37.5" customHeight="1" x14ac:dyDescent="0.2">
      <c r="A16" s="151"/>
      <c r="B16" s="151"/>
      <c r="C16" s="151"/>
      <c r="D16" s="151"/>
      <c r="E16" s="152"/>
      <c r="F16" s="153"/>
      <c r="G16" s="153"/>
      <c r="H16" s="153"/>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4"/>
      <c r="AH16" s="17"/>
      <c r="AI16" s="17"/>
      <c r="AJ16" s="17"/>
      <c r="AK16" s="17"/>
    </row>
    <row r="17" spans="1:37" s="18" customFormat="1"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
      <c r="A23" s="136" t="str">
        <f>MXTitle</f>
        <v>SWArchitectureGlobalIntegrationTests - SW Scheduling</v>
      </c>
      <c r="B23" s="137"/>
      <c r="C23" s="137"/>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7"/>
      <c r="AI23" s="17"/>
      <c r="AJ23" s="17"/>
      <c r="AK23" s="17"/>
    </row>
    <row r="24" spans="1:37" s="18" customFormat="1" ht="25.5" x14ac:dyDescent="0.2">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c r="H26" s="16" t="s">
        <v>154</v>
      </c>
    </row>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1">
    <mergeCell ref="A23:AG23"/>
    <mergeCell ref="A13:K13"/>
    <mergeCell ref="AB7:AD7"/>
    <mergeCell ref="A9:K9"/>
    <mergeCell ref="W13:AG13"/>
    <mergeCell ref="E15:AG15"/>
    <mergeCell ref="E7:V7"/>
    <mergeCell ref="A15:D16"/>
    <mergeCell ref="E16:AG16"/>
    <mergeCell ref="A7:D7"/>
    <mergeCell ref="A12:AG12"/>
    <mergeCell ref="A10:E10"/>
    <mergeCell ref="L9:V9"/>
    <mergeCell ref="W9:AG9"/>
    <mergeCell ref="L10:V10"/>
    <mergeCell ref="AE7:AG7"/>
    <mergeCell ref="L13:V13"/>
    <mergeCell ref="AB4:AG4"/>
    <mergeCell ref="AB5:AG5"/>
    <mergeCell ref="W4:AA4"/>
    <mergeCell ref="W5:AA5"/>
    <mergeCell ref="W6:AA6"/>
    <mergeCell ref="W10:AG10"/>
    <mergeCell ref="A5:V5"/>
    <mergeCell ref="A4:V4"/>
    <mergeCell ref="A6:D6"/>
    <mergeCell ref="F10:K10"/>
    <mergeCell ref="E6:V6"/>
    <mergeCell ref="AB6:AD6"/>
    <mergeCell ref="AE6:AG6"/>
    <mergeCell ref="W7:AA7"/>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ignoredErrors>
    <ignoredError sqref="A23:IV23" unlockedFormula="1"/>
    <ignoredError sqref="AD3" evalError="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BH177"/>
  <sheetViews>
    <sheetView showGridLines="0" topLeftCell="A21" zoomScaleNormal="100" workbookViewId="0">
      <selection activeCell="E26" sqref="E26:Q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PP4G_SYS_SF_Review_for_Coverage.xlsm</v>
      </c>
      <c r="AE3" s="8"/>
      <c r="AF3" s="8"/>
      <c r="AG3" s="8"/>
      <c r="AH3" s="8"/>
      <c r="AI3" s="8"/>
      <c r="AJ3" s="8"/>
      <c r="AK3" s="8"/>
    </row>
    <row r="4" spans="1:37" s="7" customFormat="1" ht="11.1" customHeight="1" x14ac:dyDescent="0.2">
      <c r="A4" s="131" t="s">
        <v>1</v>
      </c>
      <c r="B4" s="132"/>
      <c r="C4" s="132"/>
      <c r="D4" s="132"/>
      <c r="E4" s="132"/>
      <c r="F4" s="132"/>
      <c r="G4" s="132"/>
      <c r="H4" s="132"/>
      <c r="I4" s="132"/>
      <c r="J4" s="132"/>
      <c r="K4" s="132"/>
      <c r="L4" s="132"/>
      <c r="M4" s="132"/>
      <c r="N4" s="132"/>
      <c r="O4" s="132"/>
      <c r="P4" s="132"/>
      <c r="Q4" s="132"/>
      <c r="R4" s="132"/>
      <c r="S4" s="132"/>
      <c r="T4" s="132"/>
      <c r="U4" s="132"/>
      <c r="V4" s="133"/>
      <c r="W4" s="178" t="s">
        <v>2</v>
      </c>
      <c r="X4" s="179"/>
      <c r="Y4" s="179"/>
      <c r="Z4" s="179"/>
      <c r="AA4" s="180"/>
      <c r="AB4" s="121" t="s">
        <v>21</v>
      </c>
      <c r="AC4" s="122"/>
      <c r="AD4" s="122"/>
      <c r="AE4" s="122"/>
      <c r="AF4" s="122"/>
      <c r="AG4" s="123"/>
      <c r="AH4" s="10"/>
      <c r="AI4" s="10"/>
      <c r="AJ4" s="10"/>
      <c r="AK4" s="8"/>
    </row>
    <row r="5" spans="1:37" s="12" customFormat="1" x14ac:dyDescent="0.2">
      <c r="A5" s="130" t="str">
        <f>MXAuthority</f>
        <v>124479 AHO GPM EL EL ECU PP LOW COST</v>
      </c>
      <c r="B5" s="125"/>
      <c r="C5" s="125"/>
      <c r="D5" s="125"/>
      <c r="E5" s="125"/>
      <c r="F5" s="125"/>
      <c r="G5" s="125"/>
      <c r="H5" s="125"/>
      <c r="I5" s="125"/>
      <c r="J5" s="125"/>
      <c r="K5" s="125"/>
      <c r="L5" s="125"/>
      <c r="M5" s="125"/>
      <c r="N5" s="125"/>
      <c r="O5" s="125"/>
      <c r="P5" s="125"/>
      <c r="Q5" s="125"/>
      <c r="R5" s="125"/>
      <c r="S5" s="125"/>
      <c r="T5" s="125"/>
      <c r="U5" s="125"/>
      <c r="V5" s="126"/>
      <c r="W5" s="181" t="str">
        <f>MXCurrent.Localized</f>
        <v>Draft</v>
      </c>
      <c r="X5" s="182"/>
      <c r="Y5" s="182"/>
      <c r="Z5" s="182"/>
      <c r="AA5" s="183"/>
      <c r="AB5" s="130">
        <f>MXActual_state_Released</f>
        <v>41805.666666666664</v>
      </c>
      <c r="AC5" s="125"/>
      <c r="AD5" s="125"/>
      <c r="AE5" s="125"/>
      <c r="AF5" s="125"/>
      <c r="AG5" s="126"/>
      <c r="AH5" s="11"/>
      <c r="AI5" s="11"/>
      <c r="AJ5" s="11"/>
      <c r="AK5" s="11"/>
    </row>
    <row r="6" spans="1:37" s="1" customFormat="1" ht="11.1" customHeight="1" x14ac:dyDescent="0.2">
      <c r="A6" s="184" t="s">
        <v>3</v>
      </c>
      <c r="B6" s="185"/>
      <c r="C6" s="185"/>
      <c r="D6" s="186"/>
      <c r="E6" s="184" t="s">
        <v>4</v>
      </c>
      <c r="F6" s="185"/>
      <c r="G6" s="185"/>
      <c r="H6" s="185"/>
      <c r="I6" s="185"/>
      <c r="J6" s="185"/>
      <c r="K6" s="185"/>
      <c r="L6" s="185"/>
      <c r="M6" s="185"/>
      <c r="N6" s="185"/>
      <c r="O6" s="185"/>
      <c r="P6" s="185"/>
      <c r="Q6" s="185"/>
      <c r="R6" s="185"/>
      <c r="S6" s="185"/>
      <c r="T6" s="185"/>
      <c r="U6" s="185"/>
      <c r="V6" s="186"/>
      <c r="W6" s="131" t="s">
        <v>16</v>
      </c>
      <c r="X6" s="132"/>
      <c r="Y6" s="132"/>
      <c r="Z6" s="132"/>
      <c r="AA6" s="133"/>
      <c r="AB6" s="178" t="s">
        <v>0</v>
      </c>
      <c r="AC6" s="179"/>
      <c r="AD6" s="180"/>
      <c r="AE6" s="178" t="s">
        <v>5</v>
      </c>
      <c r="AF6" s="179"/>
      <c r="AG6" s="180"/>
      <c r="AH6" s="6"/>
      <c r="AI6" s="6"/>
      <c r="AJ6" s="6"/>
      <c r="AK6" s="6"/>
    </row>
    <row r="7" spans="1:37" s="14" customFormat="1" x14ac:dyDescent="0.2">
      <c r="A7" s="181" t="str">
        <f>MXName</f>
        <v>E1355904</v>
      </c>
      <c r="B7" s="182"/>
      <c r="C7" s="182"/>
      <c r="D7" s="183"/>
      <c r="E7" s="181" t="str">
        <f>MXTitle</f>
        <v>SWArchitectureGlobalIntegrationTests - SW Scheduling</v>
      </c>
      <c r="F7" s="182"/>
      <c r="G7" s="182"/>
      <c r="H7" s="182"/>
      <c r="I7" s="182"/>
      <c r="J7" s="182"/>
      <c r="K7" s="182"/>
      <c r="L7" s="182"/>
      <c r="M7" s="182"/>
      <c r="N7" s="182"/>
      <c r="O7" s="182"/>
      <c r="P7" s="182"/>
      <c r="Q7" s="182"/>
      <c r="R7" s="182"/>
      <c r="S7" s="182"/>
      <c r="T7" s="182"/>
      <c r="U7" s="182"/>
      <c r="V7" s="183"/>
      <c r="W7" s="181" t="str">
        <f>TemplateRef</f>
        <v>SW04TEM001</v>
      </c>
      <c r="X7" s="182"/>
      <c r="Y7" s="182"/>
      <c r="Z7" s="182"/>
      <c r="AA7" s="183"/>
      <c r="AB7" s="181" t="str">
        <f>MXRevision</f>
        <v>000</v>
      </c>
      <c r="AC7" s="182"/>
      <c r="AD7" s="183"/>
      <c r="AE7" s="181" t="str">
        <f>MXVersion</f>
        <v>001</v>
      </c>
      <c r="AF7" s="182"/>
      <c r="AG7" s="183"/>
      <c r="AH7" s="13"/>
      <c r="AI7" s="13"/>
      <c r="AJ7" s="13"/>
      <c r="AK7" s="13"/>
    </row>
    <row r="8" spans="1:37" ht="11.1" customHeight="1" x14ac:dyDescent="0.2">
      <c r="A8" s="184" t="s">
        <v>11</v>
      </c>
      <c r="B8" s="185"/>
      <c r="C8" s="185"/>
      <c r="D8" s="185"/>
      <c r="E8" s="185"/>
      <c r="F8" s="185"/>
      <c r="G8" s="185"/>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6"/>
      <c r="AH8" s="15"/>
      <c r="AI8" s="15"/>
      <c r="AJ8" s="15"/>
      <c r="AK8" s="15"/>
    </row>
    <row r="9" spans="1:37" s="18" customFormat="1" x14ac:dyDescent="0.2">
      <c r="A9" s="188" t="s">
        <v>15</v>
      </c>
      <c r="B9" s="189"/>
      <c r="C9" s="189"/>
      <c r="D9" s="189"/>
      <c r="E9" s="189"/>
      <c r="F9" s="189"/>
      <c r="G9" s="189"/>
      <c r="H9" s="189"/>
      <c r="I9" s="189"/>
      <c r="J9" s="189"/>
      <c r="K9" s="189"/>
      <c r="L9" s="189"/>
      <c r="M9" s="189"/>
      <c r="N9" s="189"/>
      <c r="O9" s="189"/>
      <c r="P9" s="189"/>
      <c r="Q9" s="189"/>
      <c r="R9" s="189"/>
      <c r="S9" s="189"/>
      <c r="T9" s="189"/>
      <c r="U9" s="189"/>
      <c r="V9" s="189"/>
      <c r="W9" s="189"/>
      <c r="X9" s="189"/>
      <c r="Y9" s="189"/>
      <c r="Z9" s="189"/>
      <c r="AA9" s="189"/>
      <c r="AB9" s="189"/>
      <c r="AC9" s="189"/>
      <c r="AD9" s="189"/>
      <c r="AE9" s="189"/>
      <c r="AF9" s="189"/>
      <c r="AG9" s="190"/>
      <c r="AH9" s="17"/>
      <c r="AI9" s="17"/>
      <c r="AJ9" s="17"/>
    </row>
    <row r="10" spans="1:37" x14ac:dyDescent="0.2"/>
    <row r="11" spans="1:37" x14ac:dyDescent="0.2"/>
    <row r="12" spans="1:37" ht="26.25" x14ac:dyDescent="0.2">
      <c r="B12" s="19" t="s">
        <v>17</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18</v>
      </c>
      <c r="C14" s="22"/>
    </row>
    <row r="15" spans="1:37" x14ac:dyDescent="0.2">
      <c r="B15" s="175" t="s">
        <v>7</v>
      </c>
      <c r="C15" s="187"/>
      <c r="D15" s="187"/>
      <c r="E15" s="187"/>
      <c r="F15" s="187"/>
      <c r="G15" s="175" t="s">
        <v>6</v>
      </c>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7" ht="24" customHeight="1" x14ac:dyDescent="0.2">
      <c r="B16" s="177" t="s">
        <v>34</v>
      </c>
      <c r="C16" s="177"/>
      <c r="D16" s="177"/>
      <c r="E16" s="177"/>
      <c r="F16" s="177"/>
      <c r="G16" s="160" t="s">
        <v>36</v>
      </c>
      <c r="H16" s="160"/>
      <c r="I16" s="160"/>
      <c r="J16" s="160"/>
      <c r="K16" s="160"/>
      <c r="L16" s="160"/>
      <c r="M16" s="160"/>
      <c r="N16" s="160"/>
      <c r="O16" s="160"/>
      <c r="P16" s="160"/>
      <c r="Q16" s="160"/>
      <c r="R16" s="160"/>
      <c r="S16" s="160"/>
      <c r="T16" s="160"/>
      <c r="U16" s="160"/>
      <c r="V16" s="160"/>
      <c r="W16" s="160"/>
      <c r="X16" s="160"/>
      <c r="Y16" s="160"/>
      <c r="Z16" s="160"/>
      <c r="AA16" s="160"/>
      <c r="AB16" s="160"/>
      <c r="AC16" s="160"/>
      <c r="AD16" s="160"/>
      <c r="AE16" s="160"/>
      <c r="AF16" s="160"/>
    </row>
    <row r="17" spans="1:45" ht="24" customHeight="1" x14ac:dyDescent="0.2">
      <c r="B17" s="177" t="s">
        <v>35</v>
      </c>
      <c r="C17" s="177"/>
      <c r="D17" s="177"/>
      <c r="E17" s="177"/>
      <c r="F17" s="177"/>
      <c r="G17" s="173" t="s">
        <v>121</v>
      </c>
      <c r="H17" s="160"/>
      <c r="I17" s="160"/>
      <c r="J17" s="160"/>
      <c r="K17" s="160"/>
      <c r="L17" s="160"/>
      <c r="M17" s="160"/>
      <c r="N17" s="160"/>
      <c r="O17" s="160"/>
      <c r="P17" s="160"/>
      <c r="Q17" s="160"/>
      <c r="R17" s="160"/>
      <c r="S17" s="160"/>
      <c r="T17" s="160"/>
      <c r="U17" s="160"/>
      <c r="V17" s="160"/>
      <c r="W17" s="160"/>
      <c r="X17" s="160"/>
      <c r="Y17" s="160"/>
      <c r="Z17" s="160"/>
      <c r="AA17" s="160"/>
      <c r="AB17" s="160"/>
      <c r="AC17" s="160"/>
      <c r="AD17" s="160"/>
      <c r="AE17" s="160"/>
      <c r="AF17" s="160"/>
    </row>
    <row r="18" spans="1:45" ht="24" customHeight="1" x14ac:dyDescent="0.2">
      <c r="B18" s="171" t="s">
        <v>115</v>
      </c>
      <c r="C18" s="177"/>
      <c r="D18" s="177"/>
      <c r="E18" s="177"/>
      <c r="F18" s="177"/>
      <c r="G18" s="173" t="s">
        <v>117</v>
      </c>
      <c r="H18" s="160"/>
      <c r="I18" s="160"/>
      <c r="J18" s="160"/>
      <c r="K18" s="160"/>
      <c r="L18" s="160"/>
      <c r="M18" s="160"/>
      <c r="N18" s="160"/>
      <c r="O18" s="160"/>
      <c r="P18" s="160"/>
      <c r="Q18" s="160"/>
      <c r="R18" s="160"/>
      <c r="S18" s="160"/>
      <c r="T18" s="160"/>
      <c r="U18" s="160"/>
      <c r="V18" s="160"/>
      <c r="W18" s="160"/>
      <c r="X18" s="160"/>
      <c r="Y18" s="160"/>
      <c r="Z18" s="160"/>
      <c r="AA18" s="160"/>
      <c r="AB18" s="160"/>
      <c r="AC18" s="160"/>
      <c r="AD18" s="160"/>
      <c r="AE18" s="160"/>
      <c r="AF18" s="160"/>
    </row>
    <row r="19" spans="1:45" ht="24" customHeight="1" x14ac:dyDescent="0.2">
      <c r="B19" s="171" t="s">
        <v>116</v>
      </c>
      <c r="C19" s="177"/>
      <c r="D19" s="177"/>
      <c r="E19" s="177"/>
      <c r="F19" s="177"/>
      <c r="G19" s="173" t="s">
        <v>123</v>
      </c>
      <c r="H19" s="160"/>
      <c r="I19" s="160"/>
      <c r="J19" s="160"/>
      <c r="K19" s="160"/>
      <c r="L19" s="160"/>
      <c r="M19" s="160"/>
      <c r="N19" s="160"/>
      <c r="O19" s="160"/>
      <c r="P19" s="160"/>
      <c r="Q19" s="160"/>
      <c r="R19" s="160"/>
      <c r="S19" s="160"/>
      <c r="T19" s="160"/>
      <c r="U19" s="160"/>
      <c r="V19" s="160"/>
      <c r="W19" s="160"/>
      <c r="X19" s="160"/>
      <c r="Y19" s="160"/>
      <c r="Z19" s="160"/>
      <c r="AA19" s="160"/>
      <c r="AB19" s="160"/>
      <c r="AC19" s="160"/>
      <c r="AD19" s="160"/>
      <c r="AE19" s="160"/>
      <c r="AF19" s="160"/>
      <c r="AS19" s="23"/>
    </row>
    <row r="20" spans="1:45" ht="24" customHeight="1" x14ac:dyDescent="0.2">
      <c r="B20" s="171" t="s">
        <v>45</v>
      </c>
      <c r="C20" s="177"/>
      <c r="D20" s="177"/>
      <c r="E20" s="177"/>
      <c r="F20" s="177"/>
      <c r="G20" s="173" t="s">
        <v>124</v>
      </c>
      <c r="H20" s="160"/>
      <c r="I20" s="160"/>
      <c r="J20" s="160"/>
      <c r="K20" s="160"/>
      <c r="L20" s="160"/>
      <c r="M20" s="160"/>
      <c r="N20" s="160"/>
      <c r="O20" s="160"/>
      <c r="P20" s="160"/>
      <c r="Q20" s="160"/>
      <c r="R20" s="160"/>
      <c r="S20" s="160"/>
      <c r="T20" s="160"/>
      <c r="U20" s="160"/>
      <c r="V20" s="160"/>
      <c r="W20" s="160"/>
      <c r="X20" s="160"/>
      <c r="Y20" s="160"/>
      <c r="Z20" s="160"/>
      <c r="AA20" s="160"/>
      <c r="AB20" s="160"/>
      <c r="AC20" s="160"/>
      <c r="AD20" s="160"/>
      <c r="AE20" s="160"/>
      <c r="AF20" s="160"/>
      <c r="AS20" s="23"/>
    </row>
    <row r="21" spans="1:45" ht="24" customHeight="1" x14ac:dyDescent="0.2">
      <c r="B21" s="171" t="s">
        <v>118</v>
      </c>
      <c r="C21" s="177"/>
      <c r="D21" s="177"/>
      <c r="E21" s="177"/>
      <c r="F21" s="177"/>
      <c r="G21" s="173" t="s">
        <v>122</v>
      </c>
      <c r="H21" s="160"/>
      <c r="I21" s="160"/>
      <c r="J21" s="160"/>
      <c r="K21" s="160"/>
      <c r="L21" s="160"/>
      <c r="M21" s="160"/>
      <c r="N21" s="160"/>
      <c r="O21" s="160"/>
      <c r="P21" s="160"/>
      <c r="Q21" s="160"/>
      <c r="R21" s="160"/>
      <c r="S21" s="160"/>
      <c r="T21" s="160"/>
      <c r="U21" s="160"/>
      <c r="V21" s="160"/>
      <c r="W21" s="160"/>
      <c r="X21" s="160"/>
      <c r="Y21" s="160"/>
      <c r="Z21" s="160"/>
      <c r="AA21" s="160"/>
      <c r="AB21" s="160"/>
      <c r="AC21" s="160"/>
      <c r="AD21" s="160"/>
      <c r="AE21" s="160"/>
      <c r="AF21" s="160"/>
      <c r="AS21" s="23"/>
    </row>
    <row r="22" spans="1:45" x14ac:dyDescent="0.2">
      <c r="C22" s="24"/>
      <c r="I22" s="25"/>
    </row>
    <row r="23" spans="1:45" ht="20.25" x14ac:dyDescent="0.2">
      <c r="A23" s="21"/>
      <c r="B23" s="21" t="s">
        <v>28</v>
      </c>
      <c r="C23" s="24"/>
      <c r="I23" s="25"/>
    </row>
    <row r="24" spans="1:45" x14ac:dyDescent="0.2">
      <c r="B24" s="175" t="s">
        <v>0</v>
      </c>
      <c r="C24" s="176"/>
      <c r="D24" s="176"/>
      <c r="E24" s="175" t="s">
        <v>12</v>
      </c>
      <c r="F24" s="175"/>
      <c r="G24" s="175"/>
      <c r="H24" s="175"/>
      <c r="I24" s="175" t="s">
        <v>13</v>
      </c>
      <c r="J24" s="176"/>
      <c r="K24" s="176"/>
      <c r="L24" s="176"/>
      <c r="M24" s="176"/>
      <c r="N24" s="176"/>
      <c r="O24" s="176"/>
      <c r="P24" s="176"/>
      <c r="Q24" s="176"/>
      <c r="R24" s="175" t="s">
        <v>14</v>
      </c>
      <c r="S24" s="175"/>
      <c r="T24" s="175"/>
      <c r="U24" s="175"/>
      <c r="V24" s="175"/>
      <c r="W24" s="175"/>
      <c r="X24" s="175"/>
      <c r="Y24" s="175"/>
      <c r="Z24" s="175"/>
      <c r="AA24" s="175"/>
      <c r="AB24" s="175"/>
      <c r="AC24" s="175"/>
      <c r="AD24" s="175"/>
      <c r="AE24" s="175"/>
      <c r="AF24" s="175"/>
    </row>
    <row r="25" spans="1:45" x14ac:dyDescent="0.2">
      <c r="B25" s="171"/>
      <c r="C25" s="172"/>
      <c r="D25" s="172"/>
      <c r="E25" s="173"/>
      <c r="F25" s="160"/>
      <c r="G25" s="160"/>
      <c r="H25" s="160"/>
      <c r="I25" s="173"/>
      <c r="J25" s="174"/>
      <c r="K25" s="174"/>
      <c r="L25" s="174"/>
      <c r="M25" s="174"/>
      <c r="N25" s="174"/>
      <c r="O25" s="174"/>
      <c r="P25" s="174"/>
      <c r="Q25" s="174"/>
      <c r="R25" s="173"/>
      <c r="S25" s="160"/>
      <c r="T25" s="160"/>
      <c r="U25" s="160"/>
      <c r="V25" s="160"/>
      <c r="W25" s="160"/>
      <c r="X25" s="160"/>
      <c r="Y25" s="160"/>
      <c r="Z25" s="160"/>
      <c r="AA25" s="160"/>
      <c r="AB25" s="160"/>
      <c r="AC25" s="160"/>
      <c r="AD25" s="160"/>
      <c r="AE25" s="160"/>
      <c r="AF25" s="160"/>
    </row>
    <row r="26" spans="1:45" x14ac:dyDescent="0.2">
      <c r="B26" s="171"/>
      <c r="C26" s="172"/>
      <c r="D26" s="172"/>
      <c r="E26" s="173"/>
      <c r="F26" s="160"/>
      <c r="G26" s="160"/>
      <c r="H26" s="160"/>
      <c r="I26" s="173"/>
      <c r="J26" s="174"/>
      <c r="K26" s="174"/>
      <c r="L26" s="174"/>
      <c r="M26" s="174"/>
      <c r="N26" s="174"/>
      <c r="O26" s="174"/>
      <c r="P26" s="174"/>
      <c r="Q26" s="174"/>
      <c r="R26" s="173"/>
      <c r="S26" s="160"/>
      <c r="T26" s="160"/>
      <c r="U26" s="160"/>
      <c r="V26" s="160"/>
      <c r="W26" s="160"/>
      <c r="X26" s="160"/>
      <c r="Y26" s="160"/>
      <c r="Z26" s="160"/>
      <c r="AA26" s="160"/>
      <c r="AB26" s="160"/>
      <c r="AC26" s="160"/>
      <c r="AD26" s="160"/>
      <c r="AE26" s="160"/>
      <c r="AF26" s="160"/>
    </row>
    <row r="27" spans="1:45" x14ac:dyDescent="0.2">
      <c r="B27" s="171"/>
      <c r="C27" s="172"/>
      <c r="D27" s="172"/>
      <c r="E27" s="173"/>
      <c r="F27" s="160"/>
      <c r="G27" s="160"/>
      <c r="H27" s="160"/>
      <c r="I27" s="173"/>
      <c r="J27" s="174"/>
      <c r="K27" s="174"/>
      <c r="L27" s="174"/>
      <c r="M27" s="174"/>
      <c r="N27" s="174"/>
      <c r="O27" s="174"/>
      <c r="P27" s="174"/>
      <c r="Q27" s="174"/>
      <c r="R27" s="173"/>
      <c r="S27" s="160"/>
      <c r="T27" s="160"/>
      <c r="U27" s="160"/>
      <c r="V27" s="160"/>
      <c r="W27" s="160"/>
      <c r="X27" s="160"/>
      <c r="Y27" s="160"/>
      <c r="Z27" s="160"/>
      <c r="AA27" s="160"/>
      <c r="AB27" s="160"/>
      <c r="AC27" s="160"/>
      <c r="AD27" s="160"/>
      <c r="AE27" s="160"/>
      <c r="AF27" s="160"/>
    </row>
    <row r="28" spans="1:45" x14ac:dyDescent="0.2">
      <c r="B28" s="171"/>
      <c r="C28" s="172"/>
      <c r="D28" s="172"/>
      <c r="E28" s="173"/>
      <c r="F28" s="160"/>
      <c r="G28" s="160"/>
      <c r="H28" s="160"/>
      <c r="I28" s="173"/>
      <c r="J28" s="174"/>
      <c r="K28" s="174"/>
      <c r="L28" s="174"/>
      <c r="M28" s="174"/>
      <c r="N28" s="174"/>
      <c r="O28" s="174"/>
      <c r="P28" s="174"/>
      <c r="Q28" s="174"/>
      <c r="R28" s="173"/>
      <c r="S28" s="160"/>
      <c r="T28" s="160"/>
      <c r="U28" s="160"/>
      <c r="V28" s="160"/>
      <c r="W28" s="160"/>
      <c r="X28" s="160"/>
      <c r="Y28" s="160"/>
      <c r="Z28" s="160"/>
      <c r="AA28" s="160"/>
      <c r="AB28" s="160"/>
      <c r="AC28" s="160"/>
      <c r="AD28" s="160"/>
      <c r="AE28" s="160"/>
      <c r="AF28" s="160"/>
    </row>
    <row r="29" spans="1:45" x14ac:dyDescent="0.2">
      <c r="B29" s="171"/>
      <c r="C29" s="172"/>
      <c r="D29" s="172"/>
      <c r="E29" s="173"/>
      <c r="F29" s="160"/>
      <c r="G29" s="160"/>
      <c r="H29" s="160"/>
      <c r="I29" s="173"/>
      <c r="J29" s="174"/>
      <c r="K29" s="174"/>
      <c r="L29" s="174"/>
      <c r="M29" s="174"/>
      <c r="N29" s="174"/>
      <c r="O29" s="174"/>
      <c r="P29" s="174"/>
      <c r="Q29" s="174"/>
      <c r="R29" s="173"/>
      <c r="S29" s="160"/>
      <c r="T29" s="160"/>
      <c r="U29" s="160"/>
      <c r="V29" s="160"/>
      <c r="W29" s="160"/>
      <c r="X29" s="160"/>
      <c r="Y29" s="160"/>
      <c r="Z29" s="160"/>
      <c r="AA29" s="160"/>
      <c r="AB29" s="160"/>
      <c r="AC29" s="160"/>
      <c r="AD29" s="160"/>
      <c r="AE29" s="160"/>
      <c r="AF29" s="160"/>
    </row>
    <row r="30" spans="1:45" ht="28.5" customHeight="1" x14ac:dyDescent="0.2">
      <c r="B30" s="163"/>
      <c r="C30" s="164"/>
      <c r="D30" s="164"/>
      <c r="E30" s="165"/>
      <c r="F30" s="166"/>
      <c r="G30" s="166"/>
      <c r="H30" s="166"/>
      <c r="I30" s="165"/>
      <c r="J30" s="167"/>
      <c r="K30" s="167"/>
      <c r="L30" s="167"/>
      <c r="M30" s="167"/>
      <c r="N30" s="167"/>
      <c r="O30" s="167"/>
      <c r="P30" s="167"/>
      <c r="Q30" s="167"/>
      <c r="R30" s="168"/>
      <c r="S30" s="169"/>
      <c r="T30" s="169"/>
      <c r="U30" s="169"/>
      <c r="V30" s="169"/>
      <c r="W30" s="169"/>
      <c r="X30" s="169"/>
      <c r="Y30" s="169"/>
      <c r="Z30" s="169"/>
      <c r="AA30" s="169"/>
      <c r="AB30" s="169"/>
      <c r="AC30" s="169"/>
      <c r="AD30" s="169"/>
      <c r="AE30" s="169"/>
      <c r="AF30" s="170"/>
    </row>
    <row r="31" spans="1:45" ht="28.5" customHeight="1" x14ac:dyDescent="0.2">
      <c r="B31" s="163"/>
      <c r="C31" s="164"/>
      <c r="D31" s="164"/>
      <c r="E31" s="165"/>
      <c r="F31" s="166"/>
      <c r="G31" s="166"/>
      <c r="H31" s="166"/>
      <c r="I31" s="165"/>
      <c r="J31" s="167"/>
      <c r="K31" s="167"/>
      <c r="L31" s="167"/>
      <c r="M31" s="167"/>
      <c r="N31" s="167"/>
      <c r="O31" s="167"/>
      <c r="P31" s="167"/>
      <c r="Q31" s="167"/>
      <c r="R31" s="168"/>
      <c r="S31" s="169"/>
      <c r="T31" s="169"/>
      <c r="U31" s="169"/>
      <c r="V31" s="169"/>
      <c r="W31" s="169"/>
      <c r="X31" s="169"/>
      <c r="Y31" s="169"/>
      <c r="Z31" s="169"/>
      <c r="AA31" s="169"/>
      <c r="AB31" s="169"/>
      <c r="AC31" s="169"/>
      <c r="AD31" s="169"/>
      <c r="AE31" s="169"/>
      <c r="AF31" s="170"/>
    </row>
    <row r="32" spans="1:45" x14ac:dyDescent="0.2">
      <c r="B32" s="109"/>
      <c r="C32" s="27"/>
      <c r="D32" s="27"/>
      <c r="E32" s="110"/>
      <c r="F32" s="28"/>
      <c r="G32" s="28"/>
      <c r="H32" s="28"/>
      <c r="I32" s="110"/>
      <c r="J32" s="29"/>
      <c r="K32" s="29"/>
      <c r="L32" s="29"/>
      <c r="M32" s="29"/>
      <c r="N32" s="29"/>
      <c r="O32" s="29"/>
      <c r="P32" s="29"/>
      <c r="Q32" s="29"/>
      <c r="R32" s="110"/>
      <c r="S32" s="28"/>
      <c r="T32" s="28"/>
      <c r="U32" s="28"/>
      <c r="V32" s="28"/>
      <c r="W32" s="28"/>
      <c r="X32" s="28"/>
      <c r="Y32" s="28"/>
      <c r="Z32" s="28"/>
      <c r="AA32" s="28"/>
      <c r="AB32" s="28"/>
      <c r="AC32" s="28"/>
      <c r="AD32" s="28"/>
      <c r="AE32" s="28"/>
      <c r="AF32" s="28"/>
    </row>
    <row r="33" spans="2:33" x14ac:dyDescent="0.2">
      <c r="B33" s="26" t="s">
        <v>27</v>
      </c>
      <c r="C33" s="27"/>
      <c r="D33" s="27"/>
      <c r="E33" s="28"/>
      <c r="F33" s="28"/>
      <c r="G33" s="28"/>
      <c r="H33" s="28"/>
      <c r="I33" s="28"/>
      <c r="J33" s="29"/>
      <c r="K33" s="29"/>
      <c r="L33" s="29"/>
      <c r="M33" s="29"/>
      <c r="N33" s="29"/>
      <c r="O33" s="29"/>
      <c r="P33" s="29"/>
      <c r="Q33" s="29"/>
      <c r="R33" s="28"/>
      <c r="S33" s="28"/>
      <c r="T33" s="28"/>
      <c r="U33" s="28"/>
      <c r="V33" s="28"/>
      <c r="W33" s="28"/>
      <c r="X33" s="28"/>
      <c r="Y33" s="28"/>
      <c r="Z33" s="28"/>
      <c r="AA33" s="28"/>
      <c r="AB33" s="28"/>
      <c r="AC33" s="28"/>
      <c r="AD33" s="28"/>
      <c r="AE33" s="28"/>
      <c r="AF33" s="28"/>
    </row>
    <row r="34" spans="2:33" x14ac:dyDescent="0.2">
      <c r="C34" s="24"/>
      <c r="I34" s="25"/>
    </row>
    <row r="35" spans="2:33" ht="20.25" x14ac:dyDescent="0.2">
      <c r="B35" s="21" t="s">
        <v>19</v>
      </c>
      <c r="I35" s="25"/>
    </row>
    <row r="36" spans="2:33" ht="66.75" customHeight="1" x14ac:dyDescent="0.2">
      <c r="B36" s="191" t="s">
        <v>127</v>
      </c>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30"/>
    </row>
    <row r="37" spans="2:33" x14ac:dyDescent="0.2">
      <c r="J37" s="31"/>
    </row>
    <row r="38" spans="2:33" ht="20.25" x14ac:dyDescent="0.2">
      <c r="B38" s="21" t="s">
        <v>20</v>
      </c>
      <c r="C38" s="22"/>
      <c r="I38" s="25"/>
    </row>
    <row r="39" spans="2:33" ht="24.75" customHeight="1" x14ac:dyDescent="0.2">
      <c r="B39" s="32" t="s">
        <v>29</v>
      </c>
      <c r="C39" s="22"/>
      <c r="I39" s="25"/>
    </row>
    <row r="40" spans="2:33" ht="12.75" customHeight="1" x14ac:dyDescent="0.2">
      <c r="B40" s="175" t="s">
        <v>8</v>
      </c>
      <c r="C40" s="175"/>
      <c r="D40" s="175"/>
      <c r="E40" s="175" t="s">
        <v>9</v>
      </c>
      <c r="F40" s="176"/>
      <c r="G40" s="176"/>
      <c r="H40" s="176"/>
      <c r="I40" s="176"/>
      <c r="J40" s="176"/>
      <c r="K40" s="176"/>
      <c r="L40" s="176"/>
      <c r="M40" s="176"/>
      <c r="N40" s="176"/>
      <c r="O40" s="176"/>
      <c r="P40" s="176"/>
      <c r="Q40" s="176"/>
      <c r="R40" s="176"/>
      <c r="S40" s="176"/>
      <c r="T40" s="176"/>
      <c r="U40" s="176"/>
      <c r="V40" s="176"/>
      <c r="W40" s="176"/>
      <c r="X40" s="176"/>
      <c r="Y40" s="175" t="s">
        <v>10</v>
      </c>
      <c r="Z40" s="175"/>
      <c r="AA40" s="175"/>
      <c r="AB40" s="175"/>
      <c r="AC40" s="175"/>
      <c r="AD40" s="175"/>
      <c r="AE40" s="175"/>
      <c r="AF40" s="175"/>
    </row>
    <row r="41" spans="2:33" x14ac:dyDescent="0.2">
      <c r="B41" s="162"/>
      <c r="C41" s="162"/>
      <c r="D41" s="162"/>
      <c r="E41" s="160"/>
      <c r="F41" s="161"/>
      <c r="G41" s="161"/>
      <c r="H41" s="161"/>
      <c r="I41" s="161"/>
      <c r="J41" s="161"/>
      <c r="K41" s="161"/>
      <c r="L41" s="161"/>
      <c r="M41" s="161"/>
      <c r="N41" s="161"/>
      <c r="O41" s="161"/>
      <c r="P41" s="161"/>
      <c r="Q41" s="161"/>
      <c r="R41" s="161"/>
      <c r="S41" s="161"/>
      <c r="T41" s="161"/>
      <c r="U41" s="161"/>
      <c r="V41" s="161"/>
      <c r="W41" s="161"/>
      <c r="X41" s="161"/>
      <c r="Y41" s="160"/>
      <c r="Z41" s="161"/>
      <c r="AA41" s="161"/>
      <c r="AB41" s="161"/>
      <c r="AC41" s="161"/>
      <c r="AD41" s="161"/>
      <c r="AE41" s="161"/>
      <c r="AF41" s="161"/>
    </row>
    <row r="42" spans="2:33" x14ac:dyDescent="0.2">
      <c r="B42" s="162"/>
      <c r="C42" s="162"/>
      <c r="D42" s="162"/>
      <c r="E42" s="160"/>
      <c r="F42" s="161"/>
      <c r="G42" s="161"/>
      <c r="H42" s="161"/>
      <c r="I42" s="161"/>
      <c r="J42" s="161"/>
      <c r="K42" s="161"/>
      <c r="L42" s="161"/>
      <c r="M42" s="161"/>
      <c r="N42" s="161"/>
      <c r="O42" s="161"/>
      <c r="P42" s="161"/>
      <c r="Q42" s="161"/>
      <c r="R42" s="161"/>
      <c r="S42" s="161"/>
      <c r="T42" s="161"/>
      <c r="U42" s="161"/>
      <c r="V42" s="161"/>
      <c r="W42" s="161"/>
      <c r="X42" s="161"/>
      <c r="Y42" s="160"/>
      <c r="Z42" s="161"/>
      <c r="AA42" s="161"/>
      <c r="AB42" s="161"/>
      <c r="AC42" s="161"/>
      <c r="AD42" s="161"/>
      <c r="AE42" s="161"/>
      <c r="AF42" s="161"/>
    </row>
    <row r="43" spans="2:33" x14ac:dyDescent="0.2">
      <c r="B43" s="162"/>
      <c r="C43" s="162"/>
      <c r="D43" s="162"/>
      <c r="E43" s="160"/>
      <c r="F43" s="161"/>
      <c r="G43" s="161"/>
      <c r="H43" s="161"/>
      <c r="I43" s="161"/>
      <c r="J43" s="161"/>
      <c r="K43" s="161"/>
      <c r="L43" s="161"/>
      <c r="M43" s="161"/>
      <c r="N43" s="161"/>
      <c r="O43" s="161"/>
      <c r="P43" s="161"/>
      <c r="Q43" s="161"/>
      <c r="R43" s="161"/>
      <c r="S43" s="161"/>
      <c r="T43" s="161"/>
      <c r="U43" s="161"/>
      <c r="V43" s="161"/>
      <c r="W43" s="161"/>
      <c r="X43" s="161"/>
      <c r="Y43" s="160"/>
      <c r="Z43" s="161"/>
      <c r="AA43" s="161"/>
      <c r="AB43" s="161"/>
      <c r="AC43" s="161"/>
      <c r="AD43" s="161"/>
      <c r="AE43" s="161"/>
      <c r="AF43" s="161"/>
    </row>
    <row r="44" spans="2:33" x14ac:dyDescent="0.2">
      <c r="B44" s="162"/>
      <c r="C44" s="162"/>
      <c r="D44" s="162"/>
      <c r="E44" s="160"/>
      <c r="F44" s="161"/>
      <c r="G44" s="161"/>
      <c r="H44" s="161"/>
      <c r="I44" s="161"/>
      <c r="J44" s="161"/>
      <c r="K44" s="161"/>
      <c r="L44" s="161"/>
      <c r="M44" s="161"/>
      <c r="N44" s="161"/>
      <c r="O44" s="161"/>
      <c r="P44" s="161"/>
      <c r="Q44" s="161"/>
      <c r="R44" s="161"/>
      <c r="S44" s="161"/>
      <c r="T44" s="161"/>
      <c r="U44" s="161"/>
      <c r="V44" s="161"/>
      <c r="W44" s="161"/>
      <c r="X44" s="161"/>
      <c r="Y44" s="160"/>
      <c r="Z44" s="161"/>
      <c r="AA44" s="161"/>
      <c r="AB44" s="161"/>
      <c r="AC44" s="161"/>
      <c r="AD44" s="161"/>
      <c r="AE44" s="161"/>
      <c r="AF44" s="161"/>
    </row>
    <row r="45" spans="2:33" ht="24.75" customHeight="1" x14ac:dyDescent="0.2">
      <c r="B45" s="32" t="s">
        <v>30</v>
      </c>
      <c r="C45" s="22"/>
      <c r="I45" s="25"/>
    </row>
    <row r="46" spans="2:33" ht="12.75" customHeight="1" x14ac:dyDescent="0.2">
      <c r="B46" s="175" t="s">
        <v>8</v>
      </c>
      <c r="C46" s="175"/>
      <c r="D46" s="175"/>
      <c r="E46" s="175" t="s">
        <v>9</v>
      </c>
      <c r="F46" s="176"/>
      <c r="G46" s="176"/>
      <c r="H46" s="176"/>
      <c r="I46" s="176"/>
      <c r="J46" s="176"/>
      <c r="K46" s="176"/>
      <c r="L46" s="176"/>
      <c r="M46" s="176"/>
      <c r="N46" s="176"/>
      <c r="O46" s="176"/>
      <c r="P46" s="176"/>
      <c r="Q46" s="176"/>
      <c r="R46" s="176"/>
      <c r="S46" s="176"/>
      <c r="T46" s="176"/>
      <c r="U46" s="176"/>
      <c r="V46" s="176"/>
      <c r="W46" s="176"/>
      <c r="X46" s="176"/>
      <c r="Y46" s="175" t="s">
        <v>10</v>
      </c>
      <c r="Z46" s="175"/>
      <c r="AA46" s="175"/>
      <c r="AB46" s="175"/>
      <c r="AC46" s="175"/>
      <c r="AD46" s="175"/>
      <c r="AE46" s="175"/>
      <c r="AF46" s="175"/>
    </row>
    <row r="47" spans="2:33" x14ac:dyDescent="0.2">
      <c r="B47" s="162"/>
      <c r="C47" s="162"/>
      <c r="D47" s="162"/>
      <c r="E47" s="160"/>
      <c r="F47" s="161"/>
      <c r="G47" s="161"/>
      <c r="H47" s="161"/>
      <c r="I47" s="161"/>
      <c r="J47" s="161"/>
      <c r="K47" s="161"/>
      <c r="L47" s="161"/>
      <c r="M47" s="161"/>
      <c r="N47" s="161"/>
      <c r="O47" s="161"/>
      <c r="P47" s="161"/>
      <c r="Q47" s="161"/>
      <c r="R47" s="161"/>
      <c r="S47" s="161"/>
      <c r="T47" s="161"/>
      <c r="U47" s="161"/>
      <c r="V47" s="161"/>
      <c r="W47" s="161"/>
      <c r="X47" s="161"/>
      <c r="Y47" s="160"/>
      <c r="Z47" s="161"/>
      <c r="AA47" s="161"/>
      <c r="AB47" s="161"/>
      <c r="AC47" s="161"/>
      <c r="AD47" s="161"/>
      <c r="AE47" s="161"/>
      <c r="AF47" s="161"/>
    </row>
    <row r="48" spans="2:33" x14ac:dyDescent="0.2">
      <c r="B48" s="162"/>
      <c r="C48" s="162"/>
      <c r="D48" s="162"/>
      <c r="E48" s="160"/>
      <c r="F48" s="161"/>
      <c r="G48" s="161"/>
      <c r="H48" s="161"/>
      <c r="I48" s="161"/>
      <c r="J48" s="161"/>
      <c r="K48" s="161"/>
      <c r="L48" s="161"/>
      <c r="M48" s="161"/>
      <c r="N48" s="161"/>
      <c r="O48" s="161"/>
      <c r="P48" s="161"/>
      <c r="Q48" s="161"/>
      <c r="R48" s="161"/>
      <c r="S48" s="161"/>
      <c r="T48" s="161"/>
      <c r="U48" s="161"/>
      <c r="V48" s="161"/>
      <c r="W48" s="161"/>
      <c r="X48" s="161"/>
      <c r="Y48" s="160"/>
      <c r="Z48" s="161"/>
      <c r="AA48" s="161"/>
      <c r="AB48" s="161"/>
      <c r="AC48" s="161"/>
      <c r="AD48" s="161"/>
      <c r="AE48" s="161"/>
      <c r="AF48" s="161"/>
    </row>
    <row r="49" spans="2:32" x14ac:dyDescent="0.2">
      <c r="B49" s="162"/>
      <c r="C49" s="162"/>
      <c r="D49" s="162"/>
      <c r="E49" s="160"/>
      <c r="F49" s="161"/>
      <c r="G49" s="161"/>
      <c r="H49" s="161"/>
      <c r="I49" s="161"/>
      <c r="J49" s="161"/>
      <c r="K49" s="161"/>
      <c r="L49" s="161"/>
      <c r="M49" s="161"/>
      <c r="N49" s="161"/>
      <c r="O49" s="161"/>
      <c r="P49" s="161"/>
      <c r="Q49" s="161"/>
      <c r="R49" s="161"/>
      <c r="S49" s="161"/>
      <c r="T49" s="161"/>
      <c r="U49" s="161"/>
      <c r="V49" s="161"/>
      <c r="W49" s="161"/>
      <c r="X49" s="161"/>
      <c r="Y49" s="160"/>
      <c r="Z49" s="161"/>
      <c r="AA49" s="161"/>
      <c r="AB49" s="161"/>
      <c r="AC49" s="161"/>
      <c r="AD49" s="161"/>
      <c r="AE49" s="161"/>
      <c r="AF49" s="161"/>
    </row>
    <row r="50" spans="2:32" x14ac:dyDescent="0.2">
      <c r="B50" s="162"/>
      <c r="C50" s="162"/>
      <c r="D50" s="162"/>
      <c r="E50" s="160"/>
      <c r="F50" s="161"/>
      <c r="G50" s="161"/>
      <c r="H50" s="161"/>
      <c r="I50" s="161"/>
      <c r="J50" s="161"/>
      <c r="K50" s="161"/>
      <c r="L50" s="161"/>
      <c r="M50" s="161"/>
      <c r="N50" s="161"/>
      <c r="O50" s="161"/>
      <c r="P50" s="161"/>
      <c r="Q50" s="161"/>
      <c r="R50" s="161"/>
      <c r="S50" s="161"/>
      <c r="T50" s="161"/>
      <c r="U50" s="161"/>
      <c r="V50" s="161"/>
      <c r="W50" s="161"/>
      <c r="X50" s="161"/>
      <c r="Y50" s="160"/>
      <c r="Z50" s="161"/>
      <c r="AA50" s="161"/>
      <c r="AB50" s="161"/>
      <c r="AC50" s="161"/>
      <c r="AD50" s="161"/>
      <c r="AE50" s="161"/>
      <c r="AF50" s="161"/>
    </row>
    <row r="51" spans="2:32" x14ac:dyDescent="0.2">
      <c r="C51" s="24"/>
      <c r="I51" s="25"/>
    </row>
    <row r="52" spans="2:32" ht="20.25" x14ac:dyDescent="0.2">
      <c r="B52" s="21" t="s">
        <v>32</v>
      </c>
      <c r="C52" s="22"/>
      <c r="I52" s="25"/>
    </row>
    <row r="53" spans="2:32" ht="12.75" customHeight="1" x14ac:dyDescent="0.2">
      <c r="B53" s="175" t="s">
        <v>31</v>
      </c>
      <c r="C53" s="175"/>
      <c r="D53" s="175"/>
      <c r="E53" s="175"/>
      <c r="F53" s="175"/>
      <c r="G53" s="17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row>
    <row r="54" spans="2:32" ht="33.75" customHeight="1" x14ac:dyDescent="0.2">
      <c r="B54" s="192" t="s">
        <v>110</v>
      </c>
      <c r="C54" s="193"/>
      <c r="D54" s="193"/>
      <c r="E54" s="193"/>
      <c r="F54" s="193"/>
      <c r="G54" s="194"/>
      <c r="H54" s="199" t="s">
        <v>114</v>
      </c>
      <c r="I54" s="197"/>
      <c r="J54" s="197"/>
      <c r="K54" s="197"/>
      <c r="L54" s="197"/>
      <c r="M54" s="197"/>
      <c r="N54" s="197"/>
      <c r="O54" s="197"/>
      <c r="P54" s="197"/>
      <c r="Q54" s="197"/>
      <c r="R54" s="197"/>
      <c r="S54" s="197"/>
      <c r="T54" s="197"/>
      <c r="U54" s="197"/>
      <c r="V54" s="197"/>
      <c r="W54" s="197"/>
      <c r="X54" s="197"/>
      <c r="Y54" s="197"/>
      <c r="Z54" s="197"/>
      <c r="AA54" s="197"/>
      <c r="AB54" s="197"/>
      <c r="AC54" s="197"/>
      <c r="AD54" s="197"/>
      <c r="AE54" s="197"/>
      <c r="AF54" s="198"/>
    </row>
    <row r="55" spans="2:32" ht="36.75" customHeight="1" x14ac:dyDescent="0.2">
      <c r="B55" s="192" t="s">
        <v>73</v>
      </c>
      <c r="C55" s="193"/>
      <c r="D55" s="193"/>
      <c r="E55" s="193"/>
      <c r="F55" s="193"/>
      <c r="G55" s="194"/>
      <c r="H55" s="196" t="s">
        <v>74</v>
      </c>
      <c r="I55" s="197"/>
      <c r="J55" s="197"/>
      <c r="K55" s="197"/>
      <c r="L55" s="197"/>
      <c r="M55" s="197"/>
      <c r="N55" s="197"/>
      <c r="O55" s="197"/>
      <c r="P55" s="197"/>
      <c r="Q55" s="197"/>
      <c r="R55" s="197"/>
      <c r="S55" s="197"/>
      <c r="T55" s="197"/>
      <c r="U55" s="197"/>
      <c r="V55" s="197"/>
      <c r="W55" s="197"/>
      <c r="X55" s="197"/>
      <c r="Y55" s="197"/>
      <c r="Z55" s="197"/>
      <c r="AA55" s="197"/>
      <c r="AB55" s="197"/>
      <c r="AC55" s="197"/>
      <c r="AD55" s="197"/>
      <c r="AE55" s="197"/>
      <c r="AF55" s="198"/>
    </row>
    <row r="56" spans="2:32" ht="45.75" customHeight="1" x14ac:dyDescent="0.2">
      <c r="B56" s="192" t="s">
        <v>75</v>
      </c>
      <c r="C56" s="193"/>
      <c r="D56" s="193"/>
      <c r="E56" s="193"/>
      <c r="F56" s="193"/>
      <c r="G56" s="194"/>
      <c r="H56" s="196" t="s">
        <v>80</v>
      </c>
      <c r="I56" s="197"/>
      <c r="J56" s="197"/>
      <c r="K56" s="197"/>
      <c r="L56" s="197"/>
      <c r="M56" s="197"/>
      <c r="N56" s="197"/>
      <c r="O56" s="197"/>
      <c r="P56" s="197"/>
      <c r="Q56" s="197"/>
      <c r="R56" s="197"/>
      <c r="S56" s="197"/>
      <c r="T56" s="197"/>
      <c r="U56" s="197"/>
      <c r="V56" s="197"/>
      <c r="W56" s="197"/>
      <c r="X56" s="197"/>
      <c r="Y56" s="197"/>
      <c r="Z56" s="197"/>
      <c r="AA56" s="197"/>
      <c r="AB56" s="197"/>
      <c r="AC56" s="197"/>
      <c r="AD56" s="197"/>
      <c r="AE56" s="197"/>
      <c r="AF56" s="198"/>
    </row>
    <row r="57" spans="2:32" ht="45.75" customHeight="1" x14ac:dyDescent="0.2">
      <c r="B57" s="192" t="s">
        <v>76</v>
      </c>
      <c r="C57" s="193"/>
      <c r="D57" s="193"/>
      <c r="E57" s="193"/>
      <c r="F57" s="193"/>
      <c r="G57" s="194"/>
      <c r="H57" s="196" t="s">
        <v>79</v>
      </c>
      <c r="I57" s="197"/>
      <c r="J57" s="197"/>
      <c r="K57" s="197"/>
      <c r="L57" s="197"/>
      <c r="M57" s="197"/>
      <c r="N57" s="197"/>
      <c r="O57" s="197"/>
      <c r="P57" s="197"/>
      <c r="Q57" s="197"/>
      <c r="R57" s="197"/>
      <c r="S57" s="197"/>
      <c r="T57" s="197"/>
      <c r="U57" s="197"/>
      <c r="V57" s="197"/>
      <c r="W57" s="197"/>
      <c r="X57" s="197"/>
      <c r="Y57" s="197"/>
      <c r="Z57" s="197"/>
      <c r="AA57" s="197"/>
      <c r="AB57" s="197"/>
      <c r="AC57" s="197"/>
      <c r="AD57" s="197"/>
      <c r="AE57" s="197"/>
      <c r="AF57" s="198"/>
    </row>
    <row r="58" spans="2:32" ht="37.5" customHeight="1" x14ac:dyDescent="0.2">
      <c r="B58" s="192" t="s">
        <v>77</v>
      </c>
      <c r="C58" s="193"/>
      <c r="D58" s="193"/>
      <c r="E58" s="193"/>
      <c r="F58" s="193"/>
      <c r="G58" s="194"/>
      <c r="H58" s="196" t="s">
        <v>78</v>
      </c>
      <c r="I58" s="197"/>
      <c r="J58" s="197"/>
      <c r="K58" s="197"/>
      <c r="L58" s="197"/>
      <c r="M58" s="197"/>
      <c r="N58" s="197"/>
      <c r="O58" s="197"/>
      <c r="P58" s="197"/>
      <c r="Q58" s="197"/>
      <c r="R58" s="197"/>
      <c r="S58" s="197"/>
      <c r="T58" s="197"/>
      <c r="U58" s="197"/>
      <c r="V58" s="197"/>
      <c r="W58" s="197"/>
      <c r="X58" s="197"/>
      <c r="Y58" s="197"/>
      <c r="Z58" s="197"/>
      <c r="AA58" s="197"/>
      <c r="AB58" s="197"/>
      <c r="AC58" s="197"/>
      <c r="AD58" s="197"/>
      <c r="AE58" s="197"/>
      <c r="AF58" s="198"/>
    </row>
    <row r="59" spans="2:32" x14ac:dyDescent="0.2">
      <c r="B59" s="28"/>
      <c r="C59" s="28"/>
      <c r="D59" s="28"/>
      <c r="E59" s="28"/>
      <c r="F59" s="28"/>
      <c r="G59" s="28"/>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row>
    <row r="60" spans="2:32" x14ac:dyDescent="0.2">
      <c r="B60" s="28"/>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ht="26.25" x14ac:dyDescent="0.2">
      <c r="B61" s="34" t="s">
        <v>33</v>
      </c>
      <c r="C61" s="35"/>
      <c r="D61" s="35"/>
      <c r="E61" s="35"/>
      <c r="F61" s="35"/>
      <c r="G61" s="35"/>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row>
    <row r="62" spans="2:32" ht="15.75" customHeight="1" x14ac:dyDescent="0.2">
      <c r="B62" s="37"/>
      <c r="C62" s="28"/>
      <c r="D62" s="28"/>
      <c r="E62" s="28"/>
      <c r="F62" s="28"/>
      <c r="G62" s="28"/>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row>
    <row r="63" spans="2:32" x14ac:dyDescent="0.2">
      <c r="B63" s="85" t="s">
        <v>81</v>
      </c>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85" t="s">
        <v>112</v>
      </c>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x14ac:dyDescent="0.2">
      <c r="B74" s="38"/>
      <c r="C74" s="38"/>
      <c r="D74" s="38"/>
      <c r="E74" s="38"/>
      <c r="F74" s="38"/>
      <c r="G74" s="38"/>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row>
    <row r="75" spans="2:34" x14ac:dyDescent="0.2">
      <c r="B75" s="38"/>
      <c r="C75" s="38"/>
      <c r="D75" s="38"/>
      <c r="E75" s="38"/>
      <c r="F75" s="38"/>
      <c r="G75" s="38"/>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row>
    <row r="76" spans="2:34" ht="12" customHeight="1" x14ac:dyDescent="0.2"/>
    <row r="77" spans="2:34" ht="12.75" hidden="1" customHeight="1" x14ac:dyDescent="0.2">
      <c r="B77" s="16" t="s">
        <v>82</v>
      </c>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2:34" ht="12.75" hidden="1" customHeight="1" x14ac:dyDescent="0.2">
      <c r="B78" s="16" t="s">
        <v>83</v>
      </c>
      <c r="F78" s="40"/>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0"/>
    </row>
    <row r="79" spans="2:34" ht="12.75" hidden="1" customHeight="1" x14ac:dyDescent="0.2">
      <c r="B79" s="16" t="s">
        <v>84</v>
      </c>
      <c r="F79" s="40"/>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40"/>
    </row>
    <row r="80" spans="2:34" ht="12.75" hidden="1" customHeight="1" x14ac:dyDescent="0.2">
      <c r="B80" s="16" t="s">
        <v>85</v>
      </c>
      <c r="F80" s="40"/>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40"/>
    </row>
    <row r="81" spans="2:34" ht="12.75" hidden="1" customHeight="1" x14ac:dyDescent="0.2">
      <c r="B81" s="16" t="s">
        <v>86</v>
      </c>
      <c r="F81" s="42"/>
      <c r="G81" s="42"/>
      <c r="H81" s="42"/>
      <c r="I81" s="42"/>
      <c r="J81" s="40"/>
      <c r="K81" s="40"/>
      <c r="L81" s="40"/>
      <c r="M81" s="40"/>
      <c r="N81" s="40"/>
      <c r="O81" s="40"/>
      <c r="P81" s="40"/>
      <c r="Q81" s="40"/>
      <c r="R81" s="40"/>
      <c r="S81" s="42"/>
      <c r="T81" s="42"/>
      <c r="U81" s="42"/>
      <c r="V81" s="42"/>
      <c r="W81" s="42"/>
      <c r="X81" s="42"/>
      <c r="Y81" s="42"/>
      <c r="Z81" s="42"/>
      <c r="AA81" s="42"/>
      <c r="AB81" s="42"/>
      <c r="AC81" s="42"/>
      <c r="AD81" s="42"/>
      <c r="AE81" s="42"/>
      <c r="AF81" s="42"/>
      <c r="AG81" s="42"/>
      <c r="AH81" s="40"/>
    </row>
    <row r="82" spans="2:34" ht="12.75" hidden="1" customHeight="1" x14ac:dyDescent="0.2">
      <c r="B82" s="16" t="s">
        <v>87</v>
      </c>
      <c r="F82" s="42"/>
      <c r="G82" s="42"/>
      <c r="H82" s="42"/>
      <c r="I82" s="42"/>
      <c r="J82" s="40"/>
      <c r="K82" s="40"/>
      <c r="L82" s="40"/>
      <c r="M82" s="40"/>
      <c r="N82" s="40"/>
      <c r="O82" s="40"/>
      <c r="P82" s="40"/>
      <c r="Q82" s="40"/>
      <c r="R82" s="40"/>
      <c r="S82" s="42"/>
      <c r="T82" s="42"/>
      <c r="U82" s="42"/>
      <c r="V82" s="42"/>
      <c r="W82" s="42"/>
      <c r="X82" s="42"/>
      <c r="Y82" s="42"/>
      <c r="Z82" s="42"/>
      <c r="AA82" s="42"/>
      <c r="AB82" s="42"/>
      <c r="AC82" s="42"/>
      <c r="AD82" s="42"/>
      <c r="AE82" s="42"/>
      <c r="AF82" s="42"/>
      <c r="AG82" s="42"/>
      <c r="AH82" s="40"/>
    </row>
    <row r="83" spans="2:34" ht="12.75" hidden="1" customHeight="1" x14ac:dyDescent="0.2">
      <c r="B83" s="16" t="s">
        <v>88</v>
      </c>
      <c r="F83" s="43"/>
      <c r="G83" s="43"/>
      <c r="H83" s="43"/>
      <c r="I83" s="43"/>
      <c r="J83" s="43"/>
      <c r="K83" s="43"/>
      <c r="R83" s="43"/>
      <c r="S83" s="42"/>
      <c r="T83" s="42"/>
      <c r="U83" s="42"/>
      <c r="V83" s="42"/>
      <c r="W83" s="42"/>
      <c r="X83" s="42"/>
      <c r="Y83" s="42"/>
      <c r="Z83" s="42"/>
      <c r="AA83" s="42"/>
      <c r="AB83" s="42"/>
      <c r="AC83" s="42"/>
      <c r="AD83" s="42"/>
      <c r="AE83" s="42"/>
      <c r="AF83" s="42"/>
      <c r="AG83" s="42"/>
      <c r="AH83" s="43"/>
    </row>
    <row r="84" spans="2:34" ht="12.75" hidden="1" customHeight="1" x14ac:dyDescent="0.2">
      <c r="B84" s="16" t="s">
        <v>89</v>
      </c>
      <c r="R84" s="43"/>
      <c r="S84" s="43"/>
      <c r="T84" s="43"/>
      <c r="U84" s="43"/>
      <c r="V84" s="43"/>
      <c r="W84" s="43"/>
      <c r="X84" s="43"/>
      <c r="Y84" s="43"/>
      <c r="Z84" s="43"/>
      <c r="AA84" s="43"/>
      <c r="AB84" s="43"/>
      <c r="AC84" s="43"/>
      <c r="AD84" s="43"/>
      <c r="AE84" s="43"/>
      <c r="AF84" s="43"/>
      <c r="AG84" s="43"/>
      <c r="AH84" s="43"/>
    </row>
    <row r="85" spans="2:34" ht="12.75" hidden="1" customHeight="1" x14ac:dyDescent="0.2">
      <c r="B85" s="16" t="s">
        <v>90</v>
      </c>
      <c r="R85" s="43"/>
      <c r="S85" s="43"/>
      <c r="T85" s="43"/>
      <c r="U85" s="43"/>
      <c r="V85" s="43"/>
      <c r="W85" s="43"/>
      <c r="X85" s="43"/>
      <c r="Y85" s="43"/>
      <c r="Z85" s="43"/>
      <c r="AA85" s="43"/>
      <c r="AB85" s="43"/>
      <c r="AC85" s="43"/>
      <c r="AD85" s="43"/>
      <c r="AE85" s="43"/>
      <c r="AF85" s="43"/>
      <c r="AG85" s="43"/>
      <c r="AH85" s="43"/>
    </row>
    <row r="86" spans="2:34" ht="12.75" hidden="1" customHeight="1" x14ac:dyDescent="0.2">
      <c r="B86" s="16" t="s">
        <v>91</v>
      </c>
    </row>
    <row r="87" spans="2:34" ht="12.75" hidden="1" customHeight="1" x14ac:dyDescent="0.2">
      <c r="B87" s="16" t="s">
        <v>92</v>
      </c>
    </row>
    <row r="88" spans="2:34" ht="12.75" hidden="1" customHeight="1" x14ac:dyDescent="0.2">
      <c r="B88" s="16" t="s">
        <v>93</v>
      </c>
    </row>
    <row r="89" spans="2:34" ht="12.75" hidden="1" customHeight="1" x14ac:dyDescent="0.2">
      <c r="B89" s="16" t="s">
        <v>94</v>
      </c>
    </row>
    <row r="90" spans="2:34" ht="12.75" hidden="1" customHeight="1" x14ac:dyDescent="0.2">
      <c r="B90" s="16" t="s">
        <v>95</v>
      </c>
    </row>
    <row r="91" spans="2:34" ht="12.75" hidden="1" customHeight="1" x14ac:dyDescent="0.2">
      <c r="B91" s="16" t="s">
        <v>96</v>
      </c>
    </row>
    <row r="92" spans="2:34" ht="12.75" hidden="1" customHeight="1" x14ac:dyDescent="0.2">
      <c r="B92" s="16" t="s">
        <v>97</v>
      </c>
    </row>
    <row r="93" spans="2:34" ht="12.75" hidden="1" customHeight="1" x14ac:dyDescent="0.2">
      <c r="B93" s="16" t="s">
        <v>98</v>
      </c>
    </row>
    <row r="94" spans="2:34" ht="12.75" hidden="1" customHeight="1" x14ac:dyDescent="0.2">
      <c r="B94" s="16" t="s">
        <v>99</v>
      </c>
    </row>
    <row r="95" spans="2:34" ht="12.75" hidden="1" customHeight="1" x14ac:dyDescent="0.2">
      <c r="B95" s="16" t="s">
        <v>100</v>
      </c>
    </row>
    <row r="96" spans="2:34" ht="12.75" hidden="1" customHeight="1" x14ac:dyDescent="0.2">
      <c r="B96" s="16" t="s">
        <v>101</v>
      </c>
    </row>
    <row r="97" spans="2:2" ht="12.75" hidden="1" customHeight="1" x14ac:dyDescent="0.2">
      <c r="B97" s="16" t="s">
        <v>102</v>
      </c>
    </row>
    <row r="98" spans="2:2" ht="12.75" hidden="1" customHeight="1" x14ac:dyDescent="0.2">
      <c r="B98" s="16" t="s">
        <v>103</v>
      </c>
    </row>
    <row r="99" spans="2:2" ht="12.75" hidden="1" customHeight="1" x14ac:dyDescent="0.2">
      <c r="B99" s="16" t="s">
        <v>104</v>
      </c>
    </row>
    <row r="100" spans="2:2" ht="12.75" hidden="1" customHeight="1" x14ac:dyDescent="0.2">
      <c r="B100" s="16" t="s">
        <v>105</v>
      </c>
    </row>
    <row r="101" spans="2:2" ht="12.75" hidden="1" customHeight="1" x14ac:dyDescent="0.2">
      <c r="B101" s="16" t="s">
        <v>106</v>
      </c>
    </row>
    <row r="102" spans="2:2" ht="12.75" hidden="1" customHeight="1" x14ac:dyDescent="0.2">
      <c r="B102" s="16" t="s">
        <v>107</v>
      </c>
    </row>
    <row r="103" spans="2:2" ht="12.75" hidden="1" customHeight="1" x14ac:dyDescent="0.2">
      <c r="B103" s="16" t="s">
        <v>108</v>
      </c>
    </row>
    <row r="104" spans="2:2" ht="12.75" hidden="1" customHeight="1" x14ac:dyDescent="0.2">
      <c r="B104" s="16" t="s">
        <v>109</v>
      </c>
    </row>
    <row r="105" spans="2:2" hidden="1" x14ac:dyDescent="0.2"/>
    <row r="106" spans="2:2" hidden="1" x14ac:dyDescent="0.2"/>
    <row r="107" spans="2:2" hidden="1" x14ac:dyDescent="0.2"/>
    <row r="108" spans="2:2" hidden="1" x14ac:dyDescent="0.2"/>
    <row r="109" spans="2:2" hidden="1" x14ac:dyDescent="0.2"/>
    <row r="110" spans="2:2" hidden="1" x14ac:dyDescent="0.2"/>
    <row r="111" spans="2:2" hidden="1" x14ac:dyDescent="0.2"/>
    <row r="112" spans="2: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x14ac:dyDescent="0.2"/>
    <row r="176" x14ac:dyDescent="0.2"/>
    <row r="177" x14ac:dyDescent="0.2"/>
  </sheetData>
  <sheetProtection formatCells="0" formatRows="0" insertColumns="0" insertRows="0" insertHyperlinks="0" deleteRows="0" selectLockedCells="1" sort="0" autoFilter="0" pivotTables="0"/>
  <mergeCells count="107">
    <mergeCell ref="Y49:AF49"/>
    <mergeCell ref="Y50:AF50"/>
    <mergeCell ref="B48:D48"/>
    <mergeCell ref="B50:D50"/>
    <mergeCell ref="B47:D47"/>
    <mergeCell ref="B58:G58"/>
    <mergeCell ref="H53:AF53"/>
    <mergeCell ref="H58:AF58"/>
    <mergeCell ref="B56:G56"/>
    <mergeCell ref="H56:AF56"/>
    <mergeCell ref="B54:G54"/>
    <mergeCell ref="H54:AF54"/>
    <mergeCell ref="B55:G55"/>
    <mergeCell ref="H55:AF55"/>
    <mergeCell ref="H57:AF57"/>
    <mergeCell ref="B57:G57"/>
    <mergeCell ref="B53:G53"/>
    <mergeCell ref="E50:X50"/>
    <mergeCell ref="E49:X49"/>
    <mergeCell ref="B49:D49"/>
    <mergeCell ref="R26:AF26"/>
    <mergeCell ref="B36:AF36"/>
    <mergeCell ref="R31:AF31"/>
    <mergeCell ref="B31:D31"/>
    <mergeCell ref="E31:H31"/>
    <mergeCell ref="I31:Q31"/>
    <mergeCell ref="E28:H28"/>
    <mergeCell ref="I24:Q24"/>
    <mergeCell ref="R24:AF24"/>
    <mergeCell ref="E27:H27"/>
    <mergeCell ref="I27:Q27"/>
    <mergeCell ref="R28:AF28"/>
    <mergeCell ref="I26:Q26"/>
    <mergeCell ref="E24:H24"/>
    <mergeCell ref="E25:H25"/>
    <mergeCell ref="E26:H26"/>
    <mergeCell ref="B25:D25"/>
    <mergeCell ref="I25:Q25"/>
    <mergeCell ref="B24:D24"/>
    <mergeCell ref="B26:D26"/>
    <mergeCell ref="W7:AA7"/>
    <mergeCell ref="G15:AF15"/>
    <mergeCell ref="G16:AF16"/>
    <mergeCell ref="E7:V7"/>
    <mergeCell ref="A9:AG9"/>
    <mergeCell ref="G17:AF17"/>
    <mergeCell ref="B16:F16"/>
    <mergeCell ref="B17:F17"/>
    <mergeCell ref="B18:F18"/>
    <mergeCell ref="G21:AF21"/>
    <mergeCell ref="B21:F21"/>
    <mergeCell ref="B20:F20"/>
    <mergeCell ref="G20:AF20"/>
    <mergeCell ref="B19:F19"/>
    <mergeCell ref="G19:AF19"/>
    <mergeCell ref="R25:AF25"/>
    <mergeCell ref="AB4:AG4"/>
    <mergeCell ref="AB5:AG5"/>
    <mergeCell ref="AE6:AG6"/>
    <mergeCell ref="AE7:AG7"/>
    <mergeCell ref="A8:AG8"/>
    <mergeCell ref="A4:V4"/>
    <mergeCell ref="A5:V5"/>
    <mergeCell ref="W4:AA4"/>
    <mergeCell ref="W5:AA5"/>
    <mergeCell ref="AB6:AD6"/>
    <mergeCell ref="AB7:AD7"/>
    <mergeCell ref="E6:V6"/>
    <mergeCell ref="B15:F15"/>
    <mergeCell ref="A6:D6"/>
    <mergeCell ref="A7:D7"/>
    <mergeCell ref="W6:AA6"/>
    <mergeCell ref="G18:AF18"/>
    <mergeCell ref="B46:D46"/>
    <mergeCell ref="Y48:AF48"/>
    <mergeCell ref="E48:X48"/>
    <mergeCell ref="B27:D27"/>
    <mergeCell ref="Y41:AF41"/>
    <mergeCell ref="Y42:AF42"/>
    <mergeCell ref="B44:D44"/>
    <mergeCell ref="E44:X44"/>
    <mergeCell ref="Y44:AF44"/>
    <mergeCell ref="B41:D41"/>
    <mergeCell ref="B43:D43"/>
    <mergeCell ref="R27:AF27"/>
    <mergeCell ref="Y46:AF46"/>
    <mergeCell ref="Y47:AF47"/>
    <mergeCell ref="B29:D29"/>
    <mergeCell ref="E29:H29"/>
    <mergeCell ref="I29:Q29"/>
    <mergeCell ref="R29:AF29"/>
    <mergeCell ref="E46:X46"/>
    <mergeCell ref="E47:X47"/>
    <mergeCell ref="Y40:AF40"/>
    <mergeCell ref="B40:D40"/>
    <mergeCell ref="E40:X40"/>
    <mergeCell ref="E43:X43"/>
    <mergeCell ref="E42:X42"/>
    <mergeCell ref="E41:X41"/>
    <mergeCell ref="B42:D42"/>
    <mergeCell ref="Y43:AF43"/>
    <mergeCell ref="B30:D30"/>
    <mergeCell ref="E30:H30"/>
    <mergeCell ref="I30:Q30"/>
    <mergeCell ref="R30:AF30"/>
    <mergeCell ref="B28:D28"/>
    <mergeCell ref="I28:Q28"/>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B1:BH171"/>
  <sheetViews>
    <sheetView showGridLines="0" zoomScaleNormal="100" workbookViewId="0">
      <selection activeCell="B1" sqref="B1:AG37"/>
    </sheetView>
  </sheetViews>
  <sheetFormatPr defaultColWidth="0" defaultRowHeight="12.75" customHeight="1" zeroHeight="1" x14ac:dyDescent="0.2"/>
  <cols>
    <col min="1" max="33" width="2.85546875" style="16" customWidth="1"/>
    <col min="34" max="34" width="1.28515625" style="16" customWidth="1"/>
    <col min="35" max="60" width="3.28515625" style="16" hidden="1" customWidth="1"/>
    <col min="61" max="16384" width="0" style="16" hidden="1"/>
  </cols>
  <sheetData>
    <row r="1" spans="2:34" x14ac:dyDescent="0.2">
      <c r="B1" s="200" t="s">
        <v>125</v>
      </c>
      <c r="C1" s="200"/>
      <c r="D1" s="200"/>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row>
    <row r="2" spans="2:34" ht="20.25" customHeight="1" x14ac:dyDescent="0.2">
      <c r="B2" s="200"/>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row>
    <row r="3" spans="2:34" x14ac:dyDescent="0.2">
      <c r="B3" s="200"/>
      <c r="C3" s="200"/>
      <c r="D3" s="200"/>
      <c r="E3" s="200"/>
      <c r="F3" s="200"/>
      <c r="G3" s="200"/>
      <c r="H3" s="200"/>
      <c r="I3" s="200"/>
      <c r="J3" s="200"/>
      <c r="K3" s="200"/>
      <c r="L3" s="200"/>
      <c r="M3" s="200"/>
      <c r="N3" s="200"/>
      <c r="O3" s="200"/>
      <c r="P3" s="200"/>
      <c r="Q3" s="200"/>
      <c r="R3" s="200"/>
      <c r="S3" s="200"/>
      <c r="T3" s="200"/>
      <c r="U3" s="200"/>
      <c r="V3" s="200"/>
      <c r="W3" s="200"/>
      <c r="X3" s="200"/>
      <c r="Y3" s="200"/>
      <c r="Z3" s="200"/>
      <c r="AA3" s="200"/>
      <c r="AB3" s="200"/>
      <c r="AC3" s="200"/>
      <c r="AD3" s="200"/>
      <c r="AE3" s="200"/>
      <c r="AF3" s="200"/>
      <c r="AG3" s="200"/>
    </row>
    <row r="4" spans="2:34" x14ac:dyDescent="0.2">
      <c r="B4" s="200"/>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200"/>
      <c r="AG4" s="200"/>
    </row>
    <row r="5" spans="2:34" x14ac:dyDescent="0.2">
      <c r="B5" s="200"/>
      <c r="C5" s="200"/>
      <c r="D5" s="200"/>
      <c r="E5" s="200"/>
      <c r="F5" s="200"/>
      <c r="G5" s="200"/>
      <c r="H5" s="200"/>
      <c r="I5" s="200"/>
      <c r="J5" s="200"/>
      <c r="K5" s="200"/>
      <c r="L5" s="200"/>
      <c r="M5" s="200"/>
      <c r="N5" s="200"/>
      <c r="O5" s="200"/>
      <c r="P5" s="200"/>
      <c r="Q5" s="200"/>
      <c r="R5" s="200"/>
      <c r="S5" s="200"/>
      <c r="T5" s="200"/>
      <c r="U5" s="200"/>
      <c r="V5" s="200"/>
      <c r="W5" s="200"/>
      <c r="X5" s="200"/>
      <c r="Y5" s="200"/>
      <c r="Z5" s="200"/>
      <c r="AA5" s="200"/>
      <c r="AB5" s="200"/>
      <c r="AC5" s="200"/>
      <c r="AD5" s="200"/>
      <c r="AE5" s="200"/>
      <c r="AF5" s="200"/>
      <c r="AG5" s="200"/>
    </row>
    <row r="6" spans="2:34" x14ac:dyDescent="0.2">
      <c r="B6" s="200"/>
      <c r="C6" s="200"/>
      <c r="D6" s="200"/>
      <c r="E6" s="200"/>
      <c r="F6" s="200"/>
      <c r="G6" s="200"/>
      <c r="H6" s="200"/>
      <c r="I6" s="200"/>
      <c r="J6" s="200"/>
      <c r="K6" s="200"/>
      <c r="L6" s="200"/>
      <c r="M6" s="200"/>
      <c r="N6" s="200"/>
      <c r="O6" s="200"/>
      <c r="P6" s="200"/>
      <c r="Q6" s="200"/>
      <c r="R6" s="200"/>
      <c r="S6" s="200"/>
      <c r="T6" s="200"/>
      <c r="U6" s="200"/>
      <c r="V6" s="200"/>
      <c r="W6" s="200"/>
      <c r="X6" s="200"/>
      <c r="Y6" s="200"/>
      <c r="Z6" s="200"/>
      <c r="AA6" s="200"/>
      <c r="AB6" s="200"/>
      <c r="AC6" s="200"/>
      <c r="AD6" s="200"/>
      <c r="AE6" s="200"/>
      <c r="AF6" s="200"/>
      <c r="AG6" s="200"/>
    </row>
    <row r="7" spans="2:34" x14ac:dyDescent="0.2">
      <c r="B7" s="200"/>
      <c r="C7" s="200"/>
      <c r="D7" s="200"/>
      <c r="E7" s="200"/>
      <c r="F7" s="200"/>
      <c r="G7" s="200"/>
      <c r="H7" s="200"/>
      <c r="I7" s="200"/>
      <c r="J7" s="200"/>
      <c r="K7" s="200"/>
      <c r="L7" s="200"/>
      <c r="M7" s="200"/>
      <c r="N7" s="200"/>
      <c r="O7" s="200"/>
      <c r="P7" s="200"/>
      <c r="Q7" s="200"/>
      <c r="R7" s="200"/>
      <c r="S7" s="200"/>
      <c r="T7" s="200"/>
      <c r="U7" s="200"/>
      <c r="V7" s="200"/>
      <c r="W7" s="200"/>
      <c r="X7" s="200"/>
      <c r="Y7" s="200"/>
      <c r="Z7" s="200"/>
      <c r="AA7" s="200"/>
      <c r="AB7" s="200"/>
      <c r="AC7" s="200"/>
      <c r="AD7" s="200"/>
      <c r="AE7" s="200"/>
      <c r="AF7" s="200"/>
      <c r="AG7" s="200"/>
    </row>
    <row r="8" spans="2:34" x14ac:dyDescent="0.2">
      <c r="B8" s="200"/>
      <c r="C8" s="200"/>
      <c r="D8" s="200"/>
      <c r="E8" s="200"/>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row>
    <row r="9" spans="2:34" x14ac:dyDescent="0.2">
      <c r="B9" s="200"/>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200"/>
      <c r="AG9" s="200"/>
    </row>
    <row r="10" spans="2:34" x14ac:dyDescent="0.2">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row>
    <row r="11" spans="2:34" x14ac:dyDescent="0.2">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row>
    <row r="12" spans="2:34" x14ac:dyDescent="0.2">
      <c r="B12" s="200"/>
      <c r="C12" s="200"/>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row>
    <row r="13" spans="2:34" x14ac:dyDescent="0.2">
      <c r="B13" s="200"/>
      <c r="C13" s="200"/>
      <c r="D13" s="200"/>
      <c r="E13" s="200"/>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row>
    <row r="14" spans="2:34" x14ac:dyDescent="0.2">
      <c r="B14" s="200"/>
      <c r="C14" s="200"/>
      <c r="D14" s="200"/>
      <c r="E14" s="200"/>
      <c r="F14" s="200"/>
      <c r="G14" s="200"/>
      <c r="H14" s="200"/>
      <c r="I14" s="200"/>
      <c r="J14" s="200"/>
      <c r="K14" s="200"/>
      <c r="L14" s="200"/>
      <c r="M14" s="200"/>
      <c r="N14" s="200"/>
      <c r="O14" s="200"/>
      <c r="P14" s="200"/>
      <c r="Q14" s="200"/>
      <c r="R14" s="200"/>
      <c r="S14" s="200"/>
      <c r="T14" s="200"/>
      <c r="U14" s="200"/>
      <c r="V14" s="200"/>
      <c r="W14" s="200"/>
      <c r="X14" s="200"/>
      <c r="Y14" s="200"/>
      <c r="Z14" s="200"/>
      <c r="AA14" s="200"/>
      <c r="AB14" s="200"/>
      <c r="AC14" s="200"/>
      <c r="AD14" s="200"/>
      <c r="AE14" s="200"/>
      <c r="AF14" s="200"/>
      <c r="AG14" s="200"/>
      <c r="AH14" s="40"/>
    </row>
    <row r="15" spans="2:34" x14ac:dyDescent="0.2">
      <c r="B15" s="200"/>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200"/>
      <c r="AG15" s="200"/>
      <c r="AH15" s="40"/>
    </row>
    <row r="16" spans="2:34" x14ac:dyDescent="0.2">
      <c r="B16" s="200"/>
      <c r="C16" s="200"/>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0"/>
      <c r="AB16" s="200"/>
      <c r="AC16" s="200"/>
      <c r="AD16" s="200"/>
      <c r="AE16" s="200"/>
      <c r="AF16" s="200"/>
      <c r="AG16" s="200"/>
      <c r="AH16" s="40"/>
    </row>
    <row r="17" spans="2:34" x14ac:dyDescent="0.2">
      <c r="B17" s="200"/>
      <c r="C17" s="200"/>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0"/>
      <c r="AB17" s="200"/>
      <c r="AC17" s="200"/>
      <c r="AD17" s="200"/>
      <c r="AE17" s="200"/>
      <c r="AF17" s="200"/>
      <c r="AG17" s="200"/>
      <c r="AH17" s="40"/>
    </row>
    <row r="18" spans="2:34" x14ac:dyDescent="0.2">
      <c r="B18" s="200"/>
      <c r="C18" s="200"/>
      <c r="D18" s="200"/>
      <c r="E18" s="200"/>
      <c r="F18" s="200"/>
      <c r="G18" s="200"/>
      <c r="H18" s="200"/>
      <c r="I18" s="200"/>
      <c r="J18" s="200"/>
      <c r="K18" s="200"/>
      <c r="L18" s="200"/>
      <c r="M18" s="200"/>
      <c r="N18" s="200"/>
      <c r="O18" s="200"/>
      <c r="P18" s="200"/>
      <c r="Q18" s="200"/>
      <c r="R18" s="200"/>
      <c r="S18" s="200"/>
      <c r="T18" s="200"/>
      <c r="U18" s="200"/>
      <c r="V18" s="200"/>
      <c r="W18" s="200"/>
      <c r="X18" s="200"/>
      <c r="Y18" s="200"/>
      <c r="Z18" s="200"/>
      <c r="AA18" s="200"/>
      <c r="AB18" s="200"/>
      <c r="AC18" s="200"/>
      <c r="AD18" s="200"/>
      <c r="AE18" s="200"/>
      <c r="AF18" s="200"/>
      <c r="AG18" s="200"/>
      <c r="AH18" s="40"/>
    </row>
    <row r="19" spans="2:34" x14ac:dyDescent="0.2">
      <c r="B19" s="200"/>
      <c r="C19" s="200"/>
      <c r="D19" s="200"/>
      <c r="E19" s="200"/>
      <c r="F19" s="200"/>
      <c r="G19" s="200"/>
      <c r="H19" s="200"/>
      <c r="I19" s="200"/>
      <c r="J19" s="200"/>
      <c r="K19" s="200"/>
      <c r="L19" s="200"/>
      <c r="M19" s="200"/>
      <c r="N19" s="200"/>
      <c r="O19" s="200"/>
      <c r="P19" s="200"/>
      <c r="Q19" s="200"/>
      <c r="R19" s="200"/>
      <c r="S19" s="200"/>
      <c r="T19" s="200"/>
      <c r="U19" s="200"/>
      <c r="V19" s="200"/>
      <c r="W19" s="200"/>
      <c r="X19" s="200"/>
      <c r="Y19" s="200"/>
      <c r="Z19" s="200"/>
      <c r="AA19" s="200"/>
      <c r="AB19" s="200"/>
      <c r="AC19" s="200"/>
      <c r="AD19" s="200"/>
      <c r="AE19" s="200"/>
      <c r="AF19" s="200"/>
      <c r="AG19" s="200"/>
      <c r="AH19" s="40"/>
    </row>
    <row r="20" spans="2:34" x14ac:dyDescent="0.2">
      <c r="B20" s="200"/>
      <c r="C20" s="200"/>
      <c r="D20" s="200"/>
      <c r="E20" s="200"/>
      <c r="F20" s="200"/>
      <c r="G20" s="200"/>
      <c r="H20" s="200"/>
      <c r="I20" s="200"/>
      <c r="J20" s="200"/>
      <c r="K20" s="200"/>
      <c r="L20" s="200"/>
      <c r="M20" s="200"/>
      <c r="N20" s="200"/>
      <c r="O20" s="200"/>
      <c r="P20" s="200"/>
      <c r="Q20" s="200"/>
      <c r="R20" s="200"/>
      <c r="S20" s="200"/>
      <c r="T20" s="200"/>
      <c r="U20" s="200"/>
      <c r="V20" s="200"/>
      <c r="W20" s="200"/>
      <c r="X20" s="200"/>
      <c r="Y20" s="200"/>
      <c r="Z20" s="200"/>
      <c r="AA20" s="200"/>
      <c r="AB20" s="200"/>
      <c r="AC20" s="200"/>
      <c r="AD20" s="200"/>
      <c r="AE20" s="200"/>
      <c r="AF20" s="200"/>
      <c r="AG20" s="200"/>
      <c r="AH20" s="43"/>
    </row>
    <row r="21" spans="2:34" x14ac:dyDescent="0.2">
      <c r="B21" s="200"/>
      <c r="C21" s="200"/>
      <c r="D21" s="200"/>
      <c r="E21" s="200"/>
      <c r="F21" s="200"/>
      <c r="G21" s="200"/>
      <c r="H21" s="200"/>
      <c r="I21" s="200"/>
      <c r="J21" s="200"/>
      <c r="K21" s="200"/>
      <c r="L21" s="200"/>
      <c r="M21" s="200"/>
      <c r="N21" s="200"/>
      <c r="O21" s="200"/>
      <c r="P21" s="200"/>
      <c r="Q21" s="200"/>
      <c r="R21" s="200"/>
      <c r="S21" s="200"/>
      <c r="T21" s="200"/>
      <c r="U21" s="200"/>
      <c r="V21" s="200"/>
      <c r="W21" s="200"/>
      <c r="X21" s="200"/>
      <c r="Y21" s="200"/>
      <c r="Z21" s="200"/>
      <c r="AA21" s="200"/>
      <c r="AB21" s="200"/>
      <c r="AC21" s="200"/>
      <c r="AD21" s="200"/>
      <c r="AE21" s="200"/>
      <c r="AF21" s="200"/>
      <c r="AG21" s="200"/>
      <c r="AH21" s="43"/>
    </row>
    <row r="22" spans="2:34" x14ac:dyDescent="0.2">
      <c r="B22" s="200"/>
      <c r="C22" s="200"/>
      <c r="D22" s="200"/>
      <c r="E22" s="200"/>
      <c r="F22" s="200"/>
      <c r="G22" s="200"/>
      <c r="H22" s="200"/>
      <c r="I22" s="200"/>
      <c r="J22" s="200"/>
      <c r="K22" s="200"/>
      <c r="L22" s="200"/>
      <c r="M22" s="200"/>
      <c r="N22" s="200"/>
      <c r="O22" s="200"/>
      <c r="P22" s="200"/>
      <c r="Q22" s="200"/>
      <c r="R22" s="200"/>
      <c r="S22" s="200"/>
      <c r="T22" s="200"/>
      <c r="U22" s="200"/>
      <c r="V22" s="200"/>
      <c r="W22" s="200"/>
      <c r="X22" s="200"/>
      <c r="Y22" s="200"/>
      <c r="Z22" s="200"/>
      <c r="AA22" s="200"/>
      <c r="AB22" s="200"/>
      <c r="AC22" s="200"/>
      <c r="AD22" s="200"/>
      <c r="AE22" s="200"/>
      <c r="AF22" s="200"/>
      <c r="AG22" s="200"/>
      <c r="AH22" s="43"/>
    </row>
    <row r="23" spans="2:34" x14ac:dyDescent="0.2">
      <c r="B23" s="200"/>
      <c r="C23" s="200"/>
      <c r="D23" s="200"/>
      <c r="E23" s="200"/>
      <c r="F23" s="200"/>
      <c r="G23" s="200"/>
      <c r="H23" s="200"/>
      <c r="I23" s="200"/>
      <c r="J23" s="200"/>
      <c r="K23" s="200"/>
      <c r="L23" s="200"/>
      <c r="M23" s="200"/>
      <c r="N23" s="200"/>
      <c r="O23" s="200"/>
      <c r="P23" s="200"/>
      <c r="Q23" s="200"/>
      <c r="R23" s="200"/>
      <c r="S23" s="200"/>
      <c r="T23" s="200"/>
      <c r="U23" s="200"/>
      <c r="V23" s="200"/>
      <c r="W23" s="200"/>
      <c r="X23" s="200"/>
      <c r="Y23" s="200"/>
      <c r="Z23" s="200"/>
      <c r="AA23" s="200"/>
      <c r="AB23" s="200"/>
      <c r="AC23" s="200"/>
      <c r="AD23" s="200"/>
      <c r="AE23" s="200"/>
      <c r="AF23" s="200"/>
      <c r="AG23" s="200"/>
    </row>
    <row r="24" spans="2:34" x14ac:dyDescent="0.2">
      <c r="B24" s="200"/>
      <c r="C24" s="200"/>
      <c r="D24" s="200"/>
      <c r="E24" s="200"/>
      <c r="F24" s="200"/>
      <c r="G24" s="200"/>
      <c r="H24" s="200"/>
      <c r="I24" s="200"/>
      <c r="J24" s="200"/>
      <c r="K24" s="200"/>
      <c r="L24" s="200"/>
      <c r="M24" s="200"/>
      <c r="N24" s="200"/>
      <c r="O24" s="200"/>
      <c r="P24" s="200"/>
      <c r="Q24" s="200"/>
      <c r="R24" s="200"/>
      <c r="S24" s="200"/>
      <c r="T24" s="200"/>
      <c r="U24" s="200"/>
      <c r="V24" s="200"/>
      <c r="W24" s="200"/>
      <c r="X24" s="200"/>
      <c r="Y24" s="200"/>
      <c r="Z24" s="200"/>
      <c r="AA24" s="200"/>
      <c r="AB24" s="200"/>
      <c r="AC24" s="200"/>
      <c r="AD24" s="200"/>
      <c r="AE24" s="200"/>
      <c r="AF24" s="200"/>
      <c r="AG24" s="200"/>
    </row>
    <row r="25" spans="2:34" x14ac:dyDescent="0.2">
      <c r="B25" s="200"/>
      <c r="C25" s="200"/>
      <c r="D25" s="200"/>
      <c r="E25" s="200"/>
      <c r="F25" s="200"/>
      <c r="G25" s="200"/>
      <c r="H25" s="200"/>
      <c r="I25" s="200"/>
      <c r="J25" s="200"/>
      <c r="K25" s="200"/>
      <c r="L25" s="200"/>
      <c r="M25" s="200"/>
      <c r="N25" s="200"/>
      <c r="O25" s="200"/>
      <c r="P25" s="200"/>
      <c r="Q25" s="200"/>
      <c r="R25" s="200"/>
      <c r="S25" s="200"/>
      <c r="T25" s="200"/>
      <c r="U25" s="200"/>
      <c r="V25" s="200"/>
      <c r="W25" s="200"/>
      <c r="X25" s="200"/>
      <c r="Y25" s="200"/>
      <c r="Z25" s="200"/>
      <c r="AA25" s="200"/>
      <c r="AB25" s="200"/>
      <c r="AC25" s="200"/>
      <c r="AD25" s="200"/>
      <c r="AE25" s="200"/>
      <c r="AF25" s="200"/>
      <c r="AG25" s="200"/>
    </row>
    <row r="26" spans="2:34" x14ac:dyDescent="0.2">
      <c r="B26" s="200"/>
      <c r="C26" s="200"/>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0"/>
      <c r="AB26" s="200"/>
      <c r="AC26" s="200"/>
      <c r="AD26" s="200"/>
      <c r="AE26" s="200"/>
      <c r="AF26" s="200"/>
      <c r="AG26" s="200"/>
    </row>
    <row r="27" spans="2:34" x14ac:dyDescent="0.2">
      <c r="B27" s="200"/>
      <c r="C27" s="200"/>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0"/>
      <c r="AB27" s="200"/>
      <c r="AC27" s="200"/>
      <c r="AD27" s="200"/>
      <c r="AE27" s="200"/>
      <c r="AF27" s="200"/>
      <c r="AG27" s="200"/>
    </row>
    <row r="28" spans="2:34" x14ac:dyDescent="0.2">
      <c r="B28" s="200"/>
      <c r="C28" s="200"/>
      <c r="D28" s="200"/>
      <c r="E28" s="200"/>
      <c r="F28" s="200"/>
      <c r="G28" s="200"/>
      <c r="H28" s="200"/>
      <c r="I28" s="200"/>
      <c r="J28" s="200"/>
      <c r="K28" s="200"/>
      <c r="L28" s="200"/>
      <c r="M28" s="200"/>
      <c r="N28" s="200"/>
      <c r="O28" s="200"/>
      <c r="P28" s="200"/>
      <c r="Q28" s="200"/>
      <c r="R28" s="200"/>
      <c r="S28" s="200"/>
      <c r="T28" s="200"/>
      <c r="U28" s="200"/>
      <c r="V28" s="200"/>
      <c r="W28" s="200"/>
      <c r="X28" s="200"/>
      <c r="Y28" s="200"/>
      <c r="Z28" s="200"/>
      <c r="AA28" s="200"/>
      <c r="AB28" s="200"/>
      <c r="AC28" s="200"/>
      <c r="AD28" s="200"/>
      <c r="AE28" s="200"/>
      <c r="AF28" s="200"/>
      <c r="AG28" s="200"/>
    </row>
    <row r="29" spans="2:34" x14ac:dyDescent="0.2">
      <c r="B29" s="200"/>
      <c r="C29" s="200"/>
      <c r="D29" s="200"/>
      <c r="E29" s="200"/>
      <c r="F29" s="200"/>
      <c r="G29" s="200"/>
      <c r="H29" s="200"/>
      <c r="I29" s="200"/>
      <c r="J29" s="200"/>
      <c r="K29" s="200"/>
      <c r="L29" s="200"/>
      <c r="M29" s="200"/>
      <c r="N29" s="200"/>
      <c r="O29" s="200"/>
      <c r="P29" s="200"/>
      <c r="Q29" s="200"/>
      <c r="R29" s="200"/>
      <c r="S29" s="200"/>
      <c r="T29" s="200"/>
      <c r="U29" s="200"/>
      <c r="V29" s="200"/>
      <c r="W29" s="200"/>
      <c r="X29" s="200"/>
      <c r="Y29" s="200"/>
      <c r="Z29" s="200"/>
      <c r="AA29" s="200"/>
      <c r="AB29" s="200"/>
      <c r="AC29" s="200"/>
      <c r="AD29" s="200"/>
      <c r="AE29" s="200"/>
      <c r="AF29" s="200"/>
      <c r="AG29" s="200"/>
    </row>
    <row r="30" spans="2:34" x14ac:dyDescent="0.2">
      <c r="B30" s="200"/>
      <c r="C30" s="200"/>
      <c r="D30" s="200"/>
      <c r="E30" s="200"/>
      <c r="F30" s="200"/>
      <c r="G30" s="200"/>
      <c r="H30" s="200"/>
      <c r="I30" s="200"/>
      <c r="J30" s="200"/>
      <c r="K30" s="200"/>
      <c r="L30" s="200"/>
      <c r="M30" s="200"/>
      <c r="N30" s="200"/>
      <c r="O30" s="200"/>
      <c r="P30" s="200"/>
      <c r="Q30" s="200"/>
      <c r="R30" s="200"/>
      <c r="S30" s="200"/>
      <c r="T30" s="200"/>
      <c r="U30" s="200"/>
      <c r="V30" s="200"/>
      <c r="W30" s="200"/>
      <c r="X30" s="200"/>
      <c r="Y30" s="200"/>
      <c r="Z30" s="200"/>
      <c r="AA30" s="200"/>
      <c r="AB30" s="200"/>
      <c r="AC30" s="200"/>
      <c r="AD30" s="200"/>
      <c r="AE30" s="200"/>
      <c r="AF30" s="200"/>
      <c r="AG30" s="200"/>
    </row>
    <row r="31" spans="2:34" x14ac:dyDescent="0.2">
      <c r="B31" s="200"/>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200"/>
      <c r="AG31" s="200"/>
    </row>
    <row r="32" spans="2:34" x14ac:dyDescent="0.2">
      <c r="B32" s="200"/>
      <c r="C32" s="200"/>
      <c r="D32" s="200"/>
      <c r="E32" s="200"/>
      <c r="F32" s="200"/>
      <c r="G32" s="200"/>
      <c r="H32" s="200"/>
      <c r="I32" s="200"/>
      <c r="J32" s="200"/>
      <c r="K32" s="200"/>
      <c r="L32" s="200"/>
      <c r="M32" s="200"/>
      <c r="N32" s="200"/>
      <c r="O32" s="200"/>
      <c r="P32" s="200"/>
      <c r="Q32" s="200"/>
      <c r="R32" s="200"/>
      <c r="S32" s="200"/>
      <c r="T32" s="200"/>
      <c r="U32" s="200"/>
      <c r="V32" s="200"/>
      <c r="W32" s="200"/>
      <c r="X32" s="200"/>
      <c r="Y32" s="200"/>
      <c r="Z32" s="200"/>
      <c r="AA32" s="200"/>
      <c r="AB32" s="200"/>
      <c r="AC32" s="200"/>
      <c r="AD32" s="200"/>
      <c r="AE32" s="200"/>
      <c r="AF32" s="200"/>
      <c r="AG32" s="200"/>
    </row>
    <row r="33" spans="2:33" x14ac:dyDescent="0.2">
      <c r="B33" s="200"/>
      <c r="C33" s="200"/>
      <c r="D33" s="200"/>
      <c r="E33" s="200"/>
      <c r="F33" s="200"/>
      <c r="G33" s="200"/>
      <c r="H33" s="200"/>
      <c r="I33" s="200"/>
      <c r="J33" s="200"/>
      <c r="K33" s="200"/>
      <c r="L33" s="200"/>
      <c r="M33" s="200"/>
      <c r="N33" s="200"/>
      <c r="O33" s="200"/>
      <c r="P33" s="200"/>
      <c r="Q33" s="200"/>
      <c r="R33" s="200"/>
      <c r="S33" s="200"/>
      <c r="T33" s="200"/>
      <c r="U33" s="200"/>
      <c r="V33" s="200"/>
      <c r="W33" s="200"/>
      <c r="X33" s="200"/>
      <c r="Y33" s="200"/>
      <c r="Z33" s="200"/>
      <c r="AA33" s="200"/>
      <c r="AB33" s="200"/>
      <c r="AC33" s="200"/>
      <c r="AD33" s="200"/>
      <c r="AE33" s="200"/>
      <c r="AF33" s="200"/>
      <c r="AG33" s="200"/>
    </row>
    <row r="34" spans="2:33" x14ac:dyDescent="0.2">
      <c r="B34" s="200"/>
      <c r="C34" s="200"/>
      <c r="D34" s="200"/>
      <c r="E34" s="200"/>
      <c r="F34" s="200"/>
      <c r="G34" s="200"/>
      <c r="H34" s="200"/>
      <c r="I34" s="200"/>
      <c r="J34" s="200"/>
      <c r="K34" s="200"/>
      <c r="L34" s="200"/>
      <c r="M34" s="200"/>
      <c r="N34" s="200"/>
      <c r="O34" s="200"/>
      <c r="P34" s="200"/>
      <c r="Q34" s="200"/>
      <c r="R34" s="200"/>
      <c r="S34" s="200"/>
      <c r="T34" s="200"/>
      <c r="U34" s="200"/>
      <c r="V34" s="200"/>
      <c r="W34" s="200"/>
      <c r="X34" s="200"/>
      <c r="Y34" s="200"/>
      <c r="Z34" s="200"/>
      <c r="AA34" s="200"/>
      <c r="AB34" s="200"/>
      <c r="AC34" s="200"/>
      <c r="AD34" s="200"/>
      <c r="AE34" s="200"/>
      <c r="AF34" s="200"/>
      <c r="AG34" s="200"/>
    </row>
    <row r="35" spans="2:33" ht="12.75" customHeight="1" x14ac:dyDescent="0.2">
      <c r="B35" s="200"/>
      <c r="C35" s="200"/>
      <c r="D35" s="200"/>
      <c r="E35" s="200"/>
      <c r="F35" s="200"/>
      <c r="G35" s="200"/>
      <c r="H35" s="200"/>
      <c r="I35" s="200"/>
      <c r="J35" s="200"/>
      <c r="K35" s="200"/>
      <c r="L35" s="200"/>
      <c r="M35" s="200"/>
      <c r="N35" s="200"/>
      <c r="O35" s="200"/>
      <c r="P35" s="200"/>
      <c r="Q35" s="200"/>
      <c r="R35" s="200"/>
      <c r="S35" s="200"/>
      <c r="T35" s="200"/>
      <c r="U35" s="200"/>
      <c r="V35" s="200"/>
      <c r="W35" s="200"/>
      <c r="X35" s="200"/>
      <c r="Y35" s="200"/>
      <c r="Z35" s="200"/>
      <c r="AA35" s="200"/>
      <c r="AB35" s="200"/>
      <c r="AC35" s="200"/>
      <c r="AD35" s="200"/>
      <c r="AE35" s="200"/>
      <c r="AF35" s="200"/>
      <c r="AG35" s="200"/>
    </row>
    <row r="36" spans="2:33" ht="12.75" customHeight="1" x14ac:dyDescent="0.2">
      <c r="B36" s="200"/>
      <c r="C36" s="200"/>
      <c r="D36" s="200"/>
      <c r="E36" s="200"/>
      <c r="F36" s="200"/>
      <c r="G36" s="200"/>
      <c r="H36" s="200"/>
      <c r="I36" s="200"/>
      <c r="J36" s="200"/>
      <c r="K36" s="200"/>
      <c r="L36" s="200"/>
      <c r="M36" s="200"/>
      <c r="N36" s="200"/>
      <c r="O36" s="200"/>
      <c r="P36" s="200"/>
      <c r="Q36" s="200"/>
      <c r="R36" s="200"/>
      <c r="S36" s="200"/>
      <c r="T36" s="200"/>
      <c r="U36" s="200"/>
      <c r="V36" s="200"/>
      <c r="W36" s="200"/>
      <c r="X36" s="200"/>
      <c r="Y36" s="200"/>
      <c r="Z36" s="200"/>
      <c r="AA36" s="200"/>
      <c r="AB36" s="200"/>
      <c r="AC36" s="200"/>
      <c r="AD36" s="200"/>
      <c r="AE36" s="200"/>
      <c r="AF36" s="200"/>
      <c r="AG36" s="200"/>
    </row>
    <row r="37" spans="2:33" ht="12.75" customHeight="1" x14ac:dyDescent="0.2">
      <c r="B37" s="200"/>
      <c r="C37" s="200"/>
      <c r="D37" s="200"/>
      <c r="E37" s="200"/>
      <c r="F37" s="200"/>
      <c r="G37" s="200"/>
      <c r="H37" s="200"/>
      <c r="I37" s="200"/>
      <c r="J37" s="200"/>
      <c r="K37" s="200"/>
      <c r="L37" s="200"/>
      <c r="M37" s="200"/>
      <c r="N37" s="200"/>
      <c r="O37" s="200"/>
      <c r="P37" s="200"/>
      <c r="Q37" s="200"/>
      <c r="R37" s="200"/>
      <c r="S37" s="200"/>
      <c r="T37" s="200"/>
      <c r="U37" s="200"/>
      <c r="V37" s="200"/>
      <c r="W37" s="200"/>
      <c r="X37" s="200"/>
      <c r="Y37" s="200"/>
      <c r="Z37" s="200"/>
      <c r="AA37" s="200"/>
      <c r="AB37" s="200"/>
      <c r="AC37" s="200"/>
      <c r="AD37" s="200"/>
      <c r="AE37" s="200"/>
      <c r="AF37" s="200"/>
      <c r="AG37" s="200"/>
    </row>
    <row r="38" spans="2:33" ht="12.75" customHeight="1" x14ac:dyDescent="0.2"/>
    <row r="39" spans="2:33" ht="12.75" customHeight="1" x14ac:dyDescent="0.2"/>
    <row r="40" spans="2:33" ht="12.75" customHeight="1" x14ac:dyDescent="0.2"/>
    <row r="41" spans="2:33" ht="12.75" customHeight="1" x14ac:dyDescent="0.2"/>
    <row r="42" spans="2:33" ht="12.75" customHeight="1" x14ac:dyDescent="0.2"/>
    <row r="43" spans="2:33" ht="12.75" customHeight="1" x14ac:dyDescent="0.2"/>
    <row r="44" spans="2:33" ht="12.75" customHeight="1" x14ac:dyDescent="0.2"/>
    <row r="45" spans="2:33" ht="12.75" customHeight="1" x14ac:dyDescent="0.2"/>
    <row r="46" spans="2:33" ht="12.75" customHeight="1" x14ac:dyDescent="0.2"/>
    <row r="47" spans="2:33" ht="12.75" customHeight="1" x14ac:dyDescent="0.2"/>
    <row r="48" spans="2:33"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499984740745262"/>
  </sheetPr>
  <dimension ref="B1:N35"/>
  <sheetViews>
    <sheetView tabSelected="1" zoomScale="85" zoomScaleNormal="85" workbookViewId="0">
      <selection activeCell="B24" sqref="B24"/>
    </sheetView>
  </sheetViews>
  <sheetFormatPr defaultRowHeight="12.75" x14ac:dyDescent="0.2"/>
  <cols>
    <col min="1" max="1" width="2.5703125" customWidth="1"/>
    <col min="2" max="2" width="5.28515625" customWidth="1"/>
    <col min="3" max="3" width="31.5703125" bestFit="1" customWidth="1"/>
    <col min="4" max="4" width="35.85546875" style="112" customWidth="1"/>
    <col min="5" max="5" width="12.7109375" bestFit="1" customWidth="1"/>
    <col min="6" max="6" width="61.5703125" bestFit="1" customWidth="1"/>
    <col min="7" max="7" width="11.7109375" customWidth="1"/>
    <col min="8" max="8" width="7.5703125" bestFit="1" customWidth="1"/>
    <col min="9" max="9" width="11.85546875" customWidth="1"/>
    <col min="10" max="10" width="27.5703125" customWidth="1"/>
    <col min="12" max="13" width="11.42578125" customWidth="1"/>
    <col min="14" max="14" width="18.28515625" customWidth="1"/>
  </cols>
  <sheetData>
    <row r="1" spans="2:14" ht="13.5" thickBot="1" x14ac:dyDescent="0.25"/>
    <row r="2" spans="2:14" ht="45.75" thickBot="1" x14ac:dyDescent="0.25">
      <c r="B2" s="59" t="s">
        <v>37</v>
      </c>
      <c r="C2" s="60" t="s">
        <v>38</v>
      </c>
      <c r="D2" s="61" t="s">
        <v>68</v>
      </c>
      <c r="E2" s="61" t="s">
        <v>110</v>
      </c>
      <c r="F2" s="61" t="s">
        <v>39</v>
      </c>
      <c r="G2" s="61" t="s">
        <v>126</v>
      </c>
      <c r="H2" s="61" t="s">
        <v>70</v>
      </c>
      <c r="I2" s="60" t="s">
        <v>12</v>
      </c>
      <c r="J2" s="60" t="s">
        <v>69</v>
      </c>
      <c r="K2" s="60" t="s">
        <v>59</v>
      </c>
      <c r="L2" s="62" t="s">
        <v>40</v>
      </c>
      <c r="M2" s="62" t="s">
        <v>71</v>
      </c>
      <c r="N2" s="63" t="s">
        <v>72</v>
      </c>
    </row>
    <row r="3" spans="2:14" s="78" customFormat="1" ht="30.75" thickBot="1" x14ac:dyDescent="0.25">
      <c r="B3" s="77">
        <v>1</v>
      </c>
      <c r="C3" s="114" t="s">
        <v>201</v>
      </c>
      <c r="D3" s="111" t="str">
        <f t="shared" ref="D3:D9" ca="1" si="0">IF(C3&lt;&gt;"",INDIRECT(C3&amp;"!B3"),"")</f>
        <v xml:space="preserve">SYS_SF01_56, SYS_SF01_65, SYS_SF01_75, SYS_SF01_126, </v>
      </c>
      <c r="E3" s="113" t="str">
        <f t="shared" ref="E3:E9" ca="1" si="1">IF(C3&lt;&gt;"",INDIRECT(C3&amp;"!B5"),"")</f>
        <v>Nominal</v>
      </c>
      <c r="F3" s="115" t="str">
        <f t="shared" ref="F3:F9" ca="1" si="2">IF(C3&lt;&gt;"",INDIRECT(C3&amp;"!B1"),"")</f>
        <v>SYS_SF01 Uncovered Req Review for traceability - OK result</v>
      </c>
      <c r="G3" s="79"/>
      <c r="H3" s="80"/>
      <c r="I3" s="81"/>
      <c r="J3" s="82"/>
      <c r="K3" s="88" t="str">
        <f t="shared" ref="K3:K9" ca="1" si="3">IF(C3&lt;&gt;"",INDIRECT(C3&amp;"!B9"),"")</f>
        <v>Ok</v>
      </c>
      <c r="L3" s="86"/>
      <c r="M3" s="83"/>
      <c r="N3" s="84"/>
    </row>
    <row r="4" spans="2:14" ht="180.75" thickBot="1" x14ac:dyDescent="0.25">
      <c r="B4" s="64">
        <v>2</v>
      </c>
      <c r="C4" s="114" t="s">
        <v>210</v>
      </c>
      <c r="D4" s="111" t="str">
        <f t="shared" ca="1" si="0"/>
        <v>SYS_SF01_156, SYS_SF01_104, SYS_SF01_107, SYS_SF01_109, SYS_SF01_111, SYS_SF01_114, SYS_SF01_132, SYS_SF01_137, SYS_SF01_153, SYS_SF01_125, SYS_SF01_139, SYS_SF01_151, SYS_SF01_76, SYS_SF01_57, SYS_SF01_79, SYS_SF01_143, SYS_SF01_147, SYS_SF01_49, SYS_SF01_83, SYS_SF01_16, SYS_SF01_17, SYS_SF01_128, SYS_SF01_145</v>
      </c>
      <c r="E4" s="113" t="str">
        <f t="shared" ca="1" si="1"/>
        <v>Nominal</v>
      </c>
      <c r="F4" s="115" t="str">
        <f t="shared" ca="1" si="2"/>
        <v>SYS_SF01 Uncovered Req Review for traceability - TBD result</v>
      </c>
      <c r="G4" s="108"/>
      <c r="H4" s="65"/>
      <c r="I4" s="66"/>
      <c r="J4" s="67"/>
      <c r="K4" s="88" t="str">
        <f t="shared" ca="1" si="3"/>
        <v>Nok</v>
      </c>
      <c r="L4" s="87"/>
      <c r="M4" s="76"/>
      <c r="N4" s="68"/>
    </row>
    <row r="5" spans="2:14" ht="15.75" thickBot="1" x14ac:dyDescent="0.25">
      <c r="B5" s="64">
        <v>3</v>
      </c>
      <c r="C5" s="114" t="s">
        <v>203</v>
      </c>
      <c r="D5" s="111" t="str">
        <f t="shared" ca="1" si="0"/>
        <v xml:space="preserve">SYS_SF02_3881, </v>
      </c>
      <c r="E5" s="113" t="str">
        <f t="shared" ca="1" si="1"/>
        <v>Nominal</v>
      </c>
      <c r="F5" s="115" t="str">
        <f t="shared" ca="1" si="2"/>
        <v>SYS_SF02 Uncovered Req Review for traceability - OK result</v>
      </c>
      <c r="G5" s="108"/>
      <c r="H5" s="65"/>
      <c r="I5" s="66"/>
      <c r="J5" s="67"/>
      <c r="K5" s="88" t="str">
        <f t="shared" ca="1" si="3"/>
        <v>Ok</v>
      </c>
      <c r="L5" s="87"/>
      <c r="M5" s="76"/>
      <c r="N5" s="68"/>
    </row>
    <row r="6" spans="2:14" ht="45.75" thickBot="1" x14ac:dyDescent="0.25">
      <c r="B6" s="64">
        <v>5</v>
      </c>
      <c r="C6" s="114" t="s">
        <v>202</v>
      </c>
      <c r="D6" s="111" t="str">
        <f t="shared" ca="1" si="0"/>
        <v>SYS_SF02_13553, SYS_SF02_13554, SYS_SF02_13555, SYS_SF02_13556, SYS_SF02_13557, SYS_SF02_13558,</v>
      </c>
      <c r="E6" s="113" t="str">
        <f t="shared" ca="1" si="1"/>
        <v>Nominal</v>
      </c>
      <c r="F6" s="115" t="str">
        <f t="shared" ca="1" si="2"/>
        <v>SYS_SF02 Uncovered Req Review for traceability - TBD result</v>
      </c>
      <c r="G6" s="108"/>
      <c r="H6" s="65"/>
      <c r="I6" s="66"/>
      <c r="J6" s="67"/>
      <c r="K6" s="88" t="str">
        <f t="shared" ca="1" si="3"/>
        <v>Not run</v>
      </c>
      <c r="L6" s="87"/>
      <c r="M6" s="76"/>
      <c r="N6" s="68"/>
    </row>
    <row r="7" spans="2:14" ht="60.75" thickBot="1" x14ac:dyDescent="0.25">
      <c r="B7" s="64">
        <v>6</v>
      </c>
      <c r="C7" s="114" t="s">
        <v>204</v>
      </c>
      <c r="D7" s="111" t="str">
        <f t="shared" ca="1" si="0"/>
        <v xml:space="preserve">SYS_SF03_2184, SYS_SF03_2186, SYS_SF03_2821, SYS_SF03_2822,  SYS_SF03_2823, SYS_SF03_2824, SYS_SF03_2825, SYS_SF03_2826, </v>
      </c>
      <c r="E7" s="113" t="str">
        <f t="shared" ca="1" si="1"/>
        <v>Nominal</v>
      </c>
      <c r="F7" s="115" t="str">
        <f t="shared" ca="1" si="2"/>
        <v>SYS_SF03 Uncovered Req Review for traceability - OK result</v>
      </c>
      <c r="G7" s="108"/>
      <c r="H7" s="65"/>
      <c r="I7" s="66"/>
      <c r="J7" s="67"/>
      <c r="K7" s="88" t="str">
        <f t="shared" ca="1" si="3"/>
        <v>Ok</v>
      </c>
      <c r="L7" s="87"/>
      <c r="M7" s="76"/>
      <c r="N7" s="68"/>
    </row>
    <row r="8" spans="2:14" ht="184.5" customHeight="1" thickBot="1" x14ac:dyDescent="0.25">
      <c r="B8" s="64">
        <v>7</v>
      </c>
      <c r="C8" s="114" t="s">
        <v>264</v>
      </c>
      <c r="D8" s="111" t="str">
        <f t="shared" ca="1" si="0"/>
        <v xml:space="preserve">SYS_SF03_1999, SYS_SF03_55, SYS_SF03_2006, SYS_SF03_2000, SYS_SF03_56,  SYS_SF03_2016, SYS_SF03_2017, SYS_SF03_2018,  SYS_SF03_2020, SYS_SF03_2021, SYS_SF03_2184, SYS_SF03_2308, SYS_SF03_2309, SYS_SF03_2321, SYS_SF03_2322, SYS_SF03_2327, SYS_SF03_2328, SYS_SF03_2698, SYS_SF03_2699, SYS_SF03_2787, SYS_SF03_2788, SYS_SF03_2790, SYS_SF03_2792, SYS_SF03_2794, SYS_SF03_2795, SYS_SF03_2805, SYS_SF03_2807, SYS_SF03_2808, SYS_SF03_2809,  SYS_SF03_2811,    </v>
      </c>
      <c r="E8" s="113" t="str">
        <f t="shared" ca="1" si="1"/>
        <v>Nominal</v>
      </c>
      <c r="F8" s="115" t="str">
        <f t="shared" ca="1" si="2"/>
        <v>SYS_SF03 Uncovered Req Review for traceability - TBD result</v>
      </c>
      <c r="G8" s="108"/>
      <c r="H8" s="65"/>
      <c r="I8" s="66"/>
      <c r="J8" s="67"/>
      <c r="K8" s="88" t="str">
        <f t="shared" ca="1" si="3"/>
        <v>Nok</v>
      </c>
      <c r="L8" s="87"/>
      <c r="M8" s="76"/>
      <c r="N8" s="68"/>
    </row>
    <row r="9" spans="2:14" ht="15.75" thickBot="1" x14ac:dyDescent="0.25">
      <c r="B9" s="64">
        <v>8</v>
      </c>
      <c r="C9" s="114" t="s">
        <v>205</v>
      </c>
      <c r="D9" s="111" t="str">
        <f t="shared" ca="1" si="0"/>
        <v xml:space="preserve">SYS_SF04_82, </v>
      </c>
      <c r="E9" s="113" t="str">
        <f t="shared" ca="1" si="1"/>
        <v>Nominal</v>
      </c>
      <c r="F9" s="116" t="str">
        <f t="shared" ca="1" si="2"/>
        <v>SYS_SF04 Uncovered Req Review for traceability - OK Result</v>
      </c>
      <c r="G9" s="108"/>
      <c r="H9" s="65"/>
      <c r="I9" s="66"/>
      <c r="J9" s="67"/>
      <c r="K9" s="88" t="str">
        <f t="shared" ca="1" si="3"/>
        <v>Ok</v>
      </c>
      <c r="L9" s="87"/>
      <c r="M9" s="76"/>
      <c r="N9" s="68"/>
    </row>
    <row r="10" spans="2:14" ht="183.75" customHeight="1" thickBot="1" x14ac:dyDescent="0.25">
      <c r="B10" s="64">
        <v>9</v>
      </c>
      <c r="C10" s="114" t="s">
        <v>312</v>
      </c>
      <c r="D10" s="111" t="str">
        <f t="shared" ref="D10:D35" ca="1" si="4">IF(C10&lt;&gt;"",INDIRECT(C10&amp;"!B3"),"")</f>
        <v>SYS_SF04_54, SYS_SF04_55, SYS_SF04_56, SYS_SF04_57, SYS_SF04_59, SYS_SF04_60, SYS_SF04_61, SYS_SF04_62, SYS_SF04_14, SYS_SF04_90, SYS_SF04_38, SYS_SF04_39, SYS_SF04_42, SYS_SF04_43, SYS_SF04_95, SYS_SF04_65, SYS_SF04_66, SYS_SF04_68, SYS_SF04_69, SYS_SF04_96, SYS_SF04_44, SYS_SF04_45, SYS_SF04_46, SYS_SF04_47, SYS_SF04_49, SYS_SF04_50, SYS_SF04_51, SYS_SF04_52, SYS_SF04_3,  SYS_SF04_4,  SYS_SF04_98, SYS_SF04_6, SYS_SF04_7,  SYS_SF04_78,  SYS_SF04_20,  SYS_SF04_89</v>
      </c>
      <c r="E10" s="117" t="str">
        <f t="shared" ref="E10:E35" ca="1" si="5">IF(C10&lt;&gt;"",INDIRECT(C10&amp;"!B5"),"")</f>
        <v>Nominal</v>
      </c>
      <c r="F10" s="115" t="str">
        <f t="shared" ref="F10:F35" ca="1" si="6">IF(C10&lt;&gt;"",INDIRECT(C10&amp;"!B1"),"")</f>
        <v>SYS_SF04 Uncovered Req Review for traceability - TBD or NOK result</v>
      </c>
      <c r="G10" s="108"/>
      <c r="H10" s="65"/>
      <c r="I10" s="66"/>
      <c r="J10" s="67"/>
      <c r="K10" s="88" t="str">
        <f t="shared" ref="K10:K14" ca="1" si="7">IF(C10&lt;&gt;"",INDIRECT(C10&amp;"!B9"),"")</f>
        <v>Nok</v>
      </c>
      <c r="L10" s="87"/>
      <c r="M10" s="76"/>
      <c r="N10" s="68"/>
    </row>
    <row r="11" spans="2:14" ht="17.25" customHeight="1" thickBot="1" x14ac:dyDescent="0.25">
      <c r="B11" s="64">
        <v>10</v>
      </c>
      <c r="C11" s="114" t="s">
        <v>206</v>
      </c>
      <c r="D11" s="111" t="str">
        <f t="shared" ca="1" si="4"/>
        <v>SYS_SF06_30, SYS_SF06_37, SYS_SF06_41</v>
      </c>
      <c r="E11" s="117" t="str">
        <f t="shared" ca="1" si="5"/>
        <v>Nominal</v>
      </c>
      <c r="F11" s="90" t="str">
        <f t="shared" ca="1" si="6"/>
        <v>SYS_SF06 Uncovered Req Review for traceability - TBD result</v>
      </c>
      <c r="G11" s="108"/>
      <c r="H11" s="65"/>
      <c r="I11" s="66"/>
      <c r="J11" s="67"/>
      <c r="K11" s="88" t="str">
        <f t="shared" ca="1" si="7"/>
        <v>Not run</v>
      </c>
      <c r="L11" s="87"/>
      <c r="M11" s="76"/>
      <c r="N11" s="68"/>
    </row>
    <row r="12" spans="2:14" ht="15.75" thickBot="1" x14ac:dyDescent="0.25">
      <c r="B12" s="64">
        <v>11</v>
      </c>
      <c r="C12" s="114" t="s">
        <v>207</v>
      </c>
      <c r="D12" s="111" t="str">
        <f t="shared" ca="1" si="4"/>
        <v xml:space="preserve">SYS_SF07_70, SYS_SF07_64, </v>
      </c>
      <c r="E12" s="117" t="str">
        <f t="shared" ca="1" si="5"/>
        <v>Nominal</v>
      </c>
      <c r="F12" s="90" t="str">
        <f t="shared" ca="1" si="6"/>
        <v>SYS_SF07 Uncovered Req Review for traceability - OK result</v>
      </c>
      <c r="G12" s="108"/>
      <c r="H12" s="65"/>
      <c r="I12" s="66"/>
      <c r="J12" s="67"/>
      <c r="K12" s="88" t="str">
        <f t="shared" ca="1" si="7"/>
        <v>Ok</v>
      </c>
      <c r="L12" s="87"/>
      <c r="M12" s="76"/>
      <c r="N12" s="68"/>
    </row>
    <row r="13" spans="2:14" ht="15.75" thickBot="1" x14ac:dyDescent="0.25">
      <c r="B13" s="64">
        <v>12</v>
      </c>
      <c r="C13" s="114" t="s">
        <v>208</v>
      </c>
      <c r="D13" s="111" t="str">
        <f t="shared" ca="1" si="4"/>
        <v xml:space="preserve">SYS_SF07_65, </v>
      </c>
      <c r="E13" s="117" t="str">
        <f t="shared" ca="1" si="5"/>
        <v>Nominal</v>
      </c>
      <c r="F13" s="90" t="str">
        <f t="shared" ca="1" si="6"/>
        <v>SYS_SF07 Uncovered Req Review for traceability - TBD result</v>
      </c>
      <c r="G13" s="108"/>
      <c r="H13" s="65"/>
      <c r="I13" s="66"/>
      <c r="J13" s="67"/>
      <c r="K13" s="88" t="str">
        <f t="shared" ca="1" si="7"/>
        <v>Not run</v>
      </c>
      <c r="L13" s="87"/>
      <c r="M13" s="76"/>
      <c r="N13" s="68"/>
    </row>
    <row r="14" spans="2:14" ht="15" x14ac:dyDescent="0.2">
      <c r="B14" s="64">
        <v>13</v>
      </c>
      <c r="C14" s="114" t="s">
        <v>209</v>
      </c>
      <c r="D14" s="111" t="str">
        <f t="shared" ca="1" si="4"/>
        <v>SYS_SF08_36, SYS_SF08_154</v>
      </c>
      <c r="E14" s="117" t="str">
        <f t="shared" ca="1" si="5"/>
        <v>Nominal</v>
      </c>
      <c r="F14" s="90" t="str">
        <f t="shared" ca="1" si="6"/>
        <v>SYS_SF08 Uncovered Req Review for traceability - OK result</v>
      </c>
      <c r="G14" s="108"/>
      <c r="H14" s="65"/>
      <c r="I14" s="66"/>
      <c r="J14" s="67"/>
      <c r="K14" s="88" t="str">
        <f t="shared" ca="1" si="7"/>
        <v>Ok</v>
      </c>
      <c r="L14" s="87"/>
      <c r="M14" s="76"/>
      <c r="N14" s="68"/>
    </row>
    <row r="15" spans="2:14" ht="15" x14ac:dyDescent="0.2">
      <c r="B15" s="64">
        <v>14</v>
      </c>
      <c r="C15" s="106"/>
      <c r="D15" s="111" t="str">
        <f t="shared" ca="1" si="4"/>
        <v/>
      </c>
      <c r="E15" s="90" t="str">
        <f t="shared" ca="1" si="5"/>
        <v/>
      </c>
      <c r="F15" s="90" t="str">
        <f t="shared" ca="1" si="6"/>
        <v/>
      </c>
      <c r="G15" s="108"/>
      <c r="H15" s="65"/>
      <c r="I15" s="66"/>
      <c r="J15" s="67"/>
      <c r="K15" s="89" t="str">
        <f t="shared" ref="K15:K35" ca="1" si="8">IF(C15&lt;&gt;"",INDIRECT(C15&amp;"!B9"),"")</f>
        <v/>
      </c>
      <c r="L15" s="87"/>
      <c r="M15" s="76"/>
      <c r="N15" s="68"/>
    </row>
    <row r="16" spans="2:14" ht="15" x14ac:dyDescent="0.2">
      <c r="B16" s="64">
        <v>15</v>
      </c>
      <c r="C16" s="106"/>
      <c r="D16" s="111" t="str">
        <f t="shared" ca="1" si="4"/>
        <v/>
      </c>
      <c r="E16" s="90" t="str">
        <f t="shared" ca="1" si="5"/>
        <v/>
      </c>
      <c r="F16" s="90" t="str">
        <f t="shared" ca="1" si="6"/>
        <v/>
      </c>
      <c r="G16" s="108"/>
      <c r="H16" s="65"/>
      <c r="I16" s="66"/>
      <c r="J16" s="67"/>
      <c r="K16" s="89" t="str">
        <f t="shared" ca="1" si="8"/>
        <v/>
      </c>
      <c r="L16" s="87"/>
      <c r="M16" s="76"/>
      <c r="N16" s="68"/>
    </row>
    <row r="17" spans="2:14" ht="15" x14ac:dyDescent="0.2">
      <c r="B17" s="64">
        <v>16</v>
      </c>
      <c r="C17" s="106"/>
      <c r="D17" s="111" t="str">
        <f t="shared" ca="1" si="4"/>
        <v/>
      </c>
      <c r="E17" s="90" t="str">
        <f t="shared" ca="1" si="5"/>
        <v/>
      </c>
      <c r="F17" s="90" t="str">
        <f t="shared" ca="1" si="6"/>
        <v/>
      </c>
      <c r="G17" s="108"/>
      <c r="H17" s="65"/>
      <c r="I17" s="66"/>
      <c r="J17" s="67"/>
      <c r="K17" s="89" t="str">
        <f t="shared" ca="1" si="8"/>
        <v/>
      </c>
      <c r="L17" s="87"/>
      <c r="M17" s="76"/>
      <c r="N17" s="68"/>
    </row>
    <row r="18" spans="2:14" ht="15" x14ac:dyDescent="0.2">
      <c r="B18" s="64">
        <v>17</v>
      </c>
      <c r="C18" s="106"/>
      <c r="D18" s="111" t="str">
        <f t="shared" ca="1" si="4"/>
        <v/>
      </c>
      <c r="E18" s="90" t="str">
        <f t="shared" ca="1" si="5"/>
        <v/>
      </c>
      <c r="F18" s="90" t="str">
        <f t="shared" ca="1" si="6"/>
        <v/>
      </c>
      <c r="G18" s="108"/>
      <c r="H18" s="65"/>
      <c r="I18" s="66"/>
      <c r="J18" s="67"/>
      <c r="K18" s="89" t="str">
        <f t="shared" ca="1" si="8"/>
        <v/>
      </c>
      <c r="L18" s="87"/>
      <c r="M18" s="76"/>
      <c r="N18" s="68"/>
    </row>
    <row r="19" spans="2:14" ht="15" x14ac:dyDescent="0.2">
      <c r="B19" s="64">
        <v>18</v>
      </c>
      <c r="C19" s="106"/>
      <c r="D19" s="111" t="str">
        <f t="shared" ca="1" si="4"/>
        <v/>
      </c>
      <c r="E19" s="90" t="str">
        <f t="shared" ca="1" si="5"/>
        <v/>
      </c>
      <c r="F19" s="90" t="str">
        <f t="shared" ca="1" si="6"/>
        <v/>
      </c>
      <c r="G19" s="108"/>
      <c r="H19" s="65"/>
      <c r="I19" s="66"/>
      <c r="J19" s="67"/>
      <c r="K19" s="89" t="str">
        <f t="shared" ca="1" si="8"/>
        <v/>
      </c>
      <c r="L19" s="87"/>
      <c r="M19" s="76"/>
      <c r="N19" s="68"/>
    </row>
    <row r="20" spans="2:14" ht="15" x14ac:dyDescent="0.2">
      <c r="B20" s="64">
        <v>19</v>
      </c>
      <c r="C20" s="106"/>
      <c r="D20" s="111" t="str">
        <f t="shared" ca="1" si="4"/>
        <v/>
      </c>
      <c r="E20" s="90" t="str">
        <f t="shared" ca="1" si="5"/>
        <v/>
      </c>
      <c r="F20" s="90" t="str">
        <f t="shared" ca="1" si="6"/>
        <v/>
      </c>
      <c r="G20" s="108"/>
      <c r="H20" s="65"/>
      <c r="I20" s="66"/>
      <c r="J20" s="67"/>
      <c r="K20" s="89" t="str">
        <f t="shared" ca="1" si="8"/>
        <v/>
      </c>
      <c r="L20" s="87"/>
      <c r="M20" s="76"/>
      <c r="N20" s="68"/>
    </row>
    <row r="21" spans="2:14" ht="15" x14ac:dyDescent="0.2">
      <c r="B21" s="64">
        <v>20</v>
      </c>
      <c r="C21" s="106"/>
      <c r="D21" s="111" t="str">
        <f t="shared" ca="1" si="4"/>
        <v/>
      </c>
      <c r="E21" s="90" t="str">
        <f t="shared" ca="1" si="5"/>
        <v/>
      </c>
      <c r="F21" s="90" t="str">
        <f t="shared" ca="1" si="6"/>
        <v/>
      </c>
      <c r="G21" s="108"/>
      <c r="H21" s="65"/>
      <c r="I21" s="66"/>
      <c r="J21" s="67"/>
      <c r="K21" s="89" t="str">
        <f t="shared" ca="1" si="8"/>
        <v/>
      </c>
      <c r="L21" s="87"/>
      <c r="M21" s="76"/>
      <c r="N21" s="68"/>
    </row>
    <row r="22" spans="2:14" ht="15" x14ac:dyDescent="0.2">
      <c r="B22" s="64">
        <v>21</v>
      </c>
      <c r="C22" s="106"/>
      <c r="D22" s="111" t="str">
        <f t="shared" ca="1" si="4"/>
        <v/>
      </c>
      <c r="E22" s="90" t="str">
        <f t="shared" ca="1" si="5"/>
        <v/>
      </c>
      <c r="F22" s="90" t="str">
        <f t="shared" ca="1" si="6"/>
        <v/>
      </c>
      <c r="G22" s="108"/>
      <c r="H22" s="65"/>
      <c r="I22" s="66"/>
      <c r="J22" s="67"/>
      <c r="K22" s="89" t="str">
        <f t="shared" ca="1" si="8"/>
        <v/>
      </c>
      <c r="L22" s="87"/>
      <c r="M22" s="76"/>
      <c r="N22" s="68"/>
    </row>
    <row r="23" spans="2:14" ht="15" x14ac:dyDescent="0.2">
      <c r="B23" s="64">
        <v>22</v>
      </c>
      <c r="C23" s="106"/>
      <c r="D23" s="111" t="str">
        <f t="shared" ca="1" si="4"/>
        <v/>
      </c>
      <c r="E23" s="90" t="str">
        <f t="shared" ca="1" si="5"/>
        <v/>
      </c>
      <c r="F23" s="90" t="str">
        <f t="shared" ca="1" si="6"/>
        <v/>
      </c>
      <c r="G23" s="108"/>
      <c r="H23" s="65"/>
      <c r="I23" s="66"/>
      <c r="J23" s="67"/>
      <c r="K23" s="89" t="str">
        <f t="shared" ca="1" si="8"/>
        <v/>
      </c>
      <c r="L23" s="87"/>
      <c r="M23" s="76"/>
      <c r="N23" s="68"/>
    </row>
    <row r="24" spans="2:14" ht="15" x14ac:dyDescent="0.2">
      <c r="B24" s="64">
        <v>23</v>
      </c>
      <c r="C24" s="106"/>
      <c r="D24" s="111" t="str">
        <f t="shared" ca="1" si="4"/>
        <v/>
      </c>
      <c r="E24" s="90" t="str">
        <f t="shared" ca="1" si="5"/>
        <v/>
      </c>
      <c r="F24" s="90" t="str">
        <f t="shared" ca="1" si="6"/>
        <v/>
      </c>
      <c r="G24" s="108"/>
      <c r="H24" s="65"/>
      <c r="I24" s="66"/>
      <c r="J24" s="67"/>
      <c r="K24" s="89" t="str">
        <f t="shared" ca="1" si="8"/>
        <v/>
      </c>
      <c r="L24" s="87"/>
      <c r="M24" s="76"/>
      <c r="N24" s="68"/>
    </row>
    <row r="25" spans="2:14" ht="15" x14ac:dyDescent="0.2">
      <c r="B25" s="64">
        <v>24</v>
      </c>
      <c r="C25" s="106"/>
      <c r="D25" s="111" t="str">
        <f t="shared" ca="1" si="4"/>
        <v/>
      </c>
      <c r="E25" s="90" t="str">
        <f t="shared" ca="1" si="5"/>
        <v/>
      </c>
      <c r="F25" s="90" t="str">
        <f t="shared" ca="1" si="6"/>
        <v/>
      </c>
      <c r="G25" s="108"/>
      <c r="H25" s="65"/>
      <c r="I25" s="66"/>
      <c r="J25" s="67"/>
      <c r="K25" s="89" t="str">
        <f t="shared" ca="1" si="8"/>
        <v/>
      </c>
      <c r="L25" s="87"/>
      <c r="M25" s="76"/>
      <c r="N25" s="68"/>
    </row>
    <row r="26" spans="2:14" ht="15" x14ac:dyDescent="0.2">
      <c r="B26" s="64">
        <v>25</v>
      </c>
      <c r="C26" s="106"/>
      <c r="D26" s="111" t="str">
        <f t="shared" ca="1" si="4"/>
        <v/>
      </c>
      <c r="E26" s="90" t="str">
        <f t="shared" ca="1" si="5"/>
        <v/>
      </c>
      <c r="F26" s="90" t="str">
        <f t="shared" ca="1" si="6"/>
        <v/>
      </c>
      <c r="G26" s="108"/>
      <c r="H26" s="65"/>
      <c r="I26" s="66"/>
      <c r="J26" s="67"/>
      <c r="K26" s="89" t="str">
        <f t="shared" ca="1" si="8"/>
        <v/>
      </c>
      <c r="L26" s="87"/>
      <c r="M26" s="76"/>
      <c r="N26" s="68"/>
    </row>
    <row r="27" spans="2:14" ht="15" x14ac:dyDescent="0.2">
      <c r="B27" s="64">
        <v>26</v>
      </c>
      <c r="C27" s="106"/>
      <c r="D27" s="111" t="str">
        <f t="shared" ca="1" si="4"/>
        <v/>
      </c>
      <c r="E27" s="90" t="str">
        <f t="shared" ca="1" si="5"/>
        <v/>
      </c>
      <c r="F27" s="90" t="str">
        <f t="shared" ca="1" si="6"/>
        <v/>
      </c>
      <c r="G27" s="108"/>
      <c r="H27" s="65"/>
      <c r="I27" s="66"/>
      <c r="J27" s="67"/>
      <c r="K27" s="89" t="str">
        <f t="shared" ca="1" si="8"/>
        <v/>
      </c>
      <c r="L27" s="87"/>
      <c r="M27" s="76"/>
      <c r="N27" s="68"/>
    </row>
    <row r="28" spans="2:14" ht="15" x14ac:dyDescent="0.2">
      <c r="B28" s="64">
        <v>27</v>
      </c>
      <c r="C28" s="106"/>
      <c r="D28" s="111" t="str">
        <f t="shared" ca="1" si="4"/>
        <v/>
      </c>
      <c r="E28" s="90" t="str">
        <f t="shared" ca="1" si="5"/>
        <v/>
      </c>
      <c r="F28" s="90" t="str">
        <f t="shared" ca="1" si="6"/>
        <v/>
      </c>
      <c r="G28" s="108"/>
      <c r="H28" s="65"/>
      <c r="I28" s="66"/>
      <c r="J28" s="67"/>
      <c r="K28" s="89" t="str">
        <f t="shared" ca="1" si="8"/>
        <v/>
      </c>
      <c r="L28" s="87"/>
      <c r="M28" s="76"/>
      <c r="N28" s="68"/>
    </row>
    <row r="29" spans="2:14" ht="15" x14ac:dyDescent="0.2">
      <c r="B29" s="64">
        <v>28</v>
      </c>
      <c r="C29" s="106"/>
      <c r="D29" s="111" t="str">
        <f t="shared" ca="1" si="4"/>
        <v/>
      </c>
      <c r="E29" s="90" t="str">
        <f t="shared" ca="1" si="5"/>
        <v/>
      </c>
      <c r="F29" s="90" t="str">
        <f t="shared" ca="1" si="6"/>
        <v/>
      </c>
      <c r="G29" s="108"/>
      <c r="H29" s="65"/>
      <c r="I29" s="66"/>
      <c r="J29" s="67"/>
      <c r="K29" s="89" t="str">
        <f t="shared" ca="1" si="8"/>
        <v/>
      </c>
      <c r="L29" s="87"/>
      <c r="M29" s="76"/>
      <c r="N29" s="68"/>
    </row>
    <row r="30" spans="2:14" ht="15" x14ac:dyDescent="0.2">
      <c r="B30" s="64">
        <v>29</v>
      </c>
      <c r="C30" s="106"/>
      <c r="D30" s="111" t="str">
        <f t="shared" ca="1" si="4"/>
        <v/>
      </c>
      <c r="E30" s="90" t="str">
        <f t="shared" ca="1" si="5"/>
        <v/>
      </c>
      <c r="F30" s="90" t="str">
        <f t="shared" ca="1" si="6"/>
        <v/>
      </c>
      <c r="G30" s="108"/>
      <c r="H30" s="65"/>
      <c r="I30" s="66"/>
      <c r="J30" s="67"/>
      <c r="K30" s="89" t="str">
        <f t="shared" ca="1" si="8"/>
        <v/>
      </c>
      <c r="L30" s="87"/>
      <c r="M30" s="76"/>
      <c r="N30" s="68"/>
    </row>
    <row r="31" spans="2:14" ht="15" x14ac:dyDescent="0.2">
      <c r="B31" s="64">
        <v>30</v>
      </c>
      <c r="C31" s="106"/>
      <c r="D31" s="111" t="str">
        <f t="shared" ca="1" si="4"/>
        <v/>
      </c>
      <c r="E31" s="90" t="str">
        <f t="shared" ca="1" si="5"/>
        <v/>
      </c>
      <c r="F31" s="90" t="str">
        <f t="shared" ca="1" si="6"/>
        <v/>
      </c>
      <c r="G31" s="108"/>
      <c r="H31" s="65"/>
      <c r="I31" s="66"/>
      <c r="J31" s="67"/>
      <c r="K31" s="89" t="str">
        <f t="shared" ca="1" si="8"/>
        <v/>
      </c>
      <c r="L31" s="87"/>
      <c r="M31" s="76"/>
      <c r="N31" s="68"/>
    </row>
    <row r="32" spans="2:14" ht="15" x14ac:dyDescent="0.2">
      <c r="B32" s="64">
        <v>31</v>
      </c>
      <c r="C32" s="106"/>
      <c r="D32" s="111" t="str">
        <f t="shared" ca="1" si="4"/>
        <v/>
      </c>
      <c r="E32" s="90" t="str">
        <f t="shared" ca="1" si="5"/>
        <v/>
      </c>
      <c r="F32" s="90" t="str">
        <f t="shared" ca="1" si="6"/>
        <v/>
      </c>
      <c r="G32" s="108"/>
      <c r="H32" s="65"/>
      <c r="I32" s="66"/>
      <c r="J32" s="67"/>
      <c r="K32" s="89" t="str">
        <f t="shared" ca="1" si="8"/>
        <v/>
      </c>
      <c r="L32" s="87"/>
      <c r="M32" s="76"/>
      <c r="N32" s="68"/>
    </row>
    <row r="33" spans="2:14" ht="15" x14ac:dyDescent="0.2">
      <c r="B33" s="64">
        <v>32</v>
      </c>
      <c r="C33" s="106"/>
      <c r="D33" s="111" t="str">
        <f t="shared" ca="1" si="4"/>
        <v/>
      </c>
      <c r="E33" s="90" t="str">
        <f t="shared" ca="1" si="5"/>
        <v/>
      </c>
      <c r="F33" s="90" t="str">
        <f t="shared" ca="1" si="6"/>
        <v/>
      </c>
      <c r="G33" s="108"/>
      <c r="H33" s="65"/>
      <c r="I33" s="66"/>
      <c r="J33" s="67"/>
      <c r="K33" s="89" t="str">
        <f t="shared" ca="1" si="8"/>
        <v/>
      </c>
      <c r="L33" s="87"/>
      <c r="M33" s="76"/>
      <c r="N33" s="68"/>
    </row>
    <row r="34" spans="2:14" ht="15" x14ac:dyDescent="0.2">
      <c r="B34" s="64">
        <v>33</v>
      </c>
      <c r="C34" s="106"/>
      <c r="D34" s="111" t="str">
        <f t="shared" ca="1" si="4"/>
        <v/>
      </c>
      <c r="E34" s="90" t="str">
        <f t="shared" ca="1" si="5"/>
        <v/>
      </c>
      <c r="F34" s="90" t="str">
        <f t="shared" ca="1" si="6"/>
        <v/>
      </c>
      <c r="G34" s="108"/>
      <c r="H34" s="65"/>
      <c r="I34" s="66"/>
      <c r="J34" s="67"/>
      <c r="K34" s="89" t="str">
        <f t="shared" ca="1" si="8"/>
        <v/>
      </c>
      <c r="L34" s="87"/>
      <c r="M34" s="76"/>
      <c r="N34" s="68"/>
    </row>
    <row r="35" spans="2:14" ht="15.75" thickBot="1" x14ac:dyDescent="0.25">
      <c r="B35" s="64">
        <v>34</v>
      </c>
      <c r="C35" s="107"/>
      <c r="D35" s="111" t="str">
        <f t="shared" ca="1" si="4"/>
        <v/>
      </c>
      <c r="E35" s="90" t="str">
        <f t="shared" ca="1" si="5"/>
        <v/>
      </c>
      <c r="F35" s="90" t="str">
        <f t="shared" ca="1" si="6"/>
        <v/>
      </c>
      <c r="G35" s="108"/>
      <c r="H35" s="65"/>
      <c r="I35" s="66"/>
      <c r="J35" s="67"/>
      <c r="K35" s="89" t="str">
        <f t="shared" ca="1" si="8"/>
        <v/>
      </c>
      <c r="L35" s="87"/>
      <c r="M35" s="76"/>
      <c r="N35" s="68"/>
    </row>
  </sheetData>
  <conditionalFormatting sqref="K3:K35">
    <cfRule type="cellIs" dxfId="798" priority="10" operator="equal">
      <formula>"Nok"</formula>
    </cfRule>
    <cfRule type="cellIs" dxfId="797" priority="11" operator="equal">
      <formula>"Ok"</formula>
    </cfRule>
  </conditionalFormatting>
  <conditionalFormatting sqref="G11:H11 G4:J10 G12:J35 L4:N35 C3:C35">
    <cfRule type="expression" dxfId="796" priority="9">
      <formula>$C3&lt;&gt;""</formula>
    </cfRule>
  </conditionalFormatting>
  <conditionalFormatting sqref="I11">
    <cfRule type="expression" dxfId="795" priority="2">
      <formula>$C11&lt;&gt;""</formula>
    </cfRule>
  </conditionalFormatting>
  <conditionalFormatting sqref="J11">
    <cfRule type="expression" dxfId="794" priority="1">
      <formula>$C11&lt;&gt;""</formula>
    </cfRule>
  </conditionalFormatting>
  <dataValidations count="2">
    <dataValidation type="list" allowBlank="1" showInputMessage="1" showErrorMessage="1" sqref="G3:G35">
      <formula1>",X,"</formula1>
    </dataValidation>
    <dataValidation type="list" allowBlank="1" showInputMessage="1" showErrorMessage="1" sqref="H3:H35">
      <formula1>"1,2,3,"</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L23" sqref="L23:O2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167</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238</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6" t="s">
        <v>42</v>
      </c>
      <c r="B7" s="215" t="s">
        <v>166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66.75" customHeight="1" x14ac:dyDescent="0.2">
      <c r="A22" s="99" t="s">
        <v>50</v>
      </c>
      <c r="B22" s="221" t="s">
        <v>223</v>
      </c>
      <c r="C22" s="221"/>
      <c r="D22" s="221"/>
      <c r="E22" s="221"/>
      <c r="F22" s="221"/>
      <c r="G22" s="221"/>
      <c r="H22" s="221"/>
      <c r="I22" s="221"/>
      <c r="J22" s="221"/>
      <c r="K22" s="221"/>
      <c r="L22" s="221" t="s">
        <v>224</v>
      </c>
      <c r="M22" s="221"/>
      <c r="N22" s="221"/>
      <c r="O22" s="221"/>
      <c r="P22" s="93" t="s">
        <v>143</v>
      </c>
    </row>
    <row r="23" spans="1:16" ht="42.75" customHeight="1" x14ac:dyDescent="0.2">
      <c r="A23" s="99" t="s">
        <v>51</v>
      </c>
      <c r="B23" s="221" t="s">
        <v>225</v>
      </c>
      <c r="C23" s="221"/>
      <c r="D23" s="221"/>
      <c r="E23" s="221"/>
      <c r="F23" s="221"/>
      <c r="G23" s="221"/>
      <c r="H23" s="221"/>
      <c r="I23" s="221"/>
      <c r="J23" s="221"/>
      <c r="K23" s="221"/>
      <c r="L23" s="221" t="s">
        <v>248</v>
      </c>
      <c r="M23" s="221"/>
      <c r="N23" s="221"/>
      <c r="O23" s="221"/>
      <c r="P23" s="93" t="s">
        <v>143</v>
      </c>
    </row>
    <row r="24" spans="1:16" ht="45.75" customHeight="1" x14ac:dyDescent="0.2">
      <c r="A24" s="99" t="s">
        <v>52</v>
      </c>
      <c r="B24" s="221" t="s">
        <v>230</v>
      </c>
      <c r="C24" s="221"/>
      <c r="D24" s="221"/>
      <c r="E24" s="221"/>
      <c r="F24" s="221"/>
      <c r="G24" s="221"/>
      <c r="H24" s="221"/>
      <c r="I24" s="221"/>
      <c r="J24" s="221"/>
      <c r="K24" s="221"/>
      <c r="L24" s="221" t="s">
        <v>224</v>
      </c>
      <c r="M24" s="221"/>
      <c r="N24" s="221"/>
      <c r="O24" s="221"/>
      <c r="P24" s="93" t="s">
        <v>143</v>
      </c>
    </row>
    <row r="25" spans="1:16" ht="67.5" customHeight="1" x14ac:dyDescent="0.2">
      <c r="A25" s="99" t="s">
        <v>53</v>
      </c>
      <c r="B25" s="221" t="s">
        <v>237</v>
      </c>
      <c r="C25" s="221"/>
      <c r="D25" s="221"/>
      <c r="E25" s="221"/>
      <c r="F25" s="221"/>
      <c r="G25" s="221"/>
      <c r="H25" s="221"/>
      <c r="I25" s="221"/>
      <c r="J25" s="221"/>
      <c r="K25" s="221"/>
      <c r="L25" s="221" t="s">
        <v>224</v>
      </c>
      <c r="M25" s="221"/>
      <c r="N25" s="221"/>
      <c r="O25" s="221"/>
      <c r="P25" s="93" t="s">
        <v>143</v>
      </c>
    </row>
    <row r="26" spans="1:16" ht="79.5" customHeight="1" x14ac:dyDescent="0.2">
      <c r="A26" s="99" t="s">
        <v>54</v>
      </c>
      <c r="B26" s="221"/>
      <c r="C26" s="221"/>
      <c r="D26" s="221"/>
      <c r="E26" s="221"/>
      <c r="F26" s="221"/>
      <c r="G26" s="221"/>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93" priority="33" operator="equal">
      <formula>"Nok"</formula>
    </cfRule>
    <cfRule type="cellIs" dxfId="792" priority="34" operator="equal">
      <formula>"Ok"</formula>
    </cfRule>
  </conditionalFormatting>
  <conditionalFormatting sqref="P22:P30">
    <cfRule type="cellIs" dxfId="791" priority="31" operator="equal">
      <formula>"Nok"</formula>
    </cfRule>
    <cfRule type="cellIs" dxfId="790" priority="32" operator="equal">
      <formula>"Ok"</formula>
    </cfRule>
  </conditionalFormatting>
  <conditionalFormatting sqref="P31:P35">
    <cfRule type="cellIs" dxfId="789" priority="29" operator="equal">
      <formula>"Nok"</formula>
    </cfRule>
    <cfRule type="cellIs" dxfId="788" priority="30" operator="equal">
      <formula>"Ok"</formula>
    </cfRule>
  </conditionalFormatting>
  <conditionalFormatting sqref="P36:P37">
    <cfRule type="cellIs" dxfId="787" priority="27" operator="equal">
      <formula>"Nok"</formula>
    </cfRule>
    <cfRule type="cellIs" dxfId="786" priority="28" operator="equal">
      <formula>"Ok"</formula>
    </cfRule>
  </conditionalFormatting>
  <conditionalFormatting sqref="P38">
    <cfRule type="cellIs" dxfId="785" priority="25" operator="equal">
      <formula>"Nok"</formula>
    </cfRule>
    <cfRule type="cellIs" dxfId="784" priority="26" operator="equal">
      <formula>"Ok"</formula>
    </cfRule>
  </conditionalFormatting>
  <conditionalFormatting sqref="P39">
    <cfRule type="cellIs" dxfId="783" priority="23" operator="equal">
      <formula>"Nok"</formula>
    </cfRule>
    <cfRule type="cellIs" dxfId="782" priority="24" operator="equal">
      <formula>"Ok"</formula>
    </cfRule>
  </conditionalFormatting>
  <conditionalFormatting sqref="P40">
    <cfRule type="cellIs" dxfId="781" priority="21" operator="equal">
      <formula>"Nok"</formula>
    </cfRule>
    <cfRule type="cellIs" dxfId="780" priority="22" operator="equal">
      <formula>"Ok"</formula>
    </cfRule>
  </conditionalFormatting>
  <conditionalFormatting sqref="P41">
    <cfRule type="cellIs" dxfId="779" priority="19" operator="equal">
      <formula>"Nok"</formula>
    </cfRule>
    <cfRule type="cellIs" dxfId="778" priority="20" operator="equal">
      <formula>"Ok"</formula>
    </cfRule>
  </conditionalFormatting>
  <conditionalFormatting sqref="P42">
    <cfRule type="cellIs" dxfId="777" priority="17" operator="equal">
      <formula>"Nok"</formula>
    </cfRule>
    <cfRule type="cellIs" dxfId="776" priority="18" operator="equal">
      <formula>"Ok"</formula>
    </cfRule>
  </conditionalFormatting>
  <conditionalFormatting sqref="P43">
    <cfRule type="cellIs" dxfId="775" priority="15" operator="equal">
      <formula>"Nok"</formula>
    </cfRule>
    <cfRule type="cellIs" dxfId="774" priority="16" operator="equal">
      <formula>"Ok"</formula>
    </cfRule>
  </conditionalFormatting>
  <conditionalFormatting sqref="P44">
    <cfRule type="cellIs" dxfId="773" priority="13" operator="equal">
      <formula>"Nok"</formula>
    </cfRule>
    <cfRule type="cellIs" dxfId="772" priority="14" operator="equal">
      <formula>"Ok"</formula>
    </cfRule>
  </conditionalFormatting>
  <conditionalFormatting sqref="P45">
    <cfRule type="cellIs" dxfId="771" priority="11" operator="equal">
      <formula>"Nok"</formula>
    </cfRule>
    <cfRule type="cellIs" dxfId="770" priority="12" operator="equal">
      <formula>"Ok"</formula>
    </cfRule>
  </conditionalFormatting>
  <conditionalFormatting sqref="P46">
    <cfRule type="cellIs" dxfId="769" priority="9" operator="equal">
      <formula>"Nok"</formula>
    </cfRule>
    <cfRule type="cellIs" dxfId="768" priority="10" operator="equal">
      <formula>"Ok"</formula>
    </cfRule>
  </conditionalFormatting>
  <conditionalFormatting sqref="P47">
    <cfRule type="cellIs" dxfId="767" priority="7" operator="equal">
      <formula>"Nok"</formula>
    </cfRule>
    <cfRule type="cellIs" dxfId="766" priority="8" operator="equal">
      <formula>"Ok"</formula>
    </cfRule>
  </conditionalFormatting>
  <conditionalFormatting sqref="P48">
    <cfRule type="cellIs" dxfId="765" priority="5" operator="equal">
      <formula>"Nok"</formula>
    </cfRule>
    <cfRule type="cellIs" dxfId="764" priority="6" operator="equal">
      <formula>"Ok"</formula>
    </cfRule>
  </conditionalFormatting>
  <conditionalFormatting sqref="P49">
    <cfRule type="cellIs" dxfId="763" priority="3" operator="equal">
      <formula>"Nok"</formula>
    </cfRule>
    <cfRule type="cellIs" dxfId="762" priority="4" operator="equal">
      <formula>"Ok"</formula>
    </cfRule>
  </conditionalFormatting>
  <conditionalFormatting sqref="P50">
    <cfRule type="cellIs" dxfId="761" priority="1" operator="equal">
      <formula>"Nok"</formula>
    </cfRule>
    <cfRule type="cellIs" dxfId="760"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9" sqref="B9"/>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168</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81" customHeight="1" thickBot="1" x14ac:dyDescent="0.25">
      <c r="A3" s="97" t="s">
        <v>46</v>
      </c>
      <c r="B3" s="215" t="s">
        <v>246</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6" t="s">
        <v>42</v>
      </c>
      <c r="B7" s="215" t="s">
        <v>166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213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66.75" customHeight="1" x14ac:dyDescent="0.2">
      <c r="A22" s="99" t="s">
        <v>50</v>
      </c>
      <c r="B22" s="221" t="s">
        <v>211</v>
      </c>
      <c r="C22" s="221"/>
      <c r="D22" s="221"/>
      <c r="E22" s="221"/>
      <c r="F22" s="221"/>
      <c r="G22" s="221"/>
      <c r="H22" s="221"/>
      <c r="I22" s="221"/>
      <c r="J22" s="221"/>
      <c r="K22" s="221"/>
      <c r="L22" s="221" t="s">
        <v>214</v>
      </c>
      <c r="M22" s="221"/>
      <c r="N22" s="221"/>
      <c r="O22" s="221"/>
      <c r="P22" s="93" t="s">
        <v>213</v>
      </c>
    </row>
    <row r="23" spans="1:16" ht="42.75" customHeight="1" x14ac:dyDescent="0.2">
      <c r="A23" s="99" t="s">
        <v>51</v>
      </c>
      <c r="B23" s="221" t="s">
        <v>212</v>
      </c>
      <c r="C23" s="221"/>
      <c r="D23" s="221"/>
      <c r="E23" s="221"/>
      <c r="F23" s="221"/>
      <c r="G23" s="221"/>
      <c r="H23" s="221"/>
      <c r="I23" s="221"/>
      <c r="J23" s="221"/>
      <c r="K23" s="221"/>
      <c r="L23" s="221" t="s">
        <v>214</v>
      </c>
      <c r="M23" s="221"/>
      <c r="N23" s="221"/>
      <c r="O23" s="221"/>
      <c r="P23" s="93" t="s">
        <v>213</v>
      </c>
    </row>
    <row r="24" spans="1:16" ht="127.5" customHeight="1" x14ac:dyDescent="0.2">
      <c r="A24" s="99" t="s">
        <v>52</v>
      </c>
      <c r="B24" s="221" t="s">
        <v>215</v>
      </c>
      <c r="C24" s="221"/>
      <c r="D24" s="221"/>
      <c r="E24" s="221"/>
      <c r="F24" s="221"/>
      <c r="G24" s="221"/>
      <c r="H24" s="221"/>
      <c r="I24" s="221"/>
      <c r="J24" s="221"/>
      <c r="K24" s="221"/>
      <c r="L24" s="221" t="s">
        <v>216</v>
      </c>
      <c r="M24" s="221"/>
      <c r="N24" s="221"/>
      <c r="O24" s="221"/>
      <c r="P24" s="93" t="s">
        <v>144</v>
      </c>
    </row>
    <row r="25" spans="1:16" ht="67.5" customHeight="1" x14ac:dyDescent="0.2">
      <c r="A25" s="99" t="s">
        <v>53</v>
      </c>
      <c r="B25" s="221" t="s">
        <v>217</v>
      </c>
      <c r="C25" s="221"/>
      <c r="D25" s="221"/>
      <c r="E25" s="221"/>
      <c r="F25" s="221"/>
      <c r="G25" s="221"/>
      <c r="H25" s="221"/>
      <c r="I25" s="221"/>
      <c r="J25" s="221"/>
      <c r="K25" s="221"/>
      <c r="L25" s="221" t="s">
        <v>216</v>
      </c>
      <c r="M25" s="221"/>
      <c r="N25" s="221"/>
      <c r="O25" s="221"/>
      <c r="P25" s="93" t="s">
        <v>144</v>
      </c>
    </row>
    <row r="26" spans="1:16" ht="79.5" customHeight="1" x14ac:dyDescent="0.2">
      <c r="A26" s="99" t="s">
        <v>54</v>
      </c>
      <c r="B26" s="221" t="s">
        <v>218</v>
      </c>
      <c r="C26" s="221"/>
      <c r="D26" s="221"/>
      <c r="E26" s="221"/>
      <c r="F26" s="221"/>
      <c r="G26" s="221"/>
      <c r="H26" s="221"/>
      <c r="I26" s="221"/>
      <c r="J26" s="221"/>
      <c r="K26" s="221"/>
      <c r="L26" s="221" t="s">
        <v>216</v>
      </c>
      <c r="M26" s="221"/>
      <c r="N26" s="221"/>
      <c r="O26" s="221"/>
      <c r="P26" s="93" t="s">
        <v>144</v>
      </c>
    </row>
    <row r="27" spans="1:16" ht="66" customHeight="1" x14ac:dyDescent="0.2">
      <c r="A27" s="99" t="s">
        <v>55</v>
      </c>
      <c r="B27" s="221" t="s">
        <v>219</v>
      </c>
      <c r="C27" s="221"/>
      <c r="D27" s="221"/>
      <c r="E27" s="221"/>
      <c r="F27" s="221"/>
      <c r="G27" s="221"/>
      <c r="H27" s="221"/>
      <c r="I27" s="221"/>
      <c r="J27" s="221"/>
      <c r="K27" s="221"/>
      <c r="L27" s="221" t="s">
        <v>214</v>
      </c>
      <c r="M27" s="221"/>
      <c r="N27" s="221"/>
      <c r="O27" s="221"/>
      <c r="P27" s="93" t="s">
        <v>213</v>
      </c>
    </row>
    <row r="28" spans="1:16" ht="84.75" customHeight="1" x14ac:dyDescent="0.2">
      <c r="A28" s="99" t="s">
        <v>56</v>
      </c>
      <c r="B28" s="221" t="s">
        <v>220</v>
      </c>
      <c r="C28" s="221"/>
      <c r="D28" s="221"/>
      <c r="E28" s="221"/>
      <c r="F28" s="221"/>
      <c r="G28" s="221"/>
      <c r="H28" s="221"/>
      <c r="I28" s="221"/>
      <c r="J28" s="221"/>
      <c r="K28" s="221"/>
      <c r="L28" s="221" t="s">
        <v>216</v>
      </c>
      <c r="M28" s="221"/>
      <c r="N28" s="221"/>
      <c r="O28" s="221"/>
      <c r="P28" s="93" t="s">
        <v>144</v>
      </c>
    </row>
    <row r="29" spans="1:16" ht="83.25" customHeight="1" x14ac:dyDescent="0.2">
      <c r="A29" s="99" t="s">
        <v>57</v>
      </c>
      <c r="B29" s="221" t="s">
        <v>221</v>
      </c>
      <c r="C29" s="221"/>
      <c r="D29" s="221"/>
      <c r="E29" s="221"/>
      <c r="F29" s="221"/>
      <c r="G29" s="221"/>
      <c r="H29" s="221"/>
      <c r="I29" s="221"/>
      <c r="J29" s="221"/>
      <c r="K29" s="221"/>
      <c r="L29" s="221" t="s">
        <v>216</v>
      </c>
      <c r="M29" s="221"/>
      <c r="N29" s="221"/>
      <c r="O29" s="221"/>
      <c r="P29" s="93" t="s">
        <v>144</v>
      </c>
    </row>
    <row r="30" spans="1:16" ht="45.75" customHeight="1" thickBot="1" x14ac:dyDescent="0.25">
      <c r="A30" s="100" t="s">
        <v>58</v>
      </c>
      <c r="B30" s="221" t="s">
        <v>222</v>
      </c>
      <c r="C30" s="221"/>
      <c r="D30" s="221"/>
      <c r="E30" s="221"/>
      <c r="F30" s="221"/>
      <c r="G30" s="221"/>
      <c r="H30" s="228"/>
      <c r="I30" s="228"/>
      <c r="J30" s="228"/>
      <c r="K30" s="228"/>
      <c r="L30" s="221" t="s">
        <v>216</v>
      </c>
      <c r="M30" s="221"/>
      <c r="N30" s="221"/>
      <c r="O30" s="221"/>
      <c r="P30" s="93" t="s">
        <v>144</v>
      </c>
    </row>
    <row r="31" spans="1:16" ht="84.75" customHeight="1" thickBot="1" x14ac:dyDescent="0.25">
      <c r="A31" s="100" t="s">
        <v>145</v>
      </c>
      <c r="B31" s="221" t="s">
        <v>226</v>
      </c>
      <c r="C31" s="221"/>
      <c r="D31" s="221"/>
      <c r="E31" s="221"/>
      <c r="F31" s="221"/>
      <c r="G31" s="221"/>
      <c r="H31" s="221"/>
      <c r="I31" s="221"/>
      <c r="J31" s="221"/>
      <c r="K31" s="221"/>
      <c r="L31" s="222" t="str">
        <f t="shared" ref="L31" si="0">$L$27</f>
        <v>Not Yet implemented</v>
      </c>
      <c r="M31" s="223"/>
      <c r="N31" s="223"/>
      <c r="O31" s="224"/>
      <c r="P31" s="93" t="s">
        <v>213</v>
      </c>
    </row>
    <row r="32" spans="1:16" ht="87" customHeight="1" thickBot="1" x14ac:dyDescent="0.25">
      <c r="A32" s="100" t="s">
        <v>146</v>
      </c>
      <c r="B32" s="221" t="s">
        <v>227</v>
      </c>
      <c r="C32" s="221"/>
      <c r="D32" s="221"/>
      <c r="E32" s="221"/>
      <c r="F32" s="221"/>
      <c r="G32" s="221"/>
      <c r="H32" s="221"/>
      <c r="I32" s="221"/>
      <c r="J32" s="221"/>
      <c r="K32" s="221"/>
      <c r="L32" s="221" t="s">
        <v>216</v>
      </c>
      <c r="M32" s="221"/>
      <c r="N32" s="221"/>
      <c r="O32" s="221"/>
      <c r="P32" s="93" t="s">
        <v>144</v>
      </c>
    </row>
    <row r="33" spans="1:16" ht="45.75" customHeight="1" thickBot="1" x14ac:dyDescent="0.25">
      <c r="A33" s="100" t="s">
        <v>147</v>
      </c>
      <c r="B33" s="221" t="s">
        <v>228</v>
      </c>
      <c r="C33" s="221"/>
      <c r="D33" s="221"/>
      <c r="E33" s="221"/>
      <c r="F33" s="221"/>
      <c r="G33" s="221"/>
      <c r="H33" s="228"/>
      <c r="I33" s="228"/>
      <c r="J33" s="228"/>
      <c r="K33" s="228"/>
      <c r="L33" s="228" t="s">
        <v>229</v>
      </c>
      <c r="M33" s="228"/>
      <c r="N33" s="228"/>
      <c r="O33" s="228"/>
      <c r="P33" s="93" t="s">
        <v>144</v>
      </c>
    </row>
    <row r="34" spans="1:16" ht="45.75" customHeight="1" thickBot="1" x14ac:dyDescent="0.25">
      <c r="A34" s="100" t="s">
        <v>148</v>
      </c>
      <c r="B34" s="221" t="s">
        <v>231</v>
      </c>
      <c r="C34" s="221"/>
      <c r="D34" s="221"/>
      <c r="E34" s="221"/>
      <c r="F34" s="221"/>
      <c r="G34" s="221"/>
      <c r="H34" s="221"/>
      <c r="I34" s="221"/>
      <c r="J34" s="221"/>
      <c r="K34" s="221"/>
      <c r="L34" s="221" t="s">
        <v>216</v>
      </c>
      <c r="M34" s="221"/>
      <c r="N34" s="221"/>
      <c r="O34" s="221"/>
      <c r="P34" s="93" t="s">
        <v>144</v>
      </c>
    </row>
    <row r="35" spans="1:16" ht="48" customHeight="1" thickBot="1" x14ac:dyDescent="0.25">
      <c r="A35" s="100" t="s">
        <v>149</v>
      </c>
      <c r="B35" s="221" t="s">
        <v>232</v>
      </c>
      <c r="C35" s="221"/>
      <c r="D35" s="221"/>
      <c r="E35" s="221"/>
      <c r="F35" s="221"/>
      <c r="G35" s="221"/>
      <c r="H35" s="221"/>
      <c r="I35" s="221"/>
      <c r="J35" s="221"/>
      <c r="K35" s="221"/>
      <c r="L35" s="221" t="s">
        <v>216</v>
      </c>
      <c r="M35" s="221"/>
      <c r="N35" s="221"/>
      <c r="O35" s="221"/>
      <c r="P35" s="93" t="s">
        <v>144</v>
      </c>
    </row>
    <row r="36" spans="1:16" ht="45.75" customHeight="1" thickBot="1" x14ac:dyDescent="0.25">
      <c r="A36" s="100" t="s">
        <v>150</v>
      </c>
      <c r="B36" s="221" t="s">
        <v>233</v>
      </c>
      <c r="C36" s="221"/>
      <c r="D36" s="221"/>
      <c r="E36" s="221"/>
      <c r="F36" s="221"/>
      <c r="G36" s="221"/>
      <c r="H36" s="228"/>
      <c r="I36" s="228"/>
      <c r="J36" s="228"/>
      <c r="K36" s="228"/>
      <c r="L36" s="221" t="s">
        <v>216</v>
      </c>
      <c r="M36" s="221"/>
      <c r="N36" s="221"/>
      <c r="O36" s="221"/>
      <c r="P36" s="93" t="s">
        <v>144</v>
      </c>
    </row>
    <row r="37" spans="1:16" ht="85.5" customHeight="1" thickBot="1" x14ac:dyDescent="0.25">
      <c r="A37" s="100" t="s">
        <v>151</v>
      </c>
      <c r="B37" s="221" t="s">
        <v>234</v>
      </c>
      <c r="C37" s="221"/>
      <c r="D37" s="221"/>
      <c r="E37" s="221"/>
      <c r="F37" s="221"/>
      <c r="G37" s="221"/>
      <c r="H37" s="228"/>
      <c r="I37" s="228"/>
      <c r="J37" s="228"/>
      <c r="K37" s="228"/>
      <c r="L37" s="221" t="s">
        <v>216</v>
      </c>
      <c r="M37" s="221"/>
      <c r="N37" s="221"/>
      <c r="O37" s="221"/>
      <c r="P37" s="93" t="s">
        <v>144</v>
      </c>
    </row>
    <row r="38" spans="1:16" ht="45.75" customHeight="1" thickBot="1" x14ac:dyDescent="0.25">
      <c r="A38" s="100" t="s">
        <v>152</v>
      </c>
      <c r="B38" s="221" t="s">
        <v>235</v>
      </c>
      <c r="C38" s="221"/>
      <c r="D38" s="221"/>
      <c r="E38" s="221"/>
      <c r="F38" s="221"/>
      <c r="G38" s="221"/>
      <c r="H38" s="228"/>
      <c r="I38" s="228"/>
      <c r="J38" s="228"/>
      <c r="K38" s="228"/>
      <c r="L38" s="228" t="s">
        <v>236</v>
      </c>
      <c r="M38" s="228"/>
      <c r="N38" s="228"/>
      <c r="O38" s="228"/>
      <c r="P38" s="93" t="s">
        <v>144</v>
      </c>
    </row>
    <row r="39" spans="1:16" ht="59.25" customHeight="1" thickBot="1" x14ac:dyDescent="0.25">
      <c r="A39" s="100" t="s">
        <v>153</v>
      </c>
      <c r="B39" s="221" t="s">
        <v>239</v>
      </c>
      <c r="C39" s="221"/>
      <c r="D39" s="221"/>
      <c r="E39" s="221"/>
      <c r="F39" s="221"/>
      <c r="G39" s="221"/>
      <c r="H39" s="228"/>
      <c r="I39" s="228"/>
      <c r="J39" s="228"/>
      <c r="K39" s="228"/>
      <c r="L39" s="221" t="s">
        <v>216</v>
      </c>
      <c r="M39" s="221"/>
      <c r="N39" s="221"/>
      <c r="O39" s="221"/>
      <c r="P39" s="93" t="s">
        <v>144</v>
      </c>
    </row>
    <row r="40" spans="1:16" ht="45.75" customHeight="1" thickBot="1" x14ac:dyDescent="0.25">
      <c r="A40" s="100" t="s">
        <v>155</v>
      </c>
      <c r="B40" s="221" t="s">
        <v>240</v>
      </c>
      <c r="C40" s="221"/>
      <c r="D40" s="221"/>
      <c r="E40" s="221"/>
      <c r="F40" s="221"/>
      <c r="G40" s="221"/>
      <c r="H40" s="228"/>
      <c r="I40" s="228"/>
      <c r="J40" s="228"/>
      <c r="K40" s="228"/>
      <c r="L40" s="221" t="s">
        <v>216</v>
      </c>
      <c r="M40" s="221"/>
      <c r="N40" s="221"/>
      <c r="O40" s="221"/>
      <c r="P40" s="93" t="s">
        <v>144</v>
      </c>
    </row>
    <row r="41" spans="1:16" ht="45.75" customHeight="1" thickBot="1" x14ac:dyDescent="0.25">
      <c r="A41" s="100" t="s">
        <v>156</v>
      </c>
      <c r="B41" s="221" t="s">
        <v>241</v>
      </c>
      <c r="C41" s="221"/>
      <c r="D41" s="221"/>
      <c r="E41" s="221"/>
      <c r="F41" s="221"/>
      <c r="G41" s="221"/>
      <c r="H41" s="228"/>
      <c r="I41" s="228"/>
      <c r="J41" s="228"/>
      <c r="K41" s="228"/>
      <c r="L41" s="221" t="s">
        <v>214</v>
      </c>
      <c r="M41" s="221"/>
      <c r="N41" s="221"/>
      <c r="O41" s="221"/>
      <c r="P41" s="93" t="s">
        <v>213</v>
      </c>
    </row>
    <row r="42" spans="1:16" ht="45.75" customHeight="1" thickBot="1" x14ac:dyDescent="0.25">
      <c r="A42" s="100" t="s">
        <v>157</v>
      </c>
      <c r="B42" s="221" t="s">
        <v>242</v>
      </c>
      <c r="C42" s="221"/>
      <c r="D42" s="221"/>
      <c r="E42" s="221"/>
      <c r="F42" s="221"/>
      <c r="G42" s="221"/>
      <c r="H42" s="228"/>
      <c r="I42" s="228"/>
      <c r="J42" s="228"/>
      <c r="K42" s="228"/>
      <c r="L42" s="221" t="s">
        <v>214</v>
      </c>
      <c r="M42" s="221"/>
      <c r="N42" s="221"/>
      <c r="O42" s="221"/>
      <c r="P42" s="93" t="s">
        <v>213</v>
      </c>
    </row>
    <row r="43" spans="1:16" ht="81" customHeight="1" thickBot="1" x14ac:dyDescent="0.25">
      <c r="A43" s="100" t="s">
        <v>158</v>
      </c>
      <c r="B43" s="221" t="s">
        <v>243</v>
      </c>
      <c r="C43" s="221"/>
      <c r="D43" s="221"/>
      <c r="E43" s="221"/>
      <c r="F43" s="221"/>
      <c r="G43" s="221"/>
      <c r="H43" s="228"/>
      <c r="I43" s="228"/>
      <c r="J43" s="228"/>
      <c r="K43" s="228"/>
      <c r="L43" s="221" t="s">
        <v>216</v>
      </c>
      <c r="M43" s="221"/>
      <c r="N43" s="221"/>
      <c r="O43" s="221"/>
      <c r="P43" s="93" t="s">
        <v>144</v>
      </c>
    </row>
    <row r="44" spans="1:16" ht="45.75" customHeight="1" thickBot="1" x14ac:dyDescent="0.25">
      <c r="A44" s="100" t="s">
        <v>159</v>
      </c>
      <c r="B44" s="221" t="s">
        <v>244</v>
      </c>
      <c r="C44" s="221"/>
      <c r="D44" s="221"/>
      <c r="E44" s="221"/>
      <c r="F44" s="221"/>
      <c r="G44" s="221"/>
      <c r="H44" s="228"/>
      <c r="I44" s="228"/>
      <c r="J44" s="228"/>
      <c r="K44" s="228"/>
      <c r="L44" s="228" t="s">
        <v>245</v>
      </c>
      <c r="M44" s="228"/>
      <c r="N44" s="228"/>
      <c r="O44" s="228"/>
      <c r="P44" s="93" t="s">
        <v>144</v>
      </c>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759" priority="41" operator="equal">
      <formula>"Nok"</formula>
    </cfRule>
    <cfRule type="cellIs" dxfId="758" priority="42" operator="equal">
      <formula>"Ok"</formula>
    </cfRule>
  </conditionalFormatting>
  <conditionalFormatting sqref="P22:P27">
    <cfRule type="cellIs" dxfId="757" priority="39" operator="equal">
      <formula>"Nok"</formula>
    </cfRule>
    <cfRule type="cellIs" dxfId="756" priority="40" operator="equal">
      <formula>"Ok"</formula>
    </cfRule>
  </conditionalFormatting>
  <conditionalFormatting sqref="P31:P40">
    <cfRule type="cellIs" dxfId="755" priority="37" operator="equal">
      <formula>"Nok"</formula>
    </cfRule>
    <cfRule type="cellIs" dxfId="754" priority="38" operator="equal">
      <formula>"Ok"</formula>
    </cfRule>
  </conditionalFormatting>
  <conditionalFormatting sqref="P45">
    <cfRule type="cellIs" dxfId="753" priority="19" operator="equal">
      <formula>"Nok"</formula>
    </cfRule>
    <cfRule type="cellIs" dxfId="752" priority="20" operator="equal">
      <formula>"Ok"</formula>
    </cfRule>
  </conditionalFormatting>
  <conditionalFormatting sqref="P46">
    <cfRule type="cellIs" dxfId="751" priority="17" operator="equal">
      <formula>"Nok"</formula>
    </cfRule>
    <cfRule type="cellIs" dxfId="750" priority="18" operator="equal">
      <formula>"Ok"</formula>
    </cfRule>
  </conditionalFormatting>
  <conditionalFormatting sqref="P47">
    <cfRule type="cellIs" dxfId="749" priority="15" operator="equal">
      <formula>"Nok"</formula>
    </cfRule>
    <cfRule type="cellIs" dxfId="748" priority="16" operator="equal">
      <formula>"Ok"</formula>
    </cfRule>
  </conditionalFormatting>
  <conditionalFormatting sqref="P48">
    <cfRule type="cellIs" dxfId="747" priority="13" operator="equal">
      <formula>"Nok"</formula>
    </cfRule>
    <cfRule type="cellIs" dxfId="746" priority="14" operator="equal">
      <formula>"Ok"</formula>
    </cfRule>
  </conditionalFormatting>
  <conditionalFormatting sqref="P49">
    <cfRule type="cellIs" dxfId="745" priority="11" operator="equal">
      <formula>"Nok"</formula>
    </cfRule>
    <cfRule type="cellIs" dxfId="744" priority="12" operator="equal">
      <formula>"Ok"</formula>
    </cfRule>
  </conditionalFormatting>
  <conditionalFormatting sqref="P50">
    <cfRule type="cellIs" dxfId="743" priority="9" operator="equal">
      <formula>"Nok"</formula>
    </cfRule>
    <cfRule type="cellIs" dxfId="742" priority="10" operator="equal">
      <formula>"Ok"</formula>
    </cfRule>
  </conditionalFormatting>
  <conditionalFormatting sqref="P28:P30">
    <cfRule type="cellIs" dxfId="741" priority="7" operator="equal">
      <formula>"Nok"</formula>
    </cfRule>
    <cfRule type="cellIs" dxfId="740" priority="8" operator="equal">
      <formula>"Ok"</formula>
    </cfRule>
  </conditionalFormatting>
  <conditionalFormatting sqref="P41:P42">
    <cfRule type="cellIs" dxfId="739" priority="5" operator="equal">
      <formula>"Nok"</formula>
    </cfRule>
    <cfRule type="cellIs" dxfId="738" priority="6" operator="equal">
      <formula>"Ok"</formula>
    </cfRule>
  </conditionalFormatting>
  <conditionalFormatting sqref="P43">
    <cfRule type="cellIs" dxfId="737" priority="3" operator="equal">
      <formula>"Nok"</formula>
    </cfRule>
    <cfRule type="cellIs" dxfId="736" priority="4" operator="equal">
      <formula>"Ok"</formula>
    </cfRule>
  </conditionalFormatting>
  <conditionalFormatting sqref="P44">
    <cfRule type="cellIs" dxfId="735" priority="1" operator="equal">
      <formula>"Nok"</formula>
    </cfRule>
    <cfRule type="cellIs" dxfId="734"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3" sqref="B3:G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169</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250</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170</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53.25" customHeight="1" x14ac:dyDescent="0.2">
      <c r="A22" s="99" t="s">
        <v>50</v>
      </c>
      <c r="B22" s="221" t="s">
        <v>247</v>
      </c>
      <c r="C22" s="221"/>
      <c r="D22" s="221"/>
      <c r="E22" s="221"/>
      <c r="F22" s="221"/>
      <c r="G22" s="221"/>
      <c r="H22" s="221"/>
      <c r="I22" s="221"/>
      <c r="J22" s="221"/>
      <c r="K22" s="221"/>
      <c r="L22" s="221" t="s">
        <v>249</v>
      </c>
      <c r="M22" s="221"/>
      <c r="N22" s="221"/>
      <c r="O22" s="221"/>
      <c r="P22" s="93" t="s">
        <v>143</v>
      </c>
    </row>
    <row r="23" spans="1:16" ht="42.75" customHeight="1" x14ac:dyDescent="0.2">
      <c r="A23" s="99" t="s">
        <v>51</v>
      </c>
      <c r="B23" s="221"/>
      <c r="C23" s="221"/>
      <c r="D23" s="221"/>
      <c r="E23" s="221"/>
      <c r="F23" s="221"/>
      <c r="G23" s="221"/>
      <c r="H23" s="221"/>
      <c r="I23" s="221"/>
      <c r="J23" s="221"/>
      <c r="K23" s="221"/>
      <c r="L23" s="221"/>
      <c r="M23" s="221"/>
      <c r="N23" s="221"/>
      <c r="O23" s="221"/>
      <c r="P23" s="93"/>
    </row>
    <row r="24" spans="1:16" ht="42" customHeight="1" x14ac:dyDescent="0.2">
      <c r="A24" s="99" t="s">
        <v>52</v>
      </c>
      <c r="B24" s="221"/>
      <c r="C24" s="221"/>
      <c r="D24" s="221"/>
      <c r="E24" s="221"/>
      <c r="F24" s="221"/>
      <c r="G24" s="221"/>
      <c r="H24" s="221"/>
      <c r="I24" s="221"/>
      <c r="J24" s="221"/>
      <c r="K24" s="221"/>
      <c r="L24" s="221"/>
      <c r="M24" s="221"/>
      <c r="N24" s="221"/>
      <c r="O24" s="221"/>
      <c r="P24" s="93"/>
    </row>
    <row r="25" spans="1:16" ht="46.5" customHeight="1" x14ac:dyDescent="0.2">
      <c r="A25" s="99" t="s">
        <v>53</v>
      </c>
      <c r="B25" s="221"/>
      <c r="C25" s="221"/>
      <c r="D25" s="221"/>
      <c r="E25" s="221"/>
      <c r="F25" s="221"/>
      <c r="G25" s="221"/>
      <c r="H25" s="221"/>
      <c r="I25" s="221"/>
      <c r="J25" s="221"/>
      <c r="K25" s="221"/>
      <c r="L25" s="221"/>
      <c r="M25" s="221"/>
      <c r="N25" s="221"/>
      <c r="O25" s="221"/>
      <c r="P25" s="93"/>
    </row>
    <row r="26" spans="1:16" ht="45.75" customHeight="1" x14ac:dyDescent="0.2">
      <c r="A26" s="99" t="s">
        <v>54</v>
      </c>
      <c r="B26" s="221"/>
      <c r="C26" s="221"/>
      <c r="D26" s="221"/>
      <c r="E26" s="221"/>
      <c r="F26" s="221"/>
      <c r="G26" s="221"/>
      <c r="H26" s="221"/>
      <c r="I26" s="221"/>
      <c r="J26" s="221"/>
      <c r="K26" s="221"/>
      <c r="L26" s="221"/>
      <c r="M26" s="221"/>
      <c r="N26" s="221"/>
      <c r="O26" s="221"/>
      <c r="P26" s="93"/>
    </row>
    <row r="27" spans="1:16" ht="42.75" customHeight="1" x14ac:dyDescent="0.2">
      <c r="A27" s="99" t="s">
        <v>55</v>
      </c>
      <c r="B27" s="221"/>
      <c r="C27" s="221"/>
      <c r="D27" s="221"/>
      <c r="E27" s="221"/>
      <c r="F27" s="221"/>
      <c r="G27" s="221"/>
      <c r="H27" s="221"/>
      <c r="I27" s="221"/>
      <c r="J27" s="221"/>
      <c r="K27" s="221"/>
      <c r="L27" s="221"/>
      <c r="M27" s="221"/>
      <c r="N27" s="221"/>
      <c r="O27" s="221"/>
      <c r="P27" s="93"/>
    </row>
    <row r="28" spans="1:16" ht="42.75" customHeight="1" x14ac:dyDescent="0.2">
      <c r="A28" s="99" t="s">
        <v>56</v>
      </c>
      <c r="B28" s="221"/>
      <c r="C28" s="221"/>
      <c r="D28" s="221"/>
      <c r="E28" s="221"/>
      <c r="F28" s="221"/>
      <c r="G28" s="221"/>
      <c r="H28" s="221"/>
      <c r="I28" s="221"/>
      <c r="J28" s="221"/>
      <c r="K28" s="221"/>
      <c r="L28" s="221"/>
      <c r="M28" s="221"/>
      <c r="N28" s="221"/>
      <c r="O28" s="221"/>
      <c r="P28" s="93"/>
    </row>
    <row r="29" spans="1:16" ht="40.5" customHeight="1" x14ac:dyDescent="0.2">
      <c r="A29" s="99" t="s">
        <v>57</v>
      </c>
      <c r="B29" s="221"/>
      <c r="C29" s="221"/>
      <c r="D29" s="221"/>
      <c r="E29" s="221"/>
      <c r="F29" s="221"/>
      <c r="G29" s="221"/>
      <c r="H29" s="221"/>
      <c r="I29" s="221"/>
      <c r="J29" s="221"/>
      <c r="K29" s="221"/>
      <c r="L29" s="221"/>
      <c r="M29" s="221"/>
      <c r="N29" s="221"/>
      <c r="O29" s="221"/>
      <c r="P29" s="93"/>
    </row>
    <row r="30" spans="1:16" ht="53.25" customHeight="1" thickBot="1" x14ac:dyDescent="0.25">
      <c r="A30" s="100" t="s">
        <v>58</v>
      </c>
      <c r="B30" s="221"/>
      <c r="C30" s="221"/>
      <c r="D30" s="221"/>
      <c r="E30" s="221"/>
      <c r="F30" s="221"/>
      <c r="G30" s="221"/>
      <c r="H30" s="228"/>
      <c r="I30" s="228"/>
      <c r="J30" s="228"/>
      <c r="K30" s="228"/>
      <c r="L30" s="228"/>
      <c r="M30" s="228"/>
      <c r="N30" s="228"/>
      <c r="O30" s="228"/>
      <c r="P30" s="94"/>
    </row>
    <row r="31" spans="1:16" ht="51" customHeight="1" thickBot="1" x14ac:dyDescent="0.25">
      <c r="A31" s="100" t="s">
        <v>145</v>
      </c>
      <c r="B31" s="221"/>
      <c r="C31" s="221"/>
      <c r="D31" s="221"/>
      <c r="E31" s="221"/>
      <c r="F31" s="221"/>
      <c r="G31" s="221"/>
      <c r="H31" s="221"/>
      <c r="I31" s="221"/>
      <c r="J31" s="221"/>
      <c r="K31" s="221"/>
      <c r="L31" s="221"/>
      <c r="M31" s="221"/>
      <c r="N31" s="221"/>
      <c r="O31" s="221"/>
      <c r="P31" s="94"/>
    </row>
    <row r="32" spans="1:16" ht="55.5" customHeight="1" thickBot="1" x14ac:dyDescent="0.25">
      <c r="A32" s="100" t="s">
        <v>146</v>
      </c>
      <c r="B32" s="221"/>
      <c r="C32" s="221"/>
      <c r="D32" s="221"/>
      <c r="E32" s="221"/>
      <c r="F32" s="221"/>
      <c r="G32" s="221"/>
      <c r="H32" s="221"/>
      <c r="I32" s="221"/>
      <c r="J32" s="221"/>
      <c r="K32" s="221"/>
      <c r="L32" s="221"/>
      <c r="M32" s="221"/>
      <c r="N32" s="221"/>
      <c r="O32" s="221"/>
      <c r="P32" s="94"/>
    </row>
    <row r="33" spans="1:16" ht="66" customHeight="1" thickBot="1" x14ac:dyDescent="0.25">
      <c r="A33" s="100" t="s">
        <v>147</v>
      </c>
      <c r="B33" s="221"/>
      <c r="C33" s="221"/>
      <c r="D33" s="221"/>
      <c r="E33" s="221"/>
      <c r="F33" s="221"/>
      <c r="G33" s="221"/>
      <c r="H33" s="228"/>
      <c r="I33" s="228"/>
      <c r="J33" s="228"/>
      <c r="K33" s="228"/>
      <c r="L33" s="221"/>
      <c r="M33" s="221"/>
      <c r="N33" s="221"/>
      <c r="O33" s="221"/>
      <c r="P33" s="94"/>
    </row>
    <row r="34" spans="1:16" ht="45.75" customHeight="1" thickBot="1" x14ac:dyDescent="0.25">
      <c r="A34" s="100" t="s">
        <v>148</v>
      </c>
      <c r="B34" s="221"/>
      <c r="C34" s="221"/>
      <c r="D34" s="221"/>
      <c r="E34" s="221"/>
      <c r="F34" s="221"/>
      <c r="G34" s="221"/>
      <c r="H34" s="221"/>
      <c r="I34" s="221"/>
      <c r="J34" s="221"/>
      <c r="K34" s="221"/>
      <c r="L34" s="221"/>
      <c r="M34" s="221"/>
      <c r="N34" s="221"/>
      <c r="O34" s="221"/>
      <c r="P34" s="94"/>
    </row>
    <row r="35" spans="1:16" ht="48" customHeight="1" thickBot="1" x14ac:dyDescent="0.25">
      <c r="A35" s="100" t="s">
        <v>149</v>
      </c>
      <c r="B35" s="221"/>
      <c r="C35" s="221"/>
      <c r="D35" s="221"/>
      <c r="E35" s="221"/>
      <c r="F35" s="221"/>
      <c r="G35" s="221"/>
      <c r="H35" s="221"/>
      <c r="I35" s="221"/>
      <c r="J35" s="221"/>
      <c r="K35" s="221"/>
      <c r="L35" s="221"/>
      <c r="M35" s="221"/>
      <c r="N35" s="221"/>
      <c r="O35" s="221"/>
      <c r="P35" s="94"/>
    </row>
    <row r="36" spans="1:16" ht="45.75" customHeight="1" thickBot="1" x14ac:dyDescent="0.25">
      <c r="A36" s="100" t="s">
        <v>150</v>
      </c>
      <c r="B36" s="221"/>
      <c r="C36" s="221"/>
      <c r="D36" s="221"/>
      <c r="E36" s="221"/>
      <c r="F36" s="221"/>
      <c r="G36" s="221"/>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33" priority="33" operator="equal">
      <formula>"Nok"</formula>
    </cfRule>
    <cfRule type="cellIs" dxfId="732" priority="34" operator="equal">
      <formula>"Ok"</formula>
    </cfRule>
  </conditionalFormatting>
  <conditionalFormatting sqref="P22:P36">
    <cfRule type="cellIs" dxfId="731" priority="31" operator="equal">
      <formula>"Nok"</formula>
    </cfRule>
    <cfRule type="cellIs" dxfId="730" priority="32" operator="equal">
      <formula>"Ok"</formula>
    </cfRule>
  </conditionalFormatting>
  <conditionalFormatting sqref="P37">
    <cfRule type="cellIs" dxfId="729" priority="27" operator="equal">
      <formula>"Nok"</formula>
    </cfRule>
    <cfRule type="cellIs" dxfId="728" priority="28" operator="equal">
      <formula>"Ok"</formula>
    </cfRule>
  </conditionalFormatting>
  <conditionalFormatting sqref="P38">
    <cfRule type="cellIs" dxfId="727" priority="25" operator="equal">
      <formula>"Nok"</formula>
    </cfRule>
    <cfRule type="cellIs" dxfId="726" priority="26" operator="equal">
      <formula>"Ok"</formula>
    </cfRule>
  </conditionalFormatting>
  <conditionalFormatting sqref="P39">
    <cfRule type="cellIs" dxfId="725" priority="23" operator="equal">
      <formula>"Nok"</formula>
    </cfRule>
    <cfRule type="cellIs" dxfId="724" priority="24" operator="equal">
      <formula>"Ok"</formula>
    </cfRule>
  </conditionalFormatting>
  <conditionalFormatting sqref="P40">
    <cfRule type="cellIs" dxfId="723" priority="21" operator="equal">
      <formula>"Nok"</formula>
    </cfRule>
    <cfRule type="cellIs" dxfId="722" priority="22" operator="equal">
      <formula>"Ok"</formula>
    </cfRule>
  </conditionalFormatting>
  <conditionalFormatting sqref="P41">
    <cfRule type="cellIs" dxfId="721" priority="19" operator="equal">
      <formula>"Nok"</formula>
    </cfRule>
    <cfRule type="cellIs" dxfId="720" priority="20" operator="equal">
      <formula>"Ok"</formula>
    </cfRule>
  </conditionalFormatting>
  <conditionalFormatting sqref="P42">
    <cfRule type="cellIs" dxfId="719" priority="17" operator="equal">
      <formula>"Nok"</formula>
    </cfRule>
    <cfRule type="cellIs" dxfId="718" priority="18" operator="equal">
      <formula>"Ok"</formula>
    </cfRule>
  </conditionalFormatting>
  <conditionalFormatting sqref="P43">
    <cfRule type="cellIs" dxfId="717" priority="15" operator="equal">
      <formula>"Nok"</formula>
    </cfRule>
    <cfRule type="cellIs" dxfId="716" priority="16" operator="equal">
      <formula>"Ok"</formula>
    </cfRule>
  </conditionalFormatting>
  <conditionalFormatting sqref="P44">
    <cfRule type="cellIs" dxfId="715" priority="13" operator="equal">
      <formula>"Nok"</formula>
    </cfRule>
    <cfRule type="cellIs" dxfId="714" priority="14" operator="equal">
      <formula>"Ok"</formula>
    </cfRule>
  </conditionalFormatting>
  <conditionalFormatting sqref="P45">
    <cfRule type="cellIs" dxfId="713" priority="11" operator="equal">
      <formula>"Nok"</formula>
    </cfRule>
    <cfRule type="cellIs" dxfId="712" priority="12" operator="equal">
      <formula>"Ok"</formula>
    </cfRule>
  </conditionalFormatting>
  <conditionalFormatting sqref="P46">
    <cfRule type="cellIs" dxfId="711" priority="9" operator="equal">
      <formula>"Nok"</formula>
    </cfRule>
    <cfRule type="cellIs" dxfId="710" priority="10" operator="equal">
      <formula>"Ok"</formula>
    </cfRule>
  </conditionalFormatting>
  <conditionalFormatting sqref="P47">
    <cfRule type="cellIs" dxfId="709" priority="7" operator="equal">
      <formula>"Nok"</formula>
    </cfRule>
    <cfRule type="cellIs" dxfId="708" priority="8" operator="equal">
      <formula>"Ok"</formula>
    </cfRule>
  </conditionalFormatting>
  <conditionalFormatting sqref="P48">
    <cfRule type="cellIs" dxfId="707" priority="5" operator="equal">
      <formula>"Nok"</formula>
    </cfRule>
    <cfRule type="cellIs" dxfId="706" priority="6" operator="equal">
      <formula>"Ok"</formula>
    </cfRule>
  </conditionalFormatting>
  <conditionalFormatting sqref="P49">
    <cfRule type="cellIs" dxfId="705" priority="3" operator="equal">
      <formula>"Nok"</formula>
    </cfRule>
    <cfRule type="cellIs" dxfId="704" priority="4" operator="equal">
      <formula>"Ok"</formula>
    </cfRule>
  </conditionalFormatting>
  <conditionalFormatting sqref="P50">
    <cfRule type="cellIs" dxfId="703" priority="1" operator="equal">
      <formula>"Nok"</formula>
    </cfRule>
    <cfRule type="cellIs" dxfId="702"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3" sqref="B3:G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171</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330</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6" t="s">
        <v>42</v>
      </c>
      <c r="B7" s="215" t="s">
        <v>170</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53.25" customHeight="1" x14ac:dyDescent="0.2">
      <c r="A22" s="99" t="s">
        <v>50</v>
      </c>
      <c r="B22" s="221" t="s">
        <v>251</v>
      </c>
      <c r="C22" s="221"/>
      <c r="D22" s="221"/>
      <c r="E22" s="221"/>
      <c r="F22" s="221"/>
      <c r="G22" s="221"/>
      <c r="H22" s="221"/>
      <c r="I22" s="221"/>
      <c r="J22" s="221"/>
      <c r="K22" s="221"/>
      <c r="L22" s="221" t="s">
        <v>252</v>
      </c>
      <c r="M22" s="221"/>
      <c r="N22" s="221"/>
      <c r="O22" s="221"/>
      <c r="P22" s="93" t="s">
        <v>213</v>
      </c>
    </row>
    <row r="23" spans="1:16" ht="46.5" customHeight="1" x14ac:dyDescent="0.2">
      <c r="A23" s="99" t="s">
        <v>51</v>
      </c>
      <c r="B23" s="221" t="s">
        <v>253</v>
      </c>
      <c r="C23" s="221"/>
      <c r="D23" s="221"/>
      <c r="E23" s="221"/>
      <c r="F23" s="221"/>
      <c r="G23" s="221"/>
      <c r="H23" s="221"/>
      <c r="I23" s="221"/>
      <c r="J23" s="221"/>
      <c r="K23" s="221"/>
      <c r="L23" s="221" t="s">
        <v>254</v>
      </c>
      <c r="M23" s="221"/>
      <c r="N23" s="221"/>
      <c r="O23" s="221"/>
      <c r="P23" s="93" t="s">
        <v>144</v>
      </c>
    </row>
    <row r="24" spans="1:16" ht="48" customHeight="1" x14ac:dyDescent="0.2">
      <c r="A24" s="99" t="s">
        <v>52</v>
      </c>
      <c r="B24" s="221"/>
      <c r="C24" s="221"/>
      <c r="D24" s="221"/>
      <c r="E24" s="221"/>
      <c r="F24" s="221"/>
      <c r="G24" s="221"/>
      <c r="H24" s="221"/>
      <c r="I24" s="221"/>
      <c r="J24" s="221"/>
      <c r="K24" s="221"/>
      <c r="L24" s="221"/>
      <c r="M24" s="221"/>
      <c r="N24" s="221"/>
      <c r="O24" s="221"/>
      <c r="P24" s="93"/>
    </row>
    <row r="25" spans="1:16" ht="73.5" customHeight="1" x14ac:dyDescent="0.2">
      <c r="A25" s="99" t="s">
        <v>53</v>
      </c>
      <c r="B25" s="221"/>
      <c r="C25" s="221"/>
      <c r="D25" s="221"/>
      <c r="E25" s="221"/>
      <c r="F25" s="221"/>
      <c r="G25" s="221"/>
      <c r="H25" s="221"/>
      <c r="I25" s="221"/>
      <c r="J25" s="221"/>
      <c r="K25" s="221"/>
      <c r="L25" s="221"/>
      <c r="M25" s="221"/>
      <c r="N25" s="221"/>
      <c r="O25" s="221"/>
      <c r="P25" s="93"/>
    </row>
    <row r="26" spans="1:16" ht="49.5" customHeight="1" x14ac:dyDescent="0.2">
      <c r="A26" s="99" t="s">
        <v>54</v>
      </c>
      <c r="B26" s="221"/>
      <c r="C26" s="221"/>
      <c r="D26" s="221"/>
      <c r="E26" s="221"/>
      <c r="F26" s="221"/>
      <c r="G26" s="221"/>
      <c r="H26" s="221"/>
      <c r="I26" s="221"/>
      <c r="J26" s="221"/>
      <c r="K26" s="221"/>
      <c r="L26" s="221"/>
      <c r="M26" s="221"/>
      <c r="N26" s="221"/>
      <c r="O26" s="221"/>
      <c r="P26" s="93"/>
    </row>
    <row r="27" spans="1:16" ht="45.75" customHeight="1" x14ac:dyDescent="0.2">
      <c r="A27" s="99" t="s">
        <v>55</v>
      </c>
      <c r="B27" s="221"/>
      <c r="C27" s="221"/>
      <c r="D27" s="221"/>
      <c r="E27" s="221"/>
      <c r="F27" s="221"/>
      <c r="G27" s="221"/>
      <c r="H27" s="221"/>
      <c r="I27" s="221"/>
      <c r="J27" s="221"/>
      <c r="K27" s="221"/>
      <c r="L27" s="221"/>
      <c r="M27" s="221"/>
      <c r="N27" s="221"/>
      <c r="O27" s="221"/>
      <c r="P27" s="93"/>
    </row>
    <row r="28" spans="1:16" ht="51" customHeight="1" x14ac:dyDescent="0.2">
      <c r="A28" s="99" t="s">
        <v>56</v>
      </c>
      <c r="B28" s="221"/>
      <c r="C28" s="221"/>
      <c r="D28" s="221"/>
      <c r="E28" s="221"/>
      <c r="F28" s="221"/>
      <c r="G28" s="221"/>
      <c r="H28" s="221"/>
      <c r="I28" s="221"/>
      <c r="J28" s="221"/>
      <c r="K28" s="221"/>
      <c r="L28" s="221"/>
      <c r="M28" s="221"/>
      <c r="N28" s="221"/>
      <c r="O28" s="221"/>
      <c r="P28" s="93"/>
    </row>
    <row r="29" spans="1:16" ht="43.5" customHeight="1" x14ac:dyDescent="0.2">
      <c r="A29" s="99" t="s">
        <v>57</v>
      </c>
      <c r="B29" s="221"/>
      <c r="C29" s="221"/>
      <c r="D29" s="221"/>
      <c r="E29" s="221"/>
      <c r="F29" s="221"/>
      <c r="G29" s="221"/>
      <c r="H29" s="221"/>
      <c r="I29" s="221"/>
      <c r="J29" s="221"/>
      <c r="K29" s="221"/>
      <c r="L29" s="221"/>
      <c r="M29" s="221"/>
      <c r="N29" s="221"/>
      <c r="O29" s="221"/>
      <c r="P29" s="93"/>
    </row>
    <row r="30" spans="1:16" ht="45.75" customHeight="1" thickBot="1" x14ac:dyDescent="0.25">
      <c r="A30" s="100" t="s">
        <v>58</v>
      </c>
      <c r="B30" s="221"/>
      <c r="C30" s="221"/>
      <c r="D30" s="221"/>
      <c r="E30" s="221"/>
      <c r="F30" s="221"/>
      <c r="G30" s="221"/>
      <c r="H30" s="228"/>
      <c r="I30" s="228"/>
      <c r="J30" s="228"/>
      <c r="K30" s="228"/>
      <c r="L30" s="221"/>
      <c r="M30" s="221"/>
      <c r="N30" s="221"/>
      <c r="O30" s="221"/>
      <c r="P30" s="93"/>
    </row>
    <row r="31" spans="1:16" ht="42" customHeight="1" thickBot="1" x14ac:dyDescent="0.25">
      <c r="A31" s="100" t="s">
        <v>145</v>
      </c>
      <c r="B31" s="221"/>
      <c r="C31" s="221"/>
      <c r="D31" s="221"/>
      <c r="E31" s="221"/>
      <c r="F31" s="221"/>
      <c r="G31" s="221"/>
      <c r="H31" s="221"/>
      <c r="I31" s="221"/>
      <c r="J31" s="221"/>
      <c r="K31" s="221"/>
      <c r="L31" s="221"/>
      <c r="M31" s="221"/>
      <c r="N31" s="221"/>
      <c r="O31" s="221"/>
      <c r="P31" s="93"/>
    </row>
    <row r="32" spans="1:16" ht="55.5" customHeight="1" thickBot="1" x14ac:dyDescent="0.25">
      <c r="A32" s="100" t="s">
        <v>146</v>
      </c>
      <c r="B32" s="221"/>
      <c r="C32" s="221"/>
      <c r="D32" s="221"/>
      <c r="E32" s="221"/>
      <c r="F32" s="221"/>
      <c r="G32" s="221"/>
      <c r="H32" s="221"/>
      <c r="I32" s="221"/>
      <c r="J32" s="221"/>
      <c r="K32" s="221"/>
      <c r="L32" s="221"/>
      <c r="M32" s="221"/>
      <c r="N32" s="221"/>
      <c r="O32" s="221"/>
      <c r="P32" s="93"/>
    </row>
    <row r="33" spans="1:16" ht="45.75" customHeight="1" thickBot="1" x14ac:dyDescent="0.25">
      <c r="A33" s="100" t="s">
        <v>147</v>
      </c>
      <c r="B33" s="221"/>
      <c r="C33" s="221"/>
      <c r="D33" s="221"/>
      <c r="E33" s="221"/>
      <c r="F33" s="221"/>
      <c r="G33" s="221"/>
      <c r="H33" s="228"/>
      <c r="I33" s="228"/>
      <c r="J33" s="228"/>
      <c r="K33" s="228"/>
      <c r="L33" s="221"/>
      <c r="M33" s="221"/>
      <c r="N33" s="221"/>
      <c r="O33" s="221"/>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01" priority="33" operator="equal">
      <formula>"Nok"</formula>
    </cfRule>
    <cfRule type="cellIs" dxfId="700" priority="34" operator="equal">
      <formula>"Ok"</formula>
    </cfRule>
  </conditionalFormatting>
  <conditionalFormatting sqref="P22:P33">
    <cfRule type="cellIs" dxfId="699" priority="31" operator="equal">
      <formula>"Nok"</formula>
    </cfRule>
    <cfRule type="cellIs" dxfId="698" priority="32" operator="equal">
      <formula>"Ok"</formula>
    </cfRule>
  </conditionalFormatting>
  <conditionalFormatting sqref="P34:P35">
    <cfRule type="cellIs" dxfId="697" priority="29" operator="equal">
      <formula>"Nok"</formula>
    </cfRule>
    <cfRule type="cellIs" dxfId="696" priority="30" operator="equal">
      <formula>"Ok"</formula>
    </cfRule>
  </conditionalFormatting>
  <conditionalFormatting sqref="P36:P37">
    <cfRule type="cellIs" dxfId="695" priority="27" operator="equal">
      <formula>"Nok"</formula>
    </cfRule>
    <cfRule type="cellIs" dxfId="694" priority="28" operator="equal">
      <formula>"Ok"</formula>
    </cfRule>
  </conditionalFormatting>
  <conditionalFormatting sqref="P38">
    <cfRule type="cellIs" dxfId="693" priority="25" operator="equal">
      <formula>"Nok"</formula>
    </cfRule>
    <cfRule type="cellIs" dxfId="692" priority="26" operator="equal">
      <formula>"Ok"</formula>
    </cfRule>
  </conditionalFormatting>
  <conditionalFormatting sqref="P39">
    <cfRule type="cellIs" dxfId="691" priority="23" operator="equal">
      <formula>"Nok"</formula>
    </cfRule>
    <cfRule type="cellIs" dxfId="690" priority="24" operator="equal">
      <formula>"Ok"</formula>
    </cfRule>
  </conditionalFormatting>
  <conditionalFormatting sqref="P40">
    <cfRule type="cellIs" dxfId="689" priority="21" operator="equal">
      <formula>"Nok"</formula>
    </cfRule>
    <cfRule type="cellIs" dxfId="688" priority="22" operator="equal">
      <formula>"Ok"</formula>
    </cfRule>
  </conditionalFormatting>
  <conditionalFormatting sqref="P41">
    <cfRule type="cellIs" dxfId="687" priority="19" operator="equal">
      <formula>"Nok"</formula>
    </cfRule>
    <cfRule type="cellIs" dxfId="686" priority="20" operator="equal">
      <formula>"Ok"</formula>
    </cfRule>
  </conditionalFormatting>
  <conditionalFormatting sqref="P42">
    <cfRule type="cellIs" dxfId="685" priority="17" operator="equal">
      <formula>"Nok"</formula>
    </cfRule>
    <cfRule type="cellIs" dxfId="684" priority="18" operator="equal">
      <formula>"Ok"</formula>
    </cfRule>
  </conditionalFormatting>
  <conditionalFormatting sqref="P43">
    <cfRule type="cellIs" dxfId="683" priority="15" operator="equal">
      <formula>"Nok"</formula>
    </cfRule>
    <cfRule type="cellIs" dxfId="682" priority="16" operator="equal">
      <formula>"Ok"</formula>
    </cfRule>
  </conditionalFormatting>
  <conditionalFormatting sqref="P44">
    <cfRule type="cellIs" dxfId="681" priority="13" operator="equal">
      <formula>"Nok"</formula>
    </cfRule>
    <cfRule type="cellIs" dxfId="680" priority="14" operator="equal">
      <formula>"Ok"</formula>
    </cfRule>
  </conditionalFormatting>
  <conditionalFormatting sqref="P45">
    <cfRule type="cellIs" dxfId="679" priority="11" operator="equal">
      <formula>"Nok"</formula>
    </cfRule>
    <cfRule type="cellIs" dxfId="678" priority="12" operator="equal">
      <formula>"Ok"</formula>
    </cfRule>
  </conditionalFormatting>
  <conditionalFormatting sqref="P46">
    <cfRule type="cellIs" dxfId="677" priority="9" operator="equal">
      <formula>"Nok"</formula>
    </cfRule>
    <cfRule type="cellIs" dxfId="676" priority="10" operator="equal">
      <formula>"Ok"</formula>
    </cfRule>
  </conditionalFormatting>
  <conditionalFormatting sqref="P47">
    <cfRule type="cellIs" dxfId="675" priority="7" operator="equal">
      <formula>"Nok"</formula>
    </cfRule>
    <cfRule type="cellIs" dxfId="674" priority="8" operator="equal">
      <formula>"Ok"</formula>
    </cfRule>
  </conditionalFormatting>
  <conditionalFormatting sqref="P48">
    <cfRule type="cellIs" dxfId="673" priority="5" operator="equal">
      <formula>"Nok"</formula>
    </cfRule>
    <cfRule type="cellIs" dxfId="672" priority="6" operator="equal">
      <formula>"Ok"</formula>
    </cfRule>
  </conditionalFormatting>
  <conditionalFormatting sqref="P49">
    <cfRule type="cellIs" dxfId="671" priority="3" operator="equal">
      <formula>"Nok"</formula>
    </cfRule>
    <cfRule type="cellIs" dxfId="670" priority="4" operator="equal">
      <formula>"Ok"</formula>
    </cfRule>
  </conditionalFormatting>
  <conditionalFormatting sqref="P50">
    <cfRule type="cellIs" dxfId="669" priority="1" operator="equal">
      <formula>"Nok"</formula>
    </cfRule>
    <cfRule type="cellIs" dxfId="668"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3" sqref="B3:G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172</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313</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6" t="s">
        <v>42</v>
      </c>
      <c r="B7" s="215" t="s">
        <v>173</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116.25" customHeight="1" x14ac:dyDescent="0.2">
      <c r="A22" s="99" t="s">
        <v>50</v>
      </c>
      <c r="B22" s="222" t="s">
        <v>262</v>
      </c>
      <c r="C22" s="223"/>
      <c r="D22" s="223"/>
      <c r="E22" s="223"/>
      <c r="F22" s="223"/>
      <c r="G22" s="224"/>
      <c r="H22" s="221"/>
      <c r="I22" s="221"/>
      <c r="J22" s="221"/>
      <c r="K22" s="221"/>
      <c r="L22" s="221" t="s">
        <v>263</v>
      </c>
      <c r="M22" s="221"/>
      <c r="N22" s="221"/>
      <c r="O22" s="221"/>
      <c r="P22" s="93" t="s">
        <v>143</v>
      </c>
    </row>
    <row r="23" spans="1:16" ht="30.75" customHeight="1" x14ac:dyDescent="0.2">
      <c r="A23" s="99" t="s">
        <v>51</v>
      </c>
      <c r="B23" s="221" t="s">
        <v>303</v>
      </c>
      <c r="C23" s="221"/>
      <c r="D23" s="221"/>
      <c r="E23" s="221"/>
      <c r="F23" s="221"/>
      <c r="G23" s="221"/>
      <c r="H23" s="221"/>
      <c r="I23" s="221"/>
      <c r="J23" s="221"/>
      <c r="K23" s="221"/>
      <c r="L23" s="221"/>
      <c r="M23" s="221"/>
      <c r="N23" s="221"/>
      <c r="O23" s="221"/>
      <c r="P23" s="93" t="s">
        <v>143</v>
      </c>
    </row>
    <row r="24" spans="1:16" ht="42.75" customHeight="1" x14ac:dyDescent="0.2">
      <c r="A24" s="99" t="s">
        <v>52</v>
      </c>
      <c r="B24" s="221" t="s">
        <v>304</v>
      </c>
      <c r="C24" s="221"/>
      <c r="D24" s="221"/>
      <c r="E24" s="221"/>
      <c r="F24" s="221"/>
      <c r="G24" s="221"/>
      <c r="H24" s="221"/>
      <c r="I24" s="221"/>
      <c r="J24" s="221"/>
      <c r="K24" s="221"/>
      <c r="L24" s="221"/>
      <c r="M24" s="221"/>
      <c r="N24" s="221"/>
      <c r="O24" s="221"/>
      <c r="P24" s="93" t="s">
        <v>143</v>
      </c>
    </row>
    <row r="25" spans="1:16" ht="42.75" customHeight="1" x14ac:dyDescent="0.2">
      <c r="A25" s="99" t="s">
        <v>53</v>
      </c>
      <c r="B25" s="221" t="s">
        <v>304</v>
      </c>
      <c r="C25" s="221"/>
      <c r="D25" s="221"/>
      <c r="E25" s="221"/>
      <c r="F25" s="221"/>
      <c r="G25" s="221"/>
      <c r="H25" s="221"/>
      <c r="I25" s="221"/>
      <c r="J25" s="221"/>
      <c r="K25" s="221"/>
      <c r="L25" s="221"/>
      <c r="M25" s="221"/>
      <c r="N25" s="221"/>
      <c r="O25" s="221"/>
      <c r="P25" s="93" t="s">
        <v>143</v>
      </c>
    </row>
    <row r="26" spans="1:16" ht="96.75" customHeight="1" x14ac:dyDescent="0.2">
      <c r="A26" s="99" t="s">
        <v>54</v>
      </c>
      <c r="B26" s="221" t="s">
        <v>306</v>
      </c>
      <c r="C26" s="221"/>
      <c r="D26" s="221"/>
      <c r="E26" s="221"/>
      <c r="F26" s="221"/>
      <c r="G26" s="221"/>
      <c r="H26" s="221"/>
      <c r="I26" s="221"/>
      <c r="J26" s="221"/>
      <c r="K26" s="221"/>
      <c r="L26" s="221" t="s">
        <v>305</v>
      </c>
      <c r="M26" s="221"/>
      <c r="N26" s="221"/>
      <c r="O26" s="221"/>
      <c r="P26" s="93" t="s">
        <v>144</v>
      </c>
    </row>
    <row r="27" spans="1:16" ht="33" customHeight="1" x14ac:dyDescent="0.2">
      <c r="A27" s="99" t="s">
        <v>55</v>
      </c>
      <c r="B27" s="221" t="s">
        <v>307</v>
      </c>
      <c r="C27" s="221"/>
      <c r="D27" s="221"/>
      <c r="E27" s="221"/>
      <c r="F27" s="221"/>
      <c r="G27" s="221"/>
      <c r="H27" s="221"/>
      <c r="I27" s="221"/>
      <c r="J27" s="221"/>
      <c r="K27" s="221"/>
      <c r="L27" s="221"/>
      <c r="M27" s="221"/>
      <c r="N27" s="221"/>
      <c r="O27" s="221"/>
      <c r="P27" s="93" t="s">
        <v>143</v>
      </c>
    </row>
    <row r="28" spans="1:16" ht="75" customHeight="1" x14ac:dyDescent="0.2">
      <c r="A28" s="99" t="s">
        <v>56</v>
      </c>
      <c r="B28" s="221" t="s">
        <v>308</v>
      </c>
      <c r="C28" s="221"/>
      <c r="D28" s="221"/>
      <c r="E28" s="221"/>
      <c r="F28" s="221"/>
      <c r="G28" s="221"/>
      <c r="H28" s="221"/>
      <c r="I28" s="221"/>
      <c r="J28" s="221"/>
      <c r="K28" s="221"/>
      <c r="L28" s="221"/>
      <c r="M28" s="221"/>
      <c r="N28" s="221"/>
      <c r="O28" s="221"/>
      <c r="P28" s="93" t="s">
        <v>143</v>
      </c>
    </row>
    <row r="29" spans="1:16" ht="69" customHeight="1" x14ac:dyDescent="0.2">
      <c r="A29" s="99" t="s">
        <v>57</v>
      </c>
      <c r="B29" s="221" t="s">
        <v>309</v>
      </c>
      <c r="C29" s="221"/>
      <c r="D29" s="221"/>
      <c r="E29" s="221"/>
      <c r="F29" s="221"/>
      <c r="G29" s="221"/>
      <c r="H29" s="221"/>
      <c r="I29" s="221"/>
      <c r="J29" s="221"/>
      <c r="K29" s="221"/>
      <c r="L29" s="221"/>
      <c r="M29" s="221"/>
      <c r="N29" s="221"/>
      <c r="O29" s="221"/>
      <c r="P29" s="93" t="s">
        <v>143</v>
      </c>
    </row>
    <row r="30" spans="1:16" ht="34.5" customHeight="1" thickBot="1" x14ac:dyDescent="0.25">
      <c r="A30" s="100" t="s">
        <v>58</v>
      </c>
      <c r="B30" s="221" t="s">
        <v>310</v>
      </c>
      <c r="C30" s="221"/>
      <c r="D30" s="221"/>
      <c r="E30" s="221"/>
      <c r="F30" s="221"/>
      <c r="G30" s="221"/>
      <c r="H30" s="228"/>
      <c r="I30" s="228"/>
      <c r="J30" s="228"/>
      <c r="K30" s="228"/>
      <c r="L30" s="228"/>
      <c r="M30" s="228"/>
      <c r="N30" s="228"/>
      <c r="O30" s="228"/>
      <c r="P30" s="93" t="s">
        <v>143</v>
      </c>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667" priority="35" operator="equal">
      <formula>"Nok"</formula>
    </cfRule>
    <cfRule type="cellIs" dxfId="666" priority="36" operator="equal">
      <formula>"Ok"</formula>
    </cfRule>
  </conditionalFormatting>
  <conditionalFormatting sqref="P23:P30">
    <cfRule type="cellIs" dxfId="665" priority="33" operator="equal">
      <formula>"Nok"</formula>
    </cfRule>
    <cfRule type="cellIs" dxfId="664" priority="34" operator="equal">
      <formula>"Ok"</formula>
    </cfRule>
  </conditionalFormatting>
  <conditionalFormatting sqref="P31:P35">
    <cfRule type="cellIs" dxfId="663" priority="31" operator="equal">
      <formula>"Nok"</formula>
    </cfRule>
    <cfRule type="cellIs" dxfId="662" priority="32" operator="equal">
      <formula>"Ok"</formula>
    </cfRule>
  </conditionalFormatting>
  <conditionalFormatting sqref="P36:P37">
    <cfRule type="cellIs" dxfId="661" priority="29" operator="equal">
      <formula>"Nok"</formula>
    </cfRule>
    <cfRule type="cellIs" dxfId="660" priority="30" operator="equal">
      <formula>"Ok"</formula>
    </cfRule>
  </conditionalFormatting>
  <conditionalFormatting sqref="P38">
    <cfRule type="cellIs" dxfId="659" priority="27" operator="equal">
      <formula>"Nok"</formula>
    </cfRule>
    <cfRule type="cellIs" dxfId="658" priority="28" operator="equal">
      <formula>"Ok"</formula>
    </cfRule>
  </conditionalFormatting>
  <conditionalFormatting sqref="P39">
    <cfRule type="cellIs" dxfId="657" priority="25" operator="equal">
      <formula>"Nok"</formula>
    </cfRule>
    <cfRule type="cellIs" dxfId="656" priority="26" operator="equal">
      <formula>"Ok"</formula>
    </cfRule>
  </conditionalFormatting>
  <conditionalFormatting sqref="P40">
    <cfRule type="cellIs" dxfId="655" priority="23" operator="equal">
      <formula>"Nok"</formula>
    </cfRule>
    <cfRule type="cellIs" dxfId="654" priority="24" operator="equal">
      <formula>"Ok"</formula>
    </cfRule>
  </conditionalFormatting>
  <conditionalFormatting sqref="P41">
    <cfRule type="cellIs" dxfId="653" priority="21" operator="equal">
      <formula>"Nok"</formula>
    </cfRule>
    <cfRule type="cellIs" dxfId="652" priority="22" operator="equal">
      <formula>"Ok"</formula>
    </cfRule>
  </conditionalFormatting>
  <conditionalFormatting sqref="P42">
    <cfRule type="cellIs" dxfId="651" priority="19" operator="equal">
      <formula>"Nok"</formula>
    </cfRule>
    <cfRule type="cellIs" dxfId="650" priority="20" operator="equal">
      <formula>"Ok"</formula>
    </cfRule>
  </conditionalFormatting>
  <conditionalFormatting sqref="P43">
    <cfRule type="cellIs" dxfId="649" priority="17" operator="equal">
      <formula>"Nok"</formula>
    </cfRule>
    <cfRule type="cellIs" dxfId="648" priority="18" operator="equal">
      <formula>"Ok"</formula>
    </cfRule>
  </conditionalFormatting>
  <conditionalFormatting sqref="P44">
    <cfRule type="cellIs" dxfId="647" priority="15" operator="equal">
      <formula>"Nok"</formula>
    </cfRule>
    <cfRule type="cellIs" dxfId="646" priority="16" operator="equal">
      <formula>"Ok"</formula>
    </cfRule>
  </conditionalFormatting>
  <conditionalFormatting sqref="P45">
    <cfRule type="cellIs" dxfId="645" priority="13" operator="equal">
      <formula>"Nok"</formula>
    </cfRule>
    <cfRule type="cellIs" dxfId="644" priority="14" operator="equal">
      <formula>"Ok"</formula>
    </cfRule>
  </conditionalFormatting>
  <conditionalFormatting sqref="P46">
    <cfRule type="cellIs" dxfId="643" priority="11" operator="equal">
      <formula>"Nok"</formula>
    </cfRule>
    <cfRule type="cellIs" dxfId="642" priority="12" operator="equal">
      <formula>"Ok"</formula>
    </cfRule>
  </conditionalFormatting>
  <conditionalFormatting sqref="P47">
    <cfRule type="cellIs" dxfId="641" priority="9" operator="equal">
      <formula>"Nok"</formula>
    </cfRule>
    <cfRule type="cellIs" dxfId="640" priority="10" operator="equal">
      <formula>"Ok"</formula>
    </cfRule>
  </conditionalFormatting>
  <conditionalFormatting sqref="P48">
    <cfRule type="cellIs" dxfId="639" priority="7" operator="equal">
      <formula>"Nok"</formula>
    </cfRule>
    <cfRule type="cellIs" dxfId="638" priority="8" operator="equal">
      <formula>"Ok"</formula>
    </cfRule>
  </conditionalFormatting>
  <conditionalFormatting sqref="P49">
    <cfRule type="cellIs" dxfId="637" priority="5" operator="equal">
      <formula>"Nok"</formula>
    </cfRule>
    <cfRule type="cellIs" dxfId="636" priority="6" operator="equal">
      <formula>"Ok"</formula>
    </cfRule>
  </conditionalFormatting>
  <conditionalFormatting sqref="P50">
    <cfRule type="cellIs" dxfId="635" priority="3" operator="equal">
      <formula>"Nok"</formula>
    </cfRule>
    <cfRule type="cellIs" dxfId="634" priority="4" operator="equal">
      <formula>"Ok"</formula>
    </cfRule>
  </conditionalFormatting>
  <conditionalFormatting sqref="P22">
    <cfRule type="cellIs" dxfId="633" priority="1" operator="equal">
      <formula>"Nok"</formula>
    </cfRule>
    <cfRule type="cellIs" dxfId="632"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49"/>
  <sheetViews>
    <sheetView topLeftCell="A31" zoomScale="85" zoomScaleNormal="85" workbookViewId="0">
      <selection activeCell="B37" sqref="B37:G3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174</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93" customHeight="1" thickBot="1" x14ac:dyDescent="0.25">
      <c r="A3" s="97" t="s">
        <v>46</v>
      </c>
      <c r="B3" s="215" t="s">
        <v>302</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6" customHeight="1" thickBot="1" x14ac:dyDescent="0.25">
      <c r="A7" s="96" t="s">
        <v>42</v>
      </c>
      <c r="B7" s="215" t="s">
        <v>173</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213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154.5" customHeight="1" x14ac:dyDescent="0.2">
      <c r="A22" s="99" t="s">
        <v>50</v>
      </c>
      <c r="B22" s="222" t="s">
        <v>255</v>
      </c>
      <c r="C22" s="223"/>
      <c r="D22" s="223"/>
      <c r="E22" s="223"/>
      <c r="F22" s="223"/>
      <c r="G22" s="224"/>
      <c r="H22" s="222"/>
      <c r="I22" s="223"/>
      <c r="J22" s="223"/>
      <c r="K22" s="224"/>
      <c r="L22" s="222" t="s">
        <v>257</v>
      </c>
      <c r="M22" s="223"/>
      <c r="N22" s="223"/>
      <c r="O22" s="224"/>
      <c r="P22" s="93" t="s">
        <v>213</v>
      </c>
    </row>
    <row r="23" spans="1:16" ht="79.5" customHeight="1" x14ac:dyDescent="0.2">
      <c r="A23" s="99" t="s">
        <v>51</v>
      </c>
      <c r="B23" s="222" t="s">
        <v>256</v>
      </c>
      <c r="C23" s="223"/>
      <c r="D23" s="223"/>
      <c r="E23" s="223"/>
      <c r="F23" s="223"/>
      <c r="G23" s="224"/>
      <c r="H23" s="222"/>
      <c r="I23" s="223"/>
      <c r="J23" s="223"/>
      <c r="K23" s="224"/>
      <c r="L23" s="222" t="s">
        <v>258</v>
      </c>
      <c r="M23" s="223"/>
      <c r="N23" s="223"/>
      <c r="O23" s="224"/>
      <c r="P23" s="93" t="s">
        <v>213</v>
      </c>
    </row>
    <row r="24" spans="1:16" ht="162" customHeight="1" x14ac:dyDescent="0.2">
      <c r="A24" s="99" t="s">
        <v>52</v>
      </c>
      <c r="B24" s="222" t="s">
        <v>260</v>
      </c>
      <c r="C24" s="223"/>
      <c r="D24" s="223"/>
      <c r="E24" s="223"/>
      <c r="F24" s="223"/>
      <c r="G24" s="224"/>
      <c r="H24" s="222"/>
      <c r="I24" s="223"/>
      <c r="J24" s="223"/>
      <c r="K24" s="224"/>
      <c r="L24" s="222" t="s">
        <v>259</v>
      </c>
      <c r="M24" s="223"/>
      <c r="N24" s="223"/>
      <c r="O24" s="224"/>
      <c r="P24" s="93" t="s">
        <v>213</v>
      </c>
    </row>
    <row r="25" spans="1:16" ht="84.75" customHeight="1" x14ac:dyDescent="0.2">
      <c r="A25" s="99" t="s">
        <v>53</v>
      </c>
      <c r="B25" s="222" t="s">
        <v>261</v>
      </c>
      <c r="C25" s="223"/>
      <c r="D25" s="223"/>
      <c r="E25" s="223"/>
      <c r="F25" s="223"/>
      <c r="G25" s="224"/>
      <c r="H25" s="222"/>
      <c r="I25" s="223"/>
      <c r="J25" s="223"/>
      <c r="K25" s="224"/>
      <c r="L25" s="222" t="s">
        <v>265</v>
      </c>
      <c r="M25" s="223"/>
      <c r="N25" s="223"/>
      <c r="O25" s="224"/>
      <c r="P25" s="93" t="s">
        <v>213</v>
      </c>
    </row>
    <row r="26" spans="1:16" ht="52.5" customHeight="1" x14ac:dyDescent="0.2">
      <c r="A26" s="99" t="s">
        <v>54</v>
      </c>
      <c r="B26" s="222" t="s">
        <v>266</v>
      </c>
      <c r="C26" s="223"/>
      <c r="D26" s="223"/>
      <c r="E26" s="223"/>
      <c r="F26" s="223"/>
      <c r="G26" s="224"/>
      <c r="H26" s="222"/>
      <c r="I26" s="223"/>
      <c r="J26" s="223"/>
      <c r="K26" s="224"/>
      <c r="L26" s="222"/>
      <c r="M26" s="223"/>
      <c r="N26" s="223"/>
      <c r="O26" s="224"/>
      <c r="P26" s="93" t="s">
        <v>213</v>
      </c>
    </row>
    <row r="27" spans="1:16" ht="80.25" customHeight="1" x14ac:dyDescent="0.2">
      <c r="A27" s="99" t="s">
        <v>55</v>
      </c>
      <c r="B27" s="222" t="s">
        <v>285</v>
      </c>
      <c r="C27" s="223"/>
      <c r="D27" s="223"/>
      <c r="E27" s="223"/>
      <c r="F27" s="223"/>
      <c r="G27" s="224"/>
      <c r="H27" s="222"/>
      <c r="I27" s="223"/>
      <c r="J27" s="223"/>
      <c r="K27" s="224"/>
      <c r="L27" s="222" t="s">
        <v>286</v>
      </c>
      <c r="M27" s="223"/>
      <c r="N27" s="223"/>
      <c r="O27" s="224"/>
      <c r="P27" s="93" t="s">
        <v>213</v>
      </c>
    </row>
    <row r="28" spans="1:16" ht="117" customHeight="1" x14ac:dyDescent="0.2">
      <c r="A28" s="99" t="s">
        <v>56</v>
      </c>
      <c r="B28" s="222" t="s">
        <v>287</v>
      </c>
      <c r="C28" s="223"/>
      <c r="D28" s="223"/>
      <c r="E28" s="223"/>
      <c r="F28" s="223"/>
      <c r="G28" s="224"/>
      <c r="H28" s="221"/>
      <c r="I28" s="221"/>
      <c r="J28" s="221"/>
      <c r="K28" s="221"/>
      <c r="L28" s="222" t="s">
        <v>288</v>
      </c>
      <c r="M28" s="223"/>
      <c r="N28" s="223"/>
      <c r="O28" s="224"/>
      <c r="P28" s="93" t="s">
        <v>213</v>
      </c>
    </row>
    <row r="29" spans="1:16" ht="111.75" customHeight="1" thickBot="1" x14ac:dyDescent="0.25">
      <c r="A29" s="99" t="s">
        <v>57</v>
      </c>
      <c r="B29" s="222" t="s">
        <v>289</v>
      </c>
      <c r="C29" s="223"/>
      <c r="D29" s="223"/>
      <c r="E29" s="223"/>
      <c r="F29" s="223"/>
      <c r="G29" s="224"/>
      <c r="H29" s="228"/>
      <c r="I29" s="228"/>
      <c r="J29" s="228"/>
      <c r="K29" s="228"/>
      <c r="L29" s="222" t="s">
        <v>290</v>
      </c>
      <c r="M29" s="223"/>
      <c r="N29" s="223"/>
      <c r="O29" s="224"/>
      <c r="P29" s="93" t="s">
        <v>213</v>
      </c>
    </row>
    <row r="30" spans="1:16" ht="94.5" customHeight="1" x14ac:dyDescent="0.2">
      <c r="A30" s="99" t="s">
        <v>58</v>
      </c>
      <c r="B30" s="222" t="s">
        <v>291</v>
      </c>
      <c r="C30" s="223"/>
      <c r="D30" s="223"/>
      <c r="E30" s="223"/>
      <c r="F30" s="223"/>
      <c r="G30" s="224"/>
      <c r="H30" s="221"/>
      <c r="I30" s="221"/>
      <c r="J30" s="221"/>
      <c r="K30" s="221"/>
      <c r="L30" s="222" t="s">
        <v>292</v>
      </c>
      <c r="M30" s="223"/>
      <c r="N30" s="223"/>
      <c r="O30" s="224"/>
      <c r="P30" s="93" t="s">
        <v>213</v>
      </c>
    </row>
    <row r="31" spans="1:16" ht="229.5" customHeight="1" x14ac:dyDescent="0.2">
      <c r="A31" s="99" t="s">
        <v>145</v>
      </c>
      <c r="B31" s="222" t="s">
        <v>293</v>
      </c>
      <c r="C31" s="223"/>
      <c r="D31" s="223"/>
      <c r="E31" s="223"/>
      <c r="F31" s="223"/>
      <c r="G31" s="224"/>
      <c r="H31" s="221"/>
      <c r="I31" s="221"/>
      <c r="J31" s="221"/>
      <c r="K31" s="221"/>
      <c r="L31" s="221" t="s">
        <v>294</v>
      </c>
      <c r="M31" s="221"/>
      <c r="N31" s="221"/>
      <c r="O31" s="221"/>
      <c r="P31" s="93" t="s">
        <v>213</v>
      </c>
    </row>
    <row r="32" spans="1:16" ht="45.75" customHeight="1" thickBot="1" x14ac:dyDescent="0.25">
      <c r="A32" s="99" t="s">
        <v>146</v>
      </c>
      <c r="B32" s="225" t="s">
        <v>295</v>
      </c>
      <c r="C32" s="226"/>
      <c r="D32" s="226"/>
      <c r="E32" s="226"/>
      <c r="F32" s="226"/>
      <c r="G32" s="227"/>
      <c r="H32" s="228"/>
      <c r="I32" s="228"/>
      <c r="J32" s="228"/>
      <c r="K32" s="228"/>
      <c r="L32" s="228" t="s">
        <v>296</v>
      </c>
      <c r="M32" s="228"/>
      <c r="N32" s="228"/>
      <c r="O32" s="228"/>
      <c r="P32" s="93" t="s">
        <v>144</v>
      </c>
    </row>
    <row r="33" spans="1:16" ht="45.75" customHeight="1" thickBot="1" x14ac:dyDescent="0.25">
      <c r="A33" s="99" t="s">
        <v>147</v>
      </c>
      <c r="B33" s="225" t="s">
        <v>297</v>
      </c>
      <c r="C33" s="226"/>
      <c r="D33" s="226"/>
      <c r="E33" s="226"/>
      <c r="F33" s="226"/>
      <c r="G33" s="227"/>
      <c r="H33" s="221"/>
      <c r="I33" s="221"/>
      <c r="J33" s="221"/>
      <c r="K33" s="221"/>
      <c r="L33" s="228" t="s">
        <v>296</v>
      </c>
      <c r="M33" s="228"/>
      <c r="N33" s="228"/>
      <c r="O33" s="228"/>
      <c r="P33" s="93" t="s">
        <v>144</v>
      </c>
    </row>
    <row r="34" spans="1:16" ht="48" customHeight="1" thickBot="1" x14ac:dyDescent="0.25">
      <c r="A34" s="99" t="s">
        <v>148</v>
      </c>
      <c r="B34" s="225" t="s">
        <v>298</v>
      </c>
      <c r="C34" s="226"/>
      <c r="D34" s="226"/>
      <c r="E34" s="226"/>
      <c r="F34" s="226"/>
      <c r="G34" s="227"/>
      <c r="H34" s="221"/>
      <c r="I34" s="221"/>
      <c r="J34" s="221"/>
      <c r="K34" s="221"/>
      <c r="L34" s="228" t="s">
        <v>296</v>
      </c>
      <c r="M34" s="228"/>
      <c r="N34" s="228"/>
      <c r="O34" s="228"/>
      <c r="P34" s="93" t="s">
        <v>144</v>
      </c>
    </row>
    <row r="35" spans="1:16" ht="45.75" customHeight="1" thickBot="1" x14ac:dyDescent="0.25">
      <c r="A35" s="99" t="s">
        <v>149</v>
      </c>
      <c r="B35" s="225" t="s">
        <v>299</v>
      </c>
      <c r="C35" s="226"/>
      <c r="D35" s="226"/>
      <c r="E35" s="226"/>
      <c r="F35" s="226"/>
      <c r="G35" s="227"/>
      <c r="H35" s="228"/>
      <c r="I35" s="228"/>
      <c r="J35" s="228"/>
      <c r="K35" s="228"/>
      <c r="L35" s="228" t="s">
        <v>296</v>
      </c>
      <c r="M35" s="228"/>
      <c r="N35" s="228"/>
      <c r="O35" s="228"/>
      <c r="P35" s="93" t="s">
        <v>144</v>
      </c>
    </row>
    <row r="36" spans="1:16" ht="36" customHeight="1" thickBot="1" x14ac:dyDescent="0.25">
      <c r="A36" s="99" t="s">
        <v>150</v>
      </c>
      <c r="B36" s="225" t="s">
        <v>300</v>
      </c>
      <c r="C36" s="226"/>
      <c r="D36" s="226"/>
      <c r="E36" s="226"/>
      <c r="F36" s="226"/>
      <c r="G36" s="227"/>
      <c r="H36" s="228"/>
      <c r="I36" s="228"/>
      <c r="J36" s="228"/>
      <c r="K36" s="228"/>
      <c r="L36" s="228" t="s">
        <v>301</v>
      </c>
      <c r="M36" s="228"/>
      <c r="N36" s="228"/>
      <c r="O36" s="228"/>
      <c r="P36" s="94" t="s">
        <v>213</v>
      </c>
    </row>
    <row r="37" spans="1:16" ht="45.75" customHeight="1" thickBot="1" x14ac:dyDescent="0.25">
      <c r="A37" s="99" t="s">
        <v>151</v>
      </c>
      <c r="B37" s="225"/>
      <c r="C37" s="226"/>
      <c r="D37" s="226"/>
      <c r="E37" s="226"/>
      <c r="F37" s="226"/>
      <c r="G37" s="227"/>
      <c r="H37" s="228"/>
      <c r="I37" s="228"/>
      <c r="J37" s="228"/>
      <c r="K37" s="228"/>
      <c r="L37" s="228"/>
      <c r="M37" s="228"/>
      <c r="N37" s="228"/>
      <c r="O37" s="228"/>
      <c r="P37" s="94"/>
    </row>
    <row r="38" spans="1:16" ht="45.75" customHeight="1" thickBot="1" x14ac:dyDescent="0.25">
      <c r="A38" s="99" t="s">
        <v>152</v>
      </c>
      <c r="B38" s="225"/>
      <c r="C38" s="226"/>
      <c r="D38" s="226"/>
      <c r="E38" s="226"/>
      <c r="F38" s="226"/>
      <c r="G38" s="227"/>
      <c r="H38" s="228"/>
      <c r="I38" s="228"/>
      <c r="J38" s="228"/>
      <c r="K38" s="228"/>
      <c r="L38" s="228"/>
      <c r="M38" s="228"/>
      <c r="N38" s="228"/>
      <c r="O38" s="228"/>
      <c r="P38" s="94"/>
    </row>
    <row r="39" spans="1:16" ht="45.75" customHeight="1" thickBot="1" x14ac:dyDescent="0.25">
      <c r="A39" s="99" t="s">
        <v>153</v>
      </c>
      <c r="B39" s="225"/>
      <c r="C39" s="226"/>
      <c r="D39" s="226"/>
      <c r="E39" s="226"/>
      <c r="F39" s="226"/>
      <c r="G39" s="227"/>
      <c r="H39" s="228"/>
      <c r="I39" s="228"/>
      <c r="J39" s="228"/>
      <c r="K39" s="228"/>
      <c r="L39" s="228"/>
      <c r="M39" s="228"/>
      <c r="N39" s="228"/>
      <c r="O39" s="228"/>
      <c r="P39" s="94"/>
    </row>
    <row r="40" spans="1:16" ht="45.75" customHeight="1" thickBot="1" x14ac:dyDescent="0.25">
      <c r="A40" s="99" t="s">
        <v>155</v>
      </c>
      <c r="B40" s="225"/>
      <c r="C40" s="226"/>
      <c r="D40" s="226"/>
      <c r="E40" s="226"/>
      <c r="F40" s="226"/>
      <c r="G40" s="227"/>
      <c r="H40" s="228"/>
      <c r="I40" s="228"/>
      <c r="J40" s="228"/>
      <c r="K40" s="228"/>
      <c r="L40" s="228"/>
      <c r="M40" s="228"/>
      <c r="N40" s="228"/>
      <c r="O40" s="228"/>
      <c r="P40" s="94"/>
    </row>
    <row r="41" spans="1:16" ht="45.75" customHeight="1" thickBot="1" x14ac:dyDescent="0.25">
      <c r="A41" s="99" t="s">
        <v>156</v>
      </c>
      <c r="B41" s="225"/>
      <c r="C41" s="226"/>
      <c r="D41" s="226"/>
      <c r="E41" s="226"/>
      <c r="F41" s="226"/>
      <c r="G41" s="227"/>
      <c r="H41" s="228"/>
      <c r="I41" s="228"/>
      <c r="J41" s="228"/>
      <c r="K41" s="228"/>
      <c r="L41" s="228"/>
      <c r="M41" s="228"/>
      <c r="N41" s="228"/>
      <c r="O41" s="228"/>
      <c r="P41" s="94"/>
    </row>
    <row r="42" spans="1:16" ht="45.75" customHeight="1" thickBot="1" x14ac:dyDescent="0.25">
      <c r="A42" s="99" t="s">
        <v>157</v>
      </c>
      <c r="B42" s="225"/>
      <c r="C42" s="226"/>
      <c r="D42" s="226"/>
      <c r="E42" s="226"/>
      <c r="F42" s="226"/>
      <c r="G42" s="227"/>
      <c r="H42" s="228"/>
      <c r="I42" s="228"/>
      <c r="J42" s="228"/>
      <c r="K42" s="228"/>
      <c r="L42" s="228"/>
      <c r="M42" s="228"/>
      <c r="N42" s="228"/>
      <c r="O42" s="228"/>
      <c r="P42" s="94"/>
    </row>
    <row r="43" spans="1:16" ht="45.75" customHeight="1" thickBot="1" x14ac:dyDescent="0.25">
      <c r="A43" s="99" t="s">
        <v>158</v>
      </c>
      <c r="B43" s="225"/>
      <c r="C43" s="226"/>
      <c r="D43" s="226"/>
      <c r="E43" s="226"/>
      <c r="F43" s="226"/>
      <c r="G43" s="227"/>
      <c r="H43" s="228"/>
      <c r="I43" s="228"/>
      <c r="J43" s="228"/>
      <c r="K43" s="228"/>
      <c r="L43" s="228"/>
      <c r="M43" s="228"/>
      <c r="N43" s="228"/>
      <c r="O43" s="228"/>
      <c r="P43" s="94"/>
    </row>
    <row r="44" spans="1:16" ht="45.75" customHeight="1" thickBot="1" x14ac:dyDescent="0.25">
      <c r="A44" s="99" t="s">
        <v>159</v>
      </c>
      <c r="B44" s="225"/>
      <c r="C44" s="226"/>
      <c r="D44" s="226"/>
      <c r="E44" s="226"/>
      <c r="F44" s="226"/>
      <c r="G44" s="227"/>
      <c r="H44" s="228"/>
      <c r="I44" s="228"/>
      <c r="J44" s="228"/>
      <c r="K44" s="228"/>
      <c r="L44" s="228"/>
      <c r="M44" s="228"/>
      <c r="N44" s="228"/>
      <c r="O44" s="228"/>
      <c r="P44" s="94"/>
    </row>
    <row r="45" spans="1:16" ht="45.75" customHeight="1" thickBot="1" x14ac:dyDescent="0.25">
      <c r="A45" s="99" t="s">
        <v>160</v>
      </c>
      <c r="B45" s="225"/>
      <c r="C45" s="226"/>
      <c r="D45" s="226"/>
      <c r="E45" s="226"/>
      <c r="F45" s="226"/>
      <c r="G45" s="227"/>
      <c r="H45" s="228"/>
      <c r="I45" s="228"/>
      <c r="J45" s="228"/>
      <c r="K45" s="228"/>
      <c r="L45" s="228"/>
      <c r="M45" s="228"/>
      <c r="N45" s="228"/>
      <c r="O45" s="228"/>
      <c r="P45" s="94"/>
    </row>
    <row r="46" spans="1:16" ht="45.75" customHeight="1" thickBot="1" x14ac:dyDescent="0.25">
      <c r="A46" s="99" t="s">
        <v>161</v>
      </c>
      <c r="B46" s="225"/>
      <c r="C46" s="226"/>
      <c r="D46" s="226"/>
      <c r="E46" s="226"/>
      <c r="F46" s="226"/>
      <c r="G46" s="227"/>
      <c r="H46" s="228"/>
      <c r="I46" s="228"/>
      <c r="J46" s="228"/>
      <c r="K46" s="228"/>
      <c r="L46" s="228"/>
      <c r="M46" s="228"/>
      <c r="N46" s="228"/>
      <c r="O46" s="228"/>
      <c r="P46" s="94"/>
    </row>
    <row r="47" spans="1:16" ht="45.75" customHeight="1" thickBot="1" x14ac:dyDescent="0.25">
      <c r="A47" s="99" t="s">
        <v>162</v>
      </c>
      <c r="B47" s="225"/>
      <c r="C47" s="226"/>
      <c r="D47" s="226"/>
      <c r="E47" s="226"/>
      <c r="F47" s="226"/>
      <c r="G47" s="227"/>
      <c r="H47" s="228"/>
      <c r="I47" s="228"/>
      <c r="J47" s="228"/>
      <c r="K47" s="228"/>
      <c r="L47" s="228"/>
      <c r="M47" s="228"/>
      <c r="N47" s="228"/>
      <c r="O47" s="228"/>
      <c r="P47" s="94"/>
    </row>
    <row r="48" spans="1:16" ht="45.75" customHeight="1" thickBot="1" x14ac:dyDescent="0.25">
      <c r="A48" s="99" t="s">
        <v>163</v>
      </c>
      <c r="B48" s="225"/>
      <c r="C48" s="226"/>
      <c r="D48" s="226"/>
      <c r="E48" s="226"/>
      <c r="F48" s="226"/>
      <c r="G48" s="227"/>
      <c r="H48" s="228"/>
      <c r="I48" s="228"/>
      <c r="J48" s="228"/>
      <c r="K48" s="228"/>
      <c r="L48" s="228"/>
      <c r="M48" s="228"/>
      <c r="N48" s="228"/>
      <c r="O48" s="228"/>
      <c r="P48" s="94"/>
    </row>
    <row r="49" spans="1:16" ht="45.75" customHeight="1" thickBot="1" x14ac:dyDescent="0.25">
      <c r="A49" s="99" t="s">
        <v>164</v>
      </c>
      <c r="B49" s="225"/>
      <c r="C49" s="226"/>
      <c r="D49" s="226"/>
      <c r="E49" s="226"/>
      <c r="F49" s="226"/>
      <c r="G49" s="227"/>
      <c r="H49" s="228"/>
      <c r="I49" s="228"/>
      <c r="J49" s="228"/>
      <c r="K49" s="228"/>
      <c r="L49" s="228"/>
      <c r="M49" s="228"/>
      <c r="N49" s="228"/>
      <c r="O49" s="228"/>
      <c r="P49" s="94"/>
    </row>
  </sheetData>
  <mergeCells count="94">
    <mergeCell ref="B48:G48"/>
    <mergeCell ref="H48:K48"/>
    <mergeCell ref="L48:O48"/>
    <mergeCell ref="B49:G49"/>
    <mergeCell ref="H49:K49"/>
    <mergeCell ref="L49:O49"/>
    <mergeCell ref="B46:G46"/>
    <mergeCell ref="H46:K46"/>
    <mergeCell ref="L46:O46"/>
    <mergeCell ref="B47:G47"/>
    <mergeCell ref="H47:K47"/>
    <mergeCell ref="L47:O47"/>
    <mergeCell ref="B44:G44"/>
    <mergeCell ref="H44:K44"/>
    <mergeCell ref="L44:O44"/>
    <mergeCell ref="B45:G45"/>
    <mergeCell ref="H45:K45"/>
    <mergeCell ref="L45:O45"/>
    <mergeCell ref="B42:G42"/>
    <mergeCell ref="H42:K42"/>
    <mergeCell ref="L42:O42"/>
    <mergeCell ref="B43:G43"/>
    <mergeCell ref="H43:K43"/>
    <mergeCell ref="L43:O43"/>
    <mergeCell ref="B40:G40"/>
    <mergeCell ref="H40:K40"/>
    <mergeCell ref="L40:O40"/>
    <mergeCell ref="B41:G41"/>
    <mergeCell ref="H41:K41"/>
    <mergeCell ref="L41:O41"/>
    <mergeCell ref="B38:G38"/>
    <mergeCell ref="H38:K38"/>
    <mergeCell ref="L38:O38"/>
    <mergeCell ref="B39:G39"/>
    <mergeCell ref="H39:K39"/>
    <mergeCell ref="L39:O39"/>
    <mergeCell ref="B36:G36"/>
    <mergeCell ref="H36:K36"/>
    <mergeCell ref="L36:O36"/>
    <mergeCell ref="B37:G37"/>
    <mergeCell ref="H37:K37"/>
    <mergeCell ref="L37:O37"/>
    <mergeCell ref="B34:G34"/>
    <mergeCell ref="H34:K34"/>
    <mergeCell ref="L34:O34"/>
    <mergeCell ref="B35:G35"/>
    <mergeCell ref="H35:K35"/>
    <mergeCell ref="L35:O35"/>
    <mergeCell ref="B32:G32"/>
    <mergeCell ref="H32:K32"/>
    <mergeCell ref="L32:O32"/>
    <mergeCell ref="B33:G33"/>
    <mergeCell ref="H33:K33"/>
    <mergeCell ref="L33:O33"/>
    <mergeCell ref="B30:G30"/>
    <mergeCell ref="H30:K30"/>
    <mergeCell ref="L30:O30"/>
    <mergeCell ref="B31:G31"/>
    <mergeCell ref="H31:K31"/>
    <mergeCell ref="L31:O31"/>
    <mergeCell ref="B1:G1"/>
    <mergeCell ref="B3:G3"/>
    <mergeCell ref="B7:G7"/>
    <mergeCell ref="H21:K21"/>
    <mergeCell ref="B11:G14"/>
    <mergeCell ref="B16:G19"/>
    <mergeCell ref="L29:O29"/>
    <mergeCell ref="B26:G26"/>
    <mergeCell ref="B29:G29"/>
    <mergeCell ref="H24:K24"/>
    <mergeCell ref="H25:K25"/>
    <mergeCell ref="H26:K26"/>
    <mergeCell ref="B24:G24"/>
    <mergeCell ref="B25:G25"/>
    <mergeCell ref="L24:O24"/>
    <mergeCell ref="L25:O25"/>
    <mergeCell ref="L27:O27"/>
    <mergeCell ref="L26:O26"/>
    <mergeCell ref="H29:K29"/>
    <mergeCell ref="L28:O28"/>
    <mergeCell ref="B27:G27"/>
    <mergeCell ref="H27:K27"/>
    <mergeCell ref="H28:K28"/>
    <mergeCell ref="H23:K23"/>
    <mergeCell ref="A21:G21"/>
    <mergeCell ref="B22:G22"/>
    <mergeCell ref="B23:G23"/>
    <mergeCell ref="B28:G28"/>
    <mergeCell ref="L21:O21"/>
    <mergeCell ref="L22:O22"/>
    <mergeCell ref="L23:O23"/>
    <mergeCell ref="H22:K22"/>
    <mergeCell ref="A11:A14"/>
    <mergeCell ref="A16:A19"/>
  </mergeCells>
  <conditionalFormatting sqref="B9:B10">
    <cfRule type="cellIs" dxfId="631" priority="41" operator="equal">
      <formula>"Nok"</formula>
    </cfRule>
    <cfRule type="cellIs" dxfId="630" priority="42" operator="equal">
      <formula>"Ok"</formula>
    </cfRule>
  </conditionalFormatting>
  <conditionalFormatting sqref="P22:P23 P26:P31">
    <cfRule type="cellIs" dxfId="629" priority="39" operator="equal">
      <formula>"Nok"</formula>
    </cfRule>
    <cfRule type="cellIs" dxfId="628" priority="40" operator="equal">
      <formula>"Ok"</formula>
    </cfRule>
  </conditionalFormatting>
  <conditionalFormatting sqref="P32:P35">
    <cfRule type="cellIs" dxfId="627" priority="37" operator="equal">
      <formula>"Nok"</formula>
    </cfRule>
    <cfRule type="cellIs" dxfId="626" priority="38" operator="equal">
      <formula>"Ok"</formula>
    </cfRule>
  </conditionalFormatting>
  <conditionalFormatting sqref="P36">
    <cfRule type="cellIs" dxfId="625" priority="35" operator="equal">
      <formula>"Nok"</formula>
    </cfRule>
    <cfRule type="cellIs" dxfId="624" priority="36" operator="equal">
      <formula>"Ok"</formula>
    </cfRule>
  </conditionalFormatting>
  <conditionalFormatting sqref="P37">
    <cfRule type="cellIs" dxfId="623" priority="31" operator="equal">
      <formula>"Nok"</formula>
    </cfRule>
    <cfRule type="cellIs" dxfId="622" priority="32" operator="equal">
      <formula>"Ok"</formula>
    </cfRule>
  </conditionalFormatting>
  <conditionalFormatting sqref="P38">
    <cfRule type="cellIs" dxfId="621" priority="29" operator="equal">
      <formula>"Nok"</formula>
    </cfRule>
    <cfRule type="cellIs" dxfId="620" priority="30" operator="equal">
      <formula>"Ok"</formula>
    </cfRule>
  </conditionalFormatting>
  <conditionalFormatting sqref="P39">
    <cfRule type="cellIs" dxfId="619" priority="27" operator="equal">
      <formula>"Nok"</formula>
    </cfRule>
    <cfRule type="cellIs" dxfId="618" priority="28" operator="equal">
      <formula>"Ok"</formula>
    </cfRule>
  </conditionalFormatting>
  <conditionalFormatting sqref="P40">
    <cfRule type="cellIs" dxfId="617" priority="25" operator="equal">
      <formula>"Nok"</formula>
    </cfRule>
    <cfRule type="cellIs" dxfId="616" priority="26" operator="equal">
      <formula>"Ok"</formula>
    </cfRule>
  </conditionalFormatting>
  <conditionalFormatting sqref="P41">
    <cfRule type="cellIs" dxfId="615" priority="23" operator="equal">
      <formula>"Nok"</formula>
    </cfRule>
    <cfRule type="cellIs" dxfId="614" priority="24" operator="equal">
      <formula>"Ok"</formula>
    </cfRule>
  </conditionalFormatting>
  <conditionalFormatting sqref="P42">
    <cfRule type="cellIs" dxfId="613" priority="21" operator="equal">
      <formula>"Nok"</formula>
    </cfRule>
    <cfRule type="cellIs" dxfId="612" priority="22" operator="equal">
      <formula>"Ok"</formula>
    </cfRule>
  </conditionalFormatting>
  <conditionalFormatting sqref="P43">
    <cfRule type="cellIs" dxfId="611" priority="19" operator="equal">
      <formula>"Nok"</formula>
    </cfRule>
    <cfRule type="cellIs" dxfId="610" priority="20" operator="equal">
      <formula>"Ok"</formula>
    </cfRule>
  </conditionalFormatting>
  <conditionalFormatting sqref="P44">
    <cfRule type="cellIs" dxfId="609" priority="17" operator="equal">
      <formula>"Nok"</formula>
    </cfRule>
    <cfRule type="cellIs" dxfId="608" priority="18" operator="equal">
      <formula>"Ok"</formula>
    </cfRule>
  </conditionalFormatting>
  <conditionalFormatting sqref="P45">
    <cfRule type="cellIs" dxfId="607" priority="15" operator="equal">
      <formula>"Nok"</formula>
    </cfRule>
    <cfRule type="cellIs" dxfId="606" priority="16" operator="equal">
      <formula>"Ok"</formula>
    </cfRule>
  </conditionalFormatting>
  <conditionalFormatting sqref="P46">
    <cfRule type="cellIs" dxfId="605" priority="13" operator="equal">
      <formula>"Nok"</formula>
    </cfRule>
    <cfRule type="cellIs" dxfId="604" priority="14" operator="equal">
      <formula>"Ok"</formula>
    </cfRule>
  </conditionalFormatting>
  <conditionalFormatting sqref="P47">
    <cfRule type="cellIs" dxfId="603" priority="11" operator="equal">
      <formula>"Nok"</formula>
    </cfRule>
    <cfRule type="cellIs" dxfId="602" priority="12" operator="equal">
      <formula>"Ok"</formula>
    </cfRule>
  </conditionalFormatting>
  <conditionalFormatting sqref="P48">
    <cfRule type="cellIs" dxfId="601" priority="9" operator="equal">
      <formula>"Nok"</formula>
    </cfRule>
    <cfRule type="cellIs" dxfId="600" priority="10" operator="equal">
      <formula>"Ok"</formula>
    </cfRule>
  </conditionalFormatting>
  <conditionalFormatting sqref="P49">
    <cfRule type="cellIs" dxfId="599" priority="7" operator="equal">
      <formula>"Nok"</formula>
    </cfRule>
    <cfRule type="cellIs" dxfId="598" priority="8" operator="equal">
      <formula>"Ok"</formula>
    </cfRule>
  </conditionalFormatting>
  <conditionalFormatting sqref="P24">
    <cfRule type="cellIs" dxfId="597" priority="5" operator="equal">
      <formula>"Nok"</formula>
    </cfRule>
    <cfRule type="cellIs" dxfId="596" priority="6" operator="equal">
      <formula>"Ok"</formula>
    </cfRule>
  </conditionalFormatting>
  <conditionalFormatting sqref="P25">
    <cfRule type="cellIs" dxfId="595" priority="3" operator="equal">
      <formula>"Nok"</formula>
    </cfRule>
    <cfRule type="cellIs" dxfId="594" priority="4"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49">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27"/>
  <sheetViews>
    <sheetView workbookViewId="0">
      <selection activeCell="J17" sqref="J1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175</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26.25" thickBot="1" x14ac:dyDescent="0.25">
      <c r="A3" s="97" t="s">
        <v>46</v>
      </c>
      <c r="B3" s="215" t="s">
        <v>327</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8.5" customHeight="1" thickBot="1" x14ac:dyDescent="0.25">
      <c r="A7" s="96" t="s">
        <v>42</v>
      </c>
      <c r="B7" s="215" t="s">
        <v>176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45.75" customHeight="1" thickBot="1" x14ac:dyDescent="0.25">
      <c r="A22" s="100" t="s">
        <v>50</v>
      </c>
      <c r="B22" s="225" t="s">
        <v>322</v>
      </c>
      <c r="C22" s="226"/>
      <c r="D22" s="226"/>
      <c r="E22" s="226"/>
      <c r="F22" s="226"/>
      <c r="G22" s="227"/>
      <c r="H22" s="228"/>
      <c r="I22" s="228"/>
      <c r="J22" s="228"/>
      <c r="K22" s="228"/>
      <c r="L22" s="228" t="s">
        <v>328</v>
      </c>
      <c r="M22" s="228"/>
      <c r="N22" s="228"/>
      <c r="O22" s="228"/>
      <c r="P22" s="94" t="s">
        <v>143</v>
      </c>
    </row>
    <row r="23" spans="1:16" ht="45.75" customHeight="1" thickBot="1" x14ac:dyDescent="0.25">
      <c r="A23" s="100" t="s">
        <v>51</v>
      </c>
      <c r="B23" s="225"/>
      <c r="C23" s="226"/>
      <c r="D23" s="226"/>
      <c r="E23" s="226"/>
      <c r="F23" s="226"/>
      <c r="G23" s="227"/>
      <c r="H23" s="228"/>
      <c r="I23" s="228"/>
      <c r="J23" s="228"/>
      <c r="K23" s="228"/>
      <c r="L23" s="228"/>
      <c r="M23" s="228"/>
      <c r="N23" s="228"/>
      <c r="O23" s="228"/>
      <c r="P23" s="94"/>
    </row>
    <row r="24" spans="1:16" ht="45.75" customHeight="1" thickBot="1" x14ac:dyDescent="0.25">
      <c r="A24" s="100" t="s">
        <v>52</v>
      </c>
      <c r="B24" s="225"/>
      <c r="C24" s="226"/>
      <c r="D24" s="226"/>
      <c r="E24" s="226"/>
      <c r="F24" s="226"/>
      <c r="G24" s="227"/>
      <c r="H24" s="228"/>
      <c r="I24" s="228"/>
      <c r="J24" s="228"/>
      <c r="K24" s="228"/>
      <c r="L24" s="228"/>
      <c r="M24" s="228"/>
      <c r="N24" s="228"/>
      <c r="O24" s="228"/>
      <c r="P24" s="94"/>
    </row>
    <row r="25" spans="1:16" ht="58.5" customHeight="1" thickBot="1" x14ac:dyDescent="0.25">
      <c r="A25" s="100" t="s">
        <v>53</v>
      </c>
      <c r="B25" s="225"/>
      <c r="C25" s="226"/>
      <c r="D25" s="226"/>
      <c r="E25" s="226"/>
      <c r="F25" s="226"/>
      <c r="G25" s="227"/>
      <c r="H25" s="228"/>
      <c r="I25" s="228"/>
      <c r="J25" s="228"/>
      <c r="K25" s="228"/>
      <c r="L25" s="228"/>
      <c r="M25" s="228"/>
      <c r="N25" s="228"/>
      <c r="O25" s="228"/>
      <c r="P25" s="94"/>
    </row>
    <row r="26" spans="1:16" ht="45.75" customHeight="1" thickBot="1" x14ac:dyDescent="0.25">
      <c r="A26" s="100" t="s">
        <v>54</v>
      </c>
      <c r="B26" s="225"/>
      <c r="C26" s="226"/>
      <c r="D26" s="226"/>
      <c r="E26" s="226"/>
      <c r="F26" s="226"/>
      <c r="G26" s="227"/>
      <c r="H26" s="228"/>
      <c r="I26" s="228"/>
      <c r="J26" s="228"/>
      <c r="K26" s="228"/>
      <c r="L26" s="228"/>
      <c r="M26" s="228"/>
      <c r="N26" s="228"/>
      <c r="O26" s="228"/>
      <c r="P26" s="94"/>
    </row>
    <row r="27" spans="1:16" ht="45.75" customHeight="1" thickBot="1" x14ac:dyDescent="0.25">
      <c r="A27" s="100" t="s">
        <v>55</v>
      </c>
      <c r="B27" s="225"/>
      <c r="C27" s="226"/>
      <c r="D27" s="226"/>
      <c r="E27" s="226"/>
      <c r="F27" s="226"/>
      <c r="G27" s="227"/>
      <c r="H27" s="228"/>
      <c r="I27" s="228"/>
      <c r="J27" s="228"/>
      <c r="K27" s="228"/>
      <c r="L27" s="228"/>
      <c r="M27" s="228"/>
      <c r="N27" s="228"/>
      <c r="O27" s="228"/>
      <c r="P27" s="94"/>
    </row>
  </sheetData>
  <mergeCells count="28">
    <mergeCell ref="B27:G27"/>
    <mergeCell ref="H27:K27"/>
    <mergeCell ref="L27:O27"/>
    <mergeCell ref="B25:G25"/>
    <mergeCell ref="H25:K25"/>
    <mergeCell ref="L25:O25"/>
    <mergeCell ref="B26:G26"/>
    <mergeCell ref="H26:K26"/>
    <mergeCell ref="L26:O26"/>
    <mergeCell ref="H24:K24"/>
    <mergeCell ref="L24:O24"/>
    <mergeCell ref="A21:G21"/>
    <mergeCell ref="H21:K21"/>
    <mergeCell ref="L21:O21"/>
    <mergeCell ref="B22:G22"/>
    <mergeCell ref="H22:K22"/>
    <mergeCell ref="L22:O22"/>
    <mergeCell ref="B23:G23"/>
    <mergeCell ref="H23:K23"/>
    <mergeCell ref="L23:O23"/>
    <mergeCell ref="B24:G24"/>
    <mergeCell ref="A16:A19"/>
    <mergeCell ref="B16:G19"/>
    <mergeCell ref="B1:G1"/>
    <mergeCell ref="B3:G3"/>
    <mergeCell ref="B7:G7"/>
    <mergeCell ref="A11:A14"/>
    <mergeCell ref="B11:G14"/>
  </mergeCells>
  <conditionalFormatting sqref="B9:B10">
    <cfRule type="cellIs" dxfId="593" priority="19" operator="equal">
      <formula>"Nok"</formula>
    </cfRule>
    <cfRule type="cellIs" dxfId="592" priority="20" operator="equal">
      <formula>"Ok"</formula>
    </cfRule>
  </conditionalFormatting>
  <conditionalFormatting sqref="P24:P25">
    <cfRule type="cellIs" dxfId="591" priority="11" operator="equal">
      <formula>"Nok"</formula>
    </cfRule>
    <cfRule type="cellIs" dxfId="590" priority="12" operator="equal">
      <formula>"Ok"</formula>
    </cfRule>
  </conditionalFormatting>
  <conditionalFormatting sqref="P26">
    <cfRule type="cellIs" dxfId="589" priority="7" operator="equal">
      <formula>"Nok"</formula>
    </cfRule>
    <cfRule type="cellIs" dxfId="588" priority="8" operator="equal">
      <formula>"Ok"</formula>
    </cfRule>
  </conditionalFormatting>
  <conditionalFormatting sqref="P27">
    <cfRule type="cellIs" dxfId="587" priority="5" operator="equal">
      <formula>"Nok"</formula>
    </cfRule>
    <cfRule type="cellIs" dxfId="586" priority="6" operator="equal">
      <formula>"Ok"</formula>
    </cfRule>
  </conditionalFormatting>
  <conditionalFormatting sqref="P22">
    <cfRule type="cellIs" dxfId="585" priority="3" operator="equal">
      <formula>"Nok"</formula>
    </cfRule>
    <cfRule type="cellIs" dxfId="584" priority="4" operator="equal">
      <formula>"Ok"</formula>
    </cfRule>
  </conditionalFormatting>
  <conditionalFormatting sqref="P23">
    <cfRule type="cellIs" dxfId="583" priority="1" operator="equal">
      <formula>"Nok"</formula>
    </cfRule>
    <cfRule type="cellIs" dxfId="582" priority="2"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27">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3" sqref="B3:G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311</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115.5" customHeight="1" thickBot="1" x14ac:dyDescent="0.25">
      <c r="A3" s="97" t="s">
        <v>46</v>
      </c>
      <c r="B3" s="215" t="s">
        <v>329</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176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213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t="s">
        <v>314</v>
      </c>
      <c r="C22" s="226"/>
      <c r="D22" s="226"/>
      <c r="E22" s="226"/>
      <c r="F22" s="226"/>
      <c r="G22" s="227"/>
      <c r="H22" s="221"/>
      <c r="I22" s="221"/>
      <c r="J22" s="221"/>
      <c r="K22" s="221"/>
      <c r="L22" s="221" t="s">
        <v>324</v>
      </c>
      <c r="M22" s="221"/>
      <c r="N22" s="221"/>
      <c r="O22" s="221"/>
      <c r="P22" s="93" t="s">
        <v>213</v>
      </c>
    </row>
    <row r="23" spans="1:16" ht="31.5" customHeight="1" thickBot="1" x14ac:dyDescent="0.25">
      <c r="A23" s="99" t="s">
        <v>51</v>
      </c>
      <c r="B23" s="225" t="s">
        <v>315</v>
      </c>
      <c r="C23" s="226"/>
      <c r="D23" s="226"/>
      <c r="E23" s="226"/>
      <c r="F23" s="226"/>
      <c r="G23" s="227"/>
      <c r="H23" s="221"/>
      <c r="I23" s="221"/>
      <c r="J23" s="221"/>
      <c r="K23" s="221"/>
      <c r="L23" s="221" t="s">
        <v>324</v>
      </c>
      <c r="M23" s="221"/>
      <c r="N23" s="221"/>
      <c r="O23" s="221"/>
      <c r="P23" s="93" t="s">
        <v>213</v>
      </c>
    </row>
    <row r="24" spans="1:16" ht="133.5" customHeight="1" thickBot="1" x14ac:dyDescent="0.25">
      <c r="A24" s="99" t="s">
        <v>52</v>
      </c>
      <c r="B24" s="225" t="s">
        <v>316</v>
      </c>
      <c r="C24" s="226"/>
      <c r="D24" s="226"/>
      <c r="E24" s="226"/>
      <c r="F24" s="226"/>
      <c r="G24" s="227"/>
      <c r="H24" s="221"/>
      <c r="I24" s="221"/>
      <c r="J24" s="221"/>
      <c r="K24" s="221"/>
      <c r="L24" s="221" t="s">
        <v>324</v>
      </c>
      <c r="M24" s="221"/>
      <c r="N24" s="221"/>
      <c r="O24" s="221"/>
      <c r="P24" s="93" t="s">
        <v>213</v>
      </c>
    </row>
    <row r="25" spans="1:16" ht="43.5" customHeight="1" thickBot="1" x14ac:dyDescent="0.25">
      <c r="A25" s="99" t="s">
        <v>53</v>
      </c>
      <c r="B25" s="225" t="s">
        <v>317</v>
      </c>
      <c r="C25" s="226"/>
      <c r="D25" s="226"/>
      <c r="E25" s="226"/>
      <c r="F25" s="226"/>
      <c r="G25" s="227"/>
      <c r="H25" s="221"/>
      <c r="I25" s="221"/>
      <c r="J25" s="221"/>
      <c r="K25" s="221"/>
      <c r="L25" s="221" t="s">
        <v>324</v>
      </c>
      <c r="M25" s="221"/>
      <c r="N25" s="221"/>
      <c r="O25" s="221"/>
      <c r="P25" s="93" t="s">
        <v>213</v>
      </c>
    </row>
    <row r="26" spans="1:16" ht="45.75" customHeight="1" thickBot="1" x14ac:dyDescent="0.25">
      <c r="A26" s="99" t="s">
        <v>54</v>
      </c>
      <c r="B26" s="225" t="s">
        <v>318</v>
      </c>
      <c r="C26" s="226"/>
      <c r="D26" s="226"/>
      <c r="E26" s="226"/>
      <c r="F26" s="226"/>
      <c r="G26" s="227"/>
      <c r="H26" s="221"/>
      <c r="I26" s="221"/>
      <c r="J26" s="221"/>
      <c r="K26" s="221"/>
      <c r="L26" s="221" t="s">
        <v>324</v>
      </c>
      <c r="M26" s="221"/>
      <c r="N26" s="221"/>
      <c r="O26" s="221"/>
      <c r="P26" s="93" t="s">
        <v>213</v>
      </c>
    </row>
    <row r="27" spans="1:16" ht="130.5" customHeight="1" thickBot="1" x14ac:dyDescent="0.25">
      <c r="A27" s="99" t="s">
        <v>55</v>
      </c>
      <c r="B27" s="225" t="s">
        <v>319</v>
      </c>
      <c r="C27" s="226"/>
      <c r="D27" s="226"/>
      <c r="E27" s="226"/>
      <c r="F27" s="226"/>
      <c r="G27" s="227"/>
      <c r="H27" s="221"/>
      <c r="I27" s="221"/>
      <c r="J27" s="221"/>
      <c r="K27" s="221"/>
      <c r="L27" s="221" t="s">
        <v>324</v>
      </c>
      <c r="M27" s="221"/>
      <c r="N27" s="221"/>
      <c r="O27" s="221"/>
      <c r="P27" s="93" t="s">
        <v>213</v>
      </c>
    </row>
    <row r="28" spans="1:16" ht="132.75" customHeight="1" thickBot="1" x14ac:dyDescent="0.25">
      <c r="A28" s="99" t="s">
        <v>56</v>
      </c>
      <c r="B28" s="225" t="s">
        <v>320</v>
      </c>
      <c r="C28" s="226"/>
      <c r="D28" s="226"/>
      <c r="E28" s="226"/>
      <c r="F28" s="226"/>
      <c r="G28" s="227"/>
      <c r="H28" s="221"/>
      <c r="I28" s="221"/>
      <c r="J28" s="221"/>
      <c r="K28" s="221"/>
      <c r="L28" s="221" t="s">
        <v>324</v>
      </c>
      <c r="M28" s="221"/>
      <c r="N28" s="221"/>
      <c r="O28" s="221"/>
      <c r="P28" s="93" t="s">
        <v>213</v>
      </c>
    </row>
    <row r="29" spans="1:16" ht="210" customHeight="1" thickBot="1" x14ac:dyDescent="0.25">
      <c r="A29" s="99" t="s">
        <v>57</v>
      </c>
      <c r="B29" s="225" t="s">
        <v>321</v>
      </c>
      <c r="C29" s="226"/>
      <c r="D29" s="226"/>
      <c r="E29" s="226"/>
      <c r="F29" s="226"/>
      <c r="G29" s="227"/>
      <c r="H29" s="221"/>
      <c r="I29" s="221"/>
      <c r="J29" s="221"/>
      <c r="K29" s="221"/>
      <c r="L29" s="221" t="s">
        <v>324</v>
      </c>
      <c r="M29" s="221"/>
      <c r="N29" s="221"/>
      <c r="O29" s="221"/>
      <c r="P29" s="93" t="s">
        <v>213</v>
      </c>
    </row>
    <row r="30" spans="1:16" ht="355.5" customHeight="1" thickBot="1" x14ac:dyDescent="0.25">
      <c r="A30" s="100" t="s">
        <v>58</v>
      </c>
      <c r="B30" s="225" t="s">
        <v>323</v>
      </c>
      <c r="C30" s="226"/>
      <c r="D30" s="226"/>
      <c r="E30" s="226"/>
      <c r="F30" s="226"/>
      <c r="G30" s="227"/>
      <c r="H30" s="228"/>
      <c r="I30" s="228"/>
      <c r="J30" s="228"/>
      <c r="K30" s="228"/>
      <c r="L30" s="221" t="s">
        <v>324</v>
      </c>
      <c r="M30" s="221"/>
      <c r="N30" s="221"/>
      <c r="O30" s="221"/>
      <c r="P30" s="93" t="s">
        <v>213</v>
      </c>
    </row>
    <row r="31" spans="1:16" ht="41.25" customHeight="1" thickBot="1" x14ac:dyDescent="0.25">
      <c r="A31" s="100" t="s">
        <v>145</v>
      </c>
      <c r="B31" s="225" t="s">
        <v>325</v>
      </c>
      <c r="C31" s="226"/>
      <c r="D31" s="226"/>
      <c r="E31" s="226"/>
      <c r="F31" s="226"/>
      <c r="G31" s="227"/>
      <c r="H31" s="221"/>
      <c r="I31" s="221"/>
      <c r="J31" s="221"/>
      <c r="K31" s="221"/>
      <c r="L31" s="228" t="s">
        <v>326</v>
      </c>
      <c r="M31" s="228"/>
      <c r="N31" s="228"/>
      <c r="O31" s="228"/>
      <c r="P31" s="93" t="s">
        <v>213</v>
      </c>
    </row>
    <row r="32" spans="1:16" ht="72" customHeight="1" thickBot="1" x14ac:dyDescent="0.25">
      <c r="A32" s="100" t="s">
        <v>146</v>
      </c>
      <c r="B32" s="225"/>
      <c r="C32" s="226"/>
      <c r="D32" s="226"/>
      <c r="E32" s="226"/>
      <c r="F32" s="226"/>
      <c r="G32" s="227"/>
      <c r="H32" s="221"/>
      <c r="I32" s="221"/>
      <c r="J32" s="221"/>
      <c r="K32" s="221"/>
      <c r="L32" s="228"/>
      <c r="M32" s="228"/>
      <c r="N32" s="228"/>
      <c r="O32" s="228"/>
      <c r="P32" s="93"/>
    </row>
    <row r="33" spans="1:16" ht="60.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581" priority="37" operator="equal">
      <formula>"Nok"</formula>
    </cfRule>
    <cfRule type="cellIs" dxfId="580" priority="38" operator="equal">
      <formula>"Ok"</formula>
    </cfRule>
  </conditionalFormatting>
  <conditionalFormatting sqref="P22:P29">
    <cfRule type="cellIs" dxfId="579" priority="35" operator="equal">
      <formula>"Nok"</formula>
    </cfRule>
    <cfRule type="cellIs" dxfId="578" priority="36" operator="equal">
      <formula>"Ok"</formula>
    </cfRule>
  </conditionalFormatting>
  <conditionalFormatting sqref="P32:P35">
    <cfRule type="cellIs" dxfId="577" priority="33" operator="equal">
      <formula>"Nok"</formula>
    </cfRule>
    <cfRule type="cellIs" dxfId="576" priority="34" operator="equal">
      <formula>"Ok"</formula>
    </cfRule>
  </conditionalFormatting>
  <conditionalFormatting sqref="P36:P37">
    <cfRule type="cellIs" dxfId="575" priority="31" operator="equal">
      <formula>"Nok"</formula>
    </cfRule>
    <cfRule type="cellIs" dxfId="574" priority="32" operator="equal">
      <formula>"Ok"</formula>
    </cfRule>
  </conditionalFormatting>
  <conditionalFormatting sqref="P38">
    <cfRule type="cellIs" dxfId="573" priority="29" operator="equal">
      <formula>"Nok"</formula>
    </cfRule>
    <cfRule type="cellIs" dxfId="572" priority="30" operator="equal">
      <formula>"Ok"</formula>
    </cfRule>
  </conditionalFormatting>
  <conditionalFormatting sqref="P39">
    <cfRule type="cellIs" dxfId="571" priority="27" operator="equal">
      <formula>"Nok"</formula>
    </cfRule>
    <cfRule type="cellIs" dxfId="570" priority="28" operator="equal">
      <formula>"Ok"</formula>
    </cfRule>
  </conditionalFormatting>
  <conditionalFormatting sqref="P40">
    <cfRule type="cellIs" dxfId="569" priority="25" operator="equal">
      <formula>"Nok"</formula>
    </cfRule>
    <cfRule type="cellIs" dxfId="568" priority="26" operator="equal">
      <formula>"Ok"</formula>
    </cfRule>
  </conditionalFormatting>
  <conditionalFormatting sqref="P41">
    <cfRule type="cellIs" dxfId="567" priority="23" operator="equal">
      <formula>"Nok"</formula>
    </cfRule>
    <cfRule type="cellIs" dxfId="566" priority="24" operator="equal">
      <formula>"Ok"</formula>
    </cfRule>
  </conditionalFormatting>
  <conditionalFormatting sqref="P42">
    <cfRule type="cellIs" dxfId="565" priority="21" operator="equal">
      <formula>"Nok"</formula>
    </cfRule>
    <cfRule type="cellIs" dxfId="564" priority="22" operator="equal">
      <formula>"Ok"</formula>
    </cfRule>
  </conditionalFormatting>
  <conditionalFormatting sqref="P43">
    <cfRule type="cellIs" dxfId="563" priority="19" operator="equal">
      <formula>"Nok"</formula>
    </cfRule>
    <cfRule type="cellIs" dxfId="562" priority="20" operator="equal">
      <formula>"Ok"</formula>
    </cfRule>
  </conditionalFormatting>
  <conditionalFormatting sqref="P44">
    <cfRule type="cellIs" dxfId="561" priority="17" operator="equal">
      <formula>"Nok"</formula>
    </cfRule>
    <cfRule type="cellIs" dxfId="560" priority="18" operator="equal">
      <formula>"Ok"</formula>
    </cfRule>
  </conditionalFormatting>
  <conditionalFormatting sqref="P45">
    <cfRule type="cellIs" dxfId="559" priority="15" operator="equal">
      <formula>"Nok"</formula>
    </cfRule>
    <cfRule type="cellIs" dxfId="558" priority="16" operator="equal">
      <formula>"Ok"</formula>
    </cfRule>
  </conditionalFormatting>
  <conditionalFormatting sqref="P46">
    <cfRule type="cellIs" dxfId="557" priority="13" operator="equal">
      <formula>"Nok"</formula>
    </cfRule>
    <cfRule type="cellIs" dxfId="556" priority="14" operator="equal">
      <formula>"Ok"</formula>
    </cfRule>
  </conditionalFormatting>
  <conditionalFormatting sqref="P47">
    <cfRule type="cellIs" dxfId="555" priority="11" operator="equal">
      <formula>"Nok"</formula>
    </cfRule>
    <cfRule type="cellIs" dxfId="554" priority="12" operator="equal">
      <formula>"Ok"</formula>
    </cfRule>
  </conditionalFormatting>
  <conditionalFormatting sqref="P48">
    <cfRule type="cellIs" dxfId="553" priority="9" operator="equal">
      <formula>"Nok"</formula>
    </cfRule>
    <cfRule type="cellIs" dxfId="552" priority="10" operator="equal">
      <formula>"Ok"</formula>
    </cfRule>
  </conditionalFormatting>
  <conditionalFormatting sqref="P49">
    <cfRule type="cellIs" dxfId="551" priority="7" operator="equal">
      <formula>"Nok"</formula>
    </cfRule>
    <cfRule type="cellIs" dxfId="550" priority="8" operator="equal">
      <formula>"Ok"</formula>
    </cfRule>
  </conditionalFormatting>
  <conditionalFormatting sqref="P50">
    <cfRule type="cellIs" dxfId="549" priority="5" operator="equal">
      <formula>"Nok"</formula>
    </cfRule>
    <cfRule type="cellIs" dxfId="548" priority="6" operator="equal">
      <formula>"Ok"</formula>
    </cfRule>
  </conditionalFormatting>
  <conditionalFormatting sqref="P31">
    <cfRule type="cellIs" dxfId="547" priority="3" operator="equal">
      <formula>"Nok"</formula>
    </cfRule>
    <cfRule type="cellIs" dxfId="546" priority="4" operator="equal">
      <formula>"Ok"</formula>
    </cfRule>
  </conditionalFormatting>
  <conditionalFormatting sqref="P30">
    <cfRule type="cellIs" dxfId="545" priority="1" operator="equal">
      <formula>"Nok"</formula>
    </cfRule>
    <cfRule type="cellIs" dxfId="544"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11" sqref="I11"/>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177</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178</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543" priority="33" operator="equal">
      <formula>"Nok"</formula>
    </cfRule>
    <cfRule type="cellIs" dxfId="542" priority="34" operator="equal">
      <formula>"Ok"</formula>
    </cfRule>
  </conditionalFormatting>
  <conditionalFormatting sqref="P22:P30">
    <cfRule type="cellIs" dxfId="541" priority="31" operator="equal">
      <formula>"Nok"</formula>
    </cfRule>
    <cfRule type="cellIs" dxfId="540" priority="32" operator="equal">
      <formula>"Ok"</formula>
    </cfRule>
  </conditionalFormatting>
  <conditionalFormatting sqref="P31:P35">
    <cfRule type="cellIs" dxfId="539" priority="29" operator="equal">
      <formula>"Nok"</formula>
    </cfRule>
    <cfRule type="cellIs" dxfId="538" priority="30" operator="equal">
      <formula>"Ok"</formula>
    </cfRule>
  </conditionalFormatting>
  <conditionalFormatting sqref="P36:P37">
    <cfRule type="cellIs" dxfId="537" priority="27" operator="equal">
      <formula>"Nok"</formula>
    </cfRule>
    <cfRule type="cellIs" dxfId="536" priority="28" operator="equal">
      <formula>"Ok"</formula>
    </cfRule>
  </conditionalFormatting>
  <conditionalFormatting sqref="P38">
    <cfRule type="cellIs" dxfId="535" priority="25" operator="equal">
      <formula>"Nok"</formula>
    </cfRule>
    <cfRule type="cellIs" dxfId="534" priority="26" operator="equal">
      <formula>"Ok"</formula>
    </cfRule>
  </conditionalFormatting>
  <conditionalFormatting sqref="P39">
    <cfRule type="cellIs" dxfId="533" priority="23" operator="equal">
      <formula>"Nok"</formula>
    </cfRule>
    <cfRule type="cellIs" dxfId="532" priority="24" operator="equal">
      <formula>"Ok"</formula>
    </cfRule>
  </conditionalFormatting>
  <conditionalFormatting sqref="P40">
    <cfRule type="cellIs" dxfId="531" priority="21" operator="equal">
      <formula>"Nok"</formula>
    </cfRule>
    <cfRule type="cellIs" dxfId="530" priority="22" operator="equal">
      <formula>"Ok"</formula>
    </cfRule>
  </conditionalFormatting>
  <conditionalFormatting sqref="P41">
    <cfRule type="cellIs" dxfId="529" priority="19" operator="equal">
      <formula>"Nok"</formula>
    </cfRule>
    <cfRule type="cellIs" dxfId="528" priority="20" operator="equal">
      <formula>"Ok"</formula>
    </cfRule>
  </conditionalFormatting>
  <conditionalFormatting sqref="P42">
    <cfRule type="cellIs" dxfId="527" priority="17" operator="equal">
      <formula>"Nok"</formula>
    </cfRule>
    <cfRule type="cellIs" dxfId="526" priority="18" operator="equal">
      <formula>"Ok"</formula>
    </cfRule>
  </conditionalFormatting>
  <conditionalFormatting sqref="P43">
    <cfRule type="cellIs" dxfId="525" priority="15" operator="equal">
      <formula>"Nok"</formula>
    </cfRule>
    <cfRule type="cellIs" dxfId="524" priority="16" operator="equal">
      <formula>"Ok"</formula>
    </cfRule>
  </conditionalFormatting>
  <conditionalFormatting sqref="P44">
    <cfRule type="cellIs" dxfId="523" priority="13" operator="equal">
      <formula>"Nok"</formula>
    </cfRule>
    <cfRule type="cellIs" dxfId="522" priority="14" operator="equal">
      <formula>"Ok"</formula>
    </cfRule>
  </conditionalFormatting>
  <conditionalFormatting sqref="P45">
    <cfRule type="cellIs" dxfId="521" priority="11" operator="equal">
      <formula>"Nok"</formula>
    </cfRule>
    <cfRule type="cellIs" dxfId="520" priority="12" operator="equal">
      <formula>"Ok"</formula>
    </cfRule>
  </conditionalFormatting>
  <conditionalFormatting sqref="P46">
    <cfRule type="cellIs" dxfId="519" priority="9" operator="equal">
      <formula>"Nok"</formula>
    </cfRule>
    <cfRule type="cellIs" dxfId="518" priority="10" operator="equal">
      <formula>"Ok"</formula>
    </cfRule>
  </conditionalFormatting>
  <conditionalFormatting sqref="P47">
    <cfRule type="cellIs" dxfId="517" priority="7" operator="equal">
      <formula>"Nok"</formula>
    </cfRule>
    <cfRule type="cellIs" dxfId="516" priority="8" operator="equal">
      <formula>"Ok"</formula>
    </cfRule>
  </conditionalFormatting>
  <conditionalFormatting sqref="P48">
    <cfRule type="cellIs" dxfId="515" priority="5" operator="equal">
      <formula>"Nok"</formula>
    </cfRule>
    <cfRule type="cellIs" dxfId="514" priority="6" operator="equal">
      <formula>"Ok"</formula>
    </cfRule>
  </conditionalFormatting>
  <conditionalFormatting sqref="P49">
    <cfRule type="cellIs" dxfId="513" priority="3" operator="equal">
      <formula>"Nok"</formula>
    </cfRule>
    <cfRule type="cellIs" dxfId="512" priority="4" operator="equal">
      <formula>"Ok"</formula>
    </cfRule>
  </conditionalFormatting>
  <conditionalFormatting sqref="P50">
    <cfRule type="cellIs" dxfId="511" priority="1" operator="equal">
      <formula>"Nok"</formula>
    </cfRule>
    <cfRule type="cellIs" dxfId="510"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E10" sqref="E10"/>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179</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178</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509" priority="33" operator="equal">
      <formula>"Nok"</formula>
    </cfRule>
    <cfRule type="cellIs" dxfId="508" priority="34" operator="equal">
      <formula>"Ok"</formula>
    </cfRule>
  </conditionalFormatting>
  <conditionalFormatting sqref="P22:P30">
    <cfRule type="cellIs" dxfId="507" priority="31" operator="equal">
      <formula>"Nok"</formula>
    </cfRule>
    <cfRule type="cellIs" dxfId="506" priority="32" operator="equal">
      <formula>"Ok"</formula>
    </cfRule>
  </conditionalFormatting>
  <conditionalFormatting sqref="P31:P35">
    <cfRule type="cellIs" dxfId="505" priority="29" operator="equal">
      <formula>"Nok"</formula>
    </cfRule>
    <cfRule type="cellIs" dxfId="504" priority="30" operator="equal">
      <formula>"Ok"</formula>
    </cfRule>
  </conditionalFormatting>
  <conditionalFormatting sqref="P36:P37">
    <cfRule type="cellIs" dxfId="503" priority="27" operator="equal">
      <formula>"Nok"</formula>
    </cfRule>
    <cfRule type="cellIs" dxfId="502" priority="28" operator="equal">
      <formula>"Ok"</formula>
    </cfRule>
  </conditionalFormatting>
  <conditionalFormatting sqref="P38">
    <cfRule type="cellIs" dxfId="501" priority="25" operator="equal">
      <formula>"Nok"</formula>
    </cfRule>
    <cfRule type="cellIs" dxfId="500" priority="26" operator="equal">
      <formula>"Ok"</formula>
    </cfRule>
  </conditionalFormatting>
  <conditionalFormatting sqref="P39">
    <cfRule type="cellIs" dxfId="499" priority="23" operator="equal">
      <formula>"Nok"</formula>
    </cfRule>
    <cfRule type="cellIs" dxfId="498" priority="24" operator="equal">
      <formula>"Ok"</formula>
    </cfRule>
  </conditionalFormatting>
  <conditionalFormatting sqref="P40">
    <cfRule type="cellIs" dxfId="497" priority="21" operator="equal">
      <formula>"Nok"</formula>
    </cfRule>
    <cfRule type="cellIs" dxfId="496" priority="22" operator="equal">
      <formula>"Ok"</formula>
    </cfRule>
  </conditionalFormatting>
  <conditionalFormatting sqref="P41">
    <cfRule type="cellIs" dxfId="495" priority="19" operator="equal">
      <formula>"Nok"</formula>
    </cfRule>
    <cfRule type="cellIs" dxfId="494" priority="20" operator="equal">
      <formula>"Ok"</formula>
    </cfRule>
  </conditionalFormatting>
  <conditionalFormatting sqref="P42">
    <cfRule type="cellIs" dxfId="493" priority="17" operator="equal">
      <formula>"Nok"</formula>
    </cfRule>
    <cfRule type="cellIs" dxfId="492" priority="18" operator="equal">
      <formula>"Ok"</formula>
    </cfRule>
  </conditionalFormatting>
  <conditionalFormatting sqref="P43">
    <cfRule type="cellIs" dxfId="491" priority="15" operator="equal">
      <formula>"Nok"</formula>
    </cfRule>
    <cfRule type="cellIs" dxfId="490" priority="16" operator="equal">
      <formula>"Ok"</formula>
    </cfRule>
  </conditionalFormatting>
  <conditionalFormatting sqref="P44">
    <cfRule type="cellIs" dxfId="489" priority="13" operator="equal">
      <formula>"Nok"</formula>
    </cfRule>
    <cfRule type="cellIs" dxfId="488" priority="14" operator="equal">
      <formula>"Ok"</formula>
    </cfRule>
  </conditionalFormatting>
  <conditionalFormatting sqref="P45">
    <cfRule type="cellIs" dxfId="487" priority="11" operator="equal">
      <formula>"Nok"</formula>
    </cfRule>
    <cfRule type="cellIs" dxfId="486" priority="12" operator="equal">
      <formula>"Ok"</formula>
    </cfRule>
  </conditionalFormatting>
  <conditionalFormatting sqref="P46">
    <cfRule type="cellIs" dxfId="485" priority="9" operator="equal">
      <formula>"Nok"</formula>
    </cfRule>
    <cfRule type="cellIs" dxfId="484" priority="10" operator="equal">
      <formula>"Ok"</formula>
    </cfRule>
  </conditionalFormatting>
  <conditionalFormatting sqref="P47">
    <cfRule type="cellIs" dxfId="483" priority="7" operator="equal">
      <formula>"Nok"</formula>
    </cfRule>
    <cfRule type="cellIs" dxfId="482" priority="8" operator="equal">
      <formula>"Ok"</formula>
    </cfRule>
  </conditionalFormatting>
  <conditionalFormatting sqref="P48">
    <cfRule type="cellIs" dxfId="481" priority="5" operator="equal">
      <formula>"Nok"</formula>
    </cfRule>
    <cfRule type="cellIs" dxfId="480" priority="6" operator="equal">
      <formula>"Ok"</formula>
    </cfRule>
  </conditionalFormatting>
  <conditionalFormatting sqref="P49">
    <cfRule type="cellIs" dxfId="479" priority="3" operator="equal">
      <formula>"Nok"</formula>
    </cfRule>
    <cfRule type="cellIs" dxfId="478" priority="4" operator="equal">
      <formula>"Ok"</formula>
    </cfRule>
  </conditionalFormatting>
  <conditionalFormatting sqref="P50">
    <cfRule type="cellIs" dxfId="477" priority="1" operator="equal">
      <formula>"Nok"</formula>
    </cfRule>
    <cfRule type="cellIs" dxfId="476"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M9" sqref="M9"/>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180</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181</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475" priority="33" operator="equal">
      <formula>"Nok"</formula>
    </cfRule>
    <cfRule type="cellIs" dxfId="474" priority="34" operator="equal">
      <formula>"Ok"</formula>
    </cfRule>
  </conditionalFormatting>
  <conditionalFormatting sqref="P22:P30">
    <cfRule type="cellIs" dxfId="473" priority="31" operator="equal">
      <formula>"Nok"</formula>
    </cfRule>
    <cfRule type="cellIs" dxfId="472" priority="32" operator="equal">
      <formula>"Ok"</formula>
    </cfRule>
  </conditionalFormatting>
  <conditionalFormatting sqref="P31:P35">
    <cfRule type="cellIs" dxfId="471" priority="29" operator="equal">
      <formula>"Nok"</formula>
    </cfRule>
    <cfRule type="cellIs" dxfId="470" priority="30" operator="equal">
      <formula>"Ok"</formula>
    </cfRule>
  </conditionalFormatting>
  <conditionalFormatting sqref="P36:P37">
    <cfRule type="cellIs" dxfId="469" priority="27" operator="equal">
      <formula>"Nok"</formula>
    </cfRule>
    <cfRule type="cellIs" dxfId="468" priority="28" operator="equal">
      <formula>"Ok"</formula>
    </cfRule>
  </conditionalFormatting>
  <conditionalFormatting sqref="P38">
    <cfRule type="cellIs" dxfId="467" priority="25" operator="equal">
      <formula>"Nok"</formula>
    </cfRule>
    <cfRule type="cellIs" dxfId="466" priority="26" operator="equal">
      <formula>"Ok"</formula>
    </cfRule>
  </conditionalFormatting>
  <conditionalFormatting sqref="P39">
    <cfRule type="cellIs" dxfId="465" priority="23" operator="equal">
      <formula>"Nok"</formula>
    </cfRule>
    <cfRule type="cellIs" dxfId="464" priority="24" operator="equal">
      <formula>"Ok"</formula>
    </cfRule>
  </conditionalFormatting>
  <conditionalFormatting sqref="P40">
    <cfRule type="cellIs" dxfId="463" priority="21" operator="equal">
      <formula>"Nok"</formula>
    </cfRule>
    <cfRule type="cellIs" dxfId="462" priority="22" operator="equal">
      <formula>"Ok"</formula>
    </cfRule>
  </conditionalFormatting>
  <conditionalFormatting sqref="P41">
    <cfRule type="cellIs" dxfId="461" priority="19" operator="equal">
      <formula>"Nok"</formula>
    </cfRule>
    <cfRule type="cellIs" dxfId="460" priority="20" operator="equal">
      <formula>"Ok"</formula>
    </cfRule>
  </conditionalFormatting>
  <conditionalFormatting sqref="P42">
    <cfRule type="cellIs" dxfId="459" priority="17" operator="equal">
      <formula>"Nok"</formula>
    </cfRule>
    <cfRule type="cellIs" dxfId="458" priority="18" operator="equal">
      <formula>"Ok"</formula>
    </cfRule>
  </conditionalFormatting>
  <conditionalFormatting sqref="P43">
    <cfRule type="cellIs" dxfId="457" priority="15" operator="equal">
      <formula>"Nok"</formula>
    </cfRule>
    <cfRule type="cellIs" dxfId="456" priority="16" operator="equal">
      <formula>"Ok"</formula>
    </cfRule>
  </conditionalFormatting>
  <conditionalFormatting sqref="P44">
    <cfRule type="cellIs" dxfId="455" priority="13" operator="equal">
      <formula>"Nok"</formula>
    </cfRule>
    <cfRule type="cellIs" dxfId="454" priority="14" operator="equal">
      <formula>"Ok"</formula>
    </cfRule>
  </conditionalFormatting>
  <conditionalFormatting sqref="P45">
    <cfRule type="cellIs" dxfId="453" priority="11" operator="equal">
      <formula>"Nok"</formula>
    </cfRule>
    <cfRule type="cellIs" dxfId="452" priority="12" operator="equal">
      <formula>"Ok"</formula>
    </cfRule>
  </conditionalFormatting>
  <conditionalFormatting sqref="P46">
    <cfRule type="cellIs" dxfId="451" priority="9" operator="equal">
      <formula>"Nok"</formula>
    </cfRule>
    <cfRule type="cellIs" dxfId="450" priority="10" operator="equal">
      <formula>"Ok"</formula>
    </cfRule>
  </conditionalFormatting>
  <conditionalFormatting sqref="P47">
    <cfRule type="cellIs" dxfId="449" priority="7" operator="equal">
      <formula>"Nok"</formula>
    </cfRule>
    <cfRule type="cellIs" dxfId="448" priority="8" operator="equal">
      <formula>"Ok"</formula>
    </cfRule>
  </conditionalFormatting>
  <conditionalFormatting sqref="P48">
    <cfRule type="cellIs" dxfId="447" priority="5" operator="equal">
      <formula>"Nok"</formula>
    </cfRule>
    <cfRule type="cellIs" dxfId="446" priority="6" operator="equal">
      <formula>"Ok"</formula>
    </cfRule>
  </conditionalFormatting>
  <conditionalFormatting sqref="P49">
    <cfRule type="cellIs" dxfId="445" priority="3" operator="equal">
      <formula>"Nok"</formula>
    </cfRule>
    <cfRule type="cellIs" dxfId="444" priority="4" operator="equal">
      <formula>"Ok"</formula>
    </cfRule>
  </conditionalFormatting>
  <conditionalFormatting sqref="P50">
    <cfRule type="cellIs" dxfId="443" priority="1" operator="equal">
      <formula>"Nok"</formula>
    </cfRule>
    <cfRule type="cellIs" dxfId="442"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11" sqref="B11:G14"/>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182</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273</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181</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161.25" customHeight="1" thickBot="1" x14ac:dyDescent="0.25">
      <c r="A22" s="99" t="s">
        <v>50</v>
      </c>
      <c r="B22" s="225" t="s">
        <v>267</v>
      </c>
      <c r="C22" s="226"/>
      <c r="D22" s="226"/>
      <c r="E22" s="226"/>
      <c r="F22" s="226"/>
      <c r="G22" s="227"/>
      <c r="H22" s="221"/>
      <c r="I22" s="221"/>
      <c r="J22" s="221"/>
      <c r="K22" s="221"/>
      <c r="L22" s="221" t="s">
        <v>268</v>
      </c>
      <c r="M22" s="221"/>
      <c r="N22" s="221"/>
      <c r="O22" s="221"/>
      <c r="P22" s="93" t="s">
        <v>144</v>
      </c>
    </row>
    <row r="23" spans="1:16" ht="159" customHeight="1" thickBot="1" x14ac:dyDescent="0.25">
      <c r="A23" s="99" t="s">
        <v>51</v>
      </c>
      <c r="B23" s="225" t="s">
        <v>269</v>
      </c>
      <c r="C23" s="226"/>
      <c r="D23" s="226"/>
      <c r="E23" s="226"/>
      <c r="F23" s="226"/>
      <c r="G23" s="227"/>
      <c r="H23" s="221"/>
      <c r="I23" s="221"/>
      <c r="J23" s="221"/>
      <c r="K23" s="221"/>
      <c r="L23" s="221" t="s">
        <v>270</v>
      </c>
      <c r="M23" s="221"/>
      <c r="N23" s="221"/>
      <c r="O23" s="221"/>
      <c r="P23" s="93" t="s">
        <v>213</v>
      </c>
    </row>
    <row r="24" spans="1:16" ht="82.5" customHeight="1" thickBot="1" x14ac:dyDescent="0.25">
      <c r="A24" s="99" t="s">
        <v>52</v>
      </c>
      <c r="B24" s="225" t="s">
        <v>271</v>
      </c>
      <c r="C24" s="226"/>
      <c r="D24" s="226"/>
      <c r="E24" s="226"/>
      <c r="F24" s="226"/>
      <c r="G24" s="227"/>
      <c r="H24" s="221"/>
      <c r="I24" s="221"/>
      <c r="J24" s="221"/>
      <c r="K24" s="221"/>
      <c r="L24" s="221" t="s">
        <v>272</v>
      </c>
      <c r="M24" s="221"/>
      <c r="N24" s="221"/>
      <c r="O24" s="221"/>
      <c r="P24" s="93" t="s">
        <v>144</v>
      </c>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441" priority="33" operator="equal">
      <formula>"Nok"</formula>
    </cfRule>
    <cfRule type="cellIs" dxfId="440" priority="34" operator="equal">
      <formula>"Ok"</formula>
    </cfRule>
  </conditionalFormatting>
  <conditionalFormatting sqref="P22:P30">
    <cfRule type="cellIs" dxfId="439" priority="31" operator="equal">
      <formula>"Nok"</formula>
    </cfRule>
    <cfRule type="cellIs" dxfId="438" priority="32" operator="equal">
      <formula>"Ok"</formula>
    </cfRule>
  </conditionalFormatting>
  <conditionalFormatting sqref="P31:P35">
    <cfRule type="cellIs" dxfId="437" priority="29" operator="equal">
      <formula>"Nok"</formula>
    </cfRule>
    <cfRule type="cellIs" dxfId="436" priority="30" operator="equal">
      <formula>"Ok"</formula>
    </cfRule>
  </conditionalFormatting>
  <conditionalFormatting sqref="P36:P37">
    <cfRule type="cellIs" dxfId="435" priority="27" operator="equal">
      <formula>"Nok"</formula>
    </cfRule>
    <cfRule type="cellIs" dxfId="434" priority="28" operator="equal">
      <formula>"Ok"</formula>
    </cfRule>
  </conditionalFormatting>
  <conditionalFormatting sqref="P38">
    <cfRule type="cellIs" dxfId="433" priority="25" operator="equal">
      <formula>"Nok"</formula>
    </cfRule>
    <cfRule type="cellIs" dxfId="432" priority="26" operator="equal">
      <formula>"Ok"</formula>
    </cfRule>
  </conditionalFormatting>
  <conditionalFormatting sqref="P39">
    <cfRule type="cellIs" dxfId="431" priority="23" operator="equal">
      <formula>"Nok"</formula>
    </cfRule>
    <cfRule type="cellIs" dxfId="430" priority="24" operator="equal">
      <formula>"Ok"</formula>
    </cfRule>
  </conditionalFormatting>
  <conditionalFormatting sqref="P40">
    <cfRule type="cellIs" dxfId="429" priority="21" operator="equal">
      <formula>"Nok"</formula>
    </cfRule>
    <cfRule type="cellIs" dxfId="428" priority="22" operator="equal">
      <formula>"Ok"</formula>
    </cfRule>
  </conditionalFormatting>
  <conditionalFormatting sqref="P41">
    <cfRule type="cellIs" dxfId="427" priority="19" operator="equal">
      <formula>"Nok"</formula>
    </cfRule>
    <cfRule type="cellIs" dxfId="426" priority="20" operator="equal">
      <formula>"Ok"</formula>
    </cfRule>
  </conditionalFormatting>
  <conditionalFormatting sqref="P42">
    <cfRule type="cellIs" dxfId="425" priority="17" operator="equal">
      <formula>"Nok"</formula>
    </cfRule>
    <cfRule type="cellIs" dxfId="424" priority="18" operator="equal">
      <formula>"Ok"</formula>
    </cfRule>
  </conditionalFormatting>
  <conditionalFormatting sqref="P43">
    <cfRule type="cellIs" dxfId="423" priority="15" operator="equal">
      <formula>"Nok"</formula>
    </cfRule>
    <cfRule type="cellIs" dxfId="422" priority="16" operator="equal">
      <formula>"Ok"</formula>
    </cfRule>
  </conditionalFormatting>
  <conditionalFormatting sqref="P44">
    <cfRule type="cellIs" dxfId="421" priority="13" operator="equal">
      <formula>"Nok"</formula>
    </cfRule>
    <cfRule type="cellIs" dxfId="420" priority="14" operator="equal">
      <formula>"Ok"</formula>
    </cfRule>
  </conditionalFormatting>
  <conditionalFormatting sqref="P45">
    <cfRule type="cellIs" dxfId="419" priority="11" operator="equal">
      <formula>"Nok"</formula>
    </cfRule>
    <cfRule type="cellIs" dxfId="418" priority="12" operator="equal">
      <formula>"Ok"</formula>
    </cfRule>
  </conditionalFormatting>
  <conditionalFormatting sqref="P46">
    <cfRule type="cellIs" dxfId="417" priority="9" operator="equal">
      <formula>"Nok"</formula>
    </cfRule>
    <cfRule type="cellIs" dxfId="416" priority="10" operator="equal">
      <formula>"Ok"</formula>
    </cfRule>
  </conditionalFormatting>
  <conditionalFormatting sqref="P47">
    <cfRule type="cellIs" dxfId="415" priority="7" operator="equal">
      <formula>"Nok"</formula>
    </cfRule>
    <cfRule type="cellIs" dxfId="414" priority="8" operator="equal">
      <formula>"Ok"</formula>
    </cfRule>
  </conditionalFormatting>
  <conditionalFormatting sqref="P48">
    <cfRule type="cellIs" dxfId="413" priority="5" operator="equal">
      <formula>"Nok"</formula>
    </cfRule>
    <cfRule type="cellIs" dxfId="412" priority="6" operator="equal">
      <formula>"Ok"</formula>
    </cfRule>
  </conditionalFormatting>
  <conditionalFormatting sqref="P49">
    <cfRule type="cellIs" dxfId="411" priority="3" operator="equal">
      <formula>"Nok"</formula>
    </cfRule>
    <cfRule type="cellIs" dxfId="410" priority="4" operator="equal">
      <formula>"Ok"</formula>
    </cfRule>
  </conditionalFormatting>
  <conditionalFormatting sqref="P50">
    <cfRule type="cellIs" dxfId="409" priority="1" operator="equal">
      <formula>"Nok"</formula>
    </cfRule>
    <cfRule type="cellIs" dxfId="408"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14" sqref="I14"/>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183</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280</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184</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t="s">
        <v>274</v>
      </c>
      <c r="C22" s="226"/>
      <c r="D22" s="226"/>
      <c r="E22" s="226"/>
      <c r="F22" s="226"/>
      <c r="G22" s="227"/>
      <c r="H22" s="221"/>
      <c r="I22" s="221"/>
      <c r="J22" s="221"/>
      <c r="K22" s="221"/>
      <c r="L22" s="221" t="s">
        <v>275</v>
      </c>
      <c r="M22" s="221"/>
      <c r="N22" s="221"/>
      <c r="O22" s="221"/>
      <c r="P22" s="93" t="s">
        <v>143</v>
      </c>
    </row>
    <row r="23" spans="1:16" ht="42.75" customHeight="1" thickBot="1" x14ac:dyDescent="0.25">
      <c r="A23" s="99" t="s">
        <v>51</v>
      </c>
      <c r="B23" s="225" t="s">
        <v>276</v>
      </c>
      <c r="C23" s="226"/>
      <c r="D23" s="226"/>
      <c r="E23" s="226"/>
      <c r="F23" s="226"/>
      <c r="G23" s="227"/>
      <c r="H23" s="221"/>
      <c r="I23" s="221"/>
      <c r="J23" s="221"/>
      <c r="K23" s="221"/>
      <c r="L23" s="221" t="s">
        <v>275</v>
      </c>
      <c r="M23" s="221"/>
      <c r="N23" s="221"/>
      <c r="O23" s="221"/>
      <c r="P23" s="93" t="s">
        <v>143</v>
      </c>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407" priority="33" operator="equal">
      <formula>"Nok"</formula>
    </cfRule>
    <cfRule type="cellIs" dxfId="406" priority="34" operator="equal">
      <formula>"Ok"</formula>
    </cfRule>
  </conditionalFormatting>
  <conditionalFormatting sqref="P22:P30">
    <cfRule type="cellIs" dxfId="405" priority="31" operator="equal">
      <formula>"Nok"</formula>
    </cfRule>
    <cfRule type="cellIs" dxfId="404" priority="32" operator="equal">
      <formula>"Ok"</formula>
    </cfRule>
  </conditionalFormatting>
  <conditionalFormatting sqref="P31:P35">
    <cfRule type="cellIs" dxfId="403" priority="29" operator="equal">
      <formula>"Nok"</formula>
    </cfRule>
    <cfRule type="cellIs" dxfId="402" priority="30" operator="equal">
      <formula>"Ok"</formula>
    </cfRule>
  </conditionalFormatting>
  <conditionalFormatting sqref="P36:P37">
    <cfRule type="cellIs" dxfId="401" priority="27" operator="equal">
      <formula>"Nok"</formula>
    </cfRule>
    <cfRule type="cellIs" dxfId="400" priority="28" operator="equal">
      <formula>"Ok"</formula>
    </cfRule>
  </conditionalFormatting>
  <conditionalFormatting sqref="P38">
    <cfRule type="cellIs" dxfId="399" priority="25" operator="equal">
      <formula>"Nok"</formula>
    </cfRule>
    <cfRule type="cellIs" dxfId="398" priority="26" operator="equal">
      <formula>"Ok"</formula>
    </cfRule>
  </conditionalFormatting>
  <conditionalFormatting sqref="P39">
    <cfRule type="cellIs" dxfId="397" priority="23" operator="equal">
      <formula>"Nok"</formula>
    </cfRule>
    <cfRule type="cellIs" dxfId="396" priority="24" operator="equal">
      <formula>"Ok"</formula>
    </cfRule>
  </conditionalFormatting>
  <conditionalFormatting sqref="P40">
    <cfRule type="cellIs" dxfId="395" priority="21" operator="equal">
      <formula>"Nok"</formula>
    </cfRule>
    <cfRule type="cellIs" dxfId="394" priority="22" operator="equal">
      <formula>"Ok"</formula>
    </cfRule>
  </conditionalFormatting>
  <conditionalFormatting sqref="P41">
    <cfRule type="cellIs" dxfId="393" priority="19" operator="equal">
      <formula>"Nok"</formula>
    </cfRule>
    <cfRule type="cellIs" dxfId="392" priority="20" operator="equal">
      <formula>"Ok"</formula>
    </cfRule>
  </conditionalFormatting>
  <conditionalFormatting sqref="P42">
    <cfRule type="cellIs" dxfId="391" priority="17" operator="equal">
      <formula>"Nok"</formula>
    </cfRule>
    <cfRule type="cellIs" dxfId="390" priority="18" operator="equal">
      <formula>"Ok"</formula>
    </cfRule>
  </conditionalFormatting>
  <conditionalFormatting sqref="P43">
    <cfRule type="cellIs" dxfId="389" priority="15" operator="equal">
      <formula>"Nok"</formula>
    </cfRule>
    <cfRule type="cellIs" dxfId="388" priority="16" operator="equal">
      <formula>"Ok"</formula>
    </cfRule>
  </conditionalFormatting>
  <conditionalFormatting sqref="P44">
    <cfRule type="cellIs" dxfId="387" priority="13" operator="equal">
      <formula>"Nok"</formula>
    </cfRule>
    <cfRule type="cellIs" dxfId="386" priority="14" operator="equal">
      <formula>"Ok"</formula>
    </cfRule>
  </conditionalFormatting>
  <conditionalFormatting sqref="P45">
    <cfRule type="cellIs" dxfId="385" priority="11" operator="equal">
      <formula>"Nok"</formula>
    </cfRule>
    <cfRule type="cellIs" dxfId="384" priority="12" operator="equal">
      <formula>"Ok"</formula>
    </cfRule>
  </conditionalFormatting>
  <conditionalFormatting sqref="P46">
    <cfRule type="cellIs" dxfId="383" priority="9" operator="equal">
      <formula>"Nok"</formula>
    </cfRule>
    <cfRule type="cellIs" dxfId="382" priority="10" operator="equal">
      <formula>"Ok"</formula>
    </cfRule>
  </conditionalFormatting>
  <conditionalFormatting sqref="P47">
    <cfRule type="cellIs" dxfId="381" priority="7" operator="equal">
      <formula>"Nok"</formula>
    </cfRule>
    <cfRule type="cellIs" dxfId="380" priority="8" operator="equal">
      <formula>"Ok"</formula>
    </cfRule>
  </conditionalFormatting>
  <conditionalFormatting sqref="P48">
    <cfRule type="cellIs" dxfId="379" priority="5" operator="equal">
      <formula>"Nok"</formula>
    </cfRule>
    <cfRule type="cellIs" dxfId="378" priority="6" operator="equal">
      <formula>"Ok"</formula>
    </cfRule>
  </conditionalFormatting>
  <conditionalFormatting sqref="P49">
    <cfRule type="cellIs" dxfId="377" priority="3" operator="equal">
      <formula>"Nok"</formula>
    </cfRule>
    <cfRule type="cellIs" dxfId="376" priority="4" operator="equal">
      <formula>"Ok"</formula>
    </cfRule>
  </conditionalFormatting>
  <conditionalFormatting sqref="P50">
    <cfRule type="cellIs" dxfId="375" priority="1" operator="equal">
      <formula>"Nok"</formula>
    </cfRule>
    <cfRule type="cellIs" dxfId="374"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7" sqref="J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185</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279</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184</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t="s">
        <v>277</v>
      </c>
      <c r="C22" s="226"/>
      <c r="D22" s="226"/>
      <c r="E22" s="226"/>
      <c r="F22" s="226"/>
      <c r="G22" s="227"/>
      <c r="H22" s="221"/>
      <c r="I22" s="221"/>
      <c r="J22" s="221"/>
      <c r="K22" s="221"/>
      <c r="L22" s="221" t="s">
        <v>278</v>
      </c>
      <c r="M22" s="221"/>
      <c r="N22" s="221"/>
      <c r="O22" s="221"/>
      <c r="P22" s="93" t="s">
        <v>144</v>
      </c>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73" priority="33" operator="equal">
      <formula>"Nok"</formula>
    </cfRule>
    <cfRule type="cellIs" dxfId="372" priority="34" operator="equal">
      <formula>"Ok"</formula>
    </cfRule>
  </conditionalFormatting>
  <conditionalFormatting sqref="P22:P30">
    <cfRule type="cellIs" dxfId="371" priority="31" operator="equal">
      <formula>"Nok"</formula>
    </cfRule>
    <cfRule type="cellIs" dxfId="370" priority="32" operator="equal">
      <formula>"Ok"</formula>
    </cfRule>
  </conditionalFormatting>
  <conditionalFormatting sqref="P31:P35">
    <cfRule type="cellIs" dxfId="369" priority="29" operator="equal">
      <formula>"Nok"</formula>
    </cfRule>
    <cfRule type="cellIs" dxfId="368" priority="30" operator="equal">
      <formula>"Ok"</formula>
    </cfRule>
  </conditionalFormatting>
  <conditionalFormatting sqref="P36:P37">
    <cfRule type="cellIs" dxfId="367" priority="27" operator="equal">
      <formula>"Nok"</formula>
    </cfRule>
    <cfRule type="cellIs" dxfId="366" priority="28" operator="equal">
      <formula>"Ok"</formula>
    </cfRule>
  </conditionalFormatting>
  <conditionalFormatting sqref="P38">
    <cfRule type="cellIs" dxfId="365" priority="25" operator="equal">
      <formula>"Nok"</formula>
    </cfRule>
    <cfRule type="cellIs" dxfId="364" priority="26" operator="equal">
      <formula>"Ok"</formula>
    </cfRule>
  </conditionalFormatting>
  <conditionalFormatting sqref="P39">
    <cfRule type="cellIs" dxfId="363" priority="23" operator="equal">
      <formula>"Nok"</formula>
    </cfRule>
    <cfRule type="cellIs" dxfId="362" priority="24" operator="equal">
      <formula>"Ok"</formula>
    </cfRule>
  </conditionalFormatting>
  <conditionalFormatting sqref="P40">
    <cfRule type="cellIs" dxfId="361" priority="21" operator="equal">
      <formula>"Nok"</formula>
    </cfRule>
    <cfRule type="cellIs" dxfId="360" priority="22" operator="equal">
      <formula>"Ok"</formula>
    </cfRule>
  </conditionalFormatting>
  <conditionalFormatting sqref="P41">
    <cfRule type="cellIs" dxfId="359" priority="19" operator="equal">
      <formula>"Nok"</formula>
    </cfRule>
    <cfRule type="cellIs" dxfId="358" priority="20" operator="equal">
      <formula>"Ok"</formula>
    </cfRule>
  </conditionalFormatting>
  <conditionalFormatting sqref="P42">
    <cfRule type="cellIs" dxfId="357" priority="17" operator="equal">
      <formula>"Nok"</formula>
    </cfRule>
    <cfRule type="cellIs" dxfId="356" priority="18" operator="equal">
      <formula>"Ok"</formula>
    </cfRule>
  </conditionalFormatting>
  <conditionalFormatting sqref="P43">
    <cfRule type="cellIs" dxfId="355" priority="15" operator="equal">
      <formula>"Nok"</formula>
    </cfRule>
    <cfRule type="cellIs" dxfId="354" priority="16" operator="equal">
      <formula>"Ok"</formula>
    </cfRule>
  </conditionalFormatting>
  <conditionalFormatting sqref="P44">
    <cfRule type="cellIs" dxfId="353" priority="13" operator="equal">
      <formula>"Nok"</formula>
    </cfRule>
    <cfRule type="cellIs" dxfId="352" priority="14" operator="equal">
      <formula>"Ok"</formula>
    </cfRule>
  </conditionalFormatting>
  <conditionalFormatting sqref="P45">
    <cfRule type="cellIs" dxfId="351" priority="11" operator="equal">
      <formula>"Nok"</formula>
    </cfRule>
    <cfRule type="cellIs" dxfId="350" priority="12" operator="equal">
      <formula>"Ok"</formula>
    </cfRule>
  </conditionalFormatting>
  <conditionalFormatting sqref="P46">
    <cfRule type="cellIs" dxfId="349" priority="9" operator="equal">
      <formula>"Nok"</formula>
    </cfRule>
    <cfRule type="cellIs" dxfId="348" priority="10" operator="equal">
      <formula>"Ok"</formula>
    </cfRule>
  </conditionalFormatting>
  <conditionalFormatting sqref="P47">
    <cfRule type="cellIs" dxfId="347" priority="7" operator="equal">
      <formula>"Nok"</formula>
    </cfRule>
    <cfRule type="cellIs" dxfId="346" priority="8" operator="equal">
      <formula>"Ok"</formula>
    </cfRule>
  </conditionalFormatting>
  <conditionalFormatting sqref="P48">
    <cfRule type="cellIs" dxfId="345" priority="5" operator="equal">
      <formula>"Nok"</formula>
    </cfRule>
    <cfRule type="cellIs" dxfId="344" priority="6" operator="equal">
      <formula>"Ok"</formula>
    </cfRule>
  </conditionalFormatting>
  <conditionalFormatting sqref="P49">
    <cfRule type="cellIs" dxfId="343" priority="3" operator="equal">
      <formula>"Nok"</formula>
    </cfRule>
    <cfRule type="cellIs" dxfId="342" priority="4" operator="equal">
      <formula>"Ok"</formula>
    </cfRule>
  </conditionalFormatting>
  <conditionalFormatting sqref="P50">
    <cfRule type="cellIs" dxfId="341" priority="1" operator="equal">
      <formula>"Nok"</formula>
    </cfRule>
    <cfRule type="cellIs" dxfId="340"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J12" sqref="J12"/>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187</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t="s">
        <v>284</v>
      </c>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t="s">
        <v>281</v>
      </c>
      <c r="C22" s="226"/>
      <c r="D22" s="226"/>
      <c r="E22" s="226"/>
      <c r="F22" s="226"/>
      <c r="G22" s="227"/>
      <c r="H22" s="221"/>
      <c r="I22" s="221"/>
      <c r="J22" s="221"/>
      <c r="K22" s="221"/>
      <c r="L22" s="221" t="s">
        <v>282</v>
      </c>
      <c r="M22" s="221"/>
      <c r="N22" s="221"/>
      <c r="O22" s="221"/>
      <c r="P22" s="93" t="s">
        <v>143</v>
      </c>
    </row>
    <row r="23" spans="1:16" ht="42.75" customHeight="1" thickBot="1" x14ac:dyDescent="0.25">
      <c r="A23" s="99" t="s">
        <v>51</v>
      </c>
      <c r="B23" s="225" t="s">
        <v>283</v>
      </c>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39" priority="33" operator="equal">
      <formula>"Nok"</formula>
    </cfRule>
    <cfRule type="cellIs" dxfId="338" priority="34" operator="equal">
      <formula>"Ok"</formula>
    </cfRule>
  </conditionalFormatting>
  <conditionalFormatting sqref="P22:P30">
    <cfRule type="cellIs" dxfId="337" priority="31" operator="equal">
      <formula>"Nok"</formula>
    </cfRule>
    <cfRule type="cellIs" dxfId="336" priority="32" operator="equal">
      <formula>"Ok"</formula>
    </cfRule>
  </conditionalFormatting>
  <conditionalFormatting sqref="P31:P35">
    <cfRule type="cellIs" dxfId="335" priority="29" operator="equal">
      <formula>"Nok"</formula>
    </cfRule>
    <cfRule type="cellIs" dxfId="334" priority="30" operator="equal">
      <formula>"Ok"</formula>
    </cfRule>
  </conditionalFormatting>
  <conditionalFormatting sqref="P36:P37">
    <cfRule type="cellIs" dxfId="333" priority="27" operator="equal">
      <formula>"Nok"</formula>
    </cfRule>
    <cfRule type="cellIs" dxfId="332" priority="28" operator="equal">
      <formula>"Ok"</formula>
    </cfRule>
  </conditionalFormatting>
  <conditionalFormatting sqref="P38">
    <cfRule type="cellIs" dxfId="331" priority="25" operator="equal">
      <formula>"Nok"</formula>
    </cfRule>
    <cfRule type="cellIs" dxfId="330" priority="26" operator="equal">
      <formula>"Ok"</formula>
    </cfRule>
  </conditionalFormatting>
  <conditionalFormatting sqref="P39">
    <cfRule type="cellIs" dxfId="329" priority="23" operator="equal">
      <formula>"Nok"</formula>
    </cfRule>
    <cfRule type="cellIs" dxfId="328" priority="24" operator="equal">
      <formula>"Ok"</formula>
    </cfRule>
  </conditionalFormatting>
  <conditionalFormatting sqref="P40">
    <cfRule type="cellIs" dxfId="327" priority="21" operator="equal">
      <formula>"Nok"</formula>
    </cfRule>
    <cfRule type="cellIs" dxfId="326" priority="22" operator="equal">
      <formula>"Ok"</formula>
    </cfRule>
  </conditionalFormatting>
  <conditionalFormatting sqref="P41">
    <cfRule type="cellIs" dxfId="325" priority="19" operator="equal">
      <formula>"Nok"</formula>
    </cfRule>
    <cfRule type="cellIs" dxfId="324" priority="20" operator="equal">
      <formula>"Ok"</formula>
    </cfRule>
  </conditionalFormatting>
  <conditionalFormatting sqref="P42">
    <cfRule type="cellIs" dxfId="323" priority="17" operator="equal">
      <formula>"Nok"</formula>
    </cfRule>
    <cfRule type="cellIs" dxfId="322" priority="18" operator="equal">
      <formula>"Ok"</formula>
    </cfRule>
  </conditionalFormatting>
  <conditionalFormatting sqref="P43">
    <cfRule type="cellIs" dxfId="321" priority="15" operator="equal">
      <formula>"Nok"</formula>
    </cfRule>
    <cfRule type="cellIs" dxfId="320" priority="16" operator="equal">
      <formula>"Ok"</formula>
    </cfRule>
  </conditionalFormatting>
  <conditionalFormatting sqref="P44">
    <cfRule type="cellIs" dxfId="319" priority="13" operator="equal">
      <formula>"Nok"</formula>
    </cfRule>
    <cfRule type="cellIs" dxfId="318" priority="14" operator="equal">
      <formula>"Ok"</formula>
    </cfRule>
  </conditionalFormatting>
  <conditionalFormatting sqref="P45">
    <cfRule type="cellIs" dxfId="317" priority="11" operator="equal">
      <formula>"Nok"</formula>
    </cfRule>
    <cfRule type="cellIs" dxfId="316" priority="12" operator="equal">
      <formula>"Ok"</formula>
    </cfRule>
  </conditionalFormatting>
  <conditionalFormatting sqref="P46">
    <cfRule type="cellIs" dxfId="315" priority="9" operator="equal">
      <formula>"Nok"</formula>
    </cfRule>
    <cfRule type="cellIs" dxfId="314" priority="10" operator="equal">
      <formula>"Ok"</formula>
    </cfRule>
  </conditionalFormatting>
  <conditionalFormatting sqref="P47">
    <cfRule type="cellIs" dxfId="313" priority="7" operator="equal">
      <formula>"Nok"</formula>
    </cfRule>
    <cfRule type="cellIs" dxfId="312" priority="8" operator="equal">
      <formula>"Ok"</formula>
    </cfRule>
  </conditionalFormatting>
  <conditionalFormatting sqref="P48">
    <cfRule type="cellIs" dxfId="311" priority="5" operator="equal">
      <formula>"Nok"</formula>
    </cfRule>
    <cfRule type="cellIs" dxfId="310" priority="6" operator="equal">
      <formula>"Ok"</formula>
    </cfRule>
  </conditionalFormatting>
  <conditionalFormatting sqref="P49">
    <cfRule type="cellIs" dxfId="309" priority="3" operator="equal">
      <formula>"Nok"</formula>
    </cfRule>
    <cfRule type="cellIs" dxfId="308" priority="4" operator="equal">
      <formula>"Ok"</formula>
    </cfRule>
  </conditionalFormatting>
  <conditionalFormatting sqref="P50">
    <cfRule type="cellIs" dxfId="307" priority="1" operator="equal">
      <formula>"Nok"</formula>
    </cfRule>
    <cfRule type="cellIs" dxfId="306"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8" sqref="I8"/>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188</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186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05" priority="33" operator="equal">
      <formula>"Nok"</formula>
    </cfRule>
    <cfRule type="cellIs" dxfId="304" priority="34" operator="equal">
      <formula>"Ok"</formula>
    </cfRule>
  </conditionalFormatting>
  <conditionalFormatting sqref="P22:P30">
    <cfRule type="cellIs" dxfId="303" priority="31" operator="equal">
      <formula>"Nok"</formula>
    </cfRule>
    <cfRule type="cellIs" dxfId="302" priority="32" operator="equal">
      <formula>"Ok"</formula>
    </cfRule>
  </conditionalFormatting>
  <conditionalFormatting sqref="P31:P35">
    <cfRule type="cellIs" dxfId="301" priority="29" operator="equal">
      <formula>"Nok"</formula>
    </cfRule>
    <cfRule type="cellIs" dxfId="300" priority="30" operator="equal">
      <formula>"Ok"</formula>
    </cfRule>
  </conditionalFormatting>
  <conditionalFormatting sqref="P36:P37">
    <cfRule type="cellIs" dxfId="299" priority="27" operator="equal">
      <formula>"Nok"</formula>
    </cfRule>
    <cfRule type="cellIs" dxfId="298" priority="28" operator="equal">
      <formula>"Ok"</formula>
    </cfRule>
  </conditionalFormatting>
  <conditionalFormatting sqref="P38">
    <cfRule type="cellIs" dxfId="297" priority="25" operator="equal">
      <formula>"Nok"</formula>
    </cfRule>
    <cfRule type="cellIs" dxfId="296" priority="26" operator="equal">
      <formula>"Ok"</formula>
    </cfRule>
  </conditionalFormatting>
  <conditionalFormatting sqref="P39">
    <cfRule type="cellIs" dxfId="295" priority="23" operator="equal">
      <formula>"Nok"</formula>
    </cfRule>
    <cfRule type="cellIs" dxfId="294" priority="24" operator="equal">
      <formula>"Ok"</formula>
    </cfRule>
  </conditionalFormatting>
  <conditionalFormatting sqref="P40">
    <cfRule type="cellIs" dxfId="293" priority="21" operator="equal">
      <formula>"Nok"</formula>
    </cfRule>
    <cfRule type="cellIs" dxfId="292" priority="22" operator="equal">
      <formula>"Ok"</formula>
    </cfRule>
  </conditionalFormatting>
  <conditionalFormatting sqref="P41">
    <cfRule type="cellIs" dxfId="291" priority="19" operator="equal">
      <formula>"Nok"</formula>
    </cfRule>
    <cfRule type="cellIs" dxfId="290" priority="20" operator="equal">
      <formula>"Ok"</formula>
    </cfRule>
  </conditionalFormatting>
  <conditionalFormatting sqref="P42">
    <cfRule type="cellIs" dxfId="289" priority="17" operator="equal">
      <formula>"Nok"</formula>
    </cfRule>
    <cfRule type="cellIs" dxfId="288" priority="18" operator="equal">
      <formula>"Ok"</formula>
    </cfRule>
  </conditionalFormatting>
  <conditionalFormatting sqref="P43">
    <cfRule type="cellIs" dxfId="287" priority="15" operator="equal">
      <formula>"Nok"</formula>
    </cfRule>
    <cfRule type="cellIs" dxfId="286" priority="16" operator="equal">
      <formula>"Ok"</formula>
    </cfRule>
  </conditionalFormatting>
  <conditionalFormatting sqref="P44">
    <cfRule type="cellIs" dxfId="285" priority="13" operator="equal">
      <formula>"Nok"</formula>
    </cfRule>
    <cfRule type="cellIs" dxfId="284" priority="14" operator="equal">
      <formula>"Ok"</formula>
    </cfRule>
  </conditionalFormatting>
  <conditionalFormatting sqref="P45">
    <cfRule type="cellIs" dxfId="283" priority="11" operator="equal">
      <formula>"Nok"</formula>
    </cfRule>
    <cfRule type="cellIs" dxfId="282" priority="12" operator="equal">
      <formula>"Ok"</formula>
    </cfRule>
  </conditionalFormatting>
  <conditionalFormatting sqref="P46">
    <cfRule type="cellIs" dxfId="281" priority="9" operator="equal">
      <formula>"Nok"</formula>
    </cfRule>
    <cfRule type="cellIs" dxfId="280" priority="10" operator="equal">
      <formula>"Ok"</formula>
    </cfRule>
  </conditionalFormatting>
  <conditionalFormatting sqref="P47">
    <cfRule type="cellIs" dxfId="279" priority="7" operator="equal">
      <formula>"Nok"</formula>
    </cfRule>
    <cfRule type="cellIs" dxfId="278" priority="8" operator="equal">
      <formula>"Ok"</formula>
    </cfRule>
  </conditionalFormatting>
  <conditionalFormatting sqref="P48">
    <cfRule type="cellIs" dxfId="277" priority="5" operator="equal">
      <formula>"Nok"</formula>
    </cfRule>
    <cfRule type="cellIs" dxfId="276" priority="6" operator="equal">
      <formula>"Ok"</formula>
    </cfRule>
  </conditionalFormatting>
  <conditionalFormatting sqref="P49">
    <cfRule type="cellIs" dxfId="275" priority="3" operator="equal">
      <formula>"Nok"</formula>
    </cfRule>
    <cfRule type="cellIs" dxfId="274" priority="4" operator="equal">
      <formula>"Ok"</formula>
    </cfRule>
  </conditionalFormatting>
  <conditionalFormatting sqref="P50">
    <cfRule type="cellIs" dxfId="273" priority="1" operator="equal">
      <formula>"Nok"</formula>
    </cfRule>
    <cfRule type="cellIs" dxfId="272"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7" sqref="B7:G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189</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190</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271" priority="33" operator="equal">
      <formula>"Nok"</formula>
    </cfRule>
    <cfRule type="cellIs" dxfId="270" priority="34" operator="equal">
      <formula>"Ok"</formula>
    </cfRule>
  </conditionalFormatting>
  <conditionalFormatting sqref="P22:P30">
    <cfRule type="cellIs" dxfId="269" priority="31" operator="equal">
      <formula>"Nok"</formula>
    </cfRule>
    <cfRule type="cellIs" dxfId="268" priority="32" operator="equal">
      <formula>"Ok"</formula>
    </cfRule>
  </conditionalFormatting>
  <conditionalFormatting sqref="P31:P35">
    <cfRule type="cellIs" dxfId="267" priority="29" operator="equal">
      <formula>"Nok"</formula>
    </cfRule>
    <cfRule type="cellIs" dxfId="266" priority="30" operator="equal">
      <formula>"Ok"</formula>
    </cfRule>
  </conditionalFormatting>
  <conditionalFormatting sqref="P36:P37">
    <cfRule type="cellIs" dxfId="265" priority="27" operator="equal">
      <formula>"Nok"</formula>
    </cfRule>
    <cfRule type="cellIs" dxfId="264" priority="28" operator="equal">
      <formula>"Ok"</formula>
    </cfRule>
  </conditionalFormatting>
  <conditionalFormatting sqref="P38">
    <cfRule type="cellIs" dxfId="263" priority="25" operator="equal">
      <formula>"Nok"</formula>
    </cfRule>
    <cfRule type="cellIs" dxfId="262" priority="26" operator="equal">
      <formula>"Ok"</formula>
    </cfRule>
  </conditionalFormatting>
  <conditionalFormatting sqref="P39">
    <cfRule type="cellIs" dxfId="261" priority="23" operator="equal">
      <formula>"Nok"</formula>
    </cfRule>
    <cfRule type="cellIs" dxfId="260" priority="24" operator="equal">
      <formula>"Ok"</formula>
    </cfRule>
  </conditionalFormatting>
  <conditionalFormatting sqref="P40">
    <cfRule type="cellIs" dxfId="259" priority="21" operator="equal">
      <formula>"Nok"</formula>
    </cfRule>
    <cfRule type="cellIs" dxfId="258" priority="22" operator="equal">
      <formula>"Ok"</formula>
    </cfRule>
  </conditionalFormatting>
  <conditionalFormatting sqref="P41">
    <cfRule type="cellIs" dxfId="257" priority="19" operator="equal">
      <formula>"Nok"</formula>
    </cfRule>
    <cfRule type="cellIs" dxfId="256" priority="20" operator="equal">
      <formula>"Ok"</formula>
    </cfRule>
  </conditionalFormatting>
  <conditionalFormatting sqref="P42">
    <cfRule type="cellIs" dxfId="255" priority="17" operator="equal">
      <formula>"Nok"</formula>
    </cfRule>
    <cfRule type="cellIs" dxfId="254" priority="18" operator="equal">
      <formula>"Ok"</formula>
    </cfRule>
  </conditionalFormatting>
  <conditionalFormatting sqref="P43">
    <cfRule type="cellIs" dxfId="253" priority="15" operator="equal">
      <formula>"Nok"</formula>
    </cfRule>
    <cfRule type="cellIs" dxfId="252" priority="16" operator="equal">
      <formula>"Ok"</formula>
    </cfRule>
  </conditionalFormatting>
  <conditionalFormatting sqref="P44">
    <cfRule type="cellIs" dxfId="251" priority="13" operator="equal">
      <formula>"Nok"</formula>
    </cfRule>
    <cfRule type="cellIs" dxfId="250" priority="14" operator="equal">
      <formula>"Ok"</formula>
    </cfRule>
  </conditionalFormatting>
  <conditionalFormatting sqref="P45">
    <cfRule type="cellIs" dxfId="249" priority="11" operator="equal">
      <formula>"Nok"</formula>
    </cfRule>
    <cfRule type="cellIs" dxfId="248" priority="12" operator="equal">
      <formula>"Ok"</formula>
    </cfRule>
  </conditionalFormatting>
  <conditionalFormatting sqref="P46">
    <cfRule type="cellIs" dxfId="247" priority="9" operator="equal">
      <formula>"Nok"</formula>
    </cfRule>
    <cfRule type="cellIs" dxfId="246" priority="10" operator="equal">
      <formula>"Ok"</formula>
    </cfRule>
  </conditionalFormatting>
  <conditionalFormatting sqref="P47">
    <cfRule type="cellIs" dxfId="245" priority="7" operator="equal">
      <formula>"Nok"</formula>
    </cfRule>
    <cfRule type="cellIs" dxfId="244" priority="8" operator="equal">
      <formula>"Ok"</formula>
    </cfRule>
  </conditionalFormatting>
  <conditionalFormatting sqref="P48">
    <cfRule type="cellIs" dxfId="243" priority="5" operator="equal">
      <formula>"Nok"</formula>
    </cfRule>
    <cfRule type="cellIs" dxfId="242" priority="6" operator="equal">
      <formula>"Ok"</formula>
    </cfRule>
  </conditionalFormatting>
  <conditionalFormatting sqref="P49">
    <cfRule type="cellIs" dxfId="241" priority="3" operator="equal">
      <formula>"Nok"</formula>
    </cfRule>
    <cfRule type="cellIs" dxfId="240" priority="4" operator="equal">
      <formula>"Ok"</formula>
    </cfRule>
  </conditionalFormatting>
  <conditionalFormatting sqref="P50">
    <cfRule type="cellIs" dxfId="239" priority="1" operator="equal">
      <formula>"Nok"</formula>
    </cfRule>
    <cfRule type="cellIs" dxfId="238"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H14" sqref="H14"/>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191</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190</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237" priority="33" operator="equal">
      <formula>"Nok"</formula>
    </cfRule>
    <cfRule type="cellIs" dxfId="236" priority="34" operator="equal">
      <formula>"Ok"</formula>
    </cfRule>
  </conditionalFormatting>
  <conditionalFormatting sqref="P22:P30">
    <cfRule type="cellIs" dxfId="235" priority="31" operator="equal">
      <formula>"Nok"</formula>
    </cfRule>
    <cfRule type="cellIs" dxfId="234" priority="32" operator="equal">
      <formula>"Ok"</formula>
    </cfRule>
  </conditionalFormatting>
  <conditionalFormatting sqref="P31:P35">
    <cfRule type="cellIs" dxfId="233" priority="29" operator="equal">
      <formula>"Nok"</formula>
    </cfRule>
    <cfRule type="cellIs" dxfId="232" priority="30" operator="equal">
      <formula>"Ok"</formula>
    </cfRule>
  </conditionalFormatting>
  <conditionalFormatting sqref="P36:P37">
    <cfRule type="cellIs" dxfId="231" priority="27" operator="equal">
      <formula>"Nok"</formula>
    </cfRule>
    <cfRule type="cellIs" dxfId="230" priority="28" operator="equal">
      <formula>"Ok"</formula>
    </cfRule>
  </conditionalFormatting>
  <conditionalFormatting sqref="P38">
    <cfRule type="cellIs" dxfId="229" priority="25" operator="equal">
      <formula>"Nok"</formula>
    </cfRule>
    <cfRule type="cellIs" dxfId="228" priority="26" operator="equal">
      <formula>"Ok"</formula>
    </cfRule>
  </conditionalFormatting>
  <conditionalFormatting sqref="P39">
    <cfRule type="cellIs" dxfId="227" priority="23" operator="equal">
      <formula>"Nok"</formula>
    </cfRule>
    <cfRule type="cellIs" dxfId="226" priority="24" operator="equal">
      <formula>"Ok"</formula>
    </cfRule>
  </conditionalFormatting>
  <conditionalFormatting sqref="P40">
    <cfRule type="cellIs" dxfId="225" priority="21" operator="equal">
      <formula>"Nok"</formula>
    </cfRule>
    <cfRule type="cellIs" dxfId="224" priority="22" operator="equal">
      <formula>"Ok"</formula>
    </cfRule>
  </conditionalFormatting>
  <conditionalFormatting sqref="P41">
    <cfRule type="cellIs" dxfId="223" priority="19" operator="equal">
      <formula>"Nok"</formula>
    </cfRule>
    <cfRule type="cellIs" dxfId="222" priority="20" operator="equal">
      <formula>"Ok"</formula>
    </cfRule>
  </conditionalFormatting>
  <conditionalFormatting sqref="P42">
    <cfRule type="cellIs" dxfId="221" priority="17" operator="equal">
      <formula>"Nok"</formula>
    </cfRule>
    <cfRule type="cellIs" dxfId="220" priority="18" operator="equal">
      <formula>"Ok"</formula>
    </cfRule>
  </conditionalFormatting>
  <conditionalFormatting sqref="P43">
    <cfRule type="cellIs" dxfId="219" priority="15" operator="equal">
      <formula>"Nok"</formula>
    </cfRule>
    <cfRule type="cellIs" dxfId="218" priority="16" operator="equal">
      <formula>"Ok"</formula>
    </cfRule>
  </conditionalFormatting>
  <conditionalFormatting sqref="P44">
    <cfRule type="cellIs" dxfId="217" priority="13" operator="equal">
      <formula>"Nok"</formula>
    </cfRule>
    <cfRule type="cellIs" dxfId="216" priority="14" operator="equal">
      <formula>"Ok"</formula>
    </cfRule>
  </conditionalFormatting>
  <conditionalFormatting sqref="P45">
    <cfRule type="cellIs" dxfId="215" priority="11" operator="equal">
      <formula>"Nok"</formula>
    </cfRule>
    <cfRule type="cellIs" dxfId="214" priority="12" operator="equal">
      <formula>"Ok"</formula>
    </cfRule>
  </conditionalFormatting>
  <conditionalFormatting sqref="P46">
    <cfRule type="cellIs" dxfId="213" priority="9" operator="equal">
      <formula>"Nok"</formula>
    </cfRule>
    <cfRule type="cellIs" dxfId="212" priority="10" operator="equal">
      <formula>"Ok"</formula>
    </cfRule>
  </conditionalFormatting>
  <conditionalFormatting sqref="P47">
    <cfRule type="cellIs" dxfId="211" priority="7" operator="equal">
      <formula>"Nok"</formula>
    </cfRule>
    <cfRule type="cellIs" dxfId="210" priority="8" operator="equal">
      <formula>"Ok"</formula>
    </cfRule>
  </conditionalFormatting>
  <conditionalFormatting sqref="P48">
    <cfRule type="cellIs" dxfId="209" priority="5" operator="equal">
      <formula>"Nok"</formula>
    </cfRule>
    <cfRule type="cellIs" dxfId="208" priority="6" operator="equal">
      <formula>"Ok"</formula>
    </cfRule>
  </conditionalFormatting>
  <conditionalFormatting sqref="P49">
    <cfRule type="cellIs" dxfId="207" priority="3" operator="equal">
      <formula>"Nok"</formula>
    </cfRule>
    <cfRule type="cellIs" dxfId="206" priority="4" operator="equal">
      <formula>"Ok"</formula>
    </cfRule>
  </conditionalFormatting>
  <conditionalFormatting sqref="P50">
    <cfRule type="cellIs" dxfId="205" priority="1" operator="equal">
      <formula>"Nok"</formula>
    </cfRule>
    <cfRule type="cellIs" dxfId="204"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1" sqref="B1:G1"/>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193</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192</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203" priority="33" operator="equal">
      <formula>"Nok"</formula>
    </cfRule>
    <cfRule type="cellIs" dxfId="202" priority="34" operator="equal">
      <formula>"Ok"</formula>
    </cfRule>
  </conditionalFormatting>
  <conditionalFormatting sqref="P22:P30">
    <cfRule type="cellIs" dxfId="201" priority="31" operator="equal">
      <formula>"Nok"</formula>
    </cfRule>
    <cfRule type="cellIs" dxfId="200" priority="32" operator="equal">
      <formula>"Ok"</formula>
    </cfRule>
  </conditionalFormatting>
  <conditionalFormatting sqref="P31:P35">
    <cfRule type="cellIs" dxfId="199" priority="29" operator="equal">
      <formula>"Nok"</formula>
    </cfRule>
    <cfRule type="cellIs" dxfId="198" priority="30" operator="equal">
      <formula>"Ok"</formula>
    </cfRule>
  </conditionalFormatting>
  <conditionalFormatting sqref="P36:P37">
    <cfRule type="cellIs" dxfId="197" priority="27" operator="equal">
      <formula>"Nok"</formula>
    </cfRule>
    <cfRule type="cellIs" dxfId="196" priority="28" operator="equal">
      <formula>"Ok"</formula>
    </cfRule>
  </conditionalFormatting>
  <conditionalFormatting sqref="P38">
    <cfRule type="cellIs" dxfId="195" priority="25" operator="equal">
      <formula>"Nok"</formula>
    </cfRule>
    <cfRule type="cellIs" dxfId="194" priority="26" operator="equal">
      <formula>"Ok"</formula>
    </cfRule>
  </conditionalFormatting>
  <conditionalFormatting sqref="P39">
    <cfRule type="cellIs" dxfId="193" priority="23" operator="equal">
      <formula>"Nok"</formula>
    </cfRule>
    <cfRule type="cellIs" dxfId="192" priority="24" operator="equal">
      <formula>"Ok"</formula>
    </cfRule>
  </conditionalFormatting>
  <conditionalFormatting sqref="P40">
    <cfRule type="cellIs" dxfId="191" priority="21" operator="equal">
      <formula>"Nok"</formula>
    </cfRule>
    <cfRule type="cellIs" dxfId="190" priority="22" operator="equal">
      <formula>"Ok"</formula>
    </cfRule>
  </conditionalFormatting>
  <conditionalFormatting sqref="P41">
    <cfRule type="cellIs" dxfId="189" priority="19" operator="equal">
      <formula>"Nok"</formula>
    </cfRule>
    <cfRule type="cellIs" dxfId="188" priority="20" operator="equal">
      <formula>"Ok"</formula>
    </cfRule>
  </conditionalFormatting>
  <conditionalFormatting sqref="P42">
    <cfRule type="cellIs" dxfId="187" priority="17" operator="equal">
      <formula>"Nok"</formula>
    </cfRule>
    <cfRule type="cellIs" dxfId="186" priority="18" operator="equal">
      <formula>"Ok"</formula>
    </cfRule>
  </conditionalFormatting>
  <conditionalFormatting sqref="P43">
    <cfRule type="cellIs" dxfId="185" priority="15" operator="equal">
      <formula>"Nok"</formula>
    </cfRule>
    <cfRule type="cellIs" dxfId="184" priority="16" operator="equal">
      <formula>"Ok"</formula>
    </cfRule>
  </conditionalFormatting>
  <conditionalFormatting sqref="P44">
    <cfRule type="cellIs" dxfId="183" priority="13" operator="equal">
      <formula>"Nok"</formula>
    </cfRule>
    <cfRule type="cellIs" dxfId="182" priority="14" operator="equal">
      <formula>"Ok"</formula>
    </cfRule>
  </conditionalFormatting>
  <conditionalFormatting sqref="P45">
    <cfRule type="cellIs" dxfId="181" priority="11" operator="equal">
      <formula>"Nok"</formula>
    </cfRule>
    <cfRule type="cellIs" dxfId="180" priority="12" operator="equal">
      <formula>"Ok"</formula>
    </cfRule>
  </conditionalFormatting>
  <conditionalFormatting sqref="P46">
    <cfRule type="cellIs" dxfId="179" priority="9" operator="equal">
      <formula>"Nok"</formula>
    </cfRule>
    <cfRule type="cellIs" dxfId="178" priority="10" operator="equal">
      <formula>"Ok"</formula>
    </cfRule>
  </conditionalFormatting>
  <conditionalFormatting sqref="P47">
    <cfRule type="cellIs" dxfId="177" priority="7" operator="equal">
      <formula>"Nok"</formula>
    </cfRule>
    <cfRule type="cellIs" dxfId="176" priority="8" operator="equal">
      <formula>"Ok"</formula>
    </cfRule>
  </conditionalFormatting>
  <conditionalFormatting sqref="P48">
    <cfRule type="cellIs" dxfId="175" priority="5" operator="equal">
      <formula>"Nok"</formula>
    </cfRule>
    <cfRule type="cellIs" dxfId="174" priority="6" operator="equal">
      <formula>"Ok"</formula>
    </cfRule>
  </conditionalFormatting>
  <conditionalFormatting sqref="P49">
    <cfRule type="cellIs" dxfId="173" priority="3" operator="equal">
      <formula>"Nok"</formula>
    </cfRule>
    <cfRule type="cellIs" dxfId="172" priority="4" operator="equal">
      <formula>"Ok"</formula>
    </cfRule>
  </conditionalFormatting>
  <conditionalFormatting sqref="P50">
    <cfRule type="cellIs" dxfId="171" priority="1" operator="equal">
      <formula>"Nok"</formula>
    </cfRule>
    <cfRule type="cellIs" dxfId="170"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11" sqref="I11"/>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194</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192</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69" priority="33" operator="equal">
      <formula>"Nok"</formula>
    </cfRule>
    <cfRule type="cellIs" dxfId="168" priority="34" operator="equal">
      <formula>"Ok"</formula>
    </cfRule>
  </conditionalFormatting>
  <conditionalFormatting sqref="P22:P30">
    <cfRule type="cellIs" dxfId="167" priority="31" operator="equal">
      <formula>"Nok"</formula>
    </cfRule>
    <cfRule type="cellIs" dxfId="166" priority="32" operator="equal">
      <formula>"Ok"</formula>
    </cfRule>
  </conditionalFormatting>
  <conditionalFormatting sqref="P31:P35">
    <cfRule type="cellIs" dxfId="165" priority="29" operator="equal">
      <formula>"Nok"</formula>
    </cfRule>
    <cfRule type="cellIs" dxfId="164" priority="30" operator="equal">
      <formula>"Ok"</formula>
    </cfRule>
  </conditionalFormatting>
  <conditionalFormatting sqref="P36:P37">
    <cfRule type="cellIs" dxfId="163" priority="27" operator="equal">
      <formula>"Nok"</formula>
    </cfRule>
    <cfRule type="cellIs" dxfId="162" priority="28" operator="equal">
      <formula>"Ok"</formula>
    </cfRule>
  </conditionalFormatting>
  <conditionalFormatting sqref="P38">
    <cfRule type="cellIs" dxfId="161" priority="25" operator="equal">
      <formula>"Nok"</formula>
    </cfRule>
    <cfRule type="cellIs" dxfId="160" priority="26" operator="equal">
      <formula>"Ok"</formula>
    </cfRule>
  </conditionalFormatting>
  <conditionalFormatting sqref="P39">
    <cfRule type="cellIs" dxfId="159" priority="23" operator="equal">
      <formula>"Nok"</formula>
    </cfRule>
    <cfRule type="cellIs" dxfId="158" priority="24" operator="equal">
      <formula>"Ok"</formula>
    </cfRule>
  </conditionalFormatting>
  <conditionalFormatting sqref="P40">
    <cfRule type="cellIs" dxfId="157" priority="21" operator="equal">
      <formula>"Nok"</formula>
    </cfRule>
    <cfRule type="cellIs" dxfId="156" priority="22" operator="equal">
      <formula>"Ok"</formula>
    </cfRule>
  </conditionalFormatting>
  <conditionalFormatting sqref="P41">
    <cfRule type="cellIs" dxfId="155" priority="19" operator="equal">
      <formula>"Nok"</formula>
    </cfRule>
    <cfRule type="cellIs" dxfId="154" priority="20" operator="equal">
      <formula>"Ok"</formula>
    </cfRule>
  </conditionalFormatting>
  <conditionalFormatting sqref="P42">
    <cfRule type="cellIs" dxfId="153" priority="17" operator="equal">
      <formula>"Nok"</formula>
    </cfRule>
    <cfRule type="cellIs" dxfId="152" priority="18" operator="equal">
      <formula>"Ok"</formula>
    </cfRule>
  </conditionalFormatting>
  <conditionalFormatting sqref="P43">
    <cfRule type="cellIs" dxfId="151" priority="15" operator="equal">
      <formula>"Nok"</formula>
    </cfRule>
    <cfRule type="cellIs" dxfId="150" priority="16" operator="equal">
      <formula>"Ok"</formula>
    </cfRule>
  </conditionalFormatting>
  <conditionalFormatting sqref="P44">
    <cfRule type="cellIs" dxfId="149" priority="13" operator="equal">
      <formula>"Nok"</formula>
    </cfRule>
    <cfRule type="cellIs" dxfId="148" priority="14" operator="equal">
      <formula>"Ok"</formula>
    </cfRule>
  </conditionalFormatting>
  <conditionalFormatting sqref="P45">
    <cfRule type="cellIs" dxfId="147" priority="11" operator="equal">
      <formula>"Nok"</formula>
    </cfRule>
    <cfRule type="cellIs" dxfId="146" priority="12" operator="equal">
      <formula>"Ok"</formula>
    </cfRule>
  </conditionalFormatting>
  <conditionalFormatting sqref="P46">
    <cfRule type="cellIs" dxfId="145" priority="9" operator="equal">
      <formula>"Nok"</formula>
    </cfRule>
    <cfRule type="cellIs" dxfId="144" priority="10" operator="equal">
      <formula>"Ok"</formula>
    </cfRule>
  </conditionalFormatting>
  <conditionalFormatting sqref="P47">
    <cfRule type="cellIs" dxfId="143" priority="7" operator="equal">
      <formula>"Nok"</formula>
    </cfRule>
    <cfRule type="cellIs" dxfId="142" priority="8" operator="equal">
      <formula>"Ok"</formula>
    </cfRule>
  </conditionalFormatting>
  <conditionalFormatting sqref="P48">
    <cfRule type="cellIs" dxfId="141" priority="5" operator="equal">
      <formula>"Nok"</formula>
    </cfRule>
    <cfRule type="cellIs" dxfId="140" priority="6" operator="equal">
      <formula>"Ok"</formula>
    </cfRule>
  </conditionalFormatting>
  <conditionalFormatting sqref="P49">
    <cfRule type="cellIs" dxfId="139" priority="3" operator="equal">
      <formula>"Nok"</formula>
    </cfRule>
    <cfRule type="cellIs" dxfId="138" priority="4" operator="equal">
      <formula>"Ok"</formula>
    </cfRule>
  </conditionalFormatting>
  <conditionalFormatting sqref="P50">
    <cfRule type="cellIs" dxfId="137" priority="1" operator="equal">
      <formula>"Nok"</formula>
    </cfRule>
    <cfRule type="cellIs" dxfId="136"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8" sqref="B8"/>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195</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35" priority="33" operator="equal">
      <formula>"Nok"</formula>
    </cfRule>
    <cfRule type="cellIs" dxfId="134" priority="34" operator="equal">
      <formula>"Ok"</formula>
    </cfRule>
  </conditionalFormatting>
  <conditionalFormatting sqref="P22:P30">
    <cfRule type="cellIs" dxfId="133" priority="31" operator="equal">
      <formula>"Nok"</formula>
    </cfRule>
    <cfRule type="cellIs" dxfId="132" priority="32" operator="equal">
      <formula>"Ok"</formula>
    </cfRule>
  </conditionalFormatting>
  <conditionalFormatting sqref="P31:P35">
    <cfRule type="cellIs" dxfId="131" priority="29" operator="equal">
      <formula>"Nok"</formula>
    </cfRule>
    <cfRule type="cellIs" dxfId="130" priority="30" operator="equal">
      <formula>"Ok"</formula>
    </cfRule>
  </conditionalFormatting>
  <conditionalFormatting sqref="P36:P37">
    <cfRule type="cellIs" dxfId="129" priority="27" operator="equal">
      <formula>"Nok"</formula>
    </cfRule>
    <cfRule type="cellIs" dxfId="128" priority="28" operator="equal">
      <formula>"Ok"</formula>
    </cfRule>
  </conditionalFormatting>
  <conditionalFormatting sqref="P38">
    <cfRule type="cellIs" dxfId="127" priority="25" operator="equal">
      <formula>"Nok"</formula>
    </cfRule>
    <cfRule type="cellIs" dxfId="126" priority="26" operator="equal">
      <formula>"Ok"</formula>
    </cfRule>
  </conditionalFormatting>
  <conditionalFormatting sqref="P39">
    <cfRule type="cellIs" dxfId="125" priority="23" operator="equal">
      <formula>"Nok"</formula>
    </cfRule>
    <cfRule type="cellIs" dxfId="124" priority="24" operator="equal">
      <formula>"Ok"</formula>
    </cfRule>
  </conditionalFormatting>
  <conditionalFormatting sqref="P40">
    <cfRule type="cellIs" dxfId="123" priority="21" operator="equal">
      <formula>"Nok"</formula>
    </cfRule>
    <cfRule type="cellIs" dxfId="122" priority="22" operator="equal">
      <formula>"Ok"</formula>
    </cfRule>
  </conditionalFormatting>
  <conditionalFormatting sqref="P41">
    <cfRule type="cellIs" dxfId="121" priority="19" operator="equal">
      <formula>"Nok"</formula>
    </cfRule>
    <cfRule type="cellIs" dxfId="120" priority="20" operator="equal">
      <formula>"Ok"</formula>
    </cfRule>
  </conditionalFormatting>
  <conditionalFormatting sqref="P42">
    <cfRule type="cellIs" dxfId="119" priority="17" operator="equal">
      <formula>"Nok"</formula>
    </cfRule>
    <cfRule type="cellIs" dxfId="118" priority="18" operator="equal">
      <formula>"Ok"</formula>
    </cfRule>
  </conditionalFormatting>
  <conditionalFormatting sqref="P43">
    <cfRule type="cellIs" dxfId="117" priority="15" operator="equal">
      <formula>"Nok"</formula>
    </cfRule>
    <cfRule type="cellIs" dxfId="116" priority="16" operator="equal">
      <formula>"Ok"</formula>
    </cfRule>
  </conditionalFormatting>
  <conditionalFormatting sqref="P44">
    <cfRule type="cellIs" dxfId="115" priority="13" operator="equal">
      <formula>"Nok"</formula>
    </cfRule>
    <cfRule type="cellIs" dxfId="114" priority="14" operator="equal">
      <formula>"Ok"</formula>
    </cfRule>
  </conditionalFormatting>
  <conditionalFormatting sqref="P45">
    <cfRule type="cellIs" dxfId="113" priority="11" operator="equal">
      <formula>"Nok"</formula>
    </cfRule>
    <cfRule type="cellIs" dxfId="112" priority="12" operator="equal">
      <formula>"Ok"</formula>
    </cfRule>
  </conditionalFormatting>
  <conditionalFormatting sqref="P46">
    <cfRule type="cellIs" dxfId="111" priority="9" operator="equal">
      <formula>"Nok"</formula>
    </cfRule>
    <cfRule type="cellIs" dxfId="110" priority="10" operator="equal">
      <formula>"Ok"</formula>
    </cfRule>
  </conditionalFormatting>
  <conditionalFormatting sqref="P47">
    <cfRule type="cellIs" dxfId="109" priority="7" operator="equal">
      <formula>"Nok"</formula>
    </cfRule>
    <cfRule type="cellIs" dxfId="108" priority="8" operator="equal">
      <formula>"Ok"</formula>
    </cfRule>
  </conditionalFormatting>
  <conditionalFormatting sqref="P48">
    <cfRule type="cellIs" dxfId="107" priority="5" operator="equal">
      <formula>"Nok"</formula>
    </cfRule>
    <cfRule type="cellIs" dxfId="106" priority="6" operator="equal">
      <formula>"Ok"</formula>
    </cfRule>
  </conditionalFormatting>
  <conditionalFormatting sqref="P49">
    <cfRule type="cellIs" dxfId="105" priority="3" operator="equal">
      <formula>"Nok"</formula>
    </cfRule>
    <cfRule type="cellIs" dxfId="104" priority="4" operator="equal">
      <formula>"Ok"</formula>
    </cfRule>
  </conditionalFormatting>
  <conditionalFormatting sqref="P50">
    <cfRule type="cellIs" dxfId="103" priority="1" operator="equal">
      <formula>"Nok"</formula>
    </cfRule>
    <cfRule type="cellIs" dxfId="102"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7" sqref="I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197</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196</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01" priority="33" operator="equal">
      <formula>"Nok"</formula>
    </cfRule>
    <cfRule type="cellIs" dxfId="100" priority="34" operator="equal">
      <formula>"Ok"</formula>
    </cfRule>
  </conditionalFormatting>
  <conditionalFormatting sqref="P22:P30">
    <cfRule type="cellIs" dxfId="99" priority="31" operator="equal">
      <formula>"Nok"</formula>
    </cfRule>
    <cfRule type="cellIs" dxfId="98" priority="32" operator="equal">
      <formula>"Ok"</formula>
    </cfRule>
  </conditionalFormatting>
  <conditionalFormatting sqref="P31:P35">
    <cfRule type="cellIs" dxfId="97" priority="29" operator="equal">
      <formula>"Nok"</formula>
    </cfRule>
    <cfRule type="cellIs" dxfId="96" priority="30" operator="equal">
      <formula>"Ok"</formula>
    </cfRule>
  </conditionalFormatting>
  <conditionalFormatting sqref="P36:P37">
    <cfRule type="cellIs" dxfId="95" priority="27" operator="equal">
      <formula>"Nok"</formula>
    </cfRule>
    <cfRule type="cellIs" dxfId="94" priority="28" operator="equal">
      <formula>"Ok"</formula>
    </cfRule>
  </conditionalFormatting>
  <conditionalFormatting sqref="P38">
    <cfRule type="cellIs" dxfId="93" priority="25" operator="equal">
      <formula>"Nok"</formula>
    </cfRule>
    <cfRule type="cellIs" dxfId="92" priority="26" operator="equal">
      <formula>"Ok"</formula>
    </cfRule>
  </conditionalFormatting>
  <conditionalFormatting sqref="P39">
    <cfRule type="cellIs" dxfId="91" priority="23" operator="equal">
      <formula>"Nok"</formula>
    </cfRule>
    <cfRule type="cellIs" dxfId="90" priority="24" operator="equal">
      <formula>"Ok"</formula>
    </cfRule>
  </conditionalFormatting>
  <conditionalFormatting sqref="P40">
    <cfRule type="cellIs" dxfId="89" priority="21" operator="equal">
      <formula>"Nok"</formula>
    </cfRule>
    <cfRule type="cellIs" dxfId="88" priority="22" operator="equal">
      <formula>"Ok"</formula>
    </cfRule>
  </conditionalFormatting>
  <conditionalFormatting sqref="P41">
    <cfRule type="cellIs" dxfId="87" priority="19" operator="equal">
      <formula>"Nok"</formula>
    </cfRule>
    <cfRule type="cellIs" dxfId="86" priority="20" operator="equal">
      <formula>"Ok"</formula>
    </cfRule>
  </conditionalFormatting>
  <conditionalFormatting sqref="P42">
    <cfRule type="cellIs" dxfId="85" priority="17" operator="equal">
      <formula>"Nok"</formula>
    </cfRule>
    <cfRule type="cellIs" dxfId="84" priority="18" operator="equal">
      <formula>"Ok"</formula>
    </cfRule>
  </conditionalFormatting>
  <conditionalFormatting sqref="P43">
    <cfRule type="cellIs" dxfId="83" priority="15" operator="equal">
      <formula>"Nok"</formula>
    </cfRule>
    <cfRule type="cellIs" dxfId="82" priority="16" operator="equal">
      <formula>"Ok"</formula>
    </cfRule>
  </conditionalFormatting>
  <conditionalFormatting sqref="P44">
    <cfRule type="cellIs" dxfId="81" priority="13" operator="equal">
      <formula>"Nok"</formula>
    </cfRule>
    <cfRule type="cellIs" dxfId="80" priority="14" operator="equal">
      <formula>"Ok"</formula>
    </cfRule>
  </conditionalFormatting>
  <conditionalFormatting sqref="P45">
    <cfRule type="cellIs" dxfId="79" priority="11" operator="equal">
      <formula>"Nok"</formula>
    </cfRule>
    <cfRule type="cellIs" dxfId="78" priority="12" operator="equal">
      <formula>"Ok"</formula>
    </cfRule>
  </conditionalFormatting>
  <conditionalFormatting sqref="P46">
    <cfRule type="cellIs" dxfId="77" priority="9" operator="equal">
      <formula>"Nok"</formula>
    </cfRule>
    <cfRule type="cellIs" dxfId="76" priority="10" operator="equal">
      <formula>"Ok"</formula>
    </cfRule>
  </conditionalFormatting>
  <conditionalFormatting sqref="P47">
    <cfRule type="cellIs" dxfId="75" priority="7" operator="equal">
      <formula>"Nok"</formula>
    </cfRule>
    <cfRule type="cellIs" dxfId="74" priority="8" operator="equal">
      <formula>"Ok"</formula>
    </cfRule>
  </conditionalFormatting>
  <conditionalFormatting sqref="P48">
    <cfRule type="cellIs" dxfId="73" priority="5" operator="equal">
      <formula>"Nok"</formula>
    </cfRule>
    <cfRule type="cellIs" dxfId="72" priority="6" operator="equal">
      <formula>"Ok"</formula>
    </cfRule>
  </conditionalFormatting>
  <conditionalFormatting sqref="P49">
    <cfRule type="cellIs" dxfId="71" priority="3" operator="equal">
      <formula>"Nok"</formula>
    </cfRule>
    <cfRule type="cellIs" dxfId="70" priority="4" operator="equal">
      <formula>"Ok"</formula>
    </cfRule>
  </conditionalFormatting>
  <conditionalFormatting sqref="P50">
    <cfRule type="cellIs" dxfId="69" priority="1" operator="equal">
      <formula>"Nok"</formula>
    </cfRule>
    <cfRule type="cellIs" dxfId="68"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I7" sqref="I7"/>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198</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199</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143</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67" priority="33" operator="equal">
      <formula>"Nok"</formula>
    </cfRule>
    <cfRule type="cellIs" dxfId="66" priority="34" operator="equal">
      <formula>"Ok"</formula>
    </cfRule>
  </conditionalFormatting>
  <conditionalFormatting sqref="P22:P30">
    <cfRule type="cellIs" dxfId="65" priority="31" operator="equal">
      <formula>"Nok"</formula>
    </cfRule>
    <cfRule type="cellIs" dxfId="64" priority="32" operator="equal">
      <formula>"Ok"</formula>
    </cfRule>
  </conditionalFormatting>
  <conditionalFormatting sqref="P31:P35">
    <cfRule type="cellIs" dxfId="63" priority="29" operator="equal">
      <formula>"Nok"</formula>
    </cfRule>
    <cfRule type="cellIs" dxfId="62" priority="30" operator="equal">
      <formula>"Ok"</formula>
    </cfRule>
  </conditionalFormatting>
  <conditionalFormatting sqref="P36:P37">
    <cfRule type="cellIs" dxfId="61" priority="27" operator="equal">
      <formula>"Nok"</formula>
    </cfRule>
    <cfRule type="cellIs" dxfId="60" priority="28" operator="equal">
      <formula>"Ok"</formula>
    </cfRule>
  </conditionalFormatting>
  <conditionalFormatting sqref="P38">
    <cfRule type="cellIs" dxfId="59" priority="25" operator="equal">
      <formula>"Nok"</formula>
    </cfRule>
    <cfRule type="cellIs" dxfId="58" priority="26" operator="equal">
      <formula>"Ok"</formula>
    </cfRule>
  </conditionalFormatting>
  <conditionalFormatting sqref="P39">
    <cfRule type="cellIs" dxfId="57" priority="23" operator="equal">
      <formula>"Nok"</formula>
    </cfRule>
    <cfRule type="cellIs" dxfId="56" priority="24" operator="equal">
      <formula>"Ok"</formula>
    </cfRule>
  </conditionalFormatting>
  <conditionalFormatting sqref="P40">
    <cfRule type="cellIs" dxfId="55" priority="21" operator="equal">
      <formula>"Nok"</formula>
    </cfRule>
    <cfRule type="cellIs" dxfId="54" priority="22" operator="equal">
      <formula>"Ok"</formula>
    </cfRule>
  </conditionalFormatting>
  <conditionalFormatting sqref="P41">
    <cfRule type="cellIs" dxfId="53" priority="19" operator="equal">
      <formula>"Nok"</formula>
    </cfRule>
    <cfRule type="cellIs" dxfId="52" priority="20" operator="equal">
      <formula>"Ok"</formula>
    </cfRule>
  </conditionalFormatting>
  <conditionalFormatting sqref="P42">
    <cfRule type="cellIs" dxfId="51" priority="17" operator="equal">
      <formula>"Nok"</formula>
    </cfRule>
    <cfRule type="cellIs" dxfId="50" priority="18" operator="equal">
      <formula>"Ok"</formula>
    </cfRule>
  </conditionalFormatting>
  <conditionalFormatting sqref="P43">
    <cfRule type="cellIs" dxfId="49" priority="15" operator="equal">
      <formula>"Nok"</formula>
    </cfRule>
    <cfRule type="cellIs" dxfId="48" priority="16" operator="equal">
      <formula>"Ok"</formula>
    </cfRule>
  </conditionalFormatting>
  <conditionalFormatting sqref="P44">
    <cfRule type="cellIs" dxfId="47" priority="13" operator="equal">
      <formula>"Nok"</formula>
    </cfRule>
    <cfRule type="cellIs" dxfId="46" priority="14" operator="equal">
      <formula>"Ok"</formula>
    </cfRule>
  </conditionalFormatting>
  <conditionalFormatting sqref="P45">
    <cfRule type="cellIs" dxfId="45" priority="11" operator="equal">
      <formula>"Nok"</formula>
    </cfRule>
    <cfRule type="cellIs" dxfId="44" priority="12" operator="equal">
      <formula>"Ok"</formula>
    </cfRule>
  </conditionalFormatting>
  <conditionalFormatting sqref="P46">
    <cfRule type="cellIs" dxfId="43" priority="9" operator="equal">
      <formula>"Nok"</formula>
    </cfRule>
    <cfRule type="cellIs" dxfId="42" priority="10" operator="equal">
      <formula>"Ok"</formula>
    </cfRule>
  </conditionalFormatting>
  <conditionalFormatting sqref="P47">
    <cfRule type="cellIs" dxfId="41" priority="7" operator="equal">
      <formula>"Nok"</formula>
    </cfRule>
    <cfRule type="cellIs" dxfId="40" priority="8" operator="equal">
      <formula>"Ok"</formula>
    </cfRule>
  </conditionalFormatting>
  <conditionalFormatting sqref="P48">
    <cfRule type="cellIs" dxfId="39" priority="5" operator="equal">
      <formula>"Nok"</formula>
    </cfRule>
    <cfRule type="cellIs" dxfId="38" priority="6" operator="equal">
      <formula>"Ok"</formula>
    </cfRule>
  </conditionalFormatting>
  <conditionalFormatting sqref="P49">
    <cfRule type="cellIs" dxfId="37" priority="3" operator="equal">
      <formula>"Nok"</formula>
    </cfRule>
    <cfRule type="cellIs" dxfId="36" priority="4" operator="equal">
      <formula>"Ok"</formula>
    </cfRule>
  </conditionalFormatting>
  <conditionalFormatting sqref="P50">
    <cfRule type="cellIs" dxfId="35" priority="1" operator="equal">
      <formula>"Nok"</formula>
    </cfRule>
    <cfRule type="cellIs" dxfId="34"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3" sqref="B3:G3"/>
    </sheetView>
  </sheetViews>
  <sheetFormatPr defaultRowHeight="12.75" x14ac:dyDescent="0.2"/>
  <cols>
    <col min="1" max="1" width="20.140625" style="95" customWidth="1"/>
    <col min="2" max="2" width="18.42578125" style="91" customWidth="1"/>
    <col min="3" max="7" width="9.140625" style="91"/>
    <col min="8" max="15" width="9.5703125" style="91" customWidth="1"/>
    <col min="16" max="16384" width="9.140625" style="91"/>
  </cols>
  <sheetData>
    <row r="1" spans="1:15" ht="13.5" thickBot="1" x14ac:dyDescent="0.25">
      <c r="A1" s="96" t="s">
        <v>41</v>
      </c>
      <c r="B1" s="212" t="s">
        <v>200</v>
      </c>
      <c r="C1" s="213"/>
      <c r="D1" s="213"/>
      <c r="E1" s="213"/>
      <c r="F1" s="213"/>
      <c r="G1" s="214"/>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7" t="s">
        <v>46</v>
      </c>
      <c r="B3" s="215"/>
      <c r="C3" s="216"/>
      <c r="D3" s="216"/>
      <c r="E3" s="216"/>
      <c r="F3" s="216"/>
      <c r="G3" s="217"/>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6"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6" t="s">
        <v>42</v>
      </c>
      <c r="B7" s="215" t="s">
        <v>199</v>
      </c>
      <c r="C7" s="216"/>
      <c r="D7" s="216"/>
      <c r="E7" s="216"/>
      <c r="F7" s="216"/>
      <c r="G7" s="217"/>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6" t="s">
        <v>43</v>
      </c>
      <c r="B9" s="101" t="s">
        <v>144</v>
      </c>
      <c r="C9" s="70"/>
      <c r="D9" s="71"/>
      <c r="E9" s="71"/>
      <c r="F9" s="71"/>
      <c r="G9" s="71"/>
      <c r="H9" s="71"/>
      <c r="I9" s="71"/>
      <c r="J9" s="71"/>
      <c r="K9" s="71"/>
      <c r="L9" s="71"/>
      <c r="M9" s="71"/>
      <c r="N9" s="71"/>
      <c r="O9" s="71"/>
    </row>
    <row r="10" spans="1:15" ht="13.5" thickBot="1" x14ac:dyDescent="0.25">
      <c r="A10" s="73"/>
      <c r="B10" s="92"/>
      <c r="C10" s="70"/>
      <c r="D10" s="71"/>
      <c r="E10" s="71"/>
      <c r="F10" s="71"/>
      <c r="G10" s="71"/>
      <c r="H10" s="71"/>
      <c r="I10" s="71"/>
      <c r="J10" s="71"/>
      <c r="K10" s="71"/>
      <c r="L10" s="71"/>
      <c r="M10" s="71"/>
      <c r="N10" s="71"/>
      <c r="O10" s="71"/>
    </row>
    <row r="11" spans="1:15" ht="12" customHeight="1" x14ac:dyDescent="0.2">
      <c r="A11" s="201" t="s">
        <v>113</v>
      </c>
      <c r="B11" s="203"/>
      <c r="C11" s="204"/>
      <c r="D11" s="204"/>
      <c r="E11" s="204"/>
      <c r="F11" s="204"/>
      <c r="G11" s="205"/>
      <c r="H11" s="71"/>
      <c r="I11" s="71"/>
      <c r="J11" s="71"/>
      <c r="K11" s="71"/>
      <c r="L11" s="71"/>
      <c r="M11" s="71"/>
      <c r="N11" s="71"/>
      <c r="O11" s="71"/>
    </row>
    <row r="12" spans="1:15" x14ac:dyDescent="0.2">
      <c r="A12" s="202"/>
      <c r="B12" s="206"/>
      <c r="C12" s="207"/>
      <c r="D12" s="207"/>
      <c r="E12" s="207"/>
      <c r="F12" s="207"/>
      <c r="G12" s="208"/>
      <c r="H12" s="71"/>
      <c r="I12" s="71"/>
      <c r="J12" s="71"/>
      <c r="K12" s="71"/>
      <c r="L12" s="71"/>
      <c r="M12" s="71"/>
      <c r="N12" s="71"/>
      <c r="O12" s="71"/>
    </row>
    <row r="13" spans="1:15" x14ac:dyDescent="0.2">
      <c r="A13" s="202"/>
      <c r="B13" s="206"/>
      <c r="C13" s="207"/>
      <c r="D13" s="207"/>
      <c r="E13" s="207"/>
      <c r="F13" s="207"/>
      <c r="G13" s="208"/>
      <c r="H13" s="69"/>
      <c r="I13" s="71"/>
      <c r="J13" s="71"/>
      <c r="K13" s="71"/>
      <c r="L13" s="71"/>
      <c r="M13" s="71"/>
      <c r="N13" s="71"/>
      <c r="O13" s="71"/>
    </row>
    <row r="14" spans="1:15" ht="13.5" thickBot="1" x14ac:dyDescent="0.25">
      <c r="A14" s="202"/>
      <c r="B14" s="209"/>
      <c r="C14" s="210"/>
      <c r="D14" s="210"/>
      <c r="E14" s="210"/>
      <c r="F14" s="210"/>
      <c r="G14" s="211"/>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01" t="s">
        <v>44</v>
      </c>
      <c r="B16" s="203"/>
      <c r="C16" s="204"/>
      <c r="D16" s="204"/>
      <c r="E16" s="204"/>
      <c r="F16" s="204"/>
      <c r="G16" s="205"/>
      <c r="H16" s="71"/>
      <c r="I16" s="71"/>
      <c r="J16" s="71"/>
      <c r="K16" s="71"/>
      <c r="L16" s="71"/>
      <c r="M16" s="71"/>
      <c r="N16" s="71"/>
      <c r="O16" s="71"/>
    </row>
    <row r="17" spans="1:16" x14ac:dyDescent="0.2">
      <c r="A17" s="202"/>
      <c r="B17" s="206"/>
      <c r="C17" s="207"/>
      <c r="D17" s="207"/>
      <c r="E17" s="207"/>
      <c r="F17" s="207"/>
      <c r="G17" s="208"/>
      <c r="H17" s="71"/>
      <c r="I17" s="71"/>
      <c r="J17" s="71"/>
      <c r="K17" s="71"/>
      <c r="L17" s="71"/>
      <c r="M17" s="71"/>
      <c r="N17" s="71"/>
      <c r="O17" s="71"/>
    </row>
    <row r="18" spans="1:16" x14ac:dyDescent="0.2">
      <c r="A18" s="202"/>
      <c r="B18" s="206"/>
      <c r="C18" s="207"/>
      <c r="D18" s="207"/>
      <c r="E18" s="207"/>
      <c r="F18" s="207"/>
      <c r="G18" s="208"/>
      <c r="H18" s="69"/>
      <c r="I18" s="71"/>
      <c r="J18" s="71"/>
      <c r="K18" s="71"/>
      <c r="L18" s="71"/>
      <c r="M18" s="71"/>
      <c r="N18" s="71"/>
      <c r="O18" s="71"/>
    </row>
    <row r="19" spans="1:16" ht="13.5" thickBot="1" x14ac:dyDescent="0.25">
      <c r="A19" s="202"/>
      <c r="B19" s="209"/>
      <c r="C19" s="210"/>
      <c r="D19" s="210"/>
      <c r="E19" s="210"/>
      <c r="F19" s="210"/>
      <c r="G19" s="211"/>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8" t="s">
        <v>48</v>
      </c>
      <c r="B21" s="219"/>
      <c r="C21" s="219"/>
      <c r="D21" s="219"/>
      <c r="E21" s="219"/>
      <c r="F21" s="219"/>
      <c r="G21" s="220"/>
      <c r="H21" s="218" t="s">
        <v>49</v>
      </c>
      <c r="I21" s="219"/>
      <c r="J21" s="219"/>
      <c r="K21" s="220"/>
      <c r="L21" s="218" t="s">
        <v>60</v>
      </c>
      <c r="M21" s="219"/>
      <c r="N21" s="219"/>
      <c r="O21" s="220"/>
      <c r="P21" s="98" t="s">
        <v>47</v>
      </c>
    </row>
    <row r="22" spans="1:16" ht="84.75" customHeight="1" thickBot="1" x14ac:dyDescent="0.25">
      <c r="A22" s="99" t="s">
        <v>50</v>
      </c>
      <c r="B22" s="225"/>
      <c r="C22" s="226"/>
      <c r="D22" s="226"/>
      <c r="E22" s="226"/>
      <c r="F22" s="226"/>
      <c r="G22" s="227"/>
      <c r="H22" s="221"/>
      <c r="I22" s="221"/>
      <c r="J22" s="221"/>
      <c r="K22" s="221"/>
      <c r="L22" s="221"/>
      <c r="M22" s="221"/>
      <c r="N22" s="221"/>
      <c r="O22" s="221"/>
      <c r="P22" s="93"/>
    </row>
    <row r="23" spans="1:16" ht="42.75" customHeight="1" thickBot="1" x14ac:dyDescent="0.25">
      <c r="A23" s="99" t="s">
        <v>51</v>
      </c>
      <c r="B23" s="225"/>
      <c r="C23" s="226"/>
      <c r="D23" s="226"/>
      <c r="E23" s="226"/>
      <c r="F23" s="226"/>
      <c r="G23" s="227"/>
      <c r="H23" s="221"/>
      <c r="I23" s="221"/>
      <c r="J23" s="221"/>
      <c r="K23" s="221"/>
      <c r="L23" s="221"/>
      <c r="M23" s="221"/>
      <c r="N23" s="221"/>
      <c r="O23" s="221"/>
      <c r="P23" s="93"/>
    </row>
    <row r="24" spans="1:16" ht="82.5" customHeight="1" thickBot="1" x14ac:dyDescent="0.25">
      <c r="A24" s="99" t="s">
        <v>52</v>
      </c>
      <c r="B24" s="225"/>
      <c r="C24" s="226"/>
      <c r="D24" s="226"/>
      <c r="E24" s="226"/>
      <c r="F24" s="226"/>
      <c r="G24" s="227"/>
      <c r="H24" s="221"/>
      <c r="I24" s="221"/>
      <c r="J24" s="221"/>
      <c r="K24" s="221"/>
      <c r="L24" s="221"/>
      <c r="M24" s="221"/>
      <c r="N24" s="221"/>
      <c r="O24" s="221"/>
      <c r="P24" s="93"/>
    </row>
    <row r="25" spans="1:16" ht="84" customHeight="1" thickBot="1" x14ac:dyDescent="0.25">
      <c r="A25" s="99" t="s">
        <v>53</v>
      </c>
      <c r="B25" s="225"/>
      <c r="C25" s="226"/>
      <c r="D25" s="226"/>
      <c r="E25" s="226"/>
      <c r="F25" s="226"/>
      <c r="G25" s="227"/>
      <c r="H25" s="221"/>
      <c r="I25" s="221"/>
      <c r="J25" s="221"/>
      <c r="K25" s="221"/>
      <c r="L25" s="221"/>
      <c r="M25" s="221"/>
      <c r="N25" s="221"/>
      <c r="O25" s="221"/>
      <c r="P25" s="93"/>
    </row>
    <row r="26" spans="1:16" ht="79.5" customHeight="1" x14ac:dyDescent="0.2">
      <c r="A26" s="99" t="s">
        <v>54</v>
      </c>
      <c r="B26" s="222"/>
      <c r="C26" s="223"/>
      <c r="D26" s="223"/>
      <c r="E26" s="223"/>
      <c r="F26" s="223"/>
      <c r="G26" s="224"/>
      <c r="H26" s="221"/>
      <c r="I26" s="221"/>
      <c r="J26" s="221"/>
      <c r="K26" s="221"/>
      <c r="L26" s="221"/>
      <c r="M26" s="221"/>
      <c r="N26" s="221"/>
      <c r="O26" s="221"/>
      <c r="P26" s="93"/>
    </row>
    <row r="27" spans="1:16" ht="29.25" customHeight="1" x14ac:dyDescent="0.2">
      <c r="A27" s="99" t="s">
        <v>55</v>
      </c>
      <c r="B27" s="222"/>
      <c r="C27" s="223"/>
      <c r="D27" s="223"/>
      <c r="E27" s="223"/>
      <c r="F27" s="223"/>
      <c r="G27" s="224"/>
      <c r="H27" s="221"/>
      <c r="I27" s="221"/>
      <c r="J27" s="221"/>
      <c r="K27" s="221"/>
      <c r="L27" s="221"/>
      <c r="M27" s="221"/>
      <c r="N27" s="221"/>
      <c r="O27" s="221"/>
      <c r="P27" s="93"/>
    </row>
    <row r="28" spans="1:16" ht="29.25" customHeight="1" x14ac:dyDescent="0.2">
      <c r="A28" s="99" t="s">
        <v>56</v>
      </c>
      <c r="B28" s="222"/>
      <c r="C28" s="223"/>
      <c r="D28" s="223"/>
      <c r="E28" s="223"/>
      <c r="F28" s="223"/>
      <c r="G28" s="224"/>
      <c r="H28" s="221"/>
      <c r="I28" s="221"/>
      <c r="J28" s="221"/>
      <c r="K28" s="221"/>
      <c r="L28" s="221"/>
      <c r="M28" s="221"/>
      <c r="N28" s="221"/>
      <c r="O28" s="221"/>
      <c r="P28" s="93"/>
    </row>
    <row r="29" spans="1:16" ht="29.25" customHeight="1" x14ac:dyDescent="0.2">
      <c r="A29" s="99" t="s">
        <v>57</v>
      </c>
      <c r="B29" s="222"/>
      <c r="C29" s="223"/>
      <c r="D29" s="223"/>
      <c r="E29" s="223"/>
      <c r="F29" s="223"/>
      <c r="G29" s="224"/>
      <c r="H29" s="221"/>
      <c r="I29" s="221"/>
      <c r="J29" s="221"/>
      <c r="K29" s="221"/>
      <c r="L29" s="221"/>
      <c r="M29" s="221"/>
      <c r="N29" s="221"/>
      <c r="O29" s="221"/>
      <c r="P29" s="93"/>
    </row>
    <row r="30" spans="1:16" ht="45.75" customHeight="1" thickBot="1" x14ac:dyDescent="0.25">
      <c r="A30" s="100" t="s">
        <v>58</v>
      </c>
      <c r="B30" s="225"/>
      <c r="C30" s="226"/>
      <c r="D30" s="226"/>
      <c r="E30" s="226"/>
      <c r="F30" s="226"/>
      <c r="G30" s="227"/>
      <c r="H30" s="228"/>
      <c r="I30" s="228"/>
      <c r="J30" s="228"/>
      <c r="K30" s="228"/>
      <c r="L30" s="228"/>
      <c r="M30" s="228"/>
      <c r="N30" s="228"/>
      <c r="O30" s="228"/>
      <c r="P30" s="94"/>
    </row>
    <row r="31" spans="1:16" ht="29.25" customHeight="1" thickBot="1" x14ac:dyDescent="0.25">
      <c r="A31" s="100" t="s">
        <v>145</v>
      </c>
      <c r="B31" s="222"/>
      <c r="C31" s="223"/>
      <c r="D31" s="223"/>
      <c r="E31" s="223"/>
      <c r="F31" s="223"/>
      <c r="G31" s="224"/>
      <c r="H31" s="221"/>
      <c r="I31" s="221"/>
      <c r="J31" s="221"/>
      <c r="K31" s="221"/>
      <c r="L31" s="221"/>
      <c r="M31" s="221"/>
      <c r="N31" s="221"/>
      <c r="O31" s="221"/>
      <c r="P31" s="93"/>
    </row>
    <row r="32" spans="1:16" ht="55.5" customHeight="1" thickBot="1" x14ac:dyDescent="0.25">
      <c r="A32" s="100" t="s">
        <v>146</v>
      </c>
      <c r="B32" s="222"/>
      <c r="C32" s="223"/>
      <c r="D32" s="223"/>
      <c r="E32" s="223"/>
      <c r="F32" s="223"/>
      <c r="G32" s="224"/>
      <c r="H32" s="221"/>
      <c r="I32" s="221"/>
      <c r="J32" s="221"/>
      <c r="K32" s="221"/>
      <c r="L32" s="221"/>
      <c r="M32" s="221"/>
      <c r="N32" s="221"/>
      <c r="O32" s="221"/>
      <c r="P32" s="93"/>
    </row>
    <row r="33" spans="1:16" ht="45.75" customHeight="1" thickBot="1" x14ac:dyDescent="0.25">
      <c r="A33" s="100" t="s">
        <v>147</v>
      </c>
      <c r="B33" s="225"/>
      <c r="C33" s="226"/>
      <c r="D33" s="226"/>
      <c r="E33" s="226"/>
      <c r="F33" s="226"/>
      <c r="G33" s="227"/>
      <c r="H33" s="228"/>
      <c r="I33" s="228"/>
      <c r="J33" s="228"/>
      <c r="K33" s="228"/>
      <c r="L33" s="228"/>
      <c r="M33" s="228"/>
      <c r="N33" s="228"/>
      <c r="O33" s="228"/>
      <c r="P33" s="93"/>
    </row>
    <row r="34" spans="1:16" ht="45.75" customHeight="1" thickBot="1" x14ac:dyDescent="0.25">
      <c r="A34" s="100" t="s">
        <v>148</v>
      </c>
      <c r="B34" s="222"/>
      <c r="C34" s="223"/>
      <c r="D34" s="223"/>
      <c r="E34" s="223"/>
      <c r="F34" s="223"/>
      <c r="G34" s="224"/>
      <c r="H34" s="221"/>
      <c r="I34" s="221"/>
      <c r="J34" s="221"/>
      <c r="K34" s="221"/>
      <c r="L34" s="221"/>
      <c r="M34" s="221"/>
      <c r="N34" s="221"/>
      <c r="O34" s="221"/>
      <c r="P34" s="93"/>
    </row>
    <row r="35" spans="1:16" ht="48" customHeight="1" thickBot="1" x14ac:dyDescent="0.25">
      <c r="A35" s="100" t="s">
        <v>149</v>
      </c>
      <c r="B35" s="222"/>
      <c r="C35" s="223"/>
      <c r="D35" s="223"/>
      <c r="E35" s="223"/>
      <c r="F35" s="223"/>
      <c r="G35" s="224"/>
      <c r="H35" s="221"/>
      <c r="I35" s="221"/>
      <c r="J35" s="221"/>
      <c r="K35" s="221"/>
      <c r="L35" s="221"/>
      <c r="M35" s="221"/>
      <c r="N35" s="221"/>
      <c r="O35" s="221"/>
      <c r="P35" s="93"/>
    </row>
    <row r="36" spans="1:16" ht="45.75" customHeight="1" thickBot="1" x14ac:dyDescent="0.25">
      <c r="A36" s="100" t="s">
        <v>150</v>
      </c>
      <c r="B36" s="225"/>
      <c r="C36" s="226"/>
      <c r="D36" s="226"/>
      <c r="E36" s="226"/>
      <c r="F36" s="226"/>
      <c r="G36" s="227"/>
      <c r="H36" s="228"/>
      <c r="I36" s="228"/>
      <c r="J36" s="228"/>
      <c r="K36" s="228"/>
      <c r="L36" s="221"/>
      <c r="M36" s="221"/>
      <c r="N36" s="221"/>
      <c r="O36" s="221"/>
      <c r="P36" s="94"/>
    </row>
    <row r="37" spans="1:16" ht="66" customHeight="1" thickBot="1" x14ac:dyDescent="0.25">
      <c r="A37" s="100" t="s">
        <v>151</v>
      </c>
      <c r="B37" s="225"/>
      <c r="C37" s="226"/>
      <c r="D37" s="226"/>
      <c r="E37" s="226"/>
      <c r="F37" s="226"/>
      <c r="G37" s="227"/>
      <c r="H37" s="228"/>
      <c r="I37" s="228"/>
      <c r="J37" s="228"/>
      <c r="K37" s="228"/>
      <c r="L37" s="221"/>
      <c r="M37" s="221"/>
      <c r="N37" s="221"/>
      <c r="O37" s="221"/>
      <c r="P37" s="94"/>
    </row>
    <row r="38" spans="1:16" ht="45.75" customHeight="1" thickBot="1" x14ac:dyDescent="0.25">
      <c r="A38" s="100" t="s">
        <v>152</v>
      </c>
      <c r="B38" s="225"/>
      <c r="C38" s="226"/>
      <c r="D38" s="226"/>
      <c r="E38" s="226"/>
      <c r="F38" s="226"/>
      <c r="G38" s="227"/>
      <c r="H38" s="228"/>
      <c r="I38" s="228"/>
      <c r="J38" s="228"/>
      <c r="K38" s="228"/>
      <c r="L38" s="228"/>
      <c r="M38" s="228"/>
      <c r="N38" s="228"/>
      <c r="O38" s="228"/>
      <c r="P38" s="94"/>
    </row>
    <row r="39" spans="1:16" ht="45.75" customHeight="1" thickBot="1" x14ac:dyDescent="0.25">
      <c r="A39" s="100" t="s">
        <v>153</v>
      </c>
      <c r="B39" s="225"/>
      <c r="C39" s="226"/>
      <c r="D39" s="226"/>
      <c r="E39" s="226"/>
      <c r="F39" s="226"/>
      <c r="G39" s="227"/>
      <c r="H39" s="228"/>
      <c r="I39" s="228"/>
      <c r="J39" s="228"/>
      <c r="K39" s="228"/>
      <c r="L39" s="228"/>
      <c r="M39" s="228"/>
      <c r="N39" s="228"/>
      <c r="O39" s="228"/>
      <c r="P39" s="94"/>
    </row>
    <row r="40" spans="1:16" ht="45.75" customHeight="1" thickBot="1" x14ac:dyDescent="0.25">
      <c r="A40" s="100" t="s">
        <v>155</v>
      </c>
      <c r="B40" s="225"/>
      <c r="C40" s="226"/>
      <c r="D40" s="226"/>
      <c r="E40" s="226"/>
      <c r="F40" s="226"/>
      <c r="G40" s="227"/>
      <c r="H40" s="228"/>
      <c r="I40" s="228"/>
      <c r="J40" s="228"/>
      <c r="K40" s="228"/>
      <c r="L40" s="228"/>
      <c r="M40" s="228"/>
      <c r="N40" s="228"/>
      <c r="O40" s="228"/>
      <c r="P40" s="94"/>
    </row>
    <row r="41" spans="1:16" ht="45.75" customHeight="1" thickBot="1" x14ac:dyDescent="0.25">
      <c r="A41" s="100" t="s">
        <v>156</v>
      </c>
      <c r="B41" s="225"/>
      <c r="C41" s="226"/>
      <c r="D41" s="226"/>
      <c r="E41" s="226"/>
      <c r="F41" s="226"/>
      <c r="G41" s="227"/>
      <c r="H41" s="228"/>
      <c r="I41" s="228"/>
      <c r="J41" s="228"/>
      <c r="K41" s="228"/>
      <c r="L41" s="228"/>
      <c r="M41" s="228"/>
      <c r="N41" s="228"/>
      <c r="O41" s="228"/>
      <c r="P41" s="94"/>
    </row>
    <row r="42" spans="1:16" ht="45.75" customHeight="1" thickBot="1" x14ac:dyDescent="0.25">
      <c r="A42" s="100" t="s">
        <v>157</v>
      </c>
      <c r="B42" s="225"/>
      <c r="C42" s="226"/>
      <c r="D42" s="226"/>
      <c r="E42" s="226"/>
      <c r="F42" s="226"/>
      <c r="G42" s="227"/>
      <c r="H42" s="228"/>
      <c r="I42" s="228"/>
      <c r="J42" s="228"/>
      <c r="K42" s="228"/>
      <c r="L42" s="228"/>
      <c r="M42" s="228"/>
      <c r="N42" s="228"/>
      <c r="O42" s="228"/>
      <c r="P42" s="94"/>
    </row>
    <row r="43" spans="1:16" ht="45.75" customHeight="1" thickBot="1" x14ac:dyDescent="0.25">
      <c r="A43" s="100" t="s">
        <v>158</v>
      </c>
      <c r="B43" s="225"/>
      <c r="C43" s="226"/>
      <c r="D43" s="226"/>
      <c r="E43" s="226"/>
      <c r="F43" s="226"/>
      <c r="G43" s="227"/>
      <c r="H43" s="228"/>
      <c r="I43" s="228"/>
      <c r="J43" s="228"/>
      <c r="K43" s="228"/>
      <c r="L43" s="228"/>
      <c r="M43" s="228"/>
      <c r="N43" s="228"/>
      <c r="O43" s="228"/>
      <c r="P43" s="94"/>
    </row>
    <row r="44" spans="1:16" ht="45.75" customHeight="1" thickBot="1" x14ac:dyDescent="0.25">
      <c r="A44" s="100" t="s">
        <v>159</v>
      </c>
      <c r="B44" s="225"/>
      <c r="C44" s="226"/>
      <c r="D44" s="226"/>
      <c r="E44" s="226"/>
      <c r="F44" s="226"/>
      <c r="G44" s="227"/>
      <c r="H44" s="228"/>
      <c r="I44" s="228"/>
      <c r="J44" s="228"/>
      <c r="K44" s="228"/>
      <c r="L44" s="228"/>
      <c r="M44" s="228"/>
      <c r="N44" s="228"/>
      <c r="O44" s="228"/>
      <c r="P44" s="94"/>
    </row>
    <row r="45" spans="1:16" ht="45.75" customHeight="1" thickBot="1" x14ac:dyDescent="0.25">
      <c r="A45" s="100" t="s">
        <v>160</v>
      </c>
      <c r="B45" s="225"/>
      <c r="C45" s="226"/>
      <c r="D45" s="226"/>
      <c r="E45" s="226"/>
      <c r="F45" s="226"/>
      <c r="G45" s="227"/>
      <c r="H45" s="228"/>
      <c r="I45" s="228"/>
      <c r="J45" s="228"/>
      <c r="K45" s="228"/>
      <c r="L45" s="228"/>
      <c r="M45" s="228"/>
      <c r="N45" s="228"/>
      <c r="O45" s="228"/>
      <c r="P45" s="94"/>
    </row>
    <row r="46" spans="1:16" ht="45.75" customHeight="1" thickBot="1" x14ac:dyDescent="0.25">
      <c r="A46" s="100" t="s">
        <v>161</v>
      </c>
      <c r="B46" s="225"/>
      <c r="C46" s="226"/>
      <c r="D46" s="226"/>
      <c r="E46" s="226"/>
      <c r="F46" s="226"/>
      <c r="G46" s="227"/>
      <c r="H46" s="228"/>
      <c r="I46" s="228"/>
      <c r="J46" s="228"/>
      <c r="K46" s="228"/>
      <c r="L46" s="228"/>
      <c r="M46" s="228"/>
      <c r="N46" s="228"/>
      <c r="O46" s="228"/>
      <c r="P46" s="94"/>
    </row>
    <row r="47" spans="1:16" ht="45.75" customHeight="1" thickBot="1" x14ac:dyDescent="0.25">
      <c r="A47" s="100" t="s">
        <v>162</v>
      </c>
      <c r="B47" s="225"/>
      <c r="C47" s="226"/>
      <c r="D47" s="226"/>
      <c r="E47" s="226"/>
      <c r="F47" s="226"/>
      <c r="G47" s="227"/>
      <c r="H47" s="228"/>
      <c r="I47" s="228"/>
      <c r="J47" s="228"/>
      <c r="K47" s="228"/>
      <c r="L47" s="228"/>
      <c r="M47" s="228"/>
      <c r="N47" s="228"/>
      <c r="O47" s="228"/>
      <c r="P47" s="94"/>
    </row>
    <row r="48" spans="1:16" ht="45.75" customHeight="1" thickBot="1" x14ac:dyDescent="0.25">
      <c r="A48" s="100" t="s">
        <v>163</v>
      </c>
      <c r="B48" s="225"/>
      <c r="C48" s="226"/>
      <c r="D48" s="226"/>
      <c r="E48" s="226"/>
      <c r="F48" s="226"/>
      <c r="G48" s="227"/>
      <c r="H48" s="228"/>
      <c r="I48" s="228"/>
      <c r="J48" s="228"/>
      <c r="K48" s="228"/>
      <c r="L48" s="228"/>
      <c r="M48" s="228"/>
      <c r="N48" s="228"/>
      <c r="O48" s="228"/>
      <c r="P48" s="94"/>
    </row>
    <row r="49" spans="1:16" ht="45.75" customHeight="1" thickBot="1" x14ac:dyDescent="0.25">
      <c r="A49" s="100" t="s">
        <v>164</v>
      </c>
      <c r="B49" s="225"/>
      <c r="C49" s="226"/>
      <c r="D49" s="226"/>
      <c r="E49" s="226"/>
      <c r="F49" s="226"/>
      <c r="G49" s="227"/>
      <c r="H49" s="228"/>
      <c r="I49" s="228"/>
      <c r="J49" s="228"/>
      <c r="K49" s="228"/>
      <c r="L49" s="228"/>
      <c r="M49" s="228"/>
      <c r="N49" s="228"/>
      <c r="O49" s="228"/>
      <c r="P49" s="94"/>
    </row>
    <row r="50" spans="1:16" ht="45.75" customHeight="1" thickBot="1" x14ac:dyDescent="0.25">
      <c r="A50" s="100" t="s">
        <v>165</v>
      </c>
      <c r="B50" s="225"/>
      <c r="C50" s="226"/>
      <c r="D50" s="226"/>
      <c r="E50" s="226"/>
      <c r="F50" s="226"/>
      <c r="G50" s="227"/>
      <c r="H50" s="228"/>
      <c r="I50" s="228"/>
      <c r="J50" s="228"/>
      <c r="K50" s="228"/>
      <c r="L50" s="228"/>
      <c r="M50" s="228"/>
      <c r="N50" s="228"/>
      <c r="O50" s="228"/>
      <c r="P50" s="94"/>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3" priority="33" operator="equal">
      <formula>"Nok"</formula>
    </cfRule>
    <cfRule type="cellIs" dxfId="32" priority="34" operator="equal">
      <formula>"Ok"</formula>
    </cfRule>
  </conditionalFormatting>
  <conditionalFormatting sqref="P22:P30">
    <cfRule type="cellIs" dxfId="31" priority="31" operator="equal">
      <formula>"Nok"</formula>
    </cfRule>
    <cfRule type="cellIs" dxfId="30" priority="32" operator="equal">
      <formula>"Ok"</formula>
    </cfRule>
  </conditionalFormatting>
  <conditionalFormatting sqref="P31:P35">
    <cfRule type="cellIs" dxfId="29" priority="29" operator="equal">
      <formula>"Nok"</formula>
    </cfRule>
    <cfRule type="cellIs" dxfId="28" priority="30" operator="equal">
      <formula>"Ok"</formula>
    </cfRule>
  </conditionalFormatting>
  <conditionalFormatting sqref="P36:P37">
    <cfRule type="cellIs" dxfId="27" priority="27" operator="equal">
      <formula>"Nok"</formula>
    </cfRule>
    <cfRule type="cellIs" dxfId="26" priority="28" operator="equal">
      <formula>"Ok"</formula>
    </cfRule>
  </conditionalFormatting>
  <conditionalFormatting sqref="P38">
    <cfRule type="cellIs" dxfId="25" priority="25" operator="equal">
      <formula>"Nok"</formula>
    </cfRule>
    <cfRule type="cellIs" dxfId="24" priority="26" operator="equal">
      <formula>"Ok"</formula>
    </cfRule>
  </conditionalFormatting>
  <conditionalFormatting sqref="P39">
    <cfRule type="cellIs" dxfId="23" priority="23" operator="equal">
      <formula>"Nok"</formula>
    </cfRule>
    <cfRule type="cellIs" dxfId="22" priority="24" operator="equal">
      <formula>"Ok"</formula>
    </cfRule>
  </conditionalFormatting>
  <conditionalFormatting sqref="P40">
    <cfRule type="cellIs" dxfId="21" priority="21" operator="equal">
      <formula>"Nok"</formula>
    </cfRule>
    <cfRule type="cellIs" dxfId="20" priority="22" operator="equal">
      <formula>"Ok"</formula>
    </cfRule>
  </conditionalFormatting>
  <conditionalFormatting sqref="P41">
    <cfRule type="cellIs" dxfId="19" priority="19" operator="equal">
      <formula>"Nok"</formula>
    </cfRule>
    <cfRule type="cellIs" dxfId="18" priority="20" operator="equal">
      <formula>"Ok"</formula>
    </cfRule>
  </conditionalFormatting>
  <conditionalFormatting sqref="P42">
    <cfRule type="cellIs" dxfId="17" priority="17" operator="equal">
      <formula>"Nok"</formula>
    </cfRule>
    <cfRule type="cellIs" dxfId="16" priority="18" operator="equal">
      <formula>"Ok"</formula>
    </cfRule>
  </conditionalFormatting>
  <conditionalFormatting sqref="P43">
    <cfRule type="cellIs" dxfId="15" priority="15" operator="equal">
      <formula>"Nok"</formula>
    </cfRule>
    <cfRule type="cellIs" dxfId="14" priority="16" operator="equal">
      <formula>"Ok"</formula>
    </cfRule>
  </conditionalFormatting>
  <conditionalFormatting sqref="P44">
    <cfRule type="cellIs" dxfId="13" priority="13" operator="equal">
      <formula>"Nok"</formula>
    </cfRule>
    <cfRule type="cellIs" dxfId="12" priority="14" operator="equal">
      <formula>"Ok"</formula>
    </cfRule>
  </conditionalFormatting>
  <conditionalFormatting sqref="P45">
    <cfRule type="cellIs" dxfId="11" priority="11" operator="equal">
      <formula>"Nok"</formula>
    </cfRule>
    <cfRule type="cellIs" dxfId="10" priority="12" operator="equal">
      <formula>"Ok"</formula>
    </cfRule>
  </conditionalFormatting>
  <conditionalFormatting sqref="P46">
    <cfRule type="cellIs" dxfId="9" priority="9" operator="equal">
      <formula>"Nok"</formula>
    </cfRule>
    <cfRule type="cellIs" dxfId="8" priority="10" operator="equal">
      <formula>"Ok"</formula>
    </cfRule>
  </conditionalFormatting>
  <conditionalFormatting sqref="P47">
    <cfRule type="cellIs" dxfId="7" priority="7" operator="equal">
      <formula>"Nok"</formula>
    </cfRule>
    <cfRule type="cellIs" dxfId="6" priority="8" operator="equal">
      <formula>"Ok"</formula>
    </cfRule>
  </conditionalFormatting>
  <conditionalFormatting sqref="P48">
    <cfRule type="cellIs" dxfId="5" priority="5" operator="equal">
      <formula>"Nok"</formula>
    </cfRule>
    <cfRule type="cellIs" dxfId="4" priority="6" operator="equal">
      <formula>"Ok"</formula>
    </cfRule>
  </conditionalFormatting>
  <conditionalFormatting sqref="P49">
    <cfRule type="cellIs" dxfId="3" priority="3" operator="equal">
      <formula>"Nok"</formula>
    </cfRule>
    <cfRule type="cellIs" dxfId="2" priority="4" operator="equal">
      <formula>"Ok"</formula>
    </cfRule>
  </conditionalFormatting>
  <conditionalFormatting sqref="P50">
    <cfRule type="cellIs" dxfId="1" priority="1" operator="equal">
      <formula>"Nok"</formula>
    </cfRule>
    <cfRule type="cellIs" dxfId="0"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H26"/>
  <sheetViews>
    <sheetView zoomScaleNormal="100" workbookViewId="0">
      <selection activeCell="H26" sqref="H26:K26"/>
    </sheetView>
  </sheetViews>
  <sheetFormatPr defaultRowHeight="15" x14ac:dyDescent="0.25"/>
  <cols>
    <col min="1" max="1" width="4.28515625" style="103" customWidth="1"/>
    <col min="2" max="2" width="24.85546875" style="103" customWidth="1"/>
    <col min="3" max="3" width="4.5703125" style="103" customWidth="1"/>
    <col min="4" max="4" width="4.42578125" style="103" customWidth="1"/>
    <col min="5" max="5" width="29.85546875" style="103" bestFit="1" customWidth="1"/>
    <col min="6" max="6" width="9.85546875" style="103" customWidth="1"/>
    <col min="7" max="16384" width="9.140625" style="103"/>
  </cols>
  <sheetData>
    <row r="2" spans="2:6" x14ac:dyDescent="0.25">
      <c r="B2" s="102" t="s">
        <v>61</v>
      </c>
      <c r="C2" s="102">
        <f ca="1">COUNTIF('Tests Synthesis'!K3:K35, "Ok")</f>
        <v>6</v>
      </c>
      <c r="E2" s="104" t="s">
        <v>62</v>
      </c>
      <c r="F2" s="105">
        <f ca="1">IF(C6=0,0,C2/C6)</f>
        <v>0.5</v>
      </c>
    </row>
    <row r="3" spans="2:6" x14ac:dyDescent="0.25">
      <c r="B3" s="102" t="s">
        <v>63</v>
      </c>
      <c r="C3" s="102">
        <f ca="1">COUNTIF('Tests Synthesis'!K3:K35, "Nok")</f>
        <v>3</v>
      </c>
      <c r="E3" s="104" t="s">
        <v>64</v>
      </c>
      <c r="F3" s="105">
        <f ca="1">IF(C6=0,0,C3/C6)</f>
        <v>0.25</v>
      </c>
    </row>
    <row r="4" spans="2:6" x14ac:dyDescent="0.25">
      <c r="B4" s="102" t="s">
        <v>65</v>
      </c>
      <c r="C4" s="102">
        <f ca="1">COUNTIF('Tests Synthesis'!K3:K35, "not run")</f>
        <v>3</v>
      </c>
      <c r="E4" s="102" t="s">
        <v>66</v>
      </c>
      <c r="F4" s="105">
        <f ca="1">IF(C6=0,0,C4/C6)</f>
        <v>0.25</v>
      </c>
    </row>
    <row r="5" spans="2:6" x14ac:dyDescent="0.25">
      <c r="B5" s="102" t="s">
        <v>119</v>
      </c>
      <c r="C5" s="102">
        <f ca="1">COUNTIF('Tests Synthesis'!K4:K36, "NA")</f>
        <v>0</v>
      </c>
      <c r="E5" s="102" t="s">
        <v>120</v>
      </c>
      <c r="F5" s="105">
        <f>IF(C7=0,0,C5/C7)</f>
        <v>0</v>
      </c>
    </row>
    <row r="6" spans="2:6" x14ac:dyDescent="0.25">
      <c r="B6" s="102" t="s">
        <v>67</v>
      </c>
      <c r="C6" s="102">
        <f ca="1">SUM(C2:C4)</f>
        <v>12</v>
      </c>
    </row>
    <row r="26" spans="8:8" x14ac:dyDescent="0.25">
      <c r="H26" s="103" t="s">
        <v>154</v>
      </c>
    </row>
  </sheetData>
  <pageMargins left="0.7" right="0.7" top="0.75" bottom="0.75" header="0.3" footer="0.3"/>
  <pageSetup paperSize="9" orientation="portrait" r:id="rId1"/>
  <headerFooter>
    <oddFooter>&amp;LE1355904 rev 000 ver 001&amp;R&amp;P</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29</vt:i4>
      </vt:variant>
      <vt:variant>
        <vt:lpstr>Named Ranges</vt:lpstr>
      </vt:variant>
      <vt:variant>
        <vt:i4>12</vt:i4>
      </vt:variant>
    </vt:vector>
  </HeadingPairs>
  <TitlesOfParts>
    <vt:vector size="41" baseType="lpstr">
      <vt:lpstr>FrontPage</vt:lpstr>
      <vt:lpstr>General info</vt:lpstr>
      <vt:lpstr>Guide (help)</vt:lpstr>
      <vt:lpstr>Tests Synthesis</vt:lpstr>
      <vt:lpstr>SYS_Review_SF01_OK</vt:lpstr>
      <vt:lpstr>SYS_Review_SF01_TBDorNOK</vt:lpstr>
      <vt:lpstr>SYS_Review_SF02_OK</vt:lpstr>
      <vt:lpstr>SYS_Review_SF02_TBD</vt:lpstr>
      <vt:lpstr>SYS_Review_SF03_OK</vt:lpstr>
      <vt:lpstr>SYS_Review_SF03_TBDorNOK</vt:lpstr>
      <vt:lpstr>SYS_Review_SF04_OK</vt:lpstr>
      <vt:lpstr>SYS_Review_SF04_TBDorNOK</vt:lpstr>
      <vt:lpstr>SYSReview_SF05_OK</vt:lpstr>
      <vt:lpstr>SYSReview_SF05_TBD</vt:lpstr>
      <vt:lpstr>SYSReview_SF06_OK</vt:lpstr>
      <vt:lpstr>SYS_Review_SF06_TBD</vt:lpstr>
      <vt:lpstr>SYS_Review_SF07_OK</vt:lpstr>
      <vt:lpstr>SYS_Review_SF07_TBD</vt:lpstr>
      <vt:lpstr>SYS_Review_SF08_OK</vt:lpstr>
      <vt:lpstr>SYSReview_SF08_TBD</vt:lpstr>
      <vt:lpstr>SYSReview_SF09_OK</vt:lpstr>
      <vt:lpstr>SYSReview_SF09_TBD</vt:lpstr>
      <vt:lpstr>SYSReview_SF10_OK</vt:lpstr>
      <vt:lpstr>SYSReview_SF10_TBD</vt:lpstr>
      <vt:lpstr>SYSReview_SF11_OK</vt:lpstr>
      <vt:lpstr>SYSReview_SF11_TBD</vt:lpstr>
      <vt:lpstr>SYSReview_SF12_OK</vt:lpstr>
      <vt:lpstr>SYSReview_SF12_TBD</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Redon</dc:creator>
  <cp:lastModifiedBy>Jerome Lacroix</cp:lastModifiedBy>
  <cp:lastPrinted>2011-11-28T23:54:39Z</cp:lastPrinted>
  <dcterms:created xsi:type="dcterms:W3CDTF">2008-08-11T11:06:44Z</dcterms:created>
  <dcterms:modified xsi:type="dcterms:W3CDTF">2016-11-10T14:37:52Z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filetime>2014-06-15T22:00:00Z</vt:filetime>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124479 AHO GPM EL EL ECU PP LOW COST</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C. Sauvage, S. Flechelle, T. Demirel, S. Claveau, F. Gilbert, H. Egnifi, A. LeBeherec, E. Mariniuc, A. Teban, V. Rus-Staroste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E1355904</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000</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SWArchitectureGlobalIntegrationTests - SW Scheduling</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001</vt:lpwstr>
  </property>
</Properties>
</file>