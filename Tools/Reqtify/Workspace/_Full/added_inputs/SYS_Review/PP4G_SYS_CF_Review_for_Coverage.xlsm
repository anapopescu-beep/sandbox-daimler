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comments33.xml" ContentType="application/vnd.openxmlformats-officedocument.spreadsheetml.comments+xml"/>
  <Override PartName="/xl/comments34.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samuel.delcloy\Desktop\"/>
    </mc:Choice>
  </mc:AlternateContent>
  <bookViews>
    <workbookView xWindow="-2910" yWindow="-255" windowWidth="10380" windowHeight="9495" tabRatio="768" firstSheet="3" activeTab="3"/>
  </bookViews>
  <sheets>
    <sheet name="FrontPage" sheetId="4" r:id="rId1"/>
    <sheet name="General info" sheetId="11" r:id="rId2"/>
    <sheet name="Guide (help)" sheetId="18" r:id="rId3"/>
    <sheet name="Tests Synthesis" sheetId="13" r:id="rId4"/>
    <sheet name="SYS_Review_C01_TBD" sheetId="35" r:id="rId5"/>
    <sheet name="SYS_Review_C02_OK" sheetId="36" r:id="rId6"/>
    <sheet name="SYS_Review_C02_TBD" sheetId="37" r:id="rId7"/>
    <sheet name="SYS_Review_C03_TBD" sheetId="39" r:id="rId8"/>
    <sheet name="SYS_Review_C04_OK" sheetId="14" r:id="rId9"/>
    <sheet name="SYS_Review_C04_TBD" sheetId="32" r:id="rId10"/>
    <sheet name="SYS_Review_C07_OK" sheetId="38" r:id="rId11"/>
    <sheet name="SYS_Review_C07_TBD" sheetId="40" r:id="rId12"/>
    <sheet name="SYS_Review_C08_OK" sheetId="41" r:id="rId13"/>
    <sheet name="SYS_Review_C08_TBD" sheetId="42" r:id="rId14"/>
    <sheet name="SYS_Review_C12_OK" sheetId="43" r:id="rId15"/>
    <sheet name="SYS_Review_C14_OK" sheetId="44" r:id="rId16"/>
    <sheet name="SYS_Review_C15_OK" sheetId="45" r:id="rId17"/>
    <sheet name="SYS_Review_C16_OK" sheetId="46" r:id="rId18"/>
    <sheet name="SYS_Review_C16_NOK" sheetId="47" r:id="rId19"/>
    <sheet name="SYS_Review_C18_OK" sheetId="49" r:id="rId20"/>
    <sheet name="SYS_Review_C18_TBD" sheetId="48" r:id="rId21"/>
    <sheet name="SYS_Review_C19_OK" sheetId="50" r:id="rId22"/>
    <sheet name="SYS_Review_C20_TBD" sheetId="51" r:id="rId23"/>
    <sheet name="SYS_Review_C24_TBD" sheetId="52" r:id="rId24"/>
    <sheet name="SYS_Review_C25_TBD" sheetId="53" r:id="rId25"/>
    <sheet name="SYS_Review_C26_OK" sheetId="54" r:id="rId26"/>
    <sheet name="SYS_Review_C26_TBD" sheetId="55" r:id="rId27"/>
    <sheet name="SYS_Review_C27_OK" sheetId="56" r:id="rId28"/>
    <sheet name="SYS_Review_C27_TBD" sheetId="57" r:id="rId29"/>
    <sheet name="SYS_Review_C27_NOK" sheetId="58" r:id="rId30"/>
    <sheet name="SYS_Review_C28_OK" sheetId="59" r:id="rId31"/>
    <sheet name="SYS_Review_C28_TBD" sheetId="60" r:id="rId32"/>
    <sheet name="SYS_Review_C29_OK" sheetId="61" r:id="rId33"/>
    <sheet name="SYS_Review_C30_NOK" sheetId="62" r:id="rId34"/>
    <sheet name="SYS_Review_C30_TBD" sheetId="63" r:id="rId35"/>
    <sheet name="SYS_Review_C31_OK" sheetId="64" r:id="rId36"/>
    <sheet name="Metrics" sheetId="16" r:id="rId37"/>
  </sheets>
  <externalReferences>
    <externalReference r:id="rId38"/>
  </externalReferences>
  <definedNames>
    <definedName name="FileName">FrontPage!$AD$3</definedName>
    <definedName name="MXActual_state_Released">FrontPage!$AB$5</definedName>
    <definedName name="MXAuthority">FrontPage!$A$5</definedName>
    <definedName name="MXCurrent.Localized">FrontPage!$W$5</definedName>
    <definedName name="MXName">FrontPage!$A$7</definedName>
    <definedName name="MXPolicy" localSheetId="2">FrontPage!#REF!</definedName>
    <definedName name="MXPolicy" localSheetId="4">FrontPage!#REF!</definedName>
    <definedName name="MXPolicy" localSheetId="5">FrontPage!#REF!</definedName>
    <definedName name="MXPolicy" localSheetId="6">FrontPage!#REF!</definedName>
    <definedName name="MXPolicy" localSheetId="7">FrontPage!#REF!</definedName>
    <definedName name="MXPolicy" localSheetId="9">FrontPage!#REF!</definedName>
    <definedName name="MXPolicy" localSheetId="10">FrontPage!#REF!</definedName>
    <definedName name="MXPolicy" localSheetId="11">FrontPage!#REF!</definedName>
    <definedName name="MXPolicy" localSheetId="12">FrontPage!#REF!</definedName>
    <definedName name="MXPolicy" localSheetId="13">FrontPage!#REF!</definedName>
    <definedName name="MXPolicy" localSheetId="14">FrontPage!#REF!</definedName>
    <definedName name="MXPolicy" localSheetId="15">FrontPage!#REF!</definedName>
    <definedName name="MXPolicy" localSheetId="16">FrontPage!#REF!</definedName>
    <definedName name="MXPolicy" localSheetId="18">FrontPage!#REF!</definedName>
    <definedName name="MXPolicy" localSheetId="17">FrontPage!#REF!</definedName>
    <definedName name="MXPolicy" localSheetId="19">FrontPage!#REF!</definedName>
    <definedName name="MXPolicy" localSheetId="20">FrontPage!#REF!</definedName>
    <definedName name="MXPolicy" localSheetId="21">FrontPage!#REF!</definedName>
    <definedName name="MXPolicy" localSheetId="22">FrontPage!#REF!</definedName>
    <definedName name="MXPolicy" localSheetId="23">FrontPage!#REF!</definedName>
    <definedName name="MXPolicy" localSheetId="24">FrontPage!#REF!</definedName>
    <definedName name="MXPolicy" localSheetId="25">FrontPage!#REF!</definedName>
    <definedName name="MXPolicy" localSheetId="26">FrontPage!#REF!</definedName>
    <definedName name="MXPolicy" localSheetId="29">FrontPage!#REF!</definedName>
    <definedName name="MXPolicy" localSheetId="27">FrontPage!#REF!</definedName>
    <definedName name="MXPolicy" localSheetId="28">FrontPage!#REF!</definedName>
    <definedName name="MXPolicy" localSheetId="30">FrontPage!#REF!</definedName>
    <definedName name="MXPolicy" localSheetId="31">FrontPage!#REF!</definedName>
    <definedName name="MXPolicy" localSheetId="32">FrontPage!#REF!</definedName>
    <definedName name="MXPolicy" localSheetId="33">FrontPage!#REF!</definedName>
    <definedName name="MXPolicy" localSheetId="34">FrontPage!#REF!</definedName>
    <definedName name="MXPolicy" localSheetId="35">FrontPage!#REF!</definedName>
    <definedName name="MXPolicy">FrontPage!#REF!</definedName>
    <definedName name="MXRevision">FrontPage!$AB$7</definedName>
    <definedName name="MXTitle">FrontPage!$E$7</definedName>
    <definedName name="MXType.Localized" localSheetId="2">FrontPage!#REF!</definedName>
    <definedName name="MXType.Localized" localSheetId="4">FrontPage!#REF!</definedName>
    <definedName name="MXType.Localized" localSheetId="5">FrontPage!#REF!</definedName>
    <definedName name="MXType.Localized" localSheetId="6">FrontPage!#REF!</definedName>
    <definedName name="MXType.Localized" localSheetId="7">FrontPage!#REF!</definedName>
    <definedName name="MXType.Localized" localSheetId="9">FrontPage!#REF!</definedName>
    <definedName name="MXType.Localized" localSheetId="10">FrontPage!#REF!</definedName>
    <definedName name="MXType.Localized" localSheetId="11">FrontPage!#REF!</definedName>
    <definedName name="MXType.Localized" localSheetId="12">FrontPage!#REF!</definedName>
    <definedName name="MXType.Localized" localSheetId="13">FrontPage!#REF!</definedName>
    <definedName name="MXType.Localized" localSheetId="14">FrontPage!#REF!</definedName>
    <definedName name="MXType.Localized" localSheetId="15">FrontPage!#REF!</definedName>
    <definedName name="MXType.Localized" localSheetId="16">FrontPage!#REF!</definedName>
    <definedName name="MXType.Localized" localSheetId="18">FrontPage!#REF!</definedName>
    <definedName name="MXType.Localized" localSheetId="17">FrontPage!#REF!</definedName>
    <definedName name="MXType.Localized" localSheetId="19">FrontPage!#REF!</definedName>
    <definedName name="MXType.Localized" localSheetId="20">FrontPage!#REF!</definedName>
    <definedName name="MXType.Localized" localSheetId="21">FrontPage!#REF!</definedName>
    <definedName name="MXType.Localized" localSheetId="22">FrontPage!#REF!</definedName>
    <definedName name="MXType.Localized" localSheetId="23">FrontPage!#REF!</definedName>
    <definedName name="MXType.Localized" localSheetId="24">FrontPage!#REF!</definedName>
    <definedName name="MXType.Localized" localSheetId="25">FrontPage!#REF!</definedName>
    <definedName name="MXType.Localized" localSheetId="26">FrontPage!#REF!</definedName>
    <definedName name="MXType.Localized" localSheetId="29">FrontPage!#REF!</definedName>
    <definedName name="MXType.Localized" localSheetId="27">FrontPage!#REF!</definedName>
    <definedName name="MXType.Localized" localSheetId="28">FrontPage!#REF!</definedName>
    <definedName name="MXType.Localized" localSheetId="30">FrontPage!#REF!</definedName>
    <definedName name="MXType.Localized" localSheetId="31">FrontPage!#REF!</definedName>
    <definedName name="MXType.Localized" localSheetId="32">FrontPage!#REF!</definedName>
    <definedName name="MXType.Localized" localSheetId="33">FrontPage!#REF!</definedName>
    <definedName name="MXType.Localized" localSheetId="34">FrontPage!#REF!</definedName>
    <definedName name="MXType.Localized" localSheetId="35">FrontPage!#REF!</definedName>
    <definedName name="MXType.Localized">FrontPage!#REF!</definedName>
    <definedName name="MXVersion">FrontPage!$AE$7</definedName>
    <definedName name="PLMDocAuthor">FrontPage!$F$10</definedName>
    <definedName name="_xlnm.Print_Titles" localSheetId="1">'General info'!$1:$10</definedName>
    <definedName name="_xlnm.Print_Titles" localSheetId="2">'Guide (help)'!$1:$1</definedName>
    <definedName name="SW_IT_ADC_00005" localSheetId="4">[1]FrontPage!#REF!</definedName>
    <definedName name="SW_IT_ADC_00005" localSheetId="5">[1]FrontPage!#REF!</definedName>
    <definedName name="SW_IT_ADC_00005" localSheetId="6">[1]FrontPage!#REF!</definedName>
    <definedName name="SW_IT_ADC_00005" localSheetId="7">[1]FrontPage!#REF!</definedName>
    <definedName name="SW_IT_ADC_00005" localSheetId="9">[1]FrontPage!#REF!</definedName>
    <definedName name="SW_IT_ADC_00005" localSheetId="10">[1]FrontPage!#REF!</definedName>
    <definedName name="SW_IT_ADC_00005" localSheetId="11">[1]FrontPage!#REF!</definedName>
    <definedName name="SW_IT_ADC_00005" localSheetId="12">[1]FrontPage!#REF!</definedName>
    <definedName name="SW_IT_ADC_00005" localSheetId="13">[1]FrontPage!#REF!</definedName>
    <definedName name="SW_IT_ADC_00005" localSheetId="14">[1]FrontPage!#REF!</definedName>
    <definedName name="SW_IT_ADC_00005" localSheetId="15">[1]FrontPage!#REF!</definedName>
    <definedName name="SW_IT_ADC_00005" localSheetId="16">[1]FrontPage!#REF!</definedName>
    <definedName name="SW_IT_ADC_00005" localSheetId="18">[1]FrontPage!#REF!</definedName>
    <definedName name="SW_IT_ADC_00005" localSheetId="17">[1]FrontPage!#REF!</definedName>
    <definedName name="SW_IT_ADC_00005" localSheetId="19">[1]FrontPage!#REF!</definedName>
    <definedName name="SW_IT_ADC_00005" localSheetId="20">[1]FrontPage!#REF!</definedName>
    <definedName name="SW_IT_ADC_00005" localSheetId="21">[1]FrontPage!#REF!</definedName>
    <definedName name="SW_IT_ADC_00005" localSheetId="22">[1]FrontPage!#REF!</definedName>
    <definedName name="SW_IT_ADC_00005" localSheetId="23">[1]FrontPage!#REF!</definedName>
    <definedName name="SW_IT_ADC_00005" localSheetId="24">[1]FrontPage!#REF!</definedName>
    <definedName name="SW_IT_ADC_00005" localSheetId="25">[1]FrontPage!#REF!</definedName>
    <definedName name="SW_IT_ADC_00005" localSheetId="26">[1]FrontPage!#REF!</definedName>
    <definedName name="SW_IT_ADC_00005" localSheetId="29">[1]FrontPage!#REF!</definedName>
    <definedName name="SW_IT_ADC_00005" localSheetId="27">[1]FrontPage!#REF!</definedName>
    <definedName name="SW_IT_ADC_00005" localSheetId="28">[1]FrontPage!#REF!</definedName>
    <definedName name="SW_IT_ADC_00005" localSheetId="30">[1]FrontPage!#REF!</definedName>
    <definedName name="SW_IT_ADC_00005" localSheetId="31">[1]FrontPage!#REF!</definedName>
    <definedName name="SW_IT_ADC_00005" localSheetId="32">[1]FrontPage!#REF!</definedName>
    <definedName name="SW_IT_ADC_00005" localSheetId="33">[1]FrontPage!#REF!</definedName>
    <definedName name="SW_IT_ADC_00005" localSheetId="34">[1]FrontPage!#REF!</definedName>
    <definedName name="SW_IT_ADC_00005" localSheetId="35">[1]FrontPage!#REF!</definedName>
    <definedName name="SW_IT_ADC_00005">[1]FrontPage!#REF!</definedName>
    <definedName name="SW_IT_ADC_00006" localSheetId="4">[1]FrontPage!#REF!</definedName>
    <definedName name="SW_IT_ADC_00006" localSheetId="5">[1]FrontPage!#REF!</definedName>
    <definedName name="SW_IT_ADC_00006" localSheetId="6">[1]FrontPage!#REF!</definedName>
    <definedName name="SW_IT_ADC_00006" localSheetId="7">[1]FrontPage!#REF!</definedName>
    <definedName name="SW_IT_ADC_00006" localSheetId="9">[1]FrontPage!#REF!</definedName>
    <definedName name="SW_IT_ADC_00006" localSheetId="10">[1]FrontPage!#REF!</definedName>
    <definedName name="SW_IT_ADC_00006" localSheetId="11">[1]FrontPage!#REF!</definedName>
    <definedName name="SW_IT_ADC_00006" localSheetId="12">[1]FrontPage!#REF!</definedName>
    <definedName name="SW_IT_ADC_00006" localSheetId="13">[1]FrontPage!#REF!</definedName>
    <definedName name="SW_IT_ADC_00006" localSheetId="14">[1]FrontPage!#REF!</definedName>
    <definedName name="SW_IT_ADC_00006" localSheetId="15">[1]FrontPage!#REF!</definedName>
    <definedName name="SW_IT_ADC_00006" localSheetId="16">[1]FrontPage!#REF!</definedName>
    <definedName name="SW_IT_ADC_00006" localSheetId="18">[1]FrontPage!#REF!</definedName>
    <definedName name="SW_IT_ADC_00006" localSheetId="17">[1]FrontPage!#REF!</definedName>
    <definedName name="SW_IT_ADC_00006" localSheetId="19">[1]FrontPage!#REF!</definedName>
    <definedName name="SW_IT_ADC_00006" localSheetId="20">[1]FrontPage!#REF!</definedName>
    <definedName name="SW_IT_ADC_00006" localSheetId="21">[1]FrontPage!#REF!</definedName>
    <definedName name="SW_IT_ADC_00006" localSheetId="22">[1]FrontPage!#REF!</definedName>
    <definedName name="SW_IT_ADC_00006" localSheetId="23">[1]FrontPage!#REF!</definedName>
    <definedName name="SW_IT_ADC_00006" localSheetId="24">[1]FrontPage!#REF!</definedName>
    <definedName name="SW_IT_ADC_00006" localSheetId="25">[1]FrontPage!#REF!</definedName>
    <definedName name="SW_IT_ADC_00006" localSheetId="26">[1]FrontPage!#REF!</definedName>
    <definedName name="SW_IT_ADC_00006" localSheetId="29">[1]FrontPage!#REF!</definedName>
    <definedName name="SW_IT_ADC_00006" localSheetId="27">[1]FrontPage!#REF!</definedName>
    <definedName name="SW_IT_ADC_00006" localSheetId="28">[1]FrontPage!#REF!</definedName>
    <definedName name="SW_IT_ADC_00006" localSheetId="30">[1]FrontPage!#REF!</definedName>
    <definedName name="SW_IT_ADC_00006" localSheetId="31">[1]FrontPage!#REF!</definedName>
    <definedName name="SW_IT_ADC_00006" localSheetId="32">[1]FrontPage!#REF!</definedName>
    <definedName name="SW_IT_ADC_00006" localSheetId="33">[1]FrontPage!#REF!</definedName>
    <definedName name="SW_IT_ADC_00006" localSheetId="34">[1]FrontPage!#REF!</definedName>
    <definedName name="SW_IT_ADC_00006" localSheetId="35">[1]FrontPage!#REF!</definedName>
    <definedName name="SW_IT_ADC_00006">[1]FrontPage!#REF!</definedName>
    <definedName name="SW_IT_ADC_00007" localSheetId="4">[1]FrontPage!#REF!</definedName>
    <definedName name="SW_IT_ADC_00007" localSheetId="5">[1]FrontPage!#REF!</definedName>
    <definedName name="SW_IT_ADC_00007" localSheetId="6">[1]FrontPage!#REF!</definedName>
    <definedName name="SW_IT_ADC_00007" localSheetId="7">[1]FrontPage!#REF!</definedName>
    <definedName name="SW_IT_ADC_00007" localSheetId="9">[1]FrontPage!#REF!</definedName>
    <definedName name="SW_IT_ADC_00007" localSheetId="10">[1]FrontPage!#REF!</definedName>
    <definedName name="SW_IT_ADC_00007" localSheetId="11">[1]FrontPage!#REF!</definedName>
    <definedName name="SW_IT_ADC_00007" localSheetId="12">[1]FrontPage!#REF!</definedName>
    <definedName name="SW_IT_ADC_00007" localSheetId="13">[1]FrontPage!#REF!</definedName>
    <definedName name="SW_IT_ADC_00007" localSheetId="14">[1]FrontPage!#REF!</definedName>
    <definedName name="SW_IT_ADC_00007" localSheetId="15">[1]FrontPage!#REF!</definedName>
    <definedName name="SW_IT_ADC_00007" localSheetId="16">[1]FrontPage!#REF!</definedName>
    <definedName name="SW_IT_ADC_00007" localSheetId="18">[1]FrontPage!#REF!</definedName>
    <definedName name="SW_IT_ADC_00007" localSheetId="17">[1]FrontPage!#REF!</definedName>
    <definedName name="SW_IT_ADC_00007" localSheetId="19">[1]FrontPage!#REF!</definedName>
    <definedName name="SW_IT_ADC_00007" localSheetId="20">[1]FrontPage!#REF!</definedName>
    <definedName name="SW_IT_ADC_00007" localSheetId="21">[1]FrontPage!#REF!</definedName>
    <definedName name="SW_IT_ADC_00007" localSheetId="22">[1]FrontPage!#REF!</definedName>
    <definedName name="SW_IT_ADC_00007" localSheetId="23">[1]FrontPage!#REF!</definedName>
    <definedName name="SW_IT_ADC_00007" localSheetId="24">[1]FrontPage!#REF!</definedName>
    <definedName name="SW_IT_ADC_00007" localSheetId="25">[1]FrontPage!#REF!</definedName>
    <definedName name="SW_IT_ADC_00007" localSheetId="26">[1]FrontPage!#REF!</definedName>
    <definedName name="SW_IT_ADC_00007" localSheetId="29">[1]FrontPage!#REF!</definedName>
    <definedName name="SW_IT_ADC_00007" localSheetId="27">[1]FrontPage!#REF!</definedName>
    <definedName name="SW_IT_ADC_00007" localSheetId="28">[1]FrontPage!#REF!</definedName>
    <definedName name="SW_IT_ADC_00007" localSheetId="30">[1]FrontPage!#REF!</definedName>
    <definedName name="SW_IT_ADC_00007" localSheetId="31">[1]FrontPage!#REF!</definedName>
    <definedName name="SW_IT_ADC_00007" localSheetId="32">[1]FrontPage!#REF!</definedName>
    <definedName name="SW_IT_ADC_00007" localSheetId="33">[1]FrontPage!#REF!</definedName>
    <definedName name="SW_IT_ADC_00007" localSheetId="34">[1]FrontPage!#REF!</definedName>
    <definedName name="SW_IT_ADC_00007" localSheetId="35">[1]FrontPage!#REF!</definedName>
    <definedName name="SW_IT_ADC_00007">[1]FrontPage!#REF!</definedName>
    <definedName name="SYS_C01_ReqCovByReview_TBD" localSheetId="5">[1]FrontPage!#REF!</definedName>
    <definedName name="SYS_C01_ReqCovByReview_TBD" localSheetId="6">[1]FrontPage!#REF!</definedName>
    <definedName name="SYS_C01_ReqCovByReview_TBD" localSheetId="7">[1]FrontPage!#REF!</definedName>
    <definedName name="SYS_C01_ReqCovByReview_TBD" localSheetId="10">[1]FrontPage!#REF!</definedName>
    <definedName name="SYS_C01_ReqCovByReview_TBD" localSheetId="11">[1]FrontPage!#REF!</definedName>
    <definedName name="SYS_C01_ReqCovByReview_TBD" localSheetId="12">[1]FrontPage!#REF!</definedName>
    <definedName name="SYS_C01_ReqCovByReview_TBD" localSheetId="13">[1]FrontPage!#REF!</definedName>
    <definedName name="SYS_C01_ReqCovByReview_TBD" localSheetId="14">[1]FrontPage!#REF!</definedName>
    <definedName name="SYS_C01_ReqCovByReview_TBD" localSheetId="15">[1]FrontPage!#REF!</definedName>
    <definedName name="SYS_C01_ReqCovByReview_TBD" localSheetId="16">[1]FrontPage!#REF!</definedName>
    <definedName name="SYS_C01_ReqCovByReview_TBD" localSheetId="18">[1]FrontPage!#REF!</definedName>
    <definedName name="SYS_C01_ReqCovByReview_TBD" localSheetId="17">[1]FrontPage!#REF!</definedName>
    <definedName name="SYS_C01_ReqCovByReview_TBD" localSheetId="19">[1]FrontPage!#REF!</definedName>
    <definedName name="SYS_C01_ReqCovByReview_TBD" localSheetId="20">[1]FrontPage!#REF!</definedName>
    <definedName name="SYS_C01_ReqCovByReview_TBD" localSheetId="21">[1]FrontPage!#REF!</definedName>
    <definedName name="SYS_C01_ReqCovByReview_TBD" localSheetId="22">[1]FrontPage!#REF!</definedName>
    <definedName name="SYS_C01_ReqCovByReview_TBD" localSheetId="23">[1]FrontPage!#REF!</definedName>
    <definedName name="SYS_C01_ReqCovByReview_TBD" localSheetId="24">[1]FrontPage!#REF!</definedName>
    <definedName name="SYS_C01_ReqCovByReview_TBD" localSheetId="25">[1]FrontPage!#REF!</definedName>
    <definedName name="SYS_C01_ReqCovByReview_TBD" localSheetId="26">[1]FrontPage!#REF!</definedName>
    <definedName name="SYS_C01_ReqCovByReview_TBD" localSheetId="29">[1]FrontPage!#REF!</definedName>
    <definedName name="SYS_C01_ReqCovByReview_TBD" localSheetId="27">[1]FrontPage!#REF!</definedName>
    <definedName name="SYS_C01_ReqCovByReview_TBD" localSheetId="28">[1]FrontPage!#REF!</definedName>
    <definedName name="SYS_C01_ReqCovByReview_TBD" localSheetId="30">[1]FrontPage!#REF!</definedName>
    <definedName name="SYS_C01_ReqCovByReview_TBD" localSheetId="31">[1]FrontPage!#REF!</definedName>
    <definedName name="SYS_C01_ReqCovByReview_TBD" localSheetId="32">[1]FrontPage!#REF!</definedName>
    <definedName name="SYS_C01_ReqCovByReview_TBD" localSheetId="33">[1]FrontPage!#REF!</definedName>
    <definedName name="SYS_C01_ReqCovByReview_TBD" localSheetId="34">[1]FrontPage!#REF!</definedName>
    <definedName name="SYS_C01_ReqCovByReview_TBD" localSheetId="35">[1]FrontPage!#REF!</definedName>
    <definedName name="SYS_C01_ReqCovByReview_TBD">[1]FrontPage!#REF!</definedName>
    <definedName name="TemplateRef">FrontPage!$W$7</definedName>
  </definedNames>
  <calcPr calcId="152511"/>
</workbook>
</file>

<file path=xl/calcChain.xml><?xml version="1.0" encoding="utf-8"?>
<calcChain xmlns="http://schemas.openxmlformats.org/spreadsheetml/2006/main">
  <c r="K35" i="13" l="1"/>
  <c r="K36" i="13"/>
  <c r="K37" i="13"/>
  <c r="K38" i="13"/>
  <c r="K39" i="13"/>
  <c r="K40" i="13"/>
  <c r="K41" i="13"/>
  <c r="K42" i="13"/>
  <c r="K43" i="13"/>
  <c r="K44" i="13"/>
  <c r="K45" i="13"/>
  <c r="K46" i="13"/>
  <c r="K47" i="13"/>
  <c r="D35" i="13"/>
  <c r="E35" i="13"/>
  <c r="F35" i="13"/>
  <c r="D36" i="13"/>
  <c r="E36" i="13"/>
  <c r="F36" i="13"/>
  <c r="D37" i="13"/>
  <c r="E37" i="13"/>
  <c r="F37" i="13"/>
  <c r="D38" i="13"/>
  <c r="E38" i="13"/>
  <c r="F38" i="13"/>
  <c r="D39" i="13"/>
  <c r="E39" i="13"/>
  <c r="F39" i="13"/>
  <c r="D40" i="13"/>
  <c r="E40" i="13"/>
  <c r="F40" i="13"/>
  <c r="D41" i="13"/>
  <c r="E41" i="13"/>
  <c r="F41" i="13"/>
  <c r="D42" i="13"/>
  <c r="E42" i="13"/>
  <c r="F42" i="13"/>
  <c r="D43" i="13"/>
  <c r="E43" i="13"/>
  <c r="F43" i="13"/>
  <c r="D44" i="13"/>
  <c r="E44" i="13"/>
  <c r="F44" i="13"/>
  <c r="D45" i="13"/>
  <c r="E45" i="13"/>
  <c r="F45" i="13"/>
  <c r="D46" i="13"/>
  <c r="E46" i="13"/>
  <c r="F46" i="13"/>
  <c r="D47" i="13"/>
  <c r="E47" i="13"/>
  <c r="F47" i="13"/>
  <c r="K34" i="13"/>
  <c r="F34" i="13"/>
  <c r="E34" i="13"/>
  <c r="D34" i="13"/>
  <c r="K33" i="13"/>
  <c r="E33" i="13"/>
  <c r="F33" i="13"/>
  <c r="D33" i="13"/>
  <c r="K32" i="13"/>
  <c r="D32" i="13"/>
  <c r="E32" i="13"/>
  <c r="F32" i="13"/>
  <c r="K31" i="13"/>
  <c r="F31" i="13"/>
  <c r="D31" i="13"/>
  <c r="E31" i="13"/>
  <c r="K29" i="13"/>
  <c r="K28" i="13"/>
  <c r="D26" i="13"/>
  <c r="F4" i="13"/>
  <c r="F22" i="13"/>
  <c r="K4" i="13"/>
  <c r="F20" i="13"/>
  <c r="F19" i="13"/>
  <c r="F9" i="13"/>
  <c r="K11" i="13"/>
  <c r="F11" i="13"/>
  <c r="K8" i="13"/>
  <c r="K22" i="13"/>
  <c r="D19" i="13"/>
  <c r="E29" i="13"/>
  <c r="D28" i="13"/>
  <c r="E27" i="13"/>
  <c r="D7" i="13"/>
  <c r="K10" i="13"/>
  <c r="F16" i="13"/>
  <c r="E6" i="13"/>
  <c r="F7" i="13"/>
  <c r="E25" i="13"/>
  <c r="F15" i="13"/>
  <c r="E14" i="13"/>
  <c r="F18" i="13"/>
  <c r="F6" i="13"/>
  <c r="F30" i="13"/>
  <c r="E28" i="13"/>
  <c r="E26" i="13"/>
  <c r="F5" i="13"/>
  <c r="E16" i="13"/>
  <c r="D22" i="13"/>
  <c r="E5" i="13"/>
  <c r="K9" i="13"/>
  <c r="K23" i="13"/>
  <c r="K12" i="13"/>
  <c r="D20" i="13"/>
  <c r="E21" i="13"/>
  <c r="E13" i="13"/>
  <c r="E4" i="13"/>
  <c r="D30" i="13"/>
  <c r="F28" i="13"/>
  <c r="F27" i="13"/>
  <c r="E12" i="13"/>
  <c r="D14" i="13"/>
  <c r="K19" i="13"/>
  <c r="D17" i="13"/>
  <c r="F23" i="13"/>
  <c r="K17" i="13"/>
  <c r="E8" i="13"/>
  <c r="F8" i="13"/>
  <c r="E18" i="13"/>
  <c r="E10" i="13"/>
  <c r="D29" i="13"/>
  <c r="K26" i="13"/>
  <c r="K25" i="13"/>
  <c r="E9" i="13"/>
  <c r="D10" i="13"/>
  <c r="E7" i="13"/>
  <c r="F17" i="13"/>
  <c r="F13" i="13"/>
  <c r="K13" i="13"/>
  <c r="F24" i="13"/>
  <c r="D11" i="13"/>
  <c r="D24" i="13"/>
  <c r="K16" i="13"/>
  <c r="K5" i="13"/>
  <c r="K30" i="13"/>
  <c r="F26" i="13"/>
  <c r="E24" i="13"/>
  <c r="F21" i="13"/>
  <c r="E22" i="13"/>
  <c r="E11" i="13"/>
  <c r="D25" i="13"/>
  <c r="D4" i="13"/>
  <c r="D15" i="13"/>
  <c r="D21" i="13"/>
  <c r="D13" i="13"/>
  <c r="D12" i="13"/>
  <c r="E23" i="13"/>
  <c r="F29" i="13"/>
  <c r="K27" i="13"/>
  <c r="K20" i="13"/>
  <c r="D6" i="13"/>
  <c r="K18" i="13"/>
  <c r="K15" i="13"/>
  <c r="K21" i="13"/>
  <c r="K6" i="13"/>
  <c r="E17" i="13"/>
  <c r="K14" i="13"/>
  <c r="E19" i="13"/>
  <c r="D18" i="13"/>
  <c r="F14" i="13"/>
  <c r="D5" i="13"/>
  <c r="E30" i="13"/>
  <c r="D27" i="13"/>
  <c r="K7" i="13"/>
  <c r="D16" i="13"/>
  <c r="D8" i="13"/>
  <c r="D9" i="13"/>
  <c r="E15" i="13"/>
  <c r="E20" i="13"/>
  <c r="D23" i="13"/>
  <c r="F10" i="13"/>
  <c r="F25" i="13"/>
  <c r="F12" i="13"/>
  <c r="K24" i="13"/>
  <c r="F5" i="16" l="1"/>
  <c r="AE7" i="11"/>
  <c r="AB7" i="11"/>
  <c r="W7" i="11"/>
  <c r="AB5" i="11"/>
  <c r="W5" i="11"/>
  <c r="E7" i="11"/>
  <c r="A7" i="11"/>
  <c r="A5" i="11"/>
  <c r="AD3" i="4"/>
  <c r="AD3" i="11" s="1"/>
  <c r="A23" i="4"/>
  <c r="F3" i="13"/>
  <c r="D3" i="13"/>
  <c r="K3" i="13"/>
  <c r="E3" i="13"/>
  <c r="C5" i="16" l="1"/>
  <c r="C4" i="16"/>
  <c r="C2" i="16"/>
  <c r="C3" i="16"/>
  <c r="C6" i="16" l="1"/>
  <c r="F2" i="16" s="1"/>
  <c r="F3" i="16" l="1"/>
  <c r="F4" i="16"/>
</calcChain>
</file>

<file path=xl/comments1.xml><?xml version="1.0" encoding="utf-8"?>
<comments xmlns="http://schemas.openxmlformats.org/spreadsheetml/2006/main">
  <authors>
    <author>Johannes Kask</author>
  </authors>
  <commentList>
    <comment ref="B15" authorId="0" shapeId="0">
      <text>
        <r>
          <rPr>
            <sz val="8"/>
            <color indexed="81"/>
            <rFont val="Tahoma"/>
            <family val="2"/>
          </rPr>
          <t>Insert name of tabs included in the document</t>
        </r>
        <r>
          <rPr>
            <sz val="8"/>
            <color indexed="81"/>
            <rFont val="Tahoma"/>
            <family val="2"/>
          </rPr>
          <t xml:space="preserve">
</t>
        </r>
      </text>
    </comment>
    <comment ref="G15" authorId="0" shapeId="0">
      <text>
        <r>
          <rPr>
            <sz val="8"/>
            <color indexed="81"/>
            <rFont val="Tahoma"/>
            <family val="2"/>
          </rPr>
          <t>Describe each Tab.</t>
        </r>
      </text>
    </comment>
    <comment ref="B24" authorId="0" shapeId="0">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4" authorId="0" shapeId="0">
      <text>
        <r>
          <rPr>
            <sz val="8"/>
            <color indexed="81"/>
            <rFont val="Tahoma"/>
            <family val="2"/>
          </rPr>
          <t>Date when the Revision is released</t>
        </r>
      </text>
    </comment>
    <comment ref="I24" authorId="0" shapeId="0">
      <text>
        <r>
          <rPr>
            <sz val="8"/>
            <color indexed="81"/>
            <rFont val="Tahoma"/>
            <family val="2"/>
          </rPr>
          <t>Author of the document. Authors if several.</t>
        </r>
      </text>
    </comment>
    <comment ref="R24" authorId="0" shapeId="0">
      <text>
        <r>
          <rPr>
            <sz val="8"/>
            <color indexed="81"/>
            <rFont val="Tahoma"/>
            <family val="2"/>
          </rPr>
          <t>Description or comment on the version. E.g. updated after meeting etc.</t>
        </r>
      </text>
    </comment>
    <comment ref="B40" authorId="0" shapeId="0">
      <text>
        <r>
          <rPr>
            <sz val="8"/>
            <color indexed="81"/>
            <rFont val="Tahoma"/>
            <family val="2"/>
          </rPr>
          <t>ID of possible reference documents. Any ID can be used, suggestion is [Int1], [Int2] etc. for internal references and [Ext1], [Ext2] etc. for external references</t>
        </r>
      </text>
    </comment>
    <comment ref="E40" authorId="0" shapeId="0">
      <text>
        <r>
          <rPr>
            <sz val="8"/>
            <color indexed="81"/>
            <rFont val="Tahoma"/>
            <family val="2"/>
          </rPr>
          <t>Title of reference documents.</t>
        </r>
      </text>
    </comment>
    <comment ref="Y40" authorId="0" shapeId="0">
      <text>
        <r>
          <rPr>
            <sz val="8"/>
            <color indexed="81"/>
            <rFont val="Tahoma"/>
            <family val="2"/>
          </rPr>
          <t>Reference number, e.g. E123456 and revision of the reference.</t>
        </r>
      </text>
    </comment>
    <comment ref="B46" authorId="0" shapeId="0">
      <text>
        <r>
          <rPr>
            <sz val="8"/>
            <color indexed="81"/>
            <rFont val="Tahoma"/>
            <family val="2"/>
          </rPr>
          <t>ID of possible reference documents. Any ID can be used, suggestion is [Int1], [Int2] etc. for internal references and [Ext1], [Ext2] etc. for external references</t>
        </r>
      </text>
    </comment>
    <comment ref="E46" authorId="0" shapeId="0">
      <text>
        <r>
          <rPr>
            <sz val="8"/>
            <color indexed="81"/>
            <rFont val="Tahoma"/>
            <family val="2"/>
          </rPr>
          <t>Title of reference documents.</t>
        </r>
      </text>
    </comment>
    <comment ref="Y46" authorId="0" shapeId="0">
      <text>
        <r>
          <rPr>
            <sz val="8"/>
            <color indexed="81"/>
            <rFont val="Tahoma"/>
            <family val="2"/>
          </rPr>
          <t>Reference number, e.g. E123456 and revision of the reference.</t>
        </r>
      </text>
    </comment>
  </commentList>
</comments>
</file>

<file path=xl/comments2.xml><?xml version="1.0" encoding="utf-8"?>
<comments xmlns="http://schemas.openxmlformats.org/spreadsheetml/2006/main">
  <authors>
    <author>Author</author>
    <author>Francine Chambin</author>
    <author>Crina Baciu</author>
  </authors>
  <commentList>
    <comment ref="C2" authorId="0" shapeId="0">
      <text>
        <r>
          <rPr>
            <b/>
            <sz val="9"/>
            <color indexed="81"/>
            <rFont val="Tahoma"/>
            <family val="2"/>
          </rPr>
          <t xml:space="preserve">To be filled manually.
</t>
        </r>
        <r>
          <rPr>
            <sz val="9"/>
            <color indexed="81"/>
            <rFont val="Tahoma"/>
            <family val="2"/>
          </rPr>
          <t>Write the name of the Test case sheet (SW_IT_xxx).
It is interesting to add an hyperlink to go directly in the test case sheet.</t>
        </r>
      </text>
    </comment>
    <comment ref="D2" authorId="0" shapeId="0">
      <text>
        <r>
          <rPr>
            <b/>
            <sz val="9"/>
            <color indexed="81"/>
            <rFont val="Tahoma"/>
            <family val="2"/>
          </rPr>
          <t>Automatically filled (extracted from SW_IT_xxx sheet)</t>
        </r>
        <r>
          <rPr>
            <sz val="8"/>
            <color indexed="81"/>
            <rFont val="Tahoma"/>
            <family val="2"/>
            <charset val="238"/>
          </rPr>
          <t xml:space="preserve">
</t>
        </r>
        <r>
          <rPr>
            <sz val="9"/>
            <color indexed="81"/>
            <rFont val="Tahoma"/>
            <family val="2"/>
          </rPr>
          <t>Depending on the format of the SW Architecture: DOORS ID / key ID / chapter number, etc.</t>
        </r>
      </text>
    </comment>
    <comment ref="E2" authorId="0" shapeId="0">
      <text>
        <r>
          <rPr>
            <b/>
            <sz val="9"/>
            <color indexed="81"/>
            <rFont val="Tahoma"/>
            <family val="2"/>
          </rPr>
          <t>Test Classification automatically filled (extracted from SW_IT_xxx sheet)
See General Info</t>
        </r>
      </text>
    </comment>
    <comment ref="F2" authorId="1" shapeId="0">
      <text>
        <r>
          <rPr>
            <b/>
            <sz val="9"/>
            <color indexed="81"/>
            <rFont val="Tahoma"/>
            <family val="2"/>
          </rPr>
          <t>Automatically filled
(extracted from SW_IT_xxx sheet)</t>
        </r>
      </text>
    </comment>
    <comment ref="G2" authorId="1" shapeId="0">
      <text>
        <r>
          <rPr>
            <b/>
            <sz val="9"/>
            <color indexed="81"/>
            <rFont val="Tahoma"/>
            <family val="2"/>
          </rPr>
          <t xml:space="preserve">To be filled manually. Use the dropdown list. </t>
        </r>
        <r>
          <rPr>
            <sz val="9"/>
            <color indexed="81"/>
            <rFont val="Tahoma"/>
            <family val="2"/>
          </rPr>
          <t xml:space="preserve">
A cross"X" means that this test case has been identified during the impact analysis as necessary for controlling that the changes to the software do not introduce regressions.
</t>
        </r>
      </text>
    </comment>
    <comment ref="H2" authorId="1" shapeId="0">
      <text>
        <r>
          <rPr>
            <b/>
            <sz val="9"/>
            <color indexed="81"/>
            <rFont val="Tahoma"/>
            <family val="2"/>
          </rPr>
          <t xml:space="preserve">Priority number : 
To be filled manually. 
</t>
        </r>
        <r>
          <rPr>
            <sz val="9"/>
            <color indexed="81"/>
            <rFont val="Tahoma"/>
            <family val="2"/>
          </rPr>
          <t>Use the dropdown list</t>
        </r>
        <r>
          <rPr>
            <sz val="9"/>
            <color indexed="81"/>
            <rFont val="Tahoma"/>
            <family val="2"/>
          </rPr>
          <t xml:space="preserve">
1 : High priority
2 : Medium priority
3 : Low priority
</t>
        </r>
      </text>
    </comment>
    <comment ref="I2" authorId="1" shapeId="0">
      <text>
        <r>
          <rPr>
            <b/>
            <sz val="9"/>
            <color indexed="81"/>
            <rFont val="Tahoma"/>
            <family val="2"/>
          </rPr>
          <t xml:space="preserve">To be filled manually 
</t>
        </r>
        <r>
          <rPr>
            <sz val="9"/>
            <color indexed="81"/>
            <rFont val="Tahoma"/>
            <family val="2"/>
          </rPr>
          <t xml:space="preserve">Write the date of the test execution
</t>
        </r>
      </text>
    </comment>
    <comment ref="J2" authorId="1" shapeId="0">
      <text>
        <r>
          <rPr>
            <b/>
            <sz val="9"/>
            <color indexed="81"/>
            <rFont val="Tahoma"/>
            <family val="2"/>
          </rPr>
          <t xml:space="preserve">To be filled manually </t>
        </r>
        <r>
          <rPr>
            <sz val="9"/>
            <color indexed="81"/>
            <rFont val="Tahoma"/>
            <family val="2"/>
          </rPr>
          <t xml:space="preserve">
Write the PTC checkpoint name of SW release or,
PTC version if the integration test is done before a PTC checkpoint.
Nota: Normally the integrator shall always have a PTC checkpoint name in order to keep a trace of what has been tested.</t>
        </r>
      </text>
    </comment>
    <comment ref="K2" authorId="1" shapeId="0">
      <text>
        <r>
          <rPr>
            <b/>
            <sz val="9"/>
            <color indexed="81"/>
            <rFont val="Tahoma"/>
            <family val="2"/>
          </rPr>
          <t>Test Status automatically filled (extracted from SW_IT_xxx sheet)</t>
        </r>
        <r>
          <rPr>
            <sz val="9"/>
            <color indexed="81"/>
            <rFont val="Tahoma"/>
            <family val="2"/>
          </rPr>
          <t xml:space="preserve">
Ok :  test is passed
Nok : test is failed
not run : test is not performed
NA :  test is not applicable (an explanation must be given).</t>
        </r>
      </text>
    </comment>
    <comment ref="L2" authorId="1" shapeId="0">
      <text>
        <r>
          <rPr>
            <b/>
            <sz val="9"/>
            <color indexed="81"/>
            <rFont val="Tahoma"/>
            <family val="2"/>
          </rPr>
          <t xml:space="preserve">To be filled manually </t>
        </r>
        <r>
          <rPr>
            <sz val="9"/>
            <color indexed="81"/>
            <rFont val="Tahoma"/>
            <family val="2"/>
          </rPr>
          <t xml:space="preserve">
Write initials of the tester. </t>
        </r>
      </text>
    </comment>
    <comment ref="M2" authorId="2" shapeId="0">
      <text>
        <r>
          <rPr>
            <b/>
            <sz val="9"/>
            <color indexed="81"/>
            <rFont val="Tahoma"/>
            <family val="2"/>
          </rPr>
          <t>CR/WI manually filled</t>
        </r>
        <r>
          <rPr>
            <sz val="9"/>
            <color indexed="81"/>
            <rFont val="Tahoma"/>
            <family val="2"/>
          </rPr>
          <t xml:space="preserve"> with
Change Request / Working Issue  number. </t>
        </r>
        <r>
          <rPr>
            <b/>
            <sz val="9"/>
            <color indexed="81"/>
            <rFont val="Tahoma"/>
            <family val="2"/>
          </rPr>
          <t>Mandatory when "Test Status" is Nok.</t>
        </r>
      </text>
    </comment>
    <comment ref="N2" authorId="2" shapeId="0">
      <text>
        <r>
          <rPr>
            <b/>
            <sz val="9"/>
            <color indexed="81"/>
            <rFont val="Tahoma"/>
            <family val="2"/>
          </rPr>
          <t>Comment manually filled</t>
        </r>
        <r>
          <rPr>
            <sz val="9"/>
            <color indexed="81"/>
            <rFont val="Tahoma"/>
            <family val="2"/>
          </rPr>
          <t xml:space="preserve"> 
</t>
        </r>
        <r>
          <rPr>
            <b/>
            <sz val="9"/>
            <color indexed="81"/>
            <rFont val="Tahoma"/>
            <family val="2"/>
          </rPr>
          <t>Free text must be added when "Test Status" is NA.</t>
        </r>
      </text>
    </comment>
  </commentList>
</comments>
</file>

<file path=xl/comments3.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4.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5.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6.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7.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8.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9.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10.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11.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12.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13.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14.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15.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16.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17.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18.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19.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20.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21.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22.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23.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24.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25.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26.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27.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28.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29.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30.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31.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32.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33.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34.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sharedStrings.xml><?xml version="1.0" encoding="utf-8"?>
<sst xmlns="http://schemas.openxmlformats.org/spreadsheetml/2006/main" count="2112" uniqueCount="526">
  <si>
    <t>Revision</t>
  </si>
  <si>
    <t>Project Number &amp; Name</t>
  </si>
  <si>
    <t>Document state</t>
  </si>
  <si>
    <t>Document id</t>
  </si>
  <si>
    <t>Document title</t>
  </si>
  <si>
    <t>Version</t>
  </si>
  <si>
    <t>Description/comment</t>
  </si>
  <si>
    <t>Tab</t>
  </si>
  <si>
    <t>ID</t>
  </si>
  <si>
    <t>Title</t>
  </si>
  <si>
    <t>Reference &amp; revision</t>
  </si>
  <si>
    <t>Tab Name</t>
  </si>
  <si>
    <t>Date</t>
  </si>
  <si>
    <t>Author(s)</t>
  </si>
  <si>
    <t>Description/Comment</t>
  </si>
  <si>
    <t>TAB - General Information</t>
  </si>
  <si>
    <t>Template</t>
  </si>
  <si>
    <t>1. General Information</t>
  </si>
  <si>
    <t>1.1. Table of content</t>
  </si>
  <si>
    <t>1.3. Purpose and Scope</t>
  </si>
  <si>
    <t>1.4. References</t>
  </si>
  <si>
    <t>Date of release</t>
  </si>
  <si>
    <t>Author</t>
  </si>
  <si>
    <t>Review</t>
  </si>
  <si>
    <t>Approval</t>
  </si>
  <si>
    <t>Distribution</t>
  </si>
  <si>
    <t>Executive summary</t>
  </si>
  <si>
    <t>* Template history is found in the CM tool used for templates</t>
  </si>
  <si>
    <t>1.2. Revision History *</t>
  </si>
  <si>
    <t>1.4.1. Referenced documents</t>
  </si>
  <si>
    <t>1.4.2. Applicable documents</t>
  </si>
  <si>
    <t>Terminology</t>
  </si>
  <si>
    <t>1.5. Terminology and definitions</t>
  </si>
  <si>
    <t>2. Guide (help)</t>
  </si>
  <si>
    <t>FrontPage</t>
  </si>
  <si>
    <t>General info</t>
  </si>
  <si>
    <t>The front page contains information about the document.
Note : the blue cells are automatically filled by PLM and/or formula</t>
  </si>
  <si>
    <t>No.</t>
  </si>
  <si>
    <t>Test case ID</t>
  </si>
  <si>
    <t>Test case title</t>
  </si>
  <si>
    <t>SW Integration tester</t>
  </si>
  <si>
    <t>Test case title:</t>
  </si>
  <si>
    <t>Purpose of test:</t>
  </si>
  <si>
    <t>Test Status:</t>
  </si>
  <si>
    <t>Precondition:</t>
  </si>
  <si>
    <t>SW_IT_xxx</t>
  </si>
  <si>
    <t>Reference to design element ID:</t>
  </si>
  <si>
    <t>Result</t>
  </si>
  <si>
    <t>Test Case Description</t>
  </si>
  <si>
    <t>Expected result</t>
  </si>
  <si>
    <t>Step 1</t>
  </si>
  <si>
    <t>Step 2</t>
  </si>
  <si>
    <t>Step 3</t>
  </si>
  <si>
    <t>Step 4</t>
  </si>
  <si>
    <t>Step 5</t>
  </si>
  <si>
    <t>Step 6</t>
  </si>
  <si>
    <t>Step 7</t>
  </si>
  <si>
    <t>Step 8</t>
  </si>
  <si>
    <t>Step 9</t>
  </si>
  <si>
    <t>Test Status</t>
  </si>
  <si>
    <t>Actual result</t>
  </si>
  <si>
    <t>no. of tests passed</t>
  </si>
  <si>
    <t>percentage of tests passed</t>
  </si>
  <si>
    <t>no. of test failed</t>
  </si>
  <si>
    <t>percentage of tests failed</t>
  </si>
  <si>
    <t>no. of tests not run</t>
  </si>
  <si>
    <t>percentage  tests not run</t>
  </si>
  <si>
    <t xml:space="preserve">no. of Tests </t>
  </si>
  <si>
    <t>Reference to design element ID</t>
  </si>
  <si>
    <t>PTC label</t>
  </si>
  <si>
    <t>Priority</t>
  </si>
  <si>
    <t>Issue number 
(PTC IM)</t>
  </si>
  <si>
    <t>Comment</t>
  </si>
  <si>
    <t>Nominal test</t>
  </si>
  <si>
    <t>(extracted from SW00OTH001_Dictionary_Acronyms_Roles.xls)
A nominal test consists of applying entry values sequences to the software that should cause all the behaviors expected in the design documents.</t>
  </si>
  <si>
    <t>Robustness Test</t>
  </si>
  <si>
    <t>Endurance Test</t>
  </si>
  <si>
    <t>Qualification Test</t>
  </si>
  <si>
    <t>(extracted from SW00OTH001_Dictionary_Acronyms_Roles.xls)
A qualification test aims at precisely checking (and reporting) a behaviour or a metric (for instance to measure a timing or a memory consumption).</t>
  </si>
  <si>
    <t>(extracted from SW00OTH001_Dictionary_Acronyms_Roles.xls)
An endurance test is done in order to check the repetiveness and the repeatability of the results.</t>
  </si>
  <si>
    <t>(extracted from SW00OTH001_Dictionary_Acronyms_Roles.xls)
A robustness test consist to inject faults and limits values to the software in order to check that the behaviour is coherent to the designs documents.</t>
  </si>
  <si>
    <t>Put here all information which can help the user to use and understand how to use this file:</t>
  </si>
  <si>
    <t xml:space="preserve">If the “Status” is OK , nothing to do in the following columns. </t>
  </si>
  <si>
    <t>If the “Status” is NOK, there are 2 possibilities:</t>
  </si>
  <si>
    <t xml:space="preserve">   a) Correction of the dysfunction, fill the column “To be Fixed” with “YES”.</t>
  </si>
  <si>
    <t xml:space="preserve">   b) No correction of the dysfunction, fill the columns “To be Fixed” with “NO” and “CR/WI number” with the number of the Change Request or Working Issue </t>
  </si>
  <si>
    <t xml:space="preserve">   (mandatory if “To be Fixed” is NO)</t>
  </si>
  <si>
    <t>5) Correction part</t>
  </si>
  <si>
    <t>If the “Status” is OK, nothing to do in the following columns.</t>
  </si>
  <si>
    <t>If the “Status” is NOK and, “To be Fixed” is “NO”, nothing to do in the following columns.</t>
  </si>
  <si>
    <t>If the “Status” is NOK and,  “To be Fixed” is “YES”, fill the columns:</t>
  </si>
  <si>
    <t xml:space="preserve">   “MKS label” with a new MKS checkpoint name,</t>
  </si>
  <si>
    <t xml:space="preserve">   “Who” with the initials of the person who performs the test.</t>
  </si>
  <si>
    <t xml:space="preserve">   “Done” with a “X” when the test is successful</t>
  </si>
  <si>
    <t xml:space="preserve">6) “Final Status” is automatically filled thanks to a macro. </t>
  </si>
  <si>
    <t xml:space="preserve">   If “Status” is OK then “Final Status” is Test OK. </t>
  </si>
  <si>
    <t xml:space="preserve">   If “Status” is NOK and “To be Fixed” is “NO”, then “Final Status” is Test NOK </t>
  </si>
  <si>
    <t xml:space="preserve">   If “Status” is NOK and “To be Fixed” is “YES” and “Done” with “X”, then “Final Status” is Fixed</t>
  </si>
  <si>
    <t>AAUT TAB</t>
  </si>
  <si>
    <t>Change the name "AAUT" of the tab by the Unit name</t>
  </si>
  <si>
    <t>Test Title : give the Test title in order to do the link with the AAU design document.</t>
  </si>
  <si>
    <t xml:space="preserve">Test Case ID : this cell </t>
  </si>
  <si>
    <t>Purpose : give the test gloal</t>
  </si>
  <si>
    <t>Requirement : Link with design requirement or the SW requirement</t>
  </si>
  <si>
    <t>Classification: Give the test type such as Nominal test, or Robustness test, or Endurance test</t>
  </si>
  <si>
    <t xml:space="preserve">Setup: Describe the test environment </t>
  </si>
  <si>
    <t>Test Preconditions : Give the intial test set up</t>
  </si>
  <si>
    <t xml:space="preserve">Add Files or Add Informations : if you want to add any comments or files  </t>
  </si>
  <si>
    <t xml:space="preserve">Test Case Description : Describe each step  of the test cas in the table </t>
  </si>
  <si>
    <t>If you want a new test case click on create a new test case  button.</t>
  </si>
  <si>
    <t>Test Classification</t>
  </si>
  <si>
    <t>Test Classification:</t>
  </si>
  <si>
    <t>(see the "Guide (help)" tab)</t>
  </si>
  <si>
    <t>Environment/setup:</t>
  </si>
  <si>
    <t>The integration tests are classified into 4 types: nominal, robustness, endurance and qualification tests.</t>
  </si>
  <si>
    <t>Guide (help)</t>
  </si>
  <si>
    <t>Tests Synthesis</t>
  </si>
  <si>
    <t>This sheet helps to fill up the differents tabs of the template.</t>
  </si>
  <si>
    <t>Metrics</t>
  </si>
  <si>
    <t>no. of tests not applicable</t>
  </si>
  <si>
    <t>percentage  tests not applicable</t>
  </si>
  <si>
    <t>This sheet contains history, reference, purpose, scope, definition and guide</t>
  </si>
  <si>
    <t>This sheet gives some metrics regarding the number of tests failed, passed, not run....</t>
  </si>
  <si>
    <t>This sheet gives a synthesis of all Software Integration tests cases and results.</t>
  </si>
  <si>
    <t>This sheet gives the frame of a Software Integration tests cases.</t>
  </si>
  <si>
    <r>
      <rPr>
        <b/>
        <u/>
        <sz val="10"/>
        <rFont val="Arial"/>
        <family val="2"/>
      </rPr>
      <t>1) Creation Software Integration Test Specification</t>
    </r>
    <r>
      <rPr>
        <sz val="10"/>
        <rFont val="Arial"/>
        <family val="2"/>
      </rPr>
      <t xml:space="preserve">
Use this template and rename it as Software Integration Test Specification.
</t>
    </r>
    <r>
      <rPr>
        <b/>
        <u/>
        <sz val="10"/>
        <rFont val="Arial"/>
        <family val="2"/>
      </rPr>
      <t>2) Creation Software Integration Test Report</t>
    </r>
    <r>
      <rPr>
        <sz val="10"/>
        <rFont val="Arial"/>
        <family val="2"/>
      </rPr>
      <t xml:space="preserve">
Once you are ready to perform all the tests described in the Specification, duplicate the Software Integration Test </t>
    </r>
    <r>
      <rPr>
        <u/>
        <sz val="10"/>
        <rFont val="Arial"/>
        <family val="2"/>
      </rPr>
      <t>Specification</t>
    </r>
    <r>
      <rPr>
        <sz val="10"/>
        <rFont val="Arial"/>
        <family val="2"/>
      </rPr>
      <t xml:space="preserve"> and rename it Software Integration Test </t>
    </r>
    <r>
      <rPr>
        <u/>
        <sz val="10"/>
        <rFont val="Arial"/>
        <family val="2"/>
      </rPr>
      <t>Report</t>
    </r>
    <r>
      <rPr>
        <sz val="10"/>
        <rFont val="Arial"/>
        <family val="2"/>
      </rPr>
      <t xml:space="preserve">. You fill the report with your results (that means you must fill the actual result and result in front of the steps of Test Description and then the Test Status. Please, use the dropdown list.)
</t>
    </r>
    <r>
      <rPr>
        <b/>
        <u/>
        <sz val="10"/>
        <rFont val="Arial"/>
        <family val="2"/>
      </rPr>
      <t>3) Creation of the SW integration test cases:</t>
    </r>
    <r>
      <rPr>
        <sz val="10"/>
        <rFont val="Arial"/>
        <family val="2"/>
      </rPr>
      <t xml:space="preserve">
    . Duplicate the sheet "SW_IT_xxx"
    . Rename xxx of the sheet name"SW_IT_xxx" with a number (then you have Test Case ID)
    . Fill the content of the sheet:
           - Test case title: (free text)
           - Reference to design element ID: (free text depending on the format of the SW Architecture.
           The recommendation for reference would be to have a format like SW_ARCH_ddddd with d=digit) 
           - Test Classification: select thanks to the dropdown list the type (see General info sheet)
           - Purpose of test: (free text)
           - Test Status: once all results in front of the steps in the Test Description are filled and
           thanks to the dropdown list select the status 
                        Ok :  test is passed (all results in Test Description are Ok)
                        Nok : test is failed (at least one of the results in Test Description is Nok)
                        not run : test is not performed
                        NA :  test is not applicable (An explanation must be given in Comment column of Tests 
                                Synthesis sheet. This case is possible only if a test case is written but the functionality
                                is not planned to be tested.) 
           - Environment/setup:  (free text) Describe the test environment
           - Precondition : (free text) Give the initial state before beginning the test.
           - Test Case Description : Describe each step of the test case in the table.
    . Duplicate the sheet "SW_IT_xxx" and fill the content as many times as needed by test case.
</t>
    </r>
    <r>
      <rPr>
        <b/>
        <u/>
        <sz val="10"/>
        <rFont val="Arial"/>
        <family val="2"/>
      </rPr>
      <t xml:space="preserve">4) Update Tests Synthesis sheet: 
</t>
    </r>
    <r>
      <rPr>
        <sz val="10"/>
        <rFont val="Arial"/>
        <family val="2"/>
      </rPr>
      <t xml:space="preserve">    . In “Test Case Id column” , write the test id given by Test case excel sheet name (SW_IT_xxx).
    ==&gt; All cells in white are Automatically fulfilled (extracted from SW_IT_xxx sheet).
    . All cells in light orange shall be Manually filled (see guide included in the comment)
</t>
    </r>
  </si>
  <si>
    <t>Test for No Regression</t>
  </si>
  <si>
    <t xml:space="preserve">The purpose of this document is established thanks to the Software Architecture design document and defined all Software Integration test cases necessary to control if the SW release XX is correctly implemented as planned in the Software Integration Test Plan. All Software Integration tests specification and report will be stored.
</t>
  </si>
  <si>
    <t>C. Sauvage, S. Flechelle, T. Demirel, S. Claveau, F. Gilbert, H. Egnifi, A. LeBeherec</t>
  </si>
  <si>
    <t>C. Sauvage, S. Flechelle, T. Demirel, S. Claveau, F. Gilbert, H. Egnifi, A. LeBeherec, E. Mariniuc, A. Teban, V. Rus-Staroste</t>
  </si>
  <si>
    <t>E. Mariniuc, A. Teban, V. Rus-Staroste</t>
  </si>
  <si>
    <t xml:space="preserve">S. Delcloy, K. Mohrath, X. Christmann, Y. Erb, P. Merrien, J.M. Lambert </t>
  </si>
  <si>
    <t>E1355904</t>
  </si>
  <si>
    <t>124479 AHO GPM EL EL ECU PP LOW COST</t>
  </si>
  <si>
    <t>SW04TEM001</t>
  </si>
  <si>
    <t>000</t>
  </si>
  <si>
    <t>001</t>
  </si>
  <si>
    <t>Draft</t>
  </si>
  <si>
    <t>SWArchitectureGlobalIntegrationTests - SW Scheduling</t>
  </si>
  <si>
    <t>SwD:</t>
  </si>
  <si>
    <t xml:space="preserve">STL: C. Redon
</t>
  </si>
  <si>
    <t>DL: S. Delcloy</t>
  </si>
  <si>
    <t>Nominal</t>
  </si>
  <si>
    <t>Ok</t>
  </si>
  <si>
    <t>Not run</t>
  </si>
  <si>
    <t>Step 10</t>
  </si>
  <si>
    <t>Step 11</t>
  </si>
  <si>
    <t>Step 12</t>
  </si>
  <si>
    <t>Step 13</t>
  </si>
  <si>
    <t>Step 14</t>
  </si>
  <si>
    <t>Step 15</t>
  </si>
  <si>
    <t>Step 16</t>
  </si>
  <si>
    <t>Step 17</t>
  </si>
  <si>
    <t>Step 18</t>
  </si>
  <si>
    <t>The goal of this test is to cover SYS_C04 Req whithout traceability when test can not be perfomed.</t>
  </si>
  <si>
    <t>All CV, DV, PV test plan are reviewed following Process by performing Major Milestones.</t>
  </si>
  <si>
    <t>all MM are Performed.</t>
  </si>
  <si>
    <r>
      <rPr>
        <b/>
        <u/>
        <sz val="10"/>
        <rFont val="Arial"/>
        <family val="2"/>
      </rPr>
      <t xml:space="preserve">SYS_C04_24: </t>
    </r>
    <r>
      <rPr>
        <sz val="10"/>
        <rFont val="Arial"/>
        <family val="2"/>
      </rPr>
      <t xml:space="preserve">
Product test plan shall be reviewed with AEE testing team and pass all generic tests identified as applicable by the AEE testing team, e.g. Experimentation Tests.</t>
    </r>
  </si>
  <si>
    <r>
      <rPr>
        <b/>
        <u/>
        <sz val="10"/>
        <rFont val="Arial"/>
        <family val="2"/>
      </rPr>
      <t>SYS_C04_30:</t>
    </r>
    <r>
      <rPr>
        <sz val="10"/>
        <rFont val="Arial"/>
        <family val="2"/>
      </rPr>
      <t xml:space="preserve">
Product shall comply with the EU ELV directive (2000/53/EC) and all its connected amendments.</t>
    </r>
  </si>
  <si>
    <r>
      <rPr>
        <b/>
        <u/>
        <sz val="10"/>
        <rFont val="Arial"/>
        <family val="2"/>
      </rPr>
      <t>SYS_C04_31:</t>
    </r>
    <r>
      <rPr>
        <sz val="10"/>
        <rFont val="Arial"/>
        <family val="2"/>
      </rPr>
      <t xml:space="preserve">
Product shall comply with the RoHS regulations.</t>
    </r>
  </si>
  <si>
    <r>
      <rPr>
        <b/>
        <u/>
        <sz val="10"/>
        <rFont val="Arial"/>
        <family val="2"/>
      </rPr>
      <t>SYS_C04_32:</t>
    </r>
    <r>
      <rPr>
        <sz val="10"/>
        <rFont val="Arial"/>
        <family val="2"/>
      </rPr>
      <t xml:space="preserve">
Product shall comply with VDA 231-106 latest revision at Pre-TG1.</t>
    </r>
  </si>
  <si>
    <r>
      <rPr>
        <b/>
        <u/>
        <sz val="10"/>
        <rFont val="Arial"/>
        <family val="2"/>
      </rPr>
      <t>SYS_C04_33:</t>
    </r>
    <r>
      <rPr>
        <sz val="10"/>
        <rFont val="Arial"/>
        <family val="2"/>
      </rPr>
      <t xml:space="preserve">
Product shall comply with VDA 232-101 and GADSL latest revision at Pre-TG1.
Note: GADSL = Global Automotive Declarable Substance List, see http://www.gadsl.org for details</t>
    </r>
  </si>
  <si>
    <r>
      <rPr>
        <b/>
        <u/>
        <sz val="10"/>
        <rFont val="Arial"/>
        <family val="2"/>
      </rPr>
      <t>SYS_C04_34:</t>
    </r>
    <r>
      <rPr>
        <sz val="10"/>
        <rFont val="Arial"/>
        <family val="2"/>
      </rPr>
      <t xml:space="preserve">
Product shall comply with VDA 232-102 latest revision at Pre-TG1.</t>
    </r>
  </si>
  <si>
    <r>
      <rPr>
        <b/>
        <u/>
        <sz val="10"/>
        <rFont val="Arial"/>
        <family val="2"/>
      </rPr>
      <t>SYS_C04_35:</t>
    </r>
    <r>
      <rPr>
        <sz val="10"/>
        <rFont val="Arial"/>
        <family val="2"/>
      </rPr>
      <t xml:space="preserve">
Product shall comply with VDA 270 latest revision at Pre-TG1.</t>
    </r>
  </si>
  <si>
    <r>
      <rPr>
        <b/>
        <u/>
        <sz val="10"/>
        <rFont val="Arial"/>
        <family val="2"/>
      </rPr>
      <t>SYS_C04_36:</t>
    </r>
    <r>
      <rPr>
        <sz val="10"/>
        <rFont val="Arial"/>
        <family val="2"/>
      </rPr>
      <t xml:space="preserve">
Product shall comply with VDA 278 latest revision at Pre-TG1.</t>
    </r>
  </si>
  <si>
    <t>Covered by AS5 (Substance use &amp; restriction)  defining PPAP aggreement</t>
  </si>
  <si>
    <t xml:space="preserve">Covered by taken into account GTP for CV/DV test plan. See DVPnR </t>
  </si>
  <si>
    <r>
      <rPr>
        <b/>
        <u/>
        <sz val="10"/>
        <rFont val="Arial"/>
        <family val="2"/>
      </rPr>
      <t>SYS_C04_307:</t>
    </r>
    <r>
      <rPr>
        <sz val="10"/>
        <rFont val="Arial"/>
        <family val="2"/>
      </rPr>
      <t xml:space="preserve">
Environmental test plan for system qualifications shall take into account the Generic Test Plan E1107095.
http://plm.autoliv.int/linkto/specific/Memo/E1107095/000</t>
    </r>
  </si>
  <si>
    <r>
      <rPr>
        <b/>
        <u/>
        <sz val="10"/>
        <rFont val="Arial"/>
        <family val="2"/>
      </rPr>
      <t>SYS_C04_61:</t>
    </r>
    <r>
      <rPr>
        <sz val="10"/>
        <rFont val="Arial"/>
        <family val="2"/>
      </rPr>
      <t xml:space="preserve">
DUT shall be representative of design and/or product.</t>
    </r>
  </si>
  <si>
    <t>Covered by MM meeting before Design/Product verification launch.</t>
  </si>
  <si>
    <r>
      <rPr>
        <b/>
        <u/>
        <sz val="10"/>
        <rFont val="Arial"/>
        <family val="2"/>
      </rPr>
      <t>SYS_C04_57:</t>
    </r>
    <r>
      <rPr>
        <sz val="10"/>
        <rFont val="Arial"/>
        <family val="2"/>
      </rPr>
      <t xml:space="preserve">
Tests shall be performed with full assemblies, i.e. ECU with motor and mechanical surrounding as delivered to final customer.</t>
    </r>
  </si>
  <si>
    <t>To be checked if specified somewhere.</t>
  </si>
  <si>
    <r>
      <rPr>
        <b/>
        <u/>
        <sz val="10"/>
        <rFont val="Arial"/>
        <family val="2"/>
      </rPr>
      <t>SYS_C04_58:</t>
    </r>
    <r>
      <rPr>
        <sz val="10"/>
        <rFont val="Arial"/>
        <family val="2"/>
      </rPr>
      <t xml:space="preserve">
Tests shall be performed with PLUGGED counter-part and a minimum of 50cm original harness length unless explicitely defined otherwise.</t>
    </r>
  </si>
  <si>
    <t>SYS_C04 Uncovered Req Review for traceability - TBD Result</t>
  </si>
  <si>
    <t>SYS_C04 Uncovered Req Review for traceability - OK result</t>
  </si>
  <si>
    <r>
      <rPr>
        <b/>
        <u/>
        <sz val="10"/>
        <rFont val="Arial"/>
        <family val="2"/>
      </rPr>
      <t>SYS_C04_59:</t>
    </r>
    <r>
      <rPr>
        <sz val="10"/>
        <rFont val="Arial"/>
        <family val="2"/>
      </rPr>
      <t xml:space="preserve">
Vehicle harness and system shall be placed as in target vehicle unless explicitely defined otherwise.</t>
    </r>
  </si>
  <si>
    <r>
      <rPr>
        <b/>
        <u/>
        <sz val="10"/>
        <rFont val="Arial"/>
        <family val="2"/>
      </rPr>
      <t>SYS_C04_60:</t>
    </r>
    <r>
      <rPr>
        <sz val="10"/>
        <rFont val="Arial"/>
        <family val="2"/>
      </rPr>
      <t xml:space="preserve">
Reuse of already used vehicle harnesses in an environmental test sequence is not allowed for any new test sequence.</t>
    </r>
  </si>
  <si>
    <r>
      <rPr>
        <b/>
        <u/>
        <sz val="10"/>
        <rFont val="Arial"/>
        <family val="2"/>
      </rPr>
      <t>SYS_C04_62:</t>
    </r>
    <r>
      <rPr>
        <sz val="10"/>
        <rFont val="Arial"/>
        <family val="2"/>
      </rPr>
      <t xml:space="preserve">
During and between tests within a test sequence it shall be ensured that the vehicle harness is not disconnected unless explicitely defined otherwise (i.e. UNPLUGGED functional status).</t>
    </r>
  </si>
  <si>
    <t>SYS_C04_58, SYS_C04_59, SYS_C04_60, SYS_C04_62</t>
  </si>
  <si>
    <r>
      <rPr>
        <b/>
        <u/>
        <sz val="10"/>
        <rFont val="Arial"/>
        <family val="2"/>
      </rPr>
      <t>SYS_C04_65:</t>
    </r>
    <r>
      <rPr>
        <sz val="10"/>
        <rFont val="Arial"/>
        <family val="2"/>
      </rPr>
      <t xml:space="preserve">
Electrical or mechanical faulty behaviors or damages are not allowed unless explicitely defined otherwise.</t>
    </r>
  </si>
  <si>
    <t>Specified in expectations of each test (Acceptance criteria)</t>
  </si>
  <si>
    <t>Done in test reports (expected by test report template)</t>
  </si>
  <si>
    <r>
      <rPr>
        <b/>
        <u/>
        <sz val="10"/>
        <rFont val="Arial"/>
        <family val="2"/>
      </rPr>
      <t>SYS_C04_68:</t>
    </r>
    <r>
      <rPr>
        <sz val="10"/>
        <rFont val="Arial"/>
        <family val="2"/>
      </rPr>
      <t xml:space="preserve">
Measurements performed at start and end of a test shall be compared and documented in the test reports.</t>
    </r>
  </si>
  <si>
    <r>
      <rPr>
        <b/>
        <u/>
        <sz val="10"/>
        <rFont val="Arial"/>
        <family val="2"/>
      </rPr>
      <t>SYS_C04_70:</t>
    </r>
    <r>
      <rPr>
        <sz val="10"/>
        <rFont val="Arial"/>
        <family val="2"/>
      </rPr>
      <t xml:space="preserve">
After a test all measured data shall be checked in regards of product specification, trends, drifts, anomalities and versus the test profile.</t>
    </r>
  </si>
  <si>
    <t>Step 19</t>
  </si>
  <si>
    <t>Step 20</t>
  </si>
  <si>
    <t>Step 21</t>
  </si>
  <si>
    <t>Step 22</t>
  </si>
  <si>
    <t>Step 23</t>
  </si>
  <si>
    <t>Step 24</t>
  </si>
  <si>
    <t>Step 25</t>
  </si>
  <si>
    <t>Step 26</t>
  </si>
  <si>
    <t>Step 27</t>
  </si>
  <si>
    <t>Step 28</t>
  </si>
  <si>
    <t>Step 29</t>
  </si>
  <si>
    <r>
      <rPr>
        <b/>
        <u/>
        <sz val="10"/>
        <rFont val="Arial"/>
        <family val="2"/>
      </rPr>
      <t>SYS_C04_72:</t>
    </r>
    <r>
      <rPr>
        <sz val="10"/>
        <rFont val="Arial"/>
        <family val="2"/>
      </rPr>
      <t xml:space="preserve">
After a test sequence the functional capability of the DUT shall be checked.</t>
    </r>
  </si>
  <si>
    <r>
      <rPr>
        <b/>
        <u/>
        <sz val="10"/>
        <rFont val="Arial"/>
        <family val="2"/>
      </rPr>
      <t>SYS_C04_73:</t>
    </r>
    <r>
      <rPr>
        <sz val="10"/>
        <rFont val="Arial"/>
        <family val="2"/>
      </rPr>
      <t xml:space="preserve">
After each test following actions shall be done:
 DUT fault memory must be read out (DTC/AEC qualifications)
 Observed failure occurrence must be reported
 External visual check of the DUT must be performed</t>
    </r>
  </si>
  <si>
    <t>SYS_C04_24, SYS_C04_30, SYS_C04_31, SYS_C04_32, SYS_C04_33, SYS_C04_34, SYS_C04_35, SYS_C04_36, SYS_C04_307, SYS_C04_61, SYS_C04_57, SYS_C04_65, SYS_C04_68, SYS_C04_70, SYS_C04_72, SYS_C04_73</t>
  </si>
  <si>
    <t>All test are perfomed by ECU mounted from ANG, except for some electrical test independant from assembly</t>
  </si>
  <si>
    <t>The goal of this test is to cover SYS_C01 Req whithout traceability when test can not be perfomed.</t>
  </si>
  <si>
    <t>SYS_C01 Uncovered Req Review for traceability - TBD result</t>
  </si>
  <si>
    <t>SYS_C02 Uncovered Req Review for traceability - OK result</t>
  </si>
  <si>
    <t>The goal of this test is to cover SYS_C02 Req whithout traceability when test can not be perfomed.</t>
  </si>
  <si>
    <t>SYS_C03 Uncovered Req Review for traceability - TBD result</t>
  </si>
  <si>
    <t>The goal of this test is to cover SYS_C03 Req whithout traceability when test can not be perfomed.</t>
  </si>
  <si>
    <t>SYS_C02 Uncovered Req Review for traceability - TBD result</t>
  </si>
  <si>
    <t>SYS_C01_2, SYS_C01_4, SYS_C01_5, SYS_C01_6, SYS_C01_7</t>
  </si>
  <si>
    <r>
      <rPr>
        <b/>
        <u/>
        <sz val="10"/>
        <rFont val="Arial"/>
        <family val="2"/>
      </rPr>
      <t>SYS_C01_2</t>
    </r>
    <r>
      <rPr>
        <sz val="10"/>
        <rFont val="Arial"/>
        <family val="2"/>
      </rPr>
      <t xml:space="preserve">
ECU shall sustain 15 years of operation after production without required service.
Note: this means ECU shall operate even if system mechanical life time is over.</t>
    </r>
  </si>
  <si>
    <r>
      <rPr>
        <b/>
        <u/>
        <sz val="10"/>
        <rFont val="Arial"/>
        <family val="2"/>
      </rPr>
      <t>SYS_C01_4</t>
    </r>
    <r>
      <rPr>
        <sz val="10"/>
        <rFont val="Arial"/>
        <family val="2"/>
      </rPr>
      <t xml:space="preserve">
ECU shall operate over 12.000 hours.</t>
    </r>
  </si>
  <si>
    <r>
      <rPr>
        <b/>
        <u/>
        <sz val="10"/>
        <rFont val="Arial"/>
        <family val="2"/>
      </rPr>
      <t>SYS_C01_5</t>
    </r>
    <r>
      <rPr>
        <sz val="10"/>
        <rFont val="Arial"/>
        <family val="2"/>
      </rPr>
      <t xml:space="preserve">
ECU shall sustain at least 54.000 operating cycles, i.e. powered/unpowered cycles.</t>
    </r>
  </si>
  <si>
    <r>
      <rPr>
        <b/>
        <u/>
        <sz val="10"/>
        <rFont val="Arial"/>
        <family val="2"/>
      </rPr>
      <t>SYS_C01_6</t>
    </r>
    <r>
      <rPr>
        <sz val="10"/>
        <rFont val="Arial"/>
        <family val="2"/>
      </rPr>
      <t xml:space="preserve">
ECU overall reliability target is 20ppm for 0km defect at customer plant.</t>
    </r>
  </si>
  <si>
    <r>
      <rPr>
        <b/>
        <u/>
        <sz val="10"/>
        <rFont val="Arial"/>
        <family val="2"/>
      </rPr>
      <t>SYS_C01_7</t>
    </r>
    <r>
      <rPr>
        <sz val="10"/>
        <rFont val="Arial"/>
        <family val="2"/>
      </rPr>
      <t xml:space="preserve">
ECU overall reliability target is 20ppm for field returns, i.e. part defect returned via customer service.</t>
    </r>
  </si>
  <si>
    <r>
      <rPr>
        <b/>
        <u/>
        <sz val="10"/>
        <rFont val="Arial"/>
        <family val="2"/>
      </rPr>
      <t>SYS_C02_18:</t>
    </r>
    <r>
      <rPr>
        <sz val="10"/>
        <rFont val="Arial"/>
        <family val="2"/>
      </rPr>
      <t xml:space="preserve">
Default value for PARAM_COM_DisableToEnable_PermVoltLevel_Min shall reflect 0.00V.</t>
    </r>
  </si>
  <si>
    <t>No parameter defined but as value is null, no need today.</t>
  </si>
  <si>
    <r>
      <rPr>
        <b/>
        <u/>
        <sz val="10"/>
        <rFont val="Arial"/>
        <family val="2"/>
      </rPr>
      <t>SYS_C02_19:</t>
    </r>
    <r>
      <rPr>
        <sz val="10"/>
        <rFont val="Arial"/>
        <family val="2"/>
      </rPr>
      <t xml:space="preserve">
Default value for PARAM_COM_EnableToDisable_PermVoltLevel_Max shall reflect maximal measurable voltage value.</t>
    </r>
  </si>
  <si>
    <t>No parameter defined but as value is the max no need today.</t>
  </si>
  <si>
    <r>
      <rPr>
        <b/>
        <u/>
        <sz val="10"/>
        <rFont val="Arial"/>
        <family val="2"/>
      </rPr>
      <t>SYS_C02_20:</t>
    </r>
    <r>
      <rPr>
        <sz val="10"/>
        <rFont val="Arial"/>
        <family val="2"/>
      </rPr>
      <t xml:space="preserve">
Default value for PARAM_COM_DisableToEnable_PermVoltLevel_Max shall reflect maximum measurable voltage value.</t>
    </r>
  </si>
  <si>
    <r>
      <rPr>
        <b/>
        <u/>
        <sz val="10"/>
        <rFont val="Arial"/>
        <family val="2"/>
      </rPr>
      <t>SYS_C02_21:</t>
    </r>
    <r>
      <rPr>
        <sz val="10"/>
        <rFont val="Arial"/>
        <family val="2"/>
      </rPr>
      <t xml:space="preserve">
Default value for PARAM_COM_EnableToDisable_PermVoltLevel_Min shall reflect 0.00V.</t>
    </r>
  </si>
  <si>
    <r>
      <rPr>
        <b/>
        <u/>
        <sz val="10"/>
        <rFont val="Arial"/>
        <family val="2"/>
      </rPr>
      <t>SYS_C02_22:</t>
    </r>
    <r>
      <rPr>
        <sz val="10"/>
        <rFont val="Arial"/>
        <family val="2"/>
      </rPr>
      <t xml:space="preserve">
Default value for PARAM_DIAG_DisableToEnable_PermVoltLevel_Min shall reflect 0.00V.</t>
    </r>
  </si>
  <si>
    <r>
      <rPr>
        <b/>
        <u/>
        <sz val="10"/>
        <rFont val="Arial"/>
        <family val="2"/>
      </rPr>
      <t>SYS_C02_23:</t>
    </r>
    <r>
      <rPr>
        <sz val="10"/>
        <rFont val="Arial"/>
        <family val="2"/>
      </rPr>
      <t xml:space="preserve">
Default value for PARAM_DIAG_EnableToDisable_PermVoltLevel_Max shall reflect maximal measurable voltage value.</t>
    </r>
  </si>
  <si>
    <r>
      <rPr>
        <b/>
        <u/>
        <sz val="10"/>
        <rFont val="Arial"/>
        <family val="2"/>
      </rPr>
      <t>SYS_C02_24:</t>
    </r>
    <r>
      <rPr>
        <sz val="10"/>
        <rFont val="Arial"/>
        <family val="2"/>
      </rPr>
      <t xml:space="preserve">
Default value for PARAM_DIAG_DisableToEnable_PermVoltLevel_Max shall reflect maximum measurable voltage value.</t>
    </r>
  </si>
  <si>
    <r>
      <rPr>
        <b/>
        <u/>
        <sz val="10"/>
        <rFont val="Arial"/>
        <family val="2"/>
      </rPr>
      <t>SYS_C02_25:</t>
    </r>
    <r>
      <rPr>
        <sz val="10"/>
        <rFont val="Arial"/>
        <family val="2"/>
      </rPr>
      <t xml:space="preserve">
Default value for PARAM_DIAG_EnableToDisable_PermVoltLevel_Min shall reflect 0.00V.</t>
    </r>
  </si>
  <si>
    <r>
      <rPr>
        <b/>
        <u/>
        <sz val="10"/>
        <rFont val="Arial"/>
        <family val="2"/>
      </rPr>
      <t>SYS_C02_30:</t>
    </r>
    <r>
      <rPr>
        <sz val="10"/>
        <rFont val="Arial"/>
        <family val="2"/>
      </rPr>
      <t xml:space="preserve">
Default value for PARAM_MON_DisableToEnable_PermVoltLevel_Min shall reflect 10.00V.
Note : this value must be confirmed by HW Proof Of Design</t>
    </r>
  </si>
  <si>
    <r>
      <rPr>
        <b/>
        <u/>
        <sz val="10"/>
        <rFont val="Arial"/>
        <family val="2"/>
      </rPr>
      <t>SYS_C02_31:</t>
    </r>
    <r>
      <rPr>
        <sz val="10"/>
        <rFont val="Arial"/>
        <family val="2"/>
      </rPr>
      <t xml:space="preserve">
Default value for PARAM_MON_EnableToDisable_PermVoltLevel_Max shall reflect 17.50V.</t>
    </r>
  </si>
  <si>
    <r>
      <rPr>
        <b/>
        <u/>
        <sz val="10"/>
        <rFont val="Arial"/>
        <family val="2"/>
      </rPr>
      <t>SYS_C02_32:</t>
    </r>
    <r>
      <rPr>
        <sz val="10"/>
        <rFont val="Arial"/>
        <family val="2"/>
      </rPr>
      <t xml:space="preserve">
Default value for PARAM_MON_DisableToEnable_PermVoltLevel_Max shall reflect 17.00V.</t>
    </r>
  </si>
  <si>
    <r>
      <rPr>
        <b/>
        <u/>
        <sz val="10"/>
        <rFont val="Arial"/>
        <family val="2"/>
      </rPr>
      <t>SYS_C02_33:</t>
    </r>
    <r>
      <rPr>
        <sz val="10"/>
        <rFont val="Arial"/>
        <family val="2"/>
      </rPr>
      <t xml:space="preserve">
Default value for PARAM_MON_EnableToDisable_PermVoltLevel_Min shall reflect 9.50V.
Note : this value must be confirmed by HW Proof Of Design. An hysteresis is mandatory for this threshold.</t>
    </r>
  </si>
  <si>
    <r>
      <rPr>
        <b/>
        <u/>
        <sz val="10"/>
        <rFont val="Arial"/>
        <family val="2"/>
      </rPr>
      <t>SYS_C02_38:</t>
    </r>
    <r>
      <rPr>
        <sz val="10"/>
        <rFont val="Arial"/>
        <family val="2"/>
      </rPr>
      <t xml:space="preserve">
All PARAM_FUNC_xxx parameters defined above are only applicable if not defined in the corresponding main function.</t>
    </r>
  </si>
  <si>
    <t>Ok regarding applicable Req.</t>
  </si>
  <si>
    <r>
      <rPr>
        <b/>
        <u/>
        <sz val="10"/>
        <rFont val="Arial"/>
        <family val="2"/>
      </rPr>
      <t>SYS_C02_52:</t>
    </r>
    <r>
      <rPr>
        <sz val="10"/>
        <rFont val="Arial"/>
        <family val="2"/>
      </rPr>
      <t xml:space="preserve">
Default value for PARAM_COM_DisableToEnable_SwitchVoltLevel_Min shall reflect 6.50V.</t>
    </r>
  </si>
  <si>
    <t>TBC</t>
  </si>
  <si>
    <r>
      <rPr>
        <b/>
        <u/>
        <sz val="10"/>
        <rFont val="Arial"/>
        <family val="2"/>
      </rPr>
      <t>SYS_C02_53:</t>
    </r>
    <r>
      <rPr>
        <sz val="10"/>
        <rFont val="Arial"/>
        <family val="2"/>
      </rPr>
      <t xml:space="preserve">
Default value for PARAM_COM_EnableToDisable_SwitchVoltLevel_Max shall reflect maximal measurable voltage value.</t>
    </r>
  </si>
  <si>
    <r>
      <rPr>
        <b/>
        <u/>
        <sz val="10"/>
        <rFont val="Arial"/>
        <family val="2"/>
      </rPr>
      <t>SYS_C02_54:</t>
    </r>
    <r>
      <rPr>
        <sz val="10"/>
        <rFont val="Arial"/>
        <family val="2"/>
      </rPr>
      <t xml:space="preserve">
Default value for PARAM_COM_DisableToEnable_SwitchVoltLevel_Max shall reflect maximum measurable voltage value.</t>
    </r>
  </si>
  <si>
    <r>
      <rPr>
        <b/>
        <u/>
        <sz val="10"/>
        <rFont val="Arial"/>
        <family val="2"/>
      </rPr>
      <t>SYS_C02_55:</t>
    </r>
    <r>
      <rPr>
        <sz val="10"/>
        <rFont val="Arial"/>
        <family val="2"/>
      </rPr>
      <t xml:space="preserve">
Default value for PARAM_COM_EnableToDisable_SwitchVoltLevel_Min shall reflect 6.50V.</t>
    </r>
  </si>
  <si>
    <r>
      <rPr>
        <b/>
        <u/>
        <sz val="10"/>
        <rFont val="Arial"/>
        <family val="2"/>
      </rPr>
      <t>SYS_C02_56:</t>
    </r>
    <r>
      <rPr>
        <sz val="10"/>
        <rFont val="Arial"/>
        <family val="2"/>
      </rPr>
      <t xml:space="preserve">
Default value for PARAM_DIAG_DisableToEnable_SwitchVoltLevel_Min shall reflect 0.00V.
Note: DIAG can not be performed without COM. In specific case, DIAG could be stopped at a higher voltage than COM.</t>
    </r>
  </si>
  <si>
    <r>
      <rPr>
        <b/>
        <u/>
        <sz val="10"/>
        <rFont val="Arial"/>
        <family val="2"/>
      </rPr>
      <t>SYS_C02_57:</t>
    </r>
    <r>
      <rPr>
        <sz val="10"/>
        <rFont val="Arial"/>
        <family val="2"/>
      </rPr>
      <t xml:space="preserve">
Default value for PARAM_DIAG_EnableToDisable_SwitchVoltLevel_Max shall reflect maximal measurable voltage value..</t>
    </r>
  </si>
  <si>
    <r>
      <rPr>
        <b/>
        <u/>
        <sz val="10"/>
        <rFont val="Arial"/>
        <family val="2"/>
      </rPr>
      <t>SYS_C02_58:</t>
    </r>
    <r>
      <rPr>
        <sz val="10"/>
        <rFont val="Arial"/>
        <family val="2"/>
      </rPr>
      <t xml:space="preserve">
Default value for PARAM_DIAG_DisableToEnable_SwitchVoltLevel_Max shall reflect maximum measurable voltage value.</t>
    </r>
  </si>
  <si>
    <r>
      <rPr>
        <b/>
        <u/>
        <sz val="10"/>
        <rFont val="Arial"/>
        <family val="2"/>
      </rPr>
      <t>SYS_C02_59:</t>
    </r>
    <r>
      <rPr>
        <sz val="10"/>
        <rFont val="Arial"/>
        <family val="2"/>
      </rPr>
      <t xml:space="preserve">
Default value for PARAM_DIAG_EnableToDisable_SwitchVoltLevel_Min shall reflect 0.00V.</t>
    </r>
  </si>
  <si>
    <t>SYS_C02_18, SYS_C02_19, SYS_C02_20, SYS_C02_21, SYS_C02_22, SYS_C02_23, SYS_C02_24, SYS_C02_25, SYS_C02_38 , SYS_C02_53, SYS_C02_54, SYS_C02_56, SYS_C02_57, SYS_C02_58, SYS_C02_59</t>
  </si>
  <si>
    <r>
      <rPr>
        <b/>
        <u/>
        <sz val="10"/>
        <rFont val="Arial"/>
        <family val="2"/>
      </rPr>
      <t>SYS_C02_64:</t>
    </r>
    <r>
      <rPr>
        <sz val="10"/>
        <rFont val="Arial"/>
        <family val="2"/>
      </rPr>
      <t xml:space="preserve">
Default value for PARAM_MON_DisableToEnable_SwitchVoltLevel_Min shall reflect 10.00V.</t>
    </r>
  </si>
  <si>
    <r>
      <rPr>
        <b/>
        <u/>
        <sz val="10"/>
        <rFont val="Arial"/>
        <family val="2"/>
      </rPr>
      <t>SYS_C02_65:</t>
    </r>
    <r>
      <rPr>
        <sz val="10"/>
        <rFont val="Arial"/>
        <family val="2"/>
      </rPr>
      <t xml:space="preserve">
Default value for PARAM_MON_EnableToDisable_SwitchVoltLevel_Max shall reflect 17.50V.</t>
    </r>
  </si>
  <si>
    <r>
      <rPr>
        <b/>
        <u/>
        <sz val="10"/>
        <rFont val="Arial"/>
        <family val="2"/>
      </rPr>
      <t>SYS_C02_66:</t>
    </r>
    <r>
      <rPr>
        <sz val="10"/>
        <rFont val="Arial"/>
        <family val="2"/>
      </rPr>
      <t xml:space="preserve">
Default value for PARAM_MON_DisableToEnable_SwitchVoltLevel_Max shall reflect 17.00V.</t>
    </r>
  </si>
  <si>
    <r>
      <rPr>
        <b/>
        <u/>
        <sz val="10"/>
        <rFont val="Arial"/>
        <family val="2"/>
      </rPr>
      <t>SYS_C02_67:</t>
    </r>
    <r>
      <rPr>
        <sz val="10"/>
        <rFont val="Arial"/>
        <family val="2"/>
      </rPr>
      <t xml:space="preserve">
Default value for PARAM_MON_EnableToDisable_SwitchVoltLevel_Min shall reflect 9.50V.</t>
    </r>
  </si>
  <si>
    <r>
      <rPr>
        <b/>
        <u/>
        <sz val="10"/>
        <rFont val="Arial"/>
        <family val="2"/>
      </rPr>
      <t>SYS_C02_80:</t>
    </r>
    <r>
      <rPr>
        <sz val="10"/>
        <rFont val="Arial"/>
        <family val="2"/>
      </rPr>
      <t xml:space="preserve">
ECU shall go into a 'safe' mode without operation (no main function and no communication) in case it detects too many warm resets in a row (PARAM_NbWarmResetMax) until next cold reset (or power on reset).</t>
    </r>
  </si>
  <si>
    <r>
      <rPr>
        <b/>
        <u/>
        <sz val="10"/>
        <rFont val="Arial"/>
        <family val="2"/>
      </rPr>
      <t>SYS_C02_81:</t>
    </r>
    <r>
      <rPr>
        <sz val="10"/>
        <rFont val="Arial"/>
        <family val="2"/>
      </rPr>
      <t xml:space="preserve">
Default value for PARAM_NbWarmResetMax shall be 10.</t>
    </r>
  </si>
  <si>
    <t>SYS_C02_30, SYS_C02_31, SYS_C02_32, SYS_C02_33, SYS_C02_52, SYS_C02_55, SYS_C02_64, SYS_C02_65, SYS_C02_66, SYS_C02_67, SYS_C02_80, SYS_C02_81</t>
  </si>
  <si>
    <r>
      <rPr>
        <b/>
        <u/>
        <sz val="10"/>
        <rFont val="Arial"/>
        <family val="2"/>
      </rPr>
      <t>SYS_C03_4:</t>
    </r>
    <r>
      <rPr>
        <sz val="10"/>
        <rFont val="Arial"/>
        <family val="2"/>
      </rPr>
      <t xml:space="preserve">
A document shall justify the dimension of the energy reserve.
Note: typically performed in HW Proof Of Design</t>
    </r>
  </si>
  <si>
    <t>TBC by POD review</t>
  </si>
  <si>
    <r>
      <rPr>
        <b/>
        <u/>
        <sz val="10"/>
        <rFont val="Arial"/>
        <family val="2"/>
      </rPr>
      <t>SYS_C03_5:</t>
    </r>
    <r>
      <rPr>
        <sz val="10"/>
        <rFont val="Arial"/>
        <family val="2"/>
      </rPr>
      <t xml:space="preserve">
Energy reserve may not be operational immediately after powering on the ECU.
As a consequence, the system context shall not be stored while the system is not fully initialized.</t>
    </r>
  </si>
  <si>
    <r>
      <rPr>
        <b/>
        <u/>
        <sz val="10"/>
        <rFont val="Arial"/>
        <family val="2"/>
      </rPr>
      <t>SYS_C03_9:</t>
    </r>
    <r>
      <rPr>
        <sz val="10"/>
        <rFont val="Arial"/>
        <family val="2"/>
      </rPr>
      <t xml:space="preserve">
System context storage shall be avoided when unnessacery, i.e. when the strategy regarding start-up cycle at next SW initialization is not modified.</t>
    </r>
  </si>
  <si>
    <r>
      <rPr>
        <b/>
        <u/>
        <sz val="10"/>
        <rFont val="Arial"/>
        <family val="2"/>
      </rPr>
      <t>SYS_C03_6:</t>
    </r>
    <r>
      <rPr>
        <sz val="10"/>
        <rFont val="Arial"/>
        <family val="2"/>
      </rPr>
      <t xml:space="preserve">
Pre²-tensioning function MF-01 shall be inhibited a certain time after a battery disconnection (to prevent pumping effect).</t>
    </r>
  </si>
  <si>
    <t>SYS_C03_4, SYS_C03_5, SYS_C03_6, SYS_C03_9</t>
  </si>
  <si>
    <t>SYS_C07 Uncovered Req Review for traceability - OK result</t>
  </si>
  <si>
    <t>The goal of this test is to cover SYS_C07 Req whithout traceability when test can not be perfomed.</t>
  </si>
  <si>
    <t>Not explicitly specified but implemented as well.</t>
  </si>
  <si>
    <r>
      <rPr>
        <b/>
        <u/>
        <sz val="10"/>
        <rFont val="Arial"/>
        <family val="2"/>
      </rPr>
      <t>SYS_C07_12:</t>
    </r>
    <r>
      <rPr>
        <sz val="10"/>
        <rFont val="Arial"/>
        <family val="2"/>
      </rPr>
      <t xml:space="preserve">
CAN baudrate shall be 500kBaud.</t>
    </r>
  </si>
  <si>
    <t>SYS_C07 Uncovered Req Review for traceability - TBD result</t>
  </si>
  <si>
    <t>TBD in DES. Not yet specified and so not checked.</t>
  </si>
  <si>
    <r>
      <rPr>
        <b/>
        <u/>
        <sz val="10"/>
        <rFont val="Arial"/>
        <family val="2"/>
      </rPr>
      <t>SYS_C07_27:</t>
    </r>
    <r>
      <rPr>
        <sz val="10"/>
        <rFont val="Arial"/>
        <family val="2"/>
      </rPr>
      <t xml:space="preserve">
To reduce the impact of the motor activation on battery health, some current limitations shall be fulfilled as follows:
no current spike over 70A for &gt;2ms
no current spike over 50A for &gt;50ms
no current spike over 40A for &gt;500ms</t>
    </r>
  </si>
  <si>
    <r>
      <rPr>
        <b/>
        <u/>
        <sz val="10"/>
        <rFont val="Arial"/>
        <family val="2"/>
      </rPr>
      <t>SYS_C07_28:</t>
    </r>
    <r>
      <rPr>
        <sz val="10"/>
        <rFont val="Arial"/>
        <family val="2"/>
      </rPr>
      <t xml:space="preserve">
The average current draw on battery line over the first 500ms of motor activation shall be lower than 40A.</t>
    </r>
  </si>
  <si>
    <t>Not explicitly defined in DES.</t>
  </si>
  <si>
    <r>
      <rPr>
        <b/>
        <u/>
        <sz val="10"/>
        <rFont val="Arial"/>
        <family val="2"/>
      </rPr>
      <t>SYS_C07_29:</t>
    </r>
    <r>
      <rPr>
        <sz val="10"/>
        <rFont val="Arial"/>
        <family val="2"/>
      </rPr>
      <t xml:space="preserve">
The current draw on battery line after the first 500ms of motor activation shall be lower than 10A in nominal case, i.e. without product misuse.
Note: in case of misuse, current limitation as for a new motor activation shall be considered</t>
    </r>
  </si>
  <si>
    <r>
      <rPr>
        <b/>
        <u/>
        <sz val="10"/>
        <rFont val="Arial"/>
        <family val="2"/>
      </rPr>
      <t>SYS_C07_39:</t>
    </r>
    <r>
      <rPr>
        <sz val="10"/>
        <rFont val="Arial"/>
        <family val="2"/>
      </rPr>
      <t xml:space="preserve">
For any electronic key component developed outside ALV organization, a Purchasing Technical Specification (PTS) shall be generated and the associated SQP process shall be followed.</t>
    </r>
  </si>
  <si>
    <r>
      <t xml:space="preserve">Done.
</t>
    </r>
    <r>
      <rPr>
        <b/>
        <sz val="10"/>
        <rFont val="Arial"/>
        <family val="2"/>
      </rPr>
      <t>TODO: Add link</t>
    </r>
  </si>
  <si>
    <r>
      <t xml:space="preserve">PTS used as expected but no possibility to track it for traceability (See MCU PTS in PLM)
</t>
    </r>
    <r>
      <rPr>
        <b/>
        <sz val="10"/>
        <rFont val="Arial"/>
        <family val="2"/>
      </rPr>
      <t>TODO: Add link</t>
    </r>
  </si>
  <si>
    <r>
      <rPr>
        <b/>
        <u/>
        <sz val="10"/>
        <rFont val="Arial"/>
        <family val="2"/>
      </rPr>
      <t>SYS_C07_41:</t>
    </r>
    <r>
      <rPr>
        <sz val="10"/>
        <rFont val="Arial"/>
        <family val="2"/>
      </rPr>
      <t xml:space="preserve">
Supplier recommendations and application notes shall be taken into account.
So-called formal design review shall be performed with the supplier to confirm the robustness of the design.</t>
    </r>
  </si>
  <si>
    <r>
      <t xml:space="preserve">Done, see MCU in PLM
</t>
    </r>
    <r>
      <rPr>
        <b/>
        <sz val="10"/>
        <rFont val="Arial"/>
        <family val="2"/>
      </rPr>
      <t>TODO: Add link</t>
    </r>
  </si>
  <si>
    <r>
      <rPr>
        <b/>
        <u/>
        <sz val="10"/>
        <rFont val="Arial"/>
        <family val="2"/>
      </rPr>
      <t>SYS_C07_40:</t>
    </r>
    <r>
      <rPr>
        <sz val="10"/>
        <rFont val="Arial"/>
        <family val="2"/>
      </rPr>
      <t xml:space="preserve">
Design FMEA shall be performed at component level, i.e. no single fault shall lead to endangering the passenger.</t>
    </r>
  </si>
  <si>
    <t>SYS_C07_12, SYS_C07_39, SYS_C07_40, SYS_C07_41</t>
  </si>
  <si>
    <r>
      <rPr>
        <b/>
        <u/>
        <sz val="10"/>
        <rFont val="Arial"/>
        <family val="2"/>
      </rPr>
      <t>SYS_C07_43:</t>
    </r>
    <r>
      <rPr>
        <sz val="10"/>
        <rFont val="Arial"/>
        <family val="2"/>
      </rPr>
      <t xml:space="preserve">
For any test no false or undesirable actions or reactions of the component is allowed (Status 1), i.e:
- no false release
- no unexpected DTC
- no component damage
- no component destruction</t>
    </r>
  </si>
  <si>
    <t>SYS_Review_C01_TBD</t>
  </si>
  <si>
    <t>SYS_Review_C02_OK</t>
  </si>
  <si>
    <t>SYS_Review_C02_TBD</t>
  </si>
  <si>
    <t>SYS_Review_C03_TBD</t>
  </si>
  <si>
    <t>SYS_Review_C04_OK</t>
  </si>
  <si>
    <t>SYS_Review_C04_TBD</t>
  </si>
  <si>
    <t>SYS_Review_C07_OK</t>
  </si>
  <si>
    <r>
      <rPr>
        <b/>
        <u/>
        <sz val="10"/>
        <rFont val="Arial"/>
        <family val="2"/>
      </rPr>
      <t>SYS_C07_99:</t>
    </r>
    <r>
      <rPr>
        <sz val="10"/>
        <rFont val="Arial"/>
        <family val="2"/>
      </rPr>
      <t xml:space="preserve">
Number of DUT is reduced for all LV-124 tests to: at least 3.</t>
    </r>
  </si>
  <si>
    <t>SYS_C08 Uncovered Req Review for traceability - TBD result</t>
  </si>
  <si>
    <t>The goal of this test is to cover SYS_C08 Req whithout traceability when test can not be perfomed.</t>
  </si>
  <si>
    <t>SYS_C08 Uncovered Req Review for traceability - OK result</t>
  </si>
  <si>
    <t>SYS_Review_C07_TBD</t>
  </si>
  <si>
    <t>SYS_Review_C08_OK</t>
  </si>
  <si>
    <t>SYS_Review_C08_TBD</t>
  </si>
  <si>
    <r>
      <t xml:space="preserve">SYS_C08_3:
</t>
    </r>
    <r>
      <rPr>
        <sz val="10"/>
        <rFont val="Arial"/>
        <family val="2"/>
      </rPr>
      <t>The connector(s) pins shall resist to insertion
No pin position modification with a permanent force of 25N in pin axis</t>
    </r>
  </si>
  <si>
    <r>
      <t xml:space="preserve">No linked found.
</t>
    </r>
    <r>
      <rPr>
        <b/>
        <u/>
        <sz val="10"/>
        <rFont val="Arial"/>
        <family val="2"/>
      </rPr>
      <t>To be checked</t>
    </r>
  </si>
  <si>
    <r>
      <rPr>
        <b/>
        <u/>
        <sz val="10"/>
        <rFont val="Arial"/>
        <family val="2"/>
      </rPr>
      <t xml:space="preserve">SYS_C08_5:
</t>
    </r>
    <r>
      <rPr>
        <sz val="10"/>
        <rFont val="Arial"/>
        <family val="2"/>
      </rPr>
      <t>The unit shall resist to temperature modifications with no perturbation
4°C/min maximum</t>
    </r>
  </si>
  <si>
    <r>
      <rPr>
        <b/>
        <u/>
        <sz val="10"/>
        <rFont val="Arial"/>
        <family val="2"/>
      </rPr>
      <t xml:space="preserve">SYS_C08_6:
</t>
    </r>
    <r>
      <rPr>
        <sz val="10"/>
        <rFont val="Arial"/>
        <family val="2"/>
      </rPr>
      <t>Pin header shall resist to 100N pull-in and out forces along pins’ axis
PCB deformation shall not exceed 500µm/m at SMD capacitors</t>
    </r>
  </si>
  <si>
    <t xml:space="preserve">SYS_C08_3, SYS_C08_5, SYS_C08_6, </t>
  </si>
  <si>
    <r>
      <rPr>
        <b/>
        <u/>
        <sz val="10"/>
        <rFont val="Arial"/>
        <family val="2"/>
      </rPr>
      <t>SYS_C08_7:</t>
    </r>
    <r>
      <rPr>
        <sz val="10"/>
        <rFont val="Arial"/>
        <family val="2"/>
      </rPr>
      <t xml:space="preserve">
Reprocessing of parts shall be avoided.
Rework of equipped PCB is forbidden.</t>
    </r>
  </si>
  <si>
    <t>SYS_C08_7</t>
  </si>
  <si>
    <r>
      <t xml:space="preserve">No link found but is taken into account &amp; OK
</t>
    </r>
    <r>
      <rPr>
        <b/>
        <u/>
        <sz val="10"/>
        <rFont val="Arial"/>
        <family val="2"/>
      </rPr>
      <t>Traceability to be improved.</t>
    </r>
  </si>
  <si>
    <t>SYS_C12 Uncovered Req Review for traceability - OK result</t>
  </si>
  <si>
    <t>The goal of this test is to cover SYS_C12 Req whithout traceability when test can not be perfomed.</t>
  </si>
  <si>
    <r>
      <rPr>
        <b/>
        <u/>
        <sz val="10"/>
        <rFont val="Arial"/>
        <family val="2"/>
      </rPr>
      <t>SYS_C12_4:</t>
    </r>
    <r>
      <rPr>
        <sz val="10"/>
        <rFont val="Arial"/>
        <family val="2"/>
      </rPr>
      <t xml:space="preserve">
A specific emplacement shall be designed for the marking (label or laser printing area).</t>
    </r>
  </si>
  <si>
    <r>
      <rPr>
        <b/>
        <u/>
        <sz val="10"/>
        <rFont val="Arial"/>
        <family val="2"/>
      </rPr>
      <t>SYS_C12_8:</t>
    </r>
    <r>
      <rPr>
        <sz val="10"/>
        <rFont val="Arial"/>
        <family val="2"/>
      </rPr>
      <t xml:space="preserve">
The torque of all the screws must be stable within the system life (especially after vibration tests).</t>
    </r>
  </si>
  <si>
    <t>No screws.</t>
  </si>
  <si>
    <r>
      <rPr>
        <b/>
        <u/>
        <sz val="10"/>
        <rFont val="Arial"/>
        <family val="2"/>
      </rPr>
      <t>SYS_C12_9:</t>
    </r>
    <r>
      <rPr>
        <sz val="10"/>
        <rFont val="Arial"/>
        <family val="2"/>
      </rPr>
      <t xml:space="preserve">
No component shall be mounted near casing or cover.
A mechanical assembly simulation shall be performed after every new routing release in order to validate mounting feasibilit</t>
    </r>
  </si>
  <si>
    <r>
      <t xml:space="preserve">Taken into account by design but not traceability found.
</t>
    </r>
    <r>
      <rPr>
        <b/>
        <u/>
        <sz val="10"/>
        <rFont val="Arial"/>
        <family val="2"/>
      </rPr>
      <t>Traceability to be improved.</t>
    </r>
  </si>
  <si>
    <t>SYS_C12_4, SYS_C12_8, SYS_C12_9</t>
  </si>
  <si>
    <t>SYS_Review_C12_OK</t>
  </si>
  <si>
    <t>SYS_C14 Uncovered Req Review for traceability - OK result</t>
  </si>
  <si>
    <t>SYS_C14_2, SYS_C14_3, SYS_C14_4, SYS_C14_5</t>
  </si>
  <si>
    <t>The goal of this test is to cover SYS_C14 Req whithout traceability when test can not be perfomed.</t>
  </si>
  <si>
    <r>
      <rPr>
        <b/>
        <u/>
        <sz val="10"/>
        <rFont val="Arial"/>
        <family val="2"/>
      </rPr>
      <t>SYS_C14_2:</t>
    </r>
    <r>
      <rPr>
        <sz val="10"/>
        <rFont val="Arial"/>
        <family val="2"/>
      </rPr>
      <t xml:space="preserve">
All components shall be validated by purchasing department.
 Quantity
 Authorized supplier
 Quality level</t>
    </r>
  </si>
  <si>
    <r>
      <rPr>
        <b/>
        <u/>
        <sz val="10"/>
        <rFont val="Arial"/>
        <family val="2"/>
      </rPr>
      <t>SYS_C14_3:</t>
    </r>
    <r>
      <rPr>
        <sz val="10"/>
        <rFont val="Arial"/>
        <family val="2"/>
      </rPr>
      <t xml:space="preserve">
All components shall have a second source.
When not feasible, a document shall identify and justify all mono source components for each project variant.</t>
    </r>
  </si>
  <si>
    <r>
      <rPr>
        <b/>
        <u/>
        <sz val="10"/>
        <rFont val="Arial"/>
        <family val="2"/>
      </rPr>
      <t>SYS_C14_4:</t>
    </r>
    <r>
      <rPr>
        <sz val="10"/>
        <rFont val="Arial"/>
        <family val="2"/>
      </rPr>
      <t xml:space="preserve">
The references that can present risks in term of supplying shall be identified and reduce to minimum.
A document shall analyze the bill of material for each project variant.</t>
    </r>
  </si>
  <si>
    <r>
      <rPr>
        <b/>
        <u/>
        <sz val="10"/>
        <rFont val="Arial"/>
        <family val="2"/>
      </rPr>
      <t>SYS_C14_5:</t>
    </r>
    <r>
      <rPr>
        <sz val="10"/>
        <rFont val="Arial"/>
        <family val="2"/>
      </rPr>
      <t xml:space="preserve">
The number of component references shall be reduced to a minimum.
A document shall analyze the bill of material for all project variants.</t>
    </r>
  </si>
  <si>
    <r>
      <t xml:space="preserve">No link found but is taken into account &amp; OK
</t>
    </r>
    <r>
      <rPr>
        <b/>
        <u/>
        <sz val="10"/>
        <rFont val="Arial"/>
        <family val="2"/>
      </rPr>
      <t xml:space="preserve">Traceability to be improved.
</t>
    </r>
    <r>
      <rPr>
        <sz val="10"/>
        <rFont val="Arial"/>
        <family val="2"/>
      </rPr>
      <t>(managed tru PCB workflow)</t>
    </r>
  </si>
  <si>
    <t>SYS_Review_C14_OK</t>
  </si>
  <si>
    <t>SYS_Review_C15_OK</t>
  </si>
  <si>
    <t>SYS_C15 Uncovered Req Review for traceability - OK result</t>
  </si>
  <si>
    <t>The goal of this test is to cover SYS_C15 Req whithout traceability when test can not be perfomed.</t>
  </si>
  <si>
    <r>
      <rPr>
        <b/>
        <u/>
        <sz val="10"/>
        <rFont val="Arial"/>
        <family val="2"/>
      </rPr>
      <t>SYS_C15_2:</t>
    </r>
    <r>
      <rPr>
        <sz val="10"/>
        <rFont val="Arial"/>
        <family val="2"/>
      </rPr>
      <t xml:space="preserve">
All components shall be testable In Circuit.
The list of components that can not be tested shall be established. It shall justify the choice of these components and prove that there is no risk regarding these components.</t>
    </r>
  </si>
  <si>
    <r>
      <rPr>
        <b/>
        <u/>
        <sz val="10"/>
        <rFont val="Arial"/>
        <family val="2"/>
      </rPr>
      <t>SYS_C15_4:</t>
    </r>
    <r>
      <rPr>
        <sz val="10"/>
        <rFont val="Arial"/>
        <family val="2"/>
      </rPr>
      <t xml:space="preserve">
ECU shall be flashable In Circuit.
Example: 
Cyclone Pro &amp; test points or JTAG</t>
    </r>
  </si>
  <si>
    <t>SYS_C15_2, SYS_C15_4</t>
  </si>
  <si>
    <t>SYS_Review_C16_OK</t>
  </si>
  <si>
    <t>SYS_C16 Uncovered Req Review for traceability - OK result</t>
  </si>
  <si>
    <t>The goal of this test is to cover SYS_C16 Req whithout traceability when test can not be perfomed.</t>
  </si>
  <si>
    <r>
      <rPr>
        <b/>
        <u/>
        <sz val="10"/>
        <rFont val="Arial"/>
        <family val="2"/>
      </rPr>
      <t>SYS_C16_7:</t>
    </r>
    <r>
      <rPr>
        <sz val="10"/>
        <rFont val="Arial"/>
        <family val="2"/>
      </rPr>
      <t xml:space="preserve">
ECU design shall comply with AS150 for both design and manufacturing parts.</t>
    </r>
  </si>
  <si>
    <r>
      <rPr>
        <b/>
        <u/>
        <sz val="10"/>
        <rFont val="Arial"/>
        <family val="2"/>
      </rPr>
      <t>SYS_C16_6:</t>
    </r>
    <r>
      <rPr>
        <sz val="10"/>
        <rFont val="Arial"/>
        <family val="2"/>
      </rPr>
      <t xml:space="preserve">
ECU design shall take into account “lead free” strategy, i.e. the ECU product shall be lead free and lead free process compliant.</t>
    </r>
  </si>
  <si>
    <t>today this is not feasible for all power components like MOSFET due to high temperature melting point solders that today contains more than 95% lead to avoid delamination during reflow for lead free soldering process.</t>
  </si>
  <si>
    <t>Nok</t>
  </si>
  <si>
    <t>SYS_C16_6</t>
  </si>
  <si>
    <t>SYS_C16 Uncovered Req Review for traceability - NOK result</t>
  </si>
  <si>
    <t>SYS_C16_7</t>
  </si>
  <si>
    <t>SYS_Review_C16_NOK</t>
  </si>
  <si>
    <t>SYS_Review_C18_TBD</t>
  </si>
  <si>
    <t>The goal of this test is to cover SYS_C18 Req whithout traceability when test can not be perfomed.</t>
  </si>
  <si>
    <r>
      <rPr>
        <b/>
        <u/>
        <sz val="10"/>
        <rFont val="Arial"/>
        <family val="2"/>
      </rPr>
      <t>SYS_C18_7:</t>
    </r>
    <r>
      <rPr>
        <sz val="10"/>
        <rFont val="Arial"/>
        <family val="2"/>
      </rPr>
      <t xml:space="preserve">
Shall be compliant with AS151.</t>
    </r>
  </si>
  <si>
    <r>
      <rPr>
        <b/>
        <u/>
        <sz val="10"/>
        <rFont val="Arial"/>
        <family val="2"/>
      </rPr>
      <t>SYS_C18_6:</t>
    </r>
    <r>
      <rPr>
        <sz val="10"/>
        <rFont val="Arial"/>
        <family val="2"/>
      </rPr>
      <t xml:space="preserve">
Shall be compliant with AS152.</t>
    </r>
  </si>
  <si>
    <r>
      <rPr>
        <b/>
        <u/>
        <sz val="10"/>
        <rFont val="Arial"/>
        <family val="2"/>
      </rPr>
      <t>SYS_C18_5:</t>
    </r>
    <r>
      <rPr>
        <sz val="10"/>
        <rFont val="Arial"/>
        <family val="2"/>
      </rPr>
      <t xml:space="preserve">
Shall be compliant with AS153.</t>
    </r>
  </si>
  <si>
    <r>
      <t xml:space="preserve">Ok, but not sure all points of AS151 are today covered.
</t>
    </r>
    <r>
      <rPr>
        <b/>
        <u/>
        <sz val="10"/>
        <rFont val="Arial"/>
        <family val="2"/>
      </rPr>
      <t>Need to be checked if everything is taken into account.</t>
    </r>
  </si>
  <si>
    <r>
      <t xml:space="preserve">Ok, but not sure all points of AS152 are today covered.
</t>
    </r>
    <r>
      <rPr>
        <b/>
        <u/>
        <sz val="10"/>
        <rFont val="Arial"/>
        <family val="2"/>
      </rPr>
      <t>Need to be checked if everything is taken into account.</t>
    </r>
  </si>
  <si>
    <r>
      <t xml:space="preserve">Ok, but not sure all points of AS153 are today covered.
</t>
    </r>
    <r>
      <rPr>
        <b/>
        <u/>
        <sz val="10"/>
        <rFont val="Arial"/>
        <family val="2"/>
      </rPr>
      <t>Need to be checked if everything is taken into account.</t>
    </r>
  </si>
  <si>
    <t xml:space="preserve">SYS_C18_5, SYS_C18_6, SYS_C18_7, </t>
  </si>
  <si>
    <t>SYS_Review_C18_OK</t>
  </si>
  <si>
    <t>OK but Traceability not done today (Autotest disabling…)</t>
  </si>
  <si>
    <r>
      <rPr>
        <b/>
        <u/>
        <sz val="10"/>
        <rFont val="Arial"/>
        <family val="2"/>
      </rPr>
      <t>SYS_C18_3:</t>
    </r>
    <r>
      <rPr>
        <sz val="10"/>
        <rFont val="Arial"/>
        <family val="2"/>
      </rPr>
      <t xml:space="preserve">
It shall be possible to modify some settings in order to perform characterisation tests, like suppressing some protection monitorings or making them more or less sensitive.
Customer shall not be able to do it.</t>
    </r>
  </si>
  <si>
    <r>
      <rPr>
        <b/>
        <u/>
        <sz val="10"/>
        <rFont val="Arial"/>
        <family val="2"/>
      </rPr>
      <t>SYS_C18_4:</t>
    </r>
    <r>
      <rPr>
        <sz val="10"/>
        <rFont val="Arial"/>
        <family val="2"/>
      </rPr>
      <t xml:space="preserve">
Some logging features shall be available to help investigating issues in case of occurrence during DV tests.</t>
    </r>
  </si>
  <si>
    <t>OK but Traceability not done today (Measurement Frame…)</t>
  </si>
  <si>
    <t>SYS_C18_3, SYS_C18_4</t>
  </si>
  <si>
    <t>SYS_C07_27, SYS_C07_28, SYS_C07_29, SYS_C07_99</t>
  </si>
  <si>
    <r>
      <rPr>
        <b/>
        <u/>
        <sz val="10"/>
        <rFont val="Arial"/>
        <family val="2"/>
      </rPr>
      <t>SYS_C19_4:</t>
    </r>
    <r>
      <rPr>
        <sz val="10"/>
        <rFont val="Arial"/>
        <family val="2"/>
      </rPr>
      <t xml:space="preserve">
The specific diagnostic services shall be implemented for process test (internal protocol).
A specification of these diagnostic services shall be established and approved by system plant.
</t>
    </r>
  </si>
  <si>
    <t>OK as no manufacturing expected for platform , only for linked application projects.
Nevertheless, Process mode is defined and implemented at platform level.</t>
  </si>
  <si>
    <t>SYS_C19_4</t>
  </si>
  <si>
    <t>SYS_C19 Uncovered Req Review for traceability - OK result</t>
  </si>
  <si>
    <t>The goal of this test is to cover SYS_C19 Req whithout traceability when test can not be perfomed.</t>
  </si>
  <si>
    <t>SYS_C18 Uncovered Req Review for traceability - TBD result</t>
  </si>
  <si>
    <t>SYS_Review_C19_Ok</t>
  </si>
  <si>
    <t>SYS_Review_C20_TBD</t>
  </si>
  <si>
    <t>SYS_Review_C24_TBD</t>
  </si>
  <si>
    <t>SYS_Review_C25_TBD</t>
  </si>
  <si>
    <t>SYS_C20 Uncovered Req Review for traceability - TBD result</t>
  </si>
  <si>
    <t>The goal of this test is to cover SYS_C20 Req whithout traceability when test can not be perfomed.</t>
  </si>
  <si>
    <r>
      <rPr>
        <b/>
        <u/>
        <sz val="10"/>
        <rFont val="Arial"/>
        <family val="2"/>
      </rPr>
      <t>SYS_C20_2:</t>
    </r>
    <r>
      <rPr>
        <sz val="10"/>
        <rFont val="Arial"/>
        <family val="2"/>
      </rPr>
      <t xml:space="preserve">
A DATA MATRIX shall be laser printed on the enclosure with traceability data.</t>
    </r>
  </si>
  <si>
    <r>
      <rPr>
        <b/>
        <u/>
        <sz val="10"/>
        <rFont val="Arial"/>
        <family val="2"/>
      </rPr>
      <t>SYS_C20_8:</t>
    </r>
    <r>
      <rPr>
        <sz val="10"/>
        <rFont val="Arial"/>
        <family val="2"/>
      </rPr>
      <t xml:space="preserve">
All identification parameters must be updated at each ECU delivery.</t>
    </r>
  </si>
  <si>
    <r>
      <t xml:space="preserve">OK, but no Manufacturing req to link found.
</t>
    </r>
    <r>
      <rPr>
        <b/>
        <u/>
        <sz val="10"/>
        <rFont val="Arial"/>
        <family val="2"/>
      </rPr>
      <t>Traceability to be improved</t>
    </r>
  </si>
  <si>
    <t xml:space="preserve">SYS_C20_2, SYS_C20_8 </t>
  </si>
  <si>
    <t>SYS_C24 Uncovered Req Review for traceability - TBD result</t>
  </si>
  <si>
    <t xml:space="preserve">SYS_C24_2, SYS_C24_3, SYS_C24_4, SYS_C24_5, SYS_C24_7 </t>
  </si>
  <si>
    <t>The goal of this test is to cover SYS_C24 Req whithout traceability when test can not be perfomed.</t>
  </si>
  <si>
    <r>
      <rPr>
        <b/>
        <u/>
        <sz val="10"/>
        <rFont val="Arial"/>
        <family val="2"/>
      </rPr>
      <t>SYS_C24_2:</t>
    </r>
    <r>
      <rPr>
        <sz val="10"/>
        <rFont val="Arial"/>
        <family val="2"/>
      </rPr>
      <t xml:space="preserve">
Wherever possible, painting and casting the PCBs/devices must be avoided.</t>
    </r>
  </si>
  <si>
    <r>
      <rPr>
        <b/>
        <u/>
        <sz val="10"/>
        <rFont val="Arial"/>
        <family val="2"/>
      </rPr>
      <t>SYS_C24_3:</t>
    </r>
    <r>
      <rPr>
        <sz val="10"/>
        <rFont val="Arial"/>
        <family val="2"/>
      </rPr>
      <t xml:space="preserve">
CR6+ Chrome is forbidden.</t>
    </r>
  </si>
  <si>
    <r>
      <rPr>
        <b/>
        <u/>
        <sz val="10"/>
        <rFont val="Arial"/>
        <family val="2"/>
      </rPr>
      <t>SYS_C24_4:</t>
    </r>
    <r>
      <rPr>
        <sz val="10"/>
        <rFont val="Arial"/>
        <family val="2"/>
      </rPr>
      <t xml:space="preserve">
The substance prohibitions for the heavy metals lead, cadmium, mercury and hexavalent chromium (CR VI) shall be complied with:
  the EU ELV directive, “Directive 2000/53/EC of the European Parliament and all its amendments 
  the Council of 18 September 2000 on End-of-life Vehicles,”</t>
    </r>
  </si>
  <si>
    <r>
      <t xml:space="preserve">OK, but no req to link found.
</t>
    </r>
    <r>
      <rPr>
        <b/>
        <u/>
        <sz val="10"/>
        <rFont val="Arial"/>
        <family val="2"/>
      </rPr>
      <t>Traceability to be improved</t>
    </r>
  </si>
  <si>
    <r>
      <rPr>
        <b/>
        <u/>
        <sz val="10"/>
        <rFont val="Arial"/>
        <family val="2"/>
      </rPr>
      <t>SYS_C24_5:</t>
    </r>
    <r>
      <rPr>
        <sz val="10"/>
        <rFont val="Arial"/>
        <family val="2"/>
      </rPr>
      <t xml:space="preserve">
IMDS report for all components is required.</t>
    </r>
  </si>
  <si>
    <r>
      <rPr>
        <b/>
        <u/>
        <sz val="10"/>
        <rFont val="Arial"/>
        <family val="2"/>
      </rPr>
      <t>SYS_C24_7:</t>
    </r>
    <r>
      <rPr>
        <sz val="10"/>
        <rFont val="Arial"/>
        <family val="2"/>
      </rPr>
      <t xml:space="preserve">
Product shall be conform to AS 5.
http://mod-db/412568B30031E27E/9C3F6AF77E6495C0412565AA00493645/218614DA7F94AD79412565BE002ECC5B</t>
    </r>
  </si>
  <si>
    <r>
      <rPr>
        <b/>
        <u/>
        <sz val="10"/>
        <rFont val="Arial"/>
        <family val="2"/>
      </rPr>
      <t>SYS_C25_3:</t>
    </r>
    <r>
      <rPr>
        <sz val="10"/>
        <rFont val="Arial"/>
        <family val="2"/>
      </rPr>
      <t xml:space="preserve">
The unit shall not generate any audible noise to vehicle occupants with normal hearing.
PWM frequency as low as possible, but not lower than 19 KHz.</t>
    </r>
  </si>
  <si>
    <t>Do not know how manage this Req as it is linked to the Whole retractor…</t>
  </si>
  <si>
    <t>SYS_C25 Uncovered Req Review for traceability - TBD result</t>
  </si>
  <si>
    <t>The goal of this test is to cover SYS_C25 Req whithout traceability when test can not be perfomed.</t>
  </si>
  <si>
    <t>SYS_C25_3</t>
  </si>
  <si>
    <t>SYS_Review_C26_Ok</t>
  </si>
  <si>
    <t>SYS_C26 Uncovered Req Review for traceability - OK result</t>
  </si>
  <si>
    <t>The goal of this test is to cover SYS_C26 Req whithout traceability when test can not be perfomed.</t>
  </si>
  <si>
    <r>
      <rPr>
        <b/>
        <u/>
        <sz val="10"/>
        <rFont val="Arial"/>
        <family val="2"/>
      </rPr>
      <t>SYS_C26_5:</t>
    </r>
    <r>
      <rPr>
        <sz val="10"/>
        <rFont val="Arial"/>
        <family val="2"/>
      </rPr>
      <t xml:space="preserve">
The software must have a modular design allowing modifications to be implemented easily particularly in the functional part (for instance tensioning based on different switch-on and switch-off conditions with different force curves) even subsequently during continuing development.
</t>
    </r>
  </si>
  <si>
    <t>OK but difficult to link…</t>
  </si>
  <si>
    <r>
      <rPr>
        <b/>
        <u/>
        <sz val="10"/>
        <rFont val="Arial"/>
        <family val="2"/>
      </rPr>
      <t>SYS_C26_7:</t>
    </r>
    <r>
      <rPr>
        <sz val="10"/>
        <rFont val="Arial"/>
        <family val="2"/>
      </rPr>
      <t xml:space="preserve">
The unit shall respect all AUTOLIV standards.
The ECU shall be designed in compliance with the APDS (Autoliv Product Development System) standard and/or Pre-APDS standard.
See AS database for details:
http://10.20.18.5/Info_alv/AHOAL002.nsf/a7637958963fe831c1256c2f003e57de?OpenView&amp;Start=1&amp;Count=100&amp;ExpandView
</t>
    </r>
  </si>
  <si>
    <r>
      <rPr>
        <b/>
        <u/>
        <sz val="10"/>
        <rFont val="Arial"/>
        <family val="2"/>
      </rPr>
      <t>SYS_C26_8:</t>
    </r>
    <r>
      <rPr>
        <sz val="10"/>
        <rFont val="Arial"/>
        <family val="2"/>
      </rPr>
      <t xml:space="preserve">
The unit shall respect all standards referenced by the customer.
The supplier is responsible for complying with all laws, standards and regulations and for developing the state of technology accordingly. 
It should be borne in mind that the vehicles containing these components will be sold throughout the world.
</t>
    </r>
  </si>
  <si>
    <r>
      <rPr>
        <b/>
        <u/>
        <sz val="10"/>
        <rFont val="Arial"/>
        <family val="2"/>
      </rPr>
      <t>SYS_C26_9:</t>
    </r>
    <r>
      <rPr>
        <sz val="10"/>
        <rFont val="Arial"/>
        <family val="2"/>
      </rPr>
      <t xml:space="preserve">
The unit shall respect all applicable legal requirements.
</t>
    </r>
  </si>
  <si>
    <t>SYS_C26_5, SYS_C26_7, SYS_C26_8, SYS_C26_9</t>
  </si>
  <si>
    <r>
      <rPr>
        <b/>
        <u/>
        <sz val="10"/>
        <rFont val="Arial"/>
        <family val="2"/>
      </rPr>
      <t>SYS_C26_10:</t>
    </r>
    <r>
      <rPr>
        <sz val="10"/>
        <rFont val="Arial"/>
        <family val="2"/>
      </rPr>
      <t xml:space="preserve">
ECU design shall be compliant with DC DBL 5306 regarding interior equipment materials.
ECU is mounted in the interior
</t>
    </r>
  </si>
  <si>
    <t>SYS_C26 Uncovered Req Review for traceability - TBD result</t>
  </si>
  <si>
    <r>
      <rPr>
        <b/>
        <u/>
        <sz val="10"/>
        <rFont val="Arial"/>
        <family val="2"/>
      </rPr>
      <t>SYS_C26_11:</t>
    </r>
    <r>
      <rPr>
        <sz val="10"/>
        <rFont val="Arial"/>
        <family val="2"/>
      </rPr>
      <t xml:space="preserve">
ECU design shall be compliant with DC DBL 5307.10 definition.
ECU is mounted in the interior
</t>
    </r>
  </si>
  <si>
    <r>
      <rPr>
        <b/>
        <u/>
        <sz val="10"/>
        <rFont val="Arial"/>
        <family val="2"/>
      </rPr>
      <t>SYS_C26_12:</t>
    </r>
    <r>
      <rPr>
        <sz val="10"/>
        <rFont val="Arial"/>
        <family val="2"/>
      </rPr>
      <t xml:space="preserve">
ECU design shall be compliant with DC DBL5490 about plastic materials.
</t>
    </r>
  </si>
  <si>
    <r>
      <rPr>
        <b/>
        <u/>
        <sz val="10"/>
        <rFont val="Arial"/>
        <family val="2"/>
      </rPr>
      <t>SYS_C26_13:</t>
    </r>
    <r>
      <rPr>
        <sz val="10"/>
        <rFont val="Arial"/>
        <family val="2"/>
      </rPr>
      <t xml:space="preserve">
ECU design shall be compliant with DC DBL 6565 &amp; 6714 about forbidden substances in process materials.
Only applicable in case of conventional coating and/or glue
</t>
    </r>
  </si>
  <si>
    <r>
      <rPr>
        <b/>
        <u/>
        <sz val="10"/>
        <rFont val="Arial"/>
        <family val="2"/>
      </rPr>
      <t>SYS_C26_15:</t>
    </r>
    <r>
      <rPr>
        <sz val="10"/>
        <rFont val="Arial"/>
        <family val="2"/>
      </rPr>
      <t xml:space="preserve">
ECU design shall be compliant with DC DBL 8451 about coating and surface protections of materials.
Applicable to screws, cover and casing
</t>
    </r>
  </si>
  <si>
    <r>
      <rPr>
        <b/>
        <u/>
        <sz val="10"/>
        <rFont val="Arial"/>
        <family val="2"/>
      </rPr>
      <t>SYS_C26_14:</t>
    </r>
    <r>
      <rPr>
        <sz val="10"/>
        <rFont val="Arial"/>
        <family val="2"/>
      </rPr>
      <t xml:space="preserve">
ECU design shall be compliant with DC DBL 8440 about coating &amp; surface protections.
Applicable to conventional coating for PCB and to screws
</t>
    </r>
  </si>
  <si>
    <r>
      <rPr>
        <b/>
        <u/>
        <sz val="10"/>
        <rFont val="Arial"/>
        <family val="2"/>
      </rPr>
      <t>SYS_C26_16:</t>
    </r>
    <r>
      <rPr>
        <sz val="10"/>
        <rFont val="Arial"/>
        <family val="2"/>
      </rPr>
      <t xml:space="preserve">
ECU design shall be compliant with DC DBL 8585 about forbidden substances and material selection.
Applicable to all components
</t>
    </r>
  </si>
  <si>
    <r>
      <rPr>
        <b/>
        <u/>
        <sz val="10"/>
        <rFont val="Arial"/>
        <family val="2"/>
      </rPr>
      <t>SYS_C26_17:</t>
    </r>
    <r>
      <rPr>
        <sz val="10"/>
        <rFont val="Arial"/>
        <family val="2"/>
      </rPr>
      <t xml:space="preserve">
ECU design shall be compliant with DC DBL 9410 about testing threaded parts
</t>
    </r>
  </si>
  <si>
    <r>
      <rPr>
        <b/>
        <u/>
        <sz val="10"/>
        <rFont val="Arial"/>
        <family val="2"/>
      </rPr>
      <t>SYS_C26_18:</t>
    </r>
    <r>
      <rPr>
        <sz val="10"/>
        <rFont val="Arial"/>
        <family val="2"/>
      </rPr>
      <t xml:space="preserve">
ECU design shall be compliant with DC DBL 9440 &amp; 9441 about surface protections for metric &amp; non-metric threads fasteners
</t>
    </r>
  </si>
  <si>
    <r>
      <rPr>
        <b/>
        <u/>
        <sz val="10"/>
        <rFont val="Arial"/>
        <family val="2"/>
      </rPr>
      <t>SYS_C26_19:</t>
    </r>
    <r>
      <rPr>
        <sz val="10"/>
        <rFont val="Arial"/>
        <family val="2"/>
      </rPr>
      <t xml:space="preserve">
ECU design shall be compliant with DC DBL 9460 about screws with liquid adhesive
</t>
    </r>
  </si>
  <si>
    <r>
      <rPr>
        <b/>
        <u/>
        <sz val="10"/>
        <rFont val="Arial"/>
        <family val="2"/>
      </rPr>
      <t>SYS_C26_20:</t>
    </r>
    <r>
      <rPr>
        <sz val="10"/>
        <rFont val="Arial"/>
        <family val="2"/>
      </rPr>
      <t xml:space="preserve">
Screws shall be chosen within MBN 4000-2
</t>
    </r>
  </si>
  <si>
    <r>
      <rPr>
        <b/>
        <u/>
        <sz val="10"/>
        <rFont val="Arial"/>
        <family val="2"/>
      </rPr>
      <t>SYS_C26_21:</t>
    </r>
    <r>
      <rPr>
        <sz val="10"/>
        <rFont val="Arial"/>
        <family val="2"/>
      </rPr>
      <t xml:space="preserve">
Screws shall be compliant with MBN 7085-2, -4 &amp; -5.
</t>
    </r>
  </si>
  <si>
    <r>
      <rPr>
        <b/>
        <u/>
        <sz val="10"/>
        <rFont val="Arial"/>
        <family val="2"/>
      </rPr>
      <t>SYS_C26_24:</t>
    </r>
    <r>
      <rPr>
        <sz val="10"/>
        <rFont val="Arial"/>
        <family val="2"/>
      </rPr>
      <t xml:space="preserve">
Screws shall be defined as per MBN 10130 or MBN 10142 or MBN 10268 or MBN 14150
</t>
    </r>
  </si>
  <si>
    <t xml:space="preserve">SYS_C26_10, SYS_C26_11, SYS_C26_12, SYS_C26_13, SYS_C26_14, SYS_C26_15, SYS_C26_16, SYS_C26_17, SYS_C26_18, SYS_C26_19,  SYS_C26_20, SYS_C26_21, SYS_C26_24   </t>
  </si>
  <si>
    <t>SYS_Review_C26_TBD</t>
  </si>
  <si>
    <t>SYS_C27 Uncovered Req Review for traceability - OK result</t>
  </si>
  <si>
    <t>The goal of this test is to cover SYS_C27 Req whithout traceability when test can not be perfomed.</t>
  </si>
  <si>
    <t>SYS_C27 Uncovered Req Review for traceability - TBD result</t>
  </si>
  <si>
    <t>SYS_Review_C27_Ok</t>
  </si>
  <si>
    <t>SYS_Review_C27_TBD</t>
  </si>
  <si>
    <r>
      <t xml:space="preserve">Done but not explicitly defined somewhere. </t>
    </r>
    <r>
      <rPr>
        <b/>
        <u/>
        <sz val="10"/>
        <rFont val="Arial"/>
        <family val="2"/>
      </rPr>
      <t>Need to be improved.</t>
    </r>
  </si>
  <si>
    <t>Shall it be linked to Energy reserve?</t>
  </si>
  <si>
    <t>Acces is not explicitly check, but ECC managed</t>
  </si>
  <si>
    <t>Acces is not explicitly check, but ECC managed (today linked to ECC)</t>
  </si>
  <si>
    <t>Done but not define at DES level.</t>
  </si>
  <si>
    <r>
      <rPr>
        <b/>
        <u/>
        <sz val="10"/>
        <rFont val="Arial"/>
        <family val="2"/>
      </rPr>
      <t>SYS_C27_3:</t>
    </r>
    <r>
      <rPr>
        <sz val="10"/>
        <rFont val="Arial"/>
        <family val="2"/>
      </rPr>
      <t xml:space="preserve">
Data identified as critical shall be checked against integrity and corruption, whatever the memory location (RAM, ROM or NVM).</t>
    </r>
  </si>
  <si>
    <r>
      <rPr>
        <b/>
        <u/>
        <sz val="10"/>
        <rFont val="Arial"/>
        <family val="2"/>
      </rPr>
      <t>SYS_C27_5:</t>
    </r>
    <r>
      <rPr>
        <sz val="10"/>
        <rFont val="Arial"/>
        <family val="2"/>
      </rPr>
      <t xml:space="preserve">
Electrical interfaces shall be designed so that the risk of information loss or falsification is reduced to a minimum, e.g. avoid useless write accesses.</t>
    </r>
  </si>
  <si>
    <r>
      <rPr>
        <b/>
        <u/>
        <sz val="10"/>
        <rFont val="Arial"/>
        <family val="2"/>
      </rPr>
      <t>SYS_C27_6:</t>
    </r>
    <r>
      <rPr>
        <sz val="10"/>
        <rFont val="Arial"/>
        <family val="2"/>
      </rPr>
      <t xml:space="preserve">
Read Only Memory access failure shall lead to SBE ECU inhibition.</t>
    </r>
  </si>
  <si>
    <r>
      <rPr>
        <b/>
        <u/>
        <sz val="10"/>
        <rFont val="Arial"/>
        <family val="2"/>
      </rPr>
      <t>SYS_C27_7:</t>
    </r>
    <r>
      <rPr>
        <sz val="10"/>
        <rFont val="Arial"/>
        <family val="2"/>
      </rPr>
      <t xml:space="preserve">
Non-Volatile Memory access failure shall lead to SBE ECU inhibition.</t>
    </r>
  </si>
  <si>
    <r>
      <rPr>
        <b/>
        <u/>
        <sz val="10"/>
        <rFont val="Arial"/>
        <family val="2"/>
      </rPr>
      <t>SYS_C27_8:</t>
    </r>
    <r>
      <rPr>
        <sz val="10"/>
        <rFont val="Arial"/>
        <family val="2"/>
      </rPr>
      <t xml:space="preserve">
Random Access Memory failure shall lead to SBE ECU inhibition.</t>
    </r>
  </si>
  <si>
    <r>
      <rPr>
        <b/>
        <u/>
        <sz val="10"/>
        <rFont val="Arial"/>
        <family val="2"/>
      </rPr>
      <t>SYS_C27_9:</t>
    </r>
    <r>
      <rPr>
        <sz val="10"/>
        <rFont val="Arial"/>
        <family val="2"/>
      </rPr>
      <t xml:space="preserve">
Static non-critical data:
The control unit shall be able to recognize the mutilated/corrupted data and apply dedicated corrective actions to retrieve a normal operating state, i.e. use default values or retrieve latest valid value for non-critical data.</t>
    </r>
  </si>
  <si>
    <r>
      <rPr>
        <b/>
        <u/>
        <sz val="10"/>
        <rFont val="Arial"/>
        <family val="2"/>
      </rPr>
      <t>SYS_C27_4:</t>
    </r>
    <r>
      <rPr>
        <sz val="10"/>
        <rFont val="Arial"/>
        <family val="2"/>
      </rPr>
      <t xml:space="preserve">
Dynamic non-critical data:
If the power supply of the control unit is interrupted during a write access to any memory type, the control unit shall be able to recognize the mutilated/corrupted data when the system restarts and apply dedicated corrective actions to retrieve a normal operating state, e.g. use default values or retrieve latest valid value.</t>
    </r>
  </si>
  <si>
    <r>
      <rPr>
        <b/>
        <u/>
        <sz val="10"/>
        <rFont val="Arial"/>
        <family val="2"/>
      </rPr>
      <t>SYS_C27_10:</t>
    </r>
    <r>
      <rPr>
        <sz val="10"/>
        <rFont val="Arial"/>
        <family val="2"/>
      </rPr>
      <t xml:space="preserve">
Critical data:
The control unit shall be able to recognize the mutilated/corrupted data and apply dedicated corrective actions to retrieve a normal operating state, i.e. use default values or retrieve latest valid value for critical data. Additionally the control unit shall qualify an error to  log the corruption event.</t>
    </r>
  </si>
  <si>
    <t>Only not written block are check today. Implementation of CKS will follow in R3.0</t>
  </si>
  <si>
    <r>
      <rPr>
        <b/>
        <u/>
        <sz val="10"/>
        <rFont val="Arial"/>
        <family val="2"/>
      </rPr>
      <t>SYS_C27_11:</t>
    </r>
    <r>
      <rPr>
        <sz val="10"/>
        <rFont val="Arial"/>
        <family val="2"/>
      </rPr>
      <t xml:space="preserve">
Software binary code shall have a checksum feature helping identify ROM corruption.</t>
    </r>
  </si>
  <si>
    <t>SYS_C27 Uncovered Req Review for traceability - NOK result</t>
  </si>
  <si>
    <r>
      <rPr>
        <b/>
        <u/>
        <sz val="10"/>
        <rFont val="Arial"/>
        <family val="2"/>
      </rPr>
      <t xml:space="preserve">SYS_C27_12: </t>
    </r>
    <r>
      <rPr>
        <sz val="10"/>
        <rFont val="Arial"/>
        <family val="2"/>
      </rPr>
      <t xml:space="preserve">
RAM integrity check shall be performed at least at each power up.</t>
    </r>
  </si>
  <si>
    <t>Not done today like expected (full chek with patern ) as ECC now managed.</t>
  </si>
  <si>
    <r>
      <rPr>
        <b/>
        <u/>
        <sz val="10"/>
        <rFont val="Arial"/>
        <family val="2"/>
      </rPr>
      <t xml:space="preserve">SYS_C27_15: </t>
    </r>
    <r>
      <rPr>
        <sz val="10"/>
        <rFont val="Arial"/>
        <family val="2"/>
      </rPr>
      <t xml:space="preserve">
For RAM integrity check, specific pattern shall be used to ensure thorough integrity check with possibility to identify data corruption linked to the RAM integrity check.
For instance the pattern shall not have the same value as TRUE or FALSE.</t>
    </r>
  </si>
  <si>
    <r>
      <rPr>
        <b/>
        <u/>
        <sz val="10"/>
        <rFont val="Arial"/>
        <family val="2"/>
      </rPr>
      <t xml:space="preserve">SYS_C27_14: </t>
    </r>
    <r>
      <rPr>
        <sz val="10"/>
        <rFont val="Arial"/>
        <family val="2"/>
      </rPr>
      <t xml:space="preserve">
ROM integrity check shall be performed continuously.
Note: it is recommended to perform a complete ROM check at power up</t>
    </r>
  </si>
  <si>
    <t xml:space="preserve">Not done. </t>
  </si>
  <si>
    <r>
      <rPr>
        <b/>
        <u/>
        <sz val="10"/>
        <rFont val="Arial"/>
        <family val="2"/>
      </rPr>
      <t>SYS_C27_16:</t>
    </r>
    <r>
      <rPr>
        <sz val="10"/>
        <rFont val="Arial"/>
        <family val="2"/>
      </rPr>
      <t xml:space="preserve">
NVM access shall be robust to failure (manage timeout, retry...).</t>
    </r>
  </si>
  <si>
    <r>
      <rPr>
        <b/>
        <u/>
        <sz val="10"/>
        <rFont val="Arial"/>
        <family val="2"/>
      </rPr>
      <t>SYS_C27_17:</t>
    </r>
    <r>
      <rPr>
        <sz val="10"/>
        <rFont val="Arial"/>
        <family val="2"/>
      </rPr>
      <t xml:space="preserve">
No NVM periodic write access is allowed.</t>
    </r>
  </si>
  <si>
    <r>
      <rPr>
        <b/>
        <u/>
        <sz val="10"/>
        <rFont val="Arial"/>
        <family val="2"/>
      </rPr>
      <t>SYS_C27_18:</t>
    </r>
    <r>
      <rPr>
        <sz val="10"/>
        <rFont val="Arial"/>
        <family val="2"/>
      </rPr>
      <t xml:space="preserve">
NVM life time (max number of erase/writing cycles) shall be taken into account.</t>
    </r>
  </si>
  <si>
    <r>
      <rPr>
        <b/>
        <u/>
        <sz val="10"/>
        <rFont val="Arial"/>
        <family val="2"/>
      </rPr>
      <t>SYS_C27_20:</t>
    </r>
    <r>
      <rPr>
        <sz val="10"/>
        <rFont val="Arial"/>
        <family val="2"/>
      </rPr>
      <t xml:space="preserve">
All MCU registers shall be initialized, even if not used by the application.
The initialization values shall reflect a safe state of the hardware.</t>
    </r>
  </si>
  <si>
    <t xml:space="preserve">SYS_C27_3, SYS_C27_5, SYS_C27_6, SYS_C27_7, SYS_C27_8, SYS_C27_10, SYS_C27_16, SYS_C27_18, SYS_C27_20 </t>
  </si>
  <si>
    <t xml:space="preserve">SYS_C27_12, SYS_C27_15, SYS_C27_14 </t>
  </si>
  <si>
    <t>SYS_C27_4, SYS_C27_9, SYS_C27_11, SYS_C27_17</t>
  </si>
  <si>
    <t>SYS_Review_C27_NOK</t>
  </si>
  <si>
    <t>SYS_C28 Uncovered Req Review for traceability - OK result</t>
  </si>
  <si>
    <t>The goal of this test is to cover SYS_C28 Req whithout traceability when test can not be perfomed.</t>
  </si>
  <si>
    <r>
      <rPr>
        <b/>
        <u/>
        <sz val="10"/>
        <rFont val="Arial"/>
        <family val="2"/>
      </rPr>
      <t>SYS_C28_3:</t>
    </r>
    <r>
      <rPr>
        <sz val="10"/>
        <rFont val="Arial"/>
        <family val="2"/>
      </rPr>
      <t xml:space="preserve">
ECU shall be designed according to ISO 26262 (FuSa).</t>
    </r>
  </si>
  <si>
    <t>OK if considered that ECU need flashbootloader.</t>
  </si>
  <si>
    <r>
      <rPr>
        <b/>
        <u/>
        <sz val="10"/>
        <rFont val="Arial"/>
        <family val="2"/>
      </rPr>
      <t>SYS_C28_24:</t>
    </r>
    <r>
      <rPr>
        <sz val="10"/>
        <rFont val="Arial"/>
        <family val="2"/>
      </rPr>
      <t xml:space="preserve">
MCU shall be flashable, including over vehicle communication bus.</t>
    </r>
  </si>
  <si>
    <r>
      <rPr>
        <b/>
        <u/>
        <sz val="10"/>
        <rFont val="Arial"/>
        <family val="2"/>
      </rPr>
      <t>SYS_C28_4:</t>
    </r>
    <r>
      <rPr>
        <sz val="10"/>
        <rFont val="Arial"/>
        <family val="2"/>
      </rPr>
      <t xml:space="preserve">
MCU shall embed a type of writable NVM.
Note:
MPC560xP does embed Data-Flash, S12ZVC does embed EEPROM.</t>
    </r>
  </si>
  <si>
    <r>
      <rPr>
        <b/>
        <u/>
        <sz val="10"/>
        <rFont val="Arial"/>
        <family val="2"/>
      </rPr>
      <t>SYS_C28_5:</t>
    </r>
    <r>
      <rPr>
        <sz val="10"/>
        <rFont val="Arial"/>
        <family val="2"/>
      </rPr>
      <t xml:space="preserve">
The MCU clock shall be realized with a crystal oscillator.</t>
    </r>
  </si>
  <si>
    <r>
      <rPr>
        <b/>
        <u/>
        <sz val="10"/>
        <rFont val="Arial"/>
        <family val="2"/>
      </rPr>
      <t>SYS_C28_6:</t>
    </r>
    <r>
      <rPr>
        <sz val="10"/>
        <rFont val="Arial"/>
        <family val="2"/>
      </rPr>
      <t xml:space="preserve">
The chosen crystal shall have a maximum deviation of +/-0.15% over the complete temperature range and product life time.</t>
    </r>
  </si>
  <si>
    <r>
      <rPr>
        <b/>
        <u/>
        <sz val="10"/>
        <rFont val="Arial"/>
        <family val="2"/>
      </rPr>
      <t>SYS_C28_7:</t>
    </r>
    <r>
      <rPr>
        <sz val="10"/>
        <rFont val="Arial"/>
        <family val="2"/>
      </rPr>
      <t xml:space="preserve">
MCU selection shall be agreed upon with customers.
Note:
MPC5603P (Pictus) is part of the both Daimler and BMW recommended ECU list
Any Freescale S12 MCU variant is recommended by HIS customers</t>
    </r>
  </si>
  <si>
    <r>
      <rPr>
        <b/>
        <u/>
        <sz val="10"/>
        <rFont val="Arial"/>
        <family val="2"/>
      </rPr>
      <t>SYS_C28_8:</t>
    </r>
    <r>
      <rPr>
        <sz val="10"/>
        <rFont val="Arial"/>
        <family val="2"/>
      </rPr>
      <t xml:space="preserve">
The MCU resource reserve must be compliant with the following requirements at the beginning of the development:
Flash : 30 %
RAM : 33 %
NVM : 33 %
Runtime : 50 %</t>
    </r>
  </si>
  <si>
    <t>Applicable to Application Project</t>
  </si>
  <si>
    <t>SYS_C28 Uncovered Req Review for traceability - TBD result</t>
  </si>
  <si>
    <r>
      <rPr>
        <b/>
        <u/>
        <sz val="10"/>
        <rFont val="Arial"/>
        <family val="2"/>
      </rPr>
      <t>SYS_C28_9:</t>
    </r>
    <r>
      <rPr>
        <sz val="10"/>
        <rFont val="Arial"/>
        <family val="2"/>
      </rPr>
      <t xml:space="preserve">
The MCU resource reserve must be compliant with the following requirements at the end of the development:
Flash : 20 %
RAM : 10 % 
NVM : 10 %
Runtime : 25 %</t>
    </r>
  </si>
  <si>
    <r>
      <rPr>
        <b/>
        <u/>
        <sz val="10"/>
        <rFont val="Arial"/>
        <family val="2"/>
      </rPr>
      <t>SYS_C28_10:</t>
    </r>
    <r>
      <rPr>
        <sz val="10"/>
        <rFont val="Arial"/>
        <family val="2"/>
      </rPr>
      <t xml:space="preserve">
At the time of production ramp-up, no more than 80% of the processor resources (RAM, ROM, EEPROM and calculating time) must be used : 
Flash : 20 %
RAM : 10 % 
EEPROM : 10 %
Runtime : 20 %</t>
    </r>
  </si>
  <si>
    <r>
      <rPr>
        <b/>
        <u/>
        <sz val="10"/>
        <rFont val="Arial"/>
        <family val="2"/>
      </rPr>
      <t>SYS_C28_11:</t>
    </r>
    <r>
      <rPr>
        <sz val="10"/>
        <rFont val="Arial"/>
        <family val="2"/>
      </rPr>
      <t xml:space="preserve">
No single component failure shall not lead to an inadvertent motor activation.
A Product DFMEA shall cover all the function.</t>
    </r>
  </si>
  <si>
    <r>
      <rPr>
        <b/>
        <u/>
        <sz val="10"/>
        <rFont val="Arial"/>
        <family val="2"/>
      </rPr>
      <t>SYS_C28_12:</t>
    </r>
    <r>
      <rPr>
        <sz val="10"/>
        <rFont val="Arial"/>
        <family val="2"/>
      </rPr>
      <t xml:space="preserve">
All single cause failure that have an impact on safety shall be detected on AUTOLIV process (as watchdog test).
A Product DFMEA shall cover all the functions.</t>
    </r>
  </si>
  <si>
    <r>
      <rPr>
        <b/>
        <u/>
        <sz val="10"/>
        <rFont val="Arial"/>
        <family val="2"/>
      </rPr>
      <t>SYS_C28_13:</t>
    </r>
    <r>
      <rPr>
        <sz val="10"/>
        <rFont val="Arial"/>
        <family val="2"/>
      </rPr>
      <t xml:space="preserve">
Unit shall manage defect strategies in order to guaranty the absence of inadvertent motor activation.</t>
    </r>
  </si>
  <si>
    <r>
      <rPr>
        <b/>
        <u/>
        <sz val="10"/>
        <rFont val="Arial"/>
        <family val="2"/>
      </rPr>
      <t>SYS_C28_14:</t>
    </r>
    <r>
      <rPr>
        <sz val="10"/>
        <rFont val="Arial"/>
        <family val="2"/>
      </rPr>
      <t xml:space="preserve">
Two independent ways, decision and confirmation, shall be set to make effective the motor activation.</t>
    </r>
  </si>
  <si>
    <r>
      <rPr>
        <b/>
        <u/>
        <sz val="10"/>
        <rFont val="Arial"/>
        <family val="2"/>
      </rPr>
      <t>SYS_C28_15:</t>
    </r>
    <r>
      <rPr>
        <sz val="10"/>
        <rFont val="Arial"/>
        <family val="2"/>
      </rPr>
      <t xml:space="preserve">
The MCU reset state shall always be coherent with the state of other components (be careful with independent reset of the MCU).
That means if MCU resets, all H/W component must also be reinitialized.</t>
    </r>
  </si>
  <si>
    <r>
      <rPr>
        <b/>
        <u/>
        <sz val="10"/>
        <rFont val="Arial"/>
        <family val="2"/>
      </rPr>
      <t>SYS_C28_16:</t>
    </r>
    <r>
      <rPr>
        <sz val="10"/>
        <rFont val="Arial"/>
        <family val="2"/>
      </rPr>
      <t xml:space="preserve">
During reset, the MCU I/O shall be in a safe state (no motor activation)</t>
    </r>
  </si>
  <si>
    <t>Link to be found in POD</t>
  </si>
  <si>
    <r>
      <rPr>
        <b/>
        <u/>
        <sz val="10"/>
        <rFont val="Arial"/>
        <family val="2"/>
      </rPr>
      <t>SYS_C28_18:</t>
    </r>
    <r>
      <rPr>
        <sz val="10"/>
        <rFont val="Arial"/>
        <family val="2"/>
      </rPr>
      <t xml:space="preserve">
The refresh period for the internal watchdog shall be matched to the fastest task to be monitored.
This feature is not mandatory in case of scheduler implementation.</t>
    </r>
  </si>
  <si>
    <r>
      <rPr>
        <b/>
        <u/>
        <sz val="10"/>
        <rFont val="Arial"/>
        <family val="2"/>
      </rPr>
      <t>SYS_C28_21:</t>
    </r>
    <r>
      <rPr>
        <sz val="10"/>
        <rFont val="Arial"/>
        <family val="2"/>
      </rPr>
      <t xml:space="preserve">
The unit shall have an external hardware watchdog (external watchdog with output stage disconnection) for switching off the current-regulator output stages for the tensioner motor is required.
External Window watchdog is required to reset in case of clock too slow or too quick. Reset will not suppress cause and effect. 
If other means can contain effect of clock with an unexpected too high frequency, an integrative watchdog (no windowed W/D) can be used.</t>
    </r>
  </si>
  <si>
    <t>Is it fully covered?</t>
  </si>
  <si>
    <r>
      <rPr>
        <b/>
        <u/>
        <sz val="10"/>
        <rFont val="Arial"/>
        <family val="2"/>
      </rPr>
      <t>SYS_C28_22:</t>
    </r>
    <r>
      <rPr>
        <sz val="10"/>
        <rFont val="Arial"/>
        <family val="2"/>
      </rPr>
      <t xml:space="preserve">
The External watchdog shall be independent from the main MCU (example: specific oscillator)</t>
    </r>
  </si>
  <si>
    <t>Is-it fully expected &amp; covered???</t>
  </si>
  <si>
    <r>
      <rPr>
        <b/>
        <u/>
        <sz val="10"/>
        <rFont val="Arial"/>
        <family val="2"/>
      </rPr>
      <t>SYS_C28_23:</t>
    </r>
    <r>
      <rPr>
        <sz val="10"/>
        <rFont val="Arial"/>
        <family val="2"/>
      </rPr>
      <t xml:space="preserve">
The period of the external watchdog refreshment must be calibrated in order to avoid to damage the ECU or the system.</t>
    </r>
  </si>
  <si>
    <t>Not easy to linked to a proof</t>
  </si>
  <si>
    <t>SYS_C28_6, SYS_C28_8, SYS_C28_9, SYS_C28_10, SYS_C28_13, SYS_C28_14, SYS_C28_15, SYS_C28_21, SYS_C28_22</t>
  </si>
  <si>
    <t>SYS_Review_C28_Ok</t>
  </si>
  <si>
    <t>SYS_Review_C28_TBD</t>
  </si>
  <si>
    <t>SYS_C28_3, SYS_C28_24, SYS_C28_4, SYS_C28_5, SYS_C28_7, SYS_C28_11, SYS_C28_12, SYS_C28_16, SYS_C28_18, SYS_C28_23</t>
  </si>
  <si>
    <t>SYS_C29 Uncovered Req Review for traceability - OK result</t>
  </si>
  <si>
    <t>The goal of this test is to cover SYS_C29 Req whithout traceability when test can not be perfomed.</t>
  </si>
  <si>
    <t>SYS_Review_C29_OK</t>
  </si>
  <si>
    <t>SYS_C29_2, SYS_C29_3, SYS_C29_4, SYS_C29_8, SYS_C29_10</t>
  </si>
  <si>
    <r>
      <rPr>
        <b/>
        <u/>
        <sz val="10"/>
        <rFont val="Arial"/>
        <family val="2"/>
      </rPr>
      <t>SYS_C29_2:</t>
    </r>
    <r>
      <rPr>
        <sz val="10"/>
        <rFont val="Arial"/>
        <family val="2"/>
      </rPr>
      <t xml:space="preserve">
The design and process FMEA’s are required.</t>
    </r>
  </si>
  <si>
    <t>See PLM ref documents in safety folder for design &amp; Manufacturing for process.</t>
  </si>
  <si>
    <r>
      <rPr>
        <b/>
        <u/>
        <sz val="10"/>
        <rFont val="Arial"/>
        <family val="2"/>
      </rPr>
      <t>SYS_C29_3:</t>
    </r>
    <r>
      <rPr>
        <sz val="10"/>
        <rFont val="Arial"/>
        <family val="2"/>
      </rPr>
      <t xml:space="preserve">
The supplier is obligated to set up a quality assurance system (QA system) according to ISO 15504 (A-SPICE).</t>
    </r>
  </si>
  <si>
    <r>
      <rPr>
        <b/>
        <u/>
        <sz val="10"/>
        <rFont val="Arial"/>
        <family val="2"/>
      </rPr>
      <t>SYS_C29_4:</t>
    </r>
    <r>
      <rPr>
        <sz val="10"/>
        <rFont val="Arial"/>
        <family val="2"/>
      </rPr>
      <t xml:space="preserve">
SPICE quality chart must be followed up.
Target is SPICE level 3</t>
    </r>
  </si>
  <si>
    <t>Audits are perfomed for Spice Level 3 target.</t>
  </si>
  <si>
    <r>
      <rPr>
        <b/>
        <u/>
        <sz val="10"/>
        <rFont val="Arial"/>
        <family val="2"/>
      </rPr>
      <t>SYS_C29_8:</t>
    </r>
    <r>
      <rPr>
        <sz val="10"/>
        <rFont val="Arial"/>
        <family val="2"/>
      </rPr>
      <t xml:space="preserve">
ECU components reliability shall be calculated according to standard recommendations.</t>
    </r>
  </si>
  <si>
    <r>
      <rPr>
        <b/>
        <u/>
        <sz val="10"/>
        <rFont val="Arial"/>
        <family val="2"/>
      </rPr>
      <t>SYS_C29_10:</t>
    </r>
    <r>
      <rPr>
        <sz val="10"/>
        <rFont val="Arial"/>
        <family val="2"/>
      </rPr>
      <t xml:space="preserve">
ECU development shall be done in a ISO/TS 16949 way</t>
    </r>
  </si>
  <si>
    <t>Done, following applicable Autoliv Standards.</t>
  </si>
  <si>
    <t>QAC performed as applicable standard.</t>
  </si>
  <si>
    <t>The goal of this test is to cover SYS_C30 Req whithout traceability when test can not be perfomed.</t>
  </si>
  <si>
    <t>SYS_C30 Uncovered Req Review for traceability - NOK result</t>
  </si>
  <si>
    <r>
      <rPr>
        <b/>
        <u/>
        <sz val="10"/>
        <rFont val="Arial"/>
        <family val="2"/>
      </rPr>
      <t>SYS_C30_24:</t>
    </r>
    <r>
      <rPr>
        <sz val="10"/>
        <rFont val="Arial"/>
        <family val="2"/>
      </rPr>
      <t xml:space="preserve">
Each motor activation profile "x" for any function shall have an associated profile activation counter (SIG_PROFILE_x_COUNTER).</t>
    </r>
  </si>
  <si>
    <t>Not implemented as well today as profiles are grouped by algotithms (PRE High, PRE Low, Cumfort….)</t>
  </si>
  <si>
    <r>
      <rPr>
        <b/>
        <u/>
        <sz val="10"/>
        <rFont val="Arial"/>
        <family val="2"/>
      </rPr>
      <t>SYS_C30_25:</t>
    </r>
    <r>
      <rPr>
        <sz val="10"/>
        <rFont val="Arial"/>
        <family val="2"/>
      </rPr>
      <t xml:space="preserve">
Each motor activation profile "x" for any function in tensioning direction shall have an associated End of Life threshold (PARAM_PROFILE_x_MAX_EXECUTION).</t>
    </r>
  </si>
  <si>
    <r>
      <rPr>
        <b/>
        <u/>
        <sz val="10"/>
        <rFont val="Arial"/>
        <family val="2"/>
      </rPr>
      <t>SYS_C30_26:</t>
    </r>
    <r>
      <rPr>
        <sz val="10"/>
        <rFont val="Arial"/>
        <family val="2"/>
      </rPr>
      <t xml:space="preserve">
In addition to the single profile activation counters, main function "x" activation counters shall be derived as the sum of all related profile counters (SIG_MF0x_COUNTER).</t>
    </r>
  </si>
  <si>
    <r>
      <rPr>
        <b/>
        <u/>
        <sz val="10"/>
        <rFont val="Arial"/>
        <family val="2"/>
      </rPr>
      <t>SYS_C30_27:</t>
    </r>
    <r>
      <rPr>
        <sz val="10"/>
        <rFont val="Arial"/>
        <family val="2"/>
      </rPr>
      <t xml:space="preserve">
Each main function "x" shall have an associated End of Life threshold (PARAM_MF0x_MAX_EXECUTION).</t>
    </r>
  </si>
  <si>
    <r>
      <rPr>
        <b/>
        <u/>
        <sz val="10"/>
        <rFont val="Arial"/>
        <family val="2"/>
      </rPr>
      <t>SYS_C30_29:</t>
    </r>
    <r>
      <rPr>
        <sz val="10"/>
        <rFont val="Arial"/>
        <family val="2"/>
      </rPr>
      <t xml:space="preserve">
In case main function "MF01" activation counter (SIG_MF01_COUNTER) has reached its associated End of Life limit (PARAM_MF01_MAX_EXECUTION), the main functions MF02, MF04 and MF05 shall be inhibited as well.</t>
    </r>
  </si>
  <si>
    <r>
      <rPr>
        <b/>
        <u/>
        <sz val="10"/>
        <rFont val="Arial"/>
        <family val="2"/>
      </rPr>
      <t>SYS_C30_30:</t>
    </r>
    <r>
      <rPr>
        <sz val="10"/>
        <rFont val="Arial"/>
        <family val="2"/>
      </rPr>
      <t xml:space="preserve">
In case main function "MF01" activation counter (SIG_MF01_COUNTER) has reached its associated End of Life limit (PARAM_MF01_MAX_EXECUTION), the ECU shall report a HW failure.</t>
    </r>
  </si>
  <si>
    <r>
      <rPr>
        <b/>
        <u/>
        <sz val="10"/>
        <rFont val="Arial"/>
        <family val="2"/>
      </rPr>
      <t>SYS_C30_32:</t>
    </r>
    <r>
      <rPr>
        <sz val="10"/>
        <rFont val="Arial"/>
        <family val="2"/>
      </rPr>
      <t xml:space="preserve">
Default value for a PRE-TENSIONING profile "x" (MF01) with BOOSTER activation counter PARAM_PROFILE_x_MAX_EXECUTION shall be 50.</t>
    </r>
  </si>
  <si>
    <t>Not implemented as well today as profiles are grouped by algotithms (PRE High, PRE Low, Comfort….)</t>
  </si>
  <si>
    <r>
      <rPr>
        <b/>
        <u/>
        <sz val="10"/>
        <rFont val="Arial"/>
        <family val="2"/>
      </rPr>
      <t>SYS_C30_33:</t>
    </r>
    <r>
      <rPr>
        <sz val="10"/>
        <rFont val="Arial"/>
        <family val="2"/>
      </rPr>
      <t xml:space="preserve">
Default value for a PRE-TENSIONING profile "x" (MF01) without BOOSTER activation counter PARAM_PROFILE_x_MAX_EXECUTION shall be 1500.</t>
    </r>
  </si>
  <si>
    <r>
      <rPr>
        <b/>
        <u/>
        <sz val="10"/>
        <rFont val="Arial"/>
        <family val="2"/>
      </rPr>
      <t>SYS_C30_34:</t>
    </r>
    <r>
      <rPr>
        <sz val="10"/>
        <rFont val="Arial"/>
        <family val="2"/>
      </rPr>
      <t xml:space="preserve">
Default value for PRE-TENSIONING main function MF01 PARAM_MF01_MAX_EXECUTION shall be the sum of all individual limits of its associated profiles.</t>
    </r>
  </si>
  <si>
    <r>
      <rPr>
        <b/>
        <u/>
        <sz val="10"/>
        <rFont val="Arial"/>
        <family val="2"/>
      </rPr>
      <t>SYS_C30_35:</t>
    </r>
    <r>
      <rPr>
        <sz val="10"/>
        <rFont val="Arial"/>
        <family val="2"/>
      </rPr>
      <t xml:space="preserve">
Default value for any BSR profile "x" (MF02) activation counter PARAM_PROFILE_x_MAX_EXECUTION shall be 75000.</t>
    </r>
  </si>
  <si>
    <r>
      <rPr>
        <b/>
        <u/>
        <sz val="10"/>
        <rFont val="Arial"/>
        <family val="2"/>
      </rPr>
      <t>SYS_C30_36:</t>
    </r>
    <r>
      <rPr>
        <sz val="10"/>
        <rFont val="Arial"/>
        <family val="2"/>
      </rPr>
      <t xml:space="preserve">
Default value for BSR main function MF02 activation counter PARAM_MF02_MAX_EXECUTION shall be 75000..</t>
    </r>
  </si>
  <si>
    <r>
      <rPr>
        <b/>
        <u/>
        <sz val="10"/>
        <rFont val="Arial"/>
        <family val="2"/>
      </rPr>
      <t>SYS_C30_37:</t>
    </r>
    <r>
      <rPr>
        <sz val="10"/>
        <rFont val="Arial"/>
        <family val="2"/>
      </rPr>
      <t xml:space="preserve">
Default value for any BPA profile "x" (MF04) activation counter PARAM_PROFILE_x_MAX_EXECUTION shall be 75000.</t>
    </r>
  </si>
  <si>
    <r>
      <rPr>
        <b/>
        <u/>
        <sz val="10"/>
        <rFont val="Arial"/>
        <family val="2"/>
      </rPr>
      <t>SYS_C30_38:</t>
    </r>
    <r>
      <rPr>
        <sz val="10"/>
        <rFont val="Arial"/>
        <family val="2"/>
      </rPr>
      <t xml:space="preserve">
Default value for BPA main function MF04 activation counter PARAM_MF04_MAX_EXECUTION shall be 75000.</t>
    </r>
  </si>
  <si>
    <r>
      <rPr>
        <b/>
        <u/>
        <sz val="10"/>
        <rFont val="Arial"/>
        <family val="2"/>
      </rPr>
      <t>SYS_C30_39:</t>
    </r>
    <r>
      <rPr>
        <sz val="10"/>
        <rFont val="Arial"/>
        <family val="2"/>
      </rPr>
      <t xml:space="preserve">
Default value for any Haptic Warning profile "x" (MF05) activation counter PARAM_PROFILE_x_MAX_EXECUTION shall be 75000.
Note : An input is needed by ANG to be included as ALR level</t>
    </r>
  </si>
  <si>
    <r>
      <rPr>
        <b/>
        <u/>
        <sz val="10"/>
        <rFont val="Arial"/>
        <family val="2"/>
      </rPr>
      <t>SYS_C30_40:</t>
    </r>
    <r>
      <rPr>
        <sz val="10"/>
        <rFont val="Arial"/>
        <family val="2"/>
      </rPr>
      <t xml:space="preserve">
Default value for Haptic Warning main function MF05 activation counter PARAM_MF05_MAX_EXECUTION shall be 75000.
Note : An input is needed by ANG to be included as ALR level</t>
    </r>
  </si>
  <si>
    <t>SYS_Review_C30_NOK</t>
  </si>
  <si>
    <t>SYS_C30 Uncovered Req Review for traceability - TBD result</t>
  </si>
  <si>
    <t>Not defined today.</t>
  </si>
  <si>
    <r>
      <rPr>
        <b/>
        <u/>
        <sz val="10"/>
        <rFont val="Arial"/>
        <family val="2"/>
      </rPr>
      <t>SYS_C30_250:</t>
    </r>
    <r>
      <rPr>
        <sz val="10"/>
        <rFont val="Arial"/>
        <family val="2"/>
      </rPr>
      <t xml:space="preserve">
Default PARAM_MOTOR_RESISTANCE_TABLE content for ROEGELEIN motor is: XXXXXXXX</t>
    </r>
  </si>
  <si>
    <r>
      <rPr>
        <b/>
        <u/>
        <sz val="10"/>
        <rFont val="Arial"/>
        <family val="2"/>
      </rPr>
      <t>SYS_C30_235:</t>
    </r>
    <r>
      <rPr>
        <sz val="10"/>
        <rFont val="Arial"/>
        <family val="2"/>
      </rPr>
      <t xml:space="preserve">
SBE ECU shall provide similar performance regarding Motor blocked event, for a temperature range : 
-40°C à +85°C.</t>
    </r>
  </si>
  <si>
    <t>Don't know today how to cover it.</t>
  </si>
  <si>
    <r>
      <rPr>
        <b/>
        <u/>
        <sz val="10"/>
        <rFont val="Arial"/>
        <family val="2"/>
      </rPr>
      <t>SYS_C30_239:</t>
    </r>
    <r>
      <rPr>
        <sz val="10"/>
        <rFont val="Arial"/>
        <family val="2"/>
      </rPr>
      <t xml:space="preserve">
"Temperature Adaptivity" correction factors for "Motor blocked" detection shall be configurable by diagnostic request.</t>
    </r>
  </si>
  <si>
    <t>Not present today as located in Flash.</t>
  </si>
  <si>
    <t xml:space="preserve">SYS_C30_24, SYS_C30_25, SYS_C30_26, SYS_C30_27, SYS_C30_29,  SYS_C30_30, SYS_C30_32, SYS_C30_33, SYS_C30_33, SYS_C30_34, SYS_C30_35, SYS_C30_36, SYS_C30_37, SYS_C30_38, SYS_C30_39, SYS_C30_40, SYS_C30_239, </t>
  </si>
  <si>
    <r>
      <rPr>
        <b/>
        <u/>
        <sz val="10"/>
        <rFont val="Arial"/>
        <family val="2"/>
      </rPr>
      <t>SYS_C30_233:</t>
    </r>
    <r>
      <rPr>
        <sz val="10"/>
        <rFont val="Arial"/>
        <family val="2"/>
      </rPr>
      <t xml:space="preserve">
In case the temperature measurement of the SBE ECU is in failure, a "Motor blocked" correction factor of 1 shall be used.</t>
    </r>
  </si>
  <si>
    <t>Don't know current behavior for this topic.</t>
  </si>
  <si>
    <r>
      <rPr>
        <b/>
        <u/>
        <sz val="10"/>
        <rFont val="Arial"/>
        <family val="2"/>
      </rPr>
      <t>SYS_C30_223:</t>
    </r>
    <r>
      <rPr>
        <sz val="10"/>
        <rFont val="Arial"/>
        <family val="2"/>
      </rPr>
      <t xml:space="preserve">
An estimation or a measurement of the battery current shall be available.</t>
    </r>
  </si>
  <si>
    <t>SYS_C30_250, SYS_C30_235, SYS_C30_233, SYS_C30_223</t>
  </si>
  <si>
    <t>SYS_Review_C30_TBD</t>
  </si>
  <si>
    <t>SYS_Review_C31_OK</t>
  </si>
  <si>
    <t>The goal of this test is to cover SYS_C31 Req whithout traceability when test can not be perfomed.</t>
  </si>
  <si>
    <r>
      <rPr>
        <b/>
        <u/>
        <sz val="10"/>
        <rFont val="Arial"/>
        <family val="2"/>
      </rPr>
      <t xml:space="preserve">SYS_C31_3:
</t>
    </r>
    <r>
      <rPr>
        <sz val="10"/>
        <rFont val="Arial"/>
        <family val="2"/>
      </rPr>
      <t>Recommended components shall be chosen when applicable.</t>
    </r>
  </si>
  <si>
    <r>
      <rPr>
        <b/>
        <u/>
        <sz val="10"/>
        <rFont val="Arial"/>
        <family val="2"/>
      </rPr>
      <t xml:space="preserve">SYS_C31_4:
</t>
    </r>
    <r>
      <rPr>
        <sz val="10"/>
        <rFont val="Arial"/>
        <family val="2"/>
      </rPr>
      <t>Microprocessor shall be chosen in Customers approved short list</t>
    </r>
  </si>
  <si>
    <r>
      <rPr>
        <b/>
        <u/>
        <sz val="10"/>
        <rFont val="Arial"/>
        <family val="2"/>
      </rPr>
      <t xml:space="preserve">SYS_C31_5:
</t>
    </r>
    <r>
      <rPr>
        <sz val="10"/>
        <rFont val="Arial"/>
        <family val="2"/>
      </rPr>
      <t>CAN transceiver shall be chosen in Customers approved short list</t>
    </r>
  </si>
  <si>
    <r>
      <rPr>
        <b/>
        <u/>
        <sz val="10"/>
        <rFont val="Arial"/>
        <family val="2"/>
      </rPr>
      <t xml:space="preserve">SYS_C31_8:
</t>
    </r>
    <r>
      <rPr>
        <sz val="10"/>
        <rFont val="Arial"/>
        <family val="2"/>
      </rPr>
      <t>For series only components with approved PPAP are to be used.
Passive components shall be qualified according to AEC-Q200 and active components according to Q100/1001</t>
    </r>
  </si>
  <si>
    <r>
      <rPr>
        <b/>
        <u/>
        <sz val="10"/>
        <rFont val="Arial"/>
        <family val="2"/>
      </rPr>
      <t xml:space="preserve">SYS_C31_9:
</t>
    </r>
    <r>
      <rPr>
        <sz val="10"/>
        <rFont val="Arial"/>
        <family val="2"/>
      </rPr>
      <t>Components listed in the “Customers red list” shall not be used. See E342345 in PLM.</t>
    </r>
  </si>
  <si>
    <r>
      <rPr>
        <b/>
        <u/>
        <sz val="10"/>
        <rFont val="Arial"/>
        <family val="2"/>
      </rPr>
      <t xml:space="preserve">SYS_C31_13:
</t>
    </r>
    <r>
      <rPr>
        <sz val="10"/>
        <rFont val="Arial"/>
        <family val="2"/>
      </rPr>
      <t>S/W code shall be compliant to ANSI and MISRA conventions.</t>
    </r>
  </si>
  <si>
    <r>
      <rPr>
        <b/>
        <u/>
        <sz val="10"/>
        <rFont val="Arial"/>
        <family val="2"/>
      </rPr>
      <t xml:space="preserve">SYS_C31_14:
</t>
    </r>
    <r>
      <rPr>
        <sz val="10"/>
        <rFont val="Arial"/>
        <family val="2"/>
      </rPr>
      <t>S/W development shall follow V-Cycle plan definition</t>
    </r>
  </si>
  <si>
    <r>
      <rPr>
        <b/>
        <u/>
        <sz val="10"/>
        <rFont val="Arial"/>
        <family val="2"/>
      </rPr>
      <t xml:space="preserve">SYS_C31_15:
</t>
    </r>
    <r>
      <rPr>
        <sz val="10"/>
        <rFont val="Arial"/>
        <family val="2"/>
      </rPr>
      <t>S/W deliveries shall be checked with QA-C and Polyspace (or equivalent) tools before delivery.
At least for major deliveries like DV, PV &amp; series intent S/W versions</t>
    </r>
  </si>
  <si>
    <r>
      <rPr>
        <b/>
        <u/>
        <sz val="10"/>
        <rFont val="Arial"/>
        <family val="2"/>
      </rPr>
      <t xml:space="preserve">SYS_C31_16:
</t>
    </r>
    <r>
      <rPr>
        <sz val="10"/>
        <rFont val="Arial"/>
        <family val="2"/>
      </rPr>
      <t>ECU shall store the complete system running time from part production.
ECU is considered as running when communication is confirmed.</t>
    </r>
  </si>
  <si>
    <r>
      <rPr>
        <b/>
        <u/>
        <sz val="10"/>
        <rFont val="Arial"/>
        <family val="2"/>
      </rPr>
      <t xml:space="preserve">SYS_C31_17:
</t>
    </r>
    <r>
      <rPr>
        <sz val="10"/>
        <rFont val="Arial"/>
        <family val="2"/>
      </rPr>
      <t>When maximum system time value is reached, it shall remain at the maximum value (no loop back)</t>
    </r>
  </si>
  <si>
    <r>
      <rPr>
        <b/>
        <u/>
        <sz val="10"/>
        <rFont val="Arial"/>
        <family val="2"/>
      </rPr>
      <t xml:space="preserve">SYS_C31_20:
</t>
    </r>
    <r>
      <rPr>
        <sz val="10"/>
        <rFont val="Arial"/>
        <family val="2"/>
      </rPr>
      <t>For key components a formal hardware design review with the supplier shall be performed for each major evolution.</t>
    </r>
  </si>
  <si>
    <r>
      <rPr>
        <b/>
        <u/>
        <sz val="10"/>
        <rFont val="Arial"/>
        <family val="2"/>
      </rPr>
      <t xml:space="preserve">SYS_C31_21:
</t>
    </r>
    <r>
      <rPr>
        <sz val="10"/>
        <rFont val="Arial"/>
        <family val="2"/>
      </rPr>
      <t>For key components a formal software driver review with the supplier shall be performed for each major evolution.</t>
    </r>
  </si>
  <si>
    <t>Following applicable STANDARDS</t>
  </si>
  <si>
    <t>SYS_C31_3, SYS_C31_4, SYS_C31_5, SYS_C31_8, SYS_C31_9, SYS_C31_13, SYS_C31_14, SYS_C31_15, SYS_C31_16, SYS_C31_17, SYS_C31_20, SYS_C31_21</t>
  </si>
  <si>
    <t>SYS_C31 Uncovered Req Review for traceability - OK result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</si>
</sst>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d\-mmm\-yy;@"/>
  </numFmts>
  <fonts count="42" x14ac:knownFonts="1">
    <font>
      <sz val="10"/>
      <name val="Arial"/>
    </font>
    <font>
      <sz val="10"/>
      <name val="Arial"/>
      <family val="2"/>
    </font>
    <font>
      <b/>
      <sz val="10"/>
      <name val="Arial"/>
      <family val="2"/>
    </font>
    <font>
      <sz val="8"/>
      <name val="Arial"/>
      <family val="2"/>
    </font>
    <font>
      <sz val="10"/>
      <name val="Arial"/>
      <family val="2"/>
    </font>
    <font>
      <sz val="10"/>
      <color indexed="12"/>
      <name val="Arial"/>
      <family val="2"/>
    </font>
    <font>
      <i/>
      <sz val="8"/>
      <name val="Arial"/>
      <family val="2"/>
    </font>
    <font>
      <b/>
      <i/>
      <sz val="14"/>
      <name val="Arial"/>
      <family val="2"/>
    </font>
    <font>
      <b/>
      <sz val="10"/>
      <color indexed="9"/>
      <name val="Arial"/>
      <family val="2"/>
    </font>
    <font>
      <i/>
      <sz val="10"/>
      <name val="Arial"/>
      <family val="2"/>
    </font>
    <font>
      <b/>
      <i/>
      <sz val="20"/>
      <name val="Arial"/>
      <family val="2"/>
    </font>
    <font>
      <b/>
      <i/>
      <sz val="10"/>
      <name val="Arial"/>
      <family val="2"/>
    </font>
    <font>
      <b/>
      <i/>
      <sz val="16"/>
      <name val="Arial"/>
      <family val="2"/>
    </font>
    <font>
      <sz val="8"/>
      <color indexed="81"/>
      <name val="Tahoma"/>
      <family val="2"/>
    </font>
    <font>
      <sz val="11"/>
      <color indexed="12"/>
      <name val="Times New Roman"/>
      <family val="1"/>
    </font>
    <font>
      <i/>
      <sz val="14"/>
      <name val="Arial"/>
      <family val="2"/>
    </font>
    <font>
      <i/>
      <sz val="8"/>
      <name val="Times New Roman"/>
      <family val="1"/>
    </font>
    <font>
      <sz val="8"/>
      <color indexed="81"/>
      <name val="Tahoma"/>
      <family val="2"/>
      <charset val="238"/>
    </font>
    <font>
      <sz val="9"/>
      <color indexed="81"/>
      <name val="Tahoma"/>
      <family val="2"/>
    </font>
    <font>
      <b/>
      <sz val="9"/>
      <color indexed="81"/>
      <name val="Tahoma"/>
      <family val="2"/>
    </font>
    <font>
      <sz val="10"/>
      <name val="Arial"/>
      <family val="2"/>
      <charset val="238"/>
    </font>
    <font>
      <u/>
      <sz val="10"/>
      <name val="Arial"/>
      <family val="2"/>
    </font>
    <font>
      <b/>
      <u/>
      <sz val="10"/>
      <name val="Arial"/>
      <family val="2"/>
    </font>
    <font>
      <u/>
      <sz val="10"/>
      <color theme="10"/>
      <name val="Arial"/>
      <family val="2"/>
    </font>
    <font>
      <i/>
      <sz val="8"/>
      <color rgb="FF0070C0"/>
      <name val="Arial"/>
      <family val="2"/>
    </font>
    <font>
      <b/>
      <sz val="20"/>
      <color rgb="FF000080"/>
      <name val="Arial"/>
      <family val="2"/>
    </font>
    <font>
      <sz val="10"/>
      <color rgb="FFC00000"/>
      <name val="Arial"/>
      <family val="2"/>
    </font>
    <font>
      <b/>
      <sz val="10"/>
      <color rgb="FFC00000"/>
      <name val="Arial"/>
      <family val="2"/>
    </font>
    <font>
      <i/>
      <sz val="8"/>
      <color rgb="FF000080"/>
      <name val="Arial"/>
      <family val="2"/>
    </font>
    <font>
      <sz val="11"/>
      <name val="Calibri"/>
      <family val="2"/>
      <charset val="238"/>
      <scheme val="minor"/>
    </font>
    <font>
      <sz val="11"/>
      <color theme="1"/>
      <name val="Calibri"/>
      <family val="2"/>
      <charset val="238"/>
      <scheme val="minor"/>
    </font>
    <font>
      <i/>
      <sz val="11"/>
      <color theme="1"/>
      <name val="Calibri"/>
      <family val="2"/>
      <charset val="238"/>
      <scheme val="minor"/>
    </font>
    <font>
      <i/>
      <sz val="10"/>
      <color theme="1"/>
      <name val="Arial"/>
      <family val="2"/>
    </font>
    <font>
      <sz val="11"/>
      <color rgb="FF000000"/>
      <name val="Calibri"/>
      <family val="2"/>
    </font>
    <font>
      <i/>
      <sz val="11"/>
      <name val="Calibri"/>
      <family val="2"/>
      <charset val="238"/>
      <scheme val="minor"/>
    </font>
    <font>
      <b/>
      <i/>
      <u/>
      <sz val="10"/>
      <color theme="10"/>
      <name val="Arial"/>
      <family val="2"/>
    </font>
    <font>
      <i/>
      <sz val="10"/>
      <color theme="3" tint="-0.499984740745262"/>
      <name val="Arial"/>
      <family val="2"/>
    </font>
    <font>
      <i/>
      <sz val="11"/>
      <color theme="1"/>
      <name val="Calibri"/>
      <family val="2"/>
      <scheme val="minor"/>
    </font>
    <font>
      <b/>
      <sz val="10"/>
      <color theme="0"/>
      <name val="Arial"/>
      <family val="2"/>
    </font>
    <font>
      <b/>
      <i/>
      <sz val="10"/>
      <color rgb="FF000080"/>
      <name val="Arial"/>
      <family val="2"/>
    </font>
    <font>
      <b/>
      <sz val="8"/>
      <color theme="0"/>
      <name val="Arial"/>
      <family val="2"/>
    </font>
    <font>
      <b/>
      <i/>
      <u/>
      <sz val="11"/>
      <name val="Calibri"/>
      <family val="2"/>
      <charset val="238"/>
      <scheme val="minor"/>
    </font>
  </fonts>
  <fills count="10">
    <fill>
      <patternFill patternType="none"/>
    </fill>
    <fill>
      <patternFill patternType="gray125"/>
    </fill>
    <fill>
      <patternFill patternType="solid">
        <fgColor indexed="18"/>
        <bgColor indexed="64"/>
      </patternFill>
    </fill>
    <fill>
      <patternFill patternType="solid">
        <fgColor indexed="65"/>
        <bgColor indexed="10"/>
      </patternFill>
    </fill>
    <fill>
      <patternFill patternType="solid">
        <fgColor theme="3"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rgb="FF000080"/>
        <bgColor indexed="64"/>
      </patternFill>
    </fill>
    <fill>
      <patternFill patternType="solid">
        <fgColor theme="4" tint="0.59999389629810485"/>
        <bgColor indexed="64"/>
      </patternFill>
    </fill>
    <fill>
      <patternFill patternType="solid">
        <fgColor theme="0" tint="-0.499984740745262"/>
        <bgColor indexed="64"/>
      </patternFill>
    </fill>
  </fills>
  <borders count="45">
    <border>
      <left/>
      <right/>
      <top/>
      <bottom/>
      <diagonal/>
    </border>
    <border>
      <left/>
      <right/>
      <top/>
      <bottom style="thin">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rgb="FF000080"/>
      </bottom>
      <diagonal/>
    </border>
  </borders>
  <cellStyleXfs count="3">
    <xf numFmtId="0" fontId="0" fillId="0" borderId="0"/>
    <xf numFmtId="0" fontId="23" fillId="0" borderId="0" applyNumberFormat="0" applyFill="0" applyBorder="0" applyAlignment="0" applyProtection="0"/>
    <xf numFmtId="0" fontId="1" fillId="0" borderId="0"/>
  </cellStyleXfs>
  <cellXfs count="257">
    <xf numFmtId="0" fontId="0" fillId="0" borderId="0" xfId="0"/>
    <xf numFmtId="0" fontId="0" fillId="0" borderId="0" xfId="0" applyAlignment="1" applyProtection="1">
      <alignment vertical="center"/>
    </xf>
    <xf numFmtId="0" fontId="5" fillId="0" borderId="0" xfId="0" applyFont="1" applyFill="1" applyAlignment="1" applyProtection="1">
      <alignment vertical="center" wrapText="1"/>
    </xf>
    <xf numFmtId="164" fontId="5" fillId="0" borderId="0" xfId="0" applyNumberFormat="1" applyFont="1" applyFill="1" applyBorder="1" applyAlignment="1" applyProtection="1">
      <alignment horizontal="center" vertical="center" wrapText="1"/>
    </xf>
    <xf numFmtId="20" fontId="5" fillId="0" borderId="0" xfId="0" applyNumberFormat="1" applyFont="1" applyFill="1" applyBorder="1" applyAlignment="1" applyProtection="1">
      <alignment vertical="center" wrapText="1"/>
    </xf>
    <xf numFmtId="0" fontId="5" fillId="0" borderId="0" xfId="0" applyFont="1" applyFill="1" applyBorder="1" applyAlignment="1" applyProtection="1">
      <alignment horizontal="left" vertical="center" wrapText="1"/>
    </xf>
    <xf numFmtId="0" fontId="1" fillId="0" borderId="0" xfId="0" applyFont="1" applyFill="1" applyAlignment="1" applyProtection="1">
      <alignment vertical="center"/>
    </xf>
    <xf numFmtId="0" fontId="0" fillId="0" borderId="0" xfId="0" applyBorder="1" applyAlignment="1" applyProtection="1">
      <alignment vertical="center"/>
    </xf>
    <xf numFmtId="0" fontId="1" fillId="0" borderId="0" xfId="0" applyFont="1" applyFill="1" applyBorder="1" applyAlignment="1" applyProtection="1">
      <alignment vertical="center"/>
    </xf>
    <xf numFmtId="0" fontId="24" fillId="0" borderId="0" xfId="0" applyFont="1" applyFill="1" applyBorder="1" applyAlignment="1" applyProtection="1">
      <alignment horizontal="right" vertical="center"/>
    </xf>
    <xf numFmtId="0" fontId="6" fillId="0" borderId="0" xfId="0" applyFont="1" applyBorder="1" applyAlignment="1" applyProtection="1">
      <alignment horizontal="left" vertical="center" wrapText="1"/>
    </xf>
    <xf numFmtId="0" fontId="4" fillId="0" borderId="0" xfId="0" applyFont="1" applyFill="1" applyBorder="1" applyAlignment="1" applyProtection="1">
      <alignment vertical="center" shrinkToFit="1"/>
    </xf>
    <xf numFmtId="0" fontId="4" fillId="0" borderId="0" xfId="0" applyFont="1" applyBorder="1" applyAlignment="1" applyProtection="1">
      <alignment vertical="center" shrinkToFit="1"/>
    </xf>
    <xf numFmtId="0" fontId="4" fillId="0" borderId="0" xfId="0" applyFont="1" applyFill="1" applyAlignment="1" applyProtection="1">
      <alignment vertical="center" shrinkToFit="1"/>
    </xf>
    <xf numFmtId="0" fontId="4" fillId="0" borderId="0" xfId="0" applyFont="1" applyAlignment="1" applyProtection="1">
      <alignment vertical="center" shrinkToFit="1"/>
    </xf>
    <xf numFmtId="0" fontId="1" fillId="0" borderId="0" xfId="0" applyFont="1" applyFill="1" applyAlignment="1" applyProtection="1">
      <alignment vertical="center"/>
      <protection locked="0"/>
    </xf>
    <xf numFmtId="0" fontId="0" fillId="0" borderId="0" xfId="0" applyAlignment="1" applyProtection="1">
      <alignment vertical="center"/>
      <protection locked="0"/>
    </xf>
    <xf numFmtId="0" fontId="4" fillId="0" borderId="0" xfId="0" applyFont="1" applyFill="1" applyAlignment="1" applyProtection="1">
      <alignment vertical="center"/>
      <protection locked="0"/>
    </xf>
    <xf numFmtId="0" fontId="4" fillId="0" borderId="0" xfId="0" applyFont="1" applyAlignment="1" applyProtection="1">
      <alignment vertical="center"/>
      <protection locked="0"/>
    </xf>
    <xf numFmtId="0" fontId="25" fillId="0" borderId="44" xfId="0" applyFont="1" applyBorder="1" applyAlignment="1" applyProtection="1">
      <alignment vertical="center"/>
      <protection locked="0"/>
    </xf>
    <xf numFmtId="0" fontId="0" fillId="0" borderId="44" xfId="0" applyBorder="1" applyAlignment="1" applyProtection="1">
      <alignment vertical="center"/>
      <protection locked="0"/>
    </xf>
    <xf numFmtId="0" fontId="12" fillId="0" borderId="0" xfId="0" applyFont="1" applyAlignment="1" applyProtection="1">
      <alignment horizontal="left" vertical="center"/>
      <protection locked="0"/>
    </xf>
    <xf numFmtId="0" fontId="7" fillId="0" borderId="0" xfId="0" applyFont="1" applyAlignment="1" applyProtection="1">
      <alignment horizontal="left" vertical="center"/>
      <protection locked="0"/>
    </xf>
    <xf numFmtId="0" fontId="4" fillId="0" borderId="0" xfId="0" applyFont="1" applyAlignment="1" applyProtection="1">
      <alignment horizontal="left" vertical="center"/>
      <protection locked="0"/>
    </xf>
    <xf numFmtId="0" fontId="9" fillId="0" borderId="0" xfId="0" applyFont="1" applyAlignment="1" applyProtection="1">
      <alignment vertical="center"/>
      <protection locked="0"/>
    </xf>
    <xf numFmtId="0" fontId="2" fillId="0" borderId="0" xfId="0" applyFont="1" applyAlignment="1" applyProtection="1">
      <alignment vertical="center"/>
      <protection locked="0"/>
    </xf>
    <xf numFmtId="49" fontId="16" fillId="0" borderId="0" xfId="0" applyNumberFormat="1" applyFont="1" applyFill="1" applyBorder="1" applyAlignment="1" applyProtection="1">
      <alignment horizontal="left" vertical="center"/>
      <protection locked="0"/>
    </xf>
    <xf numFmtId="49" fontId="4" fillId="0" borderId="0" xfId="0" applyNumberFormat="1" applyFont="1" applyFill="1" applyBorder="1" applyAlignment="1">
      <alignment horizontal="center" vertical="center" wrapText="1"/>
    </xf>
    <xf numFmtId="49" fontId="4" fillId="0" borderId="0" xfId="0" applyNumberFormat="1" applyFont="1" applyFill="1" applyBorder="1" applyAlignment="1" applyProtection="1">
      <alignment horizontal="left" vertical="center" wrapText="1"/>
      <protection locked="0"/>
    </xf>
    <xf numFmtId="49" fontId="4" fillId="0" borderId="0" xfId="0" applyNumberFormat="1" applyFont="1" applyFill="1" applyBorder="1" applyAlignment="1">
      <alignment horizontal="left" vertical="center" wrapText="1"/>
    </xf>
    <xf numFmtId="49" fontId="14" fillId="0" borderId="0" xfId="0" applyNumberFormat="1" applyFont="1" applyFill="1" applyAlignment="1" applyProtection="1">
      <alignment vertical="center" wrapText="1"/>
      <protection locked="0"/>
    </xf>
    <xf numFmtId="14" fontId="0" fillId="0" borderId="0" xfId="0" applyNumberFormat="1" applyAlignment="1" applyProtection="1">
      <alignment vertical="center"/>
      <protection locked="0"/>
    </xf>
    <xf numFmtId="0" fontId="15" fillId="0" borderId="0" xfId="0" applyFont="1" applyAlignment="1" applyProtection="1">
      <alignment horizontal="left" vertical="center"/>
      <protection locked="0"/>
    </xf>
    <xf numFmtId="0" fontId="0" fillId="0" borderId="0" xfId="0" applyBorder="1" applyAlignment="1">
      <alignment horizontal="left" vertical="center" wrapText="1"/>
    </xf>
    <xf numFmtId="0" fontId="25" fillId="0" borderId="1" xfId="0" applyFont="1" applyBorder="1" applyAlignment="1" applyProtection="1">
      <alignment vertical="center"/>
      <protection locked="0"/>
    </xf>
    <xf numFmtId="49" fontId="4" fillId="0" borderId="1" xfId="0" applyNumberFormat="1" applyFont="1" applyFill="1" applyBorder="1" applyAlignment="1" applyProtection="1">
      <alignment horizontal="left" vertical="center" wrapText="1"/>
      <protection locked="0"/>
    </xf>
    <xf numFmtId="0" fontId="0" fillId="0" borderId="1" xfId="0" applyBorder="1" applyAlignment="1">
      <alignment horizontal="left" vertical="center" wrapText="1"/>
    </xf>
    <xf numFmtId="0" fontId="25" fillId="0" borderId="0" xfId="0" applyFont="1" applyBorder="1" applyAlignment="1" applyProtection="1">
      <alignment vertical="center"/>
      <protection locked="0"/>
    </xf>
    <xf numFmtId="49" fontId="4" fillId="0" borderId="0" xfId="0" applyNumberFormat="1" applyFont="1" applyFill="1" applyBorder="1" applyAlignment="1" applyProtection="1">
      <alignment horizontal="left" vertical="center"/>
      <protection locked="0"/>
    </xf>
    <xf numFmtId="0" fontId="0" fillId="0" borderId="0" xfId="0" applyBorder="1" applyAlignment="1">
      <alignment horizontal="left" vertical="center"/>
    </xf>
    <xf numFmtId="0" fontId="0" fillId="0" borderId="0" xfId="0" applyFill="1" applyBorder="1" applyAlignment="1" applyProtection="1">
      <alignment vertical="center"/>
      <protection locked="0"/>
    </xf>
    <xf numFmtId="0" fontId="0" fillId="0" borderId="0" xfId="0" applyFill="1" applyBorder="1" applyAlignment="1" applyProtection="1">
      <alignment horizontal="left" vertical="center"/>
      <protection locked="0"/>
    </xf>
    <xf numFmtId="49" fontId="4" fillId="0" borderId="0" xfId="0" applyNumberFormat="1" applyFont="1" applyFill="1" applyBorder="1" applyAlignment="1">
      <alignment vertical="center"/>
    </xf>
    <xf numFmtId="0" fontId="0" fillId="0" borderId="0" xfId="0" applyBorder="1" applyAlignment="1" applyProtection="1">
      <alignment vertical="center"/>
      <protection locked="0"/>
    </xf>
    <xf numFmtId="0" fontId="4" fillId="0" borderId="0" xfId="0" applyFont="1" applyFill="1" applyAlignment="1" applyProtection="1">
      <alignment vertical="center"/>
    </xf>
    <xf numFmtId="0" fontId="4" fillId="0" borderId="0" xfId="0" applyFont="1" applyAlignment="1" applyProtection="1">
      <alignment vertical="center"/>
    </xf>
    <xf numFmtId="0" fontId="11" fillId="0" borderId="0" xfId="0" applyFont="1" applyBorder="1" applyAlignment="1" applyProtection="1">
      <alignment horizontal="left" vertical="center" shrinkToFit="1"/>
    </xf>
    <xf numFmtId="0" fontId="2" fillId="0" borderId="0" xfId="0" applyFont="1" applyBorder="1" applyAlignment="1" applyProtection="1">
      <alignment horizontal="left" vertical="center" shrinkToFit="1"/>
    </xf>
    <xf numFmtId="0" fontId="4" fillId="0" borderId="0" xfId="0" applyFont="1" applyFill="1" applyAlignment="1" applyProtection="1">
      <alignment vertical="center" shrinkToFit="1"/>
      <protection locked="0"/>
    </xf>
    <xf numFmtId="0" fontId="4" fillId="0" borderId="0" xfId="0" applyFont="1" applyAlignment="1" applyProtection="1">
      <alignment vertical="center" shrinkToFit="1"/>
      <protection locked="0"/>
    </xf>
    <xf numFmtId="0" fontId="26" fillId="0" borderId="2" xfId="0" applyFont="1" applyFill="1" applyBorder="1" applyAlignment="1" applyProtection="1">
      <alignment horizontal="left" vertical="center" wrapText="1" shrinkToFit="1"/>
      <protection locked="0"/>
    </xf>
    <xf numFmtId="0" fontId="27" fillId="0" borderId="0" xfId="0" applyFont="1" applyFill="1" applyBorder="1" applyAlignment="1" applyProtection="1">
      <alignment horizontal="left" vertical="center" shrinkToFit="1"/>
      <protection locked="0"/>
    </xf>
    <xf numFmtId="0" fontId="26" fillId="0" borderId="0" xfId="0" applyFont="1" applyFill="1" applyBorder="1" applyAlignment="1" applyProtection="1">
      <alignment horizontal="left" vertical="center" wrapText="1" shrinkToFit="1"/>
      <protection locked="0"/>
    </xf>
    <xf numFmtId="0" fontId="27" fillId="0" borderId="3" xfId="0" applyFont="1" applyFill="1" applyBorder="1" applyAlignment="1" applyProtection="1">
      <alignment horizontal="left" vertical="center" shrinkToFit="1"/>
      <protection locked="0"/>
    </xf>
    <xf numFmtId="0" fontId="1" fillId="0" borderId="0" xfId="0" applyFont="1" applyFill="1" applyAlignment="1" applyProtection="1">
      <alignment vertical="center" shrinkToFit="1"/>
      <protection locked="0"/>
    </xf>
    <xf numFmtId="0" fontId="0" fillId="0" borderId="0" xfId="0" applyAlignment="1" applyProtection="1">
      <alignment vertical="center" shrinkToFit="1"/>
      <protection locked="0"/>
    </xf>
    <xf numFmtId="0" fontId="0" fillId="0" borderId="0" xfId="0" applyFill="1" applyAlignment="1" applyProtection="1">
      <alignment vertical="center"/>
      <protection locked="0"/>
    </xf>
    <xf numFmtId="0" fontId="10" fillId="0" borderId="0" xfId="0" applyFont="1" applyFill="1" applyAlignment="1" applyProtection="1">
      <alignment horizontal="center" vertical="center"/>
      <protection locked="0"/>
    </xf>
    <xf numFmtId="0" fontId="28" fillId="0" borderId="0" xfId="0" quotePrefix="1" applyFont="1" applyFill="1" applyBorder="1" applyAlignment="1" applyProtection="1">
      <alignment horizontal="right" vertical="center"/>
    </xf>
    <xf numFmtId="0" fontId="29" fillId="4" borderId="4" xfId="0" applyFont="1" applyFill="1" applyBorder="1" applyAlignment="1">
      <alignment horizontal="center" vertical="center" wrapText="1"/>
    </xf>
    <xf numFmtId="0" fontId="29" fillId="4" borderId="5" xfId="0" applyFont="1" applyFill="1" applyBorder="1" applyAlignment="1">
      <alignment horizontal="center" vertical="center" wrapText="1"/>
    </xf>
    <xf numFmtId="0" fontId="30" fillId="4" borderId="5" xfId="0" applyFont="1" applyFill="1" applyBorder="1" applyAlignment="1">
      <alignment horizontal="center" vertical="center" wrapText="1"/>
    </xf>
    <xf numFmtId="0" fontId="29" fillId="4" borderId="6" xfId="0" applyFont="1" applyFill="1" applyBorder="1" applyAlignment="1">
      <alignment horizontal="center" vertical="center" wrapText="1"/>
    </xf>
    <xf numFmtId="0" fontId="29" fillId="4" borderId="7" xfId="0" applyFont="1" applyFill="1" applyBorder="1" applyAlignment="1">
      <alignment horizontal="center" vertical="center" wrapText="1"/>
    </xf>
    <xf numFmtId="0" fontId="29" fillId="0" borderId="8" xfId="0" applyFont="1" applyBorder="1" applyAlignment="1">
      <alignment vertical="top"/>
    </xf>
    <xf numFmtId="0" fontId="29" fillId="0" borderId="9" xfId="0" applyFont="1" applyBorder="1" applyAlignment="1">
      <alignment vertical="top"/>
    </xf>
    <xf numFmtId="0" fontId="31" fillId="0" borderId="11" xfId="0" applyFont="1" applyBorder="1" applyAlignment="1">
      <alignment vertical="top"/>
    </xf>
    <xf numFmtId="14" fontId="31" fillId="0" borderId="11" xfId="0" applyNumberFormat="1" applyFont="1" applyBorder="1" applyAlignment="1">
      <alignment horizontal="center" vertical="center" wrapText="1"/>
    </xf>
    <xf numFmtId="0" fontId="31" fillId="0" borderId="11" xfId="0" applyFont="1" applyBorder="1" applyAlignment="1">
      <alignment horizontal="center" vertical="center" wrapText="1"/>
    </xf>
    <xf numFmtId="0" fontId="31" fillId="0" borderId="12" xfId="0" applyFont="1" applyBorder="1" applyAlignment="1">
      <alignment vertical="top" wrapText="1"/>
    </xf>
    <xf numFmtId="0" fontId="29" fillId="0" borderId="13" xfId="0" applyFont="1" applyBorder="1" applyAlignment="1">
      <alignment vertical="top"/>
    </xf>
    <xf numFmtId="0" fontId="1" fillId="5" borderId="0" xfId="0" applyFont="1" applyFill="1" applyBorder="1" applyAlignment="1">
      <alignment wrapText="1"/>
    </xf>
    <xf numFmtId="0" fontId="1" fillId="5" borderId="0" xfId="0" applyFont="1" applyFill="1" applyBorder="1"/>
    <xf numFmtId="0" fontId="1" fillId="5" borderId="0" xfId="0" applyFont="1" applyFill="1"/>
    <xf numFmtId="0" fontId="1" fillId="5" borderId="0" xfId="0" applyFont="1" applyFill="1" applyBorder="1" applyAlignment="1">
      <alignment horizontal="center"/>
    </xf>
    <xf numFmtId="0" fontId="1" fillId="5" borderId="2" xfId="0" applyFont="1" applyFill="1" applyBorder="1" applyAlignment="1">
      <alignment wrapText="1"/>
    </xf>
    <xf numFmtId="0" fontId="32" fillId="5" borderId="7" xfId="0" applyFont="1" applyFill="1" applyBorder="1" applyAlignment="1">
      <alignment vertical="top"/>
    </xf>
    <xf numFmtId="0" fontId="32" fillId="5" borderId="0" xfId="0" applyFont="1" applyFill="1" applyBorder="1" applyAlignment="1">
      <alignment vertical="top" wrapText="1"/>
    </xf>
    <xf numFmtId="0" fontId="29" fillId="0" borderId="15" xfId="0" applyFont="1" applyBorder="1" applyAlignment="1">
      <alignment vertical="top"/>
    </xf>
    <xf numFmtId="0" fontId="34" fillId="0" borderId="8" xfId="0" applyFont="1" applyBorder="1" applyAlignment="1">
      <alignment vertical="top"/>
    </xf>
    <xf numFmtId="0" fontId="9" fillId="0" borderId="0" xfId="0" applyFont="1"/>
    <xf numFmtId="0" fontId="31" fillId="6" borderId="11" xfId="0" applyFont="1" applyFill="1" applyBorder="1" applyAlignment="1">
      <alignment horizontal="center" vertical="center"/>
    </xf>
    <xf numFmtId="0" fontId="31" fillId="6" borderId="11" xfId="0" applyFont="1" applyFill="1" applyBorder="1" applyAlignment="1">
      <alignment vertical="top"/>
    </xf>
    <xf numFmtId="14" fontId="31" fillId="6" borderId="11" xfId="0" applyNumberFormat="1" applyFont="1" applyFill="1" applyBorder="1" applyAlignment="1">
      <alignment horizontal="center" vertical="center" wrapText="1"/>
    </xf>
    <xf numFmtId="0" fontId="31" fillId="6" borderId="11" xfId="0" applyFont="1" applyFill="1" applyBorder="1" applyAlignment="1">
      <alignment horizontal="center" vertical="center" wrapText="1"/>
    </xf>
    <xf numFmtId="0" fontId="34" fillId="6" borderId="15" xfId="0" applyFont="1" applyFill="1" applyBorder="1" applyAlignment="1">
      <alignment vertical="top"/>
    </xf>
    <xf numFmtId="0" fontId="31" fillId="6" borderId="12" xfId="0" applyFont="1" applyFill="1" applyBorder="1" applyAlignment="1">
      <alignment vertical="top" wrapText="1"/>
    </xf>
    <xf numFmtId="49" fontId="1" fillId="0" borderId="0" xfId="0" applyNumberFormat="1" applyFont="1" applyFill="1" applyBorder="1" applyAlignment="1" applyProtection="1">
      <alignment horizontal="left" vertical="center"/>
      <protection locked="0"/>
    </xf>
    <xf numFmtId="0" fontId="34" fillId="6" borderId="16" xfId="0" applyFont="1" applyFill="1" applyBorder="1" applyAlignment="1">
      <alignment vertical="top"/>
    </xf>
    <xf numFmtId="0" fontId="29" fillId="0" borderId="16" xfId="0" applyFont="1" applyBorder="1" applyAlignment="1">
      <alignment vertical="top"/>
    </xf>
    <xf numFmtId="0" fontId="36" fillId="0" borderId="17" xfId="0" applyFont="1" applyBorder="1" applyAlignment="1">
      <alignment horizontal="center" vertical="center"/>
    </xf>
    <xf numFmtId="0" fontId="36" fillId="0" borderId="10" xfId="0" applyFont="1" applyBorder="1" applyAlignment="1">
      <alignment horizontal="center" vertical="center"/>
    </xf>
    <xf numFmtId="0" fontId="31" fillId="0" borderId="11" xfId="0" applyFont="1" applyFill="1" applyBorder="1" applyAlignment="1">
      <alignment vertical="top"/>
    </xf>
    <xf numFmtId="0" fontId="0" fillId="5" borderId="0" xfId="0" applyFill="1"/>
    <xf numFmtId="0" fontId="36" fillId="5" borderId="0" xfId="0" applyFont="1" applyFill="1" applyBorder="1" applyAlignment="1">
      <alignment horizontal="center" vertical="center"/>
    </xf>
    <xf numFmtId="0" fontId="36" fillId="5" borderId="18" xfId="0" applyFont="1" applyFill="1" applyBorder="1" applyAlignment="1">
      <alignment horizontal="center" vertical="center"/>
    </xf>
    <xf numFmtId="0" fontId="36" fillId="5" borderId="19" xfId="0" applyFont="1" applyFill="1" applyBorder="1" applyAlignment="1">
      <alignment horizontal="center" vertical="center"/>
    </xf>
    <xf numFmtId="0" fontId="0" fillId="5" borderId="0" xfId="0" applyFill="1" applyAlignment="1">
      <alignment wrapText="1"/>
    </xf>
    <xf numFmtId="0" fontId="38" fillId="7" borderId="4" xfId="0" applyFont="1" applyFill="1" applyBorder="1" applyAlignment="1">
      <alignment wrapText="1"/>
    </xf>
    <xf numFmtId="0" fontId="38" fillId="7" borderId="20" xfId="0" applyFont="1" applyFill="1" applyBorder="1" applyAlignment="1">
      <alignment vertical="center" wrapText="1"/>
    </xf>
    <xf numFmtId="0" fontId="38" fillId="7" borderId="21" xfId="0" applyFont="1" applyFill="1" applyBorder="1" applyAlignment="1">
      <alignment horizontal="center" wrapText="1"/>
    </xf>
    <xf numFmtId="0" fontId="1" fillId="8" borderId="9" xfId="2" applyFont="1" applyFill="1" applyBorder="1" applyAlignment="1">
      <alignment wrapText="1"/>
    </xf>
    <xf numFmtId="0" fontId="1" fillId="8" borderId="13" xfId="2" applyFont="1" applyFill="1" applyBorder="1" applyAlignment="1">
      <alignment wrapText="1"/>
    </xf>
    <xf numFmtId="0" fontId="36" fillId="5" borderId="7" xfId="0" applyFont="1" applyFill="1" applyBorder="1" applyAlignment="1">
      <alignment horizontal="left" vertical="center"/>
    </xf>
    <xf numFmtId="0" fontId="33" fillId="5" borderId="10" xfId="0" applyFont="1" applyFill="1" applyBorder="1"/>
    <xf numFmtId="0" fontId="33" fillId="5" borderId="0" xfId="0" applyFont="1" applyFill="1" applyBorder="1"/>
    <xf numFmtId="0" fontId="20" fillId="5" borderId="10" xfId="0" applyFont="1" applyFill="1" applyBorder="1"/>
    <xf numFmtId="10" fontId="33" fillId="5" borderId="10" xfId="0" applyNumberFormat="1" applyFont="1" applyFill="1" applyBorder="1"/>
    <xf numFmtId="0" fontId="41" fillId="0" borderId="10" xfId="0" applyFont="1" applyBorder="1" applyAlignment="1">
      <alignment vertical="top"/>
    </xf>
    <xf numFmtId="0" fontId="41" fillId="0" borderId="14" xfId="0" applyFont="1" applyBorder="1" applyAlignment="1">
      <alignment vertical="top"/>
    </xf>
    <xf numFmtId="0" fontId="31" fillId="0" borderId="11" xfId="0" applyFont="1" applyBorder="1" applyAlignment="1">
      <alignment horizontal="center" vertical="top"/>
    </xf>
    <xf numFmtId="49" fontId="1"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left" vertical="center" wrapText="1"/>
      <protection locked="0"/>
    </xf>
    <xf numFmtId="0" fontId="29" fillId="0" borderId="9" xfId="0" applyFont="1" applyBorder="1" applyAlignment="1">
      <alignment vertical="top" wrapText="1"/>
    </xf>
    <xf numFmtId="0" fontId="37" fillId="0" borderId="11" xfId="0" applyFont="1" applyFill="1" applyBorder="1" applyAlignment="1">
      <alignment vertical="top" wrapText="1"/>
    </xf>
    <xf numFmtId="0" fontId="31" fillId="0" borderId="11" xfId="0" applyFont="1" applyFill="1" applyBorder="1" applyAlignment="1">
      <alignment vertical="top" wrapText="1"/>
    </xf>
    <xf numFmtId="0" fontId="31" fillId="0" borderId="11" xfId="0" applyFont="1" applyBorder="1" applyAlignment="1">
      <alignment horizontal="center" vertical="top" wrapText="1"/>
    </xf>
    <xf numFmtId="0" fontId="31" fillId="0" borderId="11" xfId="0" applyFont="1" applyBorder="1" applyAlignment="1">
      <alignment vertical="top" wrapText="1"/>
    </xf>
    <xf numFmtId="0" fontId="29" fillId="0" borderId="16" xfId="0" applyFont="1" applyBorder="1" applyAlignment="1">
      <alignment vertical="top" wrapText="1"/>
    </xf>
    <xf numFmtId="0" fontId="29" fillId="0" borderId="15" xfId="0" applyFont="1" applyBorder="1" applyAlignment="1">
      <alignment vertical="top" wrapText="1"/>
    </xf>
    <xf numFmtId="0" fontId="0" fillId="0" borderId="0" xfId="0" applyAlignment="1">
      <alignment wrapText="1"/>
    </xf>
    <xf numFmtId="0" fontId="31" fillId="0" borderId="11" xfId="0" applyFont="1" applyFill="1" applyBorder="1" applyAlignment="1">
      <alignment horizontal="center" vertical="center"/>
    </xf>
    <xf numFmtId="0" fontId="35" fillId="6" borderId="11" xfId="1" applyFont="1" applyFill="1" applyBorder="1" applyAlignment="1">
      <alignment horizontal="left" vertical="center"/>
    </xf>
    <xf numFmtId="0" fontId="35" fillId="0" borderId="10" xfId="1" applyFont="1" applyBorder="1" applyAlignment="1">
      <alignment horizontal="left" vertical="center"/>
    </xf>
    <xf numFmtId="0" fontId="31" fillId="0" borderId="11" xfId="0" applyFont="1" applyFill="1" applyBorder="1" applyAlignment="1">
      <alignment horizontal="left" vertical="center"/>
    </xf>
    <xf numFmtId="0" fontId="31" fillId="0" borderId="11" xfId="0" applyFont="1" applyFill="1" applyBorder="1" applyAlignment="1">
      <alignment horizontal="left" vertical="top"/>
    </xf>
    <xf numFmtId="0" fontId="0" fillId="0" borderId="0" xfId="0" applyAlignment="1">
      <alignment horizontal="center"/>
    </xf>
    <xf numFmtId="0" fontId="31" fillId="0" borderId="11" xfId="0" applyFont="1" applyFill="1" applyBorder="1" applyAlignment="1">
      <alignment horizontal="center" vertical="top"/>
    </xf>
    <xf numFmtId="0" fontId="31" fillId="0" borderId="11" xfId="0" applyFont="1" applyFill="1" applyBorder="1" applyAlignment="1">
      <alignment horizontal="center" vertical="top" wrapText="1"/>
    </xf>
    <xf numFmtId="0" fontId="10" fillId="0" borderId="0" xfId="0" applyFont="1" applyFill="1" applyAlignment="1" applyProtection="1">
      <alignment horizontal="center" vertical="center" wrapText="1"/>
      <protection locked="0"/>
    </xf>
    <xf numFmtId="0" fontId="0" fillId="0" borderId="0" xfId="0" applyAlignment="1">
      <alignment vertical="center" wrapText="1"/>
    </xf>
    <xf numFmtId="0" fontId="1" fillId="0" borderId="27" xfId="0" applyFont="1" applyFill="1" applyBorder="1" applyAlignment="1" applyProtection="1">
      <alignment horizontal="left" vertical="top" wrapText="1" shrinkToFit="1"/>
      <protection locked="0"/>
    </xf>
    <xf numFmtId="0" fontId="2" fillId="0" borderId="26" xfId="0" applyFont="1" applyFill="1" applyBorder="1" applyAlignment="1" applyProtection="1">
      <alignment horizontal="left" vertical="top" shrinkToFit="1"/>
      <protection locked="0"/>
    </xf>
    <xf numFmtId="0" fontId="2" fillId="0" borderId="16" xfId="0" applyFont="1" applyFill="1" applyBorder="1" applyAlignment="1" applyProtection="1">
      <alignment horizontal="left" vertical="top" shrinkToFit="1"/>
      <protection locked="0"/>
    </xf>
    <xf numFmtId="49" fontId="39" fillId="0" borderId="15" xfId="0" applyNumberFormat="1" applyFont="1" applyBorder="1" applyAlignment="1" applyProtection="1">
      <alignment horizontal="left" vertical="center" shrinkToFit="1"/>
    </xf>
    <xf numFmtId="49" fontId="39" fillId="0" borderId="1" xfId="0" applyNumberFormat="1" applyFont="1" applyBorder="1" applyAlignment="1" applyProtection="1">
      <alignment horizontal="left" vertical="center" shrinkToFit="1"/>
    </xf>
    <xf numFmtId="49" fontId="39" fillId="0" borderId="25" xfId="0" applyNumberFormat="1" applyFont="1" applyBorder="1" applyAlignment="1" applyProtection="1">
      <alignment horizontal="left" vertical="center" shrinkToFit="1"/>
    </xf>
    <xf numFmtId="0" fontId="40" fillId="9" borderId="2" xfId="0" applyFont="1" applyFill="1" applyBorder="1" applyAlignment="1" applyProtection="1">
      <alignment horizontal="center" vertical="center" shrinkToFit="1"/>
      <protection locked="0"/>
    </xf>
    <xf numFmtId="0" fontId="40" fillId="9" borderId="0" xfId="0" applyFont="1" applyFill="1" applyBorder="1" applyAlignment="1" applyProtection="1">
      <alignment horizontal="center" vertical="center" shrinkToFit="1"/>
      <protection locked="0"/>
    </xf>
    <xf numFmtId="0" fontId="40" fillId="9" borderId="3" xfId="0" applyFont="1" applyFill="1" applyBorder="1" applyAlignment="1" applyProtection="1">
      <alignment horizontal="center" vertical="center" shrinkToFit="1"/>
      <protection locked="0"/>
    </xf>
    <xf numFmtId="0" fontId="4" fillId="0" borderId="22" xfId="0" applyFont="1" applyFill="1" applyBorder="1" applyAlignment="1" applyProtection="1">
      <alignment horizontal="left" vertical="top"/>
      <protection locked="0"/>
    </xf>
    <xf numFmtId="0" fontId="4" fillId="0" borderId="23" xfId="0" applyFont="1" applyFill="1" applyBorder="1" applyAlignment="1" applyProtection="1">
      <alignment horizontal="left" vertical="top"/>
      <protection locked="0"/>
    </xf>
    <xf numFmtId="0" fontId="4" fillId="0" borderId="24" xfId="0" applyFont="1" applyFill="1" applyBorder="1" applyAlignment="1" applyProtection="1">
      <alignment horizontal="left" vertical="top"/>
      <protection locked="0"/>
    </xf>
    <xf numFmtId="0" fontId="39" fillId="0" borderId="15" xfId="0" applyFont="1" applyBorder="1" applyAlignment="1" applyProtection="1">
      <alignment horizontal="left" vertical="center" shrinkToFit="1"/>
    </xf>
    <xf numFmtId="0" fontId="39" fillId="0" borderId="1" xfId="0" applyFont="1" applyBorder="1" applyAlignment="1" applyProtection="1">
      <alignment horizontal="left" vertical="center" shrinkToFit="1"/>
    </xf>
    <xf numFmtId="0" fontId="39" fillId="0" borderId="25" xfId="0" applyFont="1" applyBorder="1" applyAlignment="1" applyProtection="1">
      <alignment horizontal="left" vertical="center" shrinkToFit="1"/>
    </xf>
    <xf numFmtId="0" fontId="40" fillId="9" borderId="23" xfId="0" applyFont="1" applyFill="1" applyBorder="1" applyAlignment="1" applyProtection="1">
      <alignment horizontal="center" vertical="center" wrapText="1"/>
      <protection locked="0"/>
    </xf>
    <xf numFmtId="0" fontId="40" fillId="9" borderId="0" xfId="0" applyFont="1" applyFill="1" applyBorder="1" applyAlignment="1" applyProtection="1">
      <alignment horizontal="center" vertical="center" wrapText="1"/>
      <protection locked="0"/>
    </xf>
    <xf numFmtId="0" fontId="4" fillId="0" borderId="15" xfId="0" applyFont="1" applyFill="1" applyBorder="1" applyAlignment="1" applyProtection="1">
      <alignment horizontal="left" vertical="top"/>
      <protection locked="0"/>
    </xf>
    <xf numFmtId="0" fontId="4" fillId="0" borderId="1" xfId="0" applyFont="1" applyFill="1" applyBorder="1" applyAlignment="1" applyProtection="1">
      <alignment horizontal="left" vertical="top"/>
      <protection locked="0"/>
    </xf>
    <xf numFmtId="0" fontId="4" fillId="0" borderId="25" xfId="0" applyFont="1" applyFill="1" applyBorder="1" applyAlignment="1" applyProtection="1">
      <alignment horizontal="left" vertical="top"/>
      <protection locked="0"/>
    </xf>
    <xf numFmtId="0" fontId="40" fillId="9" borderId="22" xfId="0" applyFont="1" applyFill="1" applyBorder="1" applyAlignment="1" applyProtection="1">
      <alignment horizontal="center" vertical="center" shrinkToFit="1"/>
      <protection locked="0"/>
    </xf>
    <xf numFmtId="0" fontId="40" fillId="9" borderId="23" xfId="0" applyFont="1" applyFill="1" applyBorder="1" applyAlignment="1" applyProtection="1">
      <alignment horizontal="center" vertical="center" shrinkToFit="1"/>
      <protection locked="0"/>
    </xf>
    <xf numFmtId="0" fontId="40" fillId="9" borderId="24" xfId="0" applyFont="1" applyFill="1" applyBorder="1" applyAlignment="1" applyProtection="1">
      <alignment horizontal="center" vertical="center" shrinkToFit="1"/>
      <protection locked="0"/>
    </xf>
    <xf numFmtId="0" fontId="1" fillId="0" borderId="15" xfId="0" applyFont="1" applyFill="1" applyBorder="1" applyAlignment="1" applyProtection="1">
      <alignment horizontal="right" vertical="top" wrapText="1" shrinkToFit="1"/>
      <protection locked="0"/>
    </xf>
    <xf numFmtId="0" fontId="4" fillId="0" borderId="1" xfId="0" applyFont="1" applyFill="1" applyBorder="1" applyAlignment="1" applyProtection="1">
      <alignment horizontal="right" vertical="top" wrapText="1" shrinkToFit="1"/>
      <protection locked="0"/>
    </xf>
    <xf numFmtId="0" fontId="1" fillId="0" borderId="1" xfId="0" applyFont="1" applyFill="1" applyBorder="1" applyAlignment="1" applyProtection="1">
      <alignment horizontal="left" vertical="top" wrapText="1" shrinkToFit="1"/>
      <protection locked="0"/>
    </xf>
    <xf numFmtId="0" fontId="2" fillId="0" borderId="1" xfId="0" applyFont="1" applyFill="1" applyBorder="1" applyAlignment="1" applyProtection="1">
      <alignment horizontal="left" vertical="top" shrinkToFit="1"/>
      <protection locked="0"/>
    </xf>
    <xf numFmtId="0" fontId="2" fillId="0" borderId="25" xfId="0" applyFont="1" applyFill="1" applyBorder="1" applyAlignment="1" applyProtection="1">
      <alignment horizontal="left" vertical="top" shrinkToFit="1"/>
      <protection locked="0"/>
    </xf>
    <xf numFmtId="0" fontId="1" fillId="0" borderId="15" xfId="0" applyFont="1" applyFill="1" applyBorder="1" applyAlignment="1" applyProtection="1">
      <alignment horizontal="left" vertical="top" wrapText="1" shrinkToFit="1"/>
      <protection locked="0"/>
    </xf>
    <xf numFmtId="0" fontId="6" fillId="0" borderId="22" xfId="0" applyFont="1" applyFill="1" applyBorder="1" applyAlignment="1" applyProtection="1">
      <alignment horizontal="left" vertical="center" shrinkToFit="1"/>
    </xf>
    <xf numFmtId="0" fontId="6" fillId="0" borderId="23" xfId="0" applyFont="1" applyFill="1" applyBorder="1" applyAlignment="1" applyProtection="1">
      <alignment horizontal="left" vertical="center" shrinkToFit="1"/>
    </xf>
    <xf numFmtId="0" fontId="6" fillId="0" borderId="24" xfId="0" applyFont="1" applyFill="1" applyBorder="1" applyAlignment="1" applyProtection="1">
      <alignment horizontal="left" vertical="center" shrinkToFit="1"/>
    </xf>
    <xf numFmtId="14" fontId="39" fillId="0" borderId="15" xfId="0" applyNumberFormat="1" applyFont="1" applyBorder="1" applyAlignment="1" applyProtection="1">
      <alignment horizontal="left" vertical="center" shrinkToFit="1"/>
    </xf>
    <xf numFmtId="0" fontId="6" fillId="0" borderId="22" xfId="0" applyFont="1" applyBorder="1" applyAlignment="1" applyProtection="1">
      <alignment horizontal="left" vertical="center" wrapText="1"/>
    </xf>
    <xf numFmtId="0" fontId="6" fillId="0" borderId="23" xfId="0" applyFont="1" applyBorder="1" applyAlignment="1" applyProtection="1">
      <alignment horizontal="left" vertical="center" wrapText="1"/>
    </xf>
    <xf numFmtId="0" fontId="6" fillId="0" borderId="24" xfId="0" applyFont="1" applyBorder="1" applyAlignment="1" applyProtection="1">
      <alignment horizontal="left" vertical="center" wrapText="1"/>
    </xf>
    <xf numFmtId="0" fontId="6" fillId="0" borderId="22" xfId="0" applyFont="1" applyBorder="1" applyAlignment="1" applyProtection="1">
      <alignment horizontal="left" vertical="center" shrinkToFit="1"/>
    </xf>
    <xf numFmtId="0" fontId="6" fillId="0" borderId="23" xfId="0" applyFont="1" applyBorder="1" applyAlignment="1" applyProtection="1">
      <alignment horizontal="left" vertical="center" shrinkToFit="1"/>
    </xf>
    <xf numFmtId="0" fontId="6" fillId="0" borderId="24" xfId="0" applyFont="1" applyBorder="1" applyAlignment="1" applyProtection="1">
      <alignment horizontal="left" vertical="center" shrinkToFit="1"/>
    </xf>
    <xf numFmtId="0" fontId="1" fillId="0" borderId="25" xfId="0" applyFont="1" applyFill="1" applyBorder="1" applyAlignment="1" applyProtection="1">
      <alignment horizontal="left" vertical="top" wrapText="1" shrinkToFit="1"/>
      <protection locked="0"/>
    </xf>
    <xf numFmtId="49" fontId="4" fillId="0" borderId="10" xfId="0" applyNumberFormat="1" applyFont="1" applyFill="1" applyBorder="1" applyAlignment="1" applyProtection="1">
      <alignment horizontal="left" vertical="center" wrapText="1"/>
      <protection locked="0"/>
    </xf>
    <xf numFmtId="0" fontId="0" fillId="0" borderId="10" xfId="0" applyBorder="1" applyAlignment="1">
      <alignment horizontal="left" vertical="center" wrapText="1"/>
    </xf>
    <xf numFmtId="49" fontId="4" fillId="0" borderId="10" xfId="0" applyNumberFormat="1" applyFont="1" applyFill="1" applyBorder="1" applyAlignment="1" applyProtection="1">
      <alignment vertical="center" wrapText="1"/>
      <protection locked="0"/>
    </xf>
    <xf numFmtId="49" fontId="1" fillId="0" borderId="27" xfId="0" applyNumberFormat="1" applyFont="1" applyFill="1" applyBorder="1" applyAlignment="1" applyProtection="1">
      <alignment horizontal="left" vertical="center" wrapText="1"/>
      <protection locked="0"/>
    </xf>
    <xf numFmtId="49" fontId="4" fillId="0" borderId="26" xfId="0" applyNumberFormat="1" applyFont="1" applyFill="1" applyBorder="1" applyAlignment="1" applyProtection="1">
      <alignment horizontal="left" vertical="center" wrapText="1"/>
      <protection locked="0"/>
    </xf>
    <xf numFmtId="49" fontId="4" fillId="0" borderId="16" xfId="0" applyNumberFormat="1" applyFont="1" applyFill="1" applyBorder="1" applyAlignment="1" applyProtection="1">
      <alignment horizontal="left" vertical="center" wrapText="1"/>
      <protection locked="0"/>
    </xf>
    <xf numFmtId="0" fontId="38" fillId="7" borderId="10" xfId="0" applyFont="1" applyFill="1" applyBorder="1" applyAlignment="1">
      <alignment horizontal="center" vertical="center" wrapText="1"/>
    </xf>
    <xf numFmtId="0" fontId="0" fillId="0" borderId="27" xfId="0" applyBorder="1" applyAlignment="1">
      <alignment horizontal="left" vertical="center" wrapText="1"/>
    </xf>
    <xf numFmtId="0" fontId="0" fillId="0" borderId="26" xfId="0" applyBorder="1" applyAlignment="1">
      <alignment horizontal="left" vertical="center" wrapText="1"/>
    </xf>
    <xf numFmtId="0" fontId="0" fillId="0" borderId="16" xfId="0" applyBorder="1" applyAlignment="1">
      <alignment horizontal="left" vertical="center" wrapText="1"/>
    </xf>
    <xf numFmtId="0" fontId="1" fillId="0" borderId="27" xfId="0" applyFont="1" applyBorder="1" applyAlignment="1">
      <alignment horizontal="left" vertical="center" wrapText="1"/>
    </xf>
    <xf numFmtId="0" fontId="8" fillId="2" borderId="10" xfId="0" applyFont="1" applyFill="1" applyBorder="1" applyAlignment="1" applyProtection="1">
      <alignment horizontal="center" vertical="center" wrapText="1"/>
      <protection locked="0"/>
    </xf>
    <xf numFmtId="49" fontId="1" fillId="0" borderId="10" xfId="0" applyNumberFormat="1" applyFont="1" applyFill="1" applyBorder="1" applyAlignment="1" applyProtection="1">
      <alignment horizontal="left" vertical="center" wrapText="1"/>
      <protection locked="0"/>
    </xf>
    <xf numFmtId="49" fontId="5" fillId="0" borderId="0" xfId="0" applyNumberFormat="1" applyFont="1" applyFill="1" applyAlignment="1" applyProtection="1">
      <alignment horizontal="left" vertical="top" wrapText="1"/>
      <protection locked="0"/>
    </xf>
    <xf numFmtId="49" fontId="1" fillId="0" borderId="27" xfId="0" applyNumberFormat="1" applyFont="1" applyFill="1" applyBorder="1" applyAlignment="1" applyProtection="1">
      <alignment horizontal="left" vertical="top" wrapText="1"/>
      <protection locked="0"/>
    </xf>
    <xf numFmtId="49" fontId="1" fillId="0" borderId="26" xfId="0" applyNumberFormat="1" applyFont="1" applyFill="1" applyBorder="1" applyAlignment="1" applyProtection="1">
      <alignment horizontal="left" vertical="top" wrapText="1"/>
      <protection locked="0"/>
    </xf>
    <xf numFmtId="49" fontId="1" fillId="0" borderId="16" xfId="0" applyNumberFormat="1" applyFont="1" applyFill="1" applyBorder="1" applyAlignment="1" applyProtection="1">
      <alignment horizontal="left" vertical="top" wrapText="1"/>
      <protection locked="0"/>
    </xf>
    <xf numFmtId="49" fontId="1" fillId="0" borderId="10" xfId="0" applyNumberFormat="1" applyFont="1" applyFill="1" applyBorder="1" applyAlignment="1" applyProtection="1">
      <alignment horizontal="center" vertical="top" wrapText="1"/>
      <protection locked="0"/>
    </xf>
    <xf numFmtId="49" fontId="4" fillId="0" borderId="10" xfId="0" applyNumberFormat="1" applyFont="1" applyFill="1" applyBorder="1" applyAlignment="1">
      <alignment horizontal="center" vertical="top" wrapText="1"/>
    </xf>
    <xf numFmtId="49" fontId="1" fillId="0" borderId="10" xfId="0" applyNumberFormat="1" applyFont="1" applyFill="1" applyBorder="1" applyAlignment="1" applyProtection="1">
      <alignment horizontal="left" vertical="top" wrapText="1"/>
      <protection locked="0"/>
    </xf>
    <xf numFmtId="49" fontId="4" fillId="0" borderId="10" xfId="0" applyNumberFormat="1" applyFont="1" applyFill="1" applyBorder="1" applyAlignment="1" applyProtection="1">
      <alignment horizontal="left" vertical="top" wrapText="1"/>
      <protection locked="0"/>
    </xf>
    <xf numFmtId="49" fontId="4" fillId="0" borderId="10" xfId="0" applyNumberFormat="1" applyFont="1" applyFill="1" applyBorder="1" applyAlignment="1">
      <alignment horizontal="left" vertical="top" wrapText="1"/>
    </xf>
    <xf numFmtId="0" fontId="0" fillId="0" borderId="10" xfId="0" applyBorder="1" applyAlignment="1">
      <alignment horizontal="center" vertical="center" wrapText="1"/>
    </xf>
    <xf numFmtId="49" fontId="4" fillId="0" borderId="10" xfId="0" applyNumberFormat="1" applyFont="1" applyFill="1" applyBorder="1" applyAlignment="1">
      <alignment horizontal="left" vertical="center" wrapText="1"/>
    </xf>
    <xf numFmtId="49" fontId="1" fillId="0" borderId="10" xfId="0" applyNumberFormat="1" applyFont="1" applyFill="1" applyBorder="1" applyAlignment="1" applyProtection="1">
      <alignment horizontal="center" vertical="center" wrapText="1"/>
      <protection locked="0"/>
    </xf>
    <xf numFmtId="49" fontId="4" fillId="0" borderId="10" xfId="0" applyNumberFormat="1" applyFont="1" applyFill="1" applyBorder="1" applyAlignment="1">
      <alignment horizontal="center" vertical="center" wrapText="1"/>
    </xf>
    <xf numFmtId="0" fontId="39" fillId="3" borderId="15" xfId="0" applyFont="1" applyFill="1" applyBorder="1" applyAlignment="1" applyProtection="1">
      <alignment horizontal="left" vertical="center" shrinkToFit="1"/>
    </xf>
    <xf numFmtId="0" fontId="39" fillId="3" borderId="1" xfId="0" applyFont="1" applyFill="1" applyBorder="1" applyAlignment="1" applyProtection="1">
      <alignment horizontal="left" vertical="center" shrinkToFit="1"/>
    </xf>
    <xf numFmtId="0" fontId="39" fillId="3" borderId="25" xfId="0" applyFont="1" applyFill="1" applyBorder="1" applyAlignment="1" applyProtection="1">
      <alignment horizontal="left" vertical="center" shrinkToFit="1"/>
    </xf>
    <xf numFmtId="0" fontId="11" fillId="3" borderId="15" xfId="0" applyFont="1" applyFill="1" applyBorder="1" applyAlignment="1" applyProtection="1">
      <alignment horizontal="left" vertical="center" shrinkToFit="1"/>
    </xf>
    <xf numFmtId="0" fontId="11" fillId="3" borderId="1" xfId="0" applyFont="1" applyFill="1" applyBorder="1" applyAlignment="1" applyProtection="1">
      <alignment horizontal="left" vertical="center" shrinkToFit="1"/>
    </xf>
    <xf numFmtId="0" fontId="11" fillId="3" borderId="25" xfId="0" applyFont="1" applyFill="1" applyBorder="1" applyAlignment="1" applyProtection="1">
      <alignment horizontal="left" vertical="center" shrinkToFit="1"/>
    </xf>
    <xf numFmtId="49" fontId="4" fillId="0" borderId="10" xfId="0" applyNumberFormat="1" applyFont="1" applyFill="1" applyBorder="1" applyAlignment="1" applyProtection="1">
      <alignment horizontal="center" vertical="center" wrapText="1"/>
      <protection locked="0"/>
    </xf>
    <xf numFmtId="0" fontId="6" fillId="3" borderId="22" xfId="0" applyFont="1" applyFill="1" applyBorder="1" applyAlignment="1" applyProtection="1">
      <alignment horizontal="left" vertical="center" wrapText="1"/>
    </xf>
    <xf numFmtId="0" fontId="6" fillId="3" borderId="23" xfId="0" applyFont="1" applyFill="1" applyBorder="1" applyAlignment="1" applyProtection="1">
      <alignment horizontal="left" vertical="center" wrapText="1"/>
    </xf>
    <xf numFmtId="0" fontId="6" fillId="3" borderId="24" xfId="0" applyFont="1" applyFill="1" applyBorder="1" applyAlignment="1" applyProtection="1">
      <alignment horizontal="left" vertical="center" wrapText="1"/>
    </xf>
    <xf numFmtId="0" fontId="6" fillId="3" borderId="22" xfId="0" applyFont="1" applyFill="1" applyBorder="1" applyAlignment="1" applyProtection="1">
      <alignment horizontal="left" vertical="center" shrinkToFit="1"/>
    </xf>
    <xf numFmtId="0" fontId="6" fillId="3" borderId="23" xfId="0" applyFont="1" applyFill="1" applyBorder="1" applyAlignment="1" applyProtection="1">
      <alignment horizontal="left" vertical="center" shrinkToFit="1"/>
    </xf>
    <xf numFmtId="0" fontId="6" fillId="3" borderId="24" xfId="0" applyFont="1" applyFill="1" applyBorder="1" applyAlignment="1" applyProtection="1">
      <alignment horizontal="left" vertical="center" shrinkToFit="1"/>
    </xf>
    <xf numFmtId="0" fontId="0" fillId="2" borderId="10" xfId="0"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left" vertical="top" wrapText="1"/>
      <protection locked="0"/>
    </xf>
    <xf numFmtId="0" fontId="1" fillId="5" borderId="33" xfId="2" applyFont="1" applyFill="1" applyBorder="1" applyAlignment="1">
      <alignment horizontal="left" vertical="top" wrapText="1" shrinkToFit="1"/>
    </xf>
    <xf numFmtId="0" fontId="1" fillId="5" borderId="34" xfId="2" applyFont="1" applyFill="1" applyBorder="1" applyAlignment="1">
      <alignment horizontal="left" vertical="top" wrapText="1" shrinkToFit="1"/>
    </xf>
    <xf numFmtId="0" fontId="1" fillId="5" borderId="35" xfId="2" applyFont="1" applyFill="1" applyBorder="1" applyAlignment="1">
      <alignment horizontal="left" vertical="top" wrapText="1" shrinkToFit="1"/>
    </xf>
    <xf numFmtId="0" fontId="1" fillId="5" borderId="14" xfId="2" applyFont="1" applyFill="1" applyBorder="1" applyAlignment="1">
      <alignment horizontal="left" vertical="top" wrapText="1" shrinkToFit="1"/>
    </xf>
    <xf numFmtId="0" fontId="1" fillId="5" borderId="10" xfId="2" applyFont="1" applyFill="1" applyBorder="1" applyAlignment="1">
      <alignment horizontal="left" vertical="top" wrapText="1" shrinkToFit="1"/>
    </xf>
    <xf numFmtId="0" fontId="1" fillId="5" borderId="27" xfId="2" applyFont="1" applyFill="1" applyBorder="1" applyAlignment="1">
      <alignment horizontal="left" vertical="top" wrapText="1" shrinkToFit="1"/>
    </xf>
    <xf numFmtId="0" fontId="1" fillId="5" borderId="26" xfId="2" applyFont="1" applyFill="1" applyBorder="1" applyAlignment="1">
      <alignment horizontal="left" vertical="top" wrapText="1" shrinkToFit="1"/>
    </xf>
    <xf numFmtId="0" fontId="1" fillId="5" borderId="16" xfId="2" applyFont="1" applyFill="1" applyBorder="1" applyAlignment="1">
      <alignment horizontal="left" vertical="top" wrapText="1" shrinkToFit="1"/>
    </xf>
    <xf numFmtId="0" fontId="38" fillId="7" borderId="30" xfId="0" applyFont="1" applyFill="1" applyBorder="1" applyAlignment="1">
      <alignment horizontal="center" wrapText="1"/>
    </xf>
    <xf numFmtId="0" fontId="38" fillId="7" borderId="31" xfId="0" applyFont="1" applyFill="1" applyBorder="1" applyAlignment="1">
      <alignment horizontal="center" wrapText="1"/>
    </xf>
    <xf numFmtId="0" fontId="38" fillId="7" borderId="32" xfId="0" applyFont="1" applyFill="1" applyBorder="1" applyAlignment="1">
      <alignment horizontal="center" wrapText="1"/>
    </xf>
    <xf numFmtId="0" fontId="38" fillId="7" borderId="28" xfId="0" applyFont="1" applyFill="1" applyBorder="1" applyAlignment="1">
      <alignment horizontal="left" vertical="center" wrapText="1"/>
    </xf>
    <xf numFmtId="0" fontId="38" fillId="7" borderId="29" xfId="0" applyFont="1" applyFill="1" applyBorder="1" applyAlignment="1">
      <alignment horizontal="left" vertical="center" wrapText="1"/>
    </xf>
    <xf numFmtId="0" fontId="1" fillId="5" borderId="38" xfId="0" applyFont="1" applyFill="1" applyBorder="1" applyAlignment="1">
      <alignment horizontal="left" vertical="top" wrapText="1" shrinkToFit="1"/>
    </xf>
    <xf numFmtId="0" fontId="1" fillId="5" borderId="39" xfId="0" applyFont="1" applyFill="1" applyBorder="1" applyAlignment="1">
      <alignment horizontal="left" vertical="top" wrapText="1" shrinkToFit="1"/>
    </xf>
    <xf numFmtId="0" fontId="1" fillId="5" borderId="28" xfId="0" applyFont="1" applyFill="1" applyBorder="1" applyAlignment="1">
      <alignment horizontal="left" vertical="top" wrapText="1" shrinkToFit="1"/>
    </xf>
    <xf numFmtId="0" fontId="1" fillId="5" borderId="40" xfId="0" applyFont="1" applyFill="1" applyBorder="1" applyAlignment="1">
      <alignment horizontal="left" vertical="top" wrapText="1" shrinkToFit="1"/>
    </xf>
    <xf numFmtId="0" fontId="1" fillId="5" borderId="0" xfId="0" applyFont="1" applyFill="1" applyBorder="1" applyAlignment="1">
      <alignment horizontal="left" vertical="top" wrapText="1" shrinkToFit="1"/>
    </xf>
    <xf numFmtId="0" fontId="1" fillId="5" borderId="29" xfId="0" applyFont="1" applyFill="1" applyBorder="1" applyAlignment="1">
      <alignment horizontal="left" vertical="top" wrapText="1" shrinkToFit="1"/>
    </xf>
    <xf numFmtId="0" fontId="1" fillId="5" borderId="41" xfId="0" applyFont="1" applyFill="1" applyBorder="1" applyAlignment="1">
      <alignment horizontal="left" vertical="top" wrapText="1" shrinkToFit="1"/>
    </xf>
    <xf numFmtId="0" fontId="1" fillId="5" borderId="42" xfId="0" applyFont="1" applyFill="1" applyBorder="1" applyAlignment="1">
      <alignment horizontal="left" vertical="top" wrapText="1" shrinkToFit="1"/>
    </xf>
    <xf numFmtId="0" fontId="1" fillId="5" borderId="43" xfId="0" applyFont="1" applyFill="1" applyBorder="1" applyAlignment="1">
      <alignment horizontal="left" vertical="top" wrapText="1" shrinkToFit="1"/>
    </xf>
    <xf numFmtId="0" fontId="9" fillId="5" borderId="6" xfId="0" applyFont="1" applyFill="1" applyBorder="1" applyAlignment="1">
      <alignment horizontal="left"/>
    </xf>
    <xf numFmtId="0" fontId="1" fillId="5" borderId="36" xfId="0" applyFont="1" applyFill="1" applyBorder="1" applyAlignment="1">
      <alignment horizontal="left"/>
    </xf>
    <xf numFmtId="0" fontId="1" fillId="5" borderId="37" xfId="0" applyFont="1" applyFill="1" applyBorder="1" applyAlignment="1">
      <alignment horizontal="left"/>
    </xf>
    <xf numFmtId="0" fontId="1" fillId="5" borderId="6" xfId="0" applyFont="1" applyFill="1" applyBorder="1" applyAlignment="1">
      <alignment horizontal="left" vertical="top" wrapText="1"/>
    </xf>
    <xf numFmtId="0" fontId="1" fillId="5" borderId="36" xfId="0" applyFont="1" applyFill="1" applyBorder="1" applyAlignment="1">
      <alignment horizontal="left" vertical="top" wrapText="1"/>
    </xf>
    <xf numFmtId="0" fontId="1" fillId="5" borderId="37" xfId="0" applyFont="1" applyFill="1" applyBorder="1" applyAlignment="1">
      <alignment horizontal="left" vertical="top" wrapText="1"/>
    </xf>
    <xf numFmtId="0" fontId="1" fillId="5" borderId="27" xfId="2" applyFont="1" applyFill="1" applyBorder="1" applyAlignment="1">
      <alignment horizontal="left" vertical="top" wrapText="1"/>
    </xf>
    <xf numFmtId="0" fontId="1" fillId="5" borderId="26" xfId="2" applyFont="1" applyFill="1" applyBorder="1" applyAlignment="1">
      <alignment horizontal="left" vertical="top" wrapText="1"/>
    </xf>
    <xf numFmtId="0" fontId="1" fillId="5" borderId="16" xfId="2" applyFont="1" applyFill="1" applyBorder="1" applyAlignment="1">
      <alignment horizontal="left" vertical="top" wrapText="1"/>
    </xf>
    <xf numFmtId="0" fontId="22" fillId="5" borderId="33" xfId="2" applyFont="1" applyFill="1" applyBorder="1" applyAlignment="1">
      <alignment horizontal="left" vertical="top" wrapText="1" shrinkToFit="1"/>
    </xf>
    <xf numFmtId="0" fontId="0" fillId="5" borderId="27" xfId="0" applyFill="1" applyBorder="1" applyAlignment="1">
      <alignment horizontal="center"/>
    </xf>
    <xf numFmtId="0" fontId="0" fillId="5" borderId="26" xfId="0" applyFill="1" applyBorder="1" applyAlignment="1">
      <alignment horizontal="center"/>
    </xf>
    <xf numFmtId="0" fontId="0" fillId="5" borderId="16" xfId="0" applyFill="1" applyBorder="1" applyAlignment="1">
      <alignment horizontal="center"/>
    </xf>
    <xf numFmtId="0" fontId="9" fillId="5" borderId="6" xfId="0" applyFont="1" applyFill="1" applyBorder="1" applyAlignment="1">
      <alignment horizontal="left" wrapText="1"/>
    </xf>
    <xf numFmtId="0" fontId="1" fillId="5" borderId="36" xfId="0" applyFont="1" applyFill="1" applyBorder="1" applyAlignment="1">
      <alignment horizontal="left" wrapText="1"/>
    </xf>
    <xf numFmtId="0" fontId="1" fillId="5" borderId="37" xfId="0" applyFont="1" applyFill="1" applyBorder="1" applyAlignment="1">
      <alignment horizontal="left" wrapText="1"/>
    </xf>
    <xf numFmtId="0" fontId="1" fillId="5" borderId="0" xfId="0" applyFont="1" applyFill="1" applyAlignment="1">
      <alignment wrapText="1"/>
    </xf>
    <xf numFmtId="0" fontId="32" fillId="5" borderId="7" xfId="0" applyFont="1" applyFill="1" applyBorder="1" applyAlignment="1">
      <alignment vertical="top" wrapText="1"/>
    </xf>
    <xf numFmtId="0" fontId="1" fillId="5" borderId="0" xfId="0" applyFont="1" applyFill="1" applyBorder="1" applyAlignment="1">
      <alignment horizontal="center" wrapText="1"/>
    </xf>
    <xf numFmtId="0" fontId="36" fillId="5" borderId="7" xfId="0" applyFont="1" applyFill="1" applyBorder="1" applyAlignment="1">
      <alignment horizontal="left" vertical="center" wrapText="1"/>
    </xf>
    <xf numFmtId="0" fontId="36" fillId="5" borderId="0" xfId="0" applyFont="1" applyFill="1" applyBorder="1" applyAlignment="1">
      <alignment horizontal="center" vertical="center" wrapText="1"/>
    </xf>
    <xf numFmtId="0" fontId="36" fillId="5" borderId="18" xfId="0" applyFont="1" applyFill="1" applyBorder="1" applyAlignment="1">
      <alignment horizontal="center" vertical="center" wrapText="1"/>
    </xf>
    <xf numFmtId="0" fontId="36" fillId="5" borderId="19" xfId="0" applyFont="1" applyFill="1" applyBorder="1" applyAlignment="1">
      <alignment horizontal="center" vertical="center" wrapText="1"/>
    </xf>
  </cellXfs>
  <cellStyles count="3">
    <cellStyle name="Hyperlink" xfId="1" builtinId="8"/>
    <cellStyle name="Normal" xfId="0" builtinId="0"/>
    <cellStyle name="Normal 2" xfId="2"/>
  </cellStyles>
  <dxfs count="1091">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92D05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fr-FR"/>
              <a:t>SW integration test progress</a:t>
            </a:r>
          </a:p>
        </c:rich>
      </c:tx>
      <c:layout/>
      <c:overlay val="0"/>
    </c:title>
    <c:autoTitleDeleted val="0"/>
    <c:plotArea>
      <c:layout/>
      <c:pieChart>
        <c:varyColors val="1"/>
        <c:ser>
          <c:idx val="0"/>
          <c:order val="0"/>
          <c:spPr>
            <a:scene3d>
              <a:camera prst="orthographicFront"/>
              <a:lightRig rig="threePt" dir="t"/>
            </a:scene3d>
            <a:sp3d>
              <a:bevelT/>
            </a:sp3d>
          </c:spPr>
          <c:dPt>
            <c:idx val="0"/>
            <c:bubble3D val="0"/>
            <c:spPr>
              <a:solidFill>
                <a:schemeClr val="accent3"/>
              </a:solidFill>
              <a:scene3d>
                <a:camera prst="orthographicFront"/>
                <a:lightRig rig="threePt" dir="t"/>
              </a:scene3d>
              <a:sp3d>
                <a:bevelT/>
              </a:sp3d>
            </c:spPr>
          </c:dPt>
          <c:dPt>
            <c:idx val="1"/>
            <c:bubble3D val="0"/>
          </c:dPt>
          <c:dPt>
            <c:idx val="2"/>
            <c:bubble3D val="0"/>
            <c:spPr>
              <a:solidFill>
                <a:schemeClr val="bg1">
                  <a:lumMod val="75000"/>
                </a:schemeClr>
              </a:solidFill>
              <a:scene3d>
                <a:camera prst="orthographicFront"/>
                <a:lightRig rig="threePt" dir="t"/>
              </a:scene3d>
              <a:sp3d>
                <a:bevelT/>
              </a:sp3d>
            </c:spPr>
          </c:dPt>
          <c:dPt>
            <c:idx val="3"/>
            <c:bubble3D val="0"/>
          </c:dPt>
          <c:dLbls>
            <c:spPr>
              <a:noFill/>
              <a:ln>
                <a:noFill/>
              </a:ln>
              <a:effectLst/>
            </c:spPr>
            <c:txPr>
              <a:bodyPr/>
              <a:lstStyle/>
              <a:p>
                <a:pPr>
                  <a:defRPr sz="10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showLeaderLines val="1"/>
            <c:extLst>
              <c:ext xmlns:c15="http://schemas.microsoft.com/office/drawing/2012/chart" uri="{CE6537A1-D6FC-4f65-9D91-7224C49458BB}">
                <c15:layout/>
              </c:ext>
            </c:extLst>
          </c:dLbls>
          <c:cat>
            <c:strRef>
              <c:f>Metrics!$E$2:$E$5</c:f>
              <c:strCache>
                <c:ptCount val="4"/>
                <c:pt idx="0">
                  <c:v>percentage of tests passed</c:v>
                </c:pt>
                <c:pt idx="1">
                  <c:v>percentage of tests failed</c:v>
                </c:pt>
                <c:pt idx="2">
                  <c:v>percentage  tests not run</c:v>
                </c:pt>
                <c:pt idx="3">
                  <c:v>percentage  tests not applicable</c:v>
                </c:pt>
              </c:strCache>
            </c:strRef>
          </c:cat>
          <c:val>
            <c:numRef>
              <c:f>Metrics!$F$2:$F$5</c:f>
              <c:numCache>
                <c:formatCode>0.00%</c:formatCode>
                <c:ptCount val="4"/>
                <c:pt idx="0">
                  <c:v>0.46875</c:v>
                </c:pt>
                <c:pt idx="1">
                  <c:v>9.375E-2</c:v>
                </c:pt>
                <c:pt idx="2">
                  <c:v>0.4375</c:v>
                </c:pt>
                <c:pt idx="3">
                  <c:v>0</c:v>
                </c:pt>
              </c:numCache>
            </c:numRef>
          </c:val>
        </c:ser>
        <c:dLbls>
          <c:showLegendKey val="0"/>
          <c:showVal val="0"/>
          <c:showCatName val="0"/>
          <c:showSerName val="0"/>
          <c:showPercent val="1"/>
          <c:showBubbleSize val="0"/>
          <c:showLeaderLines val="1"/>
        </c:dLbls>
        <c:firstSliceAng val="0"/>
      </c:pieChart>
      <c:spPr>
        <a:noFill/>
        <a:ln w="25400">
          <a:noFill/>
        </a:ln>
      </c:spPr>
    </c:plotArea>
    <c:legend>
      <c:legendPos val="r"/>
      <c:layout/>
      <c:overlay val="0"/>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237" name="Picture 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238" name="Picture 1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5593"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5594" name="Picture 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7</xdr:row>
      <xdr:rowOff>0</xdr:rowOff>
    </xdr:from>
    <xdr:to>
      <xdr:col>6</xdr:col>
      <xdr:colOff>561975</xdr:colOff>
      <xdr:row>23</xdr:row>
      <xdr:rowOff>152400</xdr:rowOff>
    </xdr:to>
    <xdr:graphicFrame macro="">
      <xdr:nvGraphicFramePr>
        <xdr:cNvPr id="2157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ata/Sandbox/ECU_PP_4G/Mainstream/Phase_01/Configuration_Item_View/Application/_SCH_Scheduler/Test/SW01TEM001_SCH_SW_Integration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uide (help)"/>
      <sheetName val="Tests Synthesis"/>
      <sheetName val="Metrics"/>
      <sheetName val="TestConfig"/>
      <sheetName val="SW_IT_SCH_00001"/>
      <sheetName val="SW_IT_SCH_00002"/>
      <sheetName val="Compatibility Report"/>
    </sheetNames>
    <sheetDataSet>
      <sheetData sheetId="0">
        <row r="3">
          <cell r="AD3" t="str">
            <v>E1355904_SWArchitectureGlobalIntegrationTests - SW Scheduling.xlsm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27.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28.v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29.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30.xml"/><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31.xml"/><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32.xml"/><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3" Type="http://schemas.openxmlformats.org/officeDocument/2006/relationships/comments" Target="../comments33.xml"/><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4.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3" tint="-0.249977111117893"/>
  </sheetPr>
  <dimension ref="A1:BH116"/>
  <sheetViews>
    <sheetView showGridLines="0" zoomScale="115" zoomScaleNormal="115" workbookViewId="0">
      <selection activeCell="H26" sqref="H26:K26"/>
    </sheetView>
  </sheetViews>
  <sheetFormatPr defaultColWidth="0" defaultRowHeight="12.75" zeroHeight="1" x14ac:dyDescent="0.2"/>
  <cols>
    <col min="1" max="33" width="2.85546875" style="16" customWidth="1"/>
    <col min="34" max="34" width="1.28515625" style="16" customWidth="1"/>
    <col min="35" max="60" width="3.28515625" style="16" hidden="1" customWidth="1"/>
    <col min="61" max="16384" width="0" style="16" hidden="1"/>
  </cols>
  <sheetData>
    <row r="1" spans="1:37" s="1" customFormat="1" x14ac:dyDescent="0.2">
      <c r="C1" s="2"/>
      <c r="D1" s="2"/>
      <c r="E1" s="2"/>
      <c r="F1" s="2"/>
      <c r="G1" s="3"/>
      <c r="H1" s="4"/>
      <c r="I1" s="4"/>
      <c r="J1" s="4"/>
      <c r="K1" s="4"/>
      <c r="L1" s="4"/>
      <c r="M1" s="4"/>
      <c r="N1" s="4"/>
      <c r="O1" s="4"/>
      <c r="P1" s="5"/>
      <c r="Q1" s="5"/>
      <c r="R1" s="5"/>
      <c r="S1" s="5"/>
      <c r="T1" s="5"/>
      <c r="U1" s="5"/>
      <c r="V1" s="5"/>
      <c r="W1" s="5"/>
      <c r="X1" s="5"/>
      <c r="Y1" s="5"/>
      <c r="Z1" s="5"/>
      <c r="AA1" s="5"/>
      <c r="AB1" s="5"/>
      <c r="AC1" s="5"/>
      <c r="AD1" s="5"/>
      <c r="AE1" s="5"/>
      <c r="AF1" s="5"/>
      <c r="AG1" s="5"/>
      <c r="AH1" s="5"/>
      <c r="AI1" s="5"/>
      <c r="AJ1" s="5"/>
      <c r="AK1" s="5"/>
    </row>
    <row r="2" spans="1:37" s="1" customFormat="1" x14ac:dyDescent="0.2">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row>
    <row r="3" spans="1:37" s="7" customFormat="1" x14ac:dyDescent="0.2">
      <c r="C3" s="8"/>
      <c r="D3" s="8"/>
      <c r="E3" s="8"/>
      <c r="F3" s="8"/>
      <c r="G3" s="8"/>
      <c r="H3" s="8"/>
      <c r="I3" s="8"/>
      <c r="J3" s="8"/>
      <c r="K3" s="8"/>
      <c r="L3" s="8"/>
      <c r="M3" s="8"/>
      <c r="N3" s="8"/>
      <c r="O3" s="8"/>
      <c r="P3" s="8"/>
      <c r="Q3" s="8"/>
      <c r="R3" s="8"/>
      <c r="S3" s="8"/>
      <c r="T3" s="8"/>
      <c r="U3" s="8"/>
      <c r="V3" s="8"/>
      <c r="W3" s="8"/>
      <c r="X3" s="8"/>
      <c r="Y3" s="8"/>
      <c r="Z3" s="8"/>
      <c r="AA3" s="8"/>
      <c r="AB3" s="8"/>
      <c r="AC3" s="8"/>
      <c r="AD3" s="58" t="str">
        <f ca="1">MID(CELL("filename"),FIND("[",CELL("filename"))+1,FIND("]",CELL("filename"))-FIND("[",CELL("filename"))-1)</f>
        <v>PP4G_SYS_CF_Review_for_Coverage.xlsm</v>
      </c>
      <c r="AE3" s="8"/>
      <c r="AF3" s="8"/>
      <c r="AG3" s="8"/>
      <c r="AH3" s="8"/>
      <c r="AI3" s="8"/>
      <c r="AJ3" s="8"/>
      <c r="AK3" s="8"/>
    </row>
    <row r="4" spans="1:37" s="7" customFormat="1" ht="11.1" customHeight="1" x14ac:dyDescent="0.2">
      <c r="A4" s="167" t="s">
        <v>1</v>
      </c>
      <c r="B4" s="168"/>
      <c r="C4" s="168"/>
      <c r="D4" s="168"/>
      <c r="E4" s="168"/>
      <c r="F4" s="168"/>
      <c r="G4" s="168"/>
      <c r="H4" s="168"/>
      <c r="I4" s="168"/>
      <c r="J4" s="168"/>
      <c r="K4" s="168"/>
      <c r="L4" s="168"/>
      <c r="M4" s="168"/>
      <c r="N4" s="168"/>
      <c r="O4" s="168"/>
      <c r="P4" s="168"/>
      <c r="Q4" s="168"/>
      <c r="R4" s="168"/>
      <c r="S4" s="168"/>
      <c r="T4" s="168"/>
      <c r="U4" s="168"/>
      <c r="V4" s="169"/>
      <c r="W4" s="164" t="s">
        <v>2</v>
      </c>
      <c r="X4" s="165"/>
      <c r="Y4" s="165"/>
      <c r="Z4" s="165"/>
      <c r="AA4" s="166"/>
      <c r="AB4" s="160" t="s">
        <v>21</v>
      </c>
      <c r="AC4" s="161"/>
      <c r="AD4" s="161"/>
      <c r="AE4" s="161"/>
      <c r="AF4" s="161"/>
      <c r="AG4" s="162"/>
      <c r="AH4" s="10"/>
      <c r="AI4" s="10"/>
      <c r="AJ4" s="10"/>
      <c r="AK4" s="8"/>
    </row>
    <row r="5" spans="1:37" s="12" customFormat="1" ht="12.75" customHeight="1" x14ac:dyDescent="0.2">
      <c r="A5" s="143" t="s">
        <v>133</v>
      </c>
      <c r="B5" s="144"/>
      <c r="C5" s="144"/>
      <c r="D5" s="144"/>
      <c r="E5" s="144"/>
      <c r="F5" s="144"/>
      <c r="G5" s="144"/>
      <c r="H5" s="144"/>
      <c r="I5" s="144"/>
      <c r="J5" s="144"/>
      <c r="K5" s="144"/>
      <c r="L5" s="144"/>
      <c r="M5" s="144"/>
      <c r="N5" s="144"/>
      <c r="O5" s="144"/>
      <c r="P5" s="144"/>
      <c r="Q5" s="144"/>
      <c r="R5" s="144"/>
      <c r="S5" s="144"/>
      <c r="T5" s="144"/>
      <c r="U5" s="144"/>
      <c r="V5" s="145"/>
      <c r="W5" s="143" t="s">
        <v>137</v>
      </c>
      <c r="X5" s="144"/>
      <c r="Y5" s="144"/>
      <c r="Z5" s="144"/>
      <c r="AA5" s="145"/>
      <c r="AB5" s="163">
        <v>41805.958333333336</v>
      </c>
      <c r="AC5" s="144"/>
      <c r="AD5" s="144"/>
      <c r="AE5" s="144"/>
      <c r="AF5" s="144"/>
      <c r="AG5" s="145"/>
      <c r="AH5" s="11"/>
      <c r="AI5" s="11"/>
      <c r="AJ5" s="11"/>
      <c r="AK5" s="11"/>
    </row>
    <row r="6" spans="1:37" s="45" customFormat="1" ht="11.1" customHeight="1" x14ac:dyDescent="0.2">
      <c r="A6" s="164" t="s">
        <v>3</v>
      </c>
      <c r="B6" s="165"/>
      <c r="C6" s="165"/>
      <c r="D6" s="166"/>
      <c r="E6" s="164" t="s">
        <v>4</v>
      </c>
      <c r="F6" s="165"/>
      <c r="G6" s="165"/>
      <c r="H6" s="165"/>
      <c r="I6" s="165"/>
      <c r="J6" s="165"/>
      <c r="K6" s="165"/>
      <c r="L6" s="165"/>
      <c r="M6" s="165"/>
      <c r="N6" s="165"/>
      <c r="O6" s="165"/>
      <c r="P6" s="165"/>
      <c r="Q6" s="165"/>
      <c r="R6" s="165"/>
      <c r="S6" s="165"/>
      <c r="T6" s="165"/>
      <c r="U6" s="165"/>
      <c r="V6" s="166"/>
      <c r="W6" s="167" t="s">
        <v>16</v>
      </c>
      <c r="X6" s="168"/>
      <c r="Y6" s="168"/>
      <c r="Z6" s="168"/>
      <c r="AA6" s="169"/>
      <c r="AB6" s="164" t="s">
        <v>0</v>
      </c>
      <c r="AC6" s="165"/>
      <c r="AD6" s="166"/>
      <c r="AE6" s="164" t="s">
        <v>5</v>
      </c>
      <c r="AF6" s="165"/>
      <c r="AG6" s="166"/>
      <c r="AH6" s="44"/>
      <c r="AI6" s="44"/>
      <c r="AJ6" s="44"/>
      <c r="AK6" s="44"/>
    </row>
    <row r="7" spans="1:37" s="14" customFormat="1" ht="12.75" customHeight="1" x14ac:dyDescent="0.2">
      <c r="A7" s="143" t="s">
        <v>132</v>
      </c>
      <c r="B7" s="144"/>
      <c r="C7" s="144"/>
      <c r="D7" s="145"/>
      <c r="E7" s="143" t="s">
        <v>138</v>
      </c>
      <c r="F7" s="144"/>
      <c r="G7" s="144"/>
      <c r="H7" s="144"/>
      <c r="I7" s="144"/>
      <c r="J7" s="144"/>
      <c r="K7" s="144"/>
      <c r="L7" s="144"/>
      <c r="M7" s="144"/>
      <c r="N7" s="144"/>
      <c r="O7" s="144"/>
      <c r="P7" s="144"/>
      <c r="Q7" s="144"/>
      <c r="R7" s="144"/>
      <c r="S7" s="144"/>
      <c r="T7" s="144"/>
      <c r="U7" s="144"/>
      <c r="V7" s="145"/>
      <c r="W7" s="143" t="s">
        <v>134</v>
      </c>
      <c r="X7" s="144"/>
      <c r="Y7" s="144"/>
      <c r="Z7" s="144"/>
      <c r="AA7" s="145"/>
      <c r="AB7" s="134" t="s">
        <v>135</v>
      </c>
      <c r="AC7" s="135"/>
      <c r="AD7" s="136"/>
      <c r="AE7" s="134" t="s">
        <v>136</v>
      </c>
      <c r="AF7" s="135"/>
      <c r="AG7" s="136"/>
      <c r="AH7" s="13"/>
      <c r="AI7" s="13"/>
      <c r="AJ7" s="13"/>
      <c r="AK7" s="13"/>
    </row>
    <row r="8" spans="1:37" s="12" customFormat="1" x14ac:dyDescent="0.2">
      <c r="A8" s="46"/>
      <c r="B8" s="46"/>
      <c r="C8" s="46"/>
      <c r="D8" s="46"/>
      <c r="E8" s="46"/>
      <c r="F8" s="46"/>
      <c r="G8" s="46"/>
      <c r="H8" s="46"/>
      <c r="I8" s="46"/>
      <c r="J8" s="46"/>
      <c r="K8" s="46"/>
      <c r="L8" s="46"/>
      <c r="M8" s="46"/>
      <c r="N8" s="46"/>
      <c r="O8" s="46"/>
      <c r="P8" s="46"/>
      <c r="Q8" s="46"/>
      <c r="R8" s="46"/>
      <c r="S8" s="46"/>
      <c r="T8" s="46"/>
      <c r="U8" s="46"/>
      <c r="V8" s="46"/>
      <c r="W8" s="47"/>
      <c r="X8" s="47"/>
      <c r="Y8" s="47"/>
      <c r="Z8" s="47"/>
      <c r="AA8" s="47"/>
      <c r="AB8" s="46"/>
      <c r="AC8" s="46"/>
      <c r="AD8" s="46"/>
      <c r="AE8" s="46"/>
      <c r="AF8" s="46"/>
      <c r="AG8" s="46"/>
      <c r="AH8" s="11"/>
      <c r="AI8" s="11"/>
      <c r="AJ8" s="11"/>
      <c r="AK8" s="11"/>
    </row>
    <row r="9" spans="1:37" ht="11.1" customHeight="1" x14ac:dyDescent="0.2">
      <c r="A9" s="137" t="s">
        <v>22</v>
      </c>
      <c r="B9" s="138"/>
      <c r="C9" s="138"/>
      <c r="D9" s="138"/>
      <c r="E9" s="138"/>
      <c r="F9" s="138"/>
      <c r="G9" s="138"/>
      <c r="H9" s="138"/>
      <c r="I9" s="138"/>
      <c r="J9" s="138"/>
      <c r="K9" s="139"/>
      <c r="L9" s="137" t="s">
        <v>23</v>
      </c>
      <c r="M9" s="138"/>
      <c r="N9" s="138"/>
      <c r="O9" s="138"/>
      <c r="P9" s="138"/>
      <c r="Q9" s="138"/>
      <c r="R9" s="138"/>
      <c r="S9" s="138"/>
      <c r="T9" s="138"/>
      <c r="U9" s="138"/>
      <c r="V9" s="139"/>
      <c r="W9" s="137" t="s">
        <v>24</v>
      </c>
      <c r="X9" s="138"/>
      <c r="Y9" s="138"/>
      <c r="Z9" s="138"/>
      <c r="AA9" s="138"/>
      <c r="AB9" s="138"/>
      <c r="AC9" s="138"/>
      <c r="AD9" s="138"/>
      <c r="AE9" s="138"/>
      <c r="AF9" s="138"/>
      <c r="AG9" s="139"/>
      <c r="AH9" s="15"/>
      <c r="AI9" s="15"/>
    </row>
    <row r="10" spans="1:37" s="49" customFormat="1" ht="108.75" customHeight="1" x14ac:dyDescent="0.2">
      <c r="A10" s="154" t="s">
        <v>139</v>
      </c>
      <c r="B10" s="155"/>
      <c r="C10" s="155"/>
      <c r="D10" s="155"/>
      <c r="E10" s="155"/>
      <c r="F10" s="156" t="s">
        <v>129</v>
      </c>
      <c r="G10" s="156"/>
      <c r="H10" s="156"/>
      <c r="I10" s="156"/>
      <c r="J10" s="156"/>
      <c r="K10" s="170"/>
      <c r="L10" s="156" t="s">
        <v>140</v>
      </c>
      <c r="M10" s="157"/>
      <c r="N10" s="157"/>
      <c r="O10" s="157"/>
      <c r="P10" s="157"/>
      <c r="Q10" s="157"/>
      <c r="R10" s="157"/>
      <c r="S10" s="157"/>
      <c r="T10" s="157"/>
      <c r="U10" s="157"/>
      <c r="V10" s="158"/>
      <c r="W10" s="159" t="s">
        <v>141</v>
      </c>
      <c r="X10" s="157"/>
      <c r="Y10" s="157"/>
      <c r="Z10" s="157"/>
      <c r="AA10" s="157"/>
      <c r="AB10" s="157"/>
      <c r="AC10" s="157"/>
      <c r="AD10" s="157"/>
      <c r="AE10" s="157"/>
      <c r="AF10" s="157"/>
      <c r="AG10" s="158"/>
      <c r="AH10" s="48"/>
      <c r="AI10" s="48"/>
    </row>
    <row r="11" spans="1:37" s="55" customFormat="1" ht="4.5" customHeight="1" x14ac:dyDescent="0.2">
      <c r="A11" s="50"/>
      <c r="B11" s="51"/>
      <c r="C11" s="51"/>
      <c r="D11" s="51"/>
      <c r="E11" s="51"/>
      <c r="F11" s="51"/>
      <c r="G11" s="51"/>
      <c r="H11" s="51"/>
      <c r="I11" s="51"/>
      <c r="J11" s="51"/>
      <c r="K11" s="51"/>
      <c r="L11" s="52"/>
      <c r="M11" s="51"/>
      <c r="N11" s="51"/>
      <c r="O11" s="51"/>
      <c r="P11" s="51"/>
      <c r="Q11" s="51"/>
      <c r="R11" s="51"/>
      <c r="S11" s="51"/>
      <c r="T11" s="51"/>
      <c r="U11" s="51"/>
      <c r="V11" s="51"/>
      <c r="W11" s="52"/>
      <c r="X11" s="51"/>
      <c r="Y11" s="51"/>
      <c r="Z11" s="51"/>
      <c r="AA11" s="51"/>
      <c r="AB11" s="51"/>
      <c r="AC11" s="51"/>
      <c r="AD11" s="51"/>
      <c r="AE11" s="51"/>
      <c r="AF11" s="51"/>
      <c r="AG11" s="53"/>
      <c r="AH11" s="54"/>
      <c r="AI11" s="54"/>
    </row>
    <row r="12" spans="1:37" s="56" customFormat="1" ht="11.1" customHeight="1" x14ac:dyDescent="0.2">
      <c r="A12" s="151" t="s">
        <v>25</v>
      </c>
      <c r="B12" s="152"/>
      <c r="C12" s="152"/>
      <c r="D12" s="152"/>
      <c r="E12" s="152"/>
      <c r="F12" s="152"/>
      <c r="G12" s="152"/>
      <c r="H12" s="152"/>
      <c r="I12" s="152"/>
      <c r="J12" s="152"/>
      <c r="K12" s="152"/>
      <c r="L12" s="152"/>
      <c r="M12" s="152"/>
      <c r="N12" s="152"/>
      <c r="O12" s="152"/>
      <c r="P12" s="152"/>
      <c r="Q12" s="152"/>
      <c r="R12" s="152"/>
      <c r="S12" s="152"/>
      <c r="T12" s="152"/>
      <c r="U12" s="152"/>
      <c r="V12" s="152"/>
      <c r="W12" s="152"/>
      <c r="X12" s="152"/>
      <c r="Y12" s="152"/>
      <c r="Z12" s="152"/>
      <c r="AA12" s="152"/>
      <c r="AB12" s="152"/>
      <c r="AC12" s="152"/>
      <c r="AD12" s="152"/>
      <c r="AE12" s="152"/>
      <c r="AF12" s="152"/>
      <c r="AG12" s="153"/>
      <c r="AH12" s="15"/>
      <c r="AI12" s="15"/>
      <c r="AJ12" s="15"/>
      <c r="AK12" s="15"/>
    </row>
    <row r="13" spans="1:37" s="49" customFormat="1" ht="54.75" customHeight="1" x14ac:dyDescent="0.2">
      <c r="A13" s="131" t="s">
        <v>128</v>
      </c>
      <c r="B13" s="132"/>
      <c r="C13" s="132"/>
      <c r="D13" s="132"/>
      <c r="E13" s="132"/>
      <c r="F13" s="132"/>
      <c r="G13" s="132"/>
      <c r="H13" s="132"/>
      <c r="I13" s="132"/>
      <c r="J13" s="132"/>
      <c r="K13" s="133"/>
      <c r="L13" s="159" t="s">
        <v>130</v>
      </c>
      <c r="M13" s="157"/>
      <c r="N13" s="157"/>
      <c r="O13" s="157"/>
      <c r="P13" s="157"/>
      <c r="Q13" s="157"/>
      <c r="R13" s="157"/>
      <c r="S13" s="157"/>
      <c r="T13" s="157"/>
      <c r="U13" s="157"/>
      <c r="V13" s="158"/>
      <c r="W13" s="131" t="s">
        <v>131</v>
      </c>
      <c r="X13" s="132"/>
      <c r="Y13" s="132"/>
      <c r="Z13" s="132"/>
      <c r="AA13" s="132"/>
      <c r="AB13" s="132"/>
      <c r="AC13" s="132"/>
      <c r="AD13" s="132"/>
      <c r="AE13" s="132"/>
      <c r="AF13" s="132"/>
      <c r="AG13" s="133"/>
      <c r="AH13" s="48"/>
      <c r="AI13" s="48"/>
      <c r="AJ13" s="48"/>
      <c r="AK13" s="48"/>
    </row>
    <row r="14" spans="1:37" s="55" customFormat="1" ht="4.5" customHeight="1" x14ac:dyDescent="0.2">
      <c r="A14" s="52"/>
      <c r="B14" s="51"/>
      <c r="C14" s="51"/>
      <c r="D14" s="51"/>
      <c r="E14" s="51"/>
      <c r="F14" s="51"/>
      <c r="G14" s="51"/>
      <c r="H14" s="51"/>
      <c r="I14" s="51"/>
      <c r="J14" s="51"/>
      <c r="K14" s="51"/>
      <c r="L14" s="52"/>
      <c r="M14" s="51"/>
      <c r="N14" s="51"/>
      <c r="O14" s="51"/>
      <c r="P14" s="51"/>
      <c r="Q14" s="51"/>
      <c r="R14" s="51"/>
      <c r="S14" s="51"/>
      <c r="T14" s="51"/>
      <c r="U14" s="51"/>
      <c r="V14" s="51"/>
      <c r="W14" s="52"/>
      <c r="X14" s="51"/>
      <c r="Y14" s="51"/>
      <c r="Z14" s="51"/>
      <c r="AA14" s="51"/>
      <c r="AB14" s="51"/>
      <c r="AC14" s="51"/>
      <c r="AD14" s="51"/>
      <c r="AE14" s="51"/>
      <c r="AF14" s="51"/>
      <c r="AG14" s="51"/>
      <c r="AH14" s="54"/>
      <c r="AI14" s="54"/>
    </row>
    <row r="15" spans="1:37" s="18" customFormat="1" ht="37.5" customHeight="1" x14ac:dyDescent="0.2">
      <c r="A15" s="146" t="s">
        <v>26</v>
      </c>
      <c r="B15" s="146"/>
      <c r="C15" s="146"/>
      <c r="D15" s="146"/>
      <c r="E15" s="140"/>
      <c r="F15" s="141"/>
      <c r="G15" s="141"/>
      <c r="H15" s="141"/>
      <c r="I15" s="141"/>
      <c r="J15" s="141"/>
      <c r="K15" s="141"/>
      <c r="L15" s="141"/>
      <c r="M15" s="141"/>
      <c r="N15" s="141"/>
      <c r="O15" s="141"/>
      <c r="P15" s="141"/>
      <c r="Q15" s="141"/>
      <c r="R15" s="141"/>
      <c r="S15" s="141"/>
      <c r="T15" s="141"/>
      <c r="U15" s="141"/>
      <c r="V15" s="141"/>
      <c r="W15" s="141"/>
      <c r="X15" s="141"/>
      <c r="Y15" s="141"/>
      <c r="Z15" s="141"/>
      <c r="AA15" s="141"/>
      <c r="AB15" s="141"/>
      <c r="AC15" s="141"/>
      <c r="AD15" s="141"/>
      <c r="AE15" s="141"/>
      <c r="AF15" s="141"/>
      <c r="AG15" s="142"/>
      <c r="AH15" s="17"/>
      <c r="AI15" s="17"/>
      <c r="AJ15" s="17"/>
      <c r="AK15" s="17"/>
    </row>
    <row r="16" spans="1:37" s="18" customFormat="1" ht="37.5" customHeight="1" x14ac:dyDescent="0.2">
      <c r="A16" s="147"/>
      <c r="B16" s="147"/>
      <c r="C16" s="147"/>
      <c r="D16" s="147"/>
      <c r="E16" s="148"/>
      <c r="F16" s="149"/>
      <c r="G16" s="149"/>
      <c r="H16" s="149"/>
      <c r="I16" s="149"/>
      <c r="J16" s="149"/>
      <c r="K16" s="149"/>
      <c r="L16" s="149"/>
      <c r="M16" s="149"/>
      <c r="N16" s="149"/>
      <c r="O16" s="149"/>
      <c r="P16" s="149"/>
      <c r="Q16" s="149"/>
      <c r="R16" s="149"/>
      <c r="S16" s="149"/>
      <c r="T16" s="149"/>
      <c r="U16" s="149"/>
      <c r="V16" s="149"/>
      <c r="W16" s="149"/>
      <c r="X16" s="149"/>
      <c r="Y16" s="149"/>
      <c r="Z16" s="149"/>
      <c r="AA16" s="149"/>
      <c r="AB16" s="149"/>
      <c r="AC16" s="149"/>
      <c r="AD16" s="149"/>
      <c r="AE16" s="149"/>
      <c r="AF16" s="149"/>
      <c r="AG16" s="150"/>
      <c r="AH16" s="17"/>
      <c r="AI16" s="17"/>
      <c r="AJ16" s="17"/>
      <c r="AK16" s="17"/>
    </row>
    <row r="17" spans="1:37" s="18" customFormat="1" x14ac:dyDescent="0.2">
      <c r="C17" s="17"/>
      <c r="D17" s="17"/>
      <c r="E17" s="17"/>
      <c r="F17" s="17"/>
      <c r="G17" s="17"/>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row>
    <row r="18" spans="1:37" s="18" customFormat="1" x14ac:dyDescent="0.2">
      <c r="C18" s="17"/>
      <c r="D18" s="17"/>
      <c r="E18" s="17"/>
      <c r="F18" s="17"/>
      <c r="G18" s="17"/>
      <c r="H18" s="17"/>
      <c r="I18" s="17"/>
      <c r="J18" s="17"/>
      <c r="K18" s="17"/>
      <c r="L18" s="17"/>
      <c r="M18" s="17"/>
      <c r="N18" s="17"/>
      <c r="O18" s="17"/>
      <c r="P18" s="17"/>
      <c r="Q18" s="17"/>
      <c r="R18" s="17"/>
      <c r="S18" s="17"/>
      <c r="T18" s="17"/>
      <c r="U18" s="17"/>
      <c r="V18" s="17"/>
      <c r="W18" s="17"/>
      <c r="X18" s="17"/>
      <c r="Y18" s="17"/>
      <c r="Z18" s="17"/>
      <c r="AA18" s="17"/>
      <c r="AB18" s="17"/>
      <c r="AC18" s="17"/>
      <c r="AD18" s="17"/>
      <c r="AE18" s="17"/>
      <c r="AF18" s="17"/>
      <c r="AG18" s="17"/>
      <c r="AH18" s="17"/>
      <c r="AI18" s="17"/>
      <c r="AJ18" s="17"/>
      <c r="AK18" s="17"/>
    </row>
    <row r="19" spans="1:37" s="18" customFormat="1" x14ac:dyDescent="0.2">
      <c r="C19" s="17"/>
      <c r="D19" s="17"/>
      <c r="E19" s="17"/>
      <c r="F19" s="17"/>
      <c r="G19" s="17"/>
      <c r="H19" s="17"/>
      <c r="I19" s="17"/>
      <c r="J19" s="17"/>
      <c r="K19" s="17"/>
      <c r="L19" s="17"/>
      <c r="M19" s="17"/>
      <c r="N19" s="17"/>
      <c r="O19" s="17"/>
      <c r="P19" s="17"/>
      <c r="Q19" s="17"/>
      <c r="R19" s="17"/>
      <c r="S19" s="17"/>
      <c r="T19" s="17"/>
      <c r="U19" s="17"/>
      <c r="V19" s="17"/>
      <c r="W19" s="17"/>
      <c r="X19" s="17"/>
      <c r="Y19" s="17"/>
      <c r="Z19" s="17"/>
      <c r="AA19" s="17"/>
      <c r="AB19" s="17"/>
      <c r="AC19" s="17"/>
      <c r="AD19" s="17"/>
      <c r="AE19" s="17"/>
      <c r="AF19" s="17"/>
      <c r="AG19" s="17"/>
      <c r="AH19" s="17"/>
      <c r="AI19" s="17"/>
      <c r="AJ19" s="17"/>
      <c r="AK19" s="17"/>
    </row>
    <row r="20" spans="1:37" s="18" customFormat="1" x14ac:dyDescent="0.2">
      <c r="C20" s="17"/>
      <c r="D20" s="17"/>
      <c r="E20" s="17"/>
      <c r="F20" s="17"/>
      <c r="G20" s="17"/>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row>
    <row r="21" spans="1:37" s="18" customFormat="1" ht="15.75" customHeight="1" x14ac:dyDescent="0.2">
      <c r="C21" s="17"/>
      <c r="D21" s="17"/>
      <c r="E21" s="17"/>
      <c r="F21" s="17"/>
      <c r="G21" s="17"/>
      <c r="H21" s="17"/>
      <c r="I21" s="17"/>
      <c r="J21" s="17"/>
      <c r="K21" s="17"/>
      <c r="L21" s="17"/>
      <c r="M21" s="17"/>
      <c r="N21" s="17"/>
      <c r="O21" s="17"/>
      <c r="P21" s="17"/>
      <c r="Q21" s="57"/>
      <c r="R21" s="17"/>
      <c r="S21" s="17"/>
      <c r="T21" s="17"/>
      <c r="U21" s="17"/>
      <c r="V21" s="17"/>
      <c r="W21" s="17"/>
      <c r="X21" s="17"/>
      <c r="Y21" s="17"/>
      <c r="Z21" s="17"/>
      <c r="AA21" s="17"/>
      <c r="AB21" s="17"/>
      <c r="AC21" s="17"/>
      <c r="AD21" s="17"/>
      <c r="AE21" s="17"/>
      <c r="AF21" s="17"/>
      <c r="AG21" s="17"/>
      <c r="AH21" s="17"/>
      <c r="AI21" s="17"/>
      <c r="AJ21" s="17"/>
      <c r="AK21" s="17"/>
    </row>
    <row r="22" spans="1:37" s="18" customFormat="1" ht="12" customHeight="1" x14ac:dyDescent="0.2">
      <c r="C22" s="17"/>
      <c r="D22" s="17"/>
      <c r="E22" s="17"/>
      <c r="F22" s="17"/>
      <c r="G22" s="17"/>
      <c r="H22" s="17"/>
      <c r="I22" s="17"/>
      <c r="J22" s="17"/>
      <c r="K22" s="17"/>
      <c r="L22" s="17"/>
      <c r="M22" s="17"/>
      <c r="N22" s="17"/>
      <c r="O22" s="17"/>
      <c r="P22" s="17"/>
      <c r="Q22" s="57"/>
      <c r="R22" s="17"/>
      <c r="S22" s="17"/>
      <c r="T22" s="17"/>
      <c r="U22" s="17"/>
      <c r="V22" s="17"/>
      <c r="W22" s="17"/>
      <c r="X22" s="17"/>
      <c r="Y22" s="17"/>
      <c r="Z22" s="17"/>
      <c r="AA22" s="17"/>
      <c r="AB22" s="17"/>
      <c r="AC22" s="17"/>
      <c r="AD22" s="17"/>
      <c r="AE22" s="17"/>
      <c r="AF22" s="17"/>
      <c r="AG22" s="17"/>
      <c r="AH22" s="17"/>
      <c r="AI22" s="17"/>
      <c r="AJ22" s="17"/>
      <c r="AK22" s="17"/>
    </row>
    <row r="23" spans="1:37" s="18" customFormat="1" ht="60" customHeight="1" x14ac:dyDescent="0.2">
      <c r="A23" s="129" t="str">
        <f>MXTitle</f>
        <v>SWArchitectureGlobalIntegrationTests - SW Scheduling</v>
      </c>
      <c r="B23" s="130"/>
      <c r="C23" s="130"/>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130"/>
      <c r="AB23" s="130"/>
      <c r="AC23" s="130"/>
      <c r="AD23" s="130"/>
      <c r="AE23" s="130"/>
      <c r="AF23" s="130"/>
      <c r="AG23" s="130"/>
      <c r="AH23" s="17"/>
      <c r="AI23" s="17"/>
      <c r="AJ23" s="17"/>
      <c r="AK23" s="17"/>
    </row>
    <row r="24" spans="1:37" s="18" customFormat="1" ht="25.5" x14ac:dyDescent="0.2">
      <c r="C24" s="17"/>
      <c r="D24" s="17"/>
      <c r="E24" s="17"/>
      <c r="F24" s="17"/>
      <c r="G24" s="17"/>
      <c r="H24" s="17"/>
      <c r="I24" s="17"/>
      <c r="J24" s="17"/>
      <c r="K24" s="17"/>
      <c r="L24" s="17"/>
      <c r="M24" s="17"/>
      <c r="N24" s="17"/>
      <c r="O24" s="17"/>
      <c r="P24" s="17"/>
      <c r="Q24" s="57"/>
      <c r="R24" s="17"/>
      <c r="S24" s="17"/>
      <c r="T24" s="17"/>
      <c r="U24" s="17"/>
      <c r="V24" s="17"/>
      <c r="W24" s="17"/>
      <c r="X24" s="17"/>
      <c r="Y24" s="17"/>
      <c r="Z24" s="17"/>
      <c r="AA24" s="17"/>
      <c r="AB24" s="17"/>
      <c r="AC24" s="17"/>
      <c r="AD24" s="17"/>
      <c r="AE24" s="17"/>
      <c r="AF24" s="17"/>
      <c r="AG24" s="17"/>
      <c r="AH24" s="17"/>
      <c r="AI24" s="17"/>
      <c r="AJ24" s="17"/>
      <c r="AK24" s="17"/>
    </row>
    <row r="25" spans="1:37" s="18" customFormat="1" x14ac:dyDescent="0.2">
      <c r="C25" s="17"/>
      <c r="D25" s="17"/>
      <c r="E25" s="17"/>
      <c r="F25" s="17"/>
      <c r="G25" s="17"/>
      <c r="H25" s="17"/>
      <c r="I25" s="17"/>
      <c r="J25" s="17"/>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row>
    <row r="26" spans="1:37" x14ac:dyDescent="0.2">
      <c r="H26" s="16" t="s">
        <v>171</v>
      </c>
    </row>
    <row r="27" spans="1:37" hidden="1" x14ac:dyDescent="0.2"/>
    <row r="28" spans="1:37" hidden="1" x14ac:dyDescent="0.2"/>
    <row r="29" spans="1:37" hidden="1" x14ac:dyDescent="0.2"/>
    <row r="30" spans="1:37" hidden="1" x14ac:dyDescent="0.2"/>
    <row r="31" spans="1:37" hidden="1" x14ac:dyDescent="0.2"/>
    <row r="32" spans="1:37" hidden="1" x14ac:dyDescent="0.2"/>
    <row r="33" hidden="1" x14ac:dyDescent="0.2"/>
    <row r="34" hidden="1" x14ac:dyDescent="0.2"/>
    <row r="35" hidden="1" x14ac:dyDescent="0.2"/>
    <row r="36" hidden="1" x14ac:dyDescent="0.2"/>
    <row r="37" hidden="1" x14ac:dyDescent="0.2"/>
    <row r="38" hidden="1" x14ac:dyDescent="0.2"/>
    <row r="39" hidden="1" x14ac:dyDescent="0.2"/>
    <row r="40" hidden="1" x14ac:dyDescent="0.2"/>
    <row r="41" hidden="1" x14ac:dyDescent="0.2"/>
    <row r="42" hidden="1" x14ac:dyDescent="0.2"/>
    <row r="43" hidden="1" x14ac:dyDescent="0.2"/>
    <row r="44" hidden="1" x14ac:dyDescent="0.2"/>
    <row r="45" hidden="1" x14ac:dyDescent="0.2"/>
    <row r="46" hidden="1" x14ac:dyDescent="0.2"/>
    <row r="47" hidden="1" x14ac:dyDescent="0.2"/>
    <row r="48" hidden="1" x14ac:dyDescent="0.2"/>
    <row r="49" hidden="1" x14ac:dyDescent="0.2"/>
    <row r="50" hidden="1" x14ac:dyDescent="0.2"/>
    <row r="51" hidden="1" x14ac:dyDescent="0.2"/>
    <row r="52" hidden="1" x14ac:dyDescent="0.2"/>
    <row r="53" hidden="1" x14ac:dyDescent="0.2"/>
    <row r="54" hidden="1" x14ac:dyDescent="0.2"/>
    <row r="55" hidden="1" x14ac:dyDescent="0.2"/>
    <row r="56" hidden="1" x14ac:dyDescent="0.2"/>
    <row r="57" hidden="1" x14ac:dyDescent="0.2"/>
    <row r="58" hidden="1" x14ac:dyDescent="0.2"/>
    <row r="59" hidden="1" x14ac:dyDescent="0.2"/>
    <row r="60" hidden="1" x14ac:dyDescent="0.2"/>
    <row r="61" hidden="1" x14ac:dyDescent="0.2"/>
    <row r="62" hidden="1" x14ac:dyDescent="0.2"/>
    <row r="63" hidden="1" x14ac:dyDescent="0.2"/>
    <row r="64" hidden="1" x14ac:dyDescent="0.2"/>
    <row r="65" hidden="1" x14ac:dyDescent="0.2"/>
    <row r="66" hidden="1" x14ac:dyDescent="0.2"/>
    <row r="67" hidden="1" x14ac:dyDescent="0.2"/>
    <row r="68" hidden="1" x14ac:dyDescent="0.2"/>
    <row r="69" hidden="1" x14ac:dyDescent="0.2"/>
    <row r="70" hidden="1" x14ac:dyDescent="0.2"/>
    <row r="71" hidden="1" x14ac:dyDescent="0.2"/>
    <row r="72" hidden="1" x14ac:dyDescent="0.2"/>
    <row r="73" hidden="1" x14ac:dyDescent="0.2"/>
    <row r="74" hidden="1" x14ac:dyDescent="0.2"/>
    <row r="75" hidden="1" x14ac:dyDescent="0.2"/>
    <row r="76" hidden="1" x14ac:dyDescent="0.2"/>
    <row r="77" hidden="1" x14ac:dyDescent="0.2"/>
    <row r="78" hidden="1" x14ac:dyDescent="0.2"/>
    <row r="79" hidden="1" x14ac:dyDescent="0.2"/>
    <row r="80" hidden="1" x14ac:dyDescent="0.2"/>
    <row r="81" hidden="1" x14ac:dyDescent="0.2"/>
    <row r="82" hidden="1" x14ac:dyDescent="0.2"/>
    <row r="83" hidden="1" x14ac:dyDescent="0.2"/>
    <row r="84" hidden="1" x14ac:dyDescent="0.2"/>
    <row r="85" hidden="1" x14ac:dyDescent="0.2"/>
    <row r="86" hidden="1" x14ac:dyDescent="0.2"/>
    <row r="87" hidden="1" x14ac:dyDescent="0.2"/>
    <row r="88" hidden="1" x14ac:dyDescent="0.2"/>
    <row r="89" hidden="1" x14ac:dyDescent="0.2"/>
    <row r="90" hidden="1" x14ac:dyDescent="0.2"/>
    <row r="91" hidden="1" x14ac:dyDescent="0.2"/>
    <row r="92" hidden="1" x14ac:dyDescent="0.2"/>
    <row r="93" hidden="1" x14ac:dyDescent="0.2"/>
    <row r="94" hidden="1" x14ac:dyDescent="0.2"/>
    <row r="95" hidden="1" x14ac:dyDescent="0.2"/>
    <row r="96" hidden="1" x14ac:dyDescent="0.2"/>
    <row r="97" hidden="1" x14ac:dyDescent="0.2"/>
    <row r="98" hidden="1" x14ac:dyDescent="0.2"/>
    <row r="99" hidden="1" x14ac:dyDescent="0.2"/>
    <row r="100" hidden="1" x14ac:dyDescent="0.2"/>
    <row r="101" hidden="1" x14ac:dyDescent="0.2"/>
    <row r="102" hidden="1" x14ac:dyDescent="0.2"/>
    <row r="103" hidden="1" x14ac:dyDescent="0.2"/>
    <row r="104" hidden="1" x14ac:dyDescent="0.2"/>
    <row r="105" hidden="1" x14ac:dyDescent="0.2"/>
    <row r="106" hidden="1" x14ac:dyDescent="0.2"/>
    <row r="107" hidden="1" x14ac:dyDescent="0.2"/>
    <row r="108" hidden="1" x14ac:dyDescent="0.2"/>
    <row r="109" hidden="1" x14ac:dyDescent="0.2"/>
    <row r="110" hidden="1" x14ac:dyDescent="0.2"/>
    <row r="111" hidden="1" x14ac:dyDescent="0.2"/>
    <row r="112" hidden="1" x14ac:dyDescent="0.2"/>
    <row r="113" hidden="1" x14ac:dyDescent="0.2"/>
    <row r="114" hidden="1" x14ac:dyDescent="0.2"/>
    <row r="115" hidden="1" x14ac:dyDescent="0.2"/>
    <row r="116" hidden="1" x14ac:dyDescent="0.2"/>
  </sheetData>
  <sheetProtection formatCells="0" formatRows="0" insertColumns="0" insertRows="0" insertHyperlinks="0" deleteRows="0" selectLockedCells="1" sort="0" autoFilter="0" pivotTables="0"/>
  <dataConsolidate/>
  <mergeCells count="31">
    <mergeCell ref="L13:V13"/>
    <mergeCell ref="AB4:AG4"/>
    <mergeCell ref="AB5:AG5"/>
    <mergeCell ref="W4:AA4"/>
    <mergeCell ref="W5:AA5"/>
    <mergeCell ref="W6:AA6"/>
    <mergeCell ref="W10:AG10"/>
    <mergeCell ref="A5:V5"/>
    <mergeCell ref="A4:V4"/>
    <mergeCell ref="A6:D6"/>
    <mergeCell ref="F10:K10"/>
    <mergeCell ref="E6:V6"/>
    <mergeCell ref="AB6:AD6"/>
    <mergeCell ref="AE6:AG6"/>
    <mergeCell ref="W7:AA7"/>
    <mergeCell ref="A23:AG23"/>
    <mergeCell ref="A13:K13"/>
    <mergeCell ref="AB7:AD7"/>
    <mergeCell ref="A9:K9"/>
    <mergeCell ref="W13:AG13"/>
    <mergeCell ref="E15:AG15"/>
    <mergeCell ref="E7:V7"/>
    <mergeCell ref="A15:D16"/>
    <mergeCell ref="E16:AG16"/>
    <mergeCell ref="A7:D7"/>
    <mergeCell ref="A12:AG12"/>
    <mergeCell ref="A10:E10"/>
    <mergeCell ref="L9:V9"/>
    <mergeCell ref="W9:AG9"/>
    <mergeCell ref="L10:V10"/>
    <mergeCell ref="AE7:AG7"/>
  </mergeCells>
  <phoneticPr fontId="3" type="noConversion"/>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Reserved&amp;LE1355904 rev 000 ver 001&amp;R&amp;P</oddFooter>
  </headerFooter>
  <ignoredErrors>
    <ignoredError sqref="A23:IV23" unlockedFormula="1"/>
    <ignoredError sqref="AD3" evalError="1"/>
  </ignoredError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C000"/>
  </sheetPr>
  <dimension ref="A1:BH177"/>
  <sheetViews>
    <sheetView showGridLines="0" topLeftCell="A21" zoomScaleNormal="100" workbookViewId="0">
      <selection activeCell="H26" sqref="H26:K26"/>
    </sheetView>
  </sheetViews>
  <sheetFormatPr defaultColWidth="0" defaultRowHeight="12.75" zeroHeight="1" x14ac:dyDescent="0.2"/>
  <cols>
    <col min="1" max="33" width="2.85546875" style="16" customWidth="1"/>
    <col min="34" max="34" width="1.28515625" style="16" customWidth="1"/>
    <col min="35" max="60" width="3.28515625" style="16" hidden="1" customWidth="1"/>
    <col min="61" max="16384" width="0" style="16" hidden="1"/>
  </cols>
  <sheetData>
    <row r="1" spans="1:37" s="1" customFormat="1" x14ac:dyDescent="0.2">
      <c r="C1" s="2"/>
      <c r="D1" s="2"/>
      <c r="E1" s="2"/>
      <c r="F1" s="2"/>
      <c r="G1" s="3"/>
      <c r="H1" s="4"/>
      <c r="I1" s="4"/>
      <c r="J1" s="4"/>
      <c r="K1" s="4"/>
      <c r="L1" s="4"/>
      <c r="M1" s="4"/>
      <c r="N1" s="4"/>
      <c r="O1" s="4"/>
      <c r="P1" s="5"/>
      <c r="Q1" s="5"/>
      <c r="R1" s="5"/>
      <c r="S1" s="5"/>
      <c r="T1" s="5"/>
      <c r="U1" s="5"/>
      <c r="V1" s="5"/>
      <c r="W1" s="5"/>
      <c r="X1" s="5"/>
      <c r="Y1" s="5"/>
      <c r="Z1" s="5"/>
      <c r="AA1" s="5"/>
      <c r="AB1" s="5"/>
      <c r="AC1" s="5"/>
      <c r="AD1" s="5"/>
      <c r="AE1" s="5"/>
      <c r="AF1" s="5"/>
      <c r="AG1" s="5"/>
      <c r="AH1" s="5"/>
      <c r="AI1" s="5"/>
      <c r="AJ1" s="5"/>
      <c r="AK1" s="5"/>
    </row>
    <row r="2" spans="1:37" s="1" customFormat="1" x14ac:dyDescent="0.2">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row>
    <row r="3" spans="1:37" s="7" customFormat="1" x14ac:dyDescent="0.2">
      <c r="C3" s="8"/>
      <c r="D3" s="8"/>
      <c r="E3" s="8"/>
      <c r="F3" s="8"/>
      <c r="G3" s="8"/>
      <c r="H3" s="8"/>
      <c r="I3" s="8"/>
      <c r="J3" s="8"/>
      <c r="K3" s="8"/>
      <c r="L3" s="8"/>
      <c r="M3" s="8"/>
      <c r="N3" s="8"/>
      <c r="O3" s="8"/>
      <c r="P3" s="8"/>
      <c r="Q3" s="8"/>
      <c r="R3" s="8"/>
      <c r="S3" s="8"/>
      <c r="T3" s="8"/>
      <c r="U3" s="8"/>
      <c r="V3" s="8"/>
      <c r="W3" s="8"/>
      <c r="X3" s="8"/>
      <c r="Y3" s="8"/>
      <c r="Z3" s="8"/>
      <c r="AA3" s="8"/>
      <c r="AB3" s="8"/>
      <c r="AC3" s="8"/>
      <c r="AD3" s="9" t="str">
        <f ca="1">FileName</f>
        <v>PP4G_SYS_CF_Review_for_Coverage.xlsm</v>
      </c>
      <c r="AE3" s="8"/>
      <c r="AF3" s="8"/>
      <c r="AG3" s="8"/>
      <c r="AH3" s="8"/>
      <c r="AI3" s="8"/>
      <c r="AJ3" s="8"/>
      <c r="AK3" s="8"/>
    </row>
    <row r="4" spans="1:37" s="7" customFormat="1" ht="11.1" customHeight="1" x14ac:dyDescent="0.2">
      <c r="A4" s="167" t="s">
        <v>1</v>
      </c>
      <c r="B4" s="168"/>
      <c r="C4" s="168"/>
      <c r="D4" s="168"/>
      <c r="E4" s="168"/>
      <c r="F4" s="168"/>
      <c r="G4" s="168"/>
      <c r="H4" s="168"/>
      <c r="I4" s="168"/>
      <c r="J4" s="168"/>
      <c r="K4" s="168"/>
      <c r="L4" s="168"/>
      <c r="M4" s="168"/>
      <c r="N4" s="168"/>
      <c r="O4" s="168"/>
      <c r="P4" s="168"/>
      <c r="Q4" s="168"/>
      <c r="R4" s="168"/>
      <c r="S4" s="168"/>
      <c r="T4" s="168"/>
      <c r="U4" s="168"/>
      <c r="V4" s="169"/>
      <c r="W4" s="204" t="s">
        <v>2</v>
      </c>
      <c r="X4" s="205"/>
      <c r="Y4" s="205"/>
      <c r="Z4" s="205"/>
      <c r="AA4" s="206"/>
      <c r="AB4" s="160" t="s">
        <v>21</v>
      </c>
      <c r="AC4" s="161"/>
      <c r="AD4" s="161"/>
      <c r="AE4" s="161"/>
      <c r="AF4" s="161"/>
      <c r="AG4" s="162"/>
      <c r="AH4" s="10"/>
      <c r="AI4" s="10"/>
      <c r="AJ4" s="10"/>
      <c r="AK4" s="8"/>
    </row>
    <row r="5" spans="1:37" s="12" customFormat="1" x14ac:dyDescent="0.2">
      <c r="A5" s="143" t="str">
        <f>MXAuthority</f>
        <v>124479 AHO GPM EL EL ECU PP LOW COST</v>
      </c>
      <c r="B5" s="144"/>
      <c r="C5" s="144"/>
      <c r="D5" s="144"/>
      <c r="E5" s="144"/>
      <c r="F5" s="144"/>
      <c r="G5" s="144"/>
      <c r="H5" s="144"/>
      <c r="I5" s="144"/>
      <c r="J5" s="144"/>
      <c r="K5" s="144"/>
      <c r="L5" s="144"/>
      <c r="M5" s="144"/>
      <c r="N5" s="144"/>
      <c r="O5" s="144"/>
      <c r="P5" s="144"/>
      <c r="Q5" s="144"/>
      <c r="R5" s="144"/>
      <c r="S5" s="144"/>
      <c r="T5" s="144"/>
      <c r="U5" s="144"/>
      <c r="V5" s="145"/>
      <c r="W5" s="197" t="str">
        <f>MXCurrent.Localized</f>
        <v>Draft</v>
      </c>
      <c r="X5" s="198"/>
      <c r="Y5" s="198"/>
      <c r="Z5" s="198"/>
      <c r="AA5" s="199"/>
      <c r="AB5" s="143">
        <f>MXActual_state_Released</f>
        <v>41805.958333333336</v>
      </c>
      <c r="AC5" s="144"/>
      <c r="AD5" s="144"/>
      <c r="AE5" s="144"/>
      <c r="AF5" s="144"/>
      <c r="AG5" s="145"/>
      <c r="AH5" s="11"/>
      <c r="AI5" s="11"/>
      <c r="AJ5" s="11"/>
      <c r="AK5" s="11"/>
    </row>
    <row r="6" spans="1:37" s="1" customFormat="1" ht="11.1" customHeight="1" x14ac:dyDescent="0.2">
      <c r="A6" s="207" t="s">
        <v>3</v>
      </c>
      <c r="B6" s="208"/>
      <c r="C6" s="208"/>
      <c r="D6" s="209"/>
      <c r="E6" s="207" t="s">
        <v>4</v>
      </c>
      <c r="F6" s="208"/>
      <c r="G6" s="208"/>
      <c r="H6" s="208"/>
      <c r="I6" s="208"/>
      <c r="J6" s="208"/>
      <c r="K6" s="208"/>
      <c r="L6" s="208"/>
      <c r="M6" s="208"/>
      <c r="N6" s="208"/>
      <c r="O6" s="208"/>
      <c r="P6" s="208"/>
      <c r="Q6" s="208"/>
      <c r="R6" s="208"/>
      <c r="S6" s="208"/>
      <c r="T6" s="208"/>
      <c r="U6" s="208"/>
      <c r="V6" s="209"/>
      <c r="W6" s="167" t="s">
        <v>16</v>
      </c>
      <c r="X6" s="168"/>
      <c r="Y6" s="168"/>
      <c r="Z6" s="168"/>
      <c r="AA6" s="169"/>
      <c r="AB6" s="204" t="s">
        <v>0</v>
      </c>
      <c r="AC6" s="205"/>
      <c r="AD6" s="206"/>
      <c r="AE6" s="204" t="s">
        <v>5</v>
      </c>
      <c r="AF6" s="205"/>
      <c r="AG6" s="206"/>
      <c r="AH6" s="6"/>
      <c r="AI6" s="6"/>
      <c r="AJ6" s="6"/>
      <c r="AK6" s="6"/>
    </row>
    <row r="7" spans="1:37" s="14" customFormat="1" x14ac:dyDescent="0.2">
      <c r="A7" s="197" t="str">
        <f>MXName</f>
        <v>E1355904</v>
      </c>
      <c r="B7" s="198"/>
      <c r="C7" s="198"/>
      <c r="D7" s="199"/>
      <c r="E7" s="197" t="str">
        <f>MXTitle</f>
        <v>SWArchitectureGlobalIntegrationTests - SW Scheduling</v>
      </c>
      <c r="F7" s="198"/>
      <c r="G7" s="198"/>
      <c r="H7" s="198"/>
      <c r="I7" s="198"/>
      <c r="J7" s="198"/>
      <c r="K7" s="198"/>
      <c r="L7" s="198"/>
      <c r="M7" s="198"/>
      <c r="N7" s="198"/>
      <c r="O7" s="198"/>
      <c r="P7" s="198"/>
      <c r="Q7" s="198"/>
      <c r="R7" s="198"/>
      <c r="S7" s="198"/>
      <c r="T7" s="198"/>
      <c r="U7" s="198"/>
      <c r="V7" s="199"/>
      <c r="W7" s="197" t="str">
        <f>TemplateRef</f>
        <v>SW04TEM001</v>
      </c>
      <c r="X7" s="198"/>
      <c r="Y7" s="198"/>
      <c r="Z7" s="198"/>
      <c r="AA7" s="199"/>
      <c r="AB7" s="197" t="str">
        <f>MXRevision</f>
        <v>000</v>
      </c>
      <c r="AC7" s="198"/>
      <c r="AD7" s="199"/>
      <c r="AE7" s="197" t="str">
        <f>MXVersion</f>
        <v>001</v>
      </c>
      <c r="AF7" s="198"/>
      <c r="AG7" s="199"/>
      <c r="AH7" s="13"/>
      <c r="AI7" s="13"/>
      <c r="AJ7" s="13"/>
      <c r="AK7" s="13"/>
    </row>
    <row r="8" spans="1:37" ht="11.1" customHeight="1" x14ac:dyDescent="0.2">
      <c r="A8" s="207" t="s">
        <v>11</v>
      </c>
      <c r="B8" s="208"/>
      <c r="C8" s="208"/>
      <c r="D8" s="208"/>
      <c r="E8" s="208"/>
      <c r="F8" s="208"/>
      <c r="G8" s="208"/>
      <c r="H8" s="208"/>
      <c r="I8" s="208"/>
      <c r="J8" s="208"/>
      <c r="K8" s="208"/>
      <c r="L8" s="208"/>
      <c r="M8" s="208"/>
      <c r="N8" s="208"/>
      <c r="O8" s="208"/>
      <c r="P8" s="208"/>
      <c r="Q8" s="208"/>
      <c r="R8" s="208"/>
      <c r="S8" s="208"/>
      <c r="T8" s="208"/>
      <c r="U8" s="208"/>
      <c r="V8" s="208"/>
      <c r="W8" s="208"/>
      <c r="X8" s="208"/>
      <c r="Y8" s="208"/>
      <c r="Z8" s="208"/>
      <c r="AA8" s="208"/>
      <c r="AB8" s="208"/>
      <c r="AC8" s="208"/>
      <c r="AD8" s="208"/>
      <c r="AE8" s="208"/>
      <c r="AF8" s="208"/>
      <c r="AG8" s="209"/>
      <c r="AH8" s="15"/>
      <c r="AI8" s="15"/>
      <c r="AJ8" s="15"/>
      <c r="AK8" s="15"/>
    </row>
    <row r="9" spans="1:37" s="18" customFormat="1" x14ac:dyDescent="0.2">
      <c r="A9" s="200" t="s">
        <v>15</v>
      </c>
      <c r="B9" s="201"/>
      <c r="C9" s="201"/>
      <c r="D9" s="201"/>
      <c r="E9" s="201"/>
      <c r="F9" s="201"/>
      <c r="G9" s="201"/>
      <c r="H9" s="201"/>
      <c r="I9" s="201"/>
      <c r="J9" s="201"/>
      <c r="K9" s="201"/>
      <c r="L9" s="201"/>
      <c r="M9" s="201"/>
      <c r="N9" s="201"/>
      <c r="O9" s="201"/>
      <c r="P9" s="201"/>
      <c r="Q9" s="201"/>
      <c r="R9" s="201"/>
      <c r="S9" s="201"/>
      <c r="T9" s="201"/>
      <c r="U9" s="201"/>
      <c r="V9" s="201"/>
      <c r="W9" s="201"/>
      <c r="X9" s="201"/>
      <c r="Y9" s="201"/>
      <c r="Z9" s="201"/>
      <c r="AA9" s="201"/>
      <c r="AB9" s="201"/>
      <c r="AC9" s="201"/>
      <c r="AD9" s="201"/>
      <c r="AE9" s="201"/>
      <c r="AF9" s="201"/>
      <c r="AG9" s="202"/>
      <c r="AH9" s="17"/>
      <c r="AI9" s="17"/>
      <c r="AJ9" s="17"/>
    </row>
    <row r="10" spans="1:37" x14ac:dyDescent="0.2"/>
    <row r="11" spans="1:37" x14ac:dyDescent="0.2"/>
    <row r="12" spans="1:37" ht="26.25" x14ac:dyDescent="0.2">
      <c r="B12" s="19" t="s">
        <v>17</v>
      </c>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3" spans="1:37" x14ac:dyDescent="0.2"/>
    <row r="14" spans="1:37" ht="20.25" x14ac:dyDescent="0.2">
      <c r="B14" s="21" t="s">
        <v>18</v>
      </c>
      <c r="C14" s="22"/>
    </row>
    <row r="15" spans="1:37" x14ac:dyDescent="0.2">
      <c r="B15" s="182" t="s">
        <v>7</v>
      </c>
      <c r="C15" s="210"/>
      <c r="D15" s="210"/>
      <c r="E15" s="210"/>
      <c r="F15" s="210"/>
      <c r="G15" s="182" t="s">
        <v>6</v>
      </c>
      <c r="H15" s="182"/>
      <c r="I15" s="182"/>
      <c r="J15" s="182"/>
      <c r="K15" s="182"/>
      <c r="L15" s="182"/>
      <c r="M15" s="182"/>
      <c r="N15" s="182"/>
      <c r="O15" s="182"/>
      <c r="P15" s="182"/>
      <c r="Q15" s="182"/>
      <c r="R15" s="182"/>
      <c r="S15" s="182"/>
      <c r="T15" s="182"/>
      <c r="U15" s="182"/>
      <c r="V15" s="182"/>
      <c r="W15" s="182"/>
      <c r="X15" s="182"/>
      <c r="Y15" s="182"/>
      <c r="Z15" s="182"/>
      <c r="AA15" s="182"/>
      <c r="AB15" s="182"/>
      <c r="AC15" s="182"/>
      <c r="AD15" s="182"/>
      <c r="AE15" s="182"/>
      <c r="AF15" s="182"/>
    </row>
    <row r="16" spans="1:37" ht="24" customHeight="1" x14ac:dyDescent="0.2">
      <c r="B16" s="203" t="s">
        <v>34</v>
      </c>
      <c r="C16" s="203"/>
      <c r="D16" s="203"/>
      <c r="E16" s="203"/>
      <c r="F16" s="203"/>
      <c r="G16" s="171" t="s">
        <v>36</v>
      </c>
      <c r="H16" s="171"/>
      <c r="I16" s="171"/>
      <c r="J16" s="171"/>
      <c r="K16" s="171"/>
      <c r="L16" s="171"/>
      <c r="M16" s="171"/>
      <c r="N16" s="171"/>
      <c r="O16" s="171"/>
      <c r="P16" s="171"/>
      <c r="Q16" s="171"/>
      <c r="R16" s="171"/>
      <c r="S16" s="171"/>
      <c r="T16" s="171"/>
      <c r="U16" s="171"/>
      <c r="V16" s="171"/>
      <c r="W16" s="171"/>
      <c r="X16" s="171"/>
      <c r="Y16" s="171"/>
      <c r="Z16" s="171"/>
      <c r="AA16" s="171"/>
      <c r="AB16" s="171"/>
      <c r="AC16" s="171"/>
      <c r="AD16" s="171"/>
      <c r="AE16" s="171"/>
      <c r="AF16" s="171"/>
    </row>
    <row r="17" spans="1:45" ht="24" customHeight="1" x14ac:dyDescent="0.2">
      <c r="B17" s="203" t="s">
        <v>35</v>
      </c>
      <c r="C17" s="203"/>
      <c r="D17" s="203"/>
      <c r="E17" s="203"/>
      <c r="F17" s="203"/>
      <c r="G17" s="183" t="s">
        <v>121</v>
      </c>
      <c r="H17" s="171"/>
      <c r="I17" s="171"/>
      <c r="J17" s="171"/>
      <c r="K17" s="171"/>
      <c r="L17" s="171"/>
      <c r="M17" s="171"/>
      <c r="N17" s="171"/>
      <c r="O17" s="171"/>
      <c r="P17" s="171"/>
      <c r="Q17" s="171"/>
      <c r="R17" s="171"/>
      <c r="S17" s="171"/>
      <c r="T17" s="171"/>
      <c r="U17" s="171"/>
      <c r="V17" s="171"/>
      <c r="W17" s="171"/>
      <c r="X17" s="171"/>
      <c r="Y17" s="171"/>
      <c r="Z17" s="171"/>
      <c r="AA17" s="171"/>
      <c r="AB17" s="171"/>
      <c r="AC17" s="171"/>
      <c r="AD17" s="171"/>
      <c r="AE17" s="171"/>
      <c r="AF17" s="171"/>
    </row>
    <row r="18" spans="1:45" ht="24" customHeight="1" x14ac:dyDescent="0.2">
      <c r="B18" s="195" t="s">
        <v>115</v>
      </c>
      <c r="C18" s="203"/>
      <c r="D18" s="203"/>
      <c r="E18" s="203"/>
      <c r="F18" s="203"/>
      <c r="G18" s="183" t="s">
        <v>117</v>
      </c>
      <c r="H18" s="171"/>
      <c r="I18" s="171"/>
      <c r="J18" s="171"/>
      <c r="K18" s="171"/>
      <c r="L18" s="171"/>
      <c r="M18" s="171"/>
      <c r="N18" s="171"/>
      <c r="O18" s="171"/>
      <c r="P18" s="171"/>
      <c r="Q18" s="171"/>
      <c r="R18" s="171"/>
      <c r="S18" s="171"/>
      <c r="T18" s="171"/>
      <c r="U18" s="171"/>
      <c r="V18" s="171"/>
      <c r="W18" s="171"/>
      <c r="X18" s="171"/>
      <c r="Y18" s="171"/>
      <c r="Z18" s="171"/>
      <c r="AA18" s="171"/>
      <c r="AB18" s="171"/>
      <c r="AC18" s="171"/>
      <c r="AD18" s="171"/>
      <c r="AE18" s="171"/>
      <c r="AF18" s="171"/>
    </row>
    <row r="19" spans="1:45" ht="24" customHeight="1" x14ac:dyDescent="0.2">
      <c r="B19" s="195" t="s">
        <v>116</v>
      </c>
      <c r="C19" s="203"/>
      <c r="D19" s="203"/>
      <c r="E19" s="203"/>
      <c r="F19" s="203"/>
      <c r="G19" s="183" t="s">
        <v>123</v>
      </c>
      <c r="H19" s="171"/>
      <c r="I19" s="171"/>
      <c r="J19" s="171"/>
      <c r="K19" s="171"/>
      <c r="L19" s="171"/>
      <c r="M19" s="171"/>
      <c r="N19" s="171"/>
      <c r="O19" s="171"/>
      <c r="P19" s="171"/>
      <c r="Q19" s="171"/>
      <c r="R19" s="171"/>
      <c r="S19" s="171"/>
      <c r="T19" s="171"/>
      <c r="U19" s="171"/>
      <c r="V19" s="171"/>
      <c r="W19" s="171"/>
      <c r="X19" s="171"/>
      <c r="Y19" s="171"/>
      <c r="Z19" s="171"/>
      <c r="AA19" s="171"/>
      <c r="AB19" s="171"/>
      <c r="AC19" s="171"/>
      <c r="AD19" s="171"/>
      <c r="AE19" s="171"/>
      <c r="AF19" s="171"/>
      <c r="AS19" s="23"/>
    </row>
    <row r="20" spans="1:45" ht="24" customHeight="1" x14ac:dyDescent="0.2">
      <c r="B20" s="195" t="s">
        <v>45</v>
      </c>
      <c r="C20" s="203"/>
      <c r="D20" s="203"/>
      <c r="E20" s="203"/>
      <c r="F20" s="203"/>
      <c r="G20" s="183" t="s">
        <v>124</v>
      </c>
      <c r="H20" s="171"/>
      <c r="I20" s="171"/>
      <c r="J20" s="171"/>
      <c r="K20" s="171"/>
      <c r="L20" s="171"/>
      <c r="M20" s="171"/>
      <c r="N20" s="171"/>
      <c r="O20" s="171"/>
      <c r="P20" s="171"/>
      <c r="Q20" s="171"/>
      <c r="R20" s="171"/>
      <c r="S20" s="171"/>
      <c r="T20" s="171"/>
      <c r="U20" s="171"/>
      <c r="V20" s="171"/>
      <c r="W20" s="171"/>
      <c r="X20" s="171"/>
      <c r="Y20" s="171"/>
      <c r="Z20" s="171"/>
      <c r="AA20" s="171"/>
      <c r="AB20" s="171"/>
      <c r="AC20" s="171"/>
      <c r="AD20" s="171"/>
      <c r="AE20" s="171"/>
      <c r="AF20" s="171"/>
      <c r="AS20" s="23"/>
    </row>
    <row r="21" spans="1:45" ht="24" customHeight="1" x14ac:dyDescent="0.2">
      <c r="B21" s="195" t="s">
        <v>118</v>
      </c>
      <c r="C21" s="203"/>
      <c r="D21" s="203"/>
      <c r="E21" s="203"/>
      <c r="F21" s="203"/>
      <c r="G21" s="183" t="s">
        <v>122</v>
      </c>
      <c r="H21" s="171"/>
      <c r="I21" s="171"/>
      <c r="J21" s="171"/>
      <c r="K21" s="171"/>
      <c r="L21" s="171"/>
      <c r="M21" s="171"/>
      <c r="N21" s="171"/>
      <c r="O21" s="171"/>
      <c r="P21" s="171"/>
      <c r="Q21" s="171"/>
      <c r="R21" s="171"/>
      <c r="S21" s="171"/>
      <c r="T21" s="171"/>
      <c r="U21" s="171"/>
      <c r="V21" s="171"/>
      <c r="W21" s="171"/>
      <c r="X21" s="171"/>
      <c r="Y21" s="171"/>
      <c r="Z21" s="171"/>
      <c r="AA21" s="171"/>
      <c r="AB21" s="171"/>
      <c r="AC21" s="171"/>
      <c r="AD21" s="171"/>
      <c r="AE21" s="171"/>
      <c r="AF21" s="171"/>
      <c r="AS21" s="23"/>
    </row>
    <row r="22" spans="1:45" x14ac:dyDescent="0.2">
      <c r="C22" s="24"/>
      <c r="I22" s="25"/>
    </row>
    <row r="23" spans="1:45" ht="20.25" x14ac:dyDescent="0.2">
      <c r="A23" s="21"/>
      <c r="B23" s="21" t="s">
        <v>28</v>
      </c>
      <c r="C23" s="24"/>
      <c r="I23" s="25"/>
    </row>
    <row r="24" spans="1:45" x14ac:dyDescent="0.2">
      <c r="B24" s="182" t="s">
        <v>0</v>
      </c>
      <c r="C24" s="193"/>
      <c r="D24" s="193"/>
      <c r="E24" s="182" t="s">
        <v>12</v>
      </c>
      <c r="F24" s="182"/>
      <c r="G24" s="182"/>
      <c r="H24" s="182"/>
      <c r="I24" s="182" t="s">
        <v>13</v>
      </c>
      <c r="J24" s="193"/>
      <c r="K24" s="193"/>
      <c r="L24" s="193"/>
      <c r="M24" s="193"/>
      <c r="N24" s="193"/>
      <c r="O24" s="193"/>
      <c r="P24" s="193"/>
      <c r="Q24" s="193"/>
      <c r="R24" s="182" t="s">
        <v>14</v>
      </c>
      <c r="S24" s="182"/>
      <c r="T24" s="182"/>
      <c r="U24" s="182"/>
      <c r="V24" s="182"/>
      <c r="W24" s="182"/>
      <c r="X24" s="182"/>
      <c r="Y24" s="182"/>
      <c r="Z24" s="182"/>
      <c r="AA24" s="182"/>
      <c r="AB24" s="182"/>
      <c r="AC24" s="182"/>
      <c r="AD24" s="182"/>
      <c r="AE24" s="182"/>
      <c r="AF24" s="182"/>
    </row>
    <row r="25" spans="1:45" x14ac:dyDescent="0.2">
      <c r="B25" s="195"/>
      <c r="C25" s="196"/>
      <c r="D25" s="196"/>
      <c r="E25" s="183"/>
      <c r="F25" s="171"/>
      <c r="G25" s="171"/>
      <c r="H25" s="171"/>
      <c r="I25" s="183"/>
      <c r="J25" s="194"/>
      <c r="K25" s="194"/>
      <c r="L25" s="194"/>
      <c r="M25" s="194"/>
      <c r="N25" s="194"/>
      <c r="O25" s="194"/>
      <c r="P25" s="194"/>
      <c r="Q25" s="194"/>
      <c r="R25" s="183"/>
      <c r="S25" s="171"/>
      <c r="T25" s="171"/>
      <c r="U25" s="171"/>
      <c r="V25" s="171"/>
      <c r="W25" s="171"/>
      <c r="X25" s="171"/>
      <c r="Y25" s="171"/>
      <c r="Z25" s="171"/>
      <c r="AA25" s="171"/>
      <c r="AB25" s="171"/>
      <c r="AC25" s="171"/>
      <c r="AD25" s="171"/>
      <c r="AE25" s="171"/>
      <c r="AF25" s="171"/>
    </row>
    <row r="26" spans="1:45" x14ac:dyDescent="0.2">
      <c r="B26" s="195"/>
      <c r="C26" s="196"/>
      <c r="D26" s="196"/>
      <c r="E26" s="183"/>
      <c r="F26" s="171"/>
      <c r="G26" s="171"/>
      <c r="H26" s="171"/>
      <c r="I26" s="183"/>
      <c r="J26" s="194"/>
      <c r="K26" s="194"/>
      <c r="L26" s="194"/>
      <c r="M26" s="194"/>
      <c r="N26" s="194"/>
      <c r="O26" s="194"/>
      <c r="P26" s="194"/>
      <c r="Q26" s="194"/>
      <c r="R26" s="183"/>
      <c r="S26" s="171"/>
      <c r="T26" s="171"/>
      <c r="U26" s="171"/>
      <c r="V26" s="171"/>
      <c r="W26" s="171"/>
      <c r="X26" s="171"/>
      <c r="Y26" s="171"/>
      <c r="Z26" s="171"/>
      <c r="AA26" s="171"/>
      <c r="AB26" s="171"/>
      <c r="AC26" s="171"/>
      <c r="AD26" s="171"/>
      <c r="AE26" s="171"/>
      <c r="AF26" s="171"/>
    </row>
    <row r="27" spans="1:45" x14ac:dyDescent="0.2">
      <c r="B27" s="195"/>
      <c r="C27" s="196"/>
      <c r="D27" s="196"/>
      <c r="E27" s="183"/>
      <c r="F27" s="171"/>
      <c r="G27" s="171"/>
      <c r="H27" s="171"/>
      <c r="I27" s="183"/>
      <c r="J27" s="194"/>
      <c r="K27" s="194"/>
      <c r="L27" s="194"/>
      <c r="M27" s="194"/>
      <c r="N27" s="194"/>
      <c r="O27" s="194"/>
      <c r="P27" s="194"/>
      <c r="Q27" s="194"/>
      <c r="R27" s="183"/>
      <c r="S27" s="171"/>
      <c r="T27" s="171"/>
      <c r="U27" s="171"/>
      <c r="V27" s="171"/>
      <c r="W27" s="171"/>
      <c r="X27" s="171"/>
      <c r="Y27" s="171"/>
      <c r="Z27" s="171"/>
      <c r="AA27" s="171"/>
      <c r="AB27" s="171"/>
      <c r="AC27" s="171"/>
      <c r="AD27" s="171"/>
      <c r="AE27" s="171"/>
      <c r="AF27" s="171"/>
    </row>
    <row r="28" spans="1:45" x14ac:dyDescent="0.2">
      <c r="B28" s="195"/>
      <c r="C28" s="196"/>
      <c r="D28" s="196"/>
      <c r="E28" s="183"/>
      <c r="F28" s="171"/>
      <c r="G28" s="171"/>
      <c r="H28" s="171"/>
      <c r="I28" s="183"/>
      <c r="J28" s="194"/>
      <c r="K28" s="194"/>
      <c r="L28" s="194"/>
      <c r="M28" s="194"/>
      <c r="N28" s="194"/>
      <c r="O28" s="194"/>
      <c r="P28" s="194"/>
      <c r="Q28" s="194"/>
      <c r="R28" s="183"/>
      <c r="S28" s="171"/>
      <c r="T28" s="171"/>
      <c r="U28" s="171"/>
      <c r="V28" s="171"/>
      <c r="W28" s="171"/>
      <c r="X28" s="171"/>
      <c r="Y28" s="171"/>
      <c r="Z28" s="171"/>
      <c r="AA28" s="171"/>
      <c r="AB28" s="171"/>
      <c r="AC28" s="171"/>
      <c r="AD28" s="171"/>
      <c r="AE28" s="171"/>
      <c r="AF28" s="171"/>
    </row>
    <row r="29" spans="1:45" x14ac:dyDescent="0.2">
      <c r="B29" s="195"/>
      <c r="C29" s="196"/>
      <c r="D29" s="196"/>
      <c r="E29" s="183"/>
      <c r="F29" s="171"/>
      <c r="G29" s="171"/>
      <c r="H29" s="171"/>
      <c r="I29" s="183"/>
      <c r="J29" s="194"/>
      <c r="K29" s="194"/>
      <c r="L29" s="194"/>
      <c r="M29" s="194"/>
      <c r="N29" s="194"/>
      <c r="O29" s="194"/>
      <c r="P29" s="194"/>
      <c r="Q29" s="194"/>
      <c r="R29" s="183"/>
      <c r="S29" s="171"/>
      <c r="T29" s="171"/>
      <c r="U29" s="171"/>
      <c r="V29" s="171"/>
      <c r="W29" s="171"/>
      <c r="X29" s="171"/>
      <c r="Y29" s="171"/>
      <c r="Z29" s="171"/>
      <c r="AA29" s="171"/>
      <c r="AB29" s="171"/>
      <c r="AC29" s="171"/>
      <c r="AD29" s="171"/>
      <c r="AE29" s="171"/>
      <c r="AF29" s="171"/>
    </row>
    <row r="30" spans="1:45" ht="28.5" customHeight="1" x14ac:dyDescent="0.2">
      <c r="B30" s="188"/>
      <c r="C30" s="189"/>
      <c r="D30" s="189"/>
      <c r="E30" s="190"/>
      <c r="F30" s="191"/>
      <c r="G30" s="191"/>
      <c r="H30" s="191"/>
      <c r="I30" s="190"/>
      <c r="J30" s="192"/>
      <c r="K30" s="192"/>
      <c r="L30" s="192"/>
      <c r="M30" s="192"/>
      <c r="N30" s="192"/>
      <c r="O30" s="192"/>
      <c r="P30" s="192"/>
      <c r="Q30" s="192"/>
      <c r="R30" s="185"/>
      <c r="S30" s="186"/>
      <c r="T30" s="186"/>
      <c r="U30" s="186"/>
      <c r="V30" s="186"/>
      <c r="W30" s="186"/>
      <c r="X30" s="186"/>
      <c r="Y30" s="186"/>
      <c r="Z30" s="186"/>
      <c r="AA30" s="186"/>
      <c r="AB30" s="186"/>
      <c r="AC30" s="186"/>
      <c r="AD30" s="186"/>
      <c r="AE30" s="186"/>
      <c r="AF30" s="187"/>
    </row>
    <row r="31" spans="1:45" ht="28.5" customHeight="1" x14ac:dyDescent="0.2">
      <c r="B31" s="188"/>
      <c r="C31" s="189"/>
      <c r="D31" s="189"/>
      <c r="E31" s="190"/>
      <c r="F31" s="191"/>
      <c r="G31" s="191"/>
      <c r="H31" s="191"/>
      <c r="I31" s="190"/>
      <c r="J31" s="192"/>
      <c r="K31" s="192"/>
      <c r="L31" s="192"/>
      <c r="M31" s="192"/>
      <c r="N31" s="192"/>
      <c r="O31" s="192"/>
      <c r="P31" s="192"/>
      <c r="Q31" s="192"/>
      <c r="R31" s="185"/>
      <c r="S31" s="186"/>
      <c r="T31" s="186"/>
      <c r="U31" s="186"/>
      <c r="V31" s="186"/>
      <c r="W31" s="186"/>
      <c r="X31" s="186"/>
      <c r="Y31" s="186"/>
      <c r="Z31" s="186"/>
      <c r="AA31" s="186"/>
      <c r="AB31" s="186"/>
      <c r="AC31" s="186"/>
      <c r="AD31" s="186"/>
      <c r="AE31" s="186"/>
      <c r="AF31" s="187"/>
    </row>
    <row r="32" spans="1:45" x14ac:dyDescent="0.2">
      <c r="B32" s="111"/>
      <c r="C32" s="27"/>
      <c r="D32" s="27"/>
      <c r="E32" s="112"/>
      <c r="F32" s="28"/>
      <c r="G32" s="28"/>
      <c r="H32" s="28"/>
      <c r="I32" s="112"/>
      <c r="J32" s="29"/>
      <c r="K32" s="29"/>
      <c r="L32" s="29"/>
      <c r="M32" s="29"/>
      <c r="N32" s="29"/>
      <c r="O32" s="29"/>
      <c r="P32" s="29"/>
      <c r="Q32" s="29"/>
      <c r="R32" s="112"/>
      <c r="S32" s="28"/>
      <c r="T32" s="28"/>
      <c r="U32" s="28"/>
      <c r="V32" s="28"/>
      <c r="W32" s="28"/>
      <c r="X32" s="28"/>
      <c r="Y32" s="28"/>
      <c r="Z32" s="28"/>
      <c r="AA32" s="28"/>
      <c r="AB32" s="28"/>
      <c r="AC32" s="28"/>
      <c r="AD32" s="28"/>
      <c r="AE32" s="28"/>
      <c r="AF32" s="28"/>
    </row>
    <row r="33" spans="2:33" x14ac:dyDescent="0.2">
      <c r="B33" s="26" t="s">
        <v>27</v>
      </c>
      <c r="C33" s="27"/>
      <c r="D33" s="27"/>
      <c r="E33" s="28"/>
      <c r="F33" s="28"/>
      <c r="G33" s="28"/>
      <c r="H33" s="28"/>
      <c r="I33" s="28"/>
      <c r="J33" s="29"/>
      <c r="K33" s="29"/>
      <c r="L33" s="29"/>
      <c r="M33" s="29"/>
      <c r="N33" s="29"/>
      <c r="O33" s="29"/>
      <c r="P33" s="29"/>
      <c r="Q33" s="29"/>
      <c r="R33" s="28"/>
      <c r="S33" s="28"/>
      <c r="T33" s="28"/>
      <c r="U33" s="28"/>
      <c r="V33" s="28"/>
      <c r="W33" s="28"/>
      <c r="X33" s="28"/>
      <c r="Y33" s="28"/>
      <c r="Z33" s="28"/>
      <c r="AA33" s="28"/>
      <c r="AB33" s="28"/>
      <c r="AC33" s="28"/>
      <c r="AD33" s="28"/>
      <c r="AE33" s="28"/>
      <c r="AF33" s="28"/>
    </row>
    <row r="34" spans="2:33" x14ac:dyDescent="0.2">
      <c r="C34" s="24"/>
      <c r="I34" s="25"/>
    </row>
    <row r="35" spans="2:33" ht="20.25" x14ac:dyDescent="0.2">
      <c r="B35" s="21" t="s">
        <v>19</v>
      </c>
      <c r="I35" s="25"/>
    </row>
    <row r="36" spans="2:33" ht="66.75" customHeight="1" x14ac:dyDescent="0.2">
      <c r="B36" s="184" t="s">
        <v>127</v>
      </c>
      <c r="C36" s="184"/>
      <c r="D36" s="184"/>
      <c r="E36" s="184"/>
      <c r="F36" s="184"/>
      <c r="G36" s="184"/>
      <c r="H36" s="184"/>
      <c r="I36" s="184"/>
      <c r="J36" s="184"/>
      <c r="K36" s="184"/>
      <c r="L36" s="184"/>
      <c r="M36" s="184"/>
      <c r="N36" s="184"/>
      <c r="O36" s="184"/>
      <c r="P36" s="184"/>
      <c r="Q36" s="184"/>
      <c r="R36" s="184"/>
      <c r="S36" s="184"/>
      <c r="T36" s="184"/>
      <c r="U36" s="184"/>
      <c r="V36" s="184"/>
      <c r="W36" s="184"/>
      <c r="X36" s="184"/>
      <c r="Y36" s="184"/>
      <c r="Z36" s="184"/>
      <c r="AA36" s="184"/>
      <c r="AB36" s="184"/>
      <c r="AC36" s="184"/>
      <c r="AD36" s="184"/>
      <c r="AE36" s="184"/>
      <c r="AF36" s="184"/>
      <c r="AG36" s="30"/>
    </row>
    <row r="37" spans="2:33" x14ac:dyDescent="0.2">
      <c r="J37" s="31"/>
    </row>
    <row r="38" spans="2:33" ht="20.25" x14ac:dyDescent="0.2">
      <c r="B38" s="21" t="s">
        <v>20</v>
      </c>
      <c r="C38" s="22"/>
      <c r="I38" s="25"/>
    </row>
    <row r="39" spans="2:33" ht="24.75" customHeight="1" x14ac:dyDescent="0.2">
      <c r="B39" s="32" t="s">
        <v>29</v>
      </c>
      <c r="C39" s="22"/>
      <c r="I39" s="25"/>
    </row>
    <row r="40" spans="2:33" ht="12.75" customHeight="1" x14ac:dyDescent="0.2">
      <c r="B40" s="182" t="s">
        <v>8</v>
      </c>
      <c r="C40" s="182"/>
      <c r="D40" s="182"/>
      <c r="E40" s="182" t="s">
        <v>9</v>
      </c>
      <c r="F40" s="193"/>
      <c r="G40" s="193"/>
      <c r="H40" s="193"/>
      <c r="I40" s="193"/>
      <c r="J40" s="193"/>
      <c r="K40" s="193"/>
      <c r="L40" s="193"/>
      <c r="M40" s="193"/>
      <c r="N40" s="193"/>
      <c r="O40" s="193"/>
      <c r="P40" s="193"/>
      <c r="Q40" s="193"/>
      <c r="R40" s="193"/>
      <c r="S40" s="193"/>
      <c r="T40" s="193"/>
      <c r="U40" s="193"/>
      <c r="V40" s="193"/>
      <c r="W40" s="193"/>
      <c r="X40" s="193"/>
      <c r="Y40" s="182" t="s">
        <v>10</v>
      </c>
      <c r="Z40" s="182"/>
      <c r="AA40" s="182"/>
      <c r="AB40" s="182"/>
      <c r="AC40" s="182"/>
      <c r="AD40" s="182"/>
      <c r="AE40" s="182"/>
      <c r="AF40" s="182"/>
    </row>
    <row r="41" spans="2:33" x14ac:dyDescent="0.2">
      <c r="B41" s="173"/>
      <c r="C41" s="173"/>
      <c r="D41" s="173"/>
      <c r="E41" s="171"/>
      <c r="F41" s="172"/>
      <c r="G41" s="172"/>
      <c r="H41" s="172"/>
      <c r="I41" s="172"/>
      <c r="J41" s="172"/>
      <c r="K41" s="172"/>
      <c r="L41" s="172"/>
      <c r="M41" s="172"/>
      <c r="N41" s="172"/>
      <c r="O41" s="172"/>
      <c r="P41" s="172"/>
      <c r="Q41" s="172"/>
      <c r="R41" s="172"/>
      <c r="S41" s="172"/>
      <c r="T41" s="172"/>
      <c r="U41" s="172"/>
      <c r="V41" s="172"/>
      <c r="W41" s="172"/>
      <c r="X41" s="172"/>
      <c r="Y41" s="171"/>
      <c r="Z41" s="172"/>
      <c r="AA41" s="172"/>
      <c r="AB41" s="172"/>
      <c r="AC41" s="172"/>
      <c r="AD41" s="172"/>
      <c r="AE41" s="172"/>
      <c r="AF41" s="172"/>
    </row>
    <row r="42" spans="2:33" x14ac:dyDescent="0.2">
      <c r="B42" s="173"/>
      <c r="C42" s="173"/>
      <c r="D42" s="173"/>
      <c r="E42" s="171"/>
      <c r="F42" s="172"/>
      <c r="G42" s="172"/>
      <c r="H42" s="172"/>
      <c r="I42" s="172"/>
      <c r="J42" s="172"/>
      <c r="K42" s="172"/>
      <c r="L42" s="172"/>
      <c r="M42" s="172"/>
      <c r="N42" s="172"/>
      <c r="O42" s="172"/>
      <c r="P42" s="172"/>
      <c r="Q42" s="172"/>
      <c r="R42" s="172"/>
      <c r="S42" s="172"/>
      <c r="T42" s="172"/>
      <c r="U42" s="172"/>
      <c r="V42" s="172"/>
      <c r="W42" s="172"/>
      <c r="X42" s="172"/>
      <c r="Y42" s="171"/>
      <c r="Z42" s="172"/>
      <c r="AA42" s="172"/>
      <c r="AB42" s="172"/>
      <c r="AC42" s="172"/>
      <c r="AD42" s="172"/>
      <c r="AE42" s="172"/>
      <c r="AF42" s="172"/>
    </row>
    <row r="43" spans="2:33" x14ac:dyDescent="0.2">
      <c r="B43" s="173"/>
      <c r="C43" s="173"/>
      <c r="D43" s="173"/>
      <c r="E43" s="171"/>
      <c r="F43" s="172"/>
      <c r="G43" s="172"/>
      <c r="H43" s="172"/>
      <c r="I43" s="172"/>
      <c r="J43" s="172"/>
      <c r="K43" s="172"/>
      <c r="L43" s="172"/>
      <c r="M43" s="172"/>
      <c r="N43" s="172"/>
      <c r="O43" s="172"/>
      <c r="P43" s="172"/>
      <c r="Q43" s="172"/>
      <c r="R43" s="172"/>
      <c r="S43" s="172"/>
      <c r="T43" s="172"/>
      <c r="U43" s="172"/>
      <c r="V43" s="172"/>
      <c r="W43" s="172"/>
      <c r="X43" s="172"/>
      <c r="Y43" s="171"/>
      <c r="Z43" s="172"/>
      <c r="AA43" s="172"/>
      <c r="AB43" s="172"/>
      <c r="AC43" s="172"/>
      <c r="AD43" s="172"/>
      <c r="AE43" s="172"/>
      <c r="AF43" s="172"/>
    </row>
    <row r="44" spans="2:33" x14ac:dyDescent="0.2">
      <c r="B44" s="173"/>
      <c r="C44" s="173"/>
      <c r="D44" s="173"/>
      <c r="E44" s="171"/>
      <c r="F44" s="172"/>
      <c r="G44" s="172"/>
      <c r="H44" s="172"/>
      <c r="I44" s="172"/>
      <c r="J44" s="172"/>
      <c r="K44" s="172"/>
      <c r="L44" s="172"/>
      <c r="M44" s="172"/>
      <c r="N44" s="172"/>
      <c r="O44" s="172"/>
      <c r="P44" s="172"/>
      <c r="Q44" s="172"/>
      <c r="R44" s="172"/>
      <c r="S44" s="172"/>
      <c r="T44" s="172"/>
      <c r="U44" s="172"/>
      <c r="V44" s="172"/>
      <c r="W44" s="172"/>
      <c r="X44" s="172"/>
      <c r="Y44" s="171"/>
      <c r="Z44" s="172"/>
      <c r="AA44" s="172"/>
      <c r="AB44" s="172"/>
      <c r="AC44" s="172"/>
      <c r="AD44" s="172"/>
      <c r="AE44" s="172"/>
      <c r="AF44" s="172"/>
    </row>
    <row r="45" spans="2:33" ht="24.75" customHeight="1" x14ac:dyDescent="0.2">
      <c r="B45" s="32" t="s">
        <v>30</v>
      </c>
      <c r="C45" s="22"/>
      <c r="I45" s="25"/>
    </row>
    <row r="46" spans="2:33" ht="12.75" customHeight="1" x14ac:dyDescent="0.2">
      <c r="B46" s="182" t="s">
        <v>8</v>
      </c>
      <c r="C46" s="182"/>
      <c r="D46" s="182"/>
      <c r="E46" s="182" t="s">
        <v>9</v>
      </c>
      <c r="F46" s="193"/>
      <c r="G46" s="193"/>
      <c r="H46" s="193"/>
      <c r="I46" s="193"/>
      <c r="J46" s="193"/>
      <c r="K46" s="193"/>
      <c r="L46" s="193"/>
      <c r="M46" s="193"/>
      <c r="N46" s="193"/>
      <c r="O46" s="193"/>
      <c r="P46" s="193"/>
      <c r="Q46" s="193"/>
      <c r="R46" s="193"/>
      <c r="S46" s="193"/>
      <c r="T46" s="193"/>
      <c r="U46" s="193"/>
      <c r="V46" s="193"/>
      <c r="W46" s="193"/>
      <c r="X46" s="193"/>
      <c r="Y46" s="182" t="s">
        <v>10</v>
      </c>
      <c r="Z46" s="182"/>
      <c r="AA46" s="182"/>
      <c r="AB46" s="182"/>
      <c r="AC46" s="182"/>
      <c r="AD46" s="182"/>
      <c r="AE46" s="182"/>
      <c r="AF46" s="182"/>
    </row>
    <row r="47" spans="2:33" x14ac:dyDescent="0.2">
      <c r="B47" s="173"/>
      <c r="C47" s="173"/>
      <c r="D47" s="173"/>
      <c r="E47" s="171"/>
      <c r="F47" s="172"/>
      <c r="G47" s="172"/>
      <c r="H47" s="172"/>
      <c r="I47" s="172"/>
      <c r="J47" s="172"/>
      <c r="K47" s="172"/>
      <c r="L47" s="172"/>
      <c r="M47" s="172"/>
      <c r="N47" s="172"/>
      <c r="O47" s="172"/>
      <c r="P47" s="172"/>
      <c r="Q47" s="172"/>
      <c r="R47" s="172"/>
      <c r="S47" s="172"/>
      <c r="T47" s="172"/>
      <c r="U47" s="172"/>
      <c r="V47" s="172"/>
      <c r="W47" s="172"/>
      <c r="X47" s="172"/>
      <c r="Y47" s="171"/>
      <c r="Z47" s="172"/>
      <c r="AA47" s="172"/>
      <c r="AB47" s="172"/>
      <c r="AC47" s="172"/>
      <c r="AD47" s="172"/>
      <c r="AE47" s="172"/>
      <c r="AF47" s="172"/>
    </row>
    <row r="48" spans="2:33" x14ac:dyDescent="0.2">
      <c r="B48" s="173"/>
      <c r="C48" s="173"/>
      <c r="D48" s="173"/>
      <c r="E48" s="171"/>
      <c r="F48" s="172"/>
      <c r="G48" s="172"/>
      <c r="H48" s="172"/>
      <c r="I48" s="172"/>
      <c r="J48" s="172"/>
      <c r="K48" s="172"/>
      <c r="L48" s="172"/>
      <c r="M48" s="172"/>
      <c r="N48" s="172"/>
      <c r="O48" s="172"/>
      <c r="P48" s="172"/>
      <c r="Q48" s="172"/>
      <c r="R48" s="172"/>
      <c r="S48" s="172"/>
      <c r="T48" s="172"/>
      <c r="U48" s="172"/>
      <c r="V48" s="172"/>
      <c r="W48" s="172"/>
      <c r="X48" s="172"/>
      <c r="Y48" s="171"/>
      <c r="Z48" s="172"/>
      <c r="AA48" s="172"/>
      <c r="AB48" s="172"/>
      <c r="AC48" s="172"/>
      <c r="AD48" s="172"/>
      <c r="AE48" s="172"/>
      <c r="AF48" s="172"/>
    </row>
    <row r="49" spans="2:32" x14ac:dyDescent="0.2">
      <c r="B49" s="173"/>
      <c r="C49" s="173"/>
      <c r="D49" s="173"/>
      <c r="E49" s="171"/>
      <c r="F49" s="172"/>
      <c r="G49" s="172"/>
      <c r="H49" s="172"/>
      <c r="I49" s="172"/>
      <c r="J49" s="172"/>
      <c r="K49" s="172"/>
      <c r="L49" s="172"/>
      <c r="M49" s="172"/>
      <c r="N49" s="172"/>
      <c r="O49" s="172"/>
      <c r="P49" s="172"/>
      <c r="Q49" s="172"/>
      <c r="R49" s="172"/>
      <c r="S49" s="172"/>
      <c r="T49" s="172"/>
      <c r="U49" s="172"/>
      <c r="V49" s="172"/>
      <c r="W49" s="172"/>
      <c r="X49" s="172"/>
      <c r="Y49" s="171"/>
      <c r="Z49" s="172"/>
      <c r="AA49" s="172"/>
      <c r="AB49" s="172"/>
      <c r="AC49" s="172"/>
      <c r="AD49" s="172"/>
      <c r="AE49" s="172"/>
      <c r="AF49" s="172"/>
    </row>
    <row r="50" spans="2:32" x14ac:dyDescent="0.2">
      <c r="B50" s="173"/>
      <c r="C50" s="173"/>
      <c r="D50" s="173"/>
      <c r="E50" s="171"/>
      <c r="F50" s="172"/>
      <c r="G50" s="172"/>
      <c r="H50" s="172"/>
      <c r="I50" s="172"/>
      <c r="J50" s="172"/>
      <c r="K50" s="172"/>
      <c r="L50" s="172"/>
      <c r="M50" s="172"/>
      <c r="N50" s="172"/>
      <c r="O50" s="172"/>
      <c r="P50" s="172"/>
      <c r="Q50" s="172"/>
      <c r="R50" s="172"/>
      <c r="S50" s="172"/>
      <c r="T50" s="172"/>
      <c r="U50" s="172"/>
      <c r="V50" s="172"/>
      <c r="W50" s="172"/>
      <c r="X50" s="172"/>
      <c r="Y50" s="171"/>
      <c r="Z50" s="172"/>
      <c r="AA50" s="172"/>
      <c r="AB50" s="172"/>
      <c r="AC50" s="172"/>
      <c r="AD50" s="172"/>
      <c r="AE50" s="172"/>
      <c r="AF50" s="172"/>
    </row>
    <row r="51" spans="2:32" x14ac:dyDescent="0.2">
      <c r="C51" s="24"/>
      <c r="I51" s="25"/>
    </row>
    <row r="52" spans="2:32" ht="20.25" x14ac:dyDescent="0.2">
      <c r="B52" s="21" t="s">
        <v>32</v>
      </c>
      <c r="C52" s="22"/>
      <c r="I52" s="25"/>
    </row>
    <row r="53" spans="2:32" ht="12.75" customHeight="1" x14ac:dyDescent="0.2">
      <c r="B53" s="182" t="s">
        <v>31</v>
      </c>
      <c r="C53" s="182"/>
      <c r="D53" s="182"/>
      <c r="E53" s="182"/>
      <c r="F53" s="182"/>
      <c r="G53" s="182"/>
      <c r="H53" s="177"/>
      <c r="I53" s="177"/>
      <c r="J53" s="177"/>
      <c r="K53" s="177"/>
      <c r="L53" s="177"/>
      <c r="M53" s="177"/>
      <c r="N53" s="177"/>
      <c r="O53" s="177"/>
      <c r="P53" s="177"/>
      <c r="Q53" s="177"/>
      <c r="R53" s="177"/>
      <c r="S53" s="177"/>
      <c r="T53" s="177"/>
      <c r="U53" s="177"/>
      <c r="V53" s="177"/>
      <c r="W53" s="177"/>
      <c r="X53" s="177"/>
      <c r="Y53" s="177"/>
      <c r="Z53" s="177"/>
      <c r="AA53" s="177"/>
      <c r="AB53" s="177"/>
      <c r="AC53" s="177"/>
      <c r="AD53" s="177"/>
      <c r="AE53" s="177"/>
      <c r="AF53" s="177"/>
    </row>
    <row r="54" spans="2:32" ht="33.75" customHeight="1" x14ac:dyDescent="0.2">
      <c r="B54" s="174" t="s">
        <v>110</v>
      </c>
      <c r="C54" s="175"/>
      <c r="D54" s="175"/>
      <c r="E54" s="175"/>
      <c r="F54" s="175"/>
      <c r="G54" s="176"/>
      <c r="H54" s="181" t="s">
        <v>114</v>
      </c>
      <c r="I54" s="179"/>
      <c r="J54" s="179"/>
      <c r="K54" s="179"/>
      <c r="L54" s="179"/>
      <c r="M54" s="179"/>
      <c r="N54" s="179"/>
      <c r="O54" s="179"/>
      <c r="P54" s="179"/>
      <c r="Q54" s="179"/>
      <c r="R54" s="179"/>
      <c r="S54" s="179"/>
      <c r="T54" s="179"/>
      <c r="U54" s="179"/>
      <c r="V54" s="179"/>
      <c r="W54" s="179"/>
      <c r="X54" s="179"/>
      <c r="Y54" s="179"/>
      <c r="Z54" s="179"/>
      <c r="AA54" s="179"/>
      <c r="AB54" s="179"/>
      <c r="AC54" s="179"/>
      <c r="AD54" s="179"/>
      <c r="AE54" s="179"/>
      <c r="AF54" s="180"/>
    </row>
    <row r="55" spans="2:32" ht="36.75" customHeight="1" x14ac:dyDescent="0.2">
      <c r="B55" s="174" t="s">
        <v>73</v>
      </c>
      <c r="C55" s="175"/>
      <c r="D55" s="175"/>
      <c r="E55" s="175"/>
      <c r="F55" s="175"/>
      <c r="G55" s="176"/>
      <c r="H55" s="178" t="s">
        <v>74</v>
      </c>
      <c r="I55" s="179"/>
      <c r="J55" s="179"/>
      <c r="K55" s="179"/>
      <c r="L55" s="179"/>
      <c r="M55" s="179"/>
      <c r="N55" s="179"/>
      <c r="O55" s="179"/>
      <c r="P55" s="179"/>
      <c r="Q55" s="179"/>
      <c r="R55" s="179"/>
      <c r="S55" s="179"/>
      <c r="T55" s="179"/>
      <c r="U55" s="179"/>
      <c r="V55" s="179"/>
      <c r="W55" s="179"/>
      <c r="X55" s="179"/>
      <c r="Y55" s="179"/>
      <c r="Z55" s="179"/>
      <c r="AA55" s="179"/>
      <c r="AB55" s="179"/>
      <c r="AC55" s="179"/>
      <c r="AD55" s="179"/>
      <c r="AE55" s="179"/>
      <c r="AF55" s="180"/>
    </row>
    <row r="56" spans="2:32" ht="45.75" customHeight="1" x14ac:dyDescent="0.2">
      <c r="B56" s="174" t="s">
        <v>75</v>
      </c>
      <c r="C56" s="175"/>
      <c r="D56" s="175"/>
      <c r="E56" s="175"/>
      <c r="F56" s="175"/>
      <c r="G56" s="176"/>
      <c r="H56" s="178" t="s">
        <v>80</v>
      </c>
      <c r="I56" s="179"/>
      <c r="J56" s="179"/>
      <c r="K56" s="179"/>
      <c r="L56" s="179"/>
      <c r="M56" s="179"/>
      <c r="N56" s="179"/>
      <c r="O56" s="179"/>
      <c r="P56" s="179"/>
      <c r="Q56" s="179"/>
      <c r="R56" s="179"/>
      <c r="S56" s="179"/>
      <c r="T56" s="179"/>
      <c r="U56" s="179"/>
      <c r="V56" s="179"/>
      <c r="W56" s="179"/>
      <c r="X56" s="179"/>
      <c r="Y56" s="179"/>
      <c r="Z56" s="179"/>
      <c r="AA56" s="179"/>
      <c r="AB56" s="179"/>
      <c r="AC56" s="179"/>
      <c r="AD56" s="179"/>
      <c r="AE56" s="179"/>
      <c r="AF56" s="180"/>
    </row>
    <row r="57" spans="2:32" ht="45.75" customHeight="1" x14ac:dyDescent="0.2">
      <c r="B57" s="174" t="s">
        <v>76</v>
      </c>
      <c r="C57" s="175"/>
      <c r="D57" s="175"/>
      <c r="E57" s="175"/>
      <c r="F57" s="175"/>
      <c r="G57" s="176"/>
      <c r="H57" s="178" t="s">
        <v>79</v>
      </c>
      <c r="I57" s="179"/>
      <c r="J57" s="179"/>
      <c r="K57" s="179"/>
      <c r="L57" s="179"/>
      <c r="M57" s="179"/>
      <c r="N57" s="179"/>
      <c r="O57" s="179"/>
      <c r="P57" s="179"/>
      <c r="Q57" s="179"/>
      <c r="R57" s="179"/>
      <c r="S57" s="179"/>
      <c r="T57" s="179"/>
      <c r="U57" s="179"/>
      <c r="V57" s="179"/>
      <c r="W57" s="179"/>
      <c r="X57" s="179"/>
      <c r="Y57" s="179"/>
      <c r="Z57" s="179"/>
      <c r="AA57" s="179"/>
      <c r="AB57" s="179"/>
      <c r="AC57" s="179"/>
      <c r="AD57" s="179"/>
      <c r="AE57" s="179"/>
      <c r="AF57" s="180"/>
    </row>
    <row r="58" spans="2:32" ht="37.5" customHeight="1" x14ac:dyDescent="0.2">
      <c r="B58" s="174" t="s">
        <v>77</v>
      </c>
      <c r="C58" s="175"/>
      <c r="D58" s="175"/>
      <c r="E58" s="175"/>
      <c r="F58" s="175"/>
      <c r="G58" s="176"/>
      <c r="H58" s="178" t="s">
        <v>78</v>
      </c>
      <c r="I58" s="179"/>
      <c r="J58" s="179"/>
      <c r="K58" s="179"/>
      <c r="L58" s="179"/>
      <c r="M58" s="179"/>
      <c r="N58" s="179"/>
      <c r="O58" s="179"/>
      <c r="P58" s="179"/>
      <c r="Q58" s="179"/>
      <c r="R58" s="179"/>
      <c r="S58" s="179"/>
      <c r="T58" s="179"/>
      <c r="U58" s="179"/>
      <c r="V58" s="179"/>
      <c r="W58" s="179"/>
      <c r="X58" s="179"/>
      <c r="Y58" s="179"/>
      <c r="Z58" s="179"/>
      <c r="AA58" s="179"/>
      <c r="AB58" s="179"/>
      <c r="AC58" s="179"/>
      <c r="AD58" s="179"/>
      <c r="AE58" s="179"/>
      <c r="AF58" s="180"/>
    </row>
    <row r="59" spans="2:32" x14ac:dyDescent="0.2">
      <c r="B59" s="28"/>
      <c r="C59" s="28"/>
      <c r="D59" s="28"/>
      <c r="E59" s="28"/>
      <c r="F59" s="28"/>
      <c r="G59" s="28"/>
      <c r="H59" s="33"/>
      <c r="I59" s="33"/>
      <c r="J59" s="33"/>
      <c r="K59" s="33"/>
      <c r="L59" s="33"/>
      <c r="M59" s="33"/>
      <c r="N59" s="33"/>
      <c r="O59" s="33"/>
      <c r="P59" s="33"/>
      <c r="Q59" s="33"/>
      <c r="R59" s="33"/>
      <c r="S59" s="33"/>
      <c r="T59" s="33"/>
      <c r="U59" s="33"/>
      <c r="V59" s="33"/>
      <c r="W59" s="33"/>
      <c r="X59" s="33"/>
      <c r="Y59" s="33"/>
      <c r="Z59" s="33"/>
      <c r="AA59" s="33"/>
      <c r="AB59" s="33"/>
      <c r="AC59" s="33"/>
      <c r="AD59" s="33"/>
      <c r="AE59" s="33"/>
      <c r="AF59" s="33"/>
    </row>
    <row r="60" spans="2:32" x14ac:dyDescent="0.2">
      <c r="B60" s="28"/>
      <c r="C60" s="28"/>
      <c r="D60" s="28"/>
      <c r="E60" s="28"/>
      <c r="F60" s="28"/>
      <c r="G60" s="28"/>
      <c r="H60" s="33"/>
      <c r="I60" s="33"/>
      <c r="J60" s="33"/>
      <c r="K60" s="33"/>
      <c r="L60" s="33"/>
      <c r="M60" s="33"/>
      <c r="N60" s="33"/>
      <c r="O60" s="33"/>
      <c r="P60" s="33"/>
      <c r="Q60" s="33"/>
      <c r="R60" s="33"/>
      <c r="S60" s="33"/>
      <c r="T60" s="33"/>
      <c r="U60" s="33"/>
      <c r="V60" s="33"/>
      <c r="W60" s="33"/>
      <c r="X60" s="33"/>
      <c r="Y60" s="33"/>
      <c r="Z60" s="33"/>
      <c r="AA60" s="33"/>
      <c r="AB60" s="33"/>
      <c r="AC60" s="33"/>
      <c r="AD60" s="33"/>
      <c r="AE60" s="33"/>
      <c r="AF60" s="33"/>
    </row>
    <row r="61" spans="2:32" ht="26.25" x14ac:dyDescent="0.2">
      <c r="B61" s="34" t="s">
        <v>33</v>
      </c>
      <c r="C61" s="35"/>
      <c r="D61" s="35"/>
      <c r="E61" s="35"/>
      <c r="F61" s="35"/>
      <c r="G61" s="35"/>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row>
    <row r="62" spans="2:32" ht="15.75" customHeight="1" x14ac:dyDescent="0.2">
      <c r="B62" s="37"/>
      <c r="C62" s="28"/>
      <c r="D62" s="28"/>
      <c r="E62" s="28"/>
      <c r="F62" s="28"/>
      <c r="G62" s="28"/>
      <c r="H62" s="33"/>
      <c r="I62" s="33"/>
      <c r="J62" s="33"/>
      <c r="K62" s="33"/>
      <c r="L62" s="33"/>
      <c r="M62" s="33"/>
      <c r="N62" s="33"/>
      <c r="O62" s="33"/>
      <c r="P62" s="33"/>
      <c r="Q62" s="33"/>
      <c r="R62" s="33"/>
      <c r="S62" s="33"/>
      <c r="T62" s="33"/>
      <c r="U62" s="33"/>
      <c r="V62" s="33"/>
      <c r="W62" s="33"/>
      <c r="X62" s="33"/>
      <c r="Y62" s="33"/>
      <c r="Z62" s="33"/>
      <c r="AA62" s="33"/>
      <c r="AB62" s="33"/>
      <c r="AC62" s="33"/>
      <c r="AD62" s="33"/>
      <c r="AE62" s="33"/>
      <c r="AF62" s="33"/>
    </row>
    <row r="63" spans="2:32" x14ac:dyDescent="0.2">
      <c r="B63" s="87" t="s">
        <v>81</v>
      </c>
      <c r="C63" s="38"/>
      <c r="D63" s="38"/>
      <c r="E63" s="38"/>
      <c r="F63" s="38"/>
      <c r="G63" s="38"/>
      <c r="H63" s="39"/>
      <c r="I63" s="39"/>
      <c r="J63" s="39"/>
      <c r="K63" s="39"/>
      <c r="L63" s="39"/>
      <c r="M63" s="39"/>
      <c r="N63" s="39"/>
      <c r="O63" s="39"/>
      <c r="P63" s="39"/>
      <c r="Q63" s="39"/>
      <c r="R63" s="39"/>
      <c r="S63" s="39"/>
      <c r="T63" s="39"/>
      <c r="U63" s="39"/>
      <c r="V63" s="39"/>
      <c r="W63" s="39"/>
      <c r="X63" s="39"/>
      <c r="Y63" s="39"/>
      <c r="Z63" s="39"/>
      <c r="AA63" s="39"/>
      <c r="AB63" s="39"/>
      <c r="AC63" s="39"/>
      <c r="AD63" s="39"/>
      <c r="AE63" s="39"/>
      <c r="AF63" s="39"/>
    </row>
    <row r="64" spans="2:32" x14ac:dyDescent="0.2">
      <c r="B64" s="87" t="s">
        <v>112</v>
      </c>
      <c r="C64" s="38"/>
      <c r="D64" s="38"/>
      <c r="E64" s="38"/>
      <c r="F64" s="38"/>
      <c r="G64" s="38"/>
      <c r="H64" s="39"/>
      <c r="I64" s="39"/>
      <c r="J64" s="39"/>
      <c r="K64" s="39"/>
      <c r="L64" s="39"/>
      <c r="M64" s="39"/>
      <c r="N64" s="39"/>
      <c r="O64" s="39"/>
      <c r="P64" s="39"/>
      <c r="Q64" s="39"/>
      <c r="R64" s="39"/>
      <c r="S64" s="39"/>
      <c r="T64" s="39"/>
      <c r="U64" s="39"/>
      <c r="V64" s="39"/>
      <c r="W64" s="39"/>
      <c r="X64" s="39"/>
      <c r="Y64" s="39"/>
      <c r="Z64" s="39"/>
      <c r="AA64" s="39"/>
      <c r="AB64" s="39"/>
      <c r="AC64" s="39"/>
      <c r="AD64" s="39"/>
      <c r="AE64" s="39"/>
      <c r="AF64" s="39"/>
    </row>
    <row r="65" spans="2:34" x14ac:dyDescent="0.2">
      <c r="B65" s="38"/>
      <c r="C65" s="38"/>
      <c r="D65" s="38"/>
      <c r="E65" s="38"/>
      <c r="F65" s="38"/>
      <c r="G65" s="38"/>
      <c r="H65" s="39"/>
      <c r="I65" s="39"/>
      <c r="J65" s="39"/>
      <c r="K65" s="39"/>
      <c r="L65" s="39"/>
      <c r="M65" s="39"/>
      <c r="N65" s="39"/>
      <c r="O65" s="39"/>
      <c r="P65" s="39"/>
      <c r="Q65" s="39"/>
      <c r="R65" s="39"/>
      <c r="S65" s="39"/>
      <c r="T65" s="39"/>
      <c r="U65" s="39"/>
      <c r="V65" s="39"/>
      <c r="W65" s="39"/>
      <c r="X65" s="39"/>
      <c r="Y65" s="39"/>
      <c r="Z65" s="39"/>
      <c r="AA65" s="39"/>
      <c r="AB65" s="39"/>
      <c r="AC65" s="39"/>
      <c r="AD65" s="39"/>
      <c r="AE65" s="39"/>
      <c r="AF65" s="39"/>
    </row>
    <row r="66" spans="2:34" x14ac:dyDescent="0.2">
      <c r="B66" s="38"/>
      <c r="C66" s="38"/>
      <c r="D66" s="38"/>
      <c r="E66" s="38"/>
      <c r="F66" s="38"/>
      <c r="G66" s="38"/>
      <c r="H66" s="39"/>
      <c r="I66" s="39"/>
      <c r="J66" s="39"/>
      <c r="K66" s="39"/>
      <c r="L66" s="39"/>
      <c r="M66" s="39"/>
      <c r="N66" s="39"/>
      <c r="O66" s="39"/>
      <c r="P66" s="39"/>
      <c r="Q66" s="39"/>
      <c r="R66" s="39"/>
      <c r="S66" s="39"/>
      <c r="T66" s="39"/>
      <c r="U66" s="39"/>
      <c r="V66" s="39"/>
      <c r="W66" s="39"/>
      <c r="X66" s="39"/>
      <c r="Y66" s="39"/>
      <c r="Z66" s="39"/>
      <c r="AA66" s="39"/>
      <c r="AB66" s="39"/>
      <c r="AC66" s="39"/>
      <c r="AD66" s="39"/>
      <c r="AE66" s="39"/>
      <c r="AF66" s="39"/>
    </row>
    <row r="67" spans="2:34" x14ac:dyDescent="0.2">
      <c r="B67" s="38"/>
      <c r="C67" s="38"/>
      <c r="D67" s="38"/>
      <c r="E67" s="38"/>
      <c r="F67" s="38"/>
      <c r="G67" s="38"/>
      <c r="H67" s="39"/>
      <c r="I67" s="39"/>
      <c r="J67" s="39"/>
      <c r="K67" s="39"/>
      <c r="L67" s="39"/>
      <c r="M67" s="39"/>
      <c r="N67" s="39"/>
      <c r="O67" s="39"/>
      <c r="P67" s="39"/>
      <c r="Q67" s="39"/>
      <c r="R67" s="39"/>
      <c r="S67" s="39"/>
      <c r="T67" s="39"/>
      <c r="U67" s="39"/>
      <c r="V67" s="39"/>
      <c r="W67" s="39"/>
      <c r="X67" s="39"/>
      <c r="Y67" s="39"/>
      <c r="Z67" s="39"/>
      <c r="AA67" s="39"/>
      <c r="AB67" s="39"/>
      <c r="AC67" s="39"/>
      <c r="AD67" s="39"/>
      <c r="AE67" s="39"/>
      <c r="AF67" s="39"/>
    </row>
    <row r="68" spans="2:34" x14ac:dyDescent="0.2">
      <c r="B68" s="38"/>
      <c r="C68" s="38"/>
      <c r="D68" s="38"/>
      <c r="E68" s="38"/>
      <c r="F68" s="38"/>
      <c r="G68" s="38"/>
      <c r="H68" s="39"/>
      <c r="I68" s="39"/>
      <c r="J68" s="39"/>
      <c r="K68" s="39"/>
      <c r="L68" s="39"/>
      <c r="M68" s="39"/>
      <c r="N68" s="39"/>
      <c r="O68" s="39"/>
      <c r="P68" s="39"/>
      <c r="Q68" s="39"/>
      <c r="R68" s="39"/>
      <c r="S68" s="39"/>
      <c r="T68" s="39"/>
      <c r="U68" s="39"/>
      <c r="V68" s="39"/>
      <c r="W68" s="39"/>
      <c r="X68" s="39"/>
      <c r="Y68" s="39"/>
      <c r="Z68" s="39"/>
      <c r="AA68" s="39"/>
      <c r="AB68" s="39"/>
      <c r="AC68" s="39"/>
      <c r="AD68" s="39"/>
      <c r="AE68" s="39"/>
      <c r="AF68" s="39"/>
    </row>
    <row r="69" spans="2:34" x14ac:dyDescent="0.2">
      <c r="B69" s="38"/>
      <c r="C69" s="38"/>
      <c r="D69" s="38"/>
      <c r="E69" s="38"/>
      <c r="F69" s="38"/>
      <c r="G69" s="38"/>
      <c r="H69" s="39"/>
      <c r="I69" s="39"/>
      <c r="J69" s="39"/>
      <c r="K69" s="39"/>
      <c r="L69" s="39"/>
      <c r="M69" s="39"/>
      <c r="N69" s="39"/>
      <c r="O69" s="39"/>
      <c r="P69" s="39"/>
      <c r="Q69" s="39"/>
      <c r="R69" s="39"/>
      <c r="S69" s="39"/>
      <c r="T69" s="39"/>
      <c r="U69" s="39"/>
      <c r="V69" s="39"/>
      <c r="W69" s="39"/>
      <c r="X69" s="39"/>
      <c r="Y69" s="39"/>
      <c r="Z69" s="39"/>
      <c r="AA69" s="39"/>
      <c r="AB69" s="39"/>
      <c r="AC69" s="39"/>
      <c r="AD69" s="39"/>
      <c r="AE69" s="39"/>
      <c r="AF69" s="39"/>
    </row>
    <row r="70" spans="2:34" x14ac:dyDescent="0.2">
      <c r="B70" s="38"/>
      <c r="C70" s="38"/>
      <c r="D70" s="38"/>
      <c r="E70" s="38"/>
      <c r="F70" s="38"/>
      <c r="G70" s="38"/>
      <c r="H70" s="39"/>
      <c r="I70" s="39"/>
      <c r="J70" s="39"/>
      <c r="K70" s="39"/>
      <c r="L70" s="39"/>
      <c r="M70" s="39"/>
      <c r="N70" s="39"/>
      <c r="O70" s="39"/>
      <c r="P70" s="39"/>
      <c r="Q70" s="39"/>
      <c r="R70" s="39"/>
      <c r="S70" s="39"/>
      <c r="T70" s="39"/>
      <c r="U70" s="39"/>
      <c r="V70" s="39"/>
      <c r="W70" s="39"/>
      <c r="X70" s="39"/>
      <c r="Y70" s="39"/>
      <c r="Z70" s="39"/>
      <c r="AA70" s="39"/>
      <c r="AB70" s="39"/>
      <c r="AC70" s="39"/>
      <c r="AD70" s="39"/>
      <c r="AE70" s="39"/>
      <c r="AF70" s="39"/>
    </row>
    <row r="71" spans="2:34" x14ac:dyDescent="0.2">
      <c r="B71" s="38"/>
      <c r="C71" s="38"/>
      <c r="D71" s="38"/>
      <c r="E71" s="38"/>
      <c r="F71" s="38"/>
      <c r="G71" s="38"/>
      <c r="H71" s="39"/>
      <c r="I71" s="39"/>
      <c r="J71" s="39"/>
      <c r="K71" s="39"/>
      <c r="L71" s="39"/>
      <c r="M71" s="39"/>
      <c r="N71" s="39"/>
      <c r="O71" s="39"/>
      <c r="P71" s="39"/>
      <c r="Q71" s="39"/>
      <c r="R71" s="39"/>
      <c r="S71" s="39"/>
      <c r="T71" s="39"/>
      <c r="U71" s="39"/>
      <c r="V71" s="39"/>
      <c r="W71" s="39"/>
      <c r="X71" s="39"/>
      <c r="Y71" s="39"/>
      <c r="Z71" s="39"/>
      <c r="AA71" s="39"/>
      <c r="AB71" s="39"/>
      <c r="AC71" s="39"/>
      <c r="AD71" s="39"/>
      <c r="AE71" s="39"/>
      <c r="AF71" s="39"/>
    </row>
    <row r="72" spans="2:34" x14ac:dyDescent="0.2">
      <c r="B72" s="38"/>
      <c r="C72" s="38"/>
      <c r="D72" s="38"/>
      <c r="E72" s="38"/>
      <c r="F72" s="38"/>
      <c r="G72" s="38"/>
      <c r="H72" s="39"/>
      <c r="I72" s="39"/>
      <c r="J72" s="39"/>
      <c r="K72" s="39"/>
      <c r="L72" s="39"/>
      <c r="M72" s="39"/>
      <c r="N72" s="39"/>
      <c r="O72" s="39"/>
      <c r="P72" s="39"/>
      <c r="Q72" s="39"/>
      <c r="R72" s="39"/>
      <c r="S72" s="39"/>
      <c r="T72" s="39"/>
      <c r="U72" s="39"/>
      <c r="V72" s="39"/>
      <c r="W72" s="39"/>
      <c r="X72" s="39"/>
      <c r="Y72" s="39"/>
      <c r="Z72" s="39"/>
      <c r="AA72" s="39"/>
      <c r="AB72" s="39"/>
      <c r="AC72" s="39"/>
      <c r="AD72" s="39"/>
      <c r="AE72" s="39"/>
      <c r="AF72" s="39"/>
    </row>
    <row r="73" spans="2:34" x14ac:dyDescent="0.2">
      <c r="B73" s="38"/>
      <c r="C73" s="38"/>
      <c r="D73" s="38"/>
      <c r="E73" s="38"/>
      <c r="F73" s="38"/>
      <c r="G73" s="38"/>
      <c r="H73" s="39"/>
      <c r="I73" s="39"/>
      <c r="J73" s="39"/>
      <c r="K73" s="39"/>
      <c r="L73" s="39"/>
      <c r="M73" s="39"/>
      <c r="N73" s="39"/>
      <c r="O73" s="39"/>
      <c r="P73" s="39"/>
      <c r="Q73" s="39"/>
      <c r="R73" s="39"/>
      <c r="S73" s="39"/>
      <c r="T73" s="39"/>
      <c r="U73" s="39"/>
      <c r="V73" s="39"/>
      <c r="W73" s="39"/>
      <c r="X73" s="39"/>
      <c r="Y73" s="39"/>
      <c r="Z73" s="39"/>
      <c r="AA73" s="39"/>
      <c r="AB73" s="39"/>
      <c r="AC73" s="39"/>
      <c r="AD73" s="39"/>
      <c r="AE73" s="39"/>
      <c r="AF73" s="39"/>
    </row>
    <row r="74" spans="2:34" x14ac:dyDescent="0.2">
      <c r="B74" s="38"/>
      <c r="C74" s="38"/>
      <c r="D74" s="38"/>
      <c r="E74" s="38"/>
      <c r="F74" s="38"/>
      <c r="G74" s="38"/>
      <c r="H74" s="39"/>
      <c r="I74" s="39"/>
      <c r="J74" s="39"/>
      <c r="K74" s="39"/>
      <c r="L74" s="39"/>
      <c r="M74" s="39"/>
      <c r="N74" s="39"/>
      <c r="O74" s="39"/>
      <c r="P74" s="39"/>
      <c r="Q74" s="39"/>
      <c r="R74" s="39"/>
      <c r="S74" s="39"/>
      <c r="T74" s="39"/>
      <c r="U74" s="39"/>
      <c r="V74" s="39"/>
      <c r="W74" s="39"/>
      <c r="X74" s="39"/>
      <c r="Y74" s="39"/>
      <c r="Z74" s="39"/>
      <c r="AA74" s="39"/>
      <c r="AB74" s="39"/>
      <c r="AC74" s="39"/>
      <c r="AD74" s="39"/>
      <c r="AE74" s="39"/>
      <c r="AF74" s="39"/>
    </row>
    <row r="75" spans="2:34" x14ac:dyDescent="0.2">
      <c r="B75" s="38"/>
      <c r="C75" s="38"/>
      <c r="D75" s="38"/>
      <c r="E75" s="38"/>
      <c r="F75" s="38"/>
      <c r="G75" s="38"/>
      <c r="H75" s="39"/>
      <c r="I75" s="39"/>
      <c r="J75" s="39"/>
      <c r="K75" s="39"/>
      <c r="L75" s="39"/>
      <c r="M75" s="39"/>
      <c r="N75" s="39"/>
      <c r="O75" s="39"/>
      <c r="P75" s="39"/>
      <c r="Q75" s="39"/>
      <c r="R75" s="39"/>
      <c r="S75" s="39"/>
      <c r="T75" s="39"/>
      <c r="U75" s="39"/>
      <c r="V75" s="39"/>
      <c r="W75" s="39"/>
      <c r="X75" s="39"/>
      <c r="Y75" s="39"/>
      <c r="Z75" s="39"/>
      <c r="AA75" s="39"/>
      <c r="AB75" s="39"/>
      <c r="AC75" s="39"/>
      <c r="AD75" s="39"/>
      <c r="AE75" s="39"/>
      <c r="AF75" s="39"/>
    </row>
    <row r="76" spans="2:34" ht="12" customHeight="1" x14ac:dyDescent="0.2"/>
    <row r="77" spans="2:34" ht="12.75" hidden="1" customHeight="1" x14ac:dyDescent="0.2">
      <c r="B77" s="16" t="s">
        <v>82</v>
      </c>
      <c r="F77" s="40"/>
      <c r="G77" s="40"/>
      <c r="H77" s="40"/>
      <c r="I77" s="40"/>
      <c r="J77" s="40"/>
      <c r="K77" s="40"/>
      <c r="L77" s="40"/>
      <c r="M77" s="40"/>
      <c r="N77" s="40"/>
      <c r="O77" s="40"/>
      <c r="P77" s="40"/>
      <c r="Q77" s="40"/>
      <c r="R77" s="40"/>
      <c r="S77" s="40"/>
      <c r="T77" s="40"/>
      <c r="U77" s="40"/>
      <c r="V77" s="40"/>
      <c r="W77" s="40"/>
      <c r="X77" s="40"/>
      <c r="Y77" s="40"/>
      <c r="Z77" s="40"/>
      <c r="AA77" s="40"/>
      <c r="AB77" s="40"/>
      <c r="AC77" s="40"/>
      <c r="AD77" s="40"/>
      <c r="AE77" s="40"/>
      <c r="AF77" s="40"/>
      <c r="AG77" s="40"/>
      <c r="AH77" s="40"/>
    </row>
    <row r="78" spans="2:34" ht="12.75" hidden="1" customHeight="1" x14ac:dyDescent="0.2">
      <c r="B78" s="16" t="s">
        <v>83</v>
      </c>
      <c r="F78" s="40"/>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0"/>
    </row>
    <row r="79" spans="2:34" ht="12.75" hidden="1" customHeight="1" x14ac:dyDescent="0.2">
      <c r="B79" s="16" t="s">
        <v>84</v>
      </c>
      <c r="F79" s="40"/>
      <c r="G79" s="38"/>
      <c r="H79" s="38"/>
      <c r="I79" s="38"/>
      <c r="J79" s="38"/>
      <c r="K79" s="38"/>
      <c r="L79" s="38"/>
      <c r="M79" s="38"/>
      <c r="N79" s="38"/>
      <c r="O79" s="38"/>
      <c r="P79" s="38"/>
      <c r="Q79" s="38"/>
      <c r="R79" s="38"/>
      <c r="S79" s="38"/>
      <c r="T79" s="38"/>
      <c r="U79" s="38"/>
      <c r="V79" s="38"/>
      <c r="W79" s="38"/>
      <c r="X79" s="38"/>
      <c r="Y79" s="38"/>
      <c r="Z79" s="38"/>
      <c r="AA79" s="38"/>
      <c r="AB79" s="38"/>
      <c r="AC79" s="38"/>
      <c r="AD79" s="38"/>
      <c r="AE79" s="38"/>
      <c r="AF79" s="38"/>
      <c r="AG79" s="38"/>
      <c r="AH79" s="40"/>
    </row>
    <row r="80" spans="2:34" ht="12.75" hidden="1" customHeight="1" x14ac:dyDescent="0.2">
      <c r="B80" s="16" t="s">
        <v>85</v>
      </c>
      <c r="F80" s="40"/>
      <c r="G80" s="38"/>
      <c r="H80" s="38"/>
      <c r="I80" s="38"/>
      <c r="J80" s="38"/>
      <c r="K80" s="38"/>
      <c r="L80" s="38"/>
      <c r="M80" s="38"/>
      <c r="N80" s="38"/>
      <c r="O80" s="38"/>
      <c r="P80" s="38"/>
      <c r="Q80" s="38"/>
      <c r="R80" s="38"/>
      <c r="S80" s="38"/>
      <c r="T80" s="38"/>
      <c r="U80" s="38"/>
      <c r="V80" s="38"/>
      <c r="W80" s="38"/>
      <c r="X80" s="38"/>
      <c r="Y80" s="38"/>
      <c r="Z80" s="38"/>
      <c r="AA80" s="38"/>
      <c r="AB80" s="38"/>
      <c r="AC80" s="38"/>
      <c r="AD80" s="38"/>
      <c r="AE80" s="38"/>
      <c r="AF80" s="38"/>
      <c r="AG80" s="38"/>
      <c r="AH80" s="40"/>
    </row>
    <row r="81" spans="2:34" ht="12.75" hidden="1" customHeight="1" x14ac:dyDescent="0.2">
      <c r="B81" s="16" t="s">
        <v>86</v>
      </c>
      <c r="F81" s="42"/>
      <c r="G81" s="42"/>
      <c r="H81" s="42"/>
      <c r="I81" s="42"/>
      <c r="J81" s="40"/>
      <c r="K81" s="40"/>
      <c r="L81" s="40"/>
      <c r="M81" s="40"/>
      <c r="N81" s="40"/>
      <c r="O81" s="40"/>
      <c r="P81" s="40"/>
      <c r="Q81" s="40"/>
      <c r="R81" s="40"/>
      <c r="S81" s="42"/>
      <c r="T81" s="42"/>
      <c r="U81" s="42"/>
      <c r="V81" s="42"/>
      <c r="W81" s="42"/>
      <c r="X81" s="42"/>
      <c r="Y81" s="42"/>
      <c r="Z81" s="42"/>
      <c r="AA81" s="42"/>
      <c r="AB81" s="42"/>
      <c r="AC81" s="42"/>
      <c r="AD81" s="42"/>
      <c r="AE81" s="42"/>
      <c r="AF81" s="42"/>
      <c r="AG81" s="42"/>
      <c r="AH81" s="40"/>
    </row>
    <row r="82" spans="2:34" ht="12.75" hidden="1" customHeight="1" x14ac:dyDescent="0.2">
      <c r="B82" s="16" t="s">
        <v>87</v>
      </c>
      <c r="F82" s="42"/>
      <c r="G82" s="42"/>
      <c r="H82" s="42"/>
      <c r="I82" s="42"/>
      <c r="J82" s="40"/>
      <c r="K82" s="40"/>
      <c r="L82" s="40"/>
      <c r="M82" s="40"/>
      <c r="N82" s="40"/>
      <c r="O82" s="40"/>
      <c r="P82" s="40"/>
      <c r="Q82" s="40"/>
      <c r="R82" s="40"/>
      <c r="S82" s="42"/>
      <c r="T82" s="42"/>
      <c r="U82" s="42"/>
      <c r="V82" s="42"/>
      <c r="W82" s="42"/>
      <c r="X82" s="42"/>
      <c r="Y82" s="42"/>
      <c r="Z82" s="42"/>
      <c r="AA82" s="42"/>
      <c r="AB82" s="42"/>
      <c r="AC82" s="42"/>
      <c r="AD82" s="42"/>
      <c r="AE82" s="42"/>
      <c r="AF82" s="42"/>
      <c r="AG82" s="42"/>
      <c r="AH82" s="40"/>
    </row>
    <row r="83" spans="2:34" ht="12.75" hidden="1" customHeight="1" x14ac:dyDescent="0.2">
      <c r="B83" s="16" t="s">
        <v>88</v>
      </c>
      <c r="F83" s="43"/>
      <c r="G83" s="43"/>
      <c r="H83" s="43"/>
      <c r="I83" s="43"/>
      <c r="J83" s="43"/>
      <c r="K83" s="43"/>
      <c r="R83" s="43"/>
      <c r="S83" s="42"/>
      <c r="T83" s="42"/>
      <c r="U83" s="42"/>
      <c r="V83" s="42"/>
      <c r="W83" s="42"/>
      <c r="X83" s="42"/>
      <c r="Y83" s="42"/>
      <c r="Z83" s="42"/>
      <c r="AA83" s="42"/>
      <c r="AB83" s="42"/>
      <c r="AC83" s="42"/>
      <c r="AD83" s="42"/>
      <c r="AE83" s="42"/>
      <c r="AF83" s="42"/>
      <c r="AG83" s="42"/>
      <c r="AH83" s="43"/>
    </row>
    <row r="84" spans="2:34" ht="12.75" hidden="1" customHeight="1" x14ac:dyDescent="0.2">
      <c r="B84" s="16" t="s">
        <v>89</v>
      </c>
      <c r="R84" s="43"/>
      <c r="S84" s="43"/>
      <c r="T84" s="43"/>
      <c r="U84" s="43"/>
      <c r="V84" s="43"/>
      <c r="W84" s="43"/>
      <c r="X84" s="43"/>
      <c r="Y84" s="43"/>
      <c r="Z84" s="43"/>
      <c r="AA84" s="43"/>
      <c r="AB84" s="43"/>
      <c r="AC84" s="43"/>
      <c r="AD84" s="43"/>
      <c r="AE84" s="43"/>
      <c r="AF84" s="43"/>
      <c r="AG84" s="43"/>
      <c r="AH84" s="43"/>
    </row>
    <row r="85" spans="2:34" ht="12.75" hidden="1" customHeight="1" x14ac:dyDescent="0.2">
      <c r="B85" s="16" t="s">
        <v>90</v>
      </c>
      <c r="R85" s="43"/>
      <c r="S85" s="43"/>
      <c r="T85" s="43"/>
      <c r="U85" s="43"/>
      <c r="V85" s="43"/>
      <c r="W85" s="43"/>
      <c r="X85" s="43"/>
      <c r="Y85" s="43"/>
      <c r="Z85" s="43"/>
      <c r="AA85" s="43"/>
      <c r="AB85" s="43"/>
      <c r="AC85" s="43"/>
      <c r="AD85" s="43"/>
      <c r="AE85" s="43"/>
      <c r="AF85" s="43"/>
      <c r="AG85" s="43"/>
      <c r="AH85" s="43"/>
    </row>
    <row r="86" spans="2:34" ht="12.75" hidden="1" customHeight="1" x14ac:dyDescent="0.2">
      <c r="B86" s="16" t="s">
        <v>91</v>
      </c>
    </row>
    <row r="87" spans="2:34" ht="12.75" hidden="1" customHeight="1" x14ac:dyDescent="0.2">
      <c r="B87" s="16" t="s">
        <v>92</v>
      </c>
    </row>
    <row r="88" spans="2:34" ht="12.75" hidden="1" customHeight="1" x14ac:dyDescent="0.2">
      <c r="B88" s="16" t="s">
        <v>93</v>
      </c>
    </row>
    <row r="89" spans="2:34" ht="12.75" hidden="1" customHeight="1" x14ac:dyDescent="0.2">
      <c r="B89" s="16" t="s">
        <v>94</v>
      </c>
    </row>
    <row r="90" spans="2:34" ht="12.75" hidden="1" customHeight="1" x14ac:dyDescent="0.2">
      <c r="B90" s="16" t="s">
        <v>95</v>
      </c>
    </row>
    <row r="91" spans="2:34" ht="12.75" hidden="1" customHeight="1" x14ac:dyDescent="0.2">
      <c r="B91" s="16" t="s">
        <v>96</v>
      </c>
    </row>
    <row r="92" spans="2:34" ht="12.75" hidden="1" customHeight="1" x14ac:dyDescent="0.2">
      <c r="B92" s="16" t="s">
        <v>97</v>
      </c>
    </row>
    <row r="93" spans="2:34" ht="12.75" hidden="1" customHeight="1" x14ac:dyDescent="0.2">
      <c r="B93" s="16" t="s">
        <v>98</v>
      </c>
    </row>
    <row r="94" spans="2:34" ht="12.75" hidden="1" customHeight="1" x14ac:dyDescent="0.2">
      <c r="B94" s="16" t="s">
        <v>99</v>
      </c>
    </row>
    <row r="95" spans="2:34" ht="12.75" hidden="1" customHeight="1" x14ac:dyDescent="0.2">
      <c r="B95" s="16" t="s">
        <v>100</v>
      </c>
    </row>
    <row r="96" spans="2:34" ht="12.75" hidden="1" customHeight="1" x14ac:dyDescent="0.2">
      <c r="B96" s="16" t="s">
        <v>101</v>
      </c>
    </row>
    <row r="97" spans="2:2" ht="12.75" hidden="1" customHeight="1" x14ac:dyDescent="0.2">
      <c r="B97" s="16" t="s">
        <v>102</v>
      </c>
    </row>
    <row r="98" spans="2:2" ht="12.75" hidden="1" customHeight="1" x14ac:dyDescent="0.2">
      <c r="B98" s="16" t="s">
        <v>103</v>
      </c>
    </row>
    <row r="99" spans="2:2" ht="12.75" hidden="1" customHeight="1" x14ac:dyDescent="0.2">
      <c r="B99" s="16" t="s">
        <v>104</v>
      </c>
    </row>
    <row r="100" spans="2:2" ht="12.75" hidden="1" customHeight="1" x14ac:dyDescent="0.2">
      <c r="B100" s="16" t="s">
        <v>105</v>
      </c>
    </row>
    <row r="101" spans="2:2" ht="12.75" hidden="1" customHeight="1" x14ac:dyDescent="0.2">
      <c r="B101" s="16" t="s">
        <v>106</v>
      </c>
    </row>
    <row r="102" spans="2:2" ht="12.75" hidden="1" customHeight="1" x14ac:dyDescent="0.2">
      <c r="B102" s="16" t="s">
        <v>107</v>
      </c>
    </row>
    <row r="103" spans="2:2" ht="12.75" hidden="1" customHeight="1" x14ac:dyDescent="0.2">
      <c r="B103" s="16" t="s">
        <v>108</v>
      </c>
    </row>
    <row r="104" spans="2:2" ht="12.75" hidden="1" customHeight="1" x14ac:dyDescent="0.2">
      <c r="B104" s="16" t="s">
        <v>109</v>
      </c>
    </row>
    <row r="105" spans="2:2" hidden="1" x14ac:dyDescent="0.2"/>
    <row r="106" spans="2:2" hidden="1" x14ac:dyDescent="0.2"/>
    <row r="107" spans="2:2" hidden="1" x14ac:dyDescent="0.2"/>
    <row r="108" spans="2:2" hidden="1" x14ac:dyDescent="0.2"/>
    <row r="109" spans="2:2" hidden="1" x14ac:dyDescent="0.2"/>
    <row r="110" spans="2:2" hidden="1" x14ac:dyDescent="0.2"/>
    <row r="111" spans="2:2" hidden="1" x14ac:dyDescent="0.2"/>
    <row r="112" spans="2:2" hidden="1" x14ac:dyDescent="0.2"/>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2" hidden="1" x14ac:dyDescent="0.2"/>
    <row r="143" hidden="1" x14ac:dyDescent="0.2"/>
    <row r="144"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row r="175" x14ac:dyDescent="0.2"/>
    <row r="176" x14ac:dyDescent="0.2"/>
    <row r="177" x14ac:dyDescent="0.2"/>
  </sheetData>
  <sheetProtection formatCells="0" formatRows="0" insertColumns="0" insertRows="0" insertHyperlinks="0" deleteRows="0" selectLockedCells="1" sort="0" autoFilter="0" pivotTables="0"/>
  <mergeCells count="107">
    <mergeCell ref="E42:X42"/>
    <mergeCell ref="E41:X41"/>
    <mergeCell ref="B42:D42"/>
    <mergeCell ref="Y43:AF43"/>
    <mergeCell ref="B30:D30"/>
    <mergeCell ref="E30:H30"/>
    <mergeCell ref="I30:Q30"/>
    <mergeCell ref="R30:AF30"/>
    <mergeCell ref="B28:D28"/>
    <mergeCell ref="I28:Q28"/>
    <mergeCell ref="B46:D46"/>
    <mergeCell ref="Y48:AF48"/>
    <mergeCell ref="E48:X48"/>
    <mergeCell ref="B27:D27"/>
    <mergeCell ref="Y41:AF41"/>
    <mergeCell ref="Y42:AF42"/>
    <mergeCell ref="B44:D44"/>
    <mergeCell ref="E44:X44"/>
    <mergeCell ref="Y44:AF44"/>
    <mergeCell ref="B41:D41"/>
    <mergeCell ref="B43:D43"/>
    <mergeCell ref="R27:AF27"/>
    <mergeCell ref="Y46:AF46"/>
    <mergeCell ref="Y47:AF47"/>
    <mergeCell ref="B29:D29"/>
    <mergeCell ref="E29:H29"/>
    <mergeCell ref="I29:Q29"/>
    <mergeCell ref="R29:AF29"/>
    <mergeCell ref="E46:X46"/>
    <mergeCell ref="E47:X47"/>
    <mergeCell ref="Y40:AF40"/>
    <mergeCell ref="B40:D40"/>
    <mergeCell ref="E40:X40"/>
    <mergeCell ref="E43:X43"/>
    <mergeCell ref="G21:AF21"/>
    <mergeCell ref="B21:F21"/>
    <mergeCell ref="B20:F20"/>
    <mergeCell ref="G20:AF20"/>
    <mergeCell ref="B19:F19"/>
    <mergeCell ref="G19:AF19"/>
    <mergeCell ref="R25:AF25"/>
    <mergeCell ref="AB4:AG4"/>
    <mergeCell ref="AB5:AG5"/>
    <mergeCell ref="AE6:AG6"/>
    <mergeCell ref="AE7:AG7"/>
    <mergeCell ref="A8:AG8"/>
    <mergeCell ref="A4:V4"/>
    <mergeCell ref="A5:V5"/>
    <mergeCell ref="W4:AA4"/>
    <mergeCell ref="W5:AA5"/>
    <mergeCell ref="AB6:AD6"/>
    <mergeCell ref="AB7:AD7"/>
    <mergeCell ref="E6:V6"/>
    <mergeCell ref="B15:F15"/>
    <mergeCell ref="A6:D6"/>
    <mergeCell ref="A7:D7"/>
    <mergeCell ref="W6:AA6"/>
    <mergeCell ref="G18:AF18"/>
    <mergeCell ref="W7:AA7"/>
    <mergeCell ref="G15:AF15"/>
    <mergeCell ref="G16:AF16"/>
    <mergeCell ref="E7:V7"/>
    <mergeCell ref="A9:AG9"/>
    <mergeCell ref="G17:AF17"/>
    <mergeCell ref="B16:F16"/>
    <mergeCell ref="B17:F17"/>
    <mergeCell ref="B18:F18"/>
    <mergeCell ref="R26:AF26"/>
    <mergeCell ref="B36:AF36"/>
    <mergeCell ref="R31:AF31"/>
    <mergeCell ref="B31:D31"/>
    <mergeCell ref="E31:H31"/>
    <mergeCell ref="I31:Q31"/>
    <mergeCell ref="E28:H28"/>
    <mergeCell ref="I24:Q24"/>
    <mergeCell ref="R24:AF24"/>
    <mergeCell ref="E27:H27"/>
    <mergeCell ref="I27:Q27"/>
    <mergeCell ref="R28:AF28"/>
    <mergeCell ref="I26:Q26"/>
    <mergeCell ref="E24:H24"/>
    <mergeCell ref="E25:H25"/>
    <mergeCell ref="E26:H26"/>
    <mergeCell ref="B25:D25"/>
    <mergeCell ref="I25:Q25"/>
    <mergeCell ref="B24:D24"/>
    <mergeCell ref="B26:D26"/>
    <mergeCell ref="Y49:AF49"/>
    <mergeCell ref="Y50:AF50"/>
    <mergeCell ref="B48:D48"/>
    <mergeCell ref="B50:D50"/>
    <mergeCell ref="B47:D47"/>
    <mergeCell ref="B58:G58"/>
    <mergeCell ref="H53:AF53"/>
    <mergeCell ref="H58:AF58"/>
    <mergeCell ref="B56:G56"/>
    <mergeCell ref="H56:AF56"/>
    <mergeCell ref="B54:G54"/>
    <mergeCell ref="H54:AF54"/>
    <mergeCell ref="B55:G55"/>
    <mergeCell ref="H55:AF55"/>
    <mergeCell ref="H57:AF57"/>
    <mergeCell ref="B57:G57"/>
    <mergeCell ref="B53:G53"/>
    <mergeCell ref="E50:X50"/>
    <mergeCell ref="E49:X49"/>
    <mergeCell ref="B49:D49"/>
  </mergeCells>
  <phoneticPr fontId="3" type="noConversion"/>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Reserved&amp;LE1355904 rev 000 ver 001&amp;R&amp;P</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B1:BH171"/>
  <sheetViews>
    <sheetView showGridLines="0" zoomScaleNormal="100" workbookViewId="0">
      <selection activeCell="H26" sqref="H26:K26"/>
    </sheetView>
  </sheetViews>
  <sheetFormatPr defaultColWidth="0" defaultRowHeight="12.75" customHeight="1" zeroHeight="1" x14ac:dyDescent="0.2"/>
  <cols>
    <col min="1" max="33" width="2.85546875" style="16" customWidth="1"/>
    <col min="34" max="34" width="1.28515625" style="16" customWidth="1"/>
    <col min="35" max="60" width="3.28515625" style="16" hidden="1" customWidth="1"/>
    <col min="61" max="16384" width="0" style="16" hidden="1"/>
  </cols>
  <sheetData>
    <row r="1" spans="2:34" x14ac:dyDescent="0.2">
      <c r="B1" s="211" t="s">
        <v>125</v>
      </c>
      <c r="C1" s="211"/>
      <c r="D1" s="211"/>
      <c r="E1" s="211"/>
      <c r="F1" s="211"/>
      <c r="G1" s="211"/>
      <c r="H1" s="211"/>
      <c r="I1" s="211"/>
      <c r="J1" s="211"/>
      <c r="K1" s="211"/>
      <c r="L1" s="211"/>
      <c r="M1" s="211"/>
      <c r="N1" s="211"/>
      <c r="O1" s="211"/>
      <c r="P1" s="211"/>
      <c r="Q1" s="211"/>
      <c r="R1" s="211"/>
      <c r="S1" s="211"/>
      <c r="T1" s="211"/>
      <c r="U1" s="211"/>
      <c r="V1" s="211"/>
      <c r="W1" s="211"/>
      <c r="X1" s="211"/>
      <c r="Y1" s="211"/>
      <c r="Z1" s="211"/>
      <c r="AA1" s="211"/>
      <c r="AB1" s="211"/>
      <c r="AC1" s="211"/>
      <c r="AD1" s="211"/>
      <c r="AE1" s="211"/>
      <c r="AF1" s="211"/>
      <c r="AG1" s="211"/>
    </row>
    <row r="2" spans="2:34" ht="20.25" customHeight="1" x14ac:dyDescent="0.2">
      <c r="B2" s="211"/>
      <c r="C2" s="211"/>
      <c r="D2" s="211"/>
      <c r="E2" s="211"/>
      <c r="F2" s="211"/>
      <c r="G2" s="211"/>
      <c r="H2" s="211"/>
      <c r="I2" s="211"/>
      <c r="J2" s="211"/>
      <c r="K2" s="211"/>
      <c r="L2" s="211"/>
      <c r="M2" s="211"/>
      <c r="N2" s="211"/>
      <c r="O2" s="211"/>
      <c r="P2" s="211"/>
      <c r="Q2" s="211"/>
      <c r="R2" s="211"/>
      <c r="S2" s="211"/>
      <c r="T2" s="211"/>
      <c r="U2" s="211"/>
      <c r="V2" s="211"/>
      <c r="W2" s="211"/>
      <c r="X2" s="211"/>
      <c r="Y2" s="211"/>
      <c r="Z2" s="211"/>
      <c r="AA2" s="211"/>
      <c r="AB2" s="211"/>
      <c r="AC2" s="211"/>
      <c r="AD2" s="211"/>
      <c r="AE2" s="211"/>
      <c r="AF2" s="211"/>
      <c r="AG2" s="211"/>
    </row>
    <row r="3" spans="2:34" x14ac:dyDescent="0.2">
      <c r="B3" s="211"/>
      <c r="C3" s="211"/>
      <c r="D3" s="211"/>
      <c r="E3" s="211"/>
      <c r="F3" s="211"/>
      <c r="G3" s="211"/>
      <c r="H3" s="211"/>
      <c r="I3" s="211"/>
      <c r="J3" s="211"/>
      <c r="K3" s="211"/>
      <c r="L3" s="211"/>
      <c r="M3" s="211"/>
      <c r="N3" s="211"/>
      <c r="O3" s="211"/>
      <c r="P3" s="211"/>
      <c r="Q3" s="211"/>
      <c r="R3" s="211"/>
      <c r="S3" s="211"/>
      <c r="T3" s="211"/>
      <c r="U3" s="211"/>
      <c r="V3" s="211"/>
      <c r="W3" s="211"/>
      <c r="X3" s="211"/>
      <c r="Y3" s="211"/>
      <c r="Z3" s="211"/>
      <c r="AA3" s="211"/>
      <c r="AB3" s="211"/>
      <c r="AC3" s="211"/>
      <c r="AD3" s="211"/>
      <c r="AE3" s="211"/>
      <c r="AF3" s="211"/>
      <c r="AG3" s="211"/>
    </row>
    <row r="4" spans="2:34" x14ac:dyDescent="0.2">
      <c r="B4" s="211"/>
      <c r="C4" s="211"/>
      <c r="D4" s="211"/>
      <c r="E4" s="211"/>
      <c r="F4" s="211"/>
      <c r="G4" s="211"/>
      <c r="H4" s="211"/>
      <c r="I4" s="211"/>
      <c r="J4" s="211"/>
      <c r="K4" s="211"/>
      <c r="L4" s="211"/>
      <c r="M4" s="211"/>
      <c r="N4" s="211"/>
      <c r="O4" s="211"/>
      <c r="P4" s="211"/>
      <c r="Q4" s="211"/>
      <c r="R4" s="211"/>
      <c r="S4" s="211"/>
      <c r="T4" s="211"/>
      <c r="U4" s="211"/>
      <c r="V4" s="211"/>
      <c r="W4" s="211"/>
      <c r="X4" s="211"/>
      <c r="Y4" s="211"/>
      <c r="Z4" s="211"/>
      <c r="AA4" s="211"/>
      <c r="AB4" s="211"/>
      <c r="AC4" s="211"/>
      <c r="AD4" s="211"/>
      <c r="AE4" s="211"/>
      <c r="AF4" s="211"/>
      <c r="AG4" s="211"/>
    </row>
    <row r="5" spans="2:34" x14ac:dyDescent="0.2">
      <c r="B5" s="211"/>
      <c r="C5" s="211"/>
      <c r="D5" s="211"/>
      <c r="E5" s="211"/>
      <c r="F5" s="211"/>
      <c r="G5" s="211"/>
      <c r="H5" s="211"/>
      <c r="I5" s="211"/>
      <c r="J5" s="211"/>
      <c r="K5" s="211"/>
      <c r="L5" s="211"/>
      <c r="M5" s="211"/>
      <c r="N5" s="211"/>
      <c r="O5" s="211"/>
      <c r="P5" s="211"/>
      <c r="Q5" s="211"/>
      <c r="R5" s="211"/>
      <c r="S5" s="211"/>
      <c r="T5" s="211"/>
      <c r="U5" s="211"/>
      <c r="V5" s="211"/>
      <c r="W5" s="211"/>
      <c r="X5" s="211"/>
      <c r="Y5" s="211"/>
      <c r="Z5" s="211"/>
      <c r="AA5" s="211"/>
      <c r="AB5" s="211"/>
      <c r="AC5" s="211"/>
      <c r="AD5" s="211"/>
      <c r="AE5" s="211"/>
      <c r="AF5" s="211"/>
      <c r="AG5" s="211"/>
    </row>
    <row r="6" spans="2:34" x14ac:dyDescent="0.2">
      <c r="B6" s="211"/>
      <c r="C6" s="211"/>
      <c r="D6" s="211"/>
      <c r="E6" s="211"/>
      <c r="F6" s="211"/>
      <c r="G6" s="211"/>
      <c r="H6" s="211"/>
      <c r="I6" s="211"/>
      <c r="J6" s="211"/>
      <c r="K6" s="211"/>
      <c r="L6" s="211"/>
      <c r="M6" s="211"/>
      <c r="N6" s="211"/>
      <c r="O6" s="211"/>
      <c r="P6" s="211"/>
      <c r="Q6" s="211"/>
      <c r="R6" s="211"/>
      <c r="S6" s="211"/>
      <c r="T6" s="211"/>
      <c r="U6" s="211"/>
      <c r="V6" s="211"/>
      <c r="W6" s="211"/>
      <c r="X6" s="211"/>
      <c r="Y6" s="211"/>
      <c r="Z6" s="211"/>
      <c r="AA6" s="211"/>
      <c r="AB6" s="211"/>
      <c r="AC6" s="211"/>
      <c r="AD6" s="211"/>
      <c r="AE6" s="211"/>
      <c r="AF6" s="211"/>
      <c r="AG6" s="211"/>
    </row>
    <row r="7" spans="2:34" x14ac:dyDescent="0.2">
      <c r="B7" s="211"/>
      <c r="C7" s="211"/>
      <c r="D7" s="211"/>
      <c r="E7" s="211"/>
      <c r="F7" s="211"/>
      <c r="G7" s="211"/>
      <c r="H7" s="211"/>
      <c r="I7" s="211"/>
      <c r="J7" s="211"/>
      <c r="K7" s="211"/>
      <c r="L7" s="211"/>
      <c r="M7" s="211"/>
      <c r="N7" s="211"/>
      <c r="O7" s="211"/>
      <c r="P7" s="211"/>
      <c r="Q7" s="211"/>
      <c r="R7" s="211"/>
      <c r="S7" s="211"/>
      <c r="T7" s="211"/>
      <c r="U7" s="211"/>
      <c r="V7" s="211"/>
      <c r="W7" s="211"/>
      <c r="X7" s="211"/>
      <c r="Y7" s="211"/>
      <c r="Z7" s="211"/>
      <c r="AA7" s="211"/>
      <c r="AB7" s="211"/>
      <c r="AC7" s="211"/>
      <c r="AD7" s="211"/>
      <c r="AE7" s="211"/>
      <c r="AF7" s="211"/>
      <c r="AG7" s="211"/>
    </row>
    <row r="8" spans="2:34" x14ac:dyDescent="0.2">
      <c r="B8" s="211"/>
      <c r="C8" s="211"/>
      <c r="D8" s="211"/>
      <c r="E8" s="211"/>
      <c r="F8" s="211"/>
      <c r="G8" s="211"/>
      <c r="H8" s="211"/>
      <c r="I8" s="211"/>
      <c r="J8" s="211"/>
      <c r="K8" s="211"/>
      <c r="L8" s="211"/>
      <c r="M8" s="211"/>
      <c r="N8" s="211"/>
      <c r="O8" s="211"/>
      <c r="P8" s="211"/>
      <c r="Q8" s="211"/>
      <c r="R8" s="211"/>
      <c r="S8" s="211"/>
      <c r="T8" s="211"/>
      <c r="U8" s="211"/>
      <c r="V8" s="211"/>
      <c r="W8" s="211"/>
      <c r="X8" s="211"/>
      <c r="Y8" s="211"/>
      <c r="Z8" s="211"/>
      <c r="AA8" s="211"/>
      <c r="AB8" s="211"/>
      <c r="AC8" s="211"/>
      <c r="AD8" s="211"/>
      <c r="AE8" s="211"/>
      <c r="AF8" s="211"/>
      <c r="AG8" s="211"/>
    </row>
    <row r="9" spans="2:34" x14ac:dyDescent="0.2">
      <c r="B9" s="211"/>
      <c r="C9" s="211"/>
      <c r="D9" s="211"/>
      <c r="E9" s="211"/>
      <c r="F9" s="211"/>
      <c r="G9" s="211"/>
      <c r="H9" s="211"/>
      <c r="I9" s="211"/>
      <c r="J9" s="211"/>
      <c r="K9" s="211"/>
      <c r="L9" s="211"/>
      <c r="M9" s="211"/>
      <c r="N9" s="211"/>
      <c r="O9" s="211"/>
      <c r="P9" s="211"/>
      <c r="Q9" s="211"/>
      <c r="R9" s="211"/>
      <c r="S9" s="211"/>
      <c r="T9" s="211"/>
      <c r="U9" s="211"/>
      <c r="V9" s="211"/>
      <c r="W9" s="211"/>
      <c r="X9" s="211"/>
      <c r="Y9" s="211"/>
      <c r="Z9" s="211"/>
      <c r="AA9" s="211"/>
      <c r="AB9" s="211"/>
      <c r="AC9" s="211"/>
      <c r="AD9" s="211"/>
      <c r="AE9" s="211"/>
      <c r="AF9" s="211"/>
      <c r="AG9" s="211"/>
    </row>
    <row r="10" spans="2:34" x14ac:dyDescent="0.2">
      <c r="B10" s="211"/>
      <c r="C10" s="211"/>
      <c r="D10" s="211"/>
      <c r="E10" s="211"/>
      <c r="F10" s="211"/>
      <c r="G10" s="211"/>
      <c r="H10" s="211"/>
      <c r="I10" s="211"/>
      <c r="J10" s="211"/>
      <c r="K10" s="211"/>
      <c r="L10" s="211"/>
      <c r="M10" s="211"/>
      <c r="N10" s="211"/>
      <c r="O10" s="211"/>
      <c r="P10" s="211"/>
      <c r="Q10" s="211"/>
      <c r="R10" s="211"/>
      <c r="S10" s="211"/>
      <c r="T10" s="211"/>
      <c r="U10" s="211"/>
      <c r="V10" s="211"/>
      <c r="W10" s="211"/>
      <c r="X10" s="211"/>
      <c r="Y10" s="211"/>
      <c r="Z10" s="211"/>
      <c r="AA10" s="211"/>
      <c r="AB10" s="211"/>
      <c r="AC10" s="211"/>
      <c r="AD10" s="211"/>
      <c r="AE10" s="211"/>
      <c r="AF10" s="211"/>
      <c r="AG10" s="211"/>
    </row>
    <row r="11" spans="2:34" x14ac:dyDescent="0.2">
      <c r="B11" s="211"/>
      <c r="C11" s="211"/>
      <c r="D11" s="211"/>
      <c r="E11" s="211"/>
      <c r="F11" s="211"/>
      <c r="G11" s="211"/>
      <c r="H11" s="211"/>
      <c r="I11" s="211"/>
      <c r="J11" s="211"/>
      <c r="K11" s="211"/>
      <c r="L11" s="211"/>
      <c r="M11" s="211"/>
      <c r="N11" s="211"/>
      <c r="O11" s="211"/>
      <c r="P11" s="211"/>
      <c r="Q11" s="211"/>
      <c r="R11" s="211"/>
      <c r="S11" s="211"/>
      <c r="T11" s="211"/>
      <c r="U11" s="211"/>
      <c r="V11" s="211"/>
      <c r="W11" s="211"/>
      <c r="X11" s="211"/>
      <c r="Y11" s="211"/>
      <c r="Z11" s="211"/>
      <c r="AA11" s="211"/>
      <c r="AB11" s="211"/>
      <c r="AC11" s="211"/>
      <c r="AD11" s="211"/>
      <c r="AE11" s="211"/>
      <c r="AF11" s="211"/>
      <c r="AG11" s="211"/>
    </row>
    <row r="12" spans="2:34" x14ac:dyDescent="0.2">
      <c r="B12" s="211"/>
      <c r="C12" s="211"/>
      <c r="D12" s="211"/>
      <c r="E12" s="211"/>
      <c r="F12" s="211"/>
      <c r="G12" s="211"/>
      <c r="H12" s="211"/>
      <c r="I12" s="211"/>
      <c r="J12" s="211"/>
      <c r="K12" s="211"/>
      <c r="L12" s="211"/>
      <c r="M12" s="211"/>
      <c r="N12" s="211"/>
      <c r="O12" s="211"/>
      <c r="P12" s="211"/>
      <c r="Q12" s="211"/>
      <c r="R12" s="211"/>
      <c r="S12" s="211"/>
      <c r="T12" s="211"/>
      <c r="U12" s="211"/>
      <c r="V12" s="211"/>
      <c r="W12" s="211"/>
      <c r="X12" s="211"/>
      <c r="Y12" s="211"/>
      <c r="Z12" s="211"/>
      <c r="AA12" s="211"/>
      <c r="AB12" s="211"/>
      <c r="AC12" s="211"/>
      <c r="AD12" s="211"/>
      <c r="AE12" s="211"/>
      <c r="AF12" s="211"/>
      <c r="AG12" s="211"/>
    </row>
    <row r="13" spans="2:34" x14ac:dyDescent="0.2">
      <c r="B13" s="211"/>
      <c r="C13" s="211"/>
      <c r="D13" s="211"/>
      <c r="E13" s="211"/>
      <c r="F13" s="211"/>
      <c r="G13" s="211"/>
      <c r="H13" s="211"/>
      <c r="I13" s="211"/>
      <c r="J13" s="211"/>
      <c r="K13" s="211"/>
      <c r="L13" s="211"/>
      <c r="M13" s="211"/>
      <c r="N13" s="211"/>
      <c r="O13" s="211"/>
      <c r="P13" s="211"/>
      <c r="Q13" s="211"/>
      <c r="R13" s="211"/>
      <c r="S13" s="211"/>
      <c r="T13" s="211"/>
      <c r="U13" s="211"/>
      <c r="V13" s="211"/>
      <c r="W13" s="211"/>
      <c r="X13" s="211"/>
      <c r="Y13" s="211"/>
      <c r="Z13" s="211"/>
      <c r="AA13" s="211"/>
      <c r="AB13" s="211"/>
      <c r="AC13" s="211"/>
      <c r="AD13" s="211"/>
      <c r="AE13" s="211"/>
      <c r="AF13" s="211"/>
      <c r="AG13" s="211"/>
    </row>
    <row r="14" spans="2:34" x14ac:dyDescent="0.2">
      <c r="B14" s="211"/>
      <c r="C14" s="211"/>
      <c r="D14" s="211"/>
      <c r="E14" s="211"/>
      <c r="F14" s="211"/>
      <c r="G14" s="211"/>
      <c r="H14" s="211"/>
      <c r="I14" s="211"/>
      <c r="J14" s="211"/>
      <c r="K14" s="211"/>
      <c r="L14" s="211"/>
      <c r="M14" s="211"/>
      <c r="N14" s="211"/>
      <c r="O14" s="211"/>
      <c r="P14" s="211"/>
      <c r="Q14" s="211"/>
      <c r="R14" s="211"/>
      <c r="S14" s="211"/>
      <c r="T14" s="211"/>
      <c r="U14" s="211"/>
      <c r="V14" s="211"/>
      <c r="W14" s="211"/>
      <c r="X14" s="211"/>
      <c r="Y14" s="211"/>
      <c r="Z14" s="211"/>
      <c r="AA14" s="211"/>
      <c r="AB14" s="211"/>
      <c r="AC14" s="211"/>
      <c r="AD14" s="211"/>
      <c r="AE14" s="211"/>
      <c r="AF14" s="211"/>
      <c r="AG14" s="211"/>
      <c r="AH14" s="40"/>
    </row>
    <row r="15" spans="2:34" x14ac:dyDescent="0.2">
      <c r="B15" s="211"/>
      <c r="C15" s="211"/>
      <c r="D15" s="211"/>
      <c r="E15" s="211"/>
      <c r="F15" s="211"/>
      <c r="G15" s="211"/>
      <c r="H15" s="211"/>
      <c r="I15" s="211"/>
      <c r="J15" s="211"/>
      <c r="K15" s="211"/>
      <c r="L15" s="211"/>
      <c r="M15" s="211"/>
      <c r="N15" s="211"/>
      <c r="O15" s="211"/>
      <c r="P15" s="211"/>
      <c r="Q15" s="211"/>
      <c r="R15" s="211"/>
      <c r="S15" s="211"/>
      <c r="T15" s="211"/>
      <c r="U15" s="211"/>
      <c r="V15" s="211"/>
      <c r="W15" s="211"/>
      <c r="X15" s="211"/>
      <c r="Y15" s="211"/>
      <c r="Z15" s="211"/>
      <c r="AA15" s="211"/>
      <c r="AB15" s="211"/>
      <c r="AC15" s="211"/>
      <c r="AD15" s="211"/>
      <c r="AE15" s="211"/>
      <c r="AF15" s="211"/>
      <c r="AG15" s="211"/>
      <c r="AH15" s="40"/>
    </row>
    <row r="16" spans="2:34" x14ac:dyDescent="0.2">
      <c r="B16" s="211"/>
      <c r="C16" s="211"/>
      <c r="D16" s="211"/>
      <c r="E16" s="211"/>
      <c r="F16" s="211"/>
      <c r="G16" s="211"/>
      <c r="H16" s="211"/>
      <c r="I16" s="211"/>
      <c r="J16" s="211"/>
      <c r="K16" s="211"/>
      <c r="L16" s="211"/>
      <c r="M16" s="211"/>
      <c r="N16" s="211"/>
      <c r="O16" s="211"/>
      <c r="P16" s="211"/>
      <c r="Q16" s="211"/>
      <c r="R16" s="211"/>
      <c r="S16" s="211"/>
      <c r="T16" s="211"/>
      <c r="U16" s="211"/>
      <c r="V16" s="211"/>
      <c r="W16" s="211"/>
      <c r="X16" s="211"/>
      <c r="Y16" s="211"/>
      <c r="Z16" s="211"/>
      <c r="AA16" s="211"/>
      <c r="AB16" s="211"/>
      <c r="AC16" s="211"/>
      <c r="AD16" s="211"/>
      <c r="AE16" s="211"/>
      <c r="AF16" s="211"/>
      <c r="AG16" s="211"/>
      <c r="AH16" s="40"/>
    </row>
    <row r="17" spans="2:34" x14ac:dyDescent="0.2">
      <c r="B17" s="211"/>
      <c r="C17" s="211"/>
      <c r="D17" s="211"/>
      <c r="E17" s="211"/>
      <c r="F17" s="211"/>
      <c r="G17" s="211"/>
      <c r="H17" s="211"/>
      <c r="I17" s="211"/>
      <c r="J17" s="211"/>
      <c r="K17" s="211"/>
      <c r="L17" s="211"/>
      <c r="M17" s="211"/>
      <c r="N17" s="211"/>
      <c r="O17" s="211"/>
      <c r="P17" s="211"/>
      <c r="Q17" s="211"/>
      <c r="R17" s="211"/>
      <c r="S17" s="211"/>
      <c r="T17" s="211"/>
      <c r="U17" s="211"/>
      <c r="V17" s="211"/>
      <c r="W17" s="211"/>
      <c r="X17" s="211"/>
      <c r="Y17" s="211"/>
      <c r="Z17" s="211"/>
      <c r="AA17" s="211"/>
      <c r="AB17" s="211"/>
      <c r="AC17" s="211"/>
      <c r="AD17" s="211"/>
      <c r="AE17" s="211"/>
      <c r="AF17" s="211"/>
      <c r="AG17" s="211"/>
      <c r="AH17" s="40"/>
    </row>
    <row r="18" spans="2:34" x14ac:dyDescent="0.2">
      <c r="B18" s="211"/>
      <c r="C18" s="211"/>
      <c r="D18" s="211"/>
      <c r="E18" s="211"/>
      <c r="F18" s="211"/>
      <c r="G18" s="211"/>
      <c r="H18" s="211"/>
      <c r="I18" s="211"/>
      <c r="J18" s="211"/>
      <c r="K18" s="211"/>
      <c r="L18" s="211"/>
      <c r="M18" s="211"/>
      <c r="N18" s="211"/>
      <c r="O18" s="211"/>
      <c r="P18" s="211"/>
      <c r="Q18" s="211"/>
      <c r="R18" s="211"/>
      <c r="S18" s="211"/>
      <c r="T18" s="211"/>
      <c r="U18" s="211"/>
      <c r="V18" s="211"/>
      <c r="W18" s="211"/>
      <c r="X18" s="211"/>
      <c r="Y18" s="211"/>
      <c r="Z18" s="211"/>
      <c r="AA18" s="211"/>
      <c r="AB18" s="211"/>
      <c r="AC18" s="211"/>
      <c r="AD18" s="211"/>
      <c r="AE18" s="211"/>
      <c r="AF18" s="211"/>
      <c r="AG18" s="211"/>
      <c r="AH18" s="40"/>
    </row>
    <row r="19" spans="2:34" x14ac:dyDescent="0.2">
      <c r="B19" s="211"/>
      <c r="C19" s="211"/>
      <c r="D19" s="211"/>
      <c r="E19" s="211"/>
      <c r="F19" s="211"/>
      <c r="G19" s="211"/>
      <c r="H19" s="211"/>
      <c r="I19" s="211"/>
      <c r="J19" s="211"/>
      <c r="K19" s="211"/>
      <c r="L19" s="211"/>
      <c r="M19" s="211"/>
      <c r="N19" s="211"/>
      <c r="O19" s="211"/>
      <c r="P19" s="211"/>
      <c r="Q19" s="211"/>
      <c r="R19" s="211"/>
      <c r="S19" s="211"/>
      <c r="T19" s="211"/>
      <c r="U19" s="211"/>
      <c r="V19" s="211"/>
      <c r="W19" s="211"/>
      <c r="X19" s="211"/>
      <c r="Y19" s="211"/>
      <c r="Z19" s="211"/>
      <c r="AA19" s="211"/>
      <c r="AB19" s="211"/>
      <c r="AC19" s="211"/>
      <c r="AD19" s="211"/>
      <c r="AE19" s="211"/>
      <c r="AF19" s="211"/>
      <c r="AG19" s="211"/>
      <c r="AH19" s="40"/>
    </row>
    <row r="20" spans="2:34" x14ac:dyDescent="0.2">
      <c r="B20" s="211"/>
      <c r="C20" s="211"/>
      <c r="D20" s="211"/>
      <c r="E20" s="211"/>
      <c r="F20" s="211"/>
      <c r="G20" s="211"/>
      <c r="H20" s="211"/>
      <c r="I20" s="211"/>
      <c r="J20" s="211"/>
      <c r="K20" s="211"/>
      <c r="L20" s="211"/>
      <c r="M20" s="211"/>
      <c r="N20" s="211"/>
      <c r="O20" s="211"/>
      <c r="P20" s="211"/>
      <c r="Q20" s="211"/>
      <c r="R20" s="211"/>
      <c r="S20" s="211"/>
      <c r="T20" s="211"/>
      <c r="U20" s="211"/>
      <c r="V20" s="211"/>
      <c r="W20" s="211"/>
      <c r="X20" s="211"/>
      <c r="Y20" s="211"/>
      <c r="Z20" s="211"/>
      <c r="AA20" s="211"/>
      <c r="AB20" s="211"/>
      <c r="AC20" s="211"/>
      <c r="AD20" s="211"/>
      <c r="AE20" s="211"/>
      <c r="AF20" s="211"/>
      <c r="AG20" s="211"/>
      <c r="AH20" s="43"/>
    </row>
    <row r="21" spans="2:34" x14ac:dyDescent="0.2">
      <c r="B21" s="211"/>
      <c r="C21" s="211"/>
      <c r="D21" s="211"/>
      <c r="E21" s="211"/>
      <c r="F21" s="211"/>
      <c r="G21" s="211"/>
      <c r="H21" s="211"/>
      <c r="I21" s="211"/>
      <c r="J21" s="211"/>
      <c r="K21" s="211"/>
      <c r="L21" s="211"/>
      <c r="M21" s="211"/>
      <c r="N21" s="211"/>
      <c r="O21" s="211"/>
      <c r="P21" s="211"/>
      <c r="Q21" s="211"/>
      <c r="R21" s="211"/>
      <c r="S21" s="211"/>
      <c r="T21" s="211"/>
      <c r="U21" s="211"/>
      <c r="V21" s="211"/>
      <c r="W21" s="211"/>
      <c r="X21" s="211"/>
      <c r="Y21" s="211"/>
      <c r="Z21" s="211"/>
      <c r="AA21" s="211"/>
      <c r="AB21" s="211"/>
      <c r="AC21" s="211"/>
      <c r="AD21" s="211"/>
      <c r="AE21" s="211"/>
      <c r="AF21" s="211"/>
      <c r="AG21" s="211"/>
      <c r="AH21" s="43"/>
    </row>
    <row r="22" spans="2:34" x14ac:dyDescent="0.2">
      <c r="B22" s="211"/>
      <c r="C22" s="211"/>
      <c r="D22" s="211"/>
      <c r="E22" s="211"/>
      <c r="F22" s="211"/>
      <c r="G22" s="211"/>
      <c r="H22" s="211"/>
      <c r="I22" s="211"/>
      <c r="J22" s="211"/>
      <c r="K22" s="211"/>
      <c r="L22" s="211"/>
      <c r="M22" s="211"/>
      <c r="N22" s="211"/>
      <c r="O22" s="211"/>
      <c r="P22" s="211"/>
      <c r="Q22" s="211"/>
      <c r="R22" s="211"/>
      <c r="S22" s="211"/>
      <c r="T22" s="211"/>
      <c r="U22" s="211"/>
      <c r="V22" s="211"/>
      <c r="W22" s="211"/>
      <c r="X22" s="211"/>
      <c r="Y22" s="211"/>
      <c r="Z22" s="211"/>
      <c r="AA22" s="211"/>
      <c r="AB22" s="211"/>
      <c r="AC22" s="211"/>
      <c r="AD22" s="211"/>
      <c r="AE22" s="211"/>
      <c r="AF22" s="211"/>
      <c r="AG22" s="211"/>
      <c r="AH22" s="43"/>
    </row>
    <row r="23" spans="2:34" x14ac:dyDescent="0.2">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c r="AF23" s="211"/>
      <c r="AG23" s="211"/>
    </row>
    <row r="24" spans="2:34" x14ac:dyDescent="0.2">
      <c r="B24" s="211"/>
      <c r="C24" s="211"/>
      <c r="D24" s="211"/>
      <c r="E24" s="211"/>
      <c r="F24" s="211"/>
      <c r="G24" s="211"/>
      <c r="H24" s="211"/>
      <c r="I24" s="211"/>
      <c r="J24" s="211"/>
      <c r="K24" s="211"/>
      <c r="L24" s="211"/>
      <c r="M24" s="211"/>
      <c r="N24" s="211"/>
      <c r="O24" s="211"/>
      <c r="P24" s="211"/>
      <c r="Q24" s="211"/>
      <c r="R24" s="211"/>
      <c r="S24" s="211"/>
      <c r="T24" s="211"/>
      <c r="U24" s="211"/>
      <c r="V24" s="211"/>
      <c r="W24" s="211"/>
      <c r="X24" s="211"/>
      <c r="Y24" s="211"/>
      <c r="Z24" s="211"/>
      <c r="AA24" s="211"/>
      <c r="AB24" s="211"/>
      <c r="AC24" s="211"/>
      <c r="AD24" s="211"/>
      <c r="AE24" s="211"/>
      <c r="AF24" s="211"/>
      <c r="AG24" s="211"/>
    </row>
    <row r="25" spans="2:34" x14ac:dyDescent="0.2">
      <c r="B25" s="211"/>
      <c r="C25" s="211"/>
      <c r="D25" s="211"/>
      <c r="E25" s="211"/>
      <c r="F25" s="211"/>
      <c r="G25" s="211"/>
      <c r="H25" s="211"/>
      <c r="I25" s="211"/>
      <c r="J25" s="211"/>
      <c r="K25" s="211"/>
      <c r="L25" s="211"/>
      <c r="M25" s="211"/>
      <c r="N25" s="211"/>
      <c r="O25" s="211"/>
      <c r="P25" s="211"/>
      <c r="Q25" s="211"/>
      <c r="R25" s="211"/>
      <c r="S25" s="211"/>
      <c r="T25" s="211"/>
      <c r="U25" s="211"/>
      <c r="V25" s="211"/>
      <c r="W25" s="211"/>
      <c r="X25" s="211"/>
      <c r="Y25" s="211"/>
      <c r="Z25" s="211"/>
      <c r="AA25" s="211"/>
      <c r="AB25" s="211"/>
      <c r="AC25" s="211"/>
      <c r="AD25" s="211"/>
      <c r="AE25" s="211"/>
      <c r="AF25" s="211"/>
      <c r="AG25" s="211"/>
    </row>
    <row r="26" spans="2:34" x14ac:dyDescent="0.2">
      <c r="B26" s="211"/>
      <c r="C26" s="211"/>
      <c r="D26" s="211"/>
      <c r="E26" s="211"/>
      <c r="F26" s="211"/>
      <c r="G26" s="211"/>
      <c r="H26" s="211"/>
      <c r="I26" s="211"/>
      <c r="J26" s="211"/>
      <c r="K26" s="211"/>
      <c r="L26" s="211"/>
      <c r="M26" s="211"/>
      <c r="N26" s="211"/>
      <c r="O26" s="211"/>
      <c r="P26" s="211"/>
      <c r="Q26" s="211"/>
      <c r="R26" s="211"/>
      <c r="S26" s="211"/>
      <c r="T26" s="211"/>
      <c r="U26" s="211"/>
      <c r="V26" s="211"/>
      <c r="W26" s="211"/>
      <c r="X26" s="211"/>
      <c r="Y26" s="211"/>
      <c r="Z26" s="211"/>
      <c r="AA26" s="211"/>
      <c r="AB26" s="211"/>
      <c r="AC26" s="211"/>
      <c r="AD26" s="211"/>
      <c r="AE26" s="211"/>
      <c r="AF26" s="211"/>
      <c r="AG26" s="211"/>
    </row>
    <row r="27" spans="2:34" x14ac:dyDescent="0.2">
      <c r="B27" s="211"/>
      <c r="C27" s="211"/>
      <c r="D27" s="211"/>
      <c r="E27" s="211"/>
      <c r="F27" s="211"/>
      <c r="G27" s="211"/>
      <c r="H27" s="211"/>
      <c r="I27" s="211"/>
      <c r="J27" s="211"/>
      <c r="K27" s="211"/>
      <c r="L27" s="211"/>
      <c r="M27" s="211"/>
      <c r="N27" s="211"/>
      <c r="O27" s="211"/>
      <c r="P27" s="211"/>
      <c r="Q27" s="211"/>
      <c r="R27" s="211"/>
      <c r="S27" s="211"/>
      <c r="T27" s="211"/>
      <c r="U27" s="211"/>
      <c r="V27" s="211"/>
      <c r="W27" s="211"/>
      <c r="X27" s="211"/>
      <c r="Y27" s="211"/>
      <c r="Z27" s="211"/>
      <c r="AA27" s="211"/>
      <c r="AB27" s="211"/>
      <c r="AC27" s="211"/>
      <c r="AD27" s="211"/>
      <c r="AE27" s="211"/>
      <c r="AF27" s="211"/>
      <c r="AG27" s="211"/>
    </row>
    <row r="28" spans="2:34" x14ac:dyDescent="0.2">
      <c r="B28" s="211"/>
      <c r="C28" s="211"/>
      <c r="D28" s="211"/>
      <c r="E28" s="211"/>
      <c r="F28" s="211"/>
      <c r="G28" s="211"/>
      <c r="H28" s="211"/>
      <c r="I28" s="211"/>
      <c r="J28" s="211"/>
      <c r="K28" s="211"/>
      <c r="L28" s="211"/>
      <c r="M28" s="211"/>
      <c r="N28" s="211"/>
      <c r="O28" s="211"/>
      <c r="P28" s="211"/>
      <c r="Q28" s="211"/>
      <c r="R28" s="211"/>
      <c r="S28" s="211"/>
      <c r="T28" s="211"/>
      <c r="U28" s="211"/>
      <c r="V28" s="211"/>
      <c r="W28" s="211"/>
      <c r="X28" s="211"/>
      <c r="Y28" s="211"/>
      <c r="Z28" s="211"/>
      <c r="AA28" s="211"/>
      <c r="AB28" s="211"/>
      <c r="AC28" s="211"/>
      <c r="AD28" s="211"/>
      <c r="AE28" s="211"/>
      <c r="AF28" s="211"/>
      <c r="AG28" s="211"/>
    </row>
    <row r="29" spans="2:34" x14ac:dyDescent="0.2">
      <c r="B29" s="211"/>
      <c r="C29" s="211"/>
      <c r="D29" s="211"/>
      <c r="E29" s="211"/>
      <c r="F29" s="211"/>
      <c r="G29" s="211"/>
      <c r="H29" s="211"/>
      <c r="I29" s="211"/>
      <c r="J29" s="211"/>
      <c r="K29" s="211"/>
      <c r="L29" s="211"/>
      <c r="M29" s="211"/>
      <c r="N29" s="211"/>
      <c r="O29" s="211"/>
      <c r="P29" s="211"/>
      <c r="Q29" s="211"/>
      <c r="R29" s="211"/>
      <c r="S29" s="211"/>
      <c r="T29" s="211"/>
      <c r="U29" s="211"/>
      <c r="V29" s="211"/>
      <c r="W29" s="211"/>
      <c r="X29" s="211"/>
      <c r="Y29" s="211"/>
      <c r="Z29" s="211"/>
      <c r="AA29" s="211"/>
      <c r="AB29" s="211"/>
      <c r="AC29" s="211"/>
      <c r="AD29" s="211"/>
      <c r="AE29" s="211"/>
      <c r="AF29" s="211"/>
      <c r="AG29" s="211"/>
    </row>
    <row r="30" spans="2:34" x14ac:dyDescent="0.2">
      <c r="B30" s="211"/>
      <c r="C30" s="211"/>
      <c r="D30" s="211"/>
      <c r="E30" s="211"/>
      <c r="F30" s="211"/>
      <c r="G30" s="211"/>
      <c r="H30" s="211"/>
      <c r="I30" s="211"/>
      <c r="J30" s="211"/>
      <c r="K30" s="211"/>
      <c r="L30" s="211"/>
      <c r="M30" s="211"/>
      <c r="N30" s="211"/>
      <c r="O30" s="211"/>
      <c r="P30" s="211"/>
      <c r="Q30" s="211"/>
      <c r="R30" s="211"/>
      <c r="S30" s="211"/>
      <c r="T30" s="211"/>
      <c r="U30" s="211"/>
      <c r="V30" s="211"/>
      <c r="W30" s="211"/>
      <c r="X30" s="211"/>
      <c r="Y30" s="211"/>
      <c r="Z30" s="211"/>
      <c r="AA30" s="211"/>
      <c r="AB30" s="211"/>
      <c r="AC30" s="211"/>
      <c r="AD30" s="211"/>
      <c r="AE30" s="211"/>
      <c r="AF30" s="211"/>
      <c r="AG30" s="211"/>
    </row>
    <row r="31" spans="2:34" x14ac:dyDescent="0.2">
      <c r="B31" s="211"/>
      <c r="C31" s="211"/>
      <c r="D31" s="211"/>
      <c r="E31" s="211"/>
      <c r="F31" s="211"/>
      <c r="G31" s="211"/>
      <c r="H31" s="211"/>
      <c r="I31" s="211"/>
      <c r="J31" s="211"/>
      <c r="K31" s="211"/>
      <c r="L31" s="211"/>
      <c r="M31" s="211"/>
      <c r="N31" s="211"/>
      <c r="O31" s="211"/>
      <c r="P31" s="211"/>
      <c r="Q31" s="211"/>
      <c r="R31" s="211"/>
      <c r="S31" s="211"/>
      <c r="T31" s="211"/>
      <c r="U31" s="211"/>
      <c r="V31" s="211"/>
      <c r="W31" s="211"/>
      <c r="X31" s="211"/>
      <c r="Y31" s="211"/>
      <c r="Z31" s="211"/>
      <c r="AA31" s="211"/>
      <c r="AB31" s="211"/>
      <c r="AC31" s="211"/>
      <c r="AD31" s="211"/>
      <c r="AE31" s="211"/>
      <c r="AF31" s="211"/>
      <c r="AG31" s="211"/>
    </row>
    <row r="32" spans="2:34" x14ac:dyDescent="0.2">
      <c r="B32" s="211"/>
      <c r="C32" s="211"/>
      <c r="D32" s="211"/>
      <c r="E32" s="211"/>
      <c r="F32" s="211"/>
      <c r="G32" s="211"/>
      <c r="H32" s="211"/>
      <c r="I32" s="211"/>
      <c r="J32" s="211"/>
      <c r="K32" s="211"/>
      <c r="L32" s="211"/>
      <c r="M32" s="211"/>
      <c r="N32" s="211"/>
      <c r="O32" s="211"/>
      <c r="P32" s="211"/>
      <c r="Q32" s="211"/>
      <c r="R32" s="211"/>
      <c r="S32" s="211"/>
      <c r="T32" s="211"/>
      <c r="U32" s="211"/>
      <c r="V32" s="211"/>
      <c r="W32" s="211"/>
      <c r="X32" s="211"/>
      <c r="Y32" s="211"/>
      <c r="Z32" s="211"/>
      <c r="AA32" s="211"/>
      <c r="AB32" s="211"/>
      <c r="AC32" s="211"/>
      <c r="AD32" s="211"/>
      <c r="AE32" s="211"/>
      <c r="AF32" s="211"/>
      <c r="AG32" s="211"/>
    </row>
    <row r="33" spans="2:33" x14ac:dyDescent="0.2">
      <c r="B33" s="211"/>
      <c r="C33" s="211"/>
      <c r="D33" s="211"/>
      <c r="E33" s="211"/>
      <c r="F33" s="211"/>
      <c r="G33" s="211"/>
      <c r="H33" s="211"/>
      <c r="I33" s="211"/>
      <c r="J33" s="211"/>
      <c r="K33" s="211"/>
      <c r="L33" s="211"/>
      <c r="M33" s="211"/>
      <c r="N33" s="211"/>
      <c r="O33" s="211"/>
      <c r="P33" s="211"/>
      <c r="Q33" s="211"/>
      <c r="R33" s="211"/>
      <c r="S33" s="211"/>
      <c r="T33" s="211"/>
      <c r="U33" s="211"/>
      <c r="V33" s="211"/>
      <c r="W33" s="211"/>
      <c r="X33" s="211"/>
      <c r="Y33" s="211"/>
      <c r="Z33" s="211"/>
      <c r="AA33" s="211"/>
      <c r="AB33" s="211"/>
      <c r="AC33" s="211"/>
      <c r="AD33" s="211"/>
      <c r="AE33" s="211"/>
      <c r="AF33" s="211"/>
      <c r="AG33" s="211"/>
    </row>
    <row r="34" spans="2:33" x14ac:dyDescent="0.2">
      <c r="B34" s="211"/>
      <c r="C34" s="211"/>
      <c r="D34" s="211"/>
      <c r="E34" s="211"/>
      <c r="F34" s="211"/>
      <c r="G34" s="211"/>
      <c r="H34" s="211"/>
      <c r="I34" s="211"/>
      <c r="J34" s="211"/>
      <c r="K34" s="211"/>
      <c r="L34" s="211"/>
      <c r="M34" s="211"/>
      <c r="N34" s="211"/>
      <c r="O34" s="211"/>
      <c r="P34" s="211"/>
      <c r="Q34" s="211"/>
      <c r="R34" s="211"/>
      <c r="S34" s="211"/>
      <c r="T34" s="211"/>
      <c r="U34" s="211"/>
      <c r="V34" s="211"/>
      <c r="W34" s="211"/>
      <c r="X34" s="211"/>
      <c r="Y34" s="211"/>
      <c r="Z34" s="211"/>
      <c r="AA34" s="211"/>
      <c r="AB34" s="211"/>
      <c r="AC34" s="211"/>
      <c r="AD34" s="211"/>
      <c r="AE34" s="211"/>
      <c r="AF34" s="211"/>
      <c r="AG34" s="211"/>
    </row>
    <row r="35" spans="2:33" ht="12.75" customHeight="1" x14ac:dyDescent="0.2">
      <c r="B35" s="211"/>
      <c r="C35" s="211"/>
      <c r="D35" s="211"/>
      <c r="E35" s="211"/>
      <c r="F35" s="211"/>
      <c r="G35" s="211"/>
      <c r="H35" s="211"/>
      <c r="I35" s="211"/>
      <c r="J35" s="211"/>
      <c r="K35" s="211"/>
      <c r="L35" s="211"/>
      <c r="M35" s="211"/>
      <c r="N35" s="211"/>
      <c r="O35" s="211"/>
      <c r="P35" s="211"/>
      <c r="Q35" s="211"/>
      <c r="R35" s="211"/>
      <c r="S35" s="211"/>
      <c r="T35" s="211"/>
      <c r="U35" s="211"/>
      <c r="V35" s="211"/>
      <c r="W35" s="211"/>
      <c r="X35" s="211"/>
      <c r="Y35" s="211"/>
      <c r="Z35" s="211"/>
      <c r="AA35" s="211"/>
      <c r="AB35" s="211"/>
      <c r="AC35" s="211"/>
      <c r="AD35" s="211"/>
      <c r="AE35" s="211"/>
      <c r="AF35" s="211"/>
      <c r="AG35" s="211"/>
    </row>
    <row r="36" spans="2:33" ht="12.75" customHeight="1" x14ac:dyDescent="0.2">
      <c r="B36" s="211"/>
      <c r="C36" s="211"/>
      <c r="D36" s="211"/>
      <c r="E36" s="211"/>
      <c r="F36" s="211"/>
      <c r="G36" s="211"/>
      <c r="H36" s="211"/>
      <c r="I36" s="211"/>
      <c r="J36" s="211"/>
      <c r="K36" s="211"/>
      <c r="L36" s="211"/>
      <c r="M36" s="211"/>
      <c r="N36" s="211"/>
      <c r="O36" s="211"/>
      <c r="P36" s="211"/>
      <c r="Q36" s="211"/>
      <c r="R36" s="211"/>
      <c r="S36" s="211"/>
      <c r="T36" s="211"/>
      <c r="U36" s="211"/>
      <c r="V36" s="211"/>
      <c r="W36" s="211"/>
      <c r="X36" s="211"/>
      <c r="Y36" s="211"/>
      <c r="Z36" s="211"/>
      <c r="AA36" s="211"/>
      <c r="AB36" s="211"/>
      <c r="AC36" s="211"/>
      <c r="AD36" s="211"/>
      <c r="AE36" s="211"/>
      <c r="AF36" s="211"/>
      <c r="AG36" s="211"/>
    </row>
    <row r="37" spans="2:33" ht="12.75" customHeight="1" x14ac:dyDescent="0.2">
      <c r="B37" s="211"/>
      <c r="C37" s="211"/>
      <c r="D37" s="211"/>
      <c r="E37" s="211"/>
      <c r="F37" s="211"/>
      <c r="G37" s="211"/>
      <c r="H37" s="211"/>
      <c r="I37" s="211"/>
      <c r="J37" s="211"/>
      <c r="K37" s="211"/>
      <c r="L37" s="211"/>
      <c r="M37" s="211"/>
      <c r="N37" s="211"/>
      <c r="O37" s="211"/>
      <c r="P37" s="211"/>
      <c r="Q37" s="211"/>
      <c r="R37" s="211"/>
      <c r="S37" s="211"/>
      <c r="T37" s="211"/>
      <c r="U37" s="211"/>
      <c r="V37" s="211"/>
      <c r="W37" s="211"/>
      <c r="X37" s="211"/>
      <c r="Y37" s="211"/>
      <c r="Z37" s="211"/>
      <c r="AA37" s="211"/>
      <c r="AB37" s="211"/>
      <c r="AC37" s="211"/>
      <c r="AD37" s="211"/>
      <c r="AE37" s="211"/>
      <c r="AF37" s="211"/>
      <c r="AG37" s="211"/>
    </row>
    <row r="38" spans="2:33" ht="12.75" customHeight="1" x14ac:dyDescent="0.2"/>
    <row r="39" spans="2:33" ht="12.75" customHeight="1" x14ac:dyDescent="0.2"/>
    <row r="40" spans="2:33" ht="12.75" customHeight="1" x14ac:dyDescent="0.2"/>
    <row r="41" spans="2:33" ht="12.75" customHeight="1" x14ac:dyDescent="0.2"/>
    <row r="42" spans="2:33" ht="12.75" customHeight="1" x14ac:dyDescent="0.2"/>
    <row r="43" spans="2:33" ht="12.75" customHeight="1" x14ac:dyDescent="0.2"/>
    <row r="44" spans="2:33" ht="12.75" customHeight="1" x14ac:dyDescent="0.2"/>
    <row r="45" spans="2:33" ht="12.75" customHeight="1" x14ac:dyDescent="0.2"/>
    <row r="46" spans="2:33" ht="12.75" customHeight="1" x14ac:dyDescent="0.2"/>
    <row r="47" spans="2:33" ht="12.75" customHeight="1" x14ac:dyDescent="0.2"/>
    <row r="48" spans="2:33" ht="12.75" customHeight="1" x14ac:dyDescent="0.2"/>
    <row r="49" ht="12.75" customHeight="1" x14ac:dyDescent="0.2"/>
    <row r="50" ht="12.75" customHeight="1" x14ac:dyDescent="0.2"/>
    <row r="51" ht="12.75" customHeight="1" x14ac:dyDescent="0.2"/>
    <row r="52" ht="12.75" customHeight="1" x14ac:dyDescent="0.2"/>
    <row r="53" ht="12.75" customHeight="1" x14ac:dyDescent="0.2"/>
    <row r="54" ht="12.75" customHeight="1" x14ac:dyDescent="0.2"/>
    <row r="55" ht="12.75" customHeight="1" x14ac:dyDescent="0.2"/>
    <row r="56" ht="12.75" customHeight="1" x14ac:dyDescent="0.2"/>
    <row r="57" ht="12.75" customHeight="1" x14ac:dyDescent="0.2"/>
    <row r="58" ht="12.75" customHeight="1" x14ac:dyDescent="0.2"/>
    <row r="59" ht="12.75" customHeight="1" x14ac:dyDescent="0.2"/>
    <row r="60" ht="12.75" customHeight="1" x14ac:dyDescent="0.2"/>
    <row r="61" ht="12.75" customHeight="1" x14ac:dyDescent="0.2"/>
    <row r="62" ht="12.75" customHeight="1" x14ac:dyDescent="0.2"/>
    <row r="63" ht="12.75" customHeight="1" x14ac:dyDescent="0.2"/>
    <row r="6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sheetData>
  <sheetProtection formatCells="0" formatRows="0" insertColumns="0" insertRows="0" insertHyperlinks="0" deleteRows="0" selectLockedCells="1" sort="0" autoFilter="0" pivotTables="0"/>
  <mergeCells count="1">
    <mergeCell ref="B1:AG37"/>
  </mergeCell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Reserved&amp;LE1355904 rev 000 ver 001&amp;R&amp;P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7" tint="-0.499984740745262"/>
  </sheetPr>
  <dimension ref="B1:N47"/>
  <sheetViews>
    <sheetView tabSelected="1" topLeftCell="A25" zoomScale="85" zoomScaleNormal="85" workbookViewId="0">
      <selection activeCell="D35" sqref="D35"/>
    </sheetView>
  </sheetViews>
  <sheetFormatPr defaultRowHeight="12.75" x14ac:dyDescent="0.2"/>
  <cols>
    <col min="1" max="1" width="2.5703125" customWidth="1"/>
    <col min="2" max="2" width="5.28515625" customWidth="1"/>
    <col min="3" max="3" width="31.5703125" bestFit="1" customWidth="1"/>
    <col min="4" max="4" width="35.85546875" style="120" customWidth="1"/>
    <col min="5" max="5" width="12.7109375" style="126" bestFit="1" customWidth="1"/>
    <col min="6" max="6" width="54.140625" bestFit="1" customWidth="1"/>
    <col min="7" max="7" width="11.7109375" customWidth="1"/>
    <col min="8" max="8" width="7.5703125" bestFit="1" customWidth="1"/>
    <col min="9" max="9" width="11.85546875" customWidth="1"/>
    <col min="10" max="10" width="27.5703125" customWidth="1"/>
    <col min="12" max="13" width="11.42578125" customWidth="1"/>
    <col min="14" max="14" width="18.28515625" customWidth="1"/>
  </cols>
  <sheetData>
    <row r="1" spans="2:14" ht="13.5" thickBot="1" x14ac:dyDescent="0.25"/>
    <row r="2" spans="2:14" ht="45.75" thickBot="1" x14ac:dyDescent="0.25">
      <c r="B2" s="59" t="s">
        <v>37</v>
      </c>
      <c r="C2" s="60" t="s">
        <v>38</v>
      </c>
      <c r="D2" s="61" t="s">
        <v>68</v>
      </c>
      <c r="E2" s="61" t="s">
        <v>110</v>
      </c>
      <c r="F2" s="61" t="s">
        <v>39</v>
      </c>
      <c r="G2" s="61" t="s">
        <v>126</v>
      </c>
      <c r="H2" s="61" t="s">
        <v>70</v>
      </c>
      <c r="I2" s="60" t="s">
        <v>12</v>
      </c>
      <c r="J2" s="60" t="s">
        <v>69</v>
      </c>
      <c r="K2" s="60" t="s">
        <v>59</v>
      </c>
      <c r="L2" s="62" t="s">
        <v>40</v>
      </c>
      <c r="M2" s="62" t="s">
        <v>71</v>
      </c>
      <c r="N2" s="63" t="s">
        <v>72</v>
      </c>
    </row>
    <row r="3" spans="2:14" s="80" customFormat="1" ht="30.75" thickBot="1" x14ac:dyDescent="0.25">
      <c r="B3" s="79">
        <v>1</v>
      </c>
      <c r="C3" s="122" t="s">
        <v>269</v>
      </c>
      <c r="D3" s="114" t="str">
        <f t="shared" ref="D3:D9" ca="1" si="0">IF(C3&lt;&gt;"",INDIRECT(C3&amp;"!B3"),"")</f>
        <v>SYS_C01_2, SYS_C01_4, SYS_C01_5, SYS_C01_6, SYS_C01_7</v>
      </c>
      <c r="E3" s="121" t="str">
        <f t="shared" ref="E3:E9" ca="1" si="1">IF(C3&lt;&gt;"",INDIRECT(C3&amp;"!B5"),"")</f>
        <v>Nominal</v>
      </c>
      <c r="F3" s="124" t="str">
        <f t="shared" ref="F3:F9" ca="1" si="2">IF(C3&lt;&gt;"",INDIRECT(C3&amp;"!B1"),"")</f>
        <v>SYS_C01 Uncovered Req Review for traceability - TBD result</v>
      </c>
      <c r="G3" s="81"/>
      <c r="H3" s="82"/>
      <c r="I3" s="83"/>
      <c r="J3" s="84"/>
      <c r="K3" s="90" t="str">
        <f t="shared" ref="K3:K9" ca="1" si="3">IF(C3&lt;&gt;"",INDIRECT(C3&amp;"!B9"),"")</f>
        <v>Not run</v>
      </c>
      <c r="L3" s="88"/>
      <c r="M3" s="85"/>
      <c r="N3" s="86"/>
    </row>
    <row r="4" spans="2:14" ht="75.75" thickBot="1" x14ac:dyDescent="0.25">
      <c r="B4" s="65">
        <v>2</v>
      </c>
      <c r="C4" s="122" t="s">
        <v>270</v>
      </c>
      <c r="D4" s="114" t="str">
        <f t="shared" ca="1" si="0"/>
        <v>SYS_C02_18, SYS_C02_19, SYS_C02_20, SYS_C02_21, SYS_C02_22, SYS_C02_23, SYS_C02_24, SYS_C02_25, SYS_C02_38 , SYS_C02_53, SYS_C02_54, SYS_C02_56, SYS_C02_57, SYS_C02_58, SYS_C02_59</v>
      </c>
      <c r="E4" s="121" t="str">
        <f t="shared" ca="1" si="1"/>
        <v>Nominal</v>
      </c>
      <c r="F4" s="124" t="str">
        <f t="shared" ca="1" si="2"/>
        <v>SYS_C02 Uncovered Req Review for traceability - OK result</v>
      </c>
      <c r="G4" s="110"/>
      <c r="H4" s="66"/>
      <c r="I4" s="67"/>
      <c r="J4" s="68"/>
      <c r="K4" s="90" t="str">
        <f t="shared" ca="1" si="3"/>
        <v>Ok</v>
      </c>
      <c r="L4" s="89"/>
      <c r="M4" s="78"/>
      <c r="N4" s="69"/>
    </row>
    <row r="5" spans="2:14" ht="60.75" thickBot="1" x14ac:dyDescent="0.25">
      <c r="B5" s="65">
        <v>3</v>
      </c>
      <c r="C5" s="123" t="s">
        <v>271</v>
      </c>
      <c r="D5" s="114" t="str">
        <f t="shared" ca="1" si="0"/>
        <v>SYS_C02_30, SYS_C02_31, SYS_C02_32, SYS_C02_33, SYS_C02_52, SYS_C02_55, SYS_C02_64, SYS_C02_65, SYS_C02_66, SYS_C02_67, SYS_C02_80, SYS_C02_81</v>
      </c>
      <c r="E5" s="121" t="str">
        <f t="shared" ca="1" si="1"/>
        <v>Nominal</v>
      </c>
      <c r="F5" s="124" t="str">
        <f t="shared" ca="1" si="2"/>
        <v>SYS_C02 Uncovered Req Review for traceability - TBD result</v>
      </c>
      <c r="G5" s="110"/>
      <c r="H5" s="66"/>
      <c r="I5" s="67"/>
      <c r="J5" s="68"/>
      <c r="K5" s="90" t="str">
        <f t="shared" ca="1" si="3"/>
        <v>Not run</v>
      </c>
      <c r="L5" s="89"/>
      <c r="M5" s="78"/>
      <c r="N5" s="69"/>
    </row>
    <row r="6" spans="2:14" ht="30.75" thickBot="1" x14ac:dyDescent="0.25">
      <c r="B6" s="65">
        <v>5</v>
      </c>
      <c r="C6" s="123" t="s">
        <v>272</v>
      </c>
      <c r="D6" s="114" t="str">
        <f t="shared" ca="1" si="0"/>
        <v>SYS_C03_4, SYS_C03_5, SYS_C03_6, SYS_C03_9</v>
      </c>
      <c r="E6" s="121" t="str">
        <f t="shared" ca="1" si="1"/>
        <v>Nominal</v>
      </c>
      <c r="F6" s="124" t="str">
        <f t="shared" ca="1" si="2"/>
        <v>SYS_C03 Uncovered Req Review for traceability - TBD result</v>
      </c>
      <c r="G6" s="110"/>
      <c r="H6" s="66"/>
      <c r="I6" s="67"/>
      <c r="J6" s="68"/>
      <c r="K6" s="90" t="str">
        <f t="shared" ca="1" si="3"/>
        <v>Not run</v>
      </c>
      <c r="L6" s="89"/>
      <c r="M6" s="78"/>
      <c r="N6" s="69"/>
    </row>
    <row r="7" spans="2:14" ht="90.75" thickBot="1" x14ac:dyDescent="0.25">
      <c r="B7" s="65">
        <v>6</v>
      </c>
      <c r="C7" s="123" t="s">
        <v>273</v>
      </c>
      <c r="D7" s="114" t="str">
        <f t="shared" ca="1" si="0"/>
        <v>SYS_C04_24, SYS_C04_30, SYS_C04_31, SYS_C04_32, SYS_C04_33, SYS_C04_34, SYS_C04_35, SYS_C04_36, SYS_C04_307, SYS_C04_61, SYS_C04_57, SYS_C04_65, SYS_C04_68, SYS_C04_70, SYS_C04_72, SYS_C04_73</v>
      </c>
      <c r="E7" s="121" t="str">
        <f t="shared" ca="1" si="1"/>
        <v>Nominal</v>
      </c>
      <c r="F7" s="124" t="str">
        <f t="shared" ca="1" si="2"/>
        <v>SYS_C04 Uncovered Req Review for traceability - OK result</v>
      </c>
      <c r="G7" s="110"/>
      <c r="H7" s="66"/>
      <c r="I7" s="67"/>
      <c r="J7" s="68"/>
      <c r="K7" s="90" t="str">
        <f t="shared" ca="1" si="3"/>
        <v>Ok</v>
      </c>
      <c r="L7" s="89"/>
      <c r="M7" s="78"/>
      <c r="N7" s="69"/>
    </row>
    <row r="8" spans="2:14" ht="30.75" thickBot="1" x14ac:dyDescent="0.25">
      <c r="B8" s="65">
        <v>7</v>
      </c>
      <c r="C8" s="123" t="s">
        <v>274</v>
      </c>
      <c r="D8" s="114" t="str">
        <f t="shared" ca="1" si="0"/>
        <v>SYS_C04_58, SYS_C04_59, SYS_C04_60, SYS_C04_62</v>
      </c>
      <c r="E8" s="121" t="str">
        <f t="shared" ca="1" si="1"/>
        <v>Nominal</v>
      </c>
      <c r="F8" s="124" t="str">
        <f t="shared" ca="1" si="2"/>
        <v>SYS_C04 Uncovered Req Review for traceability - TBD Result</v>
      </c>
      <c r="G8" s="110"/>
      <c r="H8" s="66"/>
      <c r="I8" s="67"/>
      <c r="J8" s="68"/>
      <c r="K8" s="90" t="str">
        <f t="shared" ca="1" si="3"/>
        <v>Not run</v>
      </c>
      <c r="L8" s="89"/>
      <c r="M8" s="78"/>
      <c r="N8" s="69"/>
    </row>
    <row r="9" spans="2:14" ht="30.75" thickBot="1" x14ac:dyDescent="0.25">
      <c r="B9" s="65">
        <v>8</v>
      </c>
      <c r="C9" s="123" t="s">
        <v>275</v>
      </c>
      <c r="D9" s="114" t="str">
        <f t="shared" ca="1" si="0"/>
        <v>SYS_C07_12, SYS_C07_39, SYS_C07_40, SYS_C07_41</v>
      </c>
      <c r="E9" s="121" t="str">
        <f t="shared" ca="1" si="1"/>
        <v>Nominal</v>
      </c>
      <c r="F9" s="125" t="str">
        <f t="shared" ca="1" si="2"/>
        <v>SYS_C07 Uncovered Req Review for traceability - OK result</v>
      </c>
      <c r="G9" s="110"/>
      <c r="H9" s="66"/>
      <c r="I9" s="67"/>
      <c r="J9" s="68"/>
      <c r="K9" s="90" t="str">
        <f t="shared" ca="1" si="3"/>
        <v>Ok</v>
      </c>
      <c r="L9" s="89"/>
      <c r="M9" s="78"/>
      <c r="N9" s="69"/>
    </row>
    <row r="10" spans="2:14" ht="30.75" thickBot="1" x14ac:dyDescent="0.25">
      <c r="B10" s="65">
        <v>9</v>
      </c>
      <c r="C10" s="123" t="s">
        <v>280</v>
      </c>
      <c r="D10" s="114" t="str">
        <f t="shared" ref="D10:D47" ca="1" si="4">IF(C10&lt;&gt;"",INDIRECT(C10&amp;"!B3"),"")</f>
        <v>SYS_C07_27, SYS_C07_28, SYS_C07_29, SYS_C07_99</v>
      </c>
      <c r="E10" s="127" t="str">
        <f t="shared" ref="E10:E47" ca="1" si="5">IF(C10&lt;&gt;"",INDIRECT(C10&amp;"!B5"),"")</f>
        <v>Nominal</v>
      </c>
      <c r="F10" s="92" t="str">
        <f t="shared" ref="F10:F47" ca="1" si="6">IF(C10&lt;&gt;"",INDIRECT(C10&amp;"!B1"),"")</f>
        <v>SYS_C07 Uncovered Req Review for traceability - TBD result</v>
      </c>
      <c r="G10" s="110"/>
      <c r="H10" s="66"/>
      <c r="I10" s="67"/>
      <c r="J10" s="68"/>
      <c r="K10" s="90" t="str">
        <f t="shared" ref="K10:K17" ca="1" si="7">IF(C10&lt;&gt;"",INDIRECT(C10&amp;"!B9"),"")</f>
        <v>Not run</v>
      </c>
      <c r="L10" s="89"/>
      <c r="M10" s="78"/>
      <c r="N10" s="69"/>
    </row>
    <row r="11" spans="2:14" ht="15.75" thickBot="1" x14ac:dyDescent="0.25">
      <c r="B11" s="64">
        <v>10</v>
      </c>
      <c r="C11" s="123" t="s">
        <v>281</v>
      </c>
      <c r="D11" s="114" t="str">
        <f t="shared" ca="1" si="4"/>
        <v>SYS_C08_7</v>
      </c>
      <c r="E11" s="127" t="str">
        <f t="shared" ca="1" si="5"/>
        <v>Nominal</v>
      </c>
      <c r="F11" s="92" t="str">
        <f t="shared" ca="1" si="6"/>
        <v>SYS_C08 Uncovered Req Review for traceability - OK result</v>
      </c>
      <c r="G11" s="110"/>
      <c r="H11" s="66"/>
      <c r="I11" s="67"/>
      <c r="J11" s="68"/>
      <c r="K11" s="90" t="str">
        <f t="shared" ca="1" si="7"/>
        <v>Ok</v>
      </c>
      <c r="L11" s="89"/>
      <c r="M11" s="78"/>
      <c r="N11" s="69"/>
    </row>
    <row r="12" spans="2:14" ht="15.75" thickBot="1" x14ac:dyDescent="0.25">
      <c r="B12" s="64">
        <v>11</v>
      </c>
      <c r="C12" s="123" t="s">
        <v>282</v>
      </c>
      <c r="D12" s="114" t="str">
        <f t="shared" ref="D12" ca="1" si="8">IF(C12&lt;&gt;"",INDIRECT(C12&amp;"!B3"),"")</f>
        <v xml:space="preserve">SYS_C08_3, SYS_C08_5, SYS_C08_6, </v>
      </c>
      <c r="E12" s="127" t="str">
        <f t="shared" ref="E12" ca="1" si="9">IF(C12&lt;&gt;"",INDIRECT(C12&amp;"!B5"),"")</f>
        <v>Nominal</v>
      </c>
      <c r="F12" s="92" t="str">
        <f t="shared" ref="F12" ca="1" si="10">IF(C12&lt;&gt;"",INDIRECT(C12&amp;"!B1"),"")</f>
        <v>SYS_C08 Uncovered Req Review for traceability - TBD result</v>
      </c>
      <c r="G12" s="110"/>
      <c r="H12" s="66"/>
      <c r="I12" s="67"/>
      <c r="J12" s="68"/>
      <c r="K12" s="90" t="str">
        <f t="shared" ca="1" si="7"/>
        <v>Not run</v>
      </c>
      <c r="L12" s="89"/>
      <c r="M12" s="78"/>
      <c r="N12" s="69"/>
    </row>
    <row r="13" spans="2:14" s="120" customFormat="1" ht="15.75" thickBot="1" x14ac:dyDescent="0.25">
      <c r="B13" s="113">
        <v>12</v>
      </c>
      <c r="C13" s="123" t="s">
        <v>299</v>
      </c>
      <c r="D13" s="114" t="str">
        <f t="shared" ref="D13" ca="1" si="11">IF(C13&lt;&gt;"",INDIRECT(C13&amp;"!B3"),"")</f>
        <v>SYS_C12_4, SYS_C12_8, SYS_C12_9</v>
      </c>
      <c r="E13" s="128" t="str">
        <f t="shared" ref="E13" ca="1" si="12">IF(C13&lt;&gt;"",INDIRECT(C13&amp;"!B5"),"")</f>
        <v>Nominal</v>
      </c>
      <c r="F13" s="115" t="str">
        <f t="shared" ref="F13" ca="1" si="13">IF(C13&lt;&gt;"",INDIRECT(C13&amp;"!B1"),"")</f>
        <v>SYS_C12 Uncovered Req Review for traceability - OK result</v>
      </c>
      <c r="G13" s="116"/>
      <c r="H13" s="117"/>
      <c r="I13" s="67"/>
      <c r="J13" s="68"/>
      <c r="K13" s="90" t="str">
        <f t="shared" ca="1" si="7"/>
        <v>Ok</v>
      </c>
      <c r="L13" s="118"/>
      <c r="M13" s="119"/>
      <c r="N13" s="69"/>
    </row>
    <row r="14" spans="2:14" ht="30.75" thickBot="1" x14ac:dyDescent="0.25">
      <c r="B14" s="65">
        <v>13</v>
      </c>
      <c r="C14" s="123" t="s">
        <v>308</v>
      </c>
      <c r="D14" s="114" t="str">
        <f t="shared" ca="1" si="4"/>
        <v>SYS_C14_2, SYS_C14_3, SYS_C14_4, SYS_C14_5</v>
      </c>
      <c r="E14" s="127" t="str">
        <f t="shared" ca="1" si="5"/>
        <v>Nominal</v>
      </c>
      <c r="F14" s="92" t="str">
        <f t="shared" ca="1" si="6"/>
        <v>SYS_C14 Uncovered Req Review for traceability - OK result</v>
      </c>
      <c r="G14" s="110"/>
      <c r="H14" s="66"/>
      <c r="I14" s="67"/>
      <c r="J14" s="68"/>
      <c r="K14" s="90" t="str">
        <f t="shared" ca="1" si="7"/>
        <v>Ok</v>
      </c>
      <c r="L14" s="89"/>
      <c r="M14" s="78"/>
      <c r="N14" s="69"/>
    </row>
    <row r="15" spans="2:14" ht="15.75" thickBot="1" x14ac:dyDescent="0.25">
      <c r="B15" s="65">
        <v>14</v>
      </c>
      <c r="C15" s="123" t="s">
        <v>309</v>
      </c>
      <c r="D15" s="114" t="str">
        <f t="shared" ca="1" si="4"/>
        <v>SYS_C15_2, SYS_C15_4</v>
      </c>
      <c r="E15" s="127" t="str">
        <f t="shared" ca="1" si="5"/>
        <v>Nominal</v>
      </c>
      <c r="F15" s="92" t="str">
        <f t="shared" ca="1" si="6"/>
        <v>SYS_C15 Uncovered Req Review for traceability - OK result</v>
      </c>
      <c r="G15" s="110"/>
      <c r="H15" s="66"/>
      <c r="I15" s="67"/>
      <c r="J15" s="68"/>
      <c r="K15" s="90" t="str">
        <f t="shared" ca="1" si="7"/>
        <v>Ok</v>
      </c>
      <c r="L15" s="89"/>
      <c r="M15" s="78"/>
      <c r="N15" s="69"/>
    </row>
    <row r="16" spans="2:14" ht="15.75" thickBot="1" x14ac:dyDescent="0.25">
      <c r="B16" s="65">
        <v>15</v>
      </c>
      <c r="C16" s="123" t="s">
        <v>315</v>
      </c>
      <c r="D16" s="114" t="str">
        <f t="shared" ca="1" si="4"/>
        <v>SYS_C16_7</v>
      </c>
      <c r="E16" s="127" t="str">
        <f t="shared" ca="1" si="5"/>
        <v>Nominal</v>
      </c>
      <c r="F16" s="92" t="str">
        <f t="shared" ca="1" si="6"/>
        <v>SYS_C16 Uncovered Req Review for traceability - OK result</v>
      </c>
      <c r="G16" s="110"/>
      <c r="H16" s="66"/>
      <c r="I16" s="67"/>
      <c r="J16" s="68"/>
      <c r="K16" s="90" t="str">
        <f t="shared" ca="1" si="7"/>
        <v>Ok</v>
      </c>
      <c r="L16" s="89"/>
      <c r="M16" s="78"/>
      <c r="N16" s="69"/>
    </row>
    <row r="17" spans="2:14" ht="15" x14ac:dyDescent="0.2">
      <c r="B17" s="65">
        <v>16</v>
      </c>
      <c r="C17" s="123" t="s">
        <v>325</v>
      </c>
      <c r="D17" s="114" t="str">
        <f t="shared" ca="1" si="4"/>
        <v>SYS_C16_6</v>
      </c>
      <c r="E17" s="127" t="str">
        <f t="shared" ca="1" si="5"/>
        <v>Nominal</v>
      </c>
      <c r="F17" s="92" t="str">
        <f t="shared" ca="1" si="6"/>
        <v>SYS_C16 Uncovered Req Review for traceability - NOK result</v>
      </c>
      <c r="G17" s="110"/>
      <c r="H17" s="66"/>
      <c r="I17" s="67"/>
      <c r="J17" s="68"/>
      <c r="K17" s="90" t="str">
        <f t="shared" ca="1" si="7"/>
        <v>Nok</v>
      </c>
      <c r="L17" s="89"/>
      <c r="M17" s="78"/>
      <c r="N17" s="69"/>
    </row>
    <row r="18" spans="2:14" ht="15" x14ac:dyDescent="0.2">
      <c r="B18" s="65">
        <v>17</v>
      </c>
      <c r="C18" s="123" t="s">
        <v>335</v>
      </c>
      <c r="D18" s="114" t="str">
        <f t="shared" ca="1" si="4"/>
        <v>SYS_C18_3, SYS_C18_4</v>
      </c>
      <c r="E18" s="127" t="str">
        <f t="shared" ca="1" si="5"/>
        <v>Nominal</v>
      </c>
      <c r="F18" s="92" t="str">
        <f t="shared" ca="1" si="6"/>
        <v>SYS_C16 Uncovered Req Review for traceability - OK result</v>
      </c>
      <c r="G18" s="110"/>
      <c r="H18" s="66"/>
      <c r="I18" s="67"/>
      <c r="J18" s="68"/>
      <c r="K18" s="91" t="str">
        <f t="shared" ref="K18:K47" ca="1" si="14">IF(C18&lt;&gt;"",INDIRECT(C18&amp;"!B9"),"")</f>
        <v>Ok</v>
      </c>
      <c r="L18" s="89"/>
      <c r="M18" s="78"/>
      <c r="N18" s="69"/>
    </row>
    <row r="19" spans="2:14" ht="15" x14ac:dyDescent="0.2">
      <c r="B19" s="65">
        <v>18</v>
      </c>
      <c r="C19" s="123" t="s">
        <v>326</v>
      </c>
      <c r="D19" s="114" t="str">
        <f t="shared" ca="1" si="4"/>
        <v xml:space="preserve">SYS_C18_5, SYS_C18_6, SYS_C18_7, </v>
      </c>
      <c r="E19" s="127" t="str">
        <f t="shared" ca="1" si="5"/>
        <v>Nominal</v>
      </c>
      <c r="F19" s="92" t="str">
        <f t="shared" ca="1" si="6"/>
        <v>SYS_C18 Uncovered Req Review for traceability - TBD result</v>
      </c>
      <c r="G19" s="110"/>
      <c r="H19" s="66"/>
      <c r="I19" s="67"/>
      <c r="J19" s="68"/>
      <c r="K19" s="91" t="str">
        <f t="shared" ca="1" si="14"/>
        <v>Not run</v>
      </c>
      <c r="L19" s="89"/>
      <c r="M19" s="78"/>
      <c r="N19" s="69"/>
    </row>
    <row r="20" spans="2:14" ht="15" x14ac:dyDescent="0.2">
      <c r="B20" s="64">
        <v>19</v>
      </c>
      <c r="C20" s="123" t="s">
        <v>348</v>
      </c>
      <c r="D20" s="114" t="str">
        <f t="shared" ca="1" si="4"/>
        <v>SYS_C19_4</v>
      </c>
      <c r="E20" s="127" t="str">
        <f t="shared" ca="1" si="5"/>
        <v>Nominal</v>
      </c>
      <c r="F20" s="92" t="str">
        <f t="shared" ca="1" si="6"/>
        <v>SYS_C19 Uncovered Req Review for traceability - OK result</v>
      </c>
      <c r="G20" s="110"/>
      <c r="H20" s="66"/>
      <c r="I20" s="67"/>
      <c r="J20" s="68"/>
      <c r="K20" s="91" t="str">
        <f t="shared" ca="1" si="14"/>
        <v>Ok</v>
      </c>
      <c r="L20" s="89"/>
      <c r="M20" s="78"/>
      <c r="N20" s="69"/>
    </row>
    <row r="21" spans="2:14" ht="15" x14ac:dyDescent="0.2">
      <c r="B21" s="65">
        <v>20</v>
      </c>
      <c r="C21" s="123" t="s">
        <v>349</v>
      </c>
      <c r="D21" s="114" t="str">
        <f t="shared" ca="1" si="4"/>
        <v xml:space="preserve">SYS_C20_2, SYS_C20_8 </v>
      </c>
      <c r="E21" s="127" t="str">
        <f t="shared" ca="1" si="5"/>
        <v>Nominal</v>
      </c>
      <c r="F21" s="92" t="str">
        <f t="shared" ca="1" si="6"/>
        <v>SYS_C20 Uncovered Req Review for traceability - TBD result</v>
      </c>
      <c r="G21" s="110"/>
      <c r="H21" s="66"/>
      <c r="I21" s="67"/>
      <c r="J21" s="68"/>
      <c r="K21" s="91" t="str">
        <f t="shared" ca="1" si="14"/>
        <v>Not run</v>
      </c>
      <c r="L21" s="89"/>
      <c r="M21" s="78"/>
      <c r="N21" s="69"/>
    </row>
    <row r="22" spans="2:14" ht="30" x14ac:dyDescent="0.2">
      <c r="B22" s="65">
        <v>21</v>
      </c>
      <c r="C22" s="123" t="s">
        <v>350</v>
      </c>
      <c r="D22" s="114" t="str">
        <f t="shared" ca="1" si="4"/>
        <v xml:space="preserve">SYS_C24_2, SYS_C24_3, SYS_C24_4, SYS_C24_5, SYS_C24_7 </v>
      </c>
      <c r="E22" s="127" t="str">
        <f t="shared" ca="1" si="5"/>
        <v>Nominal</v>
      </c>
      <c r="F22" s="92" t="str">
        <f t="shared" ca="1" si="6"/>
        <v>SYS_C24 Uncovered Req Review for traceability - TBD result</v>
      </c>
      <c r="G22" s="110"/>
      <c r="H22" s="66"/>
      <c r="I22" s="67"/>
      <c r="J22" s="68"/>
      <c r="K22" s="91" t="str">
        <f t="shared" ca="1" si="14"/>
        <v>Not run</v>
      </c>
      <c r="L22" s="89"/>
      <c r="M22" s="78"/>
      <c r="N22" s="69"/>
    </row>
    <row r="23" spans="2:14" ht="15" x14ac:dyDescent="0.2">
      <c r="B23" s="65">
        <v>22</v>
      </c>
      <c r="C23" s="123" t="s">
        <v>351</v>
      </c>
      <c r="D23" s="114" t="str">
        <f t="shared" ca="1" si="4"/>
        <v>SYS_C25_3</v>
      </c>
      <c r="E23" s="127" t="str">
        <f t="shared" ca="1" si="5"/>
        <v>Nominal</v>
      </c>
      <c r="F23" s="92" t="str">
        <f t="shared" ca="1" si="6"/>
        <v>SYS_C25 Uncovered Req Review for traceability - TBD result</v>
      </c>
      <c r="G23" s="110"/>
      <c r="H23" s="66"/>
      <c r="I23" s="67"/>
      <c r="J23" s="68"/>
      <c r="K23" s="91" t="str">
        <f t="shared" ca="1" si="14"/>
        <v>Not run</v>
      </c>
      <c r="L23" s="89"/>
      <c r="M23" s="78"/>
      <c r="N23" s="69"/>
    </row>
    <row r="24" spans="2:14" ht="30" x14ac:dyDescent="0.2">
      <c r="B24" s="65">
        <v>23</v>
      </c>
      <c r="C24" s="123" t="s">
        <v>372</v>
      </c>
      <c r="D24" s="114" t="str">
        <f t="shared" ca="1" si="4"/>
        <v>SYS_C26_5, SYS_C26_7, SYS_C26_8, SYS_C26_9</v>
      </c>
      <c r="E24" s="127" t="str">
        <f t="shared" ca="1" si="5"/>
        <v>Nominal</v>
      </c>
      <c r="F24" s="92" t="str">
        <f t="shared" ca="1" si="6"/>
        <v>SYS_C26 Uncovered Req Review for traceability - OK result</v>
      </c>
      <c r="G24" s="110"/>
      <c r="H24" s="66"/>
      <c r="I24" s="67"/>
      <c r="J24" s="68"/>
      <c r="K24" s="91" t="str">
        <f t="shared" ca="1" si="14"/>
        <v>Ok</v>
      </c>
      <c r="L24" s="89"/>
      <c r="M24" s="78"/>
      <c r="N24" s="69"/>
    </row>
    <row r="25" spans="2:14" ht="75" x14ac:dyDescent="0.2">
      <c r="B25" s="65">
        <v>24</v>
      </c>
      <c r="C25" s="123" t="s">
        <v>396</v>
      </c>
      <c r="D25" s="114" t="str">
        <f t="shared" ca="1" si="4"/>
        <v xml:space="preserve">SYS_C26_10, SYS_C26_11, SYS_C26_12, SYS_C26_13, SYS_C26_14, SYS_C26_15, SYS_C26_16, SYS_C26_17, SYS_C26_18, SYS_C26_19,  SYS_C26_20, SYS_C26_21, SYS_C26_24   </v>
      </c>
      <c r="E25" s="127" t="str">
        <f t="shared" ca="1" si="5"/>
        <v>Nominal</v>
      </c>
      <c r="F25" s="92" t="str">
        <f t="shared" ca="1" si="6"/>
        <v>SYS_C26 Uncovered Req Review for traceability - TBD result</v>
      </c>
      <c r="G25" s="110"/>
      <c r="H25" s="66"/>
      <c r="I25" s="67"/>
      <c r="J25" s="68"/>
      <c r="K25" s="91" t="str">
        <f t="shared" ca="1" si="14"/>
        <v>Not run</v>
      </c>
      <c r="L25" s="89"/>
      <c r="M25" s="78"/>
      <c r="N25" s="69"/>
    </row>
    <row r="26" spans="2:14" ht="30" x14ac:dyDescent="0.2">
      <c r="B26" s="65">
        <v>25</v>
      </c>
      <c r="C26" s="123" t="s">
        <v>400</v>
      </c>
      <c r="D26" s="114" t="str">
        <f t="shared" ca="1" si="4"/>
        <v>SYS_C27_4, SYS_C27_9, SYS_C27_11, SYS_C27_17</v>
      </c>
      <c r="E26" s="127" t="str">
        <f t="shared" ca="1" si="5"/>
        <v>Nominal</v>
      </c>
      <c r="F26" s="92" t="str">
        <f t="shared" ca="1" si="6"/>
        <v>SYS_C27 Uncovered Req Review for traceability - OK result</v>
      </c>
      <c r="G26" s="110"/>
      <c r="H26" s="66"/>
      <c r="I26" s="67"/>
      <c r="J26" s="68"/>
      <c r="K26" s="91" t="str">
        <f t="shared" ca="1" si="14"/>
        <v>Ok</v>
      </c>
      <c r="L26" s="89"/>
      <c r="M26" s="78"/>
      <c r="N26" s="69"/>
    </row>
    <row r="27" spans="2:14" ht="45" x14ac:dyDescent="0.2">
      <c r="B27" s="65">
        <v>26</v>
      </c>
      <c r="C27" s="123" t="s">
        <v>401</v>
      </c>
      <c r="D27" s="114" t="str">
        <f t="shared" ca="1" si="4"/>
        <v xml:space="preserve">SYS_C27_3, SYS_C27_5, SYS_C27_6, SYS_C27_7, SYS_C27_8, SYS_C27_10, SYS_C27_16, SYS_C27_18, SYS_C27_20 </v>
      </c>
      <c r="E27" s="127" t="str">
        <f t="shared" ca="1" si="5"/>
        <v>Nominal</v>
      </c>
      <c r="F27" s="92" t="str">
        <f t="shared" ca="1" si="6"/>
        <v>SYS_C27 Uncovered Req Review for traceability - TBD result</v>
      </c>
      <c r="G27" s="110"/>
      <c r="H27" s="66"/>
      <c r="I27" s="67"/>
      <c r="J27" s="68"/>
      <c r="K27" s="91" t="str">
        <f t="shared" ca="1" si="14"/>
        <v>Not run</v>
      </c>
      <c r="L27" s="89"/>
      <c r="M27" s="78"/>
      <c r="N27" s="69"/>
    </row>
    <row r="28" spans="2:14" ht="15" x14ac:dyDescent="0.2">
      <c r="B28" s="65">
        <v>27</v>
      </c>
      <c r="C28" s="123" t="s">
        <v>430</v>
      </c>
      <c r="D28" s="114" t="str">
        <f t="shared" ca="1" si="4"/>
        <v xml:space="preserve">SYS_C27_12, SYS_C27_15, SYS_C27_14 </v>
      </c>
      <c r="E28" s="127" t="str">
        <f t="shared" ca="1" si="5"/>
        <v>Nominal</v>
      </c>
      <c r="F28" s="92" t="str">
        <f t="shared" ca="1" si="6"/>
        <v>SYS_C27 Uncovered Req Review for traceability - NOK result</v>
      </c>
      <c r="G28" s="110"/>
      <c r="H28" s="66"/>
      <c r="I28" s="67"/>
      <c r="J28" s="68"/>
      <c r="K28" s="91" t="str">
        <f t="shared" ca="1" si="14"/>
        <v>Nok</v>
      </c>
      <c r="L28" s="89"/>
      <c r="M28" s="78"/>
      <c r="N28" s="69"/>
    </row>
    <row r="29" spans="2:14" ht="60" x14ac:dyDescent="0.2">
      <c r="B29" s="64">
        <v>28</v>
      </c>
      <c r="C29" s="123" t="s">
        <v>460</v>
      </c>
      <c r="D29" s="114" t="str">
        <f t="shared" ca="1" si="4"/>
        <v>SYS_C28_3, SYS_C28_24, SYS_C28_4, SYS_C28_5, SYS_C28_7, SYS_C28_11, SYS_C28_12, SYS_C28_16, SYS_C28_18, SYS_C28_23</v>
      </c>
      <c r="E29" s="127" t="str">
        <f t="shared" ca="1" si="5"/>
        <v>Nominal</v>
      </c>
      <c r="F29" s="92" t="str">
        <f t="shared" ca="1" si="6"/>
        <v>SYS_C28 Uncovered Req Review for traceability - OK result</v>
      </c>
      <c r="G29" s="110"/>
      <c r="H29" s="66"/>
      <c r="I29" s="67"/>
      <c r="J29" s="68"/>
      <c r="K29" s="91" t="str">
        <f t="shared" ca="1" si="14"/>
        <v>Ok</v>
      </c>
      <c r="L29" s="89"/>
      <c r="M29" s="78"/>
      <c r="N29" s="69"/>
    </row>
    <row r="30" spans="2:14" ht="45" x14ac:dyDescent="0.2">
      <c r="B30" s="65">
        <v>29</v>
      </c>
      <c r="C30" s="123" t="s">
        <v>461</v>
      </c>
      <c r="D30" s="114" t="str">
        <f t="shared" ca="1" si="4"/>
        <v>SYS_C28_6, SYS_C28_8, SYS_C28_9, SYS_C28_10, SYS_C28_13, SYS_C28_14, SYS_C28_15, SYS_C28_21, SYS_C28_22</v>
      </c>
      <c r="E30" s="127" t="str">
        <f t="shared" ca="1" si="5"/>
        <v>Nominal</v>
      </c>
      <c r="F30" s="92" t="str">
        <f t="shared" ca="1" si="6"/>
        <v>SYS_C28 Uncovered Req Review for traceability - TBD result</v>
      </c>
      <c r="G30" s="110"/>
      <c r="H30" s="66"/>
      <c r="I30" s="67"/>
      <c r="J30" s="68"/>
      <c r="K30" s="91" t="str">
        <f t="shared" ca="1" si="14"/>
        <v>Not run</v>
      </c>
      <c r="L30" s="89"/>
      <c r="M30" s="78"/>
      <c r="N30" s="69"/>
    </row>
    <row r="31" spans="2:14" ht="34.5" customHeight="1" x14ac:dyDescent="0.2">
      <c r="B31" s="65">
        <v>30</v>
      </c>
      <c r="C31" s="123" t="s">
        <v>465</v>
      </c>
      <c r="D31" s="114" t="str">
        <f t="shared" ca="1" si="4"/>
        <v>SYS_C29_2, SYS_C29_3, SYS_C29_4, SYS_C29_8, SYS_C29_10</v>
      </c>
      <c r="E31" s="127" t="str">
        <f t="shared" ca="1" si="5"/>
        <v>Nominal</v>
      </c>
      <c r="F31" s="92" t="str">
        <f t="shared" ca="1" si="6"/>
        <v>SYS_C29 Uncovered Req Review for traceability - OK result</v>
      </c>
      <c r="G31" s="110"/>
      <c r="H31" s="66"/>
      <c r="I31" s="67"/>
      <c r="J31" s="68"/>
      <c r="K31" s="91" t="str">
        <f t="shared" ca="1" si="14"/>
        <v>Ok</v>
      </c>
      <c r="L31" s="89"/>
      <c r="M31" s="78"/>
      <c r="N31" s="69"/>
    </row>
    <row r="32" spans="2:14" ht="90.75" customHeight="1" x14ac:dyDescent="0.2">
      <c r="B32" s="65">
        <v>31</v>
      </c>
      <c r="C32" s="123" t="s">
        <v>495</v>
      </c>
      <c r="D32" s="114" t="str">
        <f t="shared" ca="1" si="4"/>
        <v xml:space="preserve">SYS_C30_24, SYS_C30_25, SYS_C30_26, SYS_C30_27, SYS_C30_29,  SYS_C30_30, SYS_C30_32, SYS_C30_33, SYS_C30_33, SYS_C30_34, SYS_C30_35, SYS_C30_36, SYS_C30_37, SYS_C30_38, SYS_C30_39, SYS_C30_40, SYS_C30_239, </v>
      </c>
      <c r="E32" s="127" t="str">
        <f t="shared" ca="1" si="5"/>
        <v>Nominal</v>
      </c>
      <c r="F32" s="92" t="str">
        <f t="shared" ca="1" si="6"/>
        <v>SYS_C30 Uncovered Req Review for traceability - NOK result</v>
      </c>
      <c r="G32" s="110"/>
      <c r="H32" s="66"/>
      <c r="I32" s="67"/>
      <c r="J32" s="68"/>
      <c r="K32" s="91" t="str">
        <f t="shared" ca="1" si="14"/>
        <v>Nok</v>
      </c>
      <c r="L32" s="89"/>
      <c r="M32" s="78"/>
      <c r="N32" s="69"/>
    </row>
    <row r="33" spans="2:14" ht="36" customHeight="1" x14ac:dyDescent="0.2">
      <c r="B33" s="65">
        <v>32</v>
      </c>
      <c r="C33" s="123" t="s">
        <v>508</v>
      </c>
      <c r="D33" s="114" t="str">
        <f t="shared" ca="1" si="4"/>
        <v>SYS_C30_250, SYS_C30_235, SYS_C30_233, SYS_C30_223</v>
      </c>
      <c r="E33" s="127" t="str">
        <f t="shared" ca="1" si="5"/>
        <v>Nominal</v>
      </c>
      <c r="F33" s="92" t="str">
        <f t="shared" ca="1" si="6"/>
        <v>SYS_C30 Uncovered Req Review for traceability - TBD result</v>
      </c>
      <c r="G33" s="110"/>
      <c r="H33" s="66"/>
      <c r="I33" s="67"/>
      <c r="J33" s="68"/>
      <c r="K33" s="91" t="str">
        <f t="shared" ca="1" si="14"/>
        <v>Not run</v>
      </c>
      <c r="L33" s="89"/>
      <c r="M33" s="78"/>
      <c r="N33" s="69"/>
    </row>
    <row r="34" spans="2:14" ht="66" customHeight="1" x14ac:dyDescent="0.2">
      <c r="B34" s="65">
        <v>33</v>
      </c>
      <c r="C34" s="123" t="s">
        <v>509</v>
      </c>
      <c r="D34" s="114" t="str">
        <f t="shared" ca="1" si="4"/>
        <v>SYS_C31_3, SYS_C31_4, SYS_C31_5, SYS_C31_8, SYS_C31_9, SYS_C31_13, SYS_C31_14, SYS_C31_15, SYS_C31_16, SYS_C31_17, SYS_C31_20, SYS_C31_21</v>
      </c>
      <c r="E34" s="127" t="str">
        <f t="shared" ca="1" si="5"/>
        <v>Nominal</v>
      </c>
      <c r="F34" s="92" t="str">
        <f t="shared" ca="1" si="6"/>
        <v>SYS_C31 Uncovered Req Review for traceability - OK result</v>
      </c>
      <c r="G34" s="110"/>
      <c r="H34" s="66"/>
      <c r="I34" s="67"/>
      <c r="J34" s="68"/>
      <c r="K34" s="91" t="str">
        <f t="shared" ca="1" si="14"/>
        <v>Ok</v>
      </c>
      <c r="L34" s="89"/>
      <c r="M34" s="78"/>
      <c r="N34" s="69"/>
    </row>
    <row r="35" spans="2:14" ht="15" x14ac:dyDescent="0.2">
      <c r="B35" s="65">
        <v>34</v>
      </c>
      <c r="C35" s="108"/>
      <c r="D35" s="114" t="str">
        <f t="shared" ca="1" si="4"/>
        <v/>
      </c>
      <c r="E35" s="127" t="str">
        <f t="shared" ca="1" si="5"/>
        <v/>
      </c>
      <c r="F35" s="92" t="str">
        <f t="shared" ca="1" si="6"/>
        <v/>
      </c>
      <c r="G35" s="110"/>
      <c r="H35" s="66"/>
      <c r="I35" s="67"/>
      <c r="J35" s="68"/>
      <c r="K35" s="91" t="str">
        <f t="shared" ca="1" si="14"/>
        <v/>
      </c>
      <c r="L35" s="89"/>
      <c r="M35" s="78"/>
      <c r="N35" s="69"/>
    </row>
    <row r="36" spans="2:14" ht="15" x14ac:dyDescent="0.2">
      <c r="B36" s="65">
        <v>35</v>
      </c>
      <c r="C36" s="108"/>
      <c r="D36" s="114" t="str">
        <f t="shared" ca="1" si="4"/>
        <v/>
      </c>
      <c r="E36" s="127" t="str">
        <f t="shared" ca="1" si="5"/>
        <v/>
      </c>
      <c r="F36" s="92" t="str">
        <f t="shared" ca="1" si="6"/>
        <v/>
      </c>
      <c r="G36" s="110"/>
      <c r="H36" s="66"/>
      <c r="I36" s="67"/>
      <c r="J36" s="68"/>
      <c r="K36" s="91" t="str">
        <f t="shared" ca="1" si="14"/>
        <v/>
      </c>
      <c r="L36" s="89"/>
      <c r="M36" s="78"/>
      <c r="N36" s="69"/>
    </row>
    <row r="37" spans="2:14" ht="15" x14ac:dyDescent="0.2">
      <c r="B37" s="65">
        <v>36</v>
      </c>
      <c r="C37" s="108"/>
      <c r="D37" s="114" t="str">
        <f t="shared" ca="1" si="4"/>
        <v/>
      </c>
      <c r="E37" s="127" t="str">
        <f t="shared" ca="1" si="5"/>
        <v/>
      </c>
      <c r="F37" s="92" t="str">
        <f t="shared" ca="1" si="6"/>
        <v/>
      </c>
      <c r="G37" s="110"/>
      <c r="H37" s="66"/>
      <c r="I37" s="67"/>
      <c r="J37" s="68"/>
      <c r="K37" s="91" t="str">
        <f t="shared" ca="1" si="14"/>
        <v/>
      </c>
      <c r="L37" s="89"/>
      <c r="M37" s="78"/>
      <c r="N37" s="69"/>
    </row>
    <row r="38" spans="2:14" ht="15" x14ac:dyDescent="0.2">
      <c r="B38" s="64">
        <v>37</v>
      </c>
      <c r="C38" s="108"/>
      <c r="D38" s="114" t="str">
        <f t="shared" ca="1" si="4"/>
        <v/>
      </c>
      <c r="E38" s="127" t="str">
        <f t="shared" ca="1" si="5"/>
        <v/>
      </c>
      <c r="F38" s="92" t="str">
        <f t="shared" ca="1" si="6"/>
        <v/>
      </c>
      <c r="G38" s="110"/>
      <c r="H38" s="66"/>
      <c r="I38" s="67"/>
      <c r="J38" s="68"/>
      <c r="K38" s="91" t="str">
        <f t="shared" ca="1" si="14"/>
        <v/>
      </c>
      <c r="L38" s="89"/>
      <c r="M38" s="78"/>
      <c r="N38" s="69"/>
    </row>
    <row r="39" spans="2:14" ht="15" x14ac:dyDescent="0.2">
      <c r="B39" s="65">
        <v>38</v>
      </c>
      <c r="C39" s="108"/>
      <c r="D39" s="114" t="str">
        <f t="shared" ca="1" si="4"/>
        <v/>
      </c>
      <c r="E39" s="127" t="str">
        <f t="shared" ca="1" si="5"/>
        <v/>
      </c>
      <c r="F39" s="92" t="str">
        <f t="shared" ca="1" si="6"/>
        <v/>
      </c>
      <c r="G39" s="110"/>
      <c r="H39" s="66"/>
      <c r="I39" s="67"/>
      <c r="J39" s="68"/>
      <c r="K39" s="91" t="str">
        <f t="shared" ca="1" si="14"/>
        <v/>
      </c>
      <c r="L39" s="89"/>
      <c r="M39" s="78"/>
      <c r="N39" s="69"/>
    </row>
    <row r="40" spans="2:14" ht="15" x14ac:dyDescent="0.2">
      <c r="B40" s="65">
        <v>39</v>
      </c>
      <c r="C40" s="108"/>
      <c r="D40" s="114" t="str">
        <f t="shared" ca="1" si="4"/>
        <v/>
      </c>
      <c r="E40" s="127" t="str">
        <f t="shared" ca="1" si="5"/>
        <v/>
      </c>
      <c r="F40" s="92" t="str">
        <f t="shared" ca="1" si="6"/>
        <v/>
      </c>
      <c r="G40" s="110"/>
      <c r="H40" s="66"/>
      <c r="I40" s="67"/>
      <c r="J40" s="68"/>
      <c r="K40" s="91" t="str">
        <f t="shared" ca="1" si="14"/>
        <v/>
      </c>
      <c r="L40" s="89"/>
      <c r="M40" s="78"/>
      <c r="N40" s="69"/>
    </row>
    <row r="41" spans="2:14" ht="15" x14ac:dyDescent="0.2">
      <c r="B41" s="65">
        <v>40</v>
      </c>
      <c r="C41" s="108"/>
      <c r="D41" s="114" t="str">
        <f t="shared" ca="1" si="4"/>
        <v/>
      </c>
      <c r="E41" s="127" t="str">
        <f t="shared" ca="1" si="5"/>
        <v/>
      </c>
      <c r="F41" s="92" t="str">
        <f t="shared" ca="1" si="6"/>
        <v/>
      </c>
      <c r="G41" s="110"/>
      <c r="H41" s="66"/>
      <c r="I41" s="67"/>
      <c r="J41" s="68"/>
      <c r="K41" s="91" t="str">
        <f t="shared" ca="1" si="14"/>
        <v/>
      </c>
      <c r="L41" s="89"/>
      <c r="M41" s="78"/>
      <c r="N41" s="69"/>
    </row>
    <row r="42" spans="2:14" ht="15" x14ac:dyDescent="0.2">
      <c r="B42" s="65">
        <v>41</v>
      </c>
      <c r="C42" s="108"/>
      <c r="D42" s="114" t="str">
        <f t="shared" ca="1" si="4"/>
        <v/>
      </c>
      <c r="E42" s="127" t="str">
        <f t="shared" ca="1" si="5"/>
        <v/>
      </c>
      <c r="F42" s="92" t="str">
        <f t="shared" ca="1" si="6"/>
        <v/>
      </c>
      <c r="G42" s="110"/>
      <c r="H42" s="66"/>
      <c r="I42" s="67"/>
      <c r="J42" s="68"/>
      <c r="K42" s="91" t="str">
        <f t="shared" ca="1" si="14"/>
        <v/>
      </c>
      <c r="L42" s="89"/>
      <c r="M42" s="78"/>
      <c r="N42" s="69"/>
    </row>
    <row r="43" spans="2:14" ht="15" x14ac:dyDescent="0.2">
      <c r="B43" s="65">
        <v>42</v>
      </c>
      <c r="C43" s="108"/>
      <c r="D43" s="114" t="str">
        <f t="shared" ca="1" si="4"/>
        <v/>
      </c>
      <c r="E43" s="127" t="str">
        <f t="shared" ca="1" si="5"/>
        <v/>
      </c>
      <c r="F43" s="92" t="str">
        <f t="shared" ca="1" si="6"/>
        <v/>
      </c>
      <c r="G43" s="110"/>
      <c r="H43" s="66"/>
      <c r="I43" s="67"/>
      <c r="J43" s="68"/>
      <c r="K43" s="91" t="str">
        <f t="shared" ca="1" si="14"/>
        <v/>
      </c>
      <c r="L43" s="89"/>
      <c r="M43" s="78"/>
      <c r="N43" s="69"/>
    </row>
    <row r="44" spans="2:14" ht="15" x14ac:dyDescent="0.2">
      <c r="B44" s="65">
        <v>43</v>
      </c>
      <c r="C44" s="108"/>
      <c r="D44" s="114" t="str">
        <f t="shared" ca="1" si="4"/>
        <v/>
      </c>
      <c r="E44" s="127" t="str">
        <f t="shared" ca="1" si="5"/>
        <v/>
      </c>
      <c r="F44" s="92" t="str">
        <f t="shared" ca="1" si="6"/>
        <v/>
      </c>
      <c r="G44" s="110"/>
      <c r="H44" s="66"/>
      <c r="I44" s="67"/>
      <c r="J44" s="68"/>
      <c r="K44" s="91" t="str">
        <f t="shared" ca="1" si="14"/>
        <v/>
      </c>
      <c r="L44" s="89"/>
      <c r="M44" s="78"/>
      <c r="N44" s="69"/>
    </row>
    <row r="45" spans="2:14" ht="15" x14ac:dyDescent="0.2">
      <c r="B45" s="65">
        <v>44</v>
      </c>
      <c r="C45" s="108"/>
      <c r="D45" s="114" t="str">
        <f t="shared" ca="1" si="4"/>
        <v/>
      </c>
      <c r="E45" s="127" t="str">
        <f t="shared" ca="1" si="5"/>
        <v/>
      </c>
      <c r="F45" s="92" t="str">
        <f t="shared" ca="1" si="6"/>
        <v/>
      </c>
      <c r="G45" s="110"/>
      <c r="H45" s="66"/>
      <c r="I45" s="67"/>
      <c r="J45" s="68"/>
      <c r="K45" s="91" t="str">
        <f t="shared" ca="1" si="14"/>
        <v/>
      </c>
      <c r="L45" s="89"/>
      <c r="M45" s="78"/>
      <c r="N45" s="69"/>
    </row>
    <row r="46" spans="2:14" ht="15.75" thickBot="1" x14ac:dyDescent="0.25">
      <c r="B46" s="70">
        <v>45</v>
      </c>
      <c r="C46" s="108"/>
      <c r="D46" s="114" t="str">
        <f t="shared" ca="1" si="4"/>
        <v/>
      </c>
      <c r="E46" s="127" t="str">
        <f t="shared" ca="1" si="5"/>
        <v/>
      </c>
      <c r="F46" s="92" t="str">
        <f t="shared" ca="1" si="6"/>
        <v/>
      </c>
      <c r="G46" s="110"/>
      <c r="H46" s="66"/>
      <c r="I46" s="67"/>
      <c r="J46" s="68"/>
      <c r="K46" s="91" t="str">
        <f t="shared" ca="1" si="14"/>
        <v/>
      </c>
      <c r="L46" s="89"/>
      <c r="M46" s="78"/>
      <c r="N46" s="69"/>
    </row>
    <row r="47" spans="2:14" ht="15.75" thickBot="1" x14ac:dyDescent="0.25">
      <c r="B47" s="70">
        <v>45</v>
      </c>
      <c r="C47" s="109"/>
      <c r="D47" s="114" t="str">
        <f t="shared" ca="1" si="4"/>
        <v/>
      </c>
      <c r="E47" s="127" t="str">
        <f t="shared" ca="1" si="5"/>
        <v/>
      </c>
      <c r="F47" s="92" t="str">
        <f t="shared" ca="1" si="6"/>
        <v/>
      </c>
      <c r="G47" s="110"/>
      <c r="H47" s="66"/>
      <c r="I47" s="67"/>
      <c r="J47" s="68"/>
      <c r="K47" s="91" t="str">
        <f t="shared" ca="1" si="14"/>
        <v/>
      </c>
      <c r="L47" s="89"/>
      <c r="M47" s="78"/>
      <c r="N47" s="69"/>
    </row>
  </sheetData>
  <conditionalFormatting sqref="K3:K47">
    <cfRule type="cellIs" dxfId="1090" priority="16" operator="equal">
      <formula>"Nok"</formula>
    </cfRule>
    <cfRule type="cellIs" dxfId="1089" priority="17" operator="equal">
      <formula>"Ok"</formula>
    </cfRule>
  </conditionalFormatting>
  <conditionalFormatting sqref="C35:C47 G15:J47 L14:N47 G14:H14 L4:N11 G4:J11 C3:C11">
    <cfRule type="expression" dxfId="1088" priority="15">
      <formula>$C3&lt;&gt;""</formula>
    </cfRule>
  </conditionalFormatting>
  <conditionalFormatting sqref="L12:N12 G12:J12">
    <cfRule type="expression" dxfId="1087" priority="12">
      <formula>$C12&lt;&gt;""</formula>
    </cfRule>
  </conditionalFormatting>
  <conditionalFormatting sqref="L13:N13 G13:J13">
    <cfRule type="expression" dxfId="1086" priority="9">
      <formula>$C13&lt;&gt;""</formula>
    </cfRule>
  </conditionalFormatting>
  <conditionalFormatting sqref="I14">
    <cfRule type="expression" dxfId="1085" priority="8">
      <formula>$C14&lt;&gt;""</formula>
    </cfRule>
  </conditionalFormatting>
  <conditionalFormatting sqref="J14">
    <cfRule type="expression" dxfId="1084" priority="7">
      <formula>$C14&lt;&gt;""</formula>
    </cfRule>
  </conditionalFormatting>
  <conditionalFormatting sqref="C12:C18">
    <cfRule type="expression" dxfId="1083" priority="6">
      <formula>$C12&lt;&gt;""</formula>
    </cfRule>
  </conditionalFormatting>
  <conditionalFormatting sqref="C19:C23">
    <cfRule type="expression" dxfId="1082" priority="5">
      <formula>$C19&lt;&gt;""</formula>
    </cfRule>
  </conditionalFormatting>
  <conditionalFormatting sqref="C24:C25">
    <cfRule type="expression" dxfId="1081" priority="4">
      <formula>$C24&lt;&gt;""</formula>
    </cfRule>
  </conditionalFormatting>
  <conditionalFormatting sqref="C26:C28">
    <cfRule type="expression" dxfId="1080" priority="3">
      <formula>$C26&lt;&gt;""</formula>
    </cfRule>
  </conditionalFormatting>
  <conditionalFormatting sqref="C29:C33">
    <cfRule type="expression" dxfId="1079" priority="2">
      <formula>$C29&lt;&gt;""</formula>
    </cfRule>
  </conditionalFormatting>
  <conditionalFormatting sqref="C34">
    <cfRule type="expression" dxfId="39" priority="1">
      <formula>$C34&lt;&gt;""</formula>
    </cfRule>
  </conditionalFormatting>
  <dataValidations count="2">
    <dataValidation type="list" allowBlank="1" showInputMessage="1" showErrorMessage="1" sqref="G3:G47">
      <formula1>",X,"</formula1>
    </dataValidation>
    <dataValidation type="list" allowBlank="1" showInputMessage="1" showErrorMessage="1" sqref="H3:H47">
      <formula1>"1,2,3,"</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Reserved&amp;LE1355904 rev 000 ver 001&amp;R&amp;P</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workbookViewId="0">
      <selection activeCell="J17" sqref="J17"/>
    </sheetView>
  </sheetViews>
  <sheetFormatPr defaultRowHeight="12.75" x14ac:dyDescent="0.2"/>
  <cols>
    <col min="1" max="1" width="20.140625" style="97" customWidth="1"/>
    <col min="2" max="2" width="18.42578125" style="93" customWidth="1"/>
    <col min="3" max="7" width="9.140625" style="93"/>
    <col min="8" max="15" width="9.5703125" style="93" customWidth="1"/>
    <col min="16" max="16384" width="9.140625" style="93"/>
  </cols>
  <sheetData>
    <row r="1" spans="1:15" ht="13.5" thickBot="1" x14ac:dyDescent="0.25">
      <c r="A1" s="98" t="s">
        <v>41</v>
      </c>
      <c r="B1" s="234" t="s">
        <v>200</v>
      </c>
      <c r="C1" s="235"/>
      <c r="D1" s="235"/>
      <c r="E1" s="235"/>
      <c r="F1" s="235"/>
      <c r="G1" s="236"/>
      <c r="H1" s="73"/>
      <c r="I1" s="73"/>
      <c r="J1" s="73"/>
      <c r="K1" s="73"/>
      <c r="L1" s="73"/>
      <c r="M1" s="73"/>
      <c r="N1" s="73"/>
      <c r="O1" s="73"/>
    </row>
    <row r="2" spans="1:15" ht="13.5" thickBot="1" x14ac:dyDescent="0.25">
      <c r="A2" s="71"/>
      <c r="B2" s="72"/>
      <c r="C2" s="72"/>
      <c r="D2" s="73"/>
      <c r="E2" s="73"/>
      <c r="F2" s="73"/>
      <c r="G2" s="73"/>
      <c r="H2" s="73"/>
      <c r="I2" s="73"/>
      <c r="J2" s="73"/>
      <c r="K2" s="73"/>
      <c r="L2" s="73"/>
      <c r="M2" s="73"/>
      <c r="N2" s="73"/>
      <c r="O2" s="73"/>
    </row>
    <row r="3" spans="1:15" ht="61.5" customHeight="1" thickBot="1" x14ac:dyDescent="0.25">
      <c r="A3" s="99" t="s">
        <v>46</v>
      </c>
      <c r="B3" s="237" t="s">
        <v>206</v>
      </c>
      <c r="C3" s="238"/>
      <c r="D3" s="238"/>
      <c r="E3" s="238"/>
      <c r="F3" s="238"/>
      <c r="G3" s="239"/>
      <c r="H3" s="73"/>
      <c r="I3" s="73"/>
      <c r="J3" s="73"/>
      <c r="K3" s="73"/>
      <c r="L3" s="73"/>
      <c r="M3" s="73"/>
      <c r="N3" s="73"/>
      <c r="O3" s="73"/>
    </row>
    <row r="4" spans="1:15" ht="13.5" thickBot="1" x14ac:dyDescent="0.25">
      <c r="A4" s="71"/>
      <c r="B4" s="72"/>
      <c r="C4" s="72"/>
      <c r="D4" s="73"/>
      <c r="E4" s="73"/>
      <c r="F4" s="73"/>
      <c r="G4" s="73"/>
      <c r="H4" s="73"/>
      <c r="I4" s="73"/>
      <c r="J4" s="73"/>
      <c r="K4" s="73"/>
      <c r="L4" s="73"/>
      <c r="M4" s="73"/>
      <c r="N4" s="73"/>
      <c r="O4" s="73"/>
    </row>
    <row r="5" spans="1:15" ht="13.5" thickBot="1" x14ac:dyDescent="0.25">
      <c r="A5" s="98" t="s">
        <v>111</v>
      </c>
      <c r="B5" s="76" t="s">
        <v>142</v>
      </c>
      <c r="C5" s="72"/>
      <c r="D5" s="73"/>
      <c r="E5" s="73"/>
      <c r="F5" s="73"/>
      <c r="G5" s="73"/>
      <c r="H5" s="73"/>
      <c r="I5" s="73"/>
      <c r="J5" s="73"/>
      <c r="K5" s="73"/>
      <c r="L5" s="73"/>
      <c r="M5" s="73"/>
      <c r="N5" s="73"/>
      <c r="O5" s="73"/>
    </row>
    <row r="6" spans="1:15" ht="13.5" thickBot="1" x14ac:dyDescent="0.25">
      <c r="A6" s="71"/>
      <c r="B6" s="72"/>
      <c r="C6" s="72"/>
      <c r="D6" s="73"/>
      <c r="E6" s="73"/>
      <c r="F6" s="73"/>
      <c r="G6" s="73"/>
      <c r="H6" s="73"/>
      <c r="I6" s="73"/>
      <c r="J6" s="73"/>
      <c r="K6" s="73"/>
      <c r="L6" s="73"/>
      <c r="M6" s="73"/>
      <c r="N6" s="73"/>
      <c r="O6" s="73"/>
    </row>
    <row r="7" spans="1:15" ht="27.75" customHeight="1" thickBot="1" x14ac:dyDescent="0.25">
      <c r="A7" s="98" t="s">
        <v>42</v>
      </c>
      <c r="B7" s="237" t="s">
        <v>199</v>
      </c>
      <c r="C7" s="238"/>
      <c r="D7" s="238"/>
      <c r="E7" s="238"/>
      <c r="F7" s="238"/>
      <c r="G7" s="239"/>
      <c r="H7" s="73"/>
      <c r="I7" s="73"/>
      <c r="J7" s="73"/>
      <c r="K7" s="73"/>
      <c r="L7" s="73"/>
      <c r="M7" s="73"/>
      <c r="N7" s="73"/>
      <c r="O7" s="73"/>
    </row>
    <row r="8" spans="1:15" ht="13.5" thickBot="1" x14ac:dyDescent="0.25">
      <c r="A8" s="75"/>
      <c r="B8" s="74"/>
      <c r="C8" s="74"/>
      <c r="D8" s="74"/>
      <c r="E8" s="74"/>
      <c r="F8" s="74"/>
      <c r="G8" s="74"/>
      <c r="H8" s="73"/>
      <c r="I8" s="73"/>
      <c r="J8" s="73"/>
      <c r="K8" s="73"/>
      <c r="L8" s="73"/>
      <c r="M8" s="73"/>
      <c r="N8" s="73"/>
      <c r="O8" s="73"/>
    </row>
    <row r="9" spans="1:15" ht="13.5" thickBot="1" x14ac:dyDescent="0.25">
      <c r="A9" s="98" t="s">
        <v>43</v>
      </c>
      <c r="B9" s="103" t="s">
        <v>144</v>
      </c>
      <c r="C9" s="72"/>
      <c r="D9" s="73"/>
      <c r="E9" s="73"/>
      <c r="F9" s="73"/>
      <c r="G9" s="73"/>
      <c r="H9" s="73"/>
      <c r="I9" s="73"/>
      <c r="J9" s="73"/>
      <c r="K9" s="73"/>
      <c r="L9" s="73"/>
      <c r="M9" s="73"/>
      <c r="N9" s="73"/>
      <c r="O9" s="73"/>
    </row>
    <row r="10" spans="1:15" ht="13.5" thickBot="1" x14ac:dyDescent="0.25">
      <c r="A10" s="75"/>
      <c r="B10" s="94"/>
      <c r="C10" s="72"/>
      <c r="D10" s="73"/>
      <c r="E10" s="73"/>
      <c r="F10" s="73"/>
      <c r="G10" s="73"/>
      <c r="H10" s="73"/>
      <c r="I10" s="73"/>
      <c r="J10" s="73"/>
      <c r="K10" s="73"/>
      <c r="L10" s="73"/>
      <c r="M10" s="73"/>
      <c r="N10" s="73"/>
      <c r="O10" s="73"/>
    </row>
    <row r="11" spans="1:15" ht="12" customHeight="1" x14ac:dyDescent="0.2">
      <c r="A11" s="223" t="s">
        <v>113</v>
      </c>
      <c r="B11" s="225"/>
      <c r="C11" s="226"/>
      <c r="D11" s="226"/>
      <c r="E11" s="226"/>
      <c r="F11" s="226"/>
      <c r="G11" s="227"/>
      <c r="H11" s="73"/>
      <c r="I11" s="73"/>
      <c r="J11" s="73"/>
      <c r="K11" s="73"/>
      <c r="L11" s="73"/>
      <c r="M11" s="73"/>
      <c r="N11" s="73"/>
      <c r="O11" s="73"/>
    </row>
    <row r="12" spans="1:15" x14ac:dyDescent="0.2">
      <c r="A12" s="224"/>
      <c r="B12" s="228"/>
      <c r="C12" s="229"/>
      <c r="D12" s="229"/>
      <c r="E12" s="229"/>
      <c r="F12" s="229"/>
      <c r="G12" s="230"/>
      <c r="H12" s="73"/>
      <c r="I12" s="73"/>
      <c r="J12" s="73"/>
      <c r="K12" s="73"/>
      <c r="L12" s="73"/>
      <c r="M12" s="73"/>
      <c r="N12" s="73"/>
      <c r="O12" s="73"/>
    </row>
    <row r="13" spans="1:15" x14ac:dyDescent="0.2">
      <c r="A13" s="224"/>
      <c r="B13" s="228"/>
      <c r="C13" s="229"/>
      <c r="D13" s="229"/>
      <c r="E13" s="229"/>
      <c r="F13" s="229"/>
      <c r="G13" s="230"/>
      <c r="H13" s="71"/>
      <c r="I13" s="73"/>
      <c r="J13" s="73"/>
      <c r="K13" s="73"/>
      <c r="L13" s="73"/>
      <c r="M13" s="73"/>
      <c r="N13" s="73"/>
      <c r="O13" s="73"/>
    </row>
    <row r="14" spans="1:15" ht="13.5" thickBot="1" x14ac:dyDescent="0.25">
      <c r="A14" s="224"/>
      <c r="B14" s="231"/>
      <c r="C14" s="232"/>
      <c r="D14" s="232"/>
      <c r="E14" s="232"/>
      <c r="F14" s="232"/>
      <c r="G14" s="233"/>
      <c r="H14" s="77"/>
      <c r="I14" s="73"/>
      <c r="J14" s="73"/>
      <c r="K14" s="73"/>
      <c r="L14" s="73"/>
      <c r="M14" s="73"/>
      <c r="N14" s="73"/>
      <c r="O14" s="73"/>
    </row>
    <row r="15" spans="1:15" ht="13.5" thickBot="1" x14ac:dyDescent="0.25">
      <c r="A15" s="71"/>
      <c r="B15" s="71"/>
      <c r="C15" s="71"/>
      <c r="D15" s="71"/>
      <c r="E15" s="71"/>
      <c r="F15" s="71"/>
      <c r="G15" s="71"/>
      <c r="H15" s="77"/>
      <c r="I15" s="73"/>
      <c r="J15" s="73"/>
      <c r="K15" s="73"/>
      <c r="L15" s="73"/>
      <c r="M15" s="73"/>
      <c r="N15" s="73"/>
      <c r="O15" s="73"/>
    </row>
    <row r="16" spans="1:15" x14ac:dyDescent="0.2">
      <c r="A16" s="223" t="s">
        <v>44</v>
      </c>
      <c r="B16" s="225"/>
      <c r="C16" s="226"/>
      <c r="D16" s="226"/>
      <c r="E16" s="226"/>
      <c r="F16" s="226"/>
      <c r="G16" s="227"/>
      <c r="H16" s="73"/>
      <c r="I16" s="73"/>
      <c r="J16" s="73"/>
      <c r="K16" s="73"/>
      <c r="L16" s="73"/>
      <c r="M16" s="73"/>
      <c r="N16" s="73"/>
      <c r="O16" s="73"/>
    </row>
    <row r="17" spans="1:16" x14ac:dyDescent="0.2">
      <c r="A17" s="224"/>
      <c r="B17" s="228"/>
      <c r="C17" s="229"/>
      <c r="D17" s="229"/>
      <c r="E17" s="229"/>
      <c r="F17" s="229"/>
      <c r="G17" s="230"/>
      <c r="H17" s="73"/>
      <c r="I17" s="73"/>
      <c r="J17" s="73"/>
      <c r="K17" s="73"/>
      <c r="L17" s="73"/>
      <c r="M17" s="73"/>
      <c r="N17" s="73"/>
      <c r="O17" s="73"/>
    </row>
    <row r="18" spans="1:16" x14ac:dyDescent="0.2">
      <c r="A18" s="224"/>
      <c r="B18" s="228"/>
      <c r="C18" s="229"/>
      <c r="D18" s="229"/>
      <c r="E18" s="229"/>
      <c r="F18" s="229"/>
      <c r="G18" s="230"/>
      <c r="H18" s="71"/>
      <c r="I18" s="73"/>
      <c r="J18" s="73"/>
      <c r="K18" s="73"/>
      <c r="L18" s="73"/>
      <c r="M18" s="73"/>
      <c r="N18" s="73"/>
      <c r="O18" s="73"/>
    </row>
    <row r="19" spans="1:16" ht="13.5" thickBot="1" x14ac:dyDescent="0.25">
      <c r="A19" s="224"/>
      <c r="B19" s="231"/>
      <c r="C19" s="232"/>
      <c r="D19" s="232"/>
      <c r="E19" s="232"/>
      <c r="F19" s="232"/>
      <c r="G19" s="233"/>
      <c r="H19" s="77"/>
      <c r="I19" s="73"/>
      <c r="J19" s="73"/>
      <c r="K19" s="73"/>
      <c r="L19" s="73"/>
      <c r="M19" s="73"/>
      <c r="N19" s="73"/>
      <c r="O19" s="73"/>
    </row>
    <row r="20" spans="1:16" ht="13.5" thickBot="1" x14ac:dyDescent="0.25">
      <c r="A20" s="71"/>
      <c r="B20" s="71"/>
      <c r="C20" s="71"/>
      <c r="D20" s="71"/>
      <c r="E20" s="71"/>
      <c r="F20" s="71"/>
      <c r="G20" s="71"/>
      <c r="H20" s="77"/>
      <c r="I20" s="73"/>
      <c r="J20" s="73"/>
      <c r="K20" s="73"/>
      <c r="L20" s="73"/>
      <c r="M20" s="73"/>
      <c r="N20" s="73"/>
      <c r="O20" s="73"/>
    </row>
    <row r="21" spans="1:16" ht="12.75" customHeight="1" x14ac:dyDescent="0.2">
      <c r="A21" s="220" t="s">
        <v>48</v>
      </c>
      <c r="B21" s="221"/>
      <c r="C21" s="221"/>
      <c r="D21" s="221"/>
      <c r="E21" s="221"/>
      <c r="F21" s="221"/>
      <c r="G21" s="222"/>
      <c r="H21" s="220" t="s">
        <v>49</v>
      </c>
      <c r="I21" s="221"/>
      <c r="J21" s="221"/>
      <c r="K21" s="222"/>
      <c r="L21" s="220" t="s">
        <v>60</v>
      </c>
      <c r="M21" s="221"/>
      <c r="N21" s="221"/>
      <c r="O21" s="222"/>
      <c r="P21" s="100" t="s">
        <v>47</v>
      </c>
    </row>
    <row r="22" spans="1:16" ht="66.75" customHeight="1" x14ac:dyDescent="0.2">
      <c r="A22" s="101" t="s">
        <v>50</v>
      </c>
      <c r="B22" s="216" t="s">
        <v>207</v>
      </c>
      <c r="C22" s="216"/>
      <c r="D22" s="216"/>
      <c r="E22" s="216"/>
      <c r="F22" s="216"/>
      <c r="G22" s="216"/>
      <c r="H22" s="216" t="s">
        <v>171</v>
      </c>
      <c r="I22" s="216"/>
      <c r="J22" s="216"/>
      <c r="K22" s="216"/>
      <c r="L22" s="216"/>
      <c r="M22" s="216"/>
      <c r="N22" s="216"/>
      <c r="O22" s="216"/>
      <c r="P22" s="95" t="s">
        <v>144</v>
      </c>
    </row>
    <row r="23" spans="1:16" ht="42.75" customHeight="1" x14ac:dyDescent="0.2">
      <c r="A23" s="101" t="s">
        <v>51</v>
      </c>
      <c r="B23" s="216" t="s">
        <v>208</v>
      </c>
      <c r="C23" s="216"/>
      <c r="D23" s="216"/>
      <c r="E23" s="216"/>
      <c r="F23" s="216"/>
      <c r="G23" s="216"/>
      <c r="H23" s="216" t="s">
        <v>171</v>
      </c>
      <c r="I23" s="216"/>
      <c r="J23" s="216"/>
      <c r="K23" s="216"/>
      <c r="L23" s="216"/>
      <c r="M23" s="216"/>
      <c r="N23" s="216"/>
      <c r="O23" s="216"/>
      <c r="P23" s="95" t="s">
        <v>144</v>
      </c>
    </row>
    <row r="24" spans="1:16" ht="45.75" customHeight="1" x14ac:dyDescent="0.2">
      <c r="A24" s="101" t="s">
        <v>52</v>
      </c>
      <c r="B24" s="216" t="s">
        <v>209</v>
      </c>
      <c r="C24" s="216"/>
      <c r="D24" s="216"/>
      <c r="E24" s="216"/>
      <c r="F24" s="216"/>
      <c r="G24" s="216"/>
      <c r="H24" s="216" t="s">
        <v>171</v>
      </c>
      <c r="I24" s="216"/>
      <c r="J24" s="216"/>
      <c r="K24" s="216"/>
      <c r="L24" s="216"/>
      <c r="M24" s="216"/>
      <c r="N24" s="216"/>
      <c r="O24" s="216"/>
      <c r="P24" s="95" t="s">
        <v>144</v>
      </c>
    </row>
    <row r="25" spans="1:16" ht="67.5" customHeight="1" x14ac:dyDescent="0.2">
      <c r="A25" s="101" t="s">
        <v>53</v>
      </c>
      <c r="B25" s="216" t="s">
        <v>210</v>
      </c>
      <c r="C25" s="216"/>
      <c r="D25" s="216"/>
      <c r="E25" s="216"/>
      <c r="F25" s="216"/>
      <c r="G25" s="216"/>
      <c r="H25" s="216" t="s">
        <v>171</v>
      </c>
      <c r="I25" s="216"/>
      <c r="J25" s="216"/>
      <c r="K25" s="216"/>
      <c r="L25" s="216"/>
      <c r="M25" s="216"/>
      <c r="N25" s="216"/>
      <c r="O25" s="216"/>
      <c r="P25" s="95" t="s">
        <v>144</v>
      </c>
    </row>
    <row r="26" spans="1:16" ht="79.5" customHeight="1" x14ac:dyDescent="0.2">
      <c r="A26" s="101" t="s">
        <v>54</v>
      </c>
      <c r="B26" s="216" t="s">
        <v>211</v>
      </c>
      <c r="C26" s="216"/>
      <c r="D26" s="216"/>
      <c r="E26" s="216"/>
      <c r="F26" s="216"/>
      <c r="G26" s="216"/>
      <c r="H26" s="216" t="s">
        <v>171</v>
      </c>
      <c r="I26" s="216"/>
      <c r="J26" s="216"/>
      <c r="K26" s="216"/>
      <c r="L26" s="216"/>
      <c r="M26" s="216"/>
      <c r="N26" s="216"/>
      <c r="O26" s="216"/>
      <c r="P26" s="95" t="s">
        <v>144</v>
      </c>
    </row>
    <row r="27" spans="1:16" ht="29.25" customHeight="1" x14ac:dyDescent="0.2">
      <c r="A27" s="101" t="s">
        <v>55</v>
      </c>
      <c r="B27" s="217"/>
      <c r="C27" s="218"/>
      <c r="D27" s="218"/>
      <c r="E27" s="218"/>
      <c r="F27" s="218"/>
      <c r="G27" s="219"/>
      <c r="H27" s="216"/>
      <c r="I27" s="216"/>
      <c r="J27" s="216"/>
      <c r="K27" s="216"/>
      <c r="L27" s="216"/>
      <c r="M27" s="216"/>
      <c r="N27" s="216"/>
      <c r="O27" s="216"/>
      <c r="P27" s="95"/>
    </row>
    <row r="28" spans="1:16" ht="29.25" customHeight="1" x14ac:dyDescent="0.2">
      <c r="A28" s="101" t="s">
        <v>56</v>
      </c>
      <c r="B28" s="217"/>
      <c r="C28" s="218"/>
      <c r="D28" s="218"/>
      <c r="E28" s="218"/>
      <c r="F28" s="218"/>
      <c r="G28" s="219"/>
      <c r="H28" s="216"/>
      <c r="I28" s="216"/>
      <c r="J28" s="216"/>
      <c r="K28" s="216"/>
      <c r="L28" s="216"/>
      <c r="M28" s="216"/>
      <c r="N28" s="216"/>
      <c r="O28" s="216"/>
      <c r="P28" s="95"/>
    </row>
    <row r="29" spans="1:16" ht="29.25" customHeight="1" x14ac:dyDescent="0.2">
      <c r="A29" s="101" t="s">
        <v>57</v>
      </c>
      <c r="B29" s="217"/>
      <c r="C29" s="218"/>
      <c r="D29" s="218"/>
      <c r="E29" s="218"/>
      <c r="F29" s="218"/>
      <c r="G29" s="219"/>
      <c r="H29" s="216"/>
      <c r="I29" s="216"/>
      <c r="J29" s="216"/>
      <c r="K29" s="216"/>
      <c r="L29" s="216"/>
      <c r="M29" s="216"/>
      <c r="N29" s="216"/>
      <c r="O29" s="216"/>
      <c r="P29" s="95"/>
    </row>
    <row r="30" spans="1:16" ht="45.75" customHeight="1" thickBot="1" x14ac:dyDescent="0.25">
      <c r="A30" s="102" t="s">
        <v>58</v>
      </c>
      <c r="B30" s="212"/>
      <c r="C30" s="213"/>
      <c r="D30" s="213"/>
      <c r="E30" s="213"/>
      <c r="F30" s="213"/>
      <c r="G30" s="214"/>
      <c r="H30" s="215"/>
      <c r="I30" s="215"/>
      <c r="J30" s="215"/>
      <c r="K30" s="215"/>
      <c r="L30" s="215"/>
      <c r="M30" s="215"/>
      <c r="N30" s="215"/>
      <c r="O30" s="215"/>
      <c r="P30" s="96"/>
    </row>
    <row r="31" spans="1:16" ht="29.25" customHeight="1" thickBot="1" x14ac:dyDescent="0.25">
      <c r="A31" s="102" t="s">
        <v>145</v>
      </c>
      <c r="B31" s="217"/>
      <c r="C31" s="218"/>
      <c r="D31" s="218"/>
      <c r="E31" s="218"/>
      <c r="F31" s="218"/>
      <c r="G31" s="219"/>
      <c r="H31" s="216"/>
      <c r="I31" s="216"/>
      <c r="J31" s="216"/>
      <c r="K31" s="216"/>
      <c r="L31" s="216"/>
      <c r="M31" s="216"/>
      <c r="N31" s="216"/>
      <c r="O31" s="216"/>
      <c r="P31" s="95"/>
    </row>
    <row r="32" spans="1:16" ht="55.5" customHeight="1" thickBot="1" x14ac:dyDescent="0.25">
      <c r="A32" s="102" t="s">
        <v>146</v>
      </c>
      <c r="B32" s="217"/>
      <c r="C32" s="218"/>
      <c r="D32" s="218"/>
      <c r="E32" s="218"/>
      <c r="F32" s="218"/>
      <c r="G32" s="219"/>
      <c r="H32" s="216"/>
      <c r="I32" s="216"/>
      <c r="J32" s="216"/>
      <c r="K32" s="216"/>
      <c r="L32" s="216"/>
      <c r="M32" s="216"/>
      <c r="N32" s="216"/>
      <c r="O32" s="216"/>
      <c r="P32" s="95"/>
    </row>
    <row r="33" spans="1:16" ht="45.75" customHeight="1" thickBot="1" x14ac:dyDescent="0.25">
      <c r="A33" s="102" t="s">
        <v>147</v>
      </c>
      <c r="B33" s="212"/>
      <c r="C33" s="213"/>
      <c r="D33" s="213"/>
      <c r="E33" s="213"/>
      <c r="F33" s="213"/>
      <c r="G33" s="214"/>
      <c r="H33" s="215"/>
      <c r="I33" s="215"/>
      <c r="J33" s="215"/>
      <c r="K33" s="215"/>
      <c r="L33" s="215"/>
      <c r="M33" s="215"/>
      <c r="N33" s="215"/>
      <c r="O33" s="215"/>
      <c r="P33" s="95"/>
    </row>
    <row r="34" spans="1:16" ht="45.75" customHeight="1" thickBot="1" x14ac:dyDescent="0.25">
      <c r="A34" s="102" t="s">
        <v>148</v>
      </c>
      <c r="B34" s="217"/>
      <c r="C34" s="218"/>
      <c r="D34" s="218"/>
      <c r="E34" s="218"/>
      <c r="F34" s="218"/>
      <c r="G34" s="219"/>
      <c r="H34" s="216"/>
      <c r="I34" s="216"/>
      <c r="J34" s="216"/>
      <c r="K34" s="216"/>
      <c r="L34" s="216"/>
      <c r="M34" s="216"/>
      <c r="N34" s="216"/>
      <c r="O34" s="216"/>
      <c r="P34" s="95"/>
    </row>
    <row r="35" spans="1:16" ht="48" customHeight="1" thickBot="1" x14ac:dyDescent="0.25">
      <c r="A35" s="102" t="s">
        <v>149</v>
      </c>
      <c r="B35" s="217"/>
      <c r="C35" s="218"/>
      <c r="D35" s="218"/>
      <c r="E35" s="218"/>
      <c r="F35" s="218"/>
      <c r="G35" s="219"/>
      <c r="H35" s="216"/>
      <c r="I35" s="216"/>
      <c r="J35" s="216"/>
      <c r="K35" s="216"/>
      <c r="L35" s="216"/>
      <c r="M35" s="216"/>
      <c r="N35" s="216"/>
      <c r="O35" s="216"/>
      <c r="P35" s="95"/>
    </row>
    <row r="36" spans="1:16" ht="45.75" customHeight="1" thickBot="1" x14ac:dyDescent="0.25">
      <c r="A36" s="102" t="s">
        <v>150</v>
      </c>
      <c r="B36" s="212"/>
      <c r="C36" s="213"/>
      <c r="D36" s="213"/>
      <c r="E36" s="213"/>
      <c r="F36" s="213"/>
      <c r="G36" s="214"/>
      <c r="H36" s="215"/>
      <c r="I36" s="215"/>
      <c r="J36" s="215"/>
      <c r="K36" s="215"/>
      <c r="L36" s="216"/>
      <c r="M36" s="216"/>
      <c r="N36" s="216"/>
      <c r="O36" s="216"/>
      <c r="P36" s="96"/>
    </row>
    <row r="37" spans="1:16" ht="66" customHeight="1" thickBot="1" x14ac:dyDescent="0.25">
      <c r="A37" s="102" t="s">
        <v>151</v>
      </c>
      <c r="B37" s="212"/>
      <c r="C37" s="213"/>
      <c r="D37" s="213"/>
      <c r="E37" s="213"/>
      <c r="F37" s="213"/>
      <c r="G37" s="214"/>
      <c r="H37" s="215"/>
      <c r="I37" s="215"/>
      <c r="J37" s="215"/>
      <c r="K37" s="215"/>
      <c r="L37" s="216"/>
      <c r="M37" s="216"/>
      <c r="N37" s="216"/>
      <c r="O37" s="216"/>
      <c r="P37" s="96"/>
    </row>
    <row r="38" spans="1:16" ht="45.75" customHeight="1" thickBot="1" x14ac:dyDescent="0.25">
      <c r="A38" s="102" t="s">
        <v>152</v>
      </c>
      <c r="B38" s="212"/>
      <c r="C38" s="213"/>
      <c r="D38" s="213"/>
      <c r="E38" s="213"/>
      <c r="F38" s="213"/>
      <c r="G38" s="214"/>
      <c r="H38" s="215"/>
      <c r="I38" s="215"/>
      <c r="J38" s="215"/>
      <c r="K38" s="215"/>
      <c r="L38" s="215"/>
      <c r="M38" s="215"/>
      <c r="N38" s="215"/>
      <c r="O38" s="215"/>
      <c r="P38" s="96"/>
    </row>
    <row r="39" spans="1:16" ht="45.75" customHeight="1" thickBot="1" x14ac:dyDescent="0.25">
      <c r="A39" s="102" t="s">
        <v>153</v>
      </c>
      <c r="B39" s="212"/>
      <c r="C39" s="213"/>
      <c r="D39" s="213"/>
      <c r="E39" s="213"/>
      <c r="F39" s="213"/>
      <c r="G39" s="214"/>
      <c r="H39" s="215"/>
      <c r="I39" s="215"/>
      <c r="J39" s="215"/>
      <c r="K39" s="215"/>
      <c r="L39" s="215"/>
      <c r="M39" s="215"/>
      <c r="N39" s="215"/>
      <c r="O39" s="215"/>
      <c r="P39" s="96"/>
    </row>
    <row r="40" spans="1:16" ht="45.75" customHeight="1" thickBot="1" x14ac:dyDescent="0.25">
      <c r="A40" s="102" t="s">
        <v>184</v>
      </c>
      <c r="B40" s="212"/>
      <c r="C40" s="213"/>
      <c r="D40" s="213"/>
      <c r="E40" s="213"/>
      <c r="F40" s="213"/>
      <c r="G40" s="214"/>
      <c r="H40" s="215"/>
      <c r="I40" s="215"/>
      <c r="J40" s="215"/>
      <c r="K40" s="215"/>
      <c r="L40" s="215"/>
      <c r="M40" s="215"/>
      <c r="N40" s="215"/>
      <c r="O40" s="215"/>
      <c r="P40" s="96"/>
    </row>
    <row r="41" spans="1:16" ht="45.75" customHeight="1" thickBot="1" x14ac:dyDescent="0.25">
      <c r="A41" s="102" t="s">
        <v>185</v>
      </c>
      <c r="B41" s="212"/>
      <c r="C41" s="213"/>
      <c r="D41" s="213"/>
      <c r="E41" s="213"/>
      <c r="F41" s="213"/>
      <c r="G41" s="214"/>
      <c r="H41" s="215"/>
      <c r="I41" s="215"/>
      <c r="J41" s="215"/>
      <c r="K41" s="215"/>
      <c r="L41" s="215"/>
      <c r="M41" s="215"/>
      <c r="N41" s="215"/>
      <c r="O41" s="215"/>
      <c r="P41" s="96"/>
    </row>
    <row r="42" spans="1:16" ht="45.75" customHeight="1" thickBot="1" x14ac:dyDescent="0.25">
      <c r="A42" s="102" t="s">
        <v>186</v>
      </c>
      <c r="B42" s="212"/>
      <c r="C42" s="213"/>
      <c r="D42" s="213"/>
      <c r="E42" s="213"/>
      <c r="F42" s="213"/>
      <c r="G42" s="214"/>
      <c r="H42" s="215"/>
      <c r="I42" s="215"/>
      <c r="J42" s="215"/>
      <c r="K42" s="215"/>
      <c r="L42" s="215"/>
      <c r="M42" s="215"/>
      <c r="N42" s="215"/>
      <c r="O42" s="215"/>
      <c r="P42" s="96"/>
    </row>
    <row r="43" spans="1:16" ht="45.75" customHeight="1" thickBot="1" x14ac:dyDescent="0.25">
      <c r="A43" s="102" t="s">
        <v>187</v>
      </c>
      <c r="B43" s="212"/>
      <c r="C43" s="213"/>
      <c r="D43" s="213"/>
      <c r="E43" s="213"/>
      <c r="F43" s="213"/>
      <c r="G43" s="214"/>
      <c r="H43" s="215"/>
      <c r="I43" s="215"/>
      <c r="J43" s="215"/>
      <c r="K43" s="215"/>
      <c r="L43" s="215"/>
      <c r="M43" s="215"/>
      <c r="N43" s="215"/>
      <c r="O43" s="215"/>
      <c r="P43" s="96"/>
    </row>
    <row r="44" spans="1:16" ht="45.75" customHeight="1" thickBot="1" x14ac:dyDescent="0.25">
      <c r="A44" s="102" t="s">
        <v>188</v>
      </c>
      <c r="B44" s="212"/>
      <c r="C44" s="213"/>
      <c r="D44" s="213"/>
      <c r="E44" s="213"/>
      <c r="F44" s="213"/>
      <c r="G44" s="214"/>
      <c r="H44" s="215"/>
      <c r="I44" s="215"/>
      <c r="J44" s="215"/>
      <c r="K44" s="215"/>
      <c r="L44" s="215"/>
      <c r="M44" s="215"/>
      <c r="N44" s="215"/>
      <c r="O44" s="215"/>
      <c r="P44" s="96"/>
    </row>
    <row r="45" spans="1:16" ht="45.75" customHeight="1" thickBot="1" x14ac:dyDescent="0.25">
      <c r="A45" s="102" t="s">
        <v>189</v>
      </c>
      <c r="B45" s="212"/>
      <c r="C45" s="213"/>
      <c r="D45" s="213"/>
      <c r="E45" s="213"/>
      <c r="F45" s="213"/>
      <c r="G45" s="214"/>
      <c r="H45" s="215"/>
      <c r="I45" s="215"/>
      <c r="J45" s="215"/>
      <c r="K45" s="215"/>
      <c r="L45" s="215"/>
      <c r="M45" s="215"/>
      <c r="N45" s="215"/>
      <c r="O45" s="215"/>
      <c r="P45" s="96"/>
    </row>
    <row r="46" spans="1:16" ht="45.75" customHeight="1" thickBot="1" x14ac:dyDescent="0.25">
      <c r="A46" s="102" t="s">
        <v>190</v>
      </c>
      <c r="B46" s="212"/>
      <c r="C46" s="213"/>
      <c r="D46" s="213"/>
      <c r="E46" s="213"/>
      <c r="F46" s="213"/>
      <c r="G46" s="214"/>
      <c r="H46" s="215"/>
      <c r="I46" s="215"/>
      <c r="J46" s="215"/>
      <c r="K46" s="215"/>
      <c r="L46" s="215"/>
      <c r="M46" s="215"/>
      <c r="N46" s="215"/>
      <c r="O46" s="215"/>
      <c r="P46" s="96"/>
    </row>
    <row r="47" spans="1:16" ht="45.75" customHeight="1" thickBot="1" x14ac:dyDescent="0.25">
      <c r="A47" s="102" t="s">
        <v>191</v>
      </c>
      <c r="B47" s="212"/>
      <c r="C47" s="213"/>
      <c r="D47" s="213"/>
      <c r="E47" s="213"/>
      <c r="F47" s="213"/>
      <c r="G47" s="214"/>
      <c r="H47" s="215"/>
      <c r="I47" s="215"/>
      <c r="J47" s="215"/>
      <c r="K47" s="215"/>
      <c r="L47" s="215"/>
      <c r="M47" s="215"/>
      <c r="N47" s="215"/>
      <c r="O47" s="215"/>
      <c r="P47" s="96"/>
    </row>
    <row r="48" spans="1:16" ht="45.75" customHeight="1" thickBot="1" x14ac:dyDescent="0.25">
      <c r="A48" s="102" t="s">
        <v>192</v>
      </c>
      <c r="B48" s="212"/>
      <c r="C48" s="213"/>
      <c r="D48" s="213"/>
      <c r="E48" s="213"/>
      <c r="F48" s="213"/>
      <c r="G48" s="214"/>
      <c r="H48" s="215"/>
      <c r="I48" s="215"/>
      <c r="J48" s="215"/>
      <c r="K48" s="215"/>
      <c r="L48" s="215"/>
      <c r="M48" s="215"/>
      <c r="N48" s="215"/>
      <c r="O48" s="215"/>
      <c r="P48" s="96"/>
    </row>
    <row r="49" spans="1:16" ht="45.75" customHeight="1" thickBot="1" x14ac:dyDescent="0.25">
      <c r="A49" s="102" t="s">
        <v>193</v>
      </c>
      <c r="B49" s="212"/>
      <c r="C49" s="213"/>
      <c r="D49" s="213"/>
      <c r="E49" s="213"/>
      <c r="F49" s="213"/>
      <c r="G49" s="214"/>
      <c r="H49" s="215"/>
      <c r="I49" s="215"/>
      <c r="J49" s="215"/>
      <c r="K49" s="215"/>
      <c r="L49" s="215"/>
      <c r="M49" s="215"/>
      <c r="N49" s="215"/>
      <c r="O49" s="215"/>
      <c r="P49" s="96"/>
    </row>
    <row r="50" spans="1:16" ht="45.75" customHeight="1" thickBot="1" x14ac:dyDescent="0.25">
      <c r="A50" s="102" t="s">
        <v>194</v>
      </c>
      <c r="B50" s="212"/>
      <c r="C50" s="213"/>
      <c r="D50" s="213"/>
      <c r="E50" s="213"/>
      <c r="F50" s="213"/>
      <c r="G50" s="214"/>
      <c r="H50" s="215"/>
      <c r="I50" s="215"/>
      <c r="J50" s="215"/>
      <c r="K50" s="215"/>
      <c r="L50" s="215"/>
      <c r="M50" s="215"/>
      <c r="N50" s="215"/>
      <c r="O50" s="215"/>
      <c r="P50" s="96"/>
    </row>
  </sheetData>
  <mergeCells count="97">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 ref="B36:G36"/>
    <mergeCell ref="H36:K36"/>
    <mergeCell ref="L36:O36"/>
    <mergeCell ref="B37:G37"/>
    <mergeCell ref="H37:K37"/>
    <mergeCell ref="L37:O37"/>
    <mergeCell ref="B38:G38"/>
    <mergeCell ref="H38:K38"/>
    <mergeCell ref="L38:O38"/>
    <mergeCell ref="B39:G39"/>
    <mergeCell ref="H39:K39"/>
    <mergeCell ref="L39:O39"/>
    <mergeCell ref="B40:G40"/>
    <mergeCell ref="H40:K40"/>
    <mergeCell ref="L40:O40"/>
    <mergeCell ref="B41:G41"/>
    <mergeCell ref="H41:K41"/>
    <mergeCell ref="L41:O41"/>
    <mergeCell ref="B42:G42"/>
    <mergeCell ref="H42:K42"/>
    <mergeCell ref="L42:O42"/>
    <mergeCell ref="B43:G43"/>
    <mergeCell ref="H43:K43"/>
    <mergeCell ref="L43:O43"/>
    <mergeCell ref="B44:G44"/>
    <mergeCell ref="H44:K44"/>
    <mergeCell ref="L44:O44"/>
    <mergeCell ref="B45:G45"/>
    <mergeCell ref="H45:K45"/>
    <mergeCell ref="L45:O45"/>
    <mergeCell ref="B46:G46"/>
    <mergeCell ref="H46:K46"/>
    <mergeCell ref="L46:O46"/>
    <mergeCell ref="B47:G47"/>
    <mergeCell ref="H47:K47"/>
    <mergeCell ref="L47:O47"/>
    <mergeCell ref="B48:G48"/>
    <mergeCell ref="H48:K48"/>
    <mergeCell ref="L48:O48"/>
    <mergeCell ref="B49:G49"/>
    <mergeCell ref="H49:K49"/>
    <mergeCell ref="L49:O49"/>
    <mergeCell ref="B50:G50"/>
    <mergeCell ref="H50:K50"/>
    <mergeCell ref="L50:O50"/>
  </mergeCells>
  <conditionalFormatting sqref="B9:B10">
    <cfRule type="cellIs" dxfId="1078" priority="33" operator="equal">
      <formula>"Nok"</formula>
    </cfRule>
    <cfRule type="cellIs" dxfId="1077" priority="34" operator="equal">
      <formula>"Ok"</formula>
    </cfRule>
  </conditionalFormatting>
  <conditionalFormatting sqref="P22:P30">
    <cfRule type="cellIs" dxfId="1076" priority="31" operator="equal">
      <formula>"Nok"</formula>
    </cfRule>
    <cfRule type="cellIs" dxfId="1075" priority="32" operator="equal">
      <formula>"Ok"</formula>
    </cfRule>
  </conditionalFormatting>
  <conditionalFormatting sqref="P31:P35">
    <cfRule type="cellIs" dxfId="1074" priority="29" operator="equal">
      <formula>"Nok"</formula>
    </cfRule>
    <cfRule type="cellIs" dxfId="1073" priority="30" operator="equal">
      <formula>"Ok"</formula>
    </cfRule>
  </conditionalFormatting>
  <conditionalFormatting sqref="P36:P37">
    <cfRule type="cellIs" dxfId="1072" priority="27" operator="equal">
      <formula>"Nok"</formula>
    </cfRule>
    <cfRule type="cellIs" dxfId="1071" priority="28" operator="equal">
      <formula>"Ok"</formula>
    </cfRule>
  </conditionalFormatting>
  <conditionalFormatting sqref="P38">
    <cfRule type="cellIs" dxfId="1070" priority="25" operator="equal">
      <formula>"Nok"</formula>
    </cfRule>
    <cfRule type="cellIs" dxfId="1069" priority="26" operator="equal">
      <formula>"Ok"</formula>
    </cfRule>
  </conditionalFormatting>
  <conditionalFormatting sqref="P39">
    <cfRule type="cellIs" dxfId="1068" priority="23" operator="equal">
      <formula>"Nok"</formula>
    </cfRule>
    <cfRule type="cellIs" dxfId="1067" priority="24" operator="equal">
      <formula>"Ok"</formula>
    </cfRule>
  </conditionalFormatting>
  <conditionalFormatting sqref="P40">
    <cfRule type="cellIs" dxfId="1066" priority="21" operator="equal">
      <formula>"Nok"</formula>
    </cfRule>
    <cfRule type="cellIs" dxfId="1065" priority="22" operator="equal">
      <formula>"Ok"</formula>
    </cfRule>
  </conditionalFormatting>
  <conditionalFormatting sqref="P41">
    <cfRule type="cellIs" dxfId="1064" priority="19" operator="equal">
      <formula>"Nok"</formula>
    </cfRule>
    <cfRule type="cellIs" dxfId="1063" priority="20" operator="equal">
      <formula>"Ok"</formula>
    </cfRule>
  </conditionalFormatting>
  <conditionalFormatting sqref="P42">
    <cfRule type="cellIs" dxfId="1062" priority="17" operator="equal">
      <formula>"Nok"</formula>
    </cfRule>
    <cfRule type="cellIs" dxfId="1061" priority="18" operator="equal">
      <formula>"Ok"</formula>
    </cfRule>
  </conditionalFormatting>
  <conditionalFormatting sqref="P43">
    <cfRule type="cellIs" dxfId="1060" priority="15" operator="equal">
      <formula>"Nok"</formula>
    </cfRule>
    <cfRule type="cellIs" dxfId="1059" priority="16" operator="equal">
      <formula>"Ok"</formula>
    </cfRule>
  </conditionalFormatting>
  <conditionalFormatting sqref="P44">
    <cfRule type="cellIs" dxfId="1058" priority="13" operator="equal">
      <formula>"Nok"</formula>
    </cfRule>
    <cfRule type="cellIs" dxfId="1057" priority="14" operator="equal">
      <formula>"Ok"</formula>
    </cfRule>
  </conditionalFormatting>
  <conditionalFormatting sqref="P45">
    <cfRule type="cellIs" dxfId="1056" priority="11" operator="equal">
      <formula>"Nok"</formula>
    </cfRule>
    <cfRule type="cellIs" dxfId="1055" priority="12" operator="equal">
      <formula>"Ok"</formula>
    </cfRule>
  </conditionalFormatting>
  <conditionalFormatting sqref="P46">
    <cfRule type="cellIs" dxfId="1054" priority="9" operator="equal">
      <formula>"Nok"</formula>
    </cfRule>
    <cfRule type="cellIs" dxfId="1053" priority="10" operator="equal">
      <formula>"Ok"</formula>
    </cfRule>
  </conditionalFormatting>
  <conditionalFormatting sqref="P47">
    <cfRule type="cellIs" dxfId="1052" priority="7" operator="equal">
      <formula>"Nok"</formula>
    </cfRule>
    <cfRule type="cellIs" dxfId="1051" priority="8" operator="equal">
      <formula>"Ok"</formula>
    </cfRule>
  </conditionalFormatting>
  <conditionalFormatting sqref="P48">
    <cfRule type="cellIs" dxfId="1050" priority="5" operator="equal">
      <formula>"Nok"</formula>
    </cfRule>
    <cfRule type="cellIs" dxfId="1049" priority="6" operator="equal">
      <formula>"Ok"</formula>
    </cfRule>
  </conditionalFormatting>
  <conditionalFormatting sqref="P49">
    <cfRule type="cellIs" dxfId="1048" priority="3" operator="equal">
      <formula>"Nok"</formula>
    </cfRule>
    <cfRule type="cellIs" dxfId="1047" priority="4" operator="equal">
      <formula>"Ok"</formula>
    </cfRule>
  </conditionalFormatting>
  <conditionalFormatting sqref="P50">
    <cfRule type="cellIs" dxfId="1046" priority="1" operator="equal">
      <formula>"Nok"</formula>
    </cfRule>
    <cfRule type="cellIs" dxfId="1045" priority="2" operator="equal">
      <formula>"Ok"</formula>
    </cfRule>
  </conditionalFormatting>
  <dataValidations count="3">
    <dataValidation type="list" allowBlank="1" showInputMessage="1" showErrorMessage="1" sqref="B5">
      <formula1>"Nominal, Robustness, Endurance, Qualification"</formula1>
    </dataValidation>
    <dataValidation type="list" allowBlank="1" showInputMessage="1" showErrorMessage="1" sqref="B9">
      <formula1>"Ok, Nok, Not run, NA"</formula1>
    </dataValidation>
    <dataValidation type="list" allowBlank="1" showInputMessage="1" showErrorMessage="1" sqref="P22:P50">
      <formula1>"Ok, Nok, Not run, ,"</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zoomScale="85" zoomScaleNormal="85" workbookViewId="0">
      <selection activeCell="B5" sqref="B5"/>
    </sheetView>
  </sheetViews>
  <sheetFormatPr defaultRowHeight="12.75" x14ac:dyDescent="0.2"/>
  <cols>
    <col min="1" max="1" width="20.140625" style="97" customWidth="1"/>
    <col min="2" max="2" width="18.42578125" style="93" customWidth="1"/>
    <col min="3" max="7" width="9.140625" style="93"/>
    <col min="8" max="15" width="9.5703125" style="93" customWidth="1"/>
    <col min="16" max="16384" width="9.140625" style="93"/>
  </cols>
  <sheetData>
    <row r="1" spans="1:15" ht="13.5" thickBot="1" x14ac:dyDescent="0.25">
      <c r="A1" s="98" t="s">
        <v>41</v>
      </c>
      <c r="B1" s="234" t="s">
        <v>201</v>
      </c>
      <c r="C1" s="235"/>
      <c r="D1" s="235"/>
      <c r="E1" s="235"/>
      <c r="F1" s="235"/>
      <c r="G1" s="236"/>
      <c r="H1" s="73"/>
      <c r="I1" s="73"/>
      <c r="J1" s="73"/>
      <c r="K1" s="73"/>
      <c r="L1" s="73"/>
      <c r="M1" s="73"/>
      <c r="N1" s="73"/>
      <c r="O1" s="73"/>
    </row>
    <row r="2" spans="1:15" ht="13.5" thickBot="1" x14ac:dyDescent="0.25">
      <c r="A2" s="71"/>
      <c r="B2" s="72"/>
      <c r="C2" s="72"/>
      <c r="D2" s="73"/>
      <c r="E2" s="73"/>
      <c r="F2" s="73"/>
      <c r="G2" s="73"/>
      <c r="H2" s="73"/>
      <c r="I2" s="73"/>
      <c r="J2" s="73"/>
      <c r="K2" s="73"/>
      <c r="L2" s="73"/>
      <c r="M2" s="73"/>
      <c r="N2" s="73"/>
      <c r="O2" s="73"/>
    </row>
    <row r="3" spans="1:15" ht="61.5" customHeight="1" thickBot="1" x14ac:dyDescent="0.25">
      <c r="A3" s="99" t="s">
        <v>46</v>
      </c>
      <c r="B3" s="237" t="s">
        <v>237</v>
      </c>
      <c r="C3" s="238"/>
      <c r="D3" s="238"/>
      <c r="E3" s="238"/>
      <c r="F3" s="238"/>
      <c r="G3" s="239"/>
      <c r="H3" s="73"/>
      <c r="I3" s="73"/>
      <c r="J3" s="73"/>
      <c r="K3" s="73"/>
      <c r="L3" s="73"/>
      <c r="M3" s="73"/>
      <c r="N3" s="73"/>
      <c r="O3" s="73"/>
    </row>
    <row r="4" spans="1:15" ht="13.5" thickBot="1" x14ac:dyDescent="0.25">
      <c r="A4" s="71"/>
      <c r="B4" s="72"/>
      <c r="C4" s="72"/>
      <c r="D4" s="73"/>
      <c r="E4" s="73"/>
      <c r="F4" s="73"/>
      <c r="G4" s="73"/>
      <c r="H4" s="73"/>
      <c r="I4" s="73"/>
      <c r="J4" s="73"/>
      <c r="K4" s="73"/>
      <c r="L4" s="73"/>
      <c r="M4" s="73"/>
      <c r="N4" s="73"/>
      <c r="O4" s="73"/>
    </row>
    <row r="5" spans="1:15" ht="13.5" thickBot="1" x14ac:dyDescent="0.25">
      <c r="A5" s="98" t="s">
        <v>111</v>
      </c>
      <c r="B5" s="76" t="s">
        <v>142</v>
      </c>
      <c r="C5" s="72"/>
      <c r="D5" s="73"/>
      <c r="E5" s="73"/>
      <c r="F5" s="73"/>
      <c r="G5" s="73"/>
      <c r="H5" s="73"/>
      <c r="I5" s="73"/>
      <c r="J5" s="73"/>
      <c r="K5" s="73"/>
      <c r="L5" s="73"/>
      <c r="M5" s="73"/>
      <c r="N5" s="73"/>
      <c r="O5" s="73"/>
    </row>
    <row r="6" spans="1:15" ht="13.5" thickBot="1" x14ac:dyDescent="0.25">
      <c r="A6" s="71"/>
      <c r="B6" s="72"/>
      <c r="C6" s="72"/>
      <c r="D6" s="73"/>
      <c r="E6" s="73"/>
      <c r="F6" s="73"/>
      <c r="G6" s="73"/>
      <c r="H6" s="73"/>
      <c r="I6" s="73"/>
      <c r="J6" s="73"/>
      <c r="K6" s="73"/>
      <c r="L6" s="73"/>
      <c r="M6" s="73"/>
      <c r="N6" s="73"/>
      <c r="O6" s="73"/>
    </row>
    <row r="7" spans="1:15" ht="30.75" customHeight="1" thickBot="1" x14ac:dyDescent="0.25">
      <c r="A7" s="98" t="s">
        <v>42</v>
      </c>
      <c r="B7" s="237" t="s">
        <v>202</v>
      </c>
      <c r="C7" s="238"/>
      <c r="D7" s="238"/>
      <c r="E7" s="238"/>
      <c r="F7" s="238"/>
      <c r="G7" s="239"/>
      <c r="H7" s="73"/>
      <c r="I7" s="73"/>
      <c r="J7" s="73"/>
      <c r="K7" s="73"/>
      <c r="L7" s="73"/>
      <c r="M7" s="73"/>
      <c r="N7" s="73"/>
      <c r="O7" s="73"/>
    </row>
    <row r="8" spans="1:15" ht="13.5" thickBot="1" x14ac:dyDescent="0.25">
      <c r="A8" s="75"/>
      <c r="B8" s="74"/>
      <c r="C8" s="74"/>
      <c r="D8" s="74"/>
      <c r="E8" s="74"/>
      <c r="F8" s="74"/>
      <c r="G8" s="74"/>
      <c r="H8" s="73"/>
      <c r="I8" s="73"/>
      <c r="J8" s="73"/>
      <c r="K8" s="73"/>
      <c r="L8" s="73"/>
      <c r="M8" s="73"/>
      <c r="N8" s="73"/>
      <c r="O8" s="73"/>
    </row>
    <row r="9" spans="1:15" ht="13.5" thickBot="1" x14ac:dyDescent="0.25">
      <c r="A9" s="98" t="s">
        <v>43</v>
      </c>
      <c r="B9" s="103" t="s">
        <v>143</v>
      </c>
      <c r="C9" s="72"/>
      <c r="D9" s="73"/>
      <c r="E9" s="73"/>
      <c r="F9" s="73"/>
      <c r="G9" s="73"/>
      <c r="H9" s="73"/>
      <c r="I9" s="73"/>
      <c r="J9" s="73"/>
      <c r="K9" s="73"/>
      <c r="L9" s="73"/>
      <c r="M9" s="73"/>
      <c r="N9" s="73"/>
      <c r="O9" s="73"/>
    </row>
    <row r="10" spans="1:15" ht="13.5" thickBot="1" x14ac:dyDescent="0.25">
      <c r="A10" s="75"/>
      <c r="B10" s="94"/>
      <c r="C10" s="72"/>
      <c r="D10" s="73"/>
      <c r="E10" s="73"/>
      <c r="F10" s="73"/>
      <c r="G10" s="73"/>
      <c r="H10" s="73"/>
      <c r="I10" s="73"/>
      <c r="J10" s="73"/>
      <c r="K10" s="73"/>
      <c r="L10" s="73"/>
      <c r="M10" s="73"/>
      <c r="N10" s="73"/>
      <c r="O10" s="73"/>
    </row>
    <row r="11" spans="1:15" ht="12" customHeight="1" x14ac:dyDescent="0.2">
      <c r="A11" s="223" t="s">
        <v>113</v>
      </c>
      <c r="B11" s="225"/>
      <c r="C11" s="226"/>
      <c r="D11" s="226"/>
      <c r="E11" s="226"/>
      <c r="F11" s="226"/>
      <c r="G11" s="227"/>
      <c r="H11" s="73"/>
      <c r="I11" s="73"/>
      <c r="J11" s="73"/>
      <c r="K11" s="73"/>
      <c r="L11" s="73"/>
      <c r="M11" s="73"/>
      <c r="N11" s="73"/>
      <c r="O11" s="73"/>
    </row>
    <row r="12" spans="1:15" x14ac:dyDescent="0.2">
      <c r="A12" s="224"/>
      <c r="B12" s="228"/>
      <c r="C12" s="229"/>
      <c r="D12" s="229"/>
      <c r="E12" s="229"/>
      <c r="F12" s="229"/>
      <c r="G12" s="230"/>
      <c r="H12" s="73"/>
      <c r="I12" s="73"/>
      <c r="J12" s="73"/>
      <c r="K12" s="73"/>
      <c r="L12" s="73"/>
      <c r="M12" s="73"/>
      <c r="N12" s="73"/>
      <c r="O12" s="73"/>
    </row>
    <row r="13" spans="1:15" x14ac:dyDescent="0.2">
      <c r="A13" s="224"/>
      <c r="B13" s="228"/>
      <c r="C13" s="229"/>
      <c r="D13" s="229"/>
      <c r="E13" s="229"/>
      <c r="F13" s="229"/>
      <c r="G13" s="230"/>
      <c r="H13" s="71"/>
      <c r="I13" s="73"/>
      <c r="J13" s="73"/>
      <c r="K13" s="73"/>
      <c r="L13" s="73"/>
      <c r="M13" s="73"/>
      <c r="N13" s="73"/>
      <c r="O13" s="73"/>
    </row>
    <row r="14" spans="1:15" ht="13.5" thickBot="1" x14ac:dyDescent="0.25">
      <c r="A14" s="224"/>
      <c r="B14" s="231"/>
      <c r="C14" s="232"/>
      <c r="D14" s="232"/>
      <c r="E14" s="232"/>
      <c r="F14" s="232"/>
      <c r="G14" s="233"/>
      <c r="H14" s="77"/>
      <c r="I14" s="73"/>
      <c r="J14" s="73"/>
      <c r="K14" s="73"/>
      <c r="L14" s="73"/>
      <c r="M14" s="73"/>
      <c r="N14" s="73"/>
      <c r="O14" s="73"/>
    </row>
    <row r="15" spans="1:15" ht="13.5" thickBot="1" x14ac:dyDescent="0.25">
      <c r="A15" s="71"/>
      <c r="B15" s="71"/>
      <c r="C15" s="71"/>
      <c r="D15" s="71"/>
      <c r="E15" s="71"/>
      <c r="F15" s="71"/>
      <c r="G15" s="71"/>
      <c r="H15" s="77"/>
      <c r="I15" s="73"/>
      <c r="J15" s="73"/>
      <c r="K15" s="73"/>
      <c r="L15" s="73"/>
      <c r="M15" s="73"/>
      <c r="N15" s="73"/>
      <c r="O15" s="73"/>
    </row>
    <row r="16" spans="1:15" x14ac:dyDescent="0.2">
      <c r="A16" s="223" t="s">
        <v>44</v>
      </c>
      <c r="B16" s="225"/>
      <c r="C16" s="226"/>
      <c r="D16" s="226"/>
      <c r="E16" s="226"/>
      <c r="F16" s="226"/>
      <c r="G16" s="227"/>
      <c r="H16" s="73"/>
      <c r="I16" s="73"/>
      <c r="J16" s="73"/>
      <c r="K16" s="73"/>
      <c r="L16" s="73"/>
      <c r="M16" s="73"/>
      <c r="N16" s="73"/>
      <c r="O16" s="73"/>
    </row>
    <row r="17" spans="1:16" x14ac:dyDescent="0.2">
      <c r="A17" s="224"/>
      <c r="B17" s="228"/>
      <c r="C17" s="229"/>
      <c r="D17" s="229"/>
      <c r="E17" s="229"/>
      <c r="F17" s="229"/>
      <c r="G17" s="230"/>
      <c r="H17" s="73"/>
      <c r="I17" s="73"/>
      <c r="J17" s="73"/>
      <c r="K17" s="73"/>
      <c r="L17" s="73"/>
      <c r="M17" s="73"/>
      <c r="N17" s="73"/>
      <c r="O17" s="73"/>
    </row>
    <row r="18" spans="1:16" x14ac:dyDescent="0.2">
      <c r="A18" s="224"/>
      <c r="B18" s="228"/>
      <c r="C18" s="229"/>
      <c r="D18" s="229"/>
      <c r="E18" s="229"/>
      <c r="F18" s="229"/>
      <c r="G18" s="230"/>
      <c r="H18" s="71"/>
      <c r="I18" s="73"/>
      <c r="J18" s="73"/>
      <c r="K18" s="73"/>
      <c r="L18" s="73"/>
      <c r="M18" s="73"/>
      <c r="N18" s="73"/>
      <c r="O18" s="73"/>
    </row>
    <row r="19" spans="1:16" ht="13.5" thickBot="1" x14ac:dyDescent="0.25">
      <c r="A19" s="224"/>
      <c r="B19" s="231"/>
      <c r="C19" s="232"/>
      <c r="D19" s="232"/>
      <c r="E19" s="232"/>
      <c r="F19" s="232"/>
      <c r="G19" s="233"/>
      <c r="H19" s="77"/>
      <c r="I19" s="73"/>
      <c r="J19" s="73"/>
      <c r="K19" s="73"/>
      <c r="L19" s="73"/>
      <c r="M19" s="73"/>
      <c r="N19" s="73"/>
      <c r="O19" s="73"/>
    </row>
    <row r="20" spans="1:16" ht="13.5" thickBot="1" x14ac:dyDescent="0.25">
      <c r="A20" s="71"/>
      <c r="B20" s="71"/>
      <c r="C20" s="71"/>
      <c r="D20" s="71"/>
      <c r="E20" s="71"/>
      <c r="F20" s="71"/>
      <c r="G20" s="71"/>
      <c r="H20" s="77"/>
      <c r="I20" s="73"/>
      <c r="J20" s="73"/>
      <c r="K20" s="73"/>
      <c r="L20" s="73"/>
      <c r="M20" s="73"/>
      <c r="N20" s="73"/>
      <c r="O20" s="73"/>
    </row>
    <row r="21" spans="1:16" ht="12.75" customHeight="1" x14ac:dyDescent="0.2">
      <c r="A21" s="220" t="s">
        <v>48</v>
      </c>
      <c r="B21" s="221"/>
      <c r="C21" s="221"/>
      <c r="D21" s="221"/>
      <c r="E21" s="221"/>
      <c r="F21" s="221"/>
      <c r="G21" s="222"/>
      <c r="H21" s="220" t="s">
        <v>49</v>
      </c>
      <c r="I21" s="221"/>
      <c r="J21" s="221"/>
      <c r="K21" s="222"/>
      <c r="L21" s="220" t="s">
        <v>60</v>
      </c>
      <c r="M21" s="221"/>
      <c r="N21" s="221"/>
      <c r="O21" s="222"/>
      <c r="P21" s="100" t="s">
        <v>47</v>
      </c>
    </row>
    <row r="22" spans="1:16" ht="53.25" customHeight="1" x14ac:dyDescent="0.2">
      <c r="A22" s="101" t="s">
        <v>50</v>
      </c>
      <c r="B22" s="216" t="s">
        <v>212</v>
      </c>
      <c r="C22" s="216"/>
      <c r="D22" s="216"/>
      <c r="E22" s="216"/>
      <c r="F22" s="216"/>
      <c r="G22" s="216"/>
      <c r="H22" s="216"/>
      <c r="I22" s="216"/>
      <c r="J22" s="216"/>
      <c r="K22" s="216"/>
      <c r="L22" s="216" t="s">
        <v>213</v>
      </c>
      <c r="M22" s="216"/>
      <c r="N22" s="216"/>
      <c r="O22" s="216"/>
      <c r="P22" s="95" t="s">
        <v>143</v>
      </c>
    </row>
    <row r="23" spans="1:16" ht="42.75" customHeight="1" x14ac:dyDescent="0.2">
      <c r="A23" s="101" t="s">
        <v>51</v>
      </c>
      <c r="B23" s="216" t="s">
        <v>214</v>
      </c>
      <c r="C23" s="216"/>
      <c r="D23" s="216"/>
      <c r="E23" s="216"/>
      <c r="F23" s="216"/>
      <c r="G23" s="216"/>
      <c r="H23" s="216"/>
      <c r="I23" s="216"/>
      <c r="J23" s="216"/>
      <c r="K23" s="216"/>
      <c r="L23" s="216" t="s">
        <v>215</v>
      </c>
      <c r="M23" s="216"/>
      <c r="N23" s="216"/>
      <c r="O23" s="216"/>
      <c r="P23" s="95" t="s">
        <v>143</v>
      </c>
    </row>
    <row r="24" spans="1:16" ht="42" customHeight="1" x14ac:dyDescent="0.2">
      <c r="A24" s="101" t="s">
        <v>52</v>
      </c>
      <c r="B24" s="216" t="s">
        <v>216</v>
      </c>
      <c r="C24" s="216"/>
      <c r="D24" s="216"/>
      <c r="E24" s="216"/>
      <c r="F24" s="216"/>
      <c r="G24" s="216"/>
      <c r="H24" s="216"/>
      <c r="I24" s="216"/>
      <c r="J24" s="216"/>
      <c r="K24" s="216"/>
      <c r="L24" s="216" t="s">
        <v>215</v>
      </c>
      <c r="M24" s="216"/>
      <c r="N24" s="216"/>
      <c r="O24" s="216"/>
      <c r="P24" s="95" t="s">
        <v>143</v>
      </c>
    </row>
    <row r="25" spans="1:16" ht="46.5" customHeight="1" x14ac:dyDescent="0.2">
      <c r="A25" s="101" t="s">
        <v>53</v>
      </c>
      <c r="B25" s="216" t="s">
        <v>217</v>
      </c>
      <c r="C25" s="216"/>
      <c r="D25" s="216"/>
      <c r="E25" s="216"/>
      <c r="F25" s="216"/>
      <c r="G25" s="216"/>
      <c r="H25" s="216"/>
      <c r="I25" s="216"/>
      <c r="J25" s="216"/>
      <c r="K25" s="216"/>
      <c r="L25" s="216" t="s">
        <v>213</v>
      </c>
      <c r="M25" s="216"/>
      <c r="N25" s="216"/>
      <c r="O25" s="216"/>
      <c r="P25" s="95" t="s">
        <v>143</v>
      </c>
    </row>
    <row r="26" spans="1:16" ht="45.75" customHeight="1" x14ac:dyDescent="0.2">
      <c r="A26" s="101" t="s">
        <v>54</v>
      </c>
      <c r="B26" s="216" t="s">
        <v>218</v>
      </c>
      <c r="C26" s="216"/>
      <c r="D26" s="216"/>
      <c r="E26" s="216"/>
      <c r="F26" s="216"/>
      <c r="G26" s="216"/>
      <c r="H26" s="216" t="s">
        <v>171</v>
      </c>
      <c r="I26" s="216"/>
      <c r="J26" s="216"/>
      <c r="K26" s="216"/>
      <c r="L26" s="216" t="s">
        <v>213</v>
      </c>
      <c r="M26" s="216"/>
      <c r="N26" s="216"/>
      <c r="O26" s="216"/>
      <c r="P26" s="95" t="s">
        <v>143</v>
      </c>
    </row>
    <row r="27" spans="1:16" ht="42.75" customHeight="1" x14ac:dyDescent="0.2">
      <c r="A27" s="101" t="s">
        <v>55</v>
      </c>
      <c r="B27" s="216" t="s">
        <v>219</v>
      </c>
      <c r="C27" s="216"/>
      <c r="D27" s="216"/>
      <c r="E27" s="216"/>
      <c r="F27" s="216"/>
      <c r="G27" s="216"/>
      <c r="H27" s="216"/>
      <c r="I27" s="216"/>
      <c r="J27" s="216"/>
      <c r="K27" s="216"/>
      <c r="L27" s="216" t="s">
        <v>215</v>
      </c>
      <c r="M27" s="216"/>
      <c r="N27" s="216"/>
      <c r="O27" s="216"/>
      <c r="P27" s="95" t="s">
        <v>143</v>
      </c>
    </row>
    <row r="28" spans="1:16" ht="42.75" customHeight="1" x14ac:dyDescent="0.2">
      <c r="A28" s="101" t="s">
        <v>56</v>
      </c>
      <c r="B28" s="216" t="s">
        <v>220</v>
      </c>
      <c r="C28" s="216"/>
      <c r="D28" s="216"/>
      <c r="E28" s="216"/>
      <c r="F28" s="216"/>
      <c r="G28" s="216"/>
      <c r="H28" s="216"/>
      <c r="I28" s="216"/>
      <c r="J28" s="216"/>
      <c r="K28" s="216"/>
      <c r="L28" s="216" t="s">
        <v>215</v>
      </c>
      <c r="M28" s="216"/>
      <c r="N28" s="216"/>
      <c r="O28" s="216"/>
      <c r="P28" s="95" t="s">
        <v>143</v>
      </c>
    </row>
    <row r="29" spans="1:16" ht="40.5" customHeight="1" x14ac:dyDescent="0.2">
      <c r="A29" s="101" t="s">
        <v>57</v>
      </c>
      <c r="B29" s="216" t="s">
        <v>221</v>
      </c>
      <c r="C29" s="216"/>
      <c r="D29" s="216"/>
      <c r="E29" s="216"/>
      <c r="F29" s="216"/>
      <c r="G29" s="216"/>
      <c r="H29" s="216"/>
      <c r="I29" s="216"/>
      <c r="J29" s="216"/>
      <c r="K29" s="216"/>
      <c r="L29" s="216" t="s">
        <v>213</v>
      </c>
      <c r="M29" s="216"/>
      <c r="N29" s="216"/>
      <c r="O29" s="216"/>
      <c r="P29" s="95" t="s">
        <v>143</v>
      </c>
    </row>
    <row r="30" spans="1:16" ht="53.25" customHeight="1" thickBot="1" x14ac:dyDescent="0.25">
      <c r="A30" s="102" t="s">
        <v>58</v>
      </c>
      <c r="B30" s="216" t="s">
        <v>226</v>
      </c>
      <c r="C30" s="216"/>
      <c r="D30" s="216"/>
      <c r="E30" s="216"/>
      <c r="F30" s="216"/>
      <c r="G30" s="216"/>
      <c r="H30" s="215"/>
      <c r="I30" s="215"/>
      <c r="J30" s="215"/>
      <c r="K30" s="215"/>
      <c r="L30" s="215" t="s">
        <v>227</v>
      </c>
      <c r="M30" s="215"/>
      <c r="N30" s="215"/>
      <c r="O30" s="215"/>
      <c r="P30" s="96" t="s">
        <v>143</v>
      </c>
    </row>
    <row r="31" spans="1:16" ht="51" customHeight="1" thickBot="1" x14ac:dyDescent="0.25">
      <c r="A31" s="102" t="s">
        <v>145</v>
      </c>
      <c r="B31" s="216" t="s">
        <v>230</v>
      </c>
      <c r="C31" s="216"/>
      <c r="D31" s="216"/>
      <c r="E31" s="216"/>
      <c r="F31" s="216"/>
      <c r="G31" s="216"/>
      <c r="H31" s="216"/>
      <c r="I31" s="216"/>
      <c r="J31" s="216"/>
      <c r="K31" s="216"/>
      <c r="L31" s="216" t="s">
        <v>215</v>
      </c>
      <c r="M31" s="216"/>
      <c r="N31" s="216"/>
      <c r="O31" s="216"/>
      <c r="P31" s="96" t="s">
        <v>143</v>
      </c>
    </row>
    <row r="32" spans="1:16" ht="55.5" customHeight="1" thickBot="1" x14ac:dyDescent="0.25">
      <c r="A32" s="102" t="s">
        <v>146</v>
      </c>
      <c r="B32" s="216" t="s">
        <v>231</v>
      </c>
      <c r="C32" s="216"/>
      <c r="D32" s="216"/>
      <c r="E32" s="216"/>
      <c r="F32" s="216"/>
      <c r="G32" s="216"/>
      <c r="H32" s="216"/>
      <c r="I32" s="216"/>
      <c r="J32" s="216"/>
      <c r="K32" s="216"/>
      <c r="L32" s="216" t="s">
        <v>215</v>
      </c>
      <c r="M32" s="216"/>
      <c r="N32" s="216"/>
      <c r="O32" s="216"/>
      <c r="P32" s="96" t="s">
        <v>143</v>
      </c>
    </row>
    <row r="33" spans="1:16" ht="66" customHeight="1" thickBot="1" x14ac:dyDescent="0.25">
      <c r="A33" s="102" t="s">
        <v>147</v>
      </c>
      <c r="B33" s="216" t="s">
        <v>233</v>
      </c>
      <c r="C33" s="216"/>
      <c r="D33" s="216"/>
      <c r="E33" s="216"/>
      <c r="F33" s="216"/>
      <c r="G33" s="216"/>
      <c r="H33" s="215"/>
      <c r="I33" s="215"/>
      <c r="J33" s="215"/>
      <c r="K33" s="215"/>
      <c r="L33" s="216" t="s">
        <v>213</v>
      </c>
      <c r="M33" s="216"/>
      <c r="N33" s="216"/>
      <c r="O33" s="216"/>
      <c r="P33" s="96" t="s">
        <v>143</v>
      </c>
    </row>
    <row r="34" spans="1:16" ht="45.75" customHeight="1" thickBot="1" x14ac:dyDescent="0.25">
      <c r="A34" s="102" t="s">
        <v>148</v>
      </c>
      <c r="B34" s="216" t="s">
        <v>234</v>
      </c>
      <c r="C34" s="216"/>
      <c r="D34" s="216"/>
      <c r="E34" s="216"/>
      <c r="F34" s="216"/>
      <c r="G34" s="216"/>
      <c r="H34" s="216"/>
      <c r="I34" s="216"/>
      <c r="J34" s="216"/>
      <c r="K34" s="216"/>
      <c r="L34" s="216" t="s">
        <v>215</v>
      </c>
      <c r="M34" s="216"/>
      <c r="N34" s="216"/>
      <c r="O34" s="216"/>
      <c r="P34" s="96" t="s">
        <v>143</v>
      </c>
    </row>
    <row r="35" spans="1:16" ht="48" customHeight="1" thickBot="1" x14ac:dyDescent="0.25">
      <c r="A35" s="102" t="s">
        <v>149</v>
      </c>
      <c r="B35" s="216" t="s">
        <v>235</v>
      </c>
      <c r="C35" s="216"/>
      <c r="D35" s="216"/>
      <c r="E35" s="216"/>
      <c r="F35" s="216"/>
      <c r="G35" s="216"/>
      <c r="H35" s="216"/>
      <c r="I35" s="216"/>
      <c r="J35" s="216"/>
      <c r="K35" s="216"/>
      <c r="L35" s="216" t="s">
        <v>215</v>
      </c>
      <c r="M35" s="216"/>
      <c r="N35" s="216"/>
      <c r="O35" s="216"/>
      <c r="P35" s="96" t="s">
        <v>143</v>
      </c>
    </row>
    <row r="36" spans="1:16" ht="45.75" customHeight="1" thickBot="1" x14ac:dyDescent="0.25">
      <c r="A36" s="102" t="s">
        <v>150</v>
      </c>
      <c r="B36" s="216" t="s">
        <v>236</v>
      </c>
      <c r="C36" s="216"/>
      <c r="D36" s="216"/>
      <c r="E36" s="216"/>
      <c r="F36" s="216"/>
      <c r="G36" s="216"/>
      <c r="H36" s="215"/>
      <c r="I36" s="215"/>
      <c r="J36" s="215"/>
      <c r="K36" s="215"/>
      <c r="L36" s="216" t="s">
        <v>213</v>
      </c>
      <c r="M36" s="216"/>
      <c r="N36" s="216"/>
      <c r="O36" s="216"/>
      <c r="P36" s="96" t="s">
        <v>143</v>
      </c>
    </row>
    <row r="37" spans="1:16" ht="66" customHeight="1" thickBot="1" x14ac:dyDescent="0.25">
      <c r="A37" s="102" t="s">
        <v>151</v>
      </c>
      <c r="B37" s="212"/>
      <c r="C37" s="213"/>
      <c r="D37" s="213"/>
      <c r="E37" s="213"/>
      <c r="F37" s="213"/>
      <c r="G37" s="214"/>
      <c r="H37" s="215"/>
      <c r="I37" s="215"/>
      <c r="J37" s="215"/>
      <c r="K37" s="215"/>
      <c r="L37" s="216"/>
      <c r="M37" s="216"/>
      <c r="N37" s="216"/>
      <c r="O37" s="216"/>
      <c r="P37" s="96"/>
    </row>
    <row r="38" spans="1:16" ht="45.75" customHeight="1" thickBot="1" x14ac:dyDescent="0.25">
      <c r="A38" s="102" t="s">
        <v>152</v>
      </c>
      <c r="B38" s="212"/>
      <c r="C38" s="213"/>
      <c r="D38" s="213"/>
      <c r="E38" s="213"/>
      <c r="F38" s="213"/>
      <c r="G38" s="214"/>
      <c r="H38" s="215"/>
      <c r="I38" s="215"/>
      <c r="J38" s="215"/>
      <c r="K38" s="215"/>
      <c r="L38" s="215"/>
      <c r="M38" s="215"/>
      <c r="N38" s="215"/>
      <c r="O38" s="215"/>
      <c r="P38" s="96"/>
    </row>
    <row r="39" spans="1:16" ht="45.75" customHeight="1" thickBot="1" x14ac:dyDescent="0.25">
      <c r="A39" s="102" t="s">
        <v>153</v>
      </c>
      <c r="B39" s="212"/>
      <c r="C39" s="213"/>
      <c r="D39" s="213"/>
      <c r="E39" s="213"/>
      <c r="F39" s="213"/>
      <c r="G39" s="214"/>
      <c r="H39" s="215"/>
      <c r="I39" s="215"/>
      <c r="J39" s="215"/>
      <c r="K39" s="215"/>
      <c r="L39" s="215"/>
      <c r="M39" s="215"/>
      <c r="N39" s="215"/>
      <c r="O39" s="215"/>
      <c r="P39" s="96"/>
    </row>
    <row r="40" spans="1:16" ht="45.75" customHeight="1" thickBot="1" x14ac:dyDescent="0.25">
      <c r="A40" s="102" t="s">
        <v>184</v>
      </c>
      <c r="B40" s="212"/>
      <c r="C40" s="213"/>
      <c r="D40" s="213"/>
      <c r="E40" s="213"/>
      <c r="F40" s="213"/>
      <c r="G40" s="214"/>
      <c r="H40" s="215"/>
      <c r="I40" s="215"/>
      <c r="J40" s="215"/>
      <c r="K40" s="215"/>
      <c r="L40" s="215"/>
      <c r="M40" s="215"/>
      <c r="N40" s="215"/>
      <c r="O40" s="215"/>
      <c r="P40" s="96"/>
    </row>
    <row r="41" spans="1:16" ht="45.75" customHeight="1" thickBot="1" x14ac:dyDescent="0.25">
      <c r="A41" s="102" t="s">
        <v>185</v>
      </c>
      <c r="B41" s="212"/>
      <c r="C41" s="213"/>
      <c r="D41" s="213"/>
      <c r="E41" s="213"/>
      <c r="F41" s="213"/>
      <c r="G41" s="214"/>
      <c r="H41" s="215"/>
      <c r="I41" s="215"/>
      <c r="J41" s="215"/>
      <c r="K41" s="215"/>
      <c r="L41" s="215"/>
      <c r="M41" s="215"/>
      <c r="N41" s="215"/>
      <c r="O41" s="215"/>
      <c r="P41" s="96"/>
    </row>
    <row r="42" spans="1:16" ht="45.75" customHeight="1" thickBot="1" x14ac:dyDescent="0.25">
      <c r="A42" s="102" t="s">
        <v>186</v>
      </c>
      <c r="B42" s="212"/>
      <c r="C42" s="213"/>
      <c r="D42" s="213"/>
      <c r="E42" s="213"/>
      <c r="F42" s="213"/>
      <c r="G42" s="214"/>
      <c r="H42" s="215"/>
      <c r="I42" s="215"/>
      <c r="J42" s="215"/>
      <c r="K42" s="215"/>
      <c r="L42" s="215"/>
      <c r="M42" s="215"/>
      <c r="N42" s="215"/>
      <c r="O42" s="215"/>
      <c r="P42" s="96"/>
    </row>
    <row r="43" spans="1:16" ht="45.75" customHeight="1" thickBot="1" x14ac:dyDescent="0.25">
      <c r="A43" s="102" t="s">
        <v>187</v>
      </c>
      <c r="B43" s="212"/>
      <c r="C43" s="213"/>
      <c r="D43" s="213"/>
      <c r="E43" s="213"/>
      <c r="F43" s="213"/>
      <c r="G43" s="214"/>
      <c r="H43" s="215"/>
      <c r="I43" s="215"/>
      <c r="J43" s="215"/>
      <c r="K43" s="215"/>
      <c r="L43" s="215"/>
      <c r="M43" s="215"/>
      <c r="N43" s="215"/>
      <c r="O43" s="215"/>
      <c r="P43" s="96"/>
    </row>
    <row r="44" spans="1:16" ht="45.75" customHeight="1" thickBot="1" x14ac:dyDescent="0.25">
      <c r="A44" s="102" t="s">
        <v>188</v>
      </c>
      <c r="B44" s="212"/>
      <c r="C44" s="213"/>
      <c r="D44" s="213"/>
      <c r="E44" s="213"/>
      <c r="F44" s="213"/>
      <c r="G44" s="214"/>
      <c r="H44" s="215"/>
      <c r="I44" s="215"/>
      <c r="J44" s="215"/>
      <c r="K44" s="215"/>
      <c r="L44" s="215"/>
      <c r="M44" s="215"/>
      <c r="N44" s="215"/>
      <c r="O44" s="215"/>
      <c r="P44" s="96"/>
    </row>
    <row r="45" spans="1:16" ht="45.75" customHeight="1" thickBot="1" x14ac:dyDescent="0.25">
      <c r="A45" s="102" t="s">
        <v>189</v>
      </c>
      <c r="B45" s="212"/>
      <c r="C45" s="213"/>
      <c r="D45" s="213"/>
      <c r="E45" s="213"/>
      <c r="F45" s="213"/>
      <c r="G45" s="214"/>
      <c r="H45" s="215"/>
      <c r="I45" s="215"/>
      <c r="J45" s="215"/>
      <c r="K45" s="215"/>
      <c r="L45" s="215"/>
      <c r="M45" s="215"/>
      <c r="N45" s="215"/>
      <c r="O45" s="215"/>
      <c r="P45" s="96"/>
    </row>
    <row r="46" spans="1:16" ht="45.75" customHeight="1" thickBot="1" x14ac:dyDescent="0.25">
      <c r="A46" s="102" t="s">
        <v>190</v>
      </c>
      <c r="B46" s="212"/>
      <c r="C46" s="213"/>
      <c r="D46" s="213"/>
      <c r="E46" s="213"/>
      <c r="F46" s="213"/>
      <c r="G46" s="214"/>
      <c r="H46" s="215"/>
      <c r="I46" s="215"/>
      <c r="J46" s="215"/>
      <c r="K46" s="215"/>
      <c r="L46" s="215"/>
      <c r="M46" s="215"/>
      <c r="N46" s="215"/>
      <c r="O46" s="215"/>
      <c r="P46" s="96"/>
    </row>
    <row r="47" spans="1:16" ht="45.75" customHeight="1" thickBot="1" x14ac:dyDescent="0.25">
      <c r="A47" s="102" t="s">
        <v>191</v>
      </c>
      <c r="B47" s="212"/>
      <c r="C47" s="213"/>
      <c r="D47" s="213"/>
      <c r="E47" s="213"/>
      <c r="F47" s="213"/>
      <c r="G47" s="214"/>
      <c r="H47" s="215"/>
      <c r="I47" s="215"/>
      <c r="J47" s="215"/>
      <c r="K47" s="215"/>
      <c r="L47" s="215"/>
      <c r="M47" s="215"/>
      <c r="N47" s="215"/>
      <c r="O47" s="215"/>
      <c r="P47" s="96"/>
    </row>
    <row r="48" spans="1:16" ht="45.75" customHeight="1" thickBot="1" x14ac:dyDescent="0.25">
      <c r="A48" s="102" t="s">
        <v>192</v>
      </c>
      <c r="B48" s="212"/>
      <c r="C48" s="213"/>
      <c r="D48" s="213"/>
      <c r="E48" s="213"/>
      <c r="F48" s="213"/>
      <c r="G48" s="214"/>
      <c r="H48" s="215"/>
      <c r="I48" s="215"/>
      <c r="J48" s="215"/>
      <c r="K48" s="215"/>
      <c r="L48" s="215"/>
      <c r="M48" s="215"/>
      <c r="N48" s="215"/>
      <c r="O48" s="215"/>
      <c r="P48" s="96"/>
    </row>
    <row r="49" spans="1:16" ht="45.75" customHeight="1" thickBot="1" x14ac:dyDescent="0.25">
      <c r="A49" s="102" t="s">
        <v>193</v>
      </c>
      <c r="B49" s="212"/>
      <c r="C49" s="213"/>
      <c r="D49" s="213"/>
      <c r="E49" s="213"/>
      <c r="F49" s="213"/>
      <c r="G49" s="214"/>
      <c r="H49" s="215"/>
      <c r="I49" s="215"/>
      <c r="J49" s="215"/>
      <c r="K49" s="215"/>
      <c r="L49" s="215"/>
      <c r="M49" s="215"/>
      <c r="N49" s="215"/>
      <c r="O49" s="215"/>
      <c r="P49" s="96"/>
    </row>
    <row r="50" spans="1:16" ht="45.75" customHeight="1" thickBot="1" x14ac:dyDescent="0.25">
      <c r="A50" s="102" t="s">
        <v>194</v>
      </c>
      <c r="B50" s="212"/>
      <c r="C50" s="213"/>
      <c r="D50" s="213"/>
      <c r="E50" s="213"/>
      <c r="F50" s="213"/>
      <c r="G50" s="214"/>
      <c r="H50" s="215"/>
      <c r="I50" s="215"/>
      <c r="J50" s="215"/>
      <c r="K50" s="215"/>
      <c r="L50" s="215"/>
      <c r="M50" s="215"/>
      <c r="N50" s="215"/>
      <c r="O50" s="215"/>
      <c r="P50" s="96"/>
    </row>
  </sheetData>
  <mergeCells count="97">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 ref="B36:G36"/>
    <mergeCell ref="H36:K36"/>
    <mergeCell ref="L36:O36"/>
    <mergeCell ref="B37:G37"/>
    <mergeCell ref="H37:K37"/>
    <mergeCell ref="L37:O37"/>
    <mergeCell ref="B38:G38"/>
    <mergeCell ref="H38:K38"/>
    <mergeCell ref="L38:O38"/>
    <mergeCell ref="B39:G39"/>
    <mergeCell ref="H39:K39"/>
    <mergeCell ref="L39:O39"/>
    <mergeCell ref="B40:G40"/>
    <mergeCell ref="H40:K40"/>
    <mergeCell ref="L40:O40"/>
    <mergeCell ref="B41:G41"/>
    <mergeCell ref="H41:K41"/>
    <mergeCell ref="L41:O41"/>
    <mergeCell ref="B42:G42"/>
    <mergeCell ref="H42:K42"/>
    <mergeCell ref="L42:O42"/>
    <mergeCell ref="B43:G43"/>
    <mergeCell ref="H43:K43"/>
    <mergeCell ref="L43:O43"/>
    <mergeCell ref="B44:G44"/>
    <mergeCell ref="H44:K44"/>
    <mergeCell ref="L44:O44"/>
    <mergeCell ref="B45:G45"/>
    <mergeCell ref="H45:K45"/>
    <mergeCell ref="L45:O45"/>
    <mergeCell ref="B46:G46"/>
    <mergeCell ref="H46:K46"/>
    <mergeCell ref="L46:O46"/>
    <mergeCell ref="B47:G47"/>
    <mergeCell ref="H47:K47"/>
    <mergeCell ref="L47:O47"/>
    <mergeCell ref="B48:G48"/>
    <mergeCell ref="H48:K48"/>
    <mergeCell ref="L48:O48"/>
    <mergeCell ref="B49:G49"/>
    <mergeCell ref="H49:K49"/>
    <mergeCell ref="L49:O49"/>
    <mergeCell ref="B50:G50"/>
    <mergeCell ref="H50:K50"/>
    <mergeCell ref="L50:O50"/>
  </mergeCells>
  <conditionalFormatting sqref="B9:B10">
    <cfRule type="cellIs" dxfId="1044" priority="33" operator="equal">
      <formula>"Nok"</formula>
    </cfRule>
    <cfRule type="cellIs" dxfId="1043" priority="34" operator="equal">
      <formula>"Ok"</formula>
    </cfRule>
  </conditionalFormatting>
  <conditionalFormatting sqref="P22:P36">
    <cfRule type="cellIs" dxfId="1042" priority="31" operator="equal">
      <formula>"Nok"</formula>
    </cfRule>
    <cfRule type="cellIs" dxfId="1041" priority="32" operator="equal">
      <formula>"Ok"</formula>
    </cfRule>
  </conditionalFormatting>
  <conditionalFormatting sqref="P37">
    <cfRule type="cellIs" dxfId="1040" priority="27" operator="equal">
      <formula>"Nok"</formula>
    </cfRule>
    <cfRule type="cellIs" dxfId="1039" priority="28" operator="equal">
      <formula>"Ok"</formula>
    </cfRule>
  </conditionalFormatting>
  <conditionalFormatting sqref="P38">
    <cfRule type="cellIs" dxfId="1038" priority="25" operator="equal">
      <formula>"Nok"</formula>
    </cfRule>
    <cfRule type="cellIs" dxfId="1037" priority="26" operator="equal">
      <formula>"Ok"</formula>
    </cfRule>
  </conditionalFormatting>
  <conditionalFormatting sqref="P39">
    <cfRule type="cellIs" dxfId="1036" priority="23" operator="equal">
      <formula>"Nok"</formula>
    </cfRule>
    <cfRule type="cellIs" dxfId="1035" priority="24" operator="equal">
      <formula>"Ok"</formula>
    </cfRule>
  </conditionalFormatting>
  <conditionalFormatting sqref="P40">
    <cfRule type="cellIs" dxfId="1034" priority="21" operator="equal">
      <formula>"Nok"</formula>
    </cfRule>
    <cfRule type="cellIs" dxfId="1033" priority="22" operator="equal">
      <formula>"Ok"</formula>
    </cfRule>
  </conditionalFormatting>
  <conditionalFormatting sqref="P41">
    <cfRule type="cellIs" dxfId="1032" priority="19" operator="equal">
      <formula>"Nok"</formula>
    </cfRule>
    <cfRule type="cellIs" dxfId="1031" priority="20" operator="equal">
      <formula>"Ok"</formula>
    </cfRule>
  </conditionalFormatting>
  <conditionalFormatting sqref="P42">
    <cfRule type="cellIs" dxfId="1030" priority="17" operator="equal">
      <formula>"Nok"</formula>
    </cfRule>
    <cfRule type="cellIs" dxfId="1029" priority="18" operator="equal">
      <formula>"Ok"</formula>
    </cfRule>
  </conditionalFormatting>
  <conditionalFormatting sqref="P43">
    <cfRule type="cellIs" dxfId="1028" priority="15" operator="equal">
      <formula>"Nok"</formula>
    </cfRule>
    <cfRule type="cellIs" dxfId="1027" priority="16" operator="equal">
      <formula>"Ok"</formula>
    </cfRule>
  </conditionalFormatting>
  <conditionalFormatting sqref="P44">
    <cfRule type="cellIs" dxfId="1026" priority="13" operator="equal">
      <formula>"Nok"</formula>
    </cfRule>
    <cfRule type="cellIs" dxfId="1025" priority="14" operator="equal">
      <formula>"Ok"</formula>
    </cfRule>
  </conditionalFormatting>
  <conditionalFormatting sqref="P45">
    <cfRule type="cellIs" dxfId="1024" priority="11" operator="equal">
      <formula>"Nok"</formula>
    </cfRule>
    <cfRule type="cellIs" dxfId="1023" priority="12" operator="equal">
      <formula>"Ok"</formula>
    </cfRule>
  </conditionalFormatting>
  <conditionalFormatting sqref="P46">
    <cfRule type="cellIs" dxfId="1022" priority="9" operator="equal">
      <formula>"Nok"</formula>
    </cfRule>
    <cfRule type="cellIs" dxfId="1021" priority="10" operator="equal">
      <formula>"Ok"</formula>
    </cfRule>
  </conditionalFormatting>
  <conditionalFormatting sqref="P47">
    <cfRule type="cellIs" dxfId="1020" priority="7" operator="equal">
      <formula>"Nok"</formula>
    </cfRule>
    <cfRule type="cellIs" dxfId="1019" priority="8" operator="equal">
      <formula>"Ok"</formula>
    </cfRule>
  </conditionalFormatting>
  <conditionalFormatting sqref="P48">
    <cfRule type="cellIs" dxfId="1018" priority="5" operator="equal">
      <formula>"Nok"</formula>
    </cfRule>
    <cfRule type="cellIs" dxfId="1017" priority="6" operator="equal">
      <formula>"Ok"</formula>
    </cfRule>
  </conditionalFormatting>
  <conditionalFormatting sqref="P49">
    <cfRule type="cellIs" dxfId="1016" priority="3" operator="equal">
      <formula>"Nok"</formula>
    </cfRule>
    <cfRule type="cellIs" dxfId="1015" priority="4" operator="equal">
      <formula>"Ok"</formula>
    </cfRule>
  </conditionalFormatting>
  <conditionalFormatting sqref="P50">
    <cfRule type="cellIs" dxfId="1014" priority="1" operator="equal">
      <formula>"Nok"</formula>
    </cfRule>
    <cfRule type="cellIs" dxfId="1013" priority="2" operator="equal">
      <formula>"Ok"</formula>
    </cfRule>
  </conditionalFormatting>
  <dataValidations count="3">
    <dataValidation type="list" allowBlank="1" showInputMessage="1" showErrorMessage="1" sqref="B5">
      <formula1>"Nominal, Robustness, Endurance, Qualification"</formula1>
    </dataValidation>
    <dataValidation type="list" allowBlank="1" showInputMessage="1" showErrorMessage="1" sqref="B9">
      <formula1>"Ok, Nok, Not run, NA"</formula1>
    </dataValidation>
    <dataValidation type="list" allowBlank="1" showInputMessage="1" showErrorMessage="1" sqref="P22:P50">
      <formula1>"Ok, Nok, Not run, ,"</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workbookViewId="0">
      <selection activeCell="I11" sqref="I11"/>
    </sheetView>
  </sheetViews>
  <sheetFormatPr defaultRowHeight="12.75" x14ac:dyDescent="0.2"/>
  <cols>
    <col min="1" max="1" width="20.140625" style="97" customWidth="1"/>
    <col min="2" max="2" width="18.42578125" style="93" customWidth="1"/>
    <col min="3" max="7" width="9.140625" style="93"/>
    <col min="8" max="15" width="9.5703125" style="93" customWidth="1"/>
    <col min="16" max="16384" width="9.140625" style="93"/>
  </cols>
  <sheetData>
    <row r="1" spans="1:15" ht="13.5" thickBot="1" x14ac:dyDescent="0.25">
      <c r="A1" s="98" t="s">
        <v>41</v>
      </c>
      <c r="B1" s="234" t="s">
        <v>205</v>
      </c>
      <c r="C1" s="235"/>
      <c r="D1" s="235"/>
      <c r="E1" s="235"/>
      <c r="F1" s="235"/>
      <c r="G1" s="236"/>
      <c r="H1" s="73"/>
      <c r="I1" s="73"/>
      <c r="J1" s="73"/>
      <c r="K1" s="73"/>
      <c r="L1" s="73"/>
      <c r="M1" s="73"/>
      <c r="N1" s="73"/>
      <c r="O1" s="73"/>
    </row>
    <row r="2" spans="1:15" ht="13.5" thickBot="1" x14ac:dyDescent="0.25">
      <c r="A2" s="71"/>
      <c r="B2" s="72"/>
      <c r="C2" s="72"/>
      <c r="D2" s="73"/>
      <c r="E2" s="73"/>
      <c r="F2" s="73"/>
      <c r="G2" s="73"/>
      <c r="H2" s="73"/>
      <c r="I2" s="73"/>
      <c r="J2" s="73"/>
      <c r="K2" s="73"/>
      <c r="L2" s="73"/>
      <c r="M2" s="73"/>
      <c r="N2" s="73"/>
      <c r="O2" s="73"/>
    </row>
    <row r="3" spans="1:15" ht="61.5" customHeight="1" thickBot="1" x14ac:dyDescent="0.25">
      <c r="A3" s="99" t="s">
        <v>46</v>
      </c>
      <c r="B3" s="237" t="s">
        <v>244</v>
      </c>
      <c r="C3" s="238"/>
      <c r="D3" s="238"/>
      <c r="E3" s="238"/>
      <c r="F3" s="238"/>
      <c r="G3" s="239"/>
      <c r="H3" s="73"/>
      <c r="I3" s="73"/>
      <c r="J3" s="73"/>
      <c r="K3" s="73"/>
      <c r="L3" s="73"/>
      <c r="M3" s="73"/>
      <c r="N3" s="73"/>
      <c r="O3" s="73"/>
    </row>
    <row r="4" spans="1:15" ht="13.5" thickBot="1" x14ac:dyDescent="0.25">
      <c r="A4" s="71"/>
      <c r="B4" s="72"/>
      <c r="C4" s="72"/>
      <c r="D4" s="73"/>
      <c r="E4" s="73"/>
      <c r="F4" s="73"/>
      <c r="G4" s="73"/>
      <c r="H4" s="73"/>
      <c r="I4" s="73"/>
      <c r="J4" s="73"/>
      <c r="K4" s="73"/>
      <c r="L4" s="73"/>
      <c r="M4" s="73"/>
      <c r="N4" s="73"/>
      <c r="O4" s="73"/>
    </row>
    <row r="5" spans="1:15" ht="13.5" thickBot="1" x14ac:dyDescent="0.25">
      <c r="A5" s="98" t="s">
        <v>111</v>
      </c>
      <c r="B5" s="76" t="s">
        <v>142</v>
      </c>
      <c r="C5" s="72"/>
      <c r="D5" s="73"/>
      <c r="E5" s="73"/>
      <c r="F5" s="73"/>
      <c r="G5" s="73"/>
      <c r="H5" s="73"/>
      <c r="I5" s="73"/>
      <c r="J5" s="73"/>
      <c r="K5" s="73"/>
      <c r="L5" s="73"/>
      <c r="M5" s="73"/>
      <c r="N5" s="73"/>
      <c r="O5" s="73"/>
    </row>
    <row r="6" spans="1:15" ht="13.5" thickBot="1" x14ac:dyDescent="0.25">
      <c r="A6" s="71"/>
      <c r="B6" s="72"/>
      <c r="C6" s="72"/>
      <c r="D6" s="73"/>
      <c r="E6" s="73"/>
      <c r="F6" s="73"/>
      <c r="G6" s="73"/>
      <c r="H6" s="73"/>
      <c r="I6" s="73"/>
      <c r="J6" s="73"/>
      <c r="K6" s="73"/>
      <c r="L6" s="73"/>
      <c r="M6" s="73"/>
      <c r="N6" s="73"/>
      <c r="O6" s="73"/>
    </row>
    <row r="7" spans="1:15" ht="27.75" customHeight="1" thickBot="1" x14ac:dyDescent="0.25">
      <c r="A7" s="98" t="s">
        <v>42</v>
      </c>
      <c r="B7" s="237" t="s">
        <v>202</v>
      </c>
      <c r="C7" s="238"/>
      <c r="D7" s="238"/>
      <c r="E7" s="238"/>
      <c r="F7" s="238"/>
      <c r="G7" s="239"/>
      <c r="H7" s="73"/>
      <c r="I7" s="73"/>
      <c r="J7" s="73"/>
      <c r="K7" s="73"/>
      <c r="L7" s="73"/>
      <c r="M7" s="73"/>
      <c r="N7" s="73"/>
      <c r="O7" s="73"/>
    </row>
    <row r="8" spans="1:15" ht="13.5" thickBot="1" x14ac:dyDescent="0.25">
      <c r="A8" s="75"/>
      <c r="B8" s="74"/>
      <c r="C8" s="74"/>
      <c r="D8" s="74"/>
      <c r="E8" s="74"/>
      <c r="F8" s="74"/>
      <c r="G8" s="74"/>
      <c r="H8" s="73"/>
      <c r="I8" s="73"/>
      <c r="J8" s="73"/>
      <c r="K8" s="73"/>
      <c r="L8" s="73"/>
      <c r="M8" s="73"/>
      <c r="N8" s="73"/>
      <c r="O8" s="73"/>
    </row>
    <row r="9" spans="1:15" ht="13.5" thickBot="1" x14ac:dyDescent="0.25">
      <c r="A9" s="98" t="s">
        <v>43</v>
      </c>
      <c r="B9" s="103" t="s">
        <v>144</v>
      </c>
      <c r="C9" s="72"/>
      <c r="D9" s="73"/>
      <c r="E9" s="73"/>
      <c r="F9" s="73"/>
      <c r="G9" s="73"/>
      <c r="H9" s="73"/>
      <c r="I9" s="73"/>
      <c r="J9" s="73"/>
      <c r="K9" s="73"/>
      <c r="L9" s="73"/>
      <c r="M9" s="73"/>
      <c r="N9" s="73"/>
      <c r="O9" s="73"/>
    </row>
    <row r="10" spans="1:15" ht="13.5" thickBot="1" x14ac:dyDescent="0.25">
      <c r="A10" s="75"/>
      <c r="B10" s="94"/>
      <c r="C10" s="72"/>
      <c r="D10" s="73"/>
      <c r="E10" s="73"/>
      <c r="F10" s="73"/>
      <c r="G10" s="73"/>
      <c r="H10" s="73"/>
      <c r="I10" s="73"/>
      <c r="J10" s="73"/>
      <c r="K10" s="73"/>
      <c r="L10" s="73"/>
      <c r="M10" s="73"/>
      <c r="N10" s="73"/>
      <c r="O10" s="73"/>
    </row>
    <row r="11" spans="1:15" ht="12" customHeight="1" x14ac:dyDescent="0.2">
      <c r="A11" s="223" t="s">
        <v>113</v>
      </c>
      <c r="B11" s="225"/>
      <c r="C11" s="226"/>
      <c r="D11" s="226"/>
      <c r="E11" s="226"/>
      <c r="F11" s="226"/>
      <c r="G11" s="227"/>
      <c r="H11" s="73"/>
      <c r="I11" s="73"/>
      <c r="J11" s="73"/>
      <c r="K11" s="73"/>
      <c r="L11" s="73"/>
      <c r="M11" s="73"/>
      <c r="N11" s="73"/>
      <c r="O11" s="73"/>
    </row>
    <row r="12" spans="1:15" x14ac:dyDescent="0.2">
      <c r="A12" s="224"/>
      <c r="B12" s="228"/>
      <c r="C12" s="229"/>
      <c r="D12" s="229"/>
      <c r="E12" s="229"/>
      <c r="F12" s="229"/>
      <c r="G12" s="230"/>
      <c r="H12" s="73"/>
      <c r="I12" s="73"/>
      <c r="J12" s="73"/>
      <c r="K12" s="73"/>
      <c r="L12" s="73"/>
      <c r="M12" s="73"/>
      <c r="N12" s="73"/>
      <c r="O12" s="73"/>
    </row>
    <row r="13" spans="1:15" x14ac:dyDescent="0.2">
      <c r="A13" s="224"/>
      <c r="B13" s="228"/>
      <c r="C13" s="229"/>
      <c r="D13" s="229"/>
      <c r="E13" s="229"/>
      <c r="F13" s="229"/>
      <c r="G13" s="230"/>
      <c r="H13" s="71"/>
      <c r="I13" s="73"/>
      <c r="J13" s="73"/>
      <c r="K13" s="73"/>
      <c r="L13" s="73"/>
      <c r="M13" s="73"/>
      <c r="N13" s="73"/>
      <c r="O13" s="73"/>
    </row>
    <row r="14" spans="1:15" ht="13.5" thickBot="1" x14ac:dyDescent="0.25">
      <c r="A14" s="224"/>
      <c r="B14" s="231"/>
      <c r="C14" s="232"/>
      <c r="D14" s="232"/>
      <c r="E14" s="232"/>
      <c r="F14" s="232"/>
      <c r="G14" s="233"/>
      <c r="H14" s="77"/>
      <c r="I14" s="73"/>
      <c r="J14" s="73"/>
      <c r="K14" s="73"/>
      <c r="L14" s="73"/>
      <c r="M14" s="73"/>
      <c r="N14" s="73"/>
      <c r="O14" s="73"/>
    </row>
    <row r="15" spans="1:15" ht="13.5" thickBot="1" x14ac:dyDescent="0.25">
      <c r="A15" s="71"/>
      <c r="B15" s="71"/>
      <c r="C15" s="71"/>
      <c r="D15" s="71"/>
      <c r="E15" s="71"/>
      <c r="F15" s="71"/>
      <c r="G15" s="71"/>
      <c r="H15" s="77"/>
      <c r="I15" s="73"/>
      <c r="J15" s="73"/>
      <c r="K15" s="73"/>
      <c r="L15" s="73"/>
      <c r="M15" s="73"/>
      <c r="N15" s="73"/>
      <c r="O15" s="73"/>
    </row>
    <row r="16" spans="1:15" x14ac:dyDescent="0.2">
      <c r="A16" s="223" t="s">
        <v>44</v>
      </c>
      <c r="B16" s="225"/>
      <c r="C16" s="226"/>
      <c r="D16" s="226"/>
      <c r="E16" s="226"/>
      <c r="F16" s="226"/>
      <c r="G16" s="227"/>
      <c r="H16" s="73"/>
      <c r="I16" s="73"/>
      <c r="J16" s="73"/>
      <c r="K16" s="73"/>
      <c r="L16" s="73"/>
      <c r="M16" s="73"/>
      <c r="N16" s="73"/>
      <c r="O16" s="73"/>
    </row>
    <row r="17" spans="1:16" x14ac:dyDescent="0.2">
      <c r="A17" s="224"/>
      <c r="B17" s="228"/>
      <c r="C17" s="229"/>
      <c r="D17" s="229"/>
      <c r="E17" s="229"/>
      <c r="F17" s="229"/>
      <c r="G17" s="230"/>
      <c r="H17" s="73"/>
      <c r="I17" s="73"/>
      <c r="J17" s="73"/>
      <c r="K17" s="73"/>
      <c r="L17" s="73"/>
      <c r="M17" s="73"/>
      <c r="N17" s="73"/>
      <c r="O17" s="73"/>
    </row>
    <row r="18" spans="1:16" x14ac:dyDescent="0.2">
      <c r="A18" s="224"/>
      <c r="B18" s="228"/>
      <c r="C18" s="229"/>
      <c r="D18" s="229"/>
      <c r="E18" s="229"/>
      <c r="F18" s="229"/>
      <c r="G18" s="230"/>
      <c r="H18" s="71"/>
      <c r="I18" s="73"/>
      <c r="J18" s="73"/>
      <c r="K18" s="73"/>
      <c r="L18" s="73"/>
      <c r="M18" s="73"/>
      <c r="N18" s="73"/>
      <c r="O18" s="73"/>
    </row>
    <row r="19" spans="1:16" ht="13.5" thickBot="1" x14ac:dyDescent="0.25">
      <c r="A19" s="224"/>
      <c r="B19" s="231"/>
      <c r="C19" s="232"/>
      <c r="D19" s="232"/>
      <c r="E19" s="232"/>
      <c r="F19" s="232"/>
      <c r="G19" s="233"/>
      <c r="H19" s="77"/>
      <c r="I19" s="73"/>
      <c r="J19" s="73"/>
      <c r="K19" s="73"/>
      <c r="L19" s="73"/>
      <c r="M19" s="73"/>
      <c r="N19" s="73"/>
      <c r="O19" s="73"/>
    </row>
    <row r="20" spans="1:16" ht="13.5" thickBot="1" x14ac:dyDescent="0.25">
      <c r="A20" s="71"/>
      <c r="B20" s="71"/>
      <c r="C20" s="71"/>
      <c r="D20" s="71"/>
      <c r="E20" s="71"/>
      <c r="F20" s="71"/>
      <c r="G20" s="71"/>
      <c r="H20" s="77"/>
      <c r="I20" s="73"/>
      <c r="J20" s="73"/>
      <c r="K20" s="73"/>
      <c r="L20" s="73"/>
      <c r="M20" s="73"/>
      <c r="N20" s="73"/>
      <c r="O20" s="73"/>
    </row>
    <row r="21" spans="1:16" ht="12.75" customHeight="1" x14ac:dyDescent="0.2">
      <c r="A21" s="220" t="s">
        <v>48</v>
      </c>
      <c r="B21" s="221"/>
      <c r="C21" s="221"/>
      <c r="D21" s="221"/>
      <c r="E21" s="221"/>
      <c r="F21" s="221"/>
      <c r="G21" s="222"/>
      <c r="H21" s="220" t="s">
        <v>49</v>
      </c>
      <c r="I21" s="221"/>
      <c r="J21" s="221"/>
      <c r="K21" s="222"/>
      <c r="L21" s="220" t="s">
        <v>60</v>
      </c>
      <c r="M21" s="221"/>
      <c r="N21" s="221"/>
      <c r="O21" s="222"/>
      <c r="P21" s="100" t="s">
        <v>47</v>
      </c>
    </row>
    <row r="22" spans="1:16" ht="53.25" customHeight="1" x14ac:dyDescent="0.2">
      <c r="A22" s="101" t="s">
        <v>50</v>
      </c>
      <c r="B22" s="216" t="s">
        <v>222</v>
      </c>
      <c r="C22" s="216"/>
      <c r="D22" s="216"/>
      <c r="E22" s="216"/>
      <c r="F22" s="216"/>
      <c r="G22" s="216"/>
      <c r="H22" s="216"/>
      <c r="I22" s="216"/>
      <c r="J22" s="216"/>
      <c r="K22" s="216"/>
      <c r="L22" s="216" t="s">
        <v>229</v>
      </c>
      <c r="M22" s="216"/>
      <c r="N22" s="216"/>
      <c r="O22" s="216"/>
      <c r="P22" s="95" t="s">
        <v>144</v>
      </c>
    </row>
    <row r="23" spans="1:16" ht="46.5" customHeight="1" x14ac:dyDescent="0.2">
      <c r="A23" s="101" t="s">
        <v>51</v>
      </c>
      <c r="B23" s="216" t="s">
        <v>223</v>
      </c>
      <c r="C23" s="216"/>
      <c r="D23" s="216"/>
      <c r="E23" s="216"/>
      <c r="F23" s="216"/>
      <c r="G23" s="216"/>
      <c r="H23" s="216"/>
      <c r="I23" s="216"/>
      <c r="J23" s="216"/>
      <c r="K23" s="216"/>
      <c r="L23" s="216" t="s">
        <v>229</v>
      </c>
      <c r="M23" s="216"/>
      <c r="N23" s="216"/>
      <c r="O23" s="216"/>
      <c r="P23" s="95" t="s">
        <v>144</v>
      </c>
    </row>
    <row r="24" spans="1:16" ht="48" customHeight="1" x14ac:dyDescent="0.2">
      <c r="A24" s="101" t="s">
        <v>52</v>
      </c>
      <c r="B24" s="216" t="s">
        <v>224</v>
      </c>
      <c r="C24" s="216"/>
      <c r="D24" s="216"/>
      <c r="E24" s="216"/>
      <c r="F24" s="216"/>
      <c r="G24" s="216"/>
      <c r="H24" s="216"/>
      <c r="I24" s="216"/>
      <c r="J24" s="216"/>
      <c r="K24" s="216"/>
      <c r="L24" s="216" t="s">
        <v>229</v>
      </c>
      <c r="M24" s="216"/>
      <c r="N24" s="216"/>
      <c r="O24" s="216"/>
      <c r="P24" s="95" t="s">
        <v>144</v>
      </c>
    </row>
    <row r="25" spans="1:16" ht="73.5" customHeight="1" x14ac:dyDescent="0.2">
      <c r="A25" s="101" t="s">
        <v>53</v>
      </c>
      <c r="B25" s="216" t="s">
        <v>225</v>
      </c>
      <c r="C25" s="216"/>
      <c r="D25" s="216"/>
      <c r="E25" s="216"/>
      <c r="F25" s="216"/>
      <c r="G25" s="216"/>
      <c r="H25" s="216"/>
      <c r="I25" s="216"/>
      <c r="J25" s="216"/>
      <c r="K25" s="216"/>
      <c r="L25" s="216" t="s">
        <v>229</v>
      </c>
      <c r="M25" s="216"/>
      <c r="N25" s="216"/>
      <c r="O25" s="216"/>
      <c r="P25" s="95" t="s">
        <v>144</v>
      </c>
    </row>
    <row r="26" spans="1:16" ht="49.5" customHeight="1" x14ac:dyDescent="0.2">
      <c r="A26" s="101" t="s">
        <v>54</v>
      </c>
      <c r="B26" s="216" t="s">
        <v>228</v>
      </c>
      <c r="C26" s="216"/>
      <c r="D26" s="216"/>
      <c r="E26" s="216"/>
      <c r="F26" s="216"/>
      <c r="G26" s="216"/>
      <c r="H26" s="216" t="s">
        <v>171</v>
      </c>
      <c r="I26" s="216"/>
      <c r="J26" s="216"/>
      <c r="K26" s="216"/>
      <c r="L26" s="216" t="s">
        <v>229</v>
      </c>
      <c r="M26" s="216"/>
      <c r="N26" s="216"/>
      <c r="O26" s="216"/>
      <c r="P26" s="95" t="s">
        <v>144</v>
      </c>
    </row>
    <row r="27" spans="1:16" ht="45.75" customHeight="1" x14ac:dyDescent="0.2">
      <c r="A27" s="101" t="s">
        <v>55</v>
      </c>
      <c r="B27" s="216" t="s">
        <v>232</v>
      </c>
      <c r="C27" s="216"/>
      <c r="D27" s="216"/>
      <c r="E27" s="216"/>
      <c r="F27" s="216"/>
      <c r="G27" s="216"/>
      <c r="H27" s="216"/>
      <c r="I27" s="216"/>
      <c r="J27" s="216"/>
      <c r="K27" s="216"/>
      <c r="L27" s="216" t="s">
        <v>229</v>
      </c>
      <c r="M27" s="216"/>
      <c r="N27" s="216"/>
      <c r="O27" s="216"/>
      <c r="P27" s="95" t="s">
        <v>144</v>
      </c>
    </row>
    <row r="28" spans="1:16" ht="51" customHeight="1" x14ac:dyDescent="0.2">
      <c r="A28" s="101" t="s">
        <v>56</v>
      </c>
      <c r="B28" s="216" t="s">
        <v>238</v>
      </c>
      <c r="C28" s="216"/>
      <c r="D28" s="216"/>
      <c r="E28" s="216"/>
      <c r="F28" s="216"/>
      <c r="G28" s="216"/>
      <c r="H28" s="216"/>
      <c r="I28" s="216"/>
      <c r="J28" s="216"/>
      <c r="K28" s="216"/>
      <c r="L28" s="216" t="s">
        <v>229</v>
      </c>
      <c r="M28" s="216"/>
      <c r="N28" s="216"/>
      <c r="O28" s="216"/>
      <c r="P28" s="95" t="s">
        <v>144</v>
      </c>
    </row>
    <row r="29" spans="1:16" ht="43.5" customHeight="1" x14ac:dyDescent="0.2">
      <c r="A29" s="101" t="s">
        <v>57</v>
      </c>
      <c r="B29" s="216" t="s">
        <v>239</v>
      </c>
      <c r="C29" s="216"/>
      <c r="D29" s="216"/>
      <c r="E29" s="216"/>
      <c r="F29" s="216"/>
      <c r="G29" s="216"/>
      <c r="H29" s="216"/>
      <c r="I29" s="216"/>
      <c r="J29" s="216"/>
      <c r="K29" s="216"/>
      <c r="L29" s="216" t="s">
        <v>229</v>
      </c>
      <c r="M29" s="216"/>
      <c r="N29" s="216"/>
      <c r="O29" s="216"/>
      <c r="P29" s="95" t="s">
        <v>144</v>
      </c>
    </row>
    <row r="30" spans="1:16" ht="45.75" customHeight="1" thickBot="1" x14ac:dyDescent="0.25">
      <c r="A30" s="102" t="s">
        <v>58</v>
      </c>
      <c r="B30" s="216" t="s">
        <v>240</v>
      </c>
      <c r="C30" s="216"/>
      <c r="D30" s="216"/>
      <c r="E30" s="216"/>
      <c r="F30" s="216"/>
      <c r="G30" s="216"/>
      <c r="H30" s="215"/>
      <c r="I30" s="215"/>
      <c r="J30" s="215"/>
      <c r="K30" s="215"/>
      <c r="L30" s="216" t="s">
        <v>229</v>
      </c>
      <c r="M30" s="216"/>
      <c r="N30" s="216"/>
      <c r="O30" s="216"/>
      <c r="P30" s="95" t="s">
        <v>144</v>
      </c>
    </row>
    <row r="31" spans="1:16" ht="42" customHeight="1" thickBot="1" x14ac:dyDescent="0.25">
      <c r="A31" s="102" t="s">
        <v>145</v>
      </c>
      <c r="B31" s="216" t="s">
        <v>241</v>
      </c>
      <c r="C31" s="216"/>
      <c r="D31" s="216"/>
      <c r="E31" s="216"/>
      <c r="F31" s="216"/>
      <c r="G31" s="216"/>
      <c r="H31" s="216"/>
      <c r="I31" s="216"/>
      <c r="J31" s="216"/>
      <c r="K31" s="216"/>
      <c r="L31" s="216" t="s">
        <v>229</v>
      </c>
      <c r="M31" s="216"/>
      <c r="N31" s="216"/>
      <c r="O31" s="216"/>
      <c r="P31" s="95" t="s">
        <v>144</v>
      </c>
    </row>
    <row r="32" spans="1:16" ht="55.5" customHeight="1" thickBot="1" x14ac:dyDescent="0.25">
      <c r="A32" s="102" t="s">
        <v>146</v>
      </c>
      <c r="B32" s="216" t="s">
        <v>242</v>
      </c>
      <c r="C32" s="216"/>
      <c r="D32" s="216"/>
      <c r="E32" s="216"/>
      <c r="F32" s="216"/>
      <c r="G32" s="216"/>
      <c r="H32" s="216"/>
      <c r="I32" s="216"/>
      <c r="J32" s="216"/>
      <c r="K32" s="216"/>
      <c r="L32" s="216" t="s">
        <v>229</v>
      </c>
      <c r="M32" s="216"/>
      <c r="N32" s="216"/>
      <c r="O32" s="216"/>
      <c r="P32" s="95" t="s">
        <v>144</v>
      </c>
    </row>
    <row r="33" spans="1:16" ht="45.75" customHeight="1" thickBot="1" x14ac:dyDescent="0.25">
      <c r="A33" s="102" t="s">
        <v>147</v>
      </c>
      <c r="B33" s="216" t="s">
        <v>243</v>
      </c>
      <c r="C33" s="216"/>
      <c r="D33" s="216"/>
      <c r="E33" s="216"/>
      <c r="F33" s="216"/>
      <c r="G33" s="216"/>
      <c r="H33" s="215"/>
      <c r="I33" s="215"/>
      <c r="J33" s="215"/>
      <c r="K33" s="215"/>
      <c r="L33" s="216" t="s">
        <v>229</v>
      </c>
      <c r="M33" s="216"/>
      <c r="N33" s="216"/>
      <c r="O33" s="216"/>
      <c r="P33" s="95" t="s">
        <v>144</v>
      </c>
    </row>
    <row r="34" spans="1:16" ht="45.75" customHeight="1" thickBot="1" x14ac:dyDescent="0.25">
      <c r="A34" s="102" t="s">
        <v>148</v>
      </c>
      <c r="B34" s="217"/>
      <c r="C34" s="218"/>
      <c r="D34" s="218"/>
      <c r="E34" s="218"/>
      <c r="F34" s="218"/>
      <c r="G34" s="219"/>
      <c r="H34" s="216"/>
      <c r="I34" s="216"/>
      <c r="J34" s="216"/>
      <c r="K34" s="216"/>
      <c r="L34" s="216"/>
      <c r="M34" s="216"/>
      <c r="N34" s="216"/>
      <c r="O34" s="216"/>
      <c r="P34" s="95"/>
    </row>
    <row r="35" spans="1:16" ht="48" customHeight="1" thickBot="1" x14ac:dyDescent="0.25">
      <c r="A35" s="102" t="s">
        <v>149</v>
      </c>
      <c r="B35" s="217"/>
      <c r="C35" s="218"/>
      <c r="D35" s="218"/>
      <c r="E35" s="218"/>
      <c r="F35" s="218"/>
      <c r="G35" s="219"/>
      <c r="H35" s="216"/>
      <c r="I35" s="216"/>
      <c r="J35" s="216"/>
      <c r="K35" s="216"/>
      <c r="L35" s="216"/>
      <c r="M35" s="216"/>
      <c r="N35" s="216"/>
      <c r="O35" s="216"/>
      <c r="P35" s="95"/>
    </row>
    <row r="36" spans="1:16" ht="45.75" customHeight="1" thickBot="1" x14ac:dyDescent="0.25">
      <c r="A36" s="102" t="s">
        <v>150</v>
      </c>
      <c r="B36" s="212"/>
      <c r="C36" s="213"/>
      <c r="D36" s="213"/>
      <c r="E36" s="213"/>
      <c r="F36" s="213"/>
      <c r="G36" s="214"/>
      <c r="H36" s="215"/>
      <c r="I36" s="215"/>
      <c r="J36" s="215"/>
      <c r="K36" s="215"/>
      <c r="L36" s="216"/>
      <c r="M36" s="216"/>
      <c r="N36" s="216"/>
      <c r="O36" s="216"/>
      <c r="P36" s="96"/>
    </row>
    <row r="37" spans="1:16" ht="66" customHeight="1" thickBot="1" x14ac:dyDescent="0.25">
      <c r="A37" s="102" t="s">
        <v>151</v>
      </c>
      <c r="B37" s="212"/>
      <c r="C37" s="213"/>
      <c r="D37" s="213"/>
      <c r="E37" s="213"/>
      <c r="F37" s="213"/>
      <c r="G37" s="214"/>
      <c r="H37" s="215"/>
      <c r="I37" s="215"/>
      <c r="J37" s="215"/>
      <c r="K37" s="215"/>
      <c r="L37" s="216"/>
      <c r="M37" s="216"/>
      <c r="N37" s="216"/>
      <c r="O37" s="216"/>
      <c r="P37" s="96"/>
    </row>
    <row r="38" spans="1:16" ht="45.75" customHeight="1" thickBot="1" x14ac:dyDescent="0.25">
      <c r="A38" s="102" t="s">
        <v>152</v>
      </c>
      <c r="B38" s="212"/>
      <c r="C38" s="213"/>
      <c r="D38" s="213"/>
      <c r="E38" s="213"/>
      <c r="F38" s="213"/>
      <c r="G38" s="214"/>
      <c r="H38" s="215"/>
      <c r="I38" s="215"/>
      <c r="J38" s="215"/>
      <c r="K38" s="215"/>
      <c r="L38" s="215"/>
      <c r="M38" s="215"/>
      <c r="N38" s="215"/>
      <c r="O38" s="215"/>
      <c r="P38" s="96"/>
    </row>
    <row r="39" spans="1:16" ht="45.75" customHeight="1" thickBot="1" x14ac:dyDescent="0.25">
      <c r="A39" s="102" t="s">
        <v>153</v>
      </c>
      <c r="B39" s="212"/>
      <c r="C39" s="213"/>
      <c r="D39" s="213"/>
      <c r="E39" s="213"/>
      <c r="F39" s="213"/>
      <c r="G39" s="214"/>
      <c r="H39" s="215"/>
      <c r="I39" s="215"/>
      <c r="J39" s="215"/>
      <c r="K39" s="215"/>
      <c r="L39" s="215"/>
      <c r="M39" s="215"/>
      <c r="N39" s="215"/>
      <c r="O39" s="215"/>
      <c r="P39" s="96"/>
    </row>
    <row r="40" spans="1:16" ht="45.75" customHeight="1" thickBot="1" x14ac:dyDescent="0.25">
      <c r="A40" s="102" t="s">
        <v>184</v>
      </c>
      <c r="B40" s="212"/>
      <c r="C40" s="213"/>
      <c r="D40" s="213"/>
      <c r="E40" s="213"/>
      <c r="F40" s="213"/>
      <c r="G40" s="214"/>
      <c r="H40" s="215"/>
      <c r="I40" s="215"/>
      <c r="J40" s="215"/>
      <c r="K40" s="215"/>
      <c r="L40" s="215"/>
      <c r="M40" s="215"/>
      <c r="N40" s="215"/>
      <c r="O40" s="215"/>
      <c r="P40" s="96"/>
    </row>
    <row r="41" spans="1:16" ht="45.75" customHeight="1" thickBot="1" x14ac:dyDescent="0.25">
      <c r="A41" s="102" t="s">
        <v>185</v>
      </c>
      <c r="B41" s="212"/>
      <c r="C41" s="213"/>
      <c r="D41" s="213"/>
      <c r="E41" s="213"/>
      <c r="F41" s="213"/>
      <c r="G41" s="214"/>
      <c r="H41" s="215"/>
      <c r="I41" s="215"/>
      <c r="J41" s="215"/>
      <c r="K41" s="215"/>
      <c r="L41" s="215"/>
      <c r="M41" s="215"/>
      <c r="N41" s="215"/>
      <c r="O41" s="215"/>
      <c r="P41" s="96"/>
    </row>
    <row r="42" spans="1:16" ht="45.75" customHeight="1" thickBot="1" x14ac:dyDescent="0.25">
      <c r="A42" s="102" t="s">
        <v>186</v>
      </c>
      <c r="B42" s="212"/>
      <c r="C42" s="213"/>
      <c r="D42" s="213"/>
      <c r="E42" s="213"/>
      <c r="F42" s="213"/>
      <c r="G42" s="214"/>
      <c r="H42" s="215"/>
      <c r="I42" s="215"/>
      <c r="J42" s="215"/>
      <c r="K42" s="215"/>
      <c r="L42" s="215"/>
      <c r="M42" s="215"/>
      <c r="N42" s="215"/>
      <c r="O42" s="215"/>
      <c r="P42" s="96"/>
    </row>
    <row r="43" spans="1:16" ht="45.75" customHeight="1" thickBot="1" x14ac:dyDescent="0.25">
      <c r="A43" s="102" t="s">
        <v>187</v>
      </c>
      <c r="B43" s="212"/>
      <c r="C43" s="213"/>
      <c r="D43" s="213"/>
      <c r="E43" s="213"/>
      <c r="F43" s="213"/>
      <c r="G43" s="214"/>
      <c r="H43" s="215"/>
      <c r="I43" s="215"/>
      <c r="J43" s="215"/>
      <c r="K43" s="215"/>
      <c r="L43" s="215"/>
      <c r="M43" s="215"/>
      <c r="N43" s="215"/>
      <c r="O43" s="215"/>
      <c r="P43" s="96"/>
    </row>
    <row r="44" spans="1:16" ht="45.75" customHeight="1" thickBot="1" x14ac:dyDescent="0.25">
      <c r="A44" s="102" t="s">
        <v>188</v>
      </c>
      <c r="B44" s="212"/>
      <c r="C44" s="213"/>
      <c r="D44" s="213"/>
      <c r="E44" s="213"/>
      <c r="F44" s="213"/>
      <c r="G44" s="214"/>
      <c r="H44" s="215"/>
      <c r="I44" s="215"/>
      <c r="J44" s="215"/>
      <c r="K44" s="215"/>
      <c r="L44" s="215"/>
      <c r="M44" s="215"/>
      <c r="N44" s="215"/>
      <c r="O44" s="215"/>
      <c r="P44" s="96"/>
    </row>
    <row r="45" spans="1:16" ht="45.75" customHeight="1" thickBot="1" x14ac:dyDescent="0.25">
      <c r="A45" s="102" t="s">
        <v>189</v>
      </c>
      <c r="B45" s="212"/>
      <c r="C45" s="213"/>
      <c r="D45" s="213"/>
      <c r="E45" s="213"/>
      <c r="F45" s="213"/>
      <c r="G45" s="214"/>
      <c r="H45" s="215"/>
      <c r="I45" s="215"/>
      <c r="J45" s="215"/>
      <c r="K45" s="215"/>
      <c r="L45" s="215"/>
      <c r="M45" s="215"/>
      <c r="N45" s="215"/>
      <c r="O45" s="215"/>
      <c r="P45" s="96"/>
    </row>
    <row r="46" spans="1:16" ht="45.75" customHeight="1" thickBot="1" x14ac:dyDescent="0.25">
      <c r="A46" s="102" t="s">
        <v>190</v>
      </c>
      <c r="B46" s="212"/>
      <c r="C46" s="213"/>
      <c r="D46" s="213"/>
      <c r="E46" s="213"/>
      <c r="F46" s="213"/>
      <c r="G46" s="214"/>
      <c r="H46" s="215"/>
      <c r="I46" s="215"/>
      <c r="J46" s="215"/>
      <c r="K46" s="215"/>
      <c r="L46" s="215"/>
      <c r="M46" s="215"/>
      <c r="N46" s="215"/>
      <c r="O46" s="215"/>
      <c r="P46" s="96"/>
    </row>
    <row r="47" spans="1:16" ht="45.75" customHeight="1" thickBot="1" x14ac:dyDescent="0.25">
      <c r="A47" s="102" t="s">
        <v>191</v>
      </c>
      <c r="B47" s="212"/>
      <c r="C47" s="213"/>
      <c r="D47" s="213"/>
      <c r="E47" s="213"/>
      <c r="F47" s="213"/>
      <c r="G47" s="214"/>
      <c r="H47" s="215"/>
      <c r="I47" s="215"/>
      <c r="J47" s="215"/>
      <c r="K47" s="215"/>
      <c r="L47" s="215"/>
      <c r="M47" s="215"/>
      <c r="N47" s="215"/>
      <c r="O47" s="215"/>
      <c r="P47" s="96"/>
    </row>
    <row r="48" spans="1:16" ht="45.75" customHeight="1" thickBot="1" x14ac:dyDescent="0.25">
      <c r="A48" s="102" t="s">
        <v>192</v>
      </c>
      <c r="B48" s="212"/>
      <c r="C48" s="213"/>
      <c r="D48" s="213"/>
      <c r="E48" s="213"/>
      <c r="F48" s="213"/>
      <c r="G48" s="214"/>
      <c r="H48" s="215"/>
      <c r="I48" s="215"/>
      <c r="J48" s="215"/>
      <c r="K48" s="215"/>
      <c r="L48" s="215"/>
      <c r="M48" s="215"/>
      <c r="N48" s="215"/>
      <c r="O48" s="215"/>
      <c r="P48" s="96"/>
    </row>
    <row r="49" spans="1:16" ht="45.75" customHeight="1" thickBot="1" x14ac:dyDescent="0.25">
      <c r="A49" s="102" t="s">
        <v>193</v>
      </c>
      <c r="B49" s="212"/>
      <c r="C49" s="213"/>
      <c r="D49" s="213"/>
      <c r="E49" s="213"/>
      <c r="F49" s="213"/>
      <c r="G49" s="214"/>
      <c r="H49" s="215"/>
      <c r="I49" s="215"/>
      <c r="J49" s="215"/>
      <c r="K49" s="215"/>
      <c r="L49" s="215"/>
      <c r="M49" s="215"/>
      <c r="N49" s="215"/>
      <c r="O49" s="215"/>
      <c r="P49" s="96"/>
    </row>
    <row r="50" spans="1:16" ht="45.75" customHeight="1" thickBot="1" x14ac:dyDescent="0.25">
      <c r="A50" s="102" t="s">
        <v>194</v>
      </c>
      <c r="B50" s="212"/>
      <c r="C50" s="213"/>
      <c r="D50" s="213"/>
      <c r="E50" s="213"/>
      <c r="F50" s="213"/>
      <c r="G50" s="214"/>
      <c r="H50" s="215"/>
      <c r="I50" s="215"/>
      <c r="J50" s="215"/>
      <c r="K50" s="215"/>
      <c r="L50" s="215"/>
      <c r="M50" s="215"/>
      <c r="N50" s="215"/>
      <c r="O50" s="215"/>
      <c r="P50" s="96"/>
    </row>
  </sheetData>
  <mergeCells count="97">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 ref="B36:G36"/>
    <mergeCell ref="H36:K36"/>
    <mergeCell ref="L36:O36"/>
    <mergeCell ref="B37:G37"/>
    <mergeCell ref="H37:K37"/>
    <mergeCell ref="L37:O37"/>
    <mergeCell ref="B38:G38"/>
    <mergeCell ref="H38:K38"/>
    <mergeCell ref="L38:O38"/>
    <mergeCell ref="B39:G39"/>
    <mergeCell ref="H39:K39"/>
    <mergeCell ref="L39:O39"/>
    <mergeCell ref="B40:G40"/>
    <mergeCell ref="H40:K40"/>
    <mergeCell ref="L40:O40"/>
    <mergeCell ref="B41:G41"/>
    <mergeCell ref="H41:K41"/>
    <mergeCell ref="L41:O41"/>
    <mergeCell ref="B42:G42"/>
    <mergeCell ref="H42:K42"/>
    <mergeCell ref="L42:O42"/>
    <mergeCell ref="B43:G43"/>
    <mergeCell ref="H43:K43"/>
    <mergeCell ref="L43:O43"/>
    <mergeCell ref="B44:G44"/>
    <mergeCell ref="H44:K44"/>
    <mergeCell ref="L44:O44"/>
    <mergeCell ref="B45:G45"/>
    <mergeCell ref="H45:K45"/>
    <mergeCell ref="L45:O45"/>
    <mergeCell ref="B46:G46"/>
    <mergeCell ref="H46:K46"/>
    <mergeCell ref="L46:O46"/>
    <mergeCell ref="B47:G47"/>
    <mergeCell ref="H47:K47"/>
    <mergeCell ref="L47:O47"/>
    <mergeCell ref="B48:G48"/>
    <mergeCell ref="H48:K48"/>
    <mergeCell ref="L48:O48"/>
    <mergeCell ref="B49:G49"/>
    <mergeCell ref="H49:K49"/>
    <mergeCell ref="L49:O49"/>
    <mergeCell ref="B50:G50"/>
    <mergeCell ref="H50:K50"/>
    <mergeCell ref="L50:O50"/>
  </mergeCells>
  <conditionalFormatting sqref="B9:B10">
    <cfRule type="cellIs" dxfId="1012" priority="33" operator="equal">
      <formula>"Nok"</formula>
    </cfRule>
    <cfRule type="cellIs" dxfId="1011" priority="34" operator="equal">
      <formula>"Ok"</formula>
    </cfRule>
  </conditionalFormatting>
  <conditionalFormatting sqref="P22:P33">
    <cfRule type="cellIs" dxfId="1010" priority="31" operator="equal">
      <formula>"Nok"</formula>
    </cfRule>
    <cfRule type="cellIs" dxfId="1009" priority="32" operator="equal">
      <formula>"Ok"</formula>
    </cfRule>
  </conditionalFormatting>
  <conditionalFormatting sqref="P34:P35">
    <cfRule type="cellIs" dxfId="1008" priority="29" operator="equal">
      <formula>"Nok"</formula>
    </cfRule>
    <cfRule type="cellIs" dxfId="1007" priority="30" operator="equal">
      <formula>"Ok"</formula>
    </cfRule>
  </conditionalFormatting>
  <conditionalFormatting sqref="P36:P37">
    <cfRule type="cellIs" dxfId="1006" priority="27" operator="equal">
      <formula>"Nok"</formula>
    </cfRule>
    <cfRule type="cellIs" dxfId="1005" priority="28" operator="equal">
      <formula>"Ok"</formula>
    </cfRule>
  </conditionalFormatting>
  <conditionalFormatting sqref="P38">
    <cfRule type="cellIs" dxfId="1004" priority="25" operator="equal">
      <formula>"Nok"</formula>
    </cfRule>
    <cfRule type="cellIs" dxfId="1003" priority="26" operator="equal">
      <formula>"Ok"</formula>
    </cfRule>
  </conditionalFormatting>
  <conditionalFormatting sqref="P39">
    <cfRule type="cellIs" dxfId="1002" priority="23" operator="equal">
      <formula>"Nok"</formula>
    </cfRule>
    <cfRule type="cellIs" dxfId="1001" priority="24" operator="equal">
      <formula>"Ok"</formula>
    </cfRule>
  </conditionalFormatting>
  <conditionalFormatting sqref="P40">
    <cfRule type="cellIs" dxfId="1000" priority="21" operator="equal">
      <formula>"Nok"</formula>
    </cfRule>
    <cfRule type="cellIs" dxfId="999" priority="22" operator="equal">
      <formula>"Ok"</formula>
    </cfRule>
  </conditionalFormatting>
  <conditionalFormatting sqref="P41">
    <cfRule type="cellIs" dxfId="998" priority="19" operator="equal">
      <formula>"Nok"</formula>
    </cfRule>
    <cfRule type="cellIs" dxfId="997" priority="20" operator="equal">
      <formula>"Ok"</formula>
    </cfRule>
  </conditionalFormatting>
  <conditionalFormatting sqref="P42">
    <cfRule type="cellIs" dxfId="996" priority="17" operator="equal">
      <formula>"Nok"</formula>
    </cfRule>
    <cfRule type="cellIs" dxfId="995" priority="18" operator="equal">
      <formula>"Ok"</formula>
    </cfRule>
  </conditionalFormatting>
  <conditionalFormatting sqref="P43">
    <cfRule type="cellIs" dxfId="994" priority="15" operator="equal">
      <formula>"Nok"</formula>
    </cfRule>
    <cfRule type="cellIs" dxfId="993" priority="16" operator="equal">
      <formula>"Ok"</formula>
    </cfRule>
  </conditionalFormatting>
  <conditionalFormatting sqref="P44">
    <cfRule type="cellIs" dxfId="992" priority="13" operator="equal">
      <formula>"Nok"</formula>
    </cfRule>
    <cfRule type="cellIs" dxfId="991" priority="14" operator="equal">
      <formula>"Ok"</formula>
    </cfRule>
  </conditionalFormatting>
  <conditionalFormatting sqref="P45">
    <cfRule type="cellIs" dxfId="990" priority="11" operator="equal">
      <formula>"Nok"</formula>
    </cfRule>
    <cfRule type="cellIs" dxfId="989" priority="12" operator="equal">
      <formula>"Ok"</formula>
    </cfRule>
  </conditionalFormatting>
  <conditionalFormatting sqref="P46">
    <cfRule type="cellIs" dxfId="988" priority="9" operator="equal">
      <formula>"Nok"</formula>
    </cfRule>
    <cfRule type="cellIs" dxfId="987" priority="10" operator="equal">
      <formula>"Ok"</formula>
    </cfRule>
  </conditionalFormatting>
  <conditionalFormatting sqref="P47">
    <cfRule type="cellIs" dxfId="986" priority="7" operator="equal">
      <formula>"Nok"</formula>
    </cfRule>
    <cfRule type="cellIs" dxfId="985" priority="8" operator="equal">
      <formula>"Ok"</formula>
    </cfRule>
  </conditionalFormatting>
  <conditionalFormatting sqref="P48">
    <cfRule type="cellIs" dxfId="984" priority="5" operator="equal">
      <formula>"Nok"</formula>
    </cfRule>
    <cfRule type="cellIs" dxfId="983" priority="6" operator="equal">
      <formula>"Ok"</formula>
    </cfRule>
  </conditionalFormatting>
  <conditionalFormatting sqref="P49">
    <cfRule type="cellIs" dxfId="982" priority="3" operator="equal">
      <formula>"Nok"</formula>
    </cfRule>
    <cfRule type="cellIs" dxfId="981" priority="4" operator="equal">
      <formula>"Ok"</formula>
    </cfRule>
  </conditionalFormatting>
  <conditionalFormatting sqref="P50">
    <cfRule type="cellIs" dxfId="980" priority="1" operator="equal">
      <formula>"Nok"</formula>
    </cfRule>
    <cfRule type="cellIs" dxfId="979" priority="2" operator="equal">
      <formula>"Ok"</formula>
    </cfRule>
  </conditionalFormatting>
  <dataValidations count="3">
    <dataValidation type="list" allowBlank="1" showInputMessage="1" showErrorMessage="1" sqref="P22:P50">
      <formula1>"Ok, Nok, Not run, ,"</formula1>
    </dataValidation>
    <dataValidation type="list" allowBlank="1" showInputMessage="1" showErrorMessage="1" sqref="B9">
      <formula1>"Ok, Nok, Not run, NA"</formula1>
    </dataValidation>
    <dataValidation type="list" allowBlank="1" showInputMessage="1" showErrorMessage="1" sqref="B5">
      <formula1>"Nominal, Robustness, Endurance, Qualification"</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workbookViewId="0">
      <selection activeCell="H23" sqref="H23:K23"/>
    </sheetView>
  </sheetViews>
  <sheetFormatPr defaultRowHeight="12.75" x14ac:dyDescent="0.2"/>
  <cols>
    <col min="1" max="1" width="20.140625" style="97" customWidth="1"/>
    <col min="2" max="2" width="18.42578125" style="93" customWidth="1"/>
    <col min="3" max="7" width="9.140625" style="93"/>
    <col min="8" max="15" width="9.5703125" style="93" customWidth="1"/>
    <col min="16" max="16384" width="9.140625" style="93"/>
  </cols>
  <sheetData>
    <row r="1" spans="1:15" ht="13.5" thickBot="1" x14ac:dyDescent="0.25">
      <c r="A1" s="98" t="s">
        <v>41</v>
      </c>
      <c r="B1" s="234" t="s">
        <v>203</v>
      </c>
      <c r="C1" s="235"/>
      <c r="D1" s="235"/>
      <c r="E1" s="235"/>
      <c r="F1" s="235"/>
      <c r="G1" s="236"/>
      <c r="H1" s="73"/>
      <c r="I1" s="73"/>
      <c r="J1" s="73"/>
      <c r="K1" s="73"/>
      <c r="L1" s="73"/>
      <c r="M1" s="73"/>
      <c r="N1" s="73"/>
      <c r="O1" s="73"/>
    </row>
    <row r="2" spans="1:15" ht="13.5" thickBot="1" x14ac:dyDescent="0.25">
      <c r="A2" s="71"/>
      <c r="B2" s="72"/>
      <c r="C2" s="72"/>
      <c r="D2" s="73"/>
      <c r="E2" s="73"/>
      <c r="F2" s="73"/>
      <c r="G2" s="73"/>
      <c r="H2" s="73"/>
      <c r="I2" s="73"/>
      <c r="J2" s="73"/>
      <c r="K2" s="73"/>
      <c r="L2" s="73"/>
      <c r="M2" s="73"/>
      <c r="N2" s="73"/>
      <c r="O2" s="73"/>
    </row>
    <row r="3" spans="1:15" ht="61.5" customHeight="1" thickBot="1" x14ac:dyDescent="0.25">
      <c r="A3" s="99" t="s">
        <v>46</v>
      </c>
      <c r="B3" s="237" t="s">
        <v>250</v>
      </c>
      <c r="C3" s="238"/>
      <c r="D3" s="238"/>
      <c r="E3" s="238"/>
      <c r="F3" s="238"/>
      <c r="G3" s="239"/>
      <c r="H3" s="73"/>
      <c r="I3" s="73"/>
      <c r="J3" s="73"/>
      <c r="K3" s="73"/>
      <c r="L3" s="73"/>
      <c r="M3" s="73"/>
      <c r="N3" s="73"/>
      <c r="O3" s="73"/>
    </row>
    <row r="4" spans="1:15" ht="13.5" thickBot="1" x14ac:dyDescent="0.25">
      <c r="A4" s="71"/>
      <c r="B4" s="72"/>
      <c r="C4" s="72"/>
      <c r="D4" s="73"/>
      <c r="E4" s="73"/>
      <c r="F4" s="73"/>
      <c r="G4" s="73"/>
      <c r="H4" s="73"/>
      <c r="I4" s="73"/>
      <c r="J4" s="73"/>
      <c r="K4" s="73"/>
      <c r="L4" s="73"/>
      <c r="M4" s="73"/>
      <c r="N4" s="73"/>
      <c r="O4" s="73"/>
    </row>
    <row r="5" spans="1:15" ht="13.5" thickBot="1" x14ac:dyDescent="0.25">
      <c r="A5" s="98" t="s">
        <v>111</v>
      </c>
      <c r="B5" s="76" t="s">
        <v>142</v>
      </c>
      <c r="C5" s="72"/>
      <c r="D5" s="73"/>
      <c r="E5" s="73"/>
      <c r="F5" s="73"/>
      <c r="G5" s="73"/>
      <c r="H5" s="73"/>
      <c r="I5" s="73"/>
      <c r="J5" s="73"/>
      <c r="K5" s="73"/>
      <c r="L5" s="73"/>
      <c r="M5" s="73"/>
      <c r="N5" s="73"/>
      <c r="O5" s="73"/>
    </row>
    <row r="6" spans="1:15" ht="13.5" thickBot="1" x14ac:dyDescent="0.25">
      <c r="A6" s="71"/>
      <c r="B6" s="72"/>
      <c r="C6" s="72"/>
      <c r="D6" s="73"/>
      <c r="E6" s="73"/>
      <c r="F6" s="73"/>
      <c r="G6" s="73"/>
      <c r="H6" s="73"/>
      <c r="I6" s="73"/>
      <c r="J6" s="73"/>
      <c r="K6" s="73"/>
      <c r="L6" s="73"/>
      <c r="M6" s="73"/>
      <c r="N6" s="73"/>
      <c r="O6" s="73"/>
    </row>
    <row r="7" spans="1:15" ht="27.75" customHeight="1" thickBot="1" x14ac:dyDescent="0.25">
      <c r="A7" s="98" t="s">
        <v>42</v>
      </c>
      <c r="B7" s="237" t="s">
        <v>204</v>
      </c>
      <c r="C7" s="238"/>
      <c r="D7" s="238"/>
      <c r="E7" s="238"/>
      <c r="F7" s="238"/>
      <c r="G7" s="239"/>
      <c r="H7" s="73"/>
      <c r="I7" s="73"/>
      <c r="J7" s="73"/>
      <c r="K7" s="73"/>
      <c r="L7" s="73"/>
      <c r="M7" s="73"/>
      <c r="N7" s="73"/>
      <c r="O7" s="73"/>
    </row>
    <row r="8" spans="1:15" ht="13.5" thickBot="1" x14ac:dyDescent="0.25">
      <c r="A8" s="75"/>
      <c r="B8" s="74"/>
      <c r="C8" s="74"/>
      <c r="D8" s="74"/>
      <c r="E8" s="74"/>
      <c r="F8" s="74"/>
      <c r="G8" s="74"/>
      <c r="H8" s="73"/>
      <c r="I8" s="73"/>
      <c r="J8" s="73"/>
      <c r="K8" s="73"/>
      <c r="L8" s="73"/>
      <c r="M8" s="73"/>
      <c r="N8" s="73"/>
      <c r="O8" s="73"/>
    </row>
    <row r="9" spans="1:15" ht="13.5" thickBot="1" x14ac:dyDescent="0.25">
      <c r="A9" s="98" t="s">
        <v>43</v>
      </c>
      <c r="B9" s="103" t="s">
        <v>144</v>
      </c>
      <c r="C9" s="72"/>
      <c r="D9" s="73"/>
      <c r="E9" s="73"/>
      <c r="F9" s="73"/>
      <c r="G9" s="73"/>
      <c r="H9" s="73"/>
      <c r="I9" s="73"/>
      <c r="J9" s="73"/>
      <c r="K9" s="73"/>
      <c r="L9" s="73"/>
      <c r="M9" s="73"/>
      <c r="N9" s="73"/>
      <c r="O9" s="73"/>
    </row>
    <row r="10" spans="1:15" ht="13.5" thickBot="1" x14ac:dyDescent="0.25">
      <c r="A10" s="75"/>
      <c r="B10" s="94"/>
      <c r="C10" s="72"/>
      <c r="D10" s="73"/>
      <c r="E10" s="73"/>
      <c r="F10" s="73"/>
      <c r="G10" s="73"/>
      <c r="H10" s="73"/>
      <c r="I10" s="73"/>
      <c r="J10" s="73"/>
      <c r="K10" s="73"/>
      <c r="L10" s="73"/>
      <c r="M10" s="73"/>
      <c r="N10" s="73"/>
      <c r="O10" s="73"/>
    </row>
    <row r="11" spans="1:15" ht="12" customHeight="1" x14ac:dyDescent="0.2">
      <c r="A11" s="223" t="s">
        <v>113</v>
      </c>
      <c r="B11" s="225"/>
      <c r="C11" s="226"/>
      <c r="D11" s="226"/>
      <c r="E11" s="226"/>
      <c r="F11" s="226"/>
      <c r="G11" s="227"/>
      <c r="H11" s="73"/>
      <c r="I11" s="73"/>
      <c r="J11" s="73"/>
      <c r="K11" s="73"/>
      <c r="L11" s="73"/>
      <c r="M11" s="73"/>
      <c r="N11" s="73"/>
      <c r="O11" s="73"/>
    </row>
    <row r="12" spans="1:15" x14ac:dyDescent="0.2">
      <c r="A12" s="224"/>
      <c r="B12" s="228"/>
      <c r="C12" s="229"/>
      <c r="D12" s="229"/>
      <c r="E12" s="229"/>
      <c r="F12" s="229"/>
      <c r="G12" s="230"/>
      <c r="H12" s="73"/>
      <c r="I12" s="73"/>
      <c r="J12" s="73"/>
      <c r="K12" s="73"/>
      <c r="L12" s="73"/>
      <c r="M12" s="73"/>
      <c r="N12" s="73"/>
      <c r="O12" s="73"/>
    </row>
    <row r="13" spans="1:15" x14ac:dyDescent="0.2">
      <c r="A13" s="224"/>
      <c r="B13" s="228"/>
      <c r="C13" s="229"/>
      <c r="D13" s="229"/>
      <c r="E13" s="229"/>
      <c r="F13" s="229"/>
      <c r="G13" s="230"/>
      <c r="H13" s="71"/>
      <c r="I13" s="73"/>
      <c r="J13" s="73"/>
      <c r="K13" s="73"/>
      <c r="L13" s="73"/>
      <c r="M13" s="73"/>
      <c r="N13" s="73"/>
      <c r="O13" s="73"/>
    </row>
    <row r="14" spans="1:15" ht="13.5" thickBot="1" x14ac:dyDescent="0.25">
      <c r="A14" s="224"/>
      <c r="B14" s="231"/>
      <c r="C14" s="232"/>
      <c r="D14" s="232"/>
      <c r="E14" s="232"/>
      <c r="F14" s="232"/>
      <c r="G14" s="233"/>
      <c r="H14" s="77"/>
      <c r="I14" s="73"/>
      <c r="J14" s="73"/>
      <c r="K14" s="73"/>
      <c r="L14" s="73"/>
      <c r="M14" s="73"/>
      <c r="N14" s="73"/>
      <c r="O14" s="73"/>
    </row>
    <row r="15" spans="1:15" ht="13.5" thickBot="1" x14ac:dyDescent="0.25">
      <c r="A15" s="71"/>
      <c r="B15" s="71"/>
      <c r="C15" s="71"/>
      <c r="D15" s="71"/>
      <c r="E15" s="71"/>
      <c r="F15" s="71"/>
      <c r="G15" s="71"/>
      <c r="H15" s="77"/>
      <c r="I15" s="73"/>
      <c r="J15" s="73"/>
      <c r="K15" s="73"/>
      <c r="L15" s="73"/>
      <c r="M15" s="73"/>
      <c r="N15" s="73"/>
      <c r="O15" s="73"/>
    </row>
    <row r="16" spans="1:15" x14ac:dyDescent="0.2">
      <c r="A16" s="223" t="s">
        <v>44</v>
      </c>
      <c r="B16" s="225"/>
      <c r="C16" s="226"/>
      <c r="D16" s="226"/>
      <c r="E16" s="226"/>
      <c r="F16" s="226"/>
      <c r="G16" s="227"/>
      <c r="H16" s="73"/>
      <c r="I16" s="73"/>
      <c r="J16" s="73"/>
      <c r="K16" s="73"/>
      <c r="L16" s="73"/>
      <c r="M16" s="73"/>
      <c r="N16" s="73"/>
      <c r="O16" s="73"/>
    </row>
    <row r="17" spans="1:16" x14ac:dyDescent="0.2">
      <c r="A17" s="224"/>
      <c r="B17" s="228"/>
      <c r="C17" s="229"/>
      <c r="D17" s="229"/>
      <c r="E17" s="229"/>
      <c r="F17" s="229"/>
      <c r="G17" s="230"/>
      <c r="H17" s="73"/>
      <c r="I17" s="73"/>
      <c r="J17" s="73"/>
      <c r="K17" s="73"/>
      <c r="L17" s="73"/>
      <c r="M17" s="73"/>
      <c r="N17" s="73"/>
      <c r="O17" s="73"/>
    </row>
    <row r="18" spans="1:16" x14ac:dyDescent="0.2">
      <c r="A18" s="224"/>
      <c r="B18" s="228"/>
      <c r="C18" s="229"/>
      <c r="D18" s="229"/>
      <c r="E18" s="229"/>
      <c r="F18" s="229"/>
      <c r="G18" s="230"/>
      <c r="H18" s="71"/>
      <c r="I18" s="73"/>
      <c r="J18" s="73"/>
      <c r="K18" s="73"/>
      <c r="L18" s="73"/>
      <c r="M18" s="73"/>
      <c r="N18" s="73"/>
      <c r="O18" s="73"/>
    </row>
    <row r="19" spans="1:16" ht="13.5" thickBot="1" x14ac:dyDescent="0.25">
      <c r="A19" s="224"/>
      <c r="B19" s="231"/>
      <c r="C19" s="232"/>
      <c r="D19" s="232"/>
      <c r="E19" s="232"/>
      <c r="F19" s="232"/>
      <c r="G19" s="233"/>
      <c r="H19" s="77"/>
      <c r="I19" s="73"/>
      <c r="J19" s="73"/>
      <c r="K19" s="73"/>
      <c r="L19" s="73"/>
      <c r="M19" s="73"/>
      <c r="N19" s="73"/>
      <c r="O19" s="73"/>
    </row>
    <row r="20" spans="1:16" ht="13.5" thickBot="1" x14ac:dyDescent="0.25">
      <c r="A20" s="71"/>
      <c r="B20" s="71"/>
      <c r="C20" s="71"/>
      <c r="D20" s="71"/>
      <c r="E20" s="71"/>
      <c r="F20" s="71"/>
      <c r="G20" s="71"/>
      <c r="H20" s="77"/>
      <c r="I20" s="73"/>
      <c r="J20" s="73"/>
      <c r="K20" s="73"/>
      <c r="L20" s="73"/>
      <c r="M20" s="73"/>
      <c r="N20" s="73"/>
      <c r="O20" s="73"/>
    </row>
    <row r="21" spans="1:16" ht="12.75" customHeight="1" x14ac:dyDescent="0.2">
      <c r="A21" s="220" t="s">
        <v>48</v>
      </c>
      <c r="B21" s="221"/>
      <c r="C21" s="221"/>
      <c r="D21" s="221"/>
      <c r="E21" s="221"/>
      <c r="F21" s="221"/>
      <c r="G21" s="222"/>
      <c r="H21" s="220" t="s">
        <v>49</v>
      </c>
      <c r="I21" s="221"/>
      <c r="J21" s="221"/>
      <c r="K21" s="222"/>
      <c r="L21" s="220" t="s">
        <v>60</v>
      </c>
      <c r="M21" s="221"/>
      <c r="N21" s="221"/>
      <c r="O21" s="222"/>
      <c r="P21" s="100" t="s">
        <v>47</v>
      </c>
    </row>
    <row r="22" spans="1:16" ht="53.25" customHeight="1" x14ac:dyDescent="0.2">
      <c r="A22" s="101" t="s">
        <v>50</v>
      </c>
      <c r="B22" s="216" t="s">
        <v>245</v>
      </c>
      <c r="C22" s="216"/>
      <c r="D22" s="216"/>
      <c r="E22" s="216"/>
      <c r="F22" s="216"/>
      <c r="G22" s="216"/>
      <c r="H22" s="216"/>
      <c r="I22" s="216"/>
      <c r="J22" s="216"/>
      <c r="K22" s="216"/>
      <c r="L22" s="216" t="s">
        <v>246</v>
      </c>
      <c r="M22" s="216"/>
      <c r="N22" s="216"/>
      <c r="O22" s="216"/>
      <c r="P22" s="95" t="s">
        <v>144</v>
      </c>
    </row>
    <row r="23" spans="1:16" ht="77.25" customHeight="1" x14ac:dyDescent="0.2">
      <c r="A23" s="101" t="s">
        <v>51</v>
      </c>
      <c r="B23" s="216" t="s">
        <v>247</v>
      </c>
      <c r="C23" s="216"/>
      <c r="D23" s="216"/>
      <c r="E23" s="216"/>
      <c r="F23" s="216"/>
      <c r="G23" s="216"/>
      <c r="H23" s="216"/>
      <c r="I23" s="216"/>
      <c r="J23" s="216"/>
      <c r="K23" s="216"/>
      <c r="L23" s="216" t="s">
        <v>229</v>
      </c>
      <c r="M23" s="216"/>
      <c r="N23" s="216"/>
      <c r="O23" s="216"/>
      <c r="P23" s="95" t="s">
        <v>144</v>
      </c>
    </row>
    <row r="24" spans="1:16" ht="42.75" customHeight="1" x14ac:dyDescent="0.2">
      <c r="A24" s="101" t="s">
        <v>52</v>
      </c>
      <c r="B24" s="216" t="s">
        <v>248</v>
      </c>
      <c r="C24" s="216"/>
      <c r="D24" s="216"/>
      <c r="E24" s="216"/>
      <c r="F24" s="216"/>
      <c r="G24" s="216"/>
      <c r="H24" s="216"/>
      <c r="I24" s="216"/>
      <c r="J24" s="216"/>
      <c r="K24" s="216"/>
      <c r="L24" s="216" t="s">
        <v>229</v>
      </c>
      <c r="M24" s="216"/>
      <c r="N24" s="216"/>
      <c r="O24" s="216"/>
      <c r="P24" s="95" t="s">
        <v>144</v>
      </c>
    </row>
    <row r="25" spans="1:16" ht="42.75" customHeight="1" x14ac:dyDescent="0.2">
      <c r="A25" s="101" t="s">
        <v>53</v>
      </c>
      <c r="B25" s="216" t="s">
        <v>249</v>
      </c>
      <c r="C25" s="216"/>
      <c r="D25" s="216"/>
      <c r="E25" s="216"/>
      <c r="F25" s="216"/>
      <c r="G25" s="216"/>
      <c r="H25" s="216"/>
      <c r="I25" s="216"/>
      <c r="J25" s="216"/>
      <c r="K25" s="216"/>
      <c r="L25" s="216" t="s">
        <v>229</v>
      </c>
      <c r="M25" s="216"/>
      <c r="N25" s="216"/>
      <c r="O25" s="216"/>
      <c r="P25" s="95" t="s">
        <v>144</v>
      </c>
    </row>
    <row r="26" spans="1:16" ht="79.5" customHeight="1" x14ac:dyDescent="0.2">
      <c r="A26" s="101" t="s">
        <v>54</v>
      </c>
      <c r="B26" s="217"/>
      <c r="C26" s="218"/>
      <c r="D26" s="218"/>
      <c r="E26" s="218"/>
      <c r="F26" s="218"/>
      <c r="G26" s="219"/>
      <c r="H26" s="216" t="s">
        <v>171</v>
      </c>
      <c r="I26" s="216"/>
      <c r="J26" s="216"/>
      <c r="K26" s="216"/>
      <c r="L26" s="216"/>
      <c r="M26" s="216"/>
      <c r="N26" s="216"/>
      <c r="O26" s="216"/>
      <c r="P26" s="95"/>
    </row>
    <row r="27" spans="1:16" ht="29.25" customHeight="1" x14ac:dyDescent="0.2">
      <c r="A27" s="101" t="s">
        <v>55</v>
      </c>
      <c r="B27" s="217"/>
      <c r="C27" s="218"/>
      <c r="D27" s="218"/>
      <c r="E27" s="218"/>
      <c r="F27" s="218"/>
      <c r="G27" s="219"/>
      <c r="H27" s="216"/>
      <c r="I27" s="216"/>
      <c r="J27" s="216"/>
      <c r="K27" s="216"/>
      <c r="L27" s="216"/>
      <c r="M27" s="216"/>
      <c r="N27" s="216"/>
      <c r="O27" s="216"/>
      <c r="P27" s="95"/>
    </row>
    <row r="28" spans="1:16" ht="29.25" customHeight="1" x14ac:dyDescent="0.2">
      <c r="A28" s="101" t="s">
        <v>56</v>
      </c>
      <c r="B28" s="217"/>
      <c r="C28" s="218"/>
      <c r="D28" s="218"/>
      <c r="E28" s="218"/>
      <c r="F28" s="218"/>
      <c r="G28" s="219"/>
      <c r="H28" s="216"/>
      <c r="I28" s="216"/>
      <c r="J28" s="216"/>
      <c r="K28" s="216"/>
      <c r="L28" s="216"/>
      <c r="M28" s="216"/>
      <c r="N28" s="216"/>
      <c r="O28" s="216"/>
      <c r="P28" s="95"/>
    </row>
    <row r="29" spans="1:16" ht="29.25" customHeight="1" x14ac:dyDescent="0.2">
      <c r="A29" s="101" t="s">
        <v>57</v>
      </c>
      <c r="B29" s="217"/>
      <c r="C29" s="218"/>
      <c r="D29" s="218"/>
      <c r="E29" s="218"/>
      <c r="F29" s="218"/>
      <c r="G29" s="219"/>
      <c r="H29" s="216"/>
      <c r="I29" s="216"/>
      <c r="J29" s="216"/>
      <c r="K29" s="216"/>
      <c r="L29" s="216"/>
      <c r="M29" s="216"/>
      <c r="N29" s="216"/>
      <c r="O29" s="216"/>
      <c r="P29" s="95"/>
    </row>
    <row r="30" spans="1:16" ht="45.75" customHeight="1" thickBot="1" x14ac:dyDescent="0.25">
      <c r="A30" s="102" t="s">
        <v>58</v>
      </c>
      <c r="B30" s="212"/>
      <c r="C30" s="213"/>
      <c r="D30" s="213"/>
      <c r="E30" s="213"/>
      <c r="F30" s="213"/>
      <c r="G30" s="214"/>
      <c r="H30" s="215"/>
      <c r="I30" s="215"/>
      <c r="J30" s="215"/>
      <c r="K30" s="215"/>
      <c r="L30" s="215"/>
      <c r="M30" s="215"/>
      <c r="N30" s="215"/>
      <c r="O30" s="215"/>
      <c r="P30" s="96"/>
    </row>
    <row r="31" spans="1:16" ht="29.25" customHeight="1" thickBot="1" x14ac:dyDescent="0.25">
      <c r="A31" s="102" t="s">
        <v>145</v>
      </c>
      <c r="B31" s="217"/>
      <c r="C31" s="218"/>
      <c r="D31" s="218"/>
      <c r="E31" s="218"/>
      <c r="F31" s="218"/>
      <c r="G31" s="219"/>
      <c r="H31" s="216"/>
      <c r="I31" s="216"/>
      <c r="J31" s="216"/>
      <c r="K31" s="216"/>
      <c r="L31" s="216"/>
      <c r="M31" s="216"/>
      <c r="N31" s="216"/>
      <c r="O31" s="216"/>
      <c r="P31" s="95"/>
    </row>
    <row r="32" spans="1:16" ht="55.5" customHeight="1" thickBot="1" x14ac:dyDescent="0.25">
      <c r="A32" s="102" t="s">
        <v>146</v>
      </c>
      <c r="B32" s="217"/>
      <c r="C32" s="218"/>
      <c r="D32" s="218"/>
      <c r="E32" s="218"/>
      <c r="F32" s="218"/>
      <c r="G32" s="219"/>
      <c r="H32" s="216"/>
      <c r="I32" s="216"/>
      <c r="J32" s="216"/>
      <c r="K32" s="216"/>
      <c r="L32" s="216"/>
      <c r="M32" s="216"/>
      <c r="N32" s="216"/>
      <c r="O32" s="216"/>
      <c r="P32" s="95"/>
    </row>
    <row r="33" spans="1:16" ht="45.75" customHeight="1" thickBot="1" x14ac:dyDescent="0.25">
      <c r="A33" s="102" t="s">
        <v>147</v>
      </c>
      <c r="B33" s="212"/>
      <c r="C33" s="213"/>
      <c r="D33" s="213"/>
      <c r="E33" s="213"/>
      <c r="F33" s="213"/>
      <c r="G33" s="214"/>
      <c r="H33" s="215"/>
      <c r="I33" s="215"/>
      <c r="J33" s="215"/>
      <c r="K33" s="215"/>
      <c r="L33" s="215"/>
      <c r="M33" s="215"/>
      <c r="N33" s="215"/>
      <c r="O33" s="215"/>
      <c r="P33" s="95"/>
    </row>
    <row r="34" spans="1:16" ht="45.75" customHeight="1" thickBot="1" x14ac:dyDescent="0.25">
      <c r="A34" s="102" t="s">
        <v>148</v>
      </c>
      <c r="B34" s="217"/>
      <c r="C34" s="218"/>
      <c r="D34" s="218"/>
      <c r="E34" s="218"/>
      <c r="F34" s="218"/>
      <c r="G34" s="219"/>
      <c r="H34" s="216"/>
      <c r="I34" s="216"/>
      <c r="J34" s="216"/>
      <c r="K34" s="216"/>
      <c r="L34" s="216"/>
      <c r="M34" s="216"/>
      <c r="N34" s="216"/>
      <c r="O34" s="216"/>
      <c r="P34" s="95"/>
    </row>
    <row r="35" spans="1:16" ht="48" customHeight="1" thickBot="1" x14ac:dyDescent="0.25">
      <c r="A35" s="102" t="s">
        <v>149</v>
      </c>
      <c r="B35" s="217"/>
      <c r="C35" s="218"/>
      <c r="D35" s="218"/>
      <c r="E35" s="218"/>
      <c r="F35" s="218"/>
      <c r="G35" s="219"/>
      <c r="H35" s="216"/>
      <c r="I35" s="216"/>
      <c r="J35" s="216"/>
      <c r="K35" s="216"/>
      <c r="L35" s="216"/>
      <c r="M35" s="216"/>
      <c r="N35" s="216"/>
      <c r="O35" s="216"/>
      <c r="P35" s="95"/>
    </row>
    <row r="36" spans="1:16" ht="45.75" customHeight="1" thickBot="1" x14ac:dyDescent="0.25">
      <c r="A36" s="102" t="s">
        <v>150</v>
      </c>
      <c r="B36" s="212"/>
      <c r="C36" s="213"/>
      <c r="D36" s="213"/>
      <c r="E36" s="213"/>
      <c r="F36" s="213"/>
      <c r="G36" s="214"/>
      <c r="H36" s="215"/>
      <c r="I36" s="215"/>
      <c r="J36" s="215"/>
      <c r="K36" s="215"/>
      <c r="L36" s="216"/>
      <c r="M36" s="216"/>
      <c r="N36" s="216"/>
      <c r="O36" s="216"/>
      <c r="P36" s="96"/>
    </row>
    <row r="37" spans="1:16" ht="66" customHeight="1" thickBot="1" x14ac:dyDescent="0.25">
      <c r="A37" s="102" t="s">
        <v>151</v>
      </c>
      <c r="B37" s="212"/>
      <c r="C37" s="213"/>
      <c r="D37" s="213"/>
      <c r="E37" s="213"/>
      <c r="F37" s="213"/>
      <c r="G37" s="214"/>
      <c r="H37" s="215"/>
      <c r="I37" s="215"/>
      <c r="J37" s="215"/>
      <c r="K37" s="215"/>
      <c r="L37" s="216"/>
      <c r="M37" s="216"/>
      <c r="N37" s="216"/>
      <c r="O37" s="216"/>
      <c r="P37" s="96"/>
    </row>
    <row r="38" spans="1:16" ht="45.75" customHeight="1" thickBot="1" x14ac:dyDescent="0.25">
      <c r="A38" s="102" t="s">
        <v>152</v>
      </c>
      <c r="B38" s="212"/>
      <c r="C38" s="213"/>
      <c r="D38" s="213"/>
      <c r="E38" s="213"/>
      <c r="F38" s="213"/>
      <c r="G38" s="214"/>
      <c r="H38" s="215"/>
      <c r="I38" s="215"/>
      <c r="J38" s="215"/>
      <c r="K38" s="215"/>
      <c r="L38" s="215"/>
      <c r="M38" s="215"/>
      <c r="N38" s="215"/>
      <c r="O38" s="215"/>
      <c r="P38" s="96"/>
    </row>
    <row r="39" spans="1:16" ht="45.75" customHeight="1" thickBot="1" x14ac:dyDescent="0.25">
      <c r="A39" s="102" t="s">
        <v>153</v>
      </c>
      <c r="B39" s="212"/>
      <c r="C39" s="213"/>
      <c r="D39" s="213"/>
      <c r="E39" s="213"/>
      <c r="F39" s="213"/>
      <c r="G39" s="214"/>
      <c r="H39" s="215"/>
      <c r="I39" s="215"/>
      <c r="J39" s="215"/>
      <c r="K39" s="215"/>
      <c r="L39" s="215"/>
      <c r="M39" s="215"/>
      <c r="N39" s="215"/>
      <c r="O39" s="215"/>
      <c r="P39" s="96"/>
    </row>
    <row r="40" spans="1:16" ht="45.75" customHeight="1" thickBot="1" x14ac:dyDescent="0.25">
      <c r="A40" s="102" t="s">
        <v>184</v>
      </c>
      <c r="B40" s="212"/>
      <c r="C40" s="213"/>
      <c r="D40" s="213"/>
      <c r="E40" s="213"/>
      <c r="F40" s="213"/>
      <c r="G40" s="214"/>
      <c r="H40" s="215"/>
      <c r="I40" s="215"/>
      <c r="J40" s="215"/>
      <c r="K40" s="215"/>
      <c r="L40" s="215"/>
      <c r="M40" s="215"/>
      <c r="N40" s="215"/>
      <c r="O40" s="215"/>
      <c r="P40" s="96"/>
    </row>
    <row r="41" spans="1:16" ht="45.75" customHeight="1" thickBot="1" x14ac:dyDescent="0.25">
      <c r="A41" s="102" t="s">
        <v>185</v>
      </c>
      <c r="B41" s="212"/>
      <c r="C41" s="213"/>
      <c r="D41" s="213"/>
      <c r="E41" s="213"/>
      <c r="F41" s="213"/>
      <c r="G41" s="214"/>
      <c r="H41" s="215"/>
      <c r="I41" s="215"/>
      <c r="J41" s="215"/>
      <c r="K41" s="215"/>
      <c r="L41" s="215"/>
      <c r="M41" s="215"/>
      <c r="N41" s="215"/>
      <c r="O41" s="215"/>
      <c r="P41" s="96"/>
    </row>
    <row r="42" spans="1:16" ht="45.75" customHeight="1" thickBot="1" x14ac:dyDescent="0.25">
      <c r="A42" s="102" t="s">
        <v>186</v>
      </c>
      <c r="B42" s="212"/>
      <c r="C42" s="213"/>
      <c r="D42" s="213"/>
      <c r="E42" s="213"/>
      <c r="F42" s="213"/>
      <c r="G42" s="214"/>
      <c r="H42" s="215"/>
      <c r="I42" s="215"/>
      <c r="J42" s="215"/>
      <c r="K42" s="215"/>
      <c r="L42" s="215"/>
      <c r="M42" s="215"/>
      <c r="N42" s="215"/>
      <c r="O42" s="215"/>
      <c r="P42" s="96"/>
    </row>
    <row r="43" spans="1:16" ht="45.75" customHeight="1" thickBot="1" x14ac:dyDescent="0.25">
      <c r="A43" s="102" t="s">
        <v>187</v>
      </c>
      <c r="B43" s="212"/>
      <c r="C43" s="213"/>
      <c r="D43" s="213"/>
      <c r="E43" s="213"/>
      <c r="F43" s="213"/>
      <c r="G43" s="214"/>
      <c r="H43" s="215"/>
      <c r="I43" s="215"/>
      <c r="J43" s="215"/>
      <c r="K43" s="215"/>
      <c r="L43" s="215"/>
      <c r="M43" s="215"/>
      <c r="N43" s="215"/>
      <c r="O43" s="215"/>
      <c r="P43" s="96"/>
    </row>
    <row r="44" spans="1:16" ht="45.75" customHeight="1" thickBot="1" x14ac:dyDescent="0.25">
      <c r="A44" s="102" t="s">
        <v>188</v>
      </c>
      <c r="B44" s="212"/>
      <c r="C44" s="213"/>
      <c r="D44" s="213"/>
      <c r="E44" s="213"/>
      <c r="F44" s="213"/>
      <c r="G44" s="214"/>
      <c r="H44" s="215"/>
      <c r="I44" s="215"/>
      <c r="J44" s="215"/>
      <c r="K44" s="215"/>
      <c r="L44" s="215"/>
      <c r="M44" s="215"/>
      <c r="N44" s="215"/>
      <c r="O44" s="215"/>
      <c r="P44" s="96"/>
    </row>
    <row r="45" spans="1:16" ht="45.75" customHeight="1" thickBot="1" x14ac:dyDescent="0.25">
      <c r="A45" s="102" t="s">
        <v>189</v>
      </c>
      <c r="B45" s="212"/>
      <c r="C45" s="213"/>
      <c r="D45" s="213"/>
      <c r="E45" s="213"/>
      <c r="F45" s="213"/>
      <c r="G45" s="214"/>
      <c r="H45" s="215"/>
      <c r="I45" s="215"/>
      <c r="J45" s="215"/>
      <c r="K45" s="215"/>
      <c r="L45" s="215"/>
      <c r="M45" s="215"/>
      <c r="N45" s="215"/>
      <c r="O45" s="215"/>
      <c r="P45" s="96"/>
    </row>
    <row r="46" spans="1:16" ht="45.75" customHeight="1" thickBot="1" x14ac:dyDescent="0.25">
      <c r="A46" s="102" t="s">
        <v>190</v>
      </c>
      <c r="B46" s="212"/>
      <c r="C46" s="213"/>
      <c r="D46" s="213"/>
      <c r="E46" s="213"/>
      <c r="F46" s="213"/>
      <c r="G46" s="214"/>
      <c r="H46" s="215"/>
      <c r="I46" s="215"/>
      <c r="J46" s="215"/>
      <c r="K46" s="215"/>
      <c r="L46" s="215"/>
      <c r="M46" s="215"/>
      <c r="N46" s="215"/>
      <c r="O46" s="215"/>
      <c r="P46" s="96"/>
    </row>
    <row r="47" spans="1:16" ht="45.75" customHeight="1" thickBot="1" x14ac:dyDescent="0.25">
      <c r="A47" s="102" t="s">
        <v>191</v>
      </c>
      <c r="B47" s="212"/>
      <c r="C47" s="213"/>
      <c r="D47" s="213"/>
      <c r="E47" s="213"/>
      <c r="F47" s="213"/>
      <c r="G47" s="214"/>
      <c r="H47" s="215"/>
      <c r="I47" s="215"/>
      <c r="J47" s="215"/>
      <c r="K47" s="215"/>
      <c r="L47" s="215"/>
      <c r="M47" s="215"/>
      <c r="N47" s="215"/>
      <c r="O47" s="215"/>
      <c r="P47" s="96"/>
    </row>
    <row r="48" spans="1:16" ht="45.75" customHeight="1" thickBot="1" x14ac:dyDescent="0.25">
      <c r="A48" s="102" t="s">
        <v>192</v>
      </c>
      <c r="B48" s="212"/>
      <c r="C48" s="213"/>
      <c r="D48" s="213"/>
      <c r="E48" s="213"/>
      <c r="F48" s="213"/>
      <c r="G48" s="214"/>
      <c r="H48" s="215"/>
      <c r="I48" s="215"/>
      <c r="J48" s="215"/>
      <c r="K48" s="215"/>
      <c r="L48" s="215"/>
      <c r="M48" s="215"/>
      <c r="N48" s="215"/>
      <c r="O48" s="215"/>
      <c r="P48" s="96"/>
    </row>
    <row r="49" spans="1:16" ht="45.75" customHeight="1" thickBot="1" x14ac:dyDescent="0.25">
      <c r="A49" s="102" t="s">
        <v>193</v>
      </c>
      <c r="B49" s="212"/>
      <c r="C49" s="213"/>
      <c r="D49" s="213"/>
      <c r="E49" s="213"/>
      <c r="F49" s="213"/>
      <c r="G49" s="214"/>
      <c r="H49" s="215"/>
      <c r="I49" s="215"/>
      <c r="J49" s="215"/>
      <c r="K49" s="215"/>
      <c r="L49" s="215"/>
      <c r="M49" s="215"/>
      <c r="N49" s="215"/>
      <c r="O49" s="215"/>
      <c r="P49" s="96"/>
    </row>
    <row r="50" spans="1:16" ht="45.75" customHeight="1" thickBot="1" x14ac:dyDescent="0.25">
      <c r="A50" s="102" t="s">
        <v>194</v>
      </c>
      <c r="B50" s="212"/>
      <c r="C50" s="213"/>
      <c r="D50" s="213"/>
      <c r="E50" s="213"/>
      <c r="F50" s="213"/>
      <c r="G50" s="214"/>
      <c r="H50" s="215"/>
      <c r="I50" s="215"/>
      <c r="J50" s="215"/>
      <c r="K50" s="215"/>
      <c r="L50" s="215"/>
      <c r="M50" s="215"/>
      <c r="N50" s="215"/>
      <c r="O50" s="215"/>
      <c r="P50" s="96"/>
    </row>
  </sheetData>
  <mergeCells count="97">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 ref="B36:G36"/>
    <mergeCell ref="H36:K36"/>
    <mergeCell ref="L36:O36"/>
    <mergeCell ref="B37:G37"/>
    <mergeCell ref="H37:K37"/>
    <mergeCell ref="L37:O37"/>
    <mergeCell ref="B38:G38"/>
    <mergeCell ref="H38:K38"/>
    <mergeCell ref="L38:O38"/>
    <mergeCell ref="B39:G39"/>
    <mergeCell ref="H39:K39"/>
    <mergeCell ref="L39:O39"/>
    <mergeCell ref="B40:G40"/>
    <mergeCell ref="H40:K40"/>
    <mergeCell ref="L40:O40"/>
    <mergeCell ref="B41:G41"/>
    <mergeCell ref="H41:K41"/>
    <mergeCell ref="L41:O41"/>
    <mergeCell ref="B42:G42"/>
    <mergeCell ref="H42:K42"/>
    <mergeCell ref="L42:O42"/>
    <mergeCell ref="B43:G43"/>
    <mergeCell ref="H43:K43"/>
    <mergeCell ref="L43:O43"/>
    <mergeCell ref="B44:G44"/>
    <mergeCell ref="H44:K44"/>
    <mergeCell ref="L44:O44"/>
    <mergeCell ref="B45:G45"/>
    <mergeCell ref="H45:K45"/>
    <mergeCell ref="L45:O45"/>
    <mergeCell ref="B46:G46"/>
    <mergeCell ref="H46:K46"/>
    <mergeCell ref="L46:O46"/>
    <mergeCell ref="B47:G47"/>
    <mergeCell ref="H47:K47"/>
    <mergeCell ref="L47:O47"/>
    <mergeCell ref="B48:G48"/>
    <mergeCell ref="H48:K48"/>
    <mergeCell ref="L48:O48"/>
    <mergeCell ref="B49:G49"/>
    <mergeCell ref="H49:K49"/>
    <mergeCell ref="L49:O49"/>
    <mergeCell ref="B50:G50"/>
    <mergeCell ref="H50:K50"/>
    <mergeCell ref="L50:O50"/>
  </mergeCells>
  <conditionalFormatting sqref="B9:B10">
    <cfRule type="cellIs" dxfId="978" priority="33" operator="equal">
      <formula>"Nok"</formula>
    </cfRule>
    <cfRule type="cellIs" dxfId="977" priority="34" operator="equal">
      <formula>"Ok"</formula>
    </cfRule>
  </conditionalFormatting>
  <conditionalFormatting sqref="P22:P30">
    <cfRule type="cellIs" dxfId="976" priority="31" operator="equal">
      <formula>"Nok"</formula>
    </cfRule>
    <cfRule type="cellIs" dxfId="975" priority="32" operator="equal">
      <formula>"Ok"</formula>
    </cfRule>
  </conditionalFormatting>
  <conditionalFormatting sqref="P31:P35">
    <cfRule type="cellIs" dxfId="974" priority="29" operator="equal">
      <formula>"Nok"</formula>
    </cfRule>
    <cfRule type="cellIs" dxfId="973" priority="30" operator="equal">
      <formula>"Ok"</formula>
    </cfRule>
  </conditionalFormatting>
  <conditionalFormatting sqref="P36:P37">
    <cfRule type="cellIs" dxfId="972" priority="27" operator="equal">
      <formula>"Nok"</formula>
    </cfRule>
    <cfRule type="cellIs" dxfId="971" priority="28" operator="equal">
      <formula>"Ok"</formula>
    </cfRule>
  </conditionalFormatting>
  <conditionalFormatting sqref="P38">
    <cfRule type="cellIs" dxfId="970" priority="25" operator="equal">
      <formula>"Nok"</formula>
    </cfRule>
    <cfRule type="cellIs" dxfId="969" priority="26" operator="equal">
      <formula>"Ok"</formula>
    </cfRule>
  </conditionalFormatting>
  <conditionalFormatting sqref="P39">
    <cfRule type="cellIs" dxfId="968" priority="23" operator="equal">
      <formula>"Nok"</formula>
    </cfRule>
    <cfRule type="cellIs" dxfId="967" priority="24" operator="equal">
      <formula>"Ok"</formula>
    </cfRule>
  </conditionalFormatting>
  <conditionalFormatting sqref="P40">
    <cfRule type="cellIs" dxfId="966" priority="21" operator="equal">
      <formula>"Nok"</formula>
    </cfRule>
    <cfRule type="cellIs" dxfId="965" priority="22" operator="equal">
      <formula>"Ok"</formula>
    </cfRule>
  </conditionalFormatting>
  <conditionalFormatting sqref="P41">
    <cfRule type="cellIs" dxfId="964" priority="19" operator="equal">
      <formula>"Nok"</formula>
    </cfRule>
    <cfRule type="cellIs" dxfId="963" priority="20" operator="equal">
      <formula>"Ok"</formula>
    </cfRule>
  </conditionalFormatting>
  <conditionalFormatting sqref="P42">
    <cfRule type="cellIs" dxfId="962" priority="17" operator="equal">
      <formula>"Nok"</formula>
    </cfRule>
    <cfRule type="cellIs" dxfId="961" priority="18" operator="equal">
      <formula>"Ok"</formula>
    </cfRule>
  </conditionalFormatting>
  <conditionalFormatting sqref="P43">
    <cfRule type="cellIs" dxfId="960" priority="15" operator="equal">
      <formula>"Nok"</formula>
    </cfRule>
    <cfRule type="cellIs" dxfId="959" priority="16" operator="equal">
      <formula>"Ok"</formula>
    </cfRule>
  </conditionalFormatting>
  <conditionalFormatting sqref="P44">
    <cfRule type="cellIs" dxfId="958" priority="13" operator="equal">
      <formula>"Nok"</formula>
    </cfRule>
    <cfRule type="cellIs" dxfId="957" priority="14" operator="equal">
      <formula>"Ok"</formula>
    </cfRule>
  </conditionalFormatting>
  <conditionalFormatting sqref="P45">
    <cfRule type="cellIs" dxfId="956" priority="11" operator="equal">
      <formula>"Nok"</formula>
    </cfRule>
    <cfRule type="cellIs" dxfId="955" priority="12" operator="equal">
      <formula>"Ok"</formula>
    </cfRule>
  </conditionalFormatting>
  <conditionalFormatting sqref="P46">
    <cfRule type="cellIs" dxfId="954" priority="9" operator="equal">
      <formula>"Nok"</formula>
    </cfRule>
    <cfRule type="cellIs" dxfId="953" priority="10" operator="equal">
      <formula>"Ok"</formula>
    </cfRule>
  </conditionalFormatting>
  <conditionalFormatting sqref="P47">
    <cfRule type="cellIs" dxfId="952" priority="7" operator="equal">
      <formula>"Nok"</formula>
    </cfRule>
    <cfRule type="cellIs" dxfId="951" priority="8" operator="equal">
      <formula>"Ok"</formula>
    </cfRule>
  </conditionalFormatting>
  <conditionalFormatting sqref="P48">
    <cfRule type="cellIs" dxfId="950" priority="5" operator="equal">
      <formula>"Nok"</formula>
    </cfRule>
    <cfRule type="cellIs" dxfId="949" priority="6" operator="equal">
      <formula>"Ok"</formula>
    </cfRule>
  </conditionalFormatting>
  <conditionalFormatting sqref="P49">
    <cfRule type="cellIs" dxfId="948" priority="3" operator="equal">
      <formula>"Nok"</formula>
    </cfRule>
    <cfRule type="cellIs" dxfId="947" priority="4" operator="equal">
      <formula>"Ok"</formula>
    </cfRule>
  </conditionalFormatting>
  <conditionalFormatting sqref="P50">
    <cfRule type="cellIs" dxfId="946" priority="1" operator="equal">
      <formula>"Nok"</formula>
    </cfRule>
    <cfRule type="cellIs" dxfId="945" priority="2" operator="equal">
      <formula>"Ok"</formula>
    </cfRule>
  </conditionalFormatting>
  <dataValidations count="3">
    <dataValidation type="list" allowBlank="1" showInputMessage="1" showErrorMessage="1" sqref="B5">
      <formula1>"Nominal, Robustness, Endurance, Qualification"</formula1>
    </dataValidation>
    <dataValidation type="list" allowBlank="1" showInputMessage="1" showErrorMessage="1" sqref="B9">
      <formula1>"Ok, Nok, Not run, NA"</formula1>
    </dataValidation>
    <dataValidation type="list" allowBlank="1" showInputMessage="1" showErrorMessage="1" sqref="P22:P50">
      <formula1>"Ok, Nok, Not run, ,"</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workbookViewId="0">
      <selection activeCell="H26" sqref="H26:K26"/>
    </sheetView>
  </sheetViews>
  <sheetFormatPr defaultRowHeight="12.75" x14ac:dyDescent="0.2"/>
  <cols>
    <col min="1" max="1" width="20.140625" style="97" customWidth="1"/>
    <col min="2" max="2" width="18.42578125" style="93" customWidth="1"/>
    <col min="3" max="7" width="9.140625" style="93"/>
    <col min="8" max="15" width="9.5703125" style="93" customWidth="1"/>
    <col min="16" max="16384" width="9.140625" style="93"/>
  </cols>
  <sheetData>
    <row r="1" spans="1:15" ht="13.5" thickBot="1" x14ac:dyDescent="0.25">
      <c r="A1" s="98" t="s">
        <v>41</v>
      </c>
      <c r="B1" s="234" t="s">
        <v>174</v>
      </c>
      <c r="C1" s="235"/>
      <c r="D1" s="235"/>
      <c r="E1" s="235"/>
      <c r="F1" s="235"/>
      <c r="G1" s="236"/>
      <c r="H1" s="73"/>
      <c r="I1" s="73"/>
      <c r="J1" s="73"/>
      <c r="K1" s="73"/>
      <c r="L1" s="73"/>
      <c r="M1" s="73"/>
      <c r="N1" s="73"/>
      <c r="O1" s="73"/>
    </row>
    <row r="2" spans="1:15" ht="13.5" thickBot="1" x14ac:dyDescent="0.25">
      <c r="A2" s="71"/>
      <c r="B2" s="72"/>
      <c r="C2" s="72"/>
      <c r="D2" s="73"/>
      <c r="E2" s="73"/>
      <c r="F2" s="73"/>
      <c r="G2" s="73"/>
      <c r="H2" s="73"/>
      <c r="I2" s="73"/>
      <c r="J2" s="73"/>
      <c r="K2" s="73"/>
      <c r="L2" s="73"/>
      <c r="M2" s="73"/>
      <c r="N2" s="73"/>
      <c r="O2" s="73"/>
    </row>
    <row r="3" spans="1:15" ht="61.5" customHeight="1" thickBot="1" x14ac:dyDescent="0.25">
      <c r="A3" s="99" t="s">
        <v>46</v>
      </c>
      <c r="B3" s="237" t="s">
        <v>197</v>
      </c>
      <c r="C3" s="238"/>
      <c r="D3" s="238"/>
      <c r="E3" s="238"/>
      <c r="F3" s="238"/>
      <c r="G3" s="239"/>
      <c r="H3" s="73"/>
      <c r="I3" s="73"/>
      <c r="J3" s="73"/>
      <c r="K3" s="73"/>
      <c r="L3" s="73"/>
      <c r="M3" s="73"/>
      <c r="N3" s="73"/>
      <c r="O3" s="73"/>
    </row>
    <row r="4" spans="1:15" ht="13.5" thickBot="1" x14ac:dyDescent="0.25">
      <c r="A4" s="71"/>
      <c r="B4" s="72"/>
      <c r="C4" s="72"/>
      <c r="D4" s="73"/>
      <c r="E4" s="73"/>
      <c r="F4" s="73"/>
      <c r="G4" s="73"/>
      <c r="H4" s="73"/>
      <c r="I4" s="73"/>
      <c r="J4" s="73"/>
      <c r="K4" s="73"/>
      <c r="L4" s="73"/>
      <c r="M4" s="73"/>
      <c r="N4" s="73"/>
      <c r="O4" s="73"/>
    </row>
    <row r="5" spans="1:15" ht="13.5" thickBot="1" x14ac:dyDescent="0.25">
      <c r="A5" s="98" t="s">
        <v>111</v>
      </c>
      <c r="B5" s="76" t="s">
        <v>142</v>
      </c>
      <c r="C5" s="72"/>
      <c r="D5" s="73"/>
      <c r="E5" s="73"/>
      <c r="F5" s="73"/>
      <c r="G5" s="73"/>
      <c r="H5" s="73"/>
      <c r="I5" s="73"/>
      <c r="J5" s="73"/>
      <c r="K5" s="73"/>
      <c r="L5" s="73"/>
      <c r="M5" s="73"/>
      <c r="N5" s="73"/>
      <c r="O5" s="73"/>
    </row>
    <row r="6" spans="1:15" ht="13.5" thickBot="1" x14ac:dyDescent="0.25">
      <c r="A6" s="71"/>
      <c r="B6" s="72"/>
      <c r="C6" s="72"/>
      <c r="D6" s="73"/>
      <c r="E6" s="73"/>
      <c r="F6" s="73"/>
      <c r="G6" s="73"/>
      <c r="H6" s="73"/>
      <c r="I6" s="73"/>
      <c r="J6" s="73"/>
      <c r="K6" s="73"/>
      <c r="L6" s="73"/>
      <c r="M6" s="73"/>
      <c r="N6" s="73"/>
      <c r="O6" s="73"/>
    </row>
    <row r="7" spans="1:15" ht="36" customHeight="1" thickBot="1" x14ac:dyDescent="0.25">
      <c r="A7" s="98" t="s">
        <v>42</v>
      </c>
      <c r="B7" s="237" t="s">
        <v>154</v>
      </c>
      <c r="C7" s="238"/>
      <c r="D7" s="238"/>
      <c r="E7" s="238"/>
      <c r="F7" s="238"/>
      <c r="G7" s="239"/>
      <c r="H7" s="73"/>
      <c r="I7" s="73"/>
      <c r="J7" s="73"/>
      <c r="K7" s="73"/>
      <c r="L7" s="73"/>
      <c r="M7" s="73"/>
      <c r="N7" s="73"/>
      <c r="O7" s="73"/>
    </row>
    <row r="8" spans="1:15" ht="13.5" thickBot="1" x14ac:dyDescent="0.25">
      <c r="A8" s="75"/>
      <c r="B8" s="74"/>
      <c r="C8" s="74"/>
      <c r="D8" s="74"/>
      <c r="E8" s="74"/>
      <c r="F8" s="74"/>
      <c r="G8" s="74"/>
      <c r="H8" s="73"/>
      <c r="I8" s="73"/>
      <c r="J8" s="73"/>
      <c r="K8" s="73"/>
      <c r="L8" s="73"/>
      <c r="M8" s="73"/>
      <c r="N8" s="73"/>
      <c r="O8" s="73"/>
    </row>
    <row r="9" spans="1:15" ht="13.5" thickBot="1" x14ac:dyDescent="0.25">
      <c r="A9" s="98" t="s">
        <v>43</v>
      </c>
      <c r="B9" s="103" t="s">
        <v>143</v>
      </c>
      <c r="C9" s="72"/>
      <c r="D9" s="73"/>
      <c r="E9" s="73"/>
      <c r="F9" s="73"/>
      <c r="G9" s="73"/>
      <c r="H9" s="73"/>
      <c r="I9" s="73"/>
      <c r="J9" s="73"/>
      <c r="K9" s="73"/>
      <c r="L9" s="73"/>
      <c r="M9" s="73"/>
      <c r="N9" s="73"/>
      <c r="O9" s="73"/>
    </row>
    <row r="10" spans="1:15" ht="13.5" thickBot="1" x14ac:dyDescent="0.25">
      <c r="A10" s="75"/>
      <c r="B10" s="94"/>
      <c r="C10" s="72"/>
      <c r="D10" s="73"/>
      <c r="E10" s="73"/>
      <c r="F10" s="73"/>
      <c r="G10" s="73"/>
      <c r="H10" s="73"/>
      <c r="I10" s="73"/>
      <c r="J10" s="73"/>
      <c r="K10" s="73"/>
      <c r="L10" s="73"/>
      <c r="M10" s="73"/>
      <c r="N10" s="73"/>
      <c r="O10" s="73"/>
    </row>
    <row r="11" spans="1:15" ht="12" customHeight="1" x14ac:dyDescent="0.2">
      <c r="A11" s="223" t="s">
        <v>113</v>
      </c>
      <c r="B11" s="225"/>
      <c r="C11" s="226"/>
      <c r="D11" s="226"/>
      <c r="E11" s="226"/>
      <c r="F11" s="226"/>
      <c r="G11" s="227"/>
      <c r="H11" s="73"/>
      <c r="I11" s="73"/>
      <c r="J11" s="73"/>
      <c r="K11" s="73"/>
      <c r="L11" s="73"/>
      <c r="M11" s="73"/>
      <c r="N11" s="73"/>
      <c r="O11" s="73"/>
    </row>
    <row r="12" spans="1:15" x14ac:dyDescent="0.2">
      <c r="A12" s="224"/>
      <c r="B12" s="228"/>
      <c r="C12" s="229"/>
      <c r="D12" s="229"/>
      <c r="E12" s="229"/>
      <c r="F12" s="229"/>
      <c r="G12" s="230"/>
      <c r="H12" s="73"/>
      <c r="I12" s="73"/>
      <c r="J12" s="73"/>
      <c r="K12" s="73"/>
      <c r="L12" s="73"/>
      <c r="M12" s="73"/>
      <c r="N12" s="73"/>
      <c r="O12" s="73"/>
    </row>
    <row r="13" spans="1:15" x14ac:dyDescent="0.2">
      <c r="A13" s="224"/>
      <c r="B13" s="228"/>
      <c r="C13" s="229"/>
      <c r="D13" s="229"/>
      <c r="E13" s="229"/>
      <c r="F13" s="229"/>
      <c r="G13" s="230"/>
      <c r="H13" s="71"/>
      <c r="I13" s="73"/>
      <c r="J13" s="73"/>
      <c r="K13" s="73"/>
      <c r="L13" s="73"/>
      <c r="M13" s="73"/>
      <c r="N13" s="73"/>
      <c r="O13" s="73"/>
    </row>
    <row r="14" spans="1:15" ht="13.5" thickBot="1" x14ac:dyDescent="0.25">
      <c r="A14" s="224"/>
      <c r="B14" s="231"/>
      <c r="C14" s="232"/>
      <c r="D14" s="232"/>
      <c r="E14" s="232"/>
      <c r="F14" s="232"/>
      <c r="G14" s="233"/>
      <c r="H14" s="77"/>
      <c r="I14" s="73"/>
      <c r="J14" s="73"/>
      <c r="K14" s="73"/>
      <c r="L14" s="73"/>
      <c r="M14" s="73"/>
      <c r="N14" s="73"/>
      <c r="O14" s="73"/>
    </row>
    <row r="15" spans="1:15" ht="13.5" thickBot="1" x14ac:dyDescent="0.25">
      <c r="A15" s="71"/>
      <c r="B15" s="71"/>
      <c r="C15" s="71"/>
      <c r="D15" s="71"/>
      <c r="E15" s="71"/>
      <c r="F15" s="71"/>
      <c r="G15" s="71"/>
      <c r="H15" s="77"/>
      <c r="I15" s="73"/>
      <c r="J15" s="73"/>
      <c r="K15" s="73"/>
      <c r="L15" s="73"/>
      <c r="M15" s="73"/>
      <c r="N15" s="73"/>
      <c r="O15" s="73"/>
    </row>
    <row r="16" spans="1:15" x14ac:dyDescent="0.2">
      <c r="A16" s="223" t="s">
        <v>44</v>
      </c>
      <c r="B16" s="225"/>
      <c r="C16" s="226"/>
      <c r="D16" s="226"/>
      <c r="E16" s="226"/>
      <c r="F16" s="226"/>
      <c r="G16" s="227"/>
      <c r="H16" s="73"/>
      <c r="I16" s="73"/>
      <c r="J16" s="73"/>
      <c r="K16" s="73"/>
      <c r="L16" s="73"/>
      <c r="M16" s="73"/>
      <c r="N16" s="73"/>
      <c r="O16" s="73"/>
    </row>
    <row r="17" spans="1:16" x14ac:dyDescent="0.2">
      <c r="A17" s="224"/>
      <c r="B17" s="228"/>
      <c r="C17" s="229"/>
      <c r="D17" s="229"/>
      <c r="E17" s="229"/>
      <c r="F17" s="229"/>
      <c r="G17" s="230"/>
      <c r="H17" s="73"/>
      <c r="I17" s="73"/>
      <c r="J17" s="73"/>
      <c r="K17" s="73"/>
      <c r="L17" s="73"/>
      <c r="M17" s="73"/>
      <c r="N17" s="73"/>
      <c r="O17" s="73"/>
    </row>
    <row r="18" spans="1:16" x14ac:dyDescent="0.2">
      <c r="A18" s="224"/>
      <c r="B18" s="228"/>
      <c r="C18" s="229"/>
      <c r="D18" s="229"/>
      <c r="E18" s="229"/>
      <c r="F18" s="229"/>
      <c r="G18" s="230"/>
      <c r="H18" s="71"/>
      <c r="I18" s="73"/>
      <c r="J18" s="73"/>
      <c r="K18" s="73"/>
      <c r="L18" s="73"/>
      <c r="M18" s="73"/>
      <c r="N18" s="73"/>
      <c r="O18" s="73"/>
    </row>
    <row r="19" spans="1:16" ht="13.5" thickBot="1" x14ac:dyDescent="0.25">
      <c r="A19" s="224"/>
      <c r="B19" s="231"/>
      <c r="C19" s="232"/>
      <c r="D19" s="232"/>
      <c r="E19" s="232"/>
      <c r="F19" s="232"/>
      <c r="G19" s="233"/>
      <c r="H19" s="77"/>
      <c r="I19" s="73"/>
      <c r="J19" s="73"/>
      <c r="K19" s="73"/>
      <c r="L19" s="73"/>
      <c r="M19" s="73"/>
      <c r="N19" s="73"/>
      <c r="O19" s="73"/>
    </row>
    <row r="20" spans="1:16" ht="13.5" thickBot="1" x14ac:dyDescent="0.25">
      <c r="A20" s="71"/>
      <c r="B20" s="71"/>
      <c r="C20" s="71"/>
      <c r="D20" s="71"/>
      <c r="E20" s="71"/>
      <c r="F20" s="71"/>
      <c r="G20" s="71"/>
      <c r="H20" s="77"/>
      <c r="I20" s="73"/>
      <c r="J20" s="73"/>
      <c r="K20" s="73"/>
      <c r="L20" s="73"/>
      <c r="M20" s="73"/>
      <c r="N20" s="73"/>
      <c r="O20" s="73"/>
    </row>
    <row r="21" spans="1:16" ht="12.75" customHeight="1" x14ac:dyDescent="0.2">
      <c r="A21" s="220" t="s">
        <v>48</v>
      </c>
      <c r="B21" s="221"/>
      <c r="C21" s="221"/>
      <c r="D21" s="221"/>
      <c r="E21" s="221"/>
      <c r="F21" s="221"/>
      <c r="G21" s="222"/>
      <c r="H21" s="220" t="s">
        <v>49</v>
      </c>
      <c r="I21" s="221"/>
      <c r="J21" s="221"/>
      <c r="K21" s="222"/>
      <c r="L21" s="220" t="s">
        <v>60</v>
      </c>
      <c r="M21" s="221"/>
      <c r="N21" s="221"/>
      <c r="O21" s="222"/>
      <c r="P21" s="100" t="s">
        <v>47</v>
      </c>
    </row>
    <row r="22" spans="1:16" ht="53.25" customHeight="1" x14ac:dyDescent="0.2">
      <c r="A22" s="101" t="s">
        <v>50</v>
      </c>
      <c r="B22" s="217" t="s">
        <v>157</v>
      </c>
      <c r="C22" s="218"/>
      <c r="D22" s="218"/>
      <c r="E22" s="218"/>
      <c r="F22" s="218"/>
      <c r="G22" s="219"/>
      <c r="H22" s="216" t="s">
        <v>155</v>
      </c>
      <c r="I22" s="216"/>
      <c r="J22" s="216"/>
      <c r="K22" s="216"/>
      <c r="L22" s="216" t="s">
        <v>156</v>
      </c>
      <c r="M22" s="216"/>
      <c r="N22" s="216"/>
      <c r="O22" s="216"/>
      <c r="P22" s="95" t="s">
        <v>143</v>
      </c>
    </row>
    <row r="23" spans="1:16" ht="42.75" customHeight="1" x14ac:dyDescent="0.2">
      <c r="A23" s="101" t="s">
        <v>51</v>
      </c>
      <c r="B23" s="217" t="s">
        <v>158</v>
      </c>
      <c r="C23" s="218"/>
      <c r="D23" s="218"/>
      <c r="E23" s="218"/>
      <c r="F23" s="218"/>
      <c r="G23" s="219"/>
      <c r="H23" s="216"/>
      <c r="I23" s="216"/>
      <c r="J23" s="216"/>
      <c r="K23" s="216"/>
      <c r="L23" s="216" t="s">
        <v>165</v>
      </c>
      <c r="M23" s="216"/>
      <c r="N23" s="216"/>
      <c r="O23" s="216"/>
      <c r="P23" s="95" t="s">
        <v>143</v>
      </c>
    </row>
    <row r="24" spans="1:16" ht="30" customHeight="1" x14ac:dyDescent="0.2">
      <c r="A24" s="101" t="s">
        <v>52</v>
      </c>
      <c r="B24" s="240" t="s">
        <v>159</v>
      </c>
      <c r="C24" s="241"/>
      <c r="D24" s="241"/>
      <c r="E24" s="241"/>
      <c r="F24" s="241"/>
      <c r="G24" s="242"/>
      <c r="H24" s="216"/>
      <c r="I24" s="216"/>
      <c r="J24" s="216"/>
      <c r="K24" s="216"/>
      <c r="L24" s="216" t="s">
        <v>165</v>
      </c>
      <c r="M24" s="216"/>
      <c r="N24" s="216"/>
      <c r="O24" s="216"/>
      <c r="P24" s="95" t="s">
        <v>143</v>
      </c>
    </row>
    <row r="25" spans="1:16" ht="31.5" customHeight="1" x14ac:dyDescent="0.2">
      <c r="A25" s="101" t="s">
        <v>53</v>
      </c>
      <c r="B25" s="217" t="s">
        <v>160</v>
      </c>
      <c r="C25" s="218"/>
      <c r="D25" s="218"/>
      <c r="E25" s="218"/>
      <c r="F25" s="218"/>
      <c r="G25" s="219"/>
      <c r="H25" s="216"/>
      <c r="I25" s="216"/>
      <c r="J25" s="216"/>
      <c r="K25" s="216"/>
      <c r="L25" s="216" t="s">
        <v>165</v>
      </c>
      <c r="M25" s="216"/>
      <c r="N25" s="216"/>
      <c r="O25" s="216"/>
      <c r="P25" s="95" t="s">
        <v>143</v>
      </c>
    </row>
    <row r="26" spans="1:16" ht="79.5" customHeight="1" x14ac:dyDescent="0.2">
      <c r="A26" s="101" t="s">
        <v>54</v>
      </c>
      <c r="B26" s="217" t="s">
        <v>161</v>
      </c>
      <c r="C26" s="218"/>
      <c r="D26" s="218"/>
      <c r="E26" s="218"/>
      <c r="F26" s="218"/>
      <c r="G26" s="219"/>
      <c r="H26" s="216" t="s">
        <v>171</v>
      </c>
      <c r="I26" s="216"/>
      <c r="J26" s="216"/>
      <c r="K26" s="216"/>
      <c r="L26" s="216" t="s">
        <v>165</v>
      </c>
      <c r="M26" s="216"/>
      <c r="N26" s="216"/>
      <c r="O26" s="216"/>
      <c r="P26" s="95" t="s">
        <v>143</v>
      </c>
    </row>
    <row r="27" spans="1:16" ht="29.25" customHeight="1" x14ac:dyDescent="0.2">
      <c r="A27" s="101" t="s">
        <v>55</v>
      </c>
      <c r="B27" s="217" t="s">
        <v>162</v>
      </c>
      <c r="C27" s="218"/>
      <c r="D27" s="218"/>
      <c r="E27" s="218"/>
      <c r="F27" s="218"/>
      <c r="G27" s="219"/>
      <c r="H27" s="216"/>
      <c r="I27" s="216"/>
      <c r="J27" s="216"/>
      <c r="K27" s="216"/>
      <c r="L27" s="216" t="s">
        <v>165</v>
      </c>
      <c r="M27" s="216"/>
      <c r="N27" s="216"/>
      <c r="O27" s="216"/>
      <c r="P27" s="95" t="s">
        <v>143</v>
      </c>
    </row>
    <row r="28" spans="1:16" ht="29.25" customHeight="1" x14ac:dyDescent="0.2">
      <c r="A28" s="101" t="s">
        <v>56</v>
      </c>
      <c r="B28" s="217" t="s">
        <v>163</v>
      </c>
      <c r="C28" s="218"/>
      <c r="D28" s="218"/>
      <c r="E28" s="218"/>
      <c r="F28" s="218"/>
      <c r="G28" s="219"/>
      <c r="H28" s="216"/>
      <c r="I28" s="216"/>
      <c r="J28" s="216"/>
      <c r="K28" s="216"/>
      <c r="L28" s="216" t="s">
        <v>165</v>
      </c>
      <c r="M28" s="216"/>
      <c r="N28" s="216"/>
      <c r="O28" s="216"/>
      <c r="P28" s="95" t="s">
        <v>143</v>
      </c>
    </row>
    <row r="29" spans="1:16" ht="29.25" customHeight="1" x14ac:dyDescent="0.2">
      <c r="A29" s="101" t="s">
        <v>57</v>
      </c>
      <c r="B29" s="217" t="s">
        <v>164</v>
      </c>
      <c r="C29" s="218"/>
      <c r="D29" s="218"/>
      <c r="E29" s="218"/>
      <c r="F29" s="218"/>
      <c r="G29" s="219"/>
      <c r="H29" s="216"/>
      <c r="I29" s="216"/>
      <c r="J29" s="216"/>
      <c r="K29" s="216"/>
      <c r="L29" s="216" t="s">
        <v>165</v>
      </c>
      <c r="M29" s="216"/>
      <c r="N29" s="216"/>
      <c r="O29" s="216"/>
      <c r="P29" s="95" t="s">
        <v>143</v>
      </c>
    </row>
    <row r="30" spans="1:16" ht="45.75" customHeight="1" thickBot="1" x14ac:dyDescent="0.25">
      <c r="A30" s="102" t="s">
        <v>58</v>
      </c>
      <c r="B30" s="212" t="s">
        <v>167</v>
      </c>
      <c r="C30" s="213"/>
      <c r="D30" s="213"/>
      <c r="E30" s="213"/>
      <c r="F30" s="213"/>
      <c r="G30" s="214"/>
      <c r="H30" s="215"/>
      <c r="I30" s="215"/>
      <c r="J30" s="215"/>
      <c r="K30" s="215"/>
      <c r="L30" s="215" t="s">
        <v>166</v>
      </c>
      <c r="M30" s="215"/>
      <c r="N30" s="215"/>
      <c r="O30" s="215"/>
      <c r="P30" s="96" t="s">
        <v>143</v>
      </c>
    </row>
    <row r="31" spans="1:16" ht="29.25" customHeight="1" thickBot="1" x14ac:dyDescent="0.25">
      <c r="A31" s="102" t="s">
        <v>145</v>
      </c>
      <c r="B31" s="217" t="s">
        <v>168</v>
      </c>
      <c r="C31" s="218"/>
      <c r="D31" s="218"/>
      <c r="E31" s="218"/>
      <c r="F31" s="218"/>
      <c r="G31" s="219"/>
      <c r="H31" s="216"/>
      <c r="I31" s="216"/>
      <c r="J31" s="216"/>
      <c r="K31" s="216"/>
      <c r="L31" s="216" t="s">
        <v>169</v>
      </c>
      <c r="M31" s="216"/>
      <c r="N31" s="216"/>
      <c r="O31" s="216"/>
      <c r="P31" s="95" t="s">
        <v>143</v>
      </c>
    </row>
    <row r="32" spans="1:16" ht="55.5" customHeight="1" thickBot="1" x14ac:dyDescent="0.25">
      <c r="A32" s="102" t="s">
        <v>146</v>
      </c>
      <c r="B32" s="217" t="s">
        <v>170</v>
      </c>
      <c r="C32" s="218"/>
      <c r="D32" s="218"/>
      <c r="E32" s="218"/>
      <c r="F32" s="218"/>
      <c r="G32" s="219"/>
      <c r="H32" s="216"/>
      <c r="I32" s="216"/>
      <c r="J32" s="216"/>
      <c r="K32" s="216"/>
      <c r="L32" s="216" t="s">
        <v>198</v>
      </c>
      <c r="M32" s="216"/>
      <c r="N32" s="216"/>
      <c r="O32" s="216"/>
      <c r="P32" s="95" t="s">
        <v>143</v>
      </c>
    </row>
    <row r="33" spans="1:16" ht="45.75" customHeight="1" thickBot="1" x14ac:dyDescent="0.25">
      <c r="A33" s="102" t="s">
        <v>147</v>
      </c>
      <c r="B33" s="212" t="s">
        <v>179</v>
      </c>
      <c r="C33" s="213"/>
      <c r="D33" s="213"/>
      <c r="E33" s="213"/>
      <c r="F33" s="213"/>
      <c r="G33" s="214"/>
      <c r="H33" s="215"/>
      <c r="I33" s="215"/>
      <c r="J33" s="215"/>
      <c r="K33" s="215"/>
      <c r="L33" s="215" t="s">
        <v>180</v>
      </c>
      <c r="M33" s="215"/>
      <c r="N33" s="215"/>
      <c r="O33" s="215"/>
      <c r="P33" s="95" t="s">
        <v>143</v>
      </c>
    </row>
    <row r="34" spans="1:16" ht="45.75" customHeight="1" thickBot="1" x14ac:dyDescent="0.25">
      <c r="A34" s="102" t="s">
        <v>148</v>
      </c>
      <c r="B34" s="217" t="s">
        <v>182</v>
      </c>
      <c r="C34" s="218"/>
      <c r="D34" s="218"/>
      <c r="E34" s="218"/>
      <c r="F34" s="218"/>
      <c r="G34" s="219"/>
      <c r="H34" s="216"/>
      <c r="I34" s="216"/>
      <c r="J34" s="216"/>
      <c r="K34" s="216"/>
      <c r="L34" s="216" t="s">
        <v>181</v>
      </c>
      <c r="M34" s="216"/>
      <c r="N34" s="216"/>
      <c r="O34" s="216"/>
      <c r="P34" s="95" t="s">
        <v>143</v>
      </c>
    </row>
    <row r="35" spans="1:16" ht="48" customHeight="1" thickBot="1" x14ac:dyDescent="0.25">
      <c r="A35" s="102" t="s">
        <v>149</v>
      </c>
      <c r="B35" s="217" t="s">
        <v>183</v>
      </c>
      <c r="C35" s="218"/>
      <c r="D35" s="218"/>
      <c r="E35" s="218"/>
      <c r="F35" s="218"/>
      <c r="G35" s="219"/>
      <c r="H35" s="216"/>
      <c r="I35" s="216"/>
      <c r="J35" s="216"/>
      <c r="K35" s="216"/>
      <c r="L35" s="216" t="s">
        <v>181</v>
      </c>
      <c r="M35" s="216"/>
      <c r="N35" s="216"/>
      <c r="O35" s="216"/>
      <c r="P35" s="95" t="s">
        <v>143</v>
      </c>
    </row>
    <row r="36" spans="1:16" ht="45.75" customHeight="1" thickBot="1" x14ac:dyDescent="0.25">
      <c r="A36" s="102" t="s">
        <v>150</v>
      </c>
      <c r="B36" s="212" t="s">
        <v>195</v>
      </c>
      <c r="C36" s="213"/>
      <c r="D36" s="213"/>
      <c r="E36" s="213"/>
      <c r="F36" s="213"/>
      <c r="G36" s="214"/>
      <c r="H36" s="215"/>
      <c r="I36" s="215"/>
      <c r="J36" s="215"/>
      <c r="K36" s="215"/>
      <c r="L36" s="216" t="s">
        <v>181</v>
      </c>
      <c r="M36" s="216"/>
      <c r="N36" s="216"/>
      <c r="O36" s="216"/>
      <c r="P36" s="96" t="s">
        <v>143</v>
      </c>
    </row>
    <row r="37" spans="1:16" ht="66" customHeight="1" thickBot="1" x14ac:dyDescent="0.25">
      <c r="A37" s="102" t="s">
        <v>151</v>
      </c>
      <c r="B37" s="212" t="s">
        <v>196</v>
      </c>
      <c r="C37" s="213"/>
      <c r="D37" s="213"/>
      <c r="E37" s="213"/>
      <c r="F37" s="213"/>
      <c r="G37" s="214"/>
      <c r="H37" s="215"/>
      <c r="I37" s="215"/>
      <c r="J37" s="215"/>
      <c r="K37" s="215"/>
      <c r="L37" s="216" t="s">
        <v>181</v>
      </c>
      <c r="M37" s="216"/>
      <c r="N37" s="216"/>
      <c r="O37" s="216"/>
      <c r="P37" s="96" t="s">
        <v>143</v>
      </c>
    </row>
    <row r="38" spans="1:16" ht="45.75" customHeight="1" thickBot="1" x14ac:dyDescent="0.25">
      <c r="A38" s="102" t="s">
        <v>152</v>
      </c>
      <c r="B38" s="212"/>
      <c r="C38" s="213"/>
      <c r="D38" s="213"/>
      <c r="E38" s="213"/>
      <c r="F38" s="213"/>
      <c r="G38" s="214"/>
      <c r="H38" s="215"/>
      <c r="I38" s="215"/>
      <c r="J38" s="215"/>
      <c r="K38" s="215"/>
      <c r="L38" s="215"/>
      <c r="M38" s="215"/>
      <c r="N38" s="215"/>
      <c r="O38" s="215"/>
      <c r="P38" s="96"/>
    </row>
    <row r="39" spans="1:16" ht="45.75" customHeight="1" thickBot="1" x14ac:dyDescent="0.25">
      <c r="A39" s="102" t="s">
        <v>153</v>
      </c>
      <c r="B39" s="212"/>
      <c r="C39" s="213"/>
      <c r="D39" s="213"/>
      <c r="E39" s="213"/>
      <c r="F39" s="213"/>
      <c r="G39" s="214"/>
      <c r="H39" s="215"/>
      <c r="I39" s="215"/>
      <c r="J39" s="215"/>
      <c r="K39" s="215"/>
      <c r="L39" s="215"/>
      <c r="M39" s="215"/>
      <c r="N39" s="215"/>
      <c r="O39" s="215"/>
      <c r="P39" s="96"/>
    </row>
    <row r="40" spans="1:16" ht="45.75" customHeight="1" thickBot="1" x14ac:dyDescent="0.25">
      <c r="A40" s="102" t="s">
        <v>184</v>
      </c>
      <c r="B40" s="212"/>
      <c r="C40" s="213"/>
      <c r="D40" s="213"/>
      <c r="E40" s="213"/>
      <c r="F40" s="213"/>
      <c r="G40" s="214"/>
      <c r="H40" s="215"/>
      <c r="I40" s="215"/>
      <c r="J40" s="215"/>
      <c r="K40" s="215"/>
      <c r="L40" s="215"/>
      <c r="M40" s="215"/>
      <c r="N40" s="215"/>
      <c r="O40" s="215"/>
      <c r="P40" s="96"/>
    </row>
    <row r="41" spans="1:16" ht="45.75" customHeight="1" thickBot="1" x14ac:dyDescent="0.25">
      <c r="A41" s="102" t="s">
        <v>185</v>
      </c>
      <c r="B41" s="212"/>
      <c r="C41" s="213"/>
      <c r="D41" s="213"/>
      <c r="E41" s="213"/>
      <c r="F41" s="213"/>
      <c r="G41" s="214"/>
      <c r="H41" s="215"/>
      <c r="I41" s="215"/>
      <c r="J41" s="215"/>
      <c r="K41" s="215"/>
      <c r="L41" s="215"/>
      <c r="M41" s="215"/>
      <c r="N41" s="215"/>
      <c r="O41" s="215"/>
      <c r="P41" s="96"/>
    </row>
    <row r="42" spans="1:16" ht="45.75" customHeight="1" thickBot="1" x14ac:dyDescent="0.25">
      <c r="A42" s="102" t="s">
        <v>186</v>
      </c>
      <c r="B42" s="212"/>
      <c r="C42" s="213"/>
      <c r="D42" s="213"/>
      <c r="E42" s="213"/>
      <c r="F42" s="213"/>
      <c r="G42" s="214"/>
      <c r="H42" s="215"/>
      <c r="I42" s="215"/>
      <c r="J42" s="215"/>
      <c r="K42" s="215"/>
      <c r="L42" s="215"/>
      <c r="M42" s="215"/>
      <c r="N42" s="215"/>
      <c r="O42" s="215"/>
      <c r="P42" s="96"/>
    </row>
    <row r="43" spans="1:16" ht="45.75" customHeight="1" thickBot="1" x14ac:dyDescent="0.25">
      <c r="A43" s="102" t="s">
        <v>187</v>
      </c>
      <c r="B43" s="212"/>
      <c r="C43" s="213"/>
      <c r="D43" s="213"/>
      <c r="E43" s="213"/>
      <c r="F43" s="213"/>
      <c r="G43" s="214"/>
      <c r="H43" s="215"/>
      <c r="I43" s="215"/>
      <c r="J43" s="215"/>
      <c r="K43" s="215"/>
      <c r="L43" s="215"/>
      <c r="M43" s="215"/>
      <c r="N43" s="215"/>
      <c r="O43" s="215"/>
      <c r="P43" s="96"/>
    </row>
    <row r="44" spans="1:16" ht="45.75" customHeight="1" thickBot="1" x14ac:dyDescent="0.25">
      <c r="A44" s="102" t="s">
        <v>188</v>
      </c>
      <c r="B44" s="212"/>
      <c r="C44" s="213"/>
      <c r="D44" s="213"/>
      <c r="E44" s="213"/>
      <c r="F44" s="213"/>
      <c r="G44" s="214"/>
      <c r="H44" s="215"/>
      <c r="I44" s="215"/>
      <c r="J44" s="215"/>
      <c r="K44" s="215"/>
      <c r="L44" s="215"/>
      <c r="M44" s="215"/>
      <c r="N44" s="215"/>
      <c r="O44" s="215"/>
      <c r="P44" s="96"/>
    </row>
    <row r="45" spans="1:16" ht="45.75" customHeight="1" thickBot="1" x14ac:dyDescent="0.25">
      <c r="A45" s="102" t="s">
        <v>189</v>
      </c>
      <c r="B45" s="212"/>
      <c r="C45" s="213"/>
      <c r="D45" s="213"/>
      <c r="E45" s="213"/>
      <c r="F45" s="213"/>
      <c r="G45" s="214"/>
      <c r="H45" s="215"/>
      <c r="I45" s="215"/>
      <c r="J45" s="215"/>
      <c r="K45" s="215"/>
      <c r="L45" s="215"/>
      <c r="M45" s="215"/>
      <c r="N45" s="215"/>
      <c r="O45" s="215"/>
      <c r="P45" s="96"/>
    </row>
    <row r="46" spans="1:16" ht="45.75" customHeight="1" thickBot="1" x14ac:dyDescent="0.25">
      <c r="A46" s="102" t="s">
        <v>190</v>
      </c>
      <c r="B46" s="212"/>
      <c r="C46" s="213"/>
      <c r="D46" s="213"/>
      <c r="E46" s="213"/>
      <c r="F46" s="213"/>
      <c r="G46" s="214"/>
      <c r="H46" s="215"/>
      <c r="I46" s="215"/>
      <c r="J46" s="215"/>
      <c r="K46" s="215"/>
      <c r="L46" s="215"/>
      <c r="M46" s="215"/>
      <c r="N46" s="215"/>
      <c r="O46" s="215"/>
      <c r="P46" s="96"/>
    </row>
    <row r="47" spans="1:16" ht="45.75" customHeight="1" thickBot="1" x14ac:dyDescent="0.25">
      <c r="A47" s="102" t="s">
        <v>191</v>
      </c>
      <c r="B47" s="212"/>
      <c r="C47" s="213"/>
      <c r="D47" s="213"/>
      <c r="E47" s="213"/>
      <c r="F47" s="213"/>
      <c r="G47" s="214"/>
      <c r="H47" s="215"/>
      <c r="I47" s="215"/>
      <c r="J47" s="215"/>
      <c r="K47" s="215"/>
      <c r="L47" s="215"/>
      <c r="M47" s="215"/>
      <c r="N47" s="215"/>
      <c r="O47" s="215"/>
      <c r="P47" s="96"/>
    </row>
    <row r="48" spans="1:16" ht="45.75" customHeight="1" thickBot="1" x14ac:dyDescent="0.25">
      <c r="A48" s="102" t="s">
        <v>192</v>
      </c>
      <c r="B48" s="212"/>
      <c r="C48" s="213"/>
      <c r="D48" s="213"/>
      <c r="E48" s="213"/>
      <c r="F48" s="213"/>
      <c r="G48" s="214"/>
      <c r="H48" s="215"/>
      <c r="I48" s="215"/>
      <c r="J48" s="215"/>
      <c r="K48" s="215"/>
      <c r="L48" s="215"/>
      <c r="M48" s="215"/>
      <c r="N48" s="215"/>
      <c r="O48" s="215"/>
      <c r="P48" s="96"/>
    </row>
    <row r="49" spans="1:16" ht="45.75" customHeight="1" thickBot="1" x14ac:dyDescent="0.25">
      <c r="A49" s="102" t="s">
        <v>193</v>
      </c>
      <c r="B49" s="212"/>
      <c r="C49" s="213"/>
      <c r="D49" s="213"/>
      <c r="E49" s="213"/>
      <c r="F49" s="213"/>
      <c r="G49" s="214"/>
      <c r="H49" s="215"/>
      <c r="I49" s="215"/>
      <c r="J49" s="215"/>
      <c r="K49" s="215"/>
      <c r="L49" s="215"/>
      <c r="M49" s="215"/>
      <c r="N49" s="215"/>
      <c r="O49" s="215"/>
      <c r="P49" s="96"/>
    </row>
    <row r="50" spans="1:16" ht="45.75" customHeight="1" thickBot="1" x14ac:dyDescent="0.25">
      <c r="A50" s="102" t="s">
        <v>194</v>
      </c>
      <c r="B50" s="212"/>
      <c r="C50" s="213"/>
      <c r="D50" s="213"/>
      <c r="E50" s="213"/>
      <c r="F50" s="213"/>
      <c r="G50" s="214"/>
      <c r="H50" s="215"/>
      <c r="I50" s="215"/>
      <c r="J50" s="215"/>
      <c r="K50" s="215"/>
      <c r="L50" s="215"/>
      <c r="M50" s="215"/>
      <c r="N50" s="215"/>
      <c r="O50" s="215"/>
      <c r="P50" s="96"/>
    </row>
  </sheetData>
  <mergeCells count="97">
    <mergeCell ref="L21:O21"/>
    <mergeCell ref="L22:O22"/>
    <mergeCell ref="L23:O23"/>
    <mergeCell ref="L24:O24"/>
    <mergeCell ref="H23:K23"/>
    <mergeCell ref="A11:A14"/>
    <mergeCell ref="A16:A19"/>
    <mergeCell ref="B28:G28"/>
    <mergeCell ref="H28:K28"/>
    <mergeCell ref="H29:K29"/>
    <mergeCell ref="H24:K24"/>
    <mergeCell ref="A21:G21"/>
    <mergeCell ref="B22:G22"/>
    <mergeCell ref="B23:G23"/>
    <mergeCell ref="B24:G24"/>
    <mergeCell ref="L30:O30"/>
    <mergeCell ref="L25:O25"/>
    <mergeCell ref="B29:G29"/>
    <mergeCell ref="B30:G30"/>
    <mergeCell ref="H25:K25"/>
    <mergeCell ref="H26:K26"/>
    <mergeCell ref="H27:K27"/>
    <mergeCell ref="B25:G25"/>
    <mergeCell ref="B26:G26"/>
    <mergeCell ref="B27:G27"/>
    <mergeCell ref="L26:O26"/>
    <mergeCell ref="L27:O27"/>
    <mergeCell ref="L28:O28"/>
    <mergeCell ref="L29:O29"/>
    <mergeCell ref="H30:K30"/>
    <mergeCell ref="B1:G1"/>
    <mergeCell ref="B3:G3"/>
    <mergeCell ref="B7:G7"/>
    <mergeCell ref="H21:K21"/>
    <mergeCell ref="H22:K22"/>
    <mergeCell ref="B11:G14"/>
    <mergeCell ref="B16:G19"/>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 ref="B36:G36"/>
    <mergeCell ref="H36:K36"/>
    <mergeCell ref="L36:O36"/>
    <mergeCell ref="B37:G37"/>
    <mergeCell ref="H37:K37"/>
    <mergeCell ref="L37:O37"/>
    <mergeCell ref="B38:G38"/>
    <mergeCell ref="H38:K38"/>
    <mergeCell ref="L38:O38"/>
    <mergeCell ref="B39:G39"/>
    <mergeCell ref="H39:K39"/>
    <mergeCell ref="L39:O39"/>
    <mergeCell ref="B40:G40"/>
    <mergeCell ref="H40:K40"/>
    <mergeCell ref="L40:O40"/>
    <mergeCell ref="B41:G41"/>
    <mergeCell ref="H41:K41"/>
    <mergeCell ref="L41:O41"/>
    <mergeCell ref="B42:G42"/>
    <mergeCell ref="H42:K42"/>
    <mergeCell ref="L42:O42"/>
    <mergeCell ref="B43:G43"/>
    <mergeCell ref="H43:K43"/>
    <mergeCell ref="L43:O43"/>
    <mergeCell ref="B44:G44"/>
    <mergeCell ref="H44:K44"/>
    <mergeCell ref="L44:O44"/>
    <mergeCell ref="B45:G45"/>
    <mergeCell ref="H45:K45"/>
    <mergeCell ref="L45:O45"/>
    <mergeCell ref="B46:G46"/>
    <mergeCell ref="H46:K46"/>
    <mergeCell ref="L46:O46"/>
    <mergeCell ref="B47:G47"/>
    <mergeCell ref="H47:K47"/>
    <mergeCell ref="L47:O47"/>
    <mergeCell ref="B48:G48"/>
    <mergeCell ref="H48:K48"/>
    <mergeCell ref="L48:O48"/>
    <mergeCell ref="B49:G49"/>
    <mergeCell ref="H49:K49"/>
    <mergeCell ref="L49:O49"/>
    <mergeCell ref="B50:G50"/>
    <mergeCell ref="H50:K50"/>
    <mergeCell ref="L50:O50"/>
  </mergeCells>
  <conditionalFormatting sqref="B9:B10">
    <cfRule type="cellIs" dxfId="944" priority="35" operator="equal">
      <formula>"Nok"</formula>
    </cfRule>
    <cfRule type="cellIs" dxfId="943" priority="36" operator="equal">
      <formula>"Ok"</formula>
    </cfRule>
  </conditionalFormatting>
  <conditionalFormatting sqref="P22:P30">
    <cfRule type="cellIs" dxfId="942" priority="33" operator="equal">
      <formula>"Nok"</formula>
    </cfRule>
    <cfRule type="cellIs" dxfId="941" priority="34" operator="equal">
      <formula>"Ok"</formula>
    </cfRule>
  </conditionalFormatting>
  <conditionalFormatting sqref="P31:P35">
    <cfRule type="cellIs" dxfId="940" priority="31" operator="equal">
      <formula>"Nok"</formula>
    </cfRule>
    <cfRule type="cellIs" dxfId="939" priority="32" operator="equal">
      <formula>"Ok"</formula>
    </cfRule>
  </conditionalFormatting>
  <conditionalFormatting sqref="P36:P37">
    <cfRule type="cellIs" dxfId="938" priority="29" operator="equal">
      <formula>"Nok"</formula>
    </cfRule>
    <cfRule type="cellIs" dxfId="937" priority="30" operator="equal">
      <formula>"Ok"</formula>
    </cfRule>
  </conditionalFormatting>
  <conditionalFormatting sqref="P38">
    <cfRule type="cellIs" dxfId="936" priority="25" operator="equal">
      <formula>"Nok"</formula>
    </cfRule>
    <cfRule type="cellIs" dxfId="935" priority="26" operator="equal">
      <formula>"Ok"</formula>
    </cfRule>
  </conditionalFormatting>
  <conditionalFormatting sqref="P39">
    <cfRule type="cellIs" dxfId="934" priority="23" operator="equal">
      <formula>"Nok"</formula>
    </cfRule>
    <cfRule type="cellIs" dxfId="933" priority="24" operator="equal">
      <formula>"Ok"</formula>
    </cfRule>
  </conditionalFormatting>
  <conditionalFormatting sqref="P40">
    <cfRule type="cellIs" dxfId="932" priority="21" operator="equal">
      <formula>"Nok"</formula>
    </cfRule>
    <cfRule type="cellIs" dxfId="931" priority="22" operator="equal">
      <formula>"Ok"</formula>
    </cfRule>
  </conditionalFormatting>
  <conditionalFormatting sqref="P41">
    <cfRule type="cellIs" dxfId="930" priority="19" operator="equal">
      <formula>"Nok"</formula>
    </cfRule>
    <cfRule type="cellIs" dxfId="929" priority="20" operator="equal">
      <formula>"Ok"</formula>
    </cfRule>
  </conditionalFormatting>
  <conditionalFormatting sqref="P42">
    <cfRule type="cellIs" dxfId="928" priority="17" operator="equal">
      <formula>"Nok"</formula>
    </cfRule>
    <cfRule type="cellIs" dxfId="927" priority="18" operator="equal">
      <formula>"Ok"</formula>
    </cfRule>
  </conditionalFormatting>
  <conditionalFormatting sqref="P43">
    <cfRule type="cellIs" dxfId="926" priority="15" operator="equal">
      <formula>"Nok"</formula>
    </cfRule>
    <cfRule type="cellIs" dxfId="925" priority="16" operator="equal">
      <formula>"Ok"</formula>
    </cfRule>
  </conditionalFormatting>
  <conditionalFormatting sqref="P44">
    <cfRule type="cellIs" dxfId="924" priority="13" operator="equal">
      <formula>"Nok"</formula>
    </cfRule>
    <cfRule type="cellIs" dxfId="923" priority="14" operator="equal">
      <formula>"Ok"</formula>
    </cfRule>
  </conditionalFormatting>
  <conditionalFormatting sqref="P45">
    <cfRule type="cellIs" dxfId="922" priority="11" operator="equal">
      <formula>"Nok"</formula>
    </cfRule>
    <cfRule type="cellIs" dxfId="921" priority="12" operator="equal">
      <formula>"Ok"</formula>
    </cfRule>
  </conditionalFormatting>
  <conditionalFormatting sqref="P46">
    <cfRule type="cellIs" dxfId="920" priority="9" operator="equal">
      <formula>"Nok"</formula>
    </cfRule>
    <cfRule type="cellIs" dxfId="919" priority="10" operator="equal">
      <formula>"Ok"</formula>
    </cfRule>
  </conditionalFormatting>
  <conditionalFormatting sqref="P47">
    <cfRule type="cellIs" dxfId="918" priority="7" operator="equal">
      <formula>"Nok"</formula>
    </cfRule>
    <cfRule type="cellIs" dxfId="917" priority="8" operator="equal">
      <formula>"Ok"</formula>
    </cfRule>
  </conditionalFormatting>
  <conditionalFormatting sqref="P48">
    <cfRule type="cellIs" dxfId="916" priority="5" operator="equal">
      <formula>"Nok"</formula>
    </cfRule>
    <cfRule type="cellIs" dxfId="915" priority="6" operator="equal">
      <formula>"Ok"</formula>
    </cfRule>
  </conditionalFormatting>
  <conditionalFormatting sqref="P49">
    <cfRule type="cellIs" dxfId="914" priority="3" operator="equal">
      <formula>"Nok"</formula>
    </cfRule>
    <cfRule type="cellIs" dxfId="913" priority="4" operator="equal">
      <formula>"Ok"</formula>
    </cfRule>
  </conditionalFormatting>
  <conditionalFormatting sqref="P50">
    <cfRule type="cellIs" dxfId="912" priority="1" operator="equal">
      <formula>"Nok"</formula>
    </cfRule>
    <cfRule type="cellIs" dxfId="911" priority="2" operator="equal">
      <formula>"Ok"</formula>
    </cfRule>
  </conditionalFormatting>
  <dataValidations count="3">
    <dataValidation type="list" allowBlank="1" showInputMessage="1" showErrorMessage="1" sqref="B5">
      <formula1>"Nominal, Robustness, Endurance, Qualification"</formula1>
    </dataValidation>
    <dataValidation type="list" allowBlank="1" showInputMessage="1" showErrorMessage="1" sqref="B9">
      <formula1>"Ok, Nok, Not run, NA"</formula1>
    </dataValidation>
    <dataValidation type="list" allowBlank="1" showInputMessage="1" showErrorMessage="1" sqref="P22:P50">
      <formula1>"Ok, Nok, Not run, ,"</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27"/>
  <sheetViews>
    <sheetView workbookViewId="0">
      <selection activeCell="J12" sqref="J12"/>
    </sheetView>
  </sheetViews>
  <sheetFormatPr defaultRowHeight="12.75" x14ac:dyDescent="0.2"/>
  <cols>
    <col min="1" max="1" width="20.140625" style="97" customWidth="1"/>
    <col min="2" max="2" width="18.42578125" style="93" customWidth="1"/>
    <col min="3" max="7" width="9.140625" style="93"/>
    <col min="8" max="15" width="9.5703125" style="93" customWidth="1"/>
    <col min="16" max="16384" width="9.140625" style="93"/>
  </cols>
  <sheetData>
    <row r="1" spans="1:15" ht="13.5" thickBot="1" x14ac:dyDescent="0.25">
      <c r="A1" s="98" t="s">
        <v>41</v>
      </c>
      <c r="B1" s="234" t="s">
        <v>173</v>
      </c>
      <c r="C1" s="235"/>
      <c r="D1" s="235"/>
      <c r="E1" s="235"/>
      <c r="F1" s="235"/>
      <c r="G1" s="236"/>
      <c r="H1" s="73"/>
      <c r="I1" s="73"/>
      <c r="J1" s="73"/>
      <c r="K1" s="73"/>
      <c r="L1" s="73"/>
      <c r="M1" s="73"/>
      <c r="N1" s="73"/>
      <c r="O1" s="73"/>
    </row>
    <row r="2" spans="1:15" ht="13.5" thickBot="1" x14ac:dyDescent="0.25">
      <c r="A2" s="71"/>
      <c r="B2" s="72"/>
      <c r="C2" s="72"/>
      <c r="D2" s="73"/>
      <c r="E2" s="73"/>
      <c r="F2" s="73"/>
      <c r="G2" s="73"/>
      <c r="H2" s="73"/>
      <c r="I2" s="73"/>
      <c r="J2" s="73"/>
      <c r="K2" s="73"/>
      <c r="L2" s="73"/>
      <c r="M2" s="73"/>
      <c r="N2" s="73"/>
      <c r="O2" s="73"/>
    </row>
    <row r="3" spans="1:15" ht="26.25" thickBot="1" x14ac:dyDescent="0.25">
      <c r="A3" s="99" t="s">
        <v>46</v>
      </c>
      <c r="B3" s="237" t="s">
        <v>178</v>
      </c>
      <c r="C3" s="238"/>
      <c r="D3" s="238"/>
      <c r="E3" s="238"/>
      <c r="F3" s="238"/>
      <c r="G3" s="239"/>
      <c r="H3" s="73"/>
      <c r="I3" s="73"/>
      <c r="J3" s="73"/>
      <c r="K3" s="73"/>
      <c r="L3" s="73"/>
      <c r="M3" s="73"/>
      <c r="N3" s="73"/>
      <c r="O3" s="73"/>
    </row>
    <row r="4" spans="1:15" ht="13.5" thickBot="1" x14ac:dyDescent="0.25">
      <c r="A4" s="71"/>
      <c r="B4" s="72"/>
      <c r="C4" s="72"/>
      <c r="D4" s="73"/>
      <c r="E4" s="73"/>
      <c r="F4" s="73"/>
      <c r="G4" s="73"/>
      <c r="H4" s="73"/>
      <c r="I4" s="73"/>
      <c r="J4" s="73"/>
      <c r="K4" s="73"/>
      <c r="L4" s="73"/>
      <c r="M4" s="73"/>
      <c r="N4" s="73"/>
      <c r="O4" s="73"/>
    </row>
    <row r="5" spans="1:15" ht="13.5" thickBot="1" x14ac:dyDescent="0.25">
      <c r="A5" s="98" t="s">
        <v>111</v>
      </c>
      <c r="B5" s="76" t="s">
        <v>142</v>
      </c>
      <c r="C5" s="72"/>
      <c r="D5" s="73"/>
      <c r="E5" s="73"/>
      <c r="F5" s="73"/>
      <c r="G5" s="73"/>
      <c r="H5" s="73"/>
      <c r="I5" s="73"/>
      <c r="J5" s="73"/>
      <c r="K5" s="73"/>
      <c r="L5" s="73"/>
      <c r="M5" s="73"/>
      <c r="N5" s="73"/>
      <c r="O5" s="73"/>
    </row>
    <row r="6" spans="1:15" ht="13.5" thickBot="1" x14ac:dyDescent="0.25">
      <c r="A6" s="71"/>
      <c r="B6" s="72"/>
      <c r="C6" s="72"/>
      <c r="D6" s="73"/>
      <c r="E6" s="73"/>
      <c r="F6" s="73"/>
      <c r="G6" s="73"/>
      <c r="H6" s="73"/>
      <c r="I6" s="73"/>
      <c r="J6" s="73"/>
      <c r="K6" s="73"/>
      <c r="L6" s="73"/>
      <c r="M6" s="73"/>
      <c r="N6" s="73"/>
      <c r="O6" s="73"/>
    </row>
    <row r="7" spans="1:15" ht="28.5" customHeight="1" thickBot="1" x14ac:dyDescent="0.25">
      <c r="A7" s="98" t="s">
        <v>42</v>
      </c>
      <c r="B7" s="237" t="s">
        <v>154</v>
      </c>
      <c r="C7" s="238"/>
      <c r="D7" s="238"/>
      <c r="E7" s="238"/>
      <c r="F7" s="238"/>
      <c r="G7" s="239"/>
      <c r="H7" s="73"/>
      <c r="I7" s="73"/>
      <c r="J7" s="73"/>
      <c r="K7" s="73"/>
      <c r="L7" s="73"/>
      <c r="M7" s="73"/>
      <c r="N7" s="73"/>
      <c r="O7" s="73"/>
    </row>
    <row r="8" spans="1:15" ht="13.5" thickBot="1" x14ac:dyDescent="0.25">
      <c r="A8" s="75"/>
      <c r="B8" s="74"/>
      <c r="C8" s="74"/>
      <c r="D8" s="74"/>
      <c r="E8" s="74"/>
      <c r="F8" s="74"/>
      <c r="G8" s="74"/>
      <c r="H8" s="73"/>
      <c r="I8" s="73"/>
      <c r="J8" s="73"/>
      <c r="K8" s="73"/>
      <c r="L8" s="73"/>
      <c r="M8" s="73"/>
      <c r="N8" s="73"/>
      <c r="O8" s="73"/>
    </row>
    <row r="9" spans="1:15" ht="13.5" thickBot="1" x14ac:dyDescent="0.25">
      <c r="A9" s="98" t="s">
        <v>43</v>
      </c>
      <c r="B9" s="103" t="s">
        <v>144</v>
      </c>
      <c r="C9" s="72"/>
      <c r="D9" s="73"/>
      <c r="E9" s="73"/>
      <c r="F9" s="73"/>
      <c r="G9" s="73"/>
      <c r="H9" s="73"/>
      <c r="I9" s="73"/>
      <c r="J9" s="73"/>
      <c r="K9" s="73"/>
      <c r="L9" s="73"/>
      <c r="M9" s="73"/>
      <c r="N9" s="73"/>
      <c r="O9" s="73"/>
    </row>
    <row r="10" spans="1:15" ht="13.5" thickBot="1" x14ac:dyDescent="0.25">
      <c r="A10" s="75"/>
      <c r="B10" s="94"/>
      <c r="C10" s="72"/>
      <c r="D10" s="73"/>
      <c r="E10" s="73"/>
      <c r="F10" s="73"/>
      <c r="G10" s="73"/>
      <c r="H10" s="73"/>
      <c r="I10" s="73"/>
      <c r="J10" s="73"/>
      <c r="K10" s="73"/>
      <c r="L10" s="73"/>
      <c r="M10" s="73"/>
      <c r="N10" s="73"/>
      <c r="O10" s="73"/>
    </row>
    <row r="11" spans="1:15" ht="12" customHeight="1" x14ac:dyDescent="0.2">
      <c r="A11" s="223" t="s">
        <v>113</v>
      </c>
      <c r="B11" s="225"/>
      <c r="C11" s="226"/>
      <c r="D11" s="226"/>
      <c r="E11" s="226"/>
      <c r="F11" s="226"/>
      <c r="G11" s="227"/>
      <c r="H11" s="73"/>
      <c r="I11" s="73"/>
      <c r="J11" s="73"/>
      <c r="K11" s="73"/>
      <c r="L11" s="73"/>
      <c r="M11" s="73"/>
      <c r="N11" s="73"/>
      <c r="O11" s="73"/>
    </row>
    <row r="12" spans="1:15" x14ac:dyDescent="0.2">
      <c r="A12" s="224"/>
      <c r="B12" s="228"/>
      <c r="C12" s="229"/>
      <c r="D12" s="229"/>
      <c r="E12" s="229"/>
      <c r="F12" s="229"/>
      <c r="G12" s="230"/>
      <c r="H12" s="73"/>
      <c r="I12" s="73"/>
      <c r="J12" s="73"/>
      <c r="K12" s="73"/>
      <c r="L12" s="73"/>
      <c r="M12" s="73"/>
      <c r="N12" s="73"/>
      <c r="O12" s="73"/>
    </row>
    <row r="13" spans="1:15" x14ac:dyDescent="0.2">
      <c r="A13" s="224"/>
      <c r="B13" s="228"/>
      <c r="C13" s="229"/>
      <c r="D13" s="229"/>
      <c r="E13" s="229"/>
      <c r="F13" s="229"/>
      <c r="G13" s="230"/>
      <c r="H13" s="71"/>
      <c r="I13" s="73"/>
      <c r="J13" s="73"/>
      <c r="K13" s="73"/>
      <c r="L13" s="73"/>
      <c r="M13" s="73"/>
      <c r="N13" s="73"/>
      <c r="O13" s="73"/>
    </row>
    <row r="14" spans="1:15" ht="13.5" thickBot="1" x14ac:dyDescent="0.25">
      <c r="A14" s="224"/>
      <c r="B14" s="231"/>
      <c r="C14" s="232"/>
      <c r="D14" s="232"/>
      <c r="E14" s="232"/>
      <c r="F14" s="232"/>
      <c r="G14" s="233"/>
      <c r="H14" s="77"/>
      <c r="I14" s="73"/>
      <c r="J14" s="73"/>
      <c r="K14" s="73"/>
      <c r="L14" s="73"/>
      <c r="M14" s="73"/>
      <c r="N14" s="73"/>
      <c r="O14" s="73"/>
    </row>
    <row r="15" spans="1:15" ht="13.5" thickBot="1" x14ac:dyDescent="0.25">
      <c r="A15" s="71"/>
      <c r="B15" s="71"/>
      <c r="C15" s="71"/>
      <c r="D15" s="71"/>
      <c r="E15" s="71"/>
      <c r="F15" s="71"/>
      <c r="G15" s="71"/>
      <c r="H15" s="77"/>
      <c r="I15" s="73"/>
      <c r="J15" s="73"/>
      <c r="K15" s="73"/>
      <c r="L15" s="73"/>
      <c r="M15" s="73"/>
      <c r="N15" s="73"/>
      <c r="O15" s="73"/>
    </row>
    <row r="16" spans="1:15" x14ac:dyDescent="0.2">
      <c r="A16" s="223" t="s">
        <v>44</v>
      </c>
      <c r="B16" s="225"/>
      <c r="C16" s="226"/>
      <c r="D16" s="226"/>
      <c r="E16" s="226"/>
      <c r="F16" s="226"/>
      <c r="G16" s="227"/>
      <c r="H16" s="73"/>
      <c r="I16" s="73"/>
      <c r="J16" s="73"/>
      <c r="K16" s="73"/>
      <c r="L16" s="73"/>
      <c r="M16" s="73"/>
      <c r="N16" s="73"/>
      <c r="O16" s="73"/>
    </row>
    <row r="17" spans="1:16" x14ac:dyDescent="0.2">
      <c r="A17" s="224"/>
      <c r="B17" s="228"/>
      <c r="C17" s="229"/>
      <c r="D17" s="229"/>
      <c r="E17" s="229"/>
      <c r="F17" s="229"/>
      <c r="G17" s="230"/>
      <c r="H17" s="73"/>
      <c r="I17" s="73"/>
      <c r="J17" s="73"/>
      <c r="K17" s="73"/>
      <c r="L17" s="73"/>
      <c r="M17" s="73"/>
      <c r="N17" s="73"/>
      <c r="O17" s="73"/>
    </row>
    <row r="18" spans="1:16" x14ac:dyDescent="0.2">
      <c r="A18" s="224"/>
      <c r="B18" s="228"/>
      <c r="C18" s="229"/>
      <c r="D18" s="229"/>
      <c r="E18" s="229"/>
      <c r="F18" s="229"/>
      <c r="G18" s="230"/>
      <c r="H18" s="71"/>
      <c r="I18" s="73"/>
      <c r="J18" s="73"/>
      <c r="K18" s="73"/>
      <c r="L18" s="73"/>
      <c r="M18" s="73"/>
      <c r="N18" s="73"/>
      <c r="O18" s="73"/>
    </row>
    <row r="19" spans="1:16" ht="13.5" thickBot="1" x14ac:dyDescent="0.25">
      <c r="A19" s="224"/>
      <c r="B19" s="231"/>
      <c r="C19" s="232"/>
      <c r="D19" s="232"/>
      <c r="E19" s="232"/>
      <c r="F19" s="232"/>
      <c r="G19" s="233"/>
      <c r="H19" s="77"/>
      <c r="I19" s="73"/>
      <c r="J19" s="73"/>
      <c r="K19" s="73"/>
      <c r="L19" s="73"/>
      <c r="M19" s="73"/>
      <c r="N19" s="73"/>
      <c r="O19" s="73"/>
    </row>
    <row r="20" spans="1:16" ht="13.5" thickBot="1" x14ac:dyDescent="0.25">
      <c r="A20" s="71"/>
      <c r="B20" s="71"/>
      <c r="C20" s="71"/>
      <c r="D20" s="71"/>
      <c r="E20" s="71"/>
      <c r="F20" s="71"/>
      <c r="G20" s="71"/>
      <c r="H20" s="77"/>
      <c r="I20" s="73"/>
      <c r="J20" s="73"/>
      <c r="K20" s="73"/>
      <c r="L20" s="73"/>
      <c r="M20" s="73"/>
      <c r="N20" s="73"/>
      <c r="O20" s="73"/>
    </row>
    <row r="21" spans="1:16" ht="12.75" customHeight="1" x14ac:dyDescent="0.2">
      <c r="A21" s="220" t="s">
        <v>48</v>
      </c>
      <c r="B21" s="221"/>
      <c r="C21" s="221"/>
      <c r="D21" s="221"/>
      <c r="E21" s="221"/>
      <c r="F21" s="221"/>
      <c r="G21" s="222"/>
      <c r="H21" s="220" t="s">
        <v>49</v>
      </c>
      <c r="I21" s="221"/>
      <c r="J21" s="221"/>
      <c r="K21" s="222"/>
      <c r="L21" s="220" t="s">
        <v>60</v>
      </c>
      <c r="M21" s="221"/>
      <c r="N21" s="221"/>
      <c r="O21" s="222"/>
      <c r="P21" s="100" t="s">
        <v>47</v>
      </c>
    </row>
    <row r="22" spans="1:16" ht="45.75" customHeight="1" thickBot="1" x14ac:dyDescent="0.25">
      <c r="A22" s="102" t="s">
        <v>50</v>
      </c>
      <c r="B22" s="212" t="s">
        <v>172</v>
      </c>
      <c r="C22" s="213"/>
      <c r="D22" s="213"/>
      <c r="E22" s="213"/>
      <c r="F22" s="213"/>
      <c r="G22" s="214"/>
      <c r="H22" s="215" t="s">
        <v>171</v>
      </c>
      <c r="I22" s="215"/>
      <c r="J22" s="215"/>
      <c r="K22" s="215"/>
      <c r="L22" s="215"/>
      <c r="M22" s="215"/>
      <c r="N22" s="215"/>
      <c r="O22" s="215"/>
      <c r="P22" s="96" t="s">
        <v>144</v>
      </c>
    </row>
    <row r="23" spans="1:16" ht="45.75" customHeight="1" thickBot="1" x14ac:dyDescent="0.25">
      <c r="A23" s="102" t="s">
        <v>51</v>
      </c>
      <c r="B23" s="212" t="s">
        <v>175</v>
      </c>
      <c r="C23" s="213"/>
      <c r="D23" s="213"/>
      <c r="E23" s="213"/>
      <c r="F23" s="213"/>
      <c r="G23" s="214"/>
      <c r="H23" s="215" t="s">
        <v>171</v>
      </c>
      <c r="I23" s="215"/>
      <c r="J23" s="215"/>
      <c r="K23" s="215"/>
      <c r="L23" s="215"/>
      <c r="M23" s="215"/>
      <c r="N23" s="215"/>
      <c r="O23" s="215"/>
      <c r="P23" s="96" t="s">
        <v>144</v>
      </c>
    </row>
    <row r="24" spans="1:16" ht="45.75" customHeight="1" thickBot="1" x14ac:dyDescent="0.25">
      <c r="A24" s="102" t="s">
        <v>52</v>
      </c>
      <c r="B24" s="212" t="s">
        <v>176</v>
      </c>
      <c r="C24" s="213"/>
      <c r="D24" s="213"/>
      <c r="E24" s="213"/>
      <c r="F24" s="213"/>
      <c r="G24" s="214"/>
      <c r="H24" s="215" t="s">
        <v>171</v>
      </c>
      <c r="I24" s="215"/>
      <c r="J24" s="215"/>
      <c r="K24" s="215"/>
      <c r="L24" s="215"/>
      <c r="M24" s="215"/>
      <c r="N24" s="215"/>
      <c r="O24" s="215"/>
      <c r="P24" s="96" t="s">
        <v>144</v>
      </c>
    </row>
    <row r="25" spans="1:16" ht="58.5" customHeight="1" thickBot="1" x14ac:dyDescent="0.25">
      <c r="A25" s="102" t="s">
        <v>53</v>
      </c>
      <c r="B25" s="212" t="s">
        <v>177</v>
      </c>
      <c r="C25" s="213"/>
      <c r="D25" s="213"/>
      <c r="E25" s="213"/>
      <c r="F25" s="213"/>
      <c r="G25" s="214"/>
      <c r="H25" s="215" t="s">
        <v>171</v>
      </c>
      <c r="I25" s="215"/>
      <c r="J25" s="215"/>
      <c r="K25" s="215"/>
      <c r="L25" s="215"/>
      <c r="M25" s="215"/>
      <c r="N25" s="215"/>
      <c r="O25" s="215"/>
      <c r="P25" s="96" t="s">
        <v>144</v>
      </c>
    </row>
    <row r="26" spans="1:16" ht="45.75" customHeight="1" thickBot="1" x14ac:dyDescent="0.25">
      <c r="A26" s="102" t="s">
        <v>54</v>
      </c>
      <c r="B26" s="212"/>
      <c r="C26" s="213"/>
      <c r="D26" s="213"/>
      <c r="E26" s="213"/>
      <c r="F26" s="213"/>
      <c r="G26" s="214"/>
      <c r="H26" s="215" t="s">
        <v>171</v>
      </c>
      <c r="I26" s="215"/>
      <c r="J26" s="215"/>
      <c r="K26" s="215"/>
      <c r="L26" s="215"/>
      <c r="M26" s="215"/>
      <c r="N26" s="215"/>
      <c r="O26" s="215"/>
      <c r="P26" s="96"/>
    </row>
    <row r="27" spans="1:16" ht="45.75" customHeight="1" thickBot="1" x14ac:dyDescent="0.25">
      <c r="A27" s="102" t="s">
        <v>55</v>
      </c>
      <c r="B27" s="212"/>
      <c r="C27" s="213"/>
      <c r="D27" s="213"/>
      <c r="E27" s="213"/>
      <c r="F27" s="213"/>
      <c r="G27" s="214"/>
      <c r="H27" s="215"/>
      <c r="I27" s="215"/>
      <c r="J27" s="215"/>
      <c r="K27" s="215"/>
      <c r="L27" s="215"/>
      <c r="M27" s="215"/>
      <c r="N27" s="215"/>
      <c r="O27" s="215"/>
      <c r="P27" s="96"/>
    </row>
  </sheetData>
  <mergeCells count="28">
    <mergeCell ref="A16:A19"/>
    <mergeCell ref="B16:G19"/>
    <mergeCell ref="B1:G1"/>
    <mergeCell ref="B3:G3"/>
    <mergeCell ref="B7:G7"/>
    <mergeCell ref="A11:A14"/>
    <mergeCell ref="B11:G14"/>
    <mergeCell ref="H24:K24"/>
    <mergeCell ref="L24:O24"/>
    <mergeCell ref="A21:G21"/>
    <mergeCell ref="H21:K21"/>
    <mergeCell ref="L21:O21"/>
    <mergeCell ref="B22:G22"/>
    <mergeCell ref="H22:K22"/>
    <mergeCell ref="L22:O22"/>
    <mergeCell ref="B23:G23"/>
    <mergeCell ref="H23:K23"/>
    <mergeCell ref="L23:O23"/>
    <mergeCell ref="B24:G24"/>
    <mergeCell ref="B27:G27"/>
    <mergeCell ref="H27:K27"/>
    <mergeCell ref="L27:O27"/>
    <mergeCell ref="B25:G25"/>
    <mergeCell ref="H25:K25"/>
    <mergeCell ref="L25:O25"/>
    <mergeCell ref="B26:G26"/>
    <mergeCell ref="H26:K26"/>
    <mergeCell ref="L26:O26"/>
  </mergeCells>
  <conditionalFormatting sqref="B9:B10">
    <cfRule type="cellIs" dxfId="910" priority="15" operator="equal">
      <formula>"Nok"</formula>
    </cfRule>
    <cfRule type="cellIs" dxfId="909" priority="16" operator="equal">
      <formula>"Ok"</formula>
    </cfRule>
  </conditionalFormatting>
  <conditionalFormatting sqref="P22">
    <cfRule type="cellIs" dxfId="908" priority="13" operator="equal">
      <formula>"Nok"</formula>
    </cfRule>
    <cfRule type="cellIs" dxfId="907" priority="14" operator="equal">
      <formula>"Ok"</formula>
    </cfRule>
  </conditionalFormatting>
  <conditionalFormatting sqref="P23">
    <cfRule type="cellIs" dxfId="906" priority="9" operator="equal">
      <formula>"Nok"</formula>
    </cfRule>
    <cfRule type="cellIs" dxfId="905" priority="10" operator="equal">
      <formula>"Ok"</formula>
    </cfRule>
  </conditionalFormatting>
  <conditionalFormatting sqref="P24:P25">
    <cfRule type="cellIs" dxfId="904" priority="7" operator="equal">
      <formula>"Nok"</formula>
    </cfRule>
    <cfRule type="cellIs" dxfId="903" priority="8" operator="equal">
      <formula>"Ok"</formula>
    </cfRule>
  </conditionalFormatting>
  <conditionalFormatting sqref="P26">
    <cfRule type="cellIs" dxfId="902" priority="3" operator="equal">
      <formula>"Nok"</formula>
    </cfRule>
    <cfRule type="cellIs" dxfId="901" priority="4" operator="equal">
      <formula>"Ok"</formula>
    </cfRule>
  </conditionalFormatting>
  <conditionalFormatting sqref="P27">
    <cfRule type="cellIs" dxfId="900" priority="1" operator="equal">
      <formula>"Nok"</formula>
    </cfRule>
    <cfRule type="cellIs" dxfId="899" priority="2" operator="equal">
      <formula>"Ok"</formula>
    </cfRule>
  </conditionalFormatting>
  <dataValidations count="3">
    <dataValidation type="list" allowBlank="1" showInputMessage="1" showErrorMessage="1" sqref="B9">
      <formula1>"Ok, Nok, Not run, NA"</formula1>
    </dataValidation>
    <dataValidation type="list" allowBlank="1" showInputMessage="1" showErrorMessage="1" sqref="B5">
      <formula1>"Nominal, Robustness, Endurance, Qualification"</formula1>
    </dataValidation>
    <dataValidation type="list" allowBlank="1" showInputMessage="1" showErrorMessage="1" sqref="P22:P27">
      <formula1>"Ok, Nok, Not run, ,"</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workbookViewId="0">
      <selection activeCell="H27" sqref="H27:K27"/>
    </sheetView>
  </sheetViews>
  <sheetFormatPr defaultRowHeight="12.75" x14ac:dyDescent="0.2"/>
  <cols>
    <col min="1" max="1" width="20.140625" style="97" customWidth="1"/>
    <col min="2" max="2" width="18.42578125" style="93" customWidth="1"/>
    <col min="3" max="7" width="9.140625" style="93"/>
    <col min="8" max="15" width="9.5703125" style="93" customWidth="1"/>
    <col min="16" max="16384" width="9.140625" style="93"/>
  </cols>
  <sheetData>
    <row r="1" spans="1:15" ht="13.5" thickBot="1" x14ac:dyDescent="0.25">
      <c r="A1" s="98" t="s">
        <v>41</v>
      </c>
      <c r="B1" s="234" t="s">
        <v>251</v>
      </c>
      <c r="C1" s="235"/>
      <c r="D1" s="235"/>
      <c r="E1" s="235"/>
      <c r="F1" s="235"/>
      <c r="G1" s="236"/>
      <c r="H1" s="73"/>
      <c r="I1" s="73"/>
      <c r="J1" s="73"/>
      <c r="K1" s="73"/>
      <c r="L1" s="73"/>
      <c r="M1" s="73"/>
      <c r="N1" s="73"/>
      <c r="O1" s="73"/>
    </row>
    <row r="2" spans="1:15" ht="13.5" thickBot="1" x14ac:dyDescent="0.25">
      <c r="A2" s="71"/>
      <c r="B2" s="72"/>
      <c r="C2" s="72"/>
      <c r="D2" s="73"/>
      <c r="E2" s="73"/>
      <c r="F2" s="73"/>
      <c r="G2" s="73"/>
      <c r="H2" s="73"/>
      <c r="I2" s="73"/>
      <c r="J2" s="73"/>
      <c r="K2" s="73"/>
      <c r="L2" s="73"/>
      <c r="M2" s="73"/>
      <c r="N2" s="73"/>
      <c r="O2" s="73"/>
    </row>
    <row r="3" spans="1:15" ht="61.5" customHeight="1" thickBot="1" x14ac:dyDescent="0.25">
      <c r="A3" s="99" t="s">
        <v>46</v>
      </c>
      <c r="B3" s="237" t="s">
        <v>267</v>
      </c>
      <c r="C3" s="238"/>
      <c r="D3" s="238"/>
      <c r="E3" s="238"/>
      <c r="F3" s="238"/>
      <c r="G3" s="239"/>
      <c r="H3" s="73"/>
      <c r="I3" s="73"/>
      <c r="J3" s="73"/>
      <c r="K3" s="73"/>
      <c r="L3" s="73"/>
      <c r="M3" s="73"/>
      <c r="N3" s="73"/>
      <c r="O3" s="73"/>
    </row>
    <row r="4" spans="1:15" ht="13.5" thickBot="1" x14ac:dyDescent="0.25">
      <c r="A4" s="71"/>
      <c r="B4" s="72"/>
      <c r="C4" s="72"/>
      <c r="D4" s="73"/>
      <c r="E4" s="73"/>
      <c r="F4" s="73"/>
      <c r="G4" s="73"/>
      <c r="H4" s="73"/>
      <c r="I4" s="73"/>
      <c r="J4" s="73"/>
      <c r="K4" s="73"/>
      <c r="L4" s="73"/>
      <c r="M4" s="73"/>
      <c r="N4" s="73"/>
      <c r="O4" s="73"/>
    </row>
    <row r="5" spans="1:15" ht="13.5" thickBot="1" x14ac:dyDescent="0.25">
      <c r="A5" s="98" t="s">
        <v>111</v>
      </c>
      <c r="B5" s="76" t="s">
        <v>142</v>
      </c>
      <c r="C5" s="72"/>
      <c r="D5" s="73"/>
      <c r="E5" s="73"/>
      <c r="F5" s="73"/>
      <c r="G5" s="73"/>
      <c r="H5" s="73"/>
      <c r="I5" s="73"/>
      <c r="J5" s="73"/>
      <c r="K5" s="73"/>
      <c r="L5" s="73"/>
      <c r="M5" s="73"/>
      <c r="N5" s="73"/>
      <c r="O5" s="73"/>
    </row>
    <row r="6" spans="1:15" ht="13.5" thickBot="1" x14ac:dyDescent="0.25">
      <c r="A6" s="71"/>
      <c r="B6" s="72"/>
      <c r="C6" s="72"/>
      <c r="D6" s="73"/>
      <c r="E6" s="73"/>
      <c r="F6" s="73"/>
      <c r="G6" s="73"/>
      <c r="H6" s="73"/>
      <c r="I6" s="73"/>
      <c r="J6" s="73"/>
      <c r="K6" s="73"/>
      <c r="L6" s="73"/>
      <c r="M6" s="73"/>
      <c r="N6" s="73"/>
      <c r="O6" s="73"/>
    </row>
    <row r="7" spans="1:15" ht="30.75" customHeight="1" thickBot="1" x14ac:dyDescent="0.25">
      <c r="A7" s="98" t="s">
        <v>42</v>
      </c>
      <c r="B7" s="237" t="s">
        <v>252</v>
      </c>
      <c r="C7" s="238"/>
      <c r="D7" s="238"/>
      <c r="E7" s="238"/>
      <c r="F7" s="238"/>
      <c r="G7" s="239"/>
      <c r="H7" s="73"/>
      <c r="I7" s="73"/>
      <c r="J7" s="73"/>
      <c r="K7" s="73"/>
      <c r="L7" s="73"/>
      <c r="M7" s="73"/>
      <c r="N7" s="73"/>
      <c r="O7" s="73"/>
    </row>
    <row r="8" spans="1:15" ht="13.5" thickBot="1" x14ac:dyDescent="0.25">
      <c r="A8" s="75"/>
      <c r="B8" s="74"/>
      <c r="C8" s="74"/>
      <c r="D8" s="74"/>
      <c r="E8" s="74"/>
      <c r="F8" s="74"/>
      <c r="G8" s="74"/>
      <c r="H8" s="73"/>
      <c r="I8" s="73"/>
      <c r="J8" s="73"/>
      <c r="K8" s="73"/>
      <c r="L8" s="73"/>
      <c r="M8" s="73"/>
      <c r="N8" s="73"/>
      <c r="O8" s="73"/>
    </row>
    <row r="9" spans="1:15" ht="13.5" thickBot="1" x14ac:dyDescent="0.25">
      <c r="A9" s="98" t="s">
        <v>43</v>
      </c>
      <c r="B9" s="103" t="s">
        <v>143</v>
      </c>
      <c r="C9" s="72"/>
      <c r="D9" s="73"/>
      <c r="E9" s="73"/>
      <c r="F9" s="73"/>
      <c r="G9" s="73"/>
      <c r="H9" s="73"/>
      <c r="I9" s="73"/>
      <c r="J9" s="73"/>
      <c r="K9" s="73"/>
      <c r="L9" s="73"/>
      <c r="M9" s="73"/>
      <c r="N9" s="73"/>
      <c r="O9" s="73"/>
    </row>
    <row r="10" spans="1:15" ht="13.5" thickBot="1" x14ac:dyDescent="0.25">
      <c r="A10" s="75"/>
      <c r="B10" s="94"/>
      <c r="C10" s="72"/>
      <c r="D10" s="73"/>
      <c r="E10" s="73"/>
      <c r="F10" s="73"/>
      <c r="G10" s="73"/>
      <c r="H10" s="73"/>
      <c r="I10" s="73"/>
      <c r="J10" s="73"/>
      <c r="K10" s="73"/>
      <c r="L10" s="73"/>
      <c r="M10" s="73"/>
      <c r="N10" s="73"/>
      <c r="O10" s="73"/>
    </row>
    <row r="11" spans="1:15" ht="12" customHeight="1" x14ac:dyDescent="0.2">
      <c r="A11" s="223" t="s">
        <v>113</v>
      </c>
      <c r="B11" s="225"/>
      <c r="C11" s="226"/>
      <c r="D11" s="226"/>
      <c r="E11" s="226"/>
      <c r="F11" s="226"/>
      <c r="G11" s="227"/>
      <c r="H11" s="73"/>
      <c r="I11" s="73"/>
      <c r="J11" s="73"/>
      <c r="K11" s="73"/>
      <c r="L11" s="73"/>
      <c r="M11" s="73"/>
      <c r="N11" s="73"/>
      <c r="O11" s="73"/>
    </row>
    <row r="12" spans="1:15" x14ac:dyDescent="0.2">
      <c r="A12" s="224"/>
      <c r="B12" s="228"/>
      <c r="C12" s="229"/>
      <c r="D12" s="229"/>
      <c r="E12" s="229"/>
      <c r="F12" s="229"/>
      <c r="G12" s="230"/>
      <c r="H12" s="73"/>
      <c r="I12" s="73"/>
      <c r="J12" s="73"/>
      <c r="K12" s="73"/>
      <c r="L12" s="73"/>
      <c r="M12" s="73"/>
      <c r="N12" s="73"/>
      <c r="O12" s="73"/>
    </row>
    <row r="13" spans="1:15" x14ac:dyDescent="0.2">
      <c r="A13" s="224"/>
      <c r="B13" s="228"/>
      <c r="C13" s="229"/>
      <c r="D13" s="229"/>
      <c r="E13" s="229"/>
      <c r="F13" s="229"/>
      <c r="G13" s="230"/>
      <c r="H13" s="71"/>
      <c r="I13" s="73"/>
      <c r="J13" s="73"/>
      <c r="K13" s="73"/>
      <c r="L13" s="73"/>
      <c r="M13" s="73"/>
      <c r="N13" s="73"/>
      <c r="O13" s="73"/>
    </row>
    <row r="14" spans="1:15" ht="13.5" thickBot="1" x14ac:dyDescent="0.25">
      <c r="A14" s="224"/>
      <c r="B14" s="231"/>
      <c r="C14" s="232"/>
      <c r="D14" s="232"/>
      <c r="E14" s="232"/>
      <c r="F14" s="232"/>
      <c r="G14" s="233"/>
      <c r="H14" s="77"/>
      <c r="I14" s="73"/>
      <c r="J14" s="73"/>
      <c r="K14" s="73"/>
      <c r="L14" s="73"/>
      <c r="M14" s="73"/>
      <c r="N14" s="73"/>
      <c r="O14" s="73"/>
    </row>
    <row r="15" spans="1:15" ht="13.5" thickBot="1" x14ac:dyDescent="0.25">
      <c r="A15" s="71"/>
      <c r="B15" s="71"/>
      <c r="C15" s="71"/>
      <c r="D15" s="71"/>
      <c r="E15" s="71"/>
      <c r="F15" s="71"/>
      <c r="G15" s="71"/>
      <c r="H15" s="77"/>
      <c r="I15" s="73"/>
      <c r="J15" s="73"/>
      <c r="K15" s="73"/>
      <c r="L15" s="73"/>
      <c r="M15" s="73"/>
      <c r="N15" s="73"/>
      <c r="O15" s="73"/>
    </row>
    <row r="16" spans="1:15" x14ac:dyDescent="0.2">
      <c r="A16" s="223" t="s">
        <v>44</v>
      </c>
      <c r="B16" s="225"/>
      <c r="C16" s="226"/>
      <c r="D16" s="226"/>
      <c r="E16" s="226"/>
      <c r="F16" s="226"/>
      <c r="G16" s="227"/>
      <c r="H16" s="73"/>
      <c r="I16" s="73"/>
      <c r="J16" s="73"/>
      <c r="K16" s="73"/>
      <c r="L16" s="73"/>
      <c r="M16" s="73"/>
      <c r="N16" s="73"/>
      <c r="O16" s="73"/>
    </row>
    <row r="17" spans="1:16" x14ac:dyDescent="0.2">
      <c r="A17" s="224"/>
      <c r="B17" s="228"/>
      <c r="C17" s="229"/>
      <c r="D17" s="229"/>
      <c r="E17" s="229"/>
      <c r="F17" s="229"/>
      <c r="G17" s="230"/>
      <c r="H17" s="73"/>
      <c r="I17" s="73"/>
      <c r="J17" s="73"/>
      <c r="K17" s="73"/>
      <c r="L17" s="73"/>
      <c r="M17" s="73"/>
      <c r="N17" s="73"/>
      <c r="O17" s="73"/>
    </row>
    <row r="18" spans="1:16" x14ac:dyDescent="0.2">
      <c r="A18" s="224"/>
      <c r="B18" s="228"/>
      <c r="C18" s="229"/>
      <c r="D18" s="229"/>
      <c r="E18" s="229"/>
      <c r="F18" s="229"/>
      <c r="G18" s="230"/>
      <c r="H18" s="71"/>
      <c r="I18" s="73"/>
      <c r="J18" s="73"/>
      <c r="K18" s="73"/>
      <c r="L18" s="73"/>
      <c r="M18" s="73"/>
      <c r="N18" s="73"/>
      <c r="O18" s="73"/>
    </row>
    <row r="19" spans="1:16" ht="13.5" thickBot="1" x14ac:dyDescent="0.25">
      <c r="A19" s="224"/>
      <c r="B19" s="231"/>
      <c r="C19" s="232"/>
      <c r="D19" s="232"/>
      <c r="E19" s="232"/>
      <c r="F19" s="232"/>
      <c r="G19" s="233"/>
      <c r="H19" s="77"/>
      <c r="I19" s="73"/>
      <c r="J19" s="73"/>
      <c r="K19" s="73"/>
      <c r="L19" s="73"/>
      <c r="M19" s="73"/>
      <c r="N19" s="73"/>
      <c r="O19" s="73"/>
    </row>
    <row r="20" spans="1:16" ht="13.5" thickBot="1" x14ac:dyDescent="0.25">
      <c r="A20" s="71"/>
      <c r="B20" s="71"/>
      <c r="C20" s="71"/>
      <c r="D20" s="71"/>
      <c r="E20" s="71"/>
      <c r="F20" s="71"/>
      <c r="G20" s="71"/>
      <c r="H20" s="77"/>
      <c r="I20" s="73"/>
      <c r="J20" s="73"/>
      <c r="K20" s="73"/>
      <c r="L20" s="73"/>
      <c r="M20" s="73"/>
      <c r="N20" s="73"/>
      <c r="O20" s="73"/>
    </row>
    <row r="21" spans="1:16" ht="12.75" customHeight="1" x14ac:dyDescent="0.2">
      <c r="A21" s="220" t="s">
        <v>48</v>
      </c>
      <c r="B21" s="221"/>
      <c r="C21" s="221"/>
      <c r="D21" s="221"/>
      <c r="E21" s="221"/>
      <c r="F21" s="221"/>
      <c r="G21" s="222"/>
      <c r="H21" s="220" t="s">
        <v>49</v>
      </c>
      <c r="I21" s="221"/>
      <c r="J21" s="221"/>
      <c r="K21" s="222"/>
      <c r="L21" s="220" t="s">
        <v>60</v>
      </c>
      <c r="M21" s="221"/>
      <c r="N21" s="221"/>
      <c r="O21" s="222"/>
      <c r="P21" s="100" t="s">
        <v>47</v>
      </c>
    </row>
    <row r="22" spans="1:16" ht="53.25" customHeight="1" thickBot="1" x14ac:dyDescent="0.25">
      <c r="A22" s="101" t="s">
        <v>50</v>
      </c>
      <c r="B22" s="212" t="s">
        <v>254</v>
      </c>
      <c r="C22" s="213"/>
      <c r="D22" s="213"/>
      <c r="E22" s="213"/>
      <c r="F22" s="213"/>
      <c r="G22" s="214"/>
      <c r="H22" s="216"/>
      <c r="I22" s="216"/>
      <c r="J22" s="216"/>
      <c r="K22" s="216"/>
      <c r="L22" s="216" t="s">
        <v>253</v>
      </c>
      <c r="M22" s="216"/>
      <c r="N22" s="216"/>
      <c r="O22" s="216"/>
      <c r="P22" s="95" t="s">
        <v>143</v>
      </c>
    </row>
    <row r="23" spans="1:16" ht="54" customHeight="1" thickBot="1" x14ac:dyDescent="0.25">
      <c r="A23" s="101" t="s">
        <v>51</v>
      </c>
      <c r="B23" s="212" t="s">
        <v>261</v>
      </c>
      <c r="C23" s="213"/>
      <c r="D23" s="213"/>
      <c r="E23" s="213"/>
      <c r="F23" s="213"/>
      <c r="G23" s="214"/>
      <c r="H23" s="216"/>
      <c r="I23" s="216"/>
      <c r="J23" s="216"/>
      <c r="K23" s="216"/>
      <c r="L23" s="216" t="s">
        <v>263</v>
      </c>
      <c r="M23" s="216"/>
      <c r="N23" s="216"/>
      <c r="O23" s="216"/>
      <c r="P23" s="95" t="s">
        <v>143</v>
      </c>
    </row>
    <row r="24" spans="1:16" ht="43.5" customHeight="1" thickBot="1" x14ac:dyDescent="0.25">
      <c r="A24" s="101" t="s">
        <v>52</v>
      </c>
      <c r="B24" s="212" t="s">
        <v>266</v>
      </c>
      <c r="C24" s="213"/>
      <c r="D24" s="213"/>
      <c r="E24" s="213"/>
      <c r="F24" s="213"/>
      <c r="G24" s="214"/>
      <c r="H24" s="216"/>
      <c r="I24" s="216"/>
      <c r="J24" s="216"/>
      <c r="K24" s="216"/>
      <c r="L24" s="216" t="s">
        <v>262</v>
      </c>
      <c r="M24" s="216"/>
      <c r="N24" s="216"/>
      <c r="O24" s="216"/>
      <c r="P24" s="95" t="s">
        <v>143</v>
      </c>
    </row>
    <row r="25" spans="1:16" ht="72.75" customHeight="1" thickBot="1" x14ac:dyDescent="0.25">
      <c r="A25" s="101" t="s">
        <v>53</v>
      </c>
      <c r="B25" s="212" t="s">
        <v>264</v>
      </c>
      <c r="C25" s="213"/>
      <c r="D25" s="213"/>
      <c r="E25" s="213"/>
      <c r="F25" s="213"/>
      <c r="G25" s="214"/>
      <c r="H25" s="216"/>
      <c r="I25" s="216"/>
      <c r="J25" s="216"/>
      <c r="K25" s="216"/>
      <c r="L25" s="216" t="s">
        <v>265</v>
      </c>
      <c r="M25" s="216"/>
      <c r="N25" s="216"/>
      <c r="O25" s="216"/>
      <c r="P25" s="95" t="s">
        <v>143</v>
      </c>
    </row>
    <row r="26" spans="1:16" ht="104.25" customHeight="1" thickBot="1" x14ac:dyDescent="0.25">
      <c r="A26" s="101" t="s">
        <v>54</v>
      </c>
      <c r="B26" s="212" t="s">
        <v>268</v>
      </c>
      <c r="C26" s="213"/>
      <c r="D26" s="213"/>
      <c r="E26" s="213"/>
      <c r="F26" s="213"/>
      <c r="G26" s="214"/>
      <c r="H26" s="216"/>
      <c r="I26" s="216"/>
      <c r="J26" s="216"/>
      <c r="K26" s="216"/>
      <c r="L26" s="216"/>
      <c r="M26" s="216"/>
      <c r="N26" s="216"/>
      <c r="O26" s="216"/>
      <c r="P26" s="95"/>
    </row>
    <row r="27" spans="1:16" ht="29.25" customHeight="1" x14ac:dyDescent="0.2">
      <c r="A27" s="101" t="s">
        <v>55</v>
      </c>
      <c r="B27" s="217"/>
      <c r="C27" s="218"/>
      <c r="D27" s="218"/>
      <c r="E27" s="218"/>
      <c r="F27" s="218"/>
      <c r="G27" s="219"/>
      <c r="H27" s="216"/>
      <c r="I27" s="216"/>
      <c r="J27" s="216"/>
      <c r="K27" s="216"/>
      <c r="L27" s="216"/>
      <c r="M27" s="216"/>
      <c r="N27" s="216"/>
      <c r="O27" s="216"/>
      <c r="P27" s="95"/>
    </row>
    <row r="28" spans="1:16" ht="29.25" customHeight="1" x14ac:dyDescent="0.2">
      <c r="A28" s="101" t="s">
        <v>56</v>
      </c>
      <c r="B28" s="217"/>
      <c r="C28" s="218"/>
      <c r="D28" s="218"/>
      <c r="E28" s="218"/>
      <c r="F28" s="218"/>
      <c r="G28" s="219"/>
      <c r="H28" s="216"/>
      <c r="I28" s="216"/>
      <c r="J28" s="216"/>
      <c r="K28" s="216"/>
      <c r="L28" s="216"/>
      <c r="M28" s="216"/>
      <c r="N28" s="216"/>
      <c r="O28" s="216"/>
      <c r="P28" s="95"/>
    </row>
    <row r="29" spans="1:16" ht="29.25" customHeight="1" x14ac:dyDescent="0.2">
      <c r="A29" s="101" t="s">
        <v>57</v>
      </c>
      <c r="B29" s="217"/>
      <c r="C29" s="218"/>
      <c r="D29" s="218"/>
      <c r="E29" s="218"/>
      <c r="F29" s="218"/>
      <c r="G29" s="219"/>
      <c r="H29" s="216"/>
      <c r="I29" s="216"/>
      <c r="J29" s="216"/>
      <c r="K29" s="216"/>
      <c r="L29" s="216"/>
      <c r="M29" s="216"/>
      <c r="N29" s="216"/>
      <c r="O29" s="216"/>
      <c r="P29" s="95"/>
    </row>
    <row r="30" spans="1:16" ht="45.75" customHeight="1" thickBot="1" x14ac:dyDescent="0.25">
      <c r="A30" s="102" t="s">
        <v>58</v>
      </c>
      <c r="B30" s="212"/>
      <c r="C30" s="213"/>
      <c r="D30" s="213"/>
      <c r="E30" s="213"/>
      <c r="F30" s="213"/>
      <c r="G30" s="214"/>
      <c r="H30" s="215"/>
      <c r="I30" s="215"/>
      <c r="J30" s="215"/>
      <c r="K30" s="215"/>
      <c r="L30" s="215"/>
      <c r="M30" s="215"/>
      <c r="N30" s="215"/>
      <c r="O30" s="215"/>
      <c r="P30" s="96"/>
    </row>
    <row r="31" spans="1:16" ht="29.25" customHeight="1" thickBot="1" x14ac:dyDescent="0.25">
      <c r="A31" s="102" t="s">
        <v>145</v>
      </c>
      <c r="B31" s="217"/>
      <c r="C31" s="218"/>
      <c r="D31" s="218"/>
      <c r="E31" s="218"/>
      <c r="F31" s="218"/>
      <c r="G31" s="219"/>
      <c r="H31" s="216"/>
      <c r="I31" s="216"/>
      <c r="J31" s="216"/>
      <c r="K31" s="216"/>
      <c r="L31" s="216"/>
      <c r="M31" s="216"/>
      <c r="N31" s="216"/>
      <c r="O31" s="216"/>
      <c r="P31" s="95"/>
    </row>
    <row r="32" spans="1:16" ht="55.5" customHeight="1" thickBot="1" x14ac:dyDescent="0.25">
      <c r="A32" s="102" t="s">
        <v>146</v>
      </c>
      <c r="B32" s="217"/>
      <c r="C32" s="218"/>
      <c r="D32" s="218"/>
      <c r="E32" s="218"/>
      <c r="F32" s="218"/>
      <c r="G32" s="219"/>
      <c r="H32" s="216"/>
      <c r="I32" s="216"/>
      <c r="J32" s="216"/>
      <c r="K32" s="216"/>
      <c r="L32" s="216"/>
      <c r="M32" s="216"/>
      <c r="N32" s="216"/>
      <c r="O32" s="216"/>
      <c r="P32" s="95"/>
    </row>
    <row r="33" spans="1:16" ht="45.75" customHeight="1" thickBot="1" x14ac:dyDescent="0.25">
      <c r="A33" s="102" t="s">
        <v>147</v>
      </c>
      <c r="B33" s="212"/>
      <c r="C33" s="213"/>
      <c r="D33" s="213"/>
      <c r="E33" s="213"/>
      <c r="F33" s="213"/>
      <c r="G33" s="214"/>
      <c r="H33" s="215"/>
      <c r="I33" s="215"/>
      <c r="J33" s="215"/>
      <c r="K33" s="215"/>
      <c r="L33" s="215"/>
      <c r="M33" s="215"/>
      <c r="N33" s="215"/>
      <c r="O33" s="215"/>
      <c r="P33" s="95"/>
    </row>
    <row r="34" spans="1:16" ht="45.75" customHeight="1" thickBot="1" x14ac:dyDescent="0.25">
      <c r="A34" s="102" t="s">
        <v>148</v>
      </c>
      <c r="B34" s="217"/>
      <c r="C34" s="218"/>
      <c r="D34" s="218"/>
      <c r="E34" s="218"/>
      <c r="F34" s="218"/>
      <c r="G34" s="219"/>
      <c r="H34" s="216"/>
      <c r="I34" s="216"/>
      <c r="J34" s="216"/>
      <c r="K34" s="216"/>
      <c r="L34" s="216"/>
      <c r="M34" s="216"/>
      <c r="N34" s="216"/>
      <c r="O34" s="216"/>
      <c r="P34" s="95"/>
    </row>
    <row r="35" spans="1:16" ht="48" customHeight="1" thickBot="1" x14ac:dyDescent="0.25">
      <c r="A35" s="102" t="s">
        <v>149</v>
      </c>
      <c r="B35" s="217"/>
      <c r="C35" s="218"/>
      <c r="D35" s="218"/>
      <c r="E35" s="218"/>
      <c r="F35" s="218"/>
      <c r="G35" s="219"/>
      <c r="H35" s="216"/>
      <c r="I35" s="216"/>
      <c r="J35" s="216"/>
      <c r="K35" s="216"/>
      <c r="L35" s="216"/>
      <c r="M35" s="216"/>
      <c r="N35" s="216"/>
      <c r="O35" s="216"/>
      <c r="P35" s="95"/>
    </row>
    <row r="36" spans="1:16" ht="45.75" customHeight="1" thickBot="1" x14ac:dyDescent="0.25">
      <c r="A36" s="102" t="s">
        <v>150</v>
      </c>
      <c r="B36" s="212"/>
      <c r="C36" s="213"/>
      <c r="D36" s="213"/>
      <c r="E36" s="213"/>
      <c r="F36" s="213"/>
      <c r="G36" s="214"/>
      <c r="H36" s="215"/>
      <c r="I36" s="215"/>
      <c r="J36" s="215"/>
      <c r="K36" s="215"/>
      <c r="L36" s="216"/>
      <c r="M36" s="216"/>
      <c r="N36" s="216"/>
      <c r="O36" s="216"/>
      <c r="P36" s="96"/>
    </row>
    <row r="37" spans="1:16" ht="66" customHeight="1" thickBot="1" x14ac:dyDescent="0.25">
      <c r="A37" s="102" t="s">
        <v>151</v>
      </c>
      <c r="B37" s="212"/>
      <c r="C37" s="213"/>
      <c r="D37" s="213"/>
      <c r="E37" s="213"/>
      <c r="F37" s="213"/>
      <c r="G37" s="214"/>
      <c r="H37" s="215"/>
      <c r="I37" s="215"/>
      <c r="J37" s="215"/>
      <c r="K37" s="215"/>
      <c r="L37" s="216"/>
      <c r="M37" s="216"/>
      <c r="N37" s="216"/>
      <c r="O37" s="216"/>
      <c r="P37" s="96"/>
    </row>
    <row r="38" spans="1:16" ht="45.75" customHeight="1" thickBot="1" x14ac:dyDescent="0.25">
      <c r="A38" s="102" t="s">
        <v>152</v>
      </c>
      <c r="B38" s="212"/>
      <c r="C38" s="213"/>
      <c r="D38" s="213"/>
      <c r="E38" s="213"/>
      <c r="F38" s="213"/>
      <c r="G38" s="214"/>
      <c r="H38" s="215"/>
      <c r="I38" s="215"/>
      <c r="J38" s="215"/>
      <c r="K38" s="215"/>
      <c r="L38" s="215"/>
      <c r="M38" s="215"/>
      <c r="N38" s="215"/>
      <c r="O38" s="215"/>
      <c r="P38" s="96"/>
    </row>
    <row r="39" spans="1:16" ht="45.75" customHeight="1" thickBot="1" x14ac:dyDescent="0.25">
      <c r="A39" s="102" t="s">
        <v>153</v>
      </c>
      <c r="B39" s="212"/>
      <c r="C39" s="213"/>
      <c r="D39" s="213"/>
      <c r="E39" s="213"/>
      <c r="F39" s="213"/>
      <c r="G39" s="214"/>
      <c r="H39" s="215"/>
      <c r="I39" s="215"/>
      <c r="J39" s="215"/>
      <c r="K39" s="215"/>
      <c r="L39" s="215"/>
      <c r="M39" s="215"/>
      <c r="N39" s="215"/>
      <c r="O39" s="215"/>
      <c r="P39" s="96"/>
    </row>
    <row r="40" spans="1:16" ht="45.75" customHeight="1" thickBot="1" x14ac:dyDescent="0.25">
      <c r="A40" s="102" t="s">
        <v>184</v>
      </c>
      <c r="B40" s="212"/>
      <c r="C40" s="213"/>
      <c r="D40" s="213"/>
      <c r="E40" s="213"/>
      <c r="F40" s="213"/>
      <c r="G40" s="214"/>
      <c r="H40" s="215"/>
      <c r="I40" s="215"/>
      <c r="J40" s="215"/>
      <c r="K40" s="215"/>
      <c r="L40" s="215"/>
      <c r="M40" s="215"/>
      <c r="N40" s="215"/>
      <c r="O40" s="215"/>
      <c r="P40" s="96"/>
    </row>
    <row r="41" spans="1:16" ht="45.75" customHeight="1" thickBot="1" x14ac:dyDescent="0.25">
      <c r="A41" s="102" t="s">
        <v>185</v>
      </c>
      <c r="B41" s="212"/>
      <c r="C41" s="213"/>
      <c r="D41" s="213"/>
      <c r="E41" s="213"/>
      <c r="F41" s="213"/>
      <c r="G41" s="214"/>
      <c r="H41" s="215"/>
      <c r="I41" s="215"/>
      <c r="J41" s="215"/>
      <c r="K41" s="215"/>
      <c r="L41" s="215"/>
      <c r="M41" s="215"/>
      <c r="N41" s="215"/>
      <c r="O41" s="215"/>
      <c r="P41" s="96"/>
    </row>
    <row r="42" spans="1:16" ht="45.75" customHeight="1" thickBot="1" x14ac:dyDescent="0.25">
      <c r="A42" s="102" t="s">
        <v>186</v>
      </c>
      <c r="B42" s="212"/>
      <c r="C42" s="213"/>
      <c r="D42" s="213"/>
      <c r="E42" s="213"/>
      <c r="F42" s="213"/>
      <c r="G42" s="214"/>
      <c r="H42" s="215"/>
      <c r="I42" s="215"/>
      <c r="J42" s="215"/>
      <c r="K42" s="215"/>
      <c r="L42" s="215"/>
      <c r="M42" s="215"/>
      <c r="N42" s="215"/>
      <c r="O42" s="215"/>
      <c r="P42" s="96"/>
    </row>
    <row r="43" spans="1:16" ht="45.75" customHeight="1" thickBot="1" x14ac:dyDescent="0.25">
      <c r="A43" s="102" t="s">
        <v>187</v>
      </c>
      <c r="B43" s="212"/>
      <c r="C43" s="213"/>
      <c r="D43" s="213"/>
      <c r="E43" s="213"/>
      <c r="F43" s="213"/>
      <c r="G43" s="214"/>
      <c r="H43" s="215"/>
      <c r="I43" s="215"/>
      <c r="J43" s="215"/>
      <c r="K43" s="215"/>
      <c r="L43" s="215"/>
      <c r="M43" s="215"/>
      <c r="N43" s="215"/>
      <c r="O43" s="215"/>
      <c r="P43" s="96"/>
    </row>
    <row r="44" spans="1:16" ht="45.75" customHeight="1" thickBot="1" x14ac:dyDescent="0.25">
      <c r="A44" s="102" t="s">
        <v>188</v>
      </c>
      <c r="B44" s="212"/>
      <c r="C44" s="213"/>
      <c r="D44" s="213"/>
      <c r="E44" s="213"/>
      <c r="F44" s="213"/>
      <c r="G44" s="214"/>
      <c r="H44" s="215"/>
      <c r="I44" s="215"/>
      <c r="J44" s="215"/>
      <c r="K44" s="215"/>
      <c r="L44" s="215"/>
      <c r="M44" s="215"/>
      <c r="N44" s="215"/>
      <c r="O44" s="215"/>
      <c r="P44" s="96"/>
    </row>
    <row r="45" spans="1:16" ht="45.75" customHeight="1" thickBot="1" x14ac:dyDescent="0.25">
      <c r="A45" s="102" t="s">
        <v>189</v>
      </c>
      <c r="B45" s="212"/>
      <c r="C45" s="213"/>
      <c r="D45" s="213"/>
      <c r="E45" s="213"/>
      <c r="F45" s="213"/>
      <c r="G45" s="214"/>
      <c r="H45" s="215"/>
      <c r="I45" s="215"/>
      <c r="J45" s="215"/>
      <c r="K45" s="215"/>
      <c r="L45" s="215"/>
      <c r="M45" s="215"/>
      <c r="N45" s="215"/>
      <c r="O45" s="215"/>
      <c r="P45" s="96"/>
    </row>
    <row r="46" spans="1:16" ht="45.75" customHeight="1" thickBot="1" x14ac:dyDescent="0.25">
      <c r="A46" s="102" t="s">
        <v>190</v>
      </c>
      <c r="B46" s="212"/>
      <c r="C46" s="213"/>
      <c r="D46" s="213"/>
      <c r="E46" s="213"/>
      <c r="F46" s="213"/>
      <c r="G46" s="214"/>
      <c r="H46" s="215"/>
      <c r="I46" s="215"/>
      <c r="J46" s="215"/>
      <c r="K46" s="215"/>
      <c r="L46" s="215"/>
      <c r="M46" s="215"/>
      <c r="N46" s="215"/>
      <c r="O46" s="215"/>
      <c r="P46" s="96"/>
    </row>
    <row r="47" spans="1:16" ht="45.75" customHeight="1" thickBot="1" x14ac:dyDescent="0.25">
      <c r="A47" s="102" t="s">
        <v>191</v>
      </c>
      <c r="B47" s="212"/>
      <c r="C47" s="213"/>
      <c r="D47" s="213"/>
      <c r="E47" s="213"/>
      <c r="F47" s="213"/>
      <c r="G47" s="214"/>
      <c r="H47" s="215"/>
      <c r="I47" s="215"/>
      <c r="J47" s="215"/>
      <c r="K47" s="215"/>
      <c r="L47" s="215"/>
      <c r="M47" s="215"/>
      <c r="N47" s="215"/>
      <c r="O47" s="215"/>
      <c r="P47" s="96"/>
    </row>
    <row r="48" spans="1:16" ht="45.75" customHeight="1" thickBot="1" x14ac:dyDescent="0.25">
      <c r="A48" s="102" t="s">
        <v>192</v>
      </c>
      <c r="B48" s="212"/>
      <c r="C48" s="213"/>
      <c r="D48" s="213"/>
      <c r="E48" s="213"/>
      <c r="F48" s="213"/>
      <c r="G48" s="214"/>
      <c r="H48" s="215"/>
      <c r="I48" s="215"/>
      <c r="J48" s="215"/>
      <c r="K48" s="215"/>
      <c r="L48" s="215"/>
      <c r="M48" s="215"/>
      <c r="N48" s="215"/>
      <c r="O48" s="215"/>
      <c r="P48" s="96"/>
    </row>
    <row r="49" spans="1:16" ht="45.75" customHeight="1" thickBot="1" x14ac:dyDescent="0.25">
      <c r="A49" s="102" t="s">
        <v>193</v>
      </c>
      <c r="B49" s="212"/>
      <c r="C49" s="213"/>
      <c r="D49" s="213"/>
      <c r="E49" s="213"/>
      <c r="F49" s="213"/>
      <c r="G49" s="214"/>
      <c r="H49" s="215"/>
      <c r="I49" s="215"/>
      <c r="J49" s="215"/>
      <c r="K49" s="215"/>
      <c r="L49" s="215"/>
      <c r="M49" s="215"/>
      <c r="N49" s="215"/>
      <c r="O49" s="215"/>
      <c r="P49" s="96"/>
    </row>
    <row r="50" spans="1:16" ht="45.75" customHeight="1" thickBot="1" x14ac:dyDescent="0.25">
      <c r="A50" s="102" t="s">
        <v>194</v>
      </c>
      <c r="B50" s="212"/>
      <c r="C50" s="213"/>
      <c r="D50" s="213"/>
      <c r="E50" s="213"/>
      <c r="F50" s="213"/>
      <c r="G50" s="214"/>
      <c r="H50" s="215"/>
      <c r="I50" s="215"/>
      <c r="J50" s="215"/>
      <c r="K50" s="215"/>
      <c r="L50" s="215"/>
      <c r="M50" s="215"/>
      <c r="N50" s="215"/>
      <c r="O50" s="215"/>
      <c r="P50" s="96"/>
    </row>
  </sheetData>
  <mergeCells count="97">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 ref="B36:G36"/>
    <mergeCell ref="H36:K36"/>
    <mergeCell ref="L36:O36"/>
    <mergeCell ref="B37:G37"/>
    <mergeCell ref="H37:K37"/>
    <mergeCell ref="L37:O37"/>
    <mergeCell ref="B38:G38"/>
    <mergeCell ref="H38:K38"/>
    <mergeCell ref="L38:O38"/>
    <mergeCell ref="B39:G39"/>
    <mergeCell ref="H39:K39"/>
    <mergeCell ref="L39:O39"/>
    <mergeCell ref="B40:G40"/>
    <mergeCell ref="H40:K40"/>
    <mergeCell ref="L40:O40"/>
    <mergeCell ref="B41:G41"/>
    <mergeCell ref="H41:K41"/>
    <mergeCell ref="L41:O41"/>
    <mergeCell ref="B42:G42"/>
    <mergeCell ref="H42:K42"/>
    <mergeCell ref="L42:O42"/>
    <mergeCell ref="B43:G43"/>
    <mergeCell ref="H43:K43"/>
    <mergeCell ref="L43:O43"/>
    <mergeCell ref="B44:G44"/>
    <mergeCell ref="H44:K44"/>
    <mergeCell ref="L44:O44"/>
    <mergeCell ref="B45:G45"/>
    <mergeCell ref="H45:K45"/>
    <mergeCell ref="L45:O45"/>
    <mergeCell ref="B46:G46"/>
    <mergeCell ref="H46:K46"/>
    <mergeCell ref="L46:O46"/>
    <mergeCell ref="B47:G47"/>
    <mergeCell ref="H47:K47"/>
    <mergeCell ref="L47:O47"/>
    <mergeCell ref="B48:G48"/>
    <mergeCell ref="H48:K48"/>
    <mergeCell ref="L48:O48"/>
    <mergeCell ref="B49:G49"/>
    <mergeCell ref="H49:K49"/>
    <mergeCell ref="L49:O49"/>
    <mergeCell ref="B50:G50"/>
    <mergeCell ref="H50:K50"/>
    <mergeCell ref="L50:O50"/>
  </mergeCells>
  <conditionalFormatting sqref="B9:B10">
    <cfRule type="cellIs" dxfId="898" priority="33" operator="equal">
      <formula>"Nok"</formula>
    </cfRule>
    <cfRule type="cellIs" dxfId="897" priority="34" operator="equal">
      <formula>"Ok"</formula>
    </cfRule>
  </conditionalFormatting>
  <conditionalFormatting sqref="P22:P30">
    <cfRule type="cellIs" dxfId="896" priority="31" operator="equal">
      <formula>"Nok"</formula>
    </cfRule>
    <cfRule type="cellIs" dxfId="895" priority="32" operator="equal">
      <formula>"Ok"</formula>
    </cfRule>
  </conditionalFormatting>
  <conditionalFormatting sqref="P31:P35">
    <cfRule type="cellIs" dxfId="894" priority="29" operator="equal">
      <formula>"Nok"</formula>
    </cfRule>
    <cfRule type="cellIs" dxfId="893" priority="30" operator="equal">
      <formula>"Ok"</formula>
    </cfRule>
  </conditionalFormatting>
  <conditionalFormatting sqref="P36:P37">
    <cfRule type="cellIs" dxfId="892" priority="27" operator="equal">
      <formula>"Nok"</formula>
    </cfRule>
    <cfRule type="cellIs" dxfId="891" priority="28" operator="equal">
      <formula>"Ok"</formula>
    </cfRule>
  </conditionalFormatting>
  <conditionalFormatting sqref="P38">
    <cfRule type="cellIs" dxfId="890" priority="25" operator="equal">
      <formula>"Nok"</formula>
    </cfRule>
    <cfRule type="cellIs" dxfId="889" priority="26" operator="equal">
      <formula>"Ok"</formula>
    </cfRule>
  </conditionalFormatting>
  <conditionalFormatting sqref="P39">
    <cfRule type="cellIs" dxfId="888" priority="23" operator="equal">
      <formula>"Nok"</formula>
    </cfRule>
    <cfRule type="cellIs" dxfId="887" priority="24" operator="equal">
      <formula>"Ok"</formula>
    </cfRule>
  </conditionalFormatting>
  <conditionalFormatting sqref="P40">
    <cfRule type="cellIs" dxfId="886" priority="21" operator="equal">
      <formula>"Nok"</formula>
    </cfRule>
    <cfRule type="cellIs" dxfId="885" priority="22" operator="equal">
      <formula>"Ok"</formula>
    </cfRule>
  </conditionalFormatting>
  <conditionalFormatting sqref="P41">
    <cfRule type="cellIs" dxfId="884" priority="19" operator="equal">
      <formula>"Nok"</formula>
    </cfRule>
    <cfRule type="cellIs" dxfId="883" priority="20" operator="equal">
      <formula>"Ok"</formula>
    </cfRule>
  </conditionalFormatting>
  <conditionalFormatting sqref="P42">
    <cfRule type="cellIs" dxfId="882" priority="17" operator="equal">
      <formula>"Nok"</formula>
    </cfRule>
    <cfRule type="cellIs" dxfId="881" priority="18" operator="equal">
      <formula>"Ok"</formula>
    </cfRule>
  </conditionalFormatting>
  <conditionalFormatting sqref="P43">
    <cfRule type="cellIs" dxfId="880" priority="15" operator="equal">
      <formula>"Nok"</formula>
    </cfRule>
    <cfRule type="cellIs" dxfId="879" priority="16" operator="equal">
      <formula>"Ok"</formula>
    </cfRule>
  </conditionalFormatting>
  <conditionalFormatting sqref="P44">
    <cfRule type="cellIs" dxfId="878" priority="13" operator="equal">
      <formula>"Nok"</formula>
    </cfRule>
    <cfRule type="cellIs" dxfId="877" priority="14" operator="equal">
      <formula>"Ok"</formula>
    </cfRule>
  </conditionalFormatting>
  <conditionalFormatting sqref="P45">
    <cfRule type="cellIs" dxfId="876" priority="11" operator="equal">
      <formula>"Nok"</formula>
    </cfRule>
    <cfRule type="cellIs" dxfId="875" priority="12" operator="equal">
      <formula>"Ok"</formula>
    </cfRule>
  </conditionalFormatting>
  <conditionalFormatting sqref="P46">
    <cfRule type="cellIs" dxfId="874" priority="9" operator="equal">
      <formula>"Nok"</formula>
    </cfRule>
    <cfRule type="cellIs" dxfId="873" priority="10" operator="equal">
      <formula>"Ok"</formula>
    </cfRule>
  </conditionalFormatting>
  <conditionalFormatting sqref="P47">
    <cfRule type="cellIs" dxfId="872" priority="7" operator="equal">
      <formula>"Nok"</formula>
    </cfRule>
    <cfRule type="cellIs" dxfId="871" priority="8" operator="equal">
      <formula>"Ok"</formula>
    </cfRule>
  </conditionalFormatting>
  <conditionalFormatting sqref="P48">
    <cfRule type="cellIs" dxfId="870" priority="5" operator="equal">
      <formula>"Nok"</formula>
    </cfRule>
    <cfRule type="cellIs" dxfId="869" priority="6" operator="equal">
      <formula>"Ok"</formula>
    </cfRule>
  </conditionalFormatting>
  <conditionalFormatting sqref="P49">
    <cfRule type="cellIs" dxfId="868" priority="3" operator="equal">
      <formula>"Nok"</formula>
    </cfRule>
    <cfRule type="cellIs" dxfId="867" priority="4" operator="equal">
      <formula>"Ok"</formula>
    </cfRule>
  </conditionalFormatting>
  <conditionalFormatting sqref="P50">
    <cfRule type="cellIs" dxfId="866" priority="1" operator="equal">
      <formula>"Nok"</formula>
    </cfRule>
    <cfRule type="cellIs" dxfId="865" priority="2" operator="equal">
      <formula>"Ok"</formula>
    </cfRule>
  </conditionalFormatting>
  <dataValidations count="3">
    <dataValidation type="list" allowBlank="1" showInputMessage="1" showErrorMessage="1" sqref="P22:P50">
      <formula1>"Ok, Nok, Not run, ,"</formula1>
    </dataValidation>
    <dataValidation type="list" allowBlank="1" showInputMessage="1" showErrorMessage="1" sqref="B9">
      <formula1>"Ok, Nok, Not run, NA"</formula1>
    </dataValidation>
    <dataValidation type="list" allowBlank="1" showInputMessage="1" showErrorMessage="1" sqref="B5">
      <formula1>"Nominal, Robustness, Endurance, Qualification"</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workbookViewId="0">
      <selection activeCell="B3" sqref="B3:G3"/>
    </sheetView>
  </sheetViews>
  <sheetFormatPr defaultRowHeight="12.75" x14ac:dyDescent="0.2"/>
  <cols>
    <col min="1" max="1" width="20.140625" style="97" customWidth="1"/>
    <col min="2" max="2" width="18.42578125" style="93" customWidth="1"/>
    <col min="3" max="7" width="9.140625" style="93"/>
    <col min="8" max="15" width="9.5703125" style="93" customWidth="1"/>
    <col min="16" max="16384" width="9.140625" style="93"/>
  </cols>
  <sheetData>
    <row r="1" spans="1:15" ht="13.5" thickBot="1" x14ac:dyDescent="0.25">
      <c r="A1" s="98" t="s">
        <v>41</v>
      </c>
      <c r="B1" s="234" t="s">
        <v>255</v>
      </c>
      <c r="C1" s="235"/>
      <c r="D1" s="235"/>
      <c r="E1" s="235"/>
      <c r="F1" s="235"/>
      <c r="G1" s="236"/>
      <c r="H1" s="73"/>
      <c r="I1" s="73"/>
      <c r="J1" s="73"/>
      <c r="K1" s="73"/>
      <c r="L1" s="73"/>
      <c r="M1" s="73"/>
      <c r="N1" s="73"/>
      <c r="O1" s="73"/>
    </row>
    <row r="2" spans="1:15" ht="13.5" thickBot="1" x14ac:dyDescent="0.25">
      <c r="A2" s="71"/>
      <c r="B2" s="72"/>
      <c r="C2" s="72"/>
      <c r="D2" s="73"/>
      <c r="E2" s="73"/>
      <c r="F2" s="73"/>
      <c r="G2" s="73"/>
      <c r="H2" s="73"/>
      <c r="I2" s="73"/>
      <c r="J2" s="73"/>
      <c r="K2" s="73"/>
      <c r="L2" s="73"/>
      <c r="M2" s="73"/>
      <c r="N2" s="73"/>
      <c r="O2" s="73"/>
    </row>
    <row r="3" spans="1:15" ht="61.5" customHeight="1" thickBot="1" x14ac:dyDescent="0.25">
      <c r="A3" s="99" t="s">
        <v>46</v>
      </c>
      <c r="B3" s="237" t="s">
        <v>341</v>
      </c>
      <c r="C3" s="238"/>
      <c r="D3" s="238"/>
      <c r="E3" s="238"/>
      <c r="F3" s="238"/>
      <c r="G3" s="239"/>
      <c r="H3" s="73"/>
      <c r="I3" s="73"/>
      <c r="J3" s="73"/>
      <c r="K3" s="73"/>
      <c r="L3" s="73"/>
      <c r="M3" s="73"/>
      <c r="N3" s="73"/>
      <c r="O3" s="73"/>
    </row>
    <row r="4" spans="1:15" ht="13.5" thickBot="1" x14ac:dyDescent="0.25">
      <c r="A4" s="71"/>
      <c r="B4" s="72"/>
      <c r="C4" s="72"/>
      <c r="D4" s="73"/>
      <c r="E4" s="73"/>
      <c r="F4" s="73"/>
      <c r="G4" s="73"/>
      <c r="H4" s="73"/>
      <c r="I4" s="73"/>
      <c r="J4" s="73"/>
      <c r="K4" s="73"/>
      <c r="L4" s="73"/>
      <c r="M4" s="73"/>
      <c r="N4" s="73"/>
      <c r="O4" s="73"/>
    </row>
    <row r="5" spans="1:15" ht="13.5" thickBot="1" x14ac:dyDescent="0.25">
      <c r="A5" s="98" t="s">
        <v>111</v>
      </c>
      <c r="B5" s="76" t="s">
        <v>142</v>
      </c>
      <c r="C5" s="72"/>
      <c r="D5" s="73"/>
      <c r="E5" s="73"/>
      <c r="F5" s="73"/>
      <c r="G5" s="73"/>
      <c r="H5" s="73"/>
      <c r="I5" s="73"/>
      <c r="J5" s="73"/>
      <c r="K5" s="73"/>
      <c r="L5" s="73"/>
      <c r="M5" s="73"/>
      <c r="N5" s="73"/>
      <c r="O5" s="73"/>
    </row>
    <row r="6" spans="1:15" ht="13.5" thickBot="1" x14ac:dyDescent="0.25">
      <c r="A6" s="71"/>
      <c r="B6" s="72"/>
      <c r="C6" s="72"/>
      <c r="D6" s="73"/>
      <c r="E6" s="73"/>
      <c r="F6" s="73"/>
      <c r="G6" s="73"/>
      <c r="H6" s="73"/>
      <c r="I6" s="73"/>
      <c r="J6" s="73"/>
      <c r="K6" s="73"/>
      <c r="L6" s="73"/>
      <c r="M6" s="73"/>
      <c r="N6" s="73"/>
      <c r="O6" s="73"/>
    </row>
    <row r="7" spans="1:15" ht="30.75" customHeight="1" thickBot="1" x14ac:dyDescent="0.25">
      <c r="A7" s="98" t="s">
        <v>42</v>
      </c>
      <c r="B7" s="237" t="s">
        <v>252</v>
      </c>
      <c r="C7" s="238"/>
      <c r="D7" s="238"/>
      <c r="E7" s="238"/>
      <c r="F7" s="238"/>
      <c r="G7" s="239"/>
      <c r="H7" s="73"/>
      <c r="I7" s="73"/>
      <c r="J7" s="73"/>
      <c r="K7" s="73"/>
      <c r="L7" s="73"/>
      <c r="M7" s="73"/>
      <c r="N7" s="73"/>
      <c r="O7" s="73"/>
    </row>
    <row r="8" spans="1:15" ht="13.5" thickBot="1" x14ac:dyDescent="0.25">
      <c r="A8" s="75"/>
      <c r="B8" s="74"/>
      <c r="C8" s="74"/>
      <c r="D8" s="74"/>
      <c r="E8" s="74"/>
      <c r="F8" s="74"/>
      <c r="G8" s="74"/>
      <c r="H8" s="73"/>
      <c r="I8" s="73"/>
      <c r="J8" s="73"/>
      <c r="K8" s="73"/>
      <c r="L8" s="73"/>
      <c r="M8" s="73"/>
      <c r="N8" s="73"/>
      <c r="O8" s="73"/>
    </row>
    <row r="9" spans="1:15" ht="13.5" thickBot="1" x14ac:dyDescent="0.25">
      <c r="A9" s="98" t="s">
        <v>43</v>
      </c>
      <c r="B9" s="103" t="s">
        <v>144</v>
      </c>
      <c r="C9" s="72"/>
      <c r="D9" s="73"/>
      <c r="E9" s="73"/>
      <c r="F9" s="73"/>
      <c r="G9" s="73"/>
      <c r="H9" s="73"/>
      <c r="I9" s="73"/>
      <c r="J9" s="73"/>
      <c r="K9" s="73"/>
      <c r="L9" s="73"/>
      <c r="M9" s="73"/>
      <c r="N9" s="73"/>
      <c r="O9" s="73"/>
    </row>
    <row r="10" spans="1:15" ht="13.5" thickBot="1" x14ac:dyDescent="0.25">
      <c r="A10" s="75"/>
      <c r="B10" s="94"/>
      <c r="C10" s="72"/>
      <c r="D10" s="73"/>
      <c r="E10" s="73"/>
      <c r="F10" s="73"/>
      <c r="G10" s="73"/>
      <c r="H10" s="73"/>
      <c r="I10" s="73"/>
      <c r="J10" s="73"/>
      <c r="K10" s="73"/>
      <c r="L10" s="73"/>
      <c r="M10" s="73"/>
      <c r="N10" s="73"/>
      <c r="O10" s="73"/>
    </row>
    <row r="11" spans="1:15" ht="12" customHeight="1" x14ac:dyDescent="0.2">
      <c r="A11" s="223" t="s">
        <v>113</v>
      </c>
      <c r="B11" s="225"/>
      <c r="C11" s="226"/>
      <c r="D11" s="226"/>
      <c r="E11" s="226"/>
      <c r="F11" s="226"/>
      <c r="G11" s="227"/>
      <c r="H11" s="73"/>
      <c r="I11" s="73"/>
      <c r="J11" s="73"/>
      <c r="K11" s="73"/>
      <c r="L11" s="73"/>
      <c r="M11" s="73"/>
      <c r="N11" s="73"/>
      <c r="O11" s="73"/>
    </row>
    <row r="12" spans="1:15" x14ac:dyDescent="0.2">
      <c r="A12" s="224"/>
      <c r="B12" s="228"/>
      <c r="C12" s="229"/>
      <c r="D12" s="229"/>
      <c r="E12" s="229"/>
      <c r="F12" s="229"/>
      <c r="G12" s="230"/>
      <c r="H12" s="73"/>
      <c r="I12" s="73"/>
      <c r="J12" s="73"/>
      <c r="K12" s="73"/>
      <c r="L12" s="73"/>
      <c r="M12" s="73"/>
      <c r="N12" s="73"/>
      <c r="O12" s="73"/>
    </row>
    <row r="13" spans="1:15" x14ac:dyDescent="0.2">
      <c r="A13" s="224"/>
      <c r="B13" s="228"/>
      <c r="C13" s="229"/>
      <c r="D13" s="229"/>
      <c r="E13" s="229"/>
      <c r="F13" s="229"/>
      <c r="G13" s="230"/>
      <c r="H13" s="71"/>
      <c r="I13" s="73"/>
      <c r="J13" s="73"/>
      <c r="K13" s="73"/>
      <c r="L13" s="73"/>
      <c r="M13" s="73"/>
      <c r="N13" s="73"/>
      <c r="O13" s="73"/>
    </row>
    <row r="14" spans="1:15" ht="13.5" thickBot="1" x14ac:dyDescent="0.25">
      <c r="A14" s="224"/>
      <c r="B14" s="231"/>
      <c r="C14" s="232"/>
      <c r="D14" s="232"/>
      <c r="E14" s="232"/>
      <c r="F14" s="232"/>
      <c r="G14" s="233"/>
      <c r="H14" s="77"/>
      <c r="I14" s="73"/>
      <c r="J14" s="73"/>
      <c r="K14" s="73"/>
      <c r="L14" s="73"/>
      <c r="M14" s="73"/>
      <c r="N14" s="73"/>
      <c r="O14" s="73"/>
    </row>
    <row r="15" spans="1:15" ht="13.5" thickBot="1" x14ac:dyDescent="0.25">
      <c r="A15" s="71"/>
      <c r="B15" s="71"/>
      <c r="C15" s="71"/>
      <c r="D15" s="71"/>
      <c r="E15" s="71"/>
      <c r="F15" s="71"/>
      <c r="G15" s="71"/>
      <c r="H15" s="77"/>
      <c r="I15" s="73"/>
      <c r="J15" s="73"/>
      <c r="K15" s="73"/>
      <c r="L15" s="73"/>
      <c r="M15" s="73"/>
      <c r="N15" s="73"/>
      <c r="O15" s="73"/>
    </row>
    <row r="16" spans="1:15" x14ac:dyDescent="0.2">
      <c r="A16" s="223" t="s">
        <v>44</v>
      </c>
      <c r="B16" s="225"/>
      <c r="C16" s="226"/>
      <c r="D16" s="226"/>
      <c r="E16" s="226"/>
      <c r="F16" s="226"/>
      <c r="G16" s="227"/>
      <c r="H16" s="73"/>
      <c r="I16" s="73"/>
      <c r="J16" s="73"/>
      <c r="K16" s="73"/>
      <c r="L16" s="73"/>
      <c r="M16" s="73"/>
      <c r="N16" s="73"/>
      <c r="O16" s="73"/>
    </row>
    <row r="17" spans="1:16" x14ac:dyDescent="0.2">
      <c r="A17" s="224"/>
      <c r="B17" s="228"/>
      <c r="C17" s="229"/>
      <c r="D17" s="229"/>
      <c r="E17" s="229"/>
      <c r="F17" s="229"/>
      <c r="G17" s="230"/>
      <c r="H17" s="73"/>
      <c r="I17" s="73"/>
      <c r="J17" s="73"/>
      <c r="K17" s="73"/>
      <c r="L17" s="73"/>
      <c r="M17" s="73"/>
      <c r="N17" s="73"/>
      <c r="O17" s="73"/>
    </row>
    <row r="18" spans="1:16" x14ac:dyDescent="0.2">
      <c r="A18" s="224"/>
      <c r="B18" s="228"/>
      <c r="C18" s="229"/>
      <c r="D18" s="229"/>
      <c r="E18" s="229"/>
      <c r="F18" s="229"/>
      <c r="G18" s="230"/>
      <c r="H18" s="71"/>
      <c r="I18" s="73"/>
      <c r="J18" s="73"/>
      <c r="K18" s="73"/>
      <c r="L18" s="73"/>
      <c r="M18" s="73"/>
      <c r="N18" s="73"/>
      <c r="O18" s="73"/>
    </row>
    <row r="19" spans="1:16" ht="13.5" thickBot="1" x14ac:dyDescent="0.25">
      <c r="A19" s="224"/>
      <c r="B19" s="231"/>
      <c r="C19" s="232"/>
      <c r="D19" s="232"/>
      <c r="E19" s="232"/>
      <c r="F19" s="232"/>
      <c r="G19" s="233"/>
      <c r="H19" s="77"/>
      <c r="I19" s="73"/>
      <c r="J19" s="73"/>
      <c r="K19" s="73"/>
      <c r="L19" s="73"/>
      <c r="M19" s="73"/>
      <c r="N19" s="73"/>
      <c r="O19" s="73"/>
    </row>
    <row r="20" spans="1:16" ht="13.5" thickBot="1" x14ac:dyDescent="0.25">
      <c r="A20" s="71"/>
      <c r="B20" s="71"/>
      <c r="C20" s="71"/>
      <c r="D20" s="71"/>
      <c r="E20" s="71"/>
      <c r="F20" s="71"/>
      <c r="G20" s="71"/>
      <c r="H20" s="77"/>
      <c r="I20" s="73"/>
      <c r="J20" s="73"/>
      <c r="K20" s="73"/>
      <c r="L20" s="73"/>
      <c r="M20" s="73"/>
      <c r="N20" s="73"/>
      <c r="O20" s="73"/>
    </row>
    <row r="21" spans="1:16" ht="12.75" customHeight="1" x14ac:dyDescent="0.2">
      <c r="A21" s="220" t="s">
        <v>48</v>
      </c>
      <c r="B21" s="221"/>
      <c r="C21" s="221"/>
      <c r="D21" s="221"/>
      <c r="E21" s="221"/>
      <c r="F21" s="221"/>
      <c r="G21" s="222"/>
      <c r="H21" s="220" t="s">
        <v>49</v>
      </c>
      <c r="I21" s="221"/>
      <c r="J21" s="221"/>
      <c r="K21" s="222"/>
      <c r="L21" s="220" t="s">
        <v>60</v>
      </c>
      <c r="M21" s="221"/>
      <c r="N21" s="221"/>
      <c r="O21" s="222"/>
      <c r="P21" s="100" t="s">
        <v>47</v>
      </c>
    </row>
    <row r="22" spans="1:16" ht="84.75" customHeight="1" thickBot="1" x14ac:dyDescent="0.25">
      <c r="A22" s="101" t="s">
        <v>50</v>
      </c>
      <c r="B22" s="212" t="s">
        <v>257</v>
      </c>
      <c r="C22" s="213"/>
      <c r="D22" s="213"/>
      <c r="E22" s="213"/>
      <c r="F22" s="213"/>
      <c r="G22" s="214"/>
      <c r="H22" s="216"/>
      <c r="I22" s="216"/>
      <c r="J22" s="216"/>
      <c r="K22" s="216"/>
      <c r="L22" s="216" t="s">
        <v>256</v>
      </c>
      <c r="M22" s="216"/>
      <c r="N22" s="216"/>
      <c r="O22" s="216"/>
      <c r="P22" s="95" t="s">
        <v>144</v>
      </c>
    </row>
    <row r="23" spans="1:16" ht="42.75" customHeight="1" thickBot="1" x14ac:dyDescent="0.25">
      <c r="A23" s="101" t="s">
        <v>51</v>
      </c>
      <c r="B23" s="212" t="s">
        <v>258</v>
      </c>
      <c r="C23" s="213"/>
      <c r="D23" s="213"/>
      <c r="E23" s="213"/>
      <c r="F23" s="213"/>
      <c r="G23" s="214"/>
      <c r="H23" s="216"/>
      <c r="I23" s="216"/>
      <c r="J23" s="216"/>
      <c r="K23" s="216"/>
      <c r="L23" s="216" t="s">
        <v>259</v>
      </c>
      <c r="M23" s="216"/>
      <c r="N23" s="216"/>
      <c r="O23" s="216"/>
      <c r="P23" s="95" t="s">
        <v>144</v>
      </c>
    </row>
    <row r="24" spans="1:16" ht="82.5" customHeight="1" thickBot="1" x14ac:dyDescent="0.25">
      <c r="A24" s="101" t="s">
        <v>52</v>
      </c>
      <c r="B24" s="212" t="s">
        <v>260</v>
      </c>
      <c r="C24" s="213"/>
      <c r="D24" s="213"/>
      <c r="E24" s="213"/>
      <c r="F24" s="213"/>
      <c r="G24" s="214"/>
      <c r="H24" s="216"/>
      <c r="I24" s="216"/>
      <c r="J24" s="216"/>
      <c r="K24" s="216"/>
      <c r="L24" s="216" t="s">
        <v>259</v>
      </c>
      <c r="M24" s="216"/>
      <c r="N24" s="216"/>
      <c r="O24" s="216"/>
      <c r="P24" s="95" t="s">
        <v>144</v>
      </c>
    </row>
    <row r="25" spans="1:16" ht="84" customHeight="1" thickBot="1" x14ac:dyDescent="0.25">
      <c r="A25" s="101" t="s">
        <v>53</v>
      </c>
      <c r="B25" s="212" t="s">
        <v>276</v>
      </c>
      <c r="C25" s="213"/>
      <c r="D25" s="213"/>
      <c r="E25" s="213"/>
      <c r="F25" s="213"/>
      <c r="G25" s="214"/>
      <c r="H25" s="216"/>
      <c r="I25" s="216"/>
      <c r="J25" s="216"/>
      <c r="K25" s="216"/>
      <c r="L25" s="216"/>
      <c r="M25" s="216"/>
      <c r="N25" s="216"/>
      <c r="O25" s="216"/>
      <c r="P25" s="95" t="s">
        <v>144</v>
      </c>
    </row>
    <row r="26" spans="1:16" ht="79.5" customHeight="1" x14ac:dyDescent="0.2">
      <c r="A26" s="101" t="s">
        <v>54</v>
      </c>
      <c r="B26" s="217"/>
      <c r="C26" s="218"/>
      <c r="D26" s="218"/>
      <c r="E26" s="218"/>
      <c r="F26" s="218"/>
      <c r="G26" s="219"/>
      <c r="H26" s="216"/>
      <c r="I26" s="216"/>
      <c r="J26" s="216"/>
      <c r="K26" s="216"/>
      <c r="L26" s="216"/>
      <c r="M26" s="216"/>
      <c r="N26" s="216"/>
      <c r="O26" s="216"/>
      <c r="P26" s="95"/>
    </row>
    <row r="27" spans="1:16" ht="29.25" customHeight="1" x14ac:dyDescent="0.2">
      <c r="A27" s="101" t="s">
        <v>55</v>
      </c>
      <c r="B27" s="217"/>
      <c r="C27" s="218"/>
      <c r="D27" s="218"/>
      <c r="E27" s="218"/>
      <c r="F27" s="218"/>
      <c r="G27" s="219"/>
      <c r="H27" s="216"/>
      <c r="I27" s="216"/>
      <c r="J27" s="216"/>
      <c r="K27" s="216"/>
      <c r="L27" s="216"/>
      <c r="M27" s="216"/>
      <c r="N27" s="216"/>
      <c r="O27" s="216"/>
      <c r="P27" s="95"/>
    </row>
    <row r="28" spans="1:16" ht="29.25" customHeight="1" x14ac:dyDescent="0.2">
      <c r="A28" s="101" t="s">
        <v>56</v>
      </c>
      <c r="B28" s="217"/>
      <c r="C28" s="218"/>
      <c r="D28" s="218"/>
      <c r="E28" s="218"/>
      <c r="F28" s="218"/>
      <c r="G28" s="219"/>
      <c r="H28" s="216"/>
      <c r="I28" s="216"/>
      <c r="J28" s="216"/>
      <c r="K28" s="216"/>
      <c r="L28" s="216"/>
      <c r="M28" s="216"/>
      <c r="N28" s="216"/>
      <c r="O28" s="216"/>
      <c r="P28" s="95"/>
    </row>
    <row r="29" spans="1:16" ht="29.25" customHeight="1" x14ac:dyDescent="0.2">
      <c r="A29" s="101" t="s">
        <v>57</v>
      </c>
      <c r="B29" s="217"/>
      <c r="C29" s="218"/>
      <c r="D29" s="218"/>
      <c r="E29" s="218"/>
      <c r="F29" s="218"/>
      <c r="G29" s="219"/>
      <c r="H29" s="216"/>
      <c r="I29" s="216"/>
      <c r="J29" s="216"/>
      <c r="K29" s="216"/>
      <c r="L29" s="216"/>
      <c r="M29" s="216"/>
      <c r="N29" s="216"/>
      <c r="O29" s="216"/>
      <c r="P29" s="95"/>
    </row>
    <row r="30" spans="1:16" ht="45.75" customHeight="1" thickBot="1" x14ac:dyDescent="0.25">
      <c r="A30" s="102" t="s">
        <v>58</v>
      </c>
      <c r="B30" s="212"/>
      <c r="C30" s="213"/>
      <c r="D30" s="213"/>
      <c r="E30" s="213"/>
      <c r="F30" s="213"/>
      <c r="G30" s="214"/>
      <c r="H30" s="215"/>
      <c r="I30" s="215"/>
      <c r="J30" s="215"/>
      <c r="K30" s="215"/>
      <c r="L30" s="215"/>
      <c r="M30" s="215"/>
      <c r="N30" s="215"/>
      <c r="O30" s="215"/>
      <c r="P30" s="96"/>
    </row>
    <row r="31" spans="1:16" ht="29.25" customHeight="1" thickBot="1" x14ac:dyDescent="0.25">
      <c r="A31" s="102" t="s">
        <v>145</v>
      </c>
      <c r="B31" s="217"/>
      <c r="C31" s="218"/>
      <c r="D31" s="218"/>
      <c r="E31" s="218"/>
      <c r="F31" s="218"/>
      <c r="G31" s="219"/>
      <c r="H31" s="216"/>
      <c r="I31" s="216"/>
      <c r="J31" s="216"/>
      <c r="K31" s="216"/>
      <c r="L31" s="216"/>
      <c r="M31" s="216"/>
      <c r="N31" s="216"/>
      <c r="O31" s="216"/>
      <c r="P31" s="95"/>
    </row>
    <row r="32" spans="1:16" ht="55.5" customHeight="1" thickBot="1" x14ac:dyDescent="0.25">
      <c r="A32" s="102" t="s">
        <v>146</v>
      </c>
      <c r="B32" s="217"/>
      <c r="C32" s="218"/>
      <c r="D32" s="218"/>
      <c r="E32" s="218"/>
      <c r="F32" s="218"/>
      <c r="G32" s="219"/>
      <c r="H32" s="216"/>
      <c r="I32" s="216"/>
      <c r="J32" s="216"/>
      <c r="K32" s="216"/>
      <c r="L32" s="216"/>
      <c r="M32" s="216"/>
      <c r="N32" s="216"/>
      <c r="O32" s="216"/>
      <c r="P32" s="95"/>
    </row>
    <row r="33" spans="1:16" ht="45.75" customHeight="1" thickBot="1" x14ac:dyDescent="0.25">
      <c r="A33" s="102" t="s">
        <v>147</v>
      </c>
      <c r="B33" s="212"/>
      <c r="C33" s="213"/>
      <c r="D33" s="213"/>
      <c r="E33" s="213"/>
      <c r="F33" s="213"/>
      <c r="G33" s="214"/>
      <c r="H33" s="215"/>
      <c r="I33" s="215"/>
      <c r="J33" s="215"/>
      <c r="K33" s="215"/>
      <c r="L33" s="215"/>
      <c r="M33" s="215"/>
      <c r="N33" s="215"/>
      <c r="O33" s="215"/>
      <c r="P33" s="95"/>
    </row>
    <row r="34" spans="1:16" ht="45.75" customHeight="1" thickBot="1" x14ac:dyDescent="0.25">
      <c r="A34" s="102" t="s">
        <v>148</v>
      </c>
      <c r="B34" s="217"/>
      <c r="C34" s="218"/>
      <c r="D34" s="218"/>
      <c r="E34" s="218"/>
      <c r="F34" s="218"/>
      <c r="G34" s="219"/>
      <c r="H34" s="216"/>
      <c r="I34" s="216"/>
      <c r="J34" s="216"/>
      <c r="K34" s="216"/>
      <c r="L34" s="216"/>
      <c r="M34" s="216"/>
      <c r="N34" s="216"/>
      <c r="O34" s="216"/>
      <c r="P34" s="95"/>
    </row>
    <row r="35" spans="1:16" ht="48" customHeight="1" thickBot="1" x14ac:dyDescent="0.25">
      <c r="A35" s="102" t="s">
        <v>149</v>
      </c>
      <c r="B35" s="217"/>
      <c r="C35" s="218"/>
      <c r="D35" s="218"/>
      <c r="E35" s="218"/>
      <c r="F35" s="218"/>
      <c r="G35" s="219"/>
      <c r="H35" s="216"/>
      <c r="I35" s="216"/>
      <c r="J35" s="216"/>
      <c r="K35" s="216"/>
      <c r="L35" s="216"/>
      <c r="M35" s="216"/>
      <c r="N35" s="216"/>
      <c r="O35" s="216"/>
      <c r="P35" s="95"/>
    </row>
    <row r="36" spans="1:16" ht="45.75" customHeight="1" thickBot="1" x14ac:dyDescent="0.25">
      <c r="A36" s="102" t="s">
        <v>150</v>
      </c>
      <c r="B36" s="212"/>
      <c r="C36" s="213"/>
      <c r="D36" s="213"/>
      <c r="E36" s="213"/>
      <c r="F36" s="213"/>
      <c r="G36" s="214"/>
      <c r="H36" s="215"/>
      <c r="I36" s="215"/>
      <c r="J36" s="215"/>
      <c r="K36" s="215"/>
      <c r="L36" s="216"/>
      <c r="M36" s="216"/>
      <c r="N36" s="216"/>
      <c r="O36" s="216"/>
      <c r="P36" s="96"/>
    </row>
    <row r="37" spans="1:16" ht="66" customHeight="1" thickBot="1" x14ac:dyDescent="0.25">
      <c r="A37" s="102" t="s">
        <v>151</v>
      </c>
      <c r="B37" s="212"/>
      <c r="C37" s="213"/>
      <c r="D37" s="213"/>
      <c r="E37" s="213"/>
      <c r="F37" s="213"/>
      <c r="G37" s="214"/>
      <c r="H37" s="215"/>
      <c r="I37" s="215"/>
      <c r="J37" s="215"/>
      <c r="K37" s="215"/>
      <c r="L37" s="216"/>
      <c r="M37" s="216"/>
      <c r="N37" s="216"/>
      <c r="O37" s="216"/>
      <c r="P37" s="96"/>
    </row>
    <row r="38" spans="1:16" ht="45.75" customHeight="1" thickBot="1" x14ac:dyDescent="0.25">
      <c r="A38" s="102" t="s">
        <v>152</v>
      </c>
      <c r="B38" s="212"/>
      <c r="C38" s="213"/>
      <c r="D38" s="213"/>
      <c r="E38" s="213"/>
      <c r="F38" s="213"/>
      <c r="G38" s="214"/>
      <c r="H38" s="215"/>
      <c r="I38" s="215"/>
      <c r="J38" s="215"/>
      <c r="K38" s="215"/>
      <c r="L38" s="215"/>
      <c r="M38" s="215"/>
      <c r="N38" s="215"/>
      <c r="O38" s="215"/>
      <c r="P38" s="96"/>
    </row>
    <row r="39" spans="1:16" ht="45.75" customHeight="1" thickBot="1" x14ac:dyDescent="0.25">
      <c r="A39" s="102" t="s">
        <v>153</v>
      </c>
      <c r="B39" s="212"/>
      <c r="C39" s="213"/>
      <c r="D39" s="213"/>
      <c r="E39" s="213"/>
      <c r="F39" s="213"/>
      <c r="G39" s="214"/>
      <c r="H39" s="215"/>
      <c r="I39" s="215"/>
      <c r="J39" s="215"/>
      <c r="K39" s="215"/>
      <c r="L39" s="215"/>
      <c r="M39" s="215"/>
      <c r="N39" s="215"/>
      <c r="O39" s="215"/>
      <c r="P39" s="96"/>
    </row>
    <row r="40" spans="1:16" ht="45.75" customHeight="1" thickBot="1" x14ac:dyDescent="0.25">
      <c r="A40" s="102" t="s">
        <v>184</v>
      </c>
      <c r="B40" s="212"/>
      <c r="C40" s="213"/>
      <c r="D40" s="213"/>
      <c r="E40" s="213"/>
      <c r="F40" s="213"/>
      <c r="G40" s="214"/>
      <c r="H40" s="215"/>
      <c r="I40" s="215"/>
      <c r="J40" s="215"/>
      <c r="K40" s="215"/>
      <c r="L40" s="215"/>
      <c r="M40" s="215"/>
      <c r="N40" s="215"/>
      <c r="O40" s="215"/>
      <c r="P40" s="96"/>
    </row>
    <row r="41" spans="1:16" ht="45.75" customHeight="1" thickBot="1" x14ac:dyDescent="0.25">
      <c r="A41" s="102" t="s">
        <v>185</v>
      </c>
      <c r="B41" s="212"/>
      <c r="C41" s="213"/>
      <c r="D41" s="213"/>
      <c r="E41" s="213"/>
      <c r="F41" s="213"/>
      <c r="G41" s="214"/>
      <c r="H41" s="215"/>
      <c r="I41" s="215"/>
      <c r="J41" s="215"/>
      <c r="K41" s="215"/>
      <c r="L41" s="215"/>
      <c r="M41" s="215"/>
      <c r="N41" s="215"/>
      <c r="O41" s="215"/>
      <c r="P41" s="96"/>
    </row>
    <row r="42" spans="1:16" ht="45.75" customHeight="1" thickBot="1" x14ac:dyDescent="0.25">
      <c r="A42" s="102" t="s">
        <v>186</v>
      </c>
      <c r="B42" s="212"/>
      <c r="C42" s="213"/>
      <c r="D42" s="213"/>
      <c r="E42" s="213"/>
      <c r="F42" s="213"/>
      <c r="G42" s="214"/>
      <c r="H42" s="215"/>
      <c r="I42" s="215"/>
      <c r="J42" s="215"/>
      <c r="K42" s="215"/>
      <c r="L42" s="215"/>
      <c r="M42" s="215"/>
      <c r="N42" s="215"/>
      <c r="O42" s="215"/>
      <c r="P42" s="96"/>
    </row>
    <row r="43" spans="1:16" ht="45.75" customHeight="1" thickBot="1" x14ac:dyDescent="0.25">
      <c r="A43" s="102" t="s">
        <v>187</v>
      </c>
      <c r="B43" s="212"/>
      <c r="C43" s="213"/>
      <c r="D43" s="213"/>
      <c r="E43" s="213"/>
      <c r="F43" s="213"/>
      <c r="G43" s="214"/>
      <c r="H43" s="215"/>
      <c r="I43" s="215"/>
      <c r="J43" s="215"/>
      <c r="K43" s="215"/>
      <c r="L43" s="215"/>
      <c r="M43" s="215"/>
      <c r="N43" s="215"/>
      <c r="O43" s="215"/>
      <c r="P43" s="96"/>
    </row>
    <row r="44" spans="1:16" ht="45.75" customHeight="1" thickBot="1" x14ac:dyDescent="0.25">
      <c r="A44" s="102" t="s">
        <v>188</v>
      </c>
      <c r="B44" s="212"/>
      <c r="C44" s="213"/>
      <c r="D44" s="213"/>
      <c r="E44" s="213"/>
      <c r="F44" s="213"/>
      <c r="G44" s="214"/>
      <c r="H44" s="215"/>
      <c r="I44" s="215"/>
      <c r="J44" s="215"/>
      <c r="K44" s="215"/>
      <c r="L44" s="215"/>
      <c r="M44" s="215"/>
      <c r="N44" s="215"/>
      <c r="O44" s="215"/>
      <c r="P44" s="96"/>
    </row>
    <row r="45" spans="1:16" ht="45.75" customHeight="1" thickBot="1" x14ac:dyDescent="0.25">
      <c r="A45" s="102" t="s">
        <v>189</v>
      </c>
      <c r="B45" s="212"/>
      <c r="C45" s="213"/>
      <c r="D45" s="213"/>
      <c r="E45" s="213"/>
      <c r="F45" s="213"/>
      <c r="G45" s="214"/>
      <c r="H45" s="215"/>
      <c r="I45" s="215"/>
      <c r="J45" s="215"/>
      <c r="K45" s="215"/>
      <c r="L45" s="215"/>
      <c r="M45" s="215"/>
      <c r="N45" s="215"/>
      <c r="O45" s="215"/>
      <c r="P45" s="96"/>
    </row>
    <row r="46" spans="1:16" ht="45.75" customHeight="1" thickBot="1" x14ac:dyDescent="0.25">
      <c r="A46" s="102" t="s">
        <v>190</v>
      </c>
      <c r="B46" s="212"/>
      <c r="C46" s="213"/>
      <c r="D46" s="213"/>
      <c r="E46" s="213"/>
      <c r="F46" s="213"/>
      <c r="G46" s="214"/>
      <c r="H46" s="215"/>
      <c r="I46" s="215"/>
      <c r="J46" s="215"/>
      <c r="K46" s="215"/>
      <c r="L46" s="215"/>
      <c r="M46" s="215"/>
      <c r="N46" s="215"/>
      <c r="O46" s="215"/>
      <c r="P46" s="96"/>
    </row>
    <row r="47" spans="1:16" ht="45.75" customHeight="1" thickBot="1" x14ac:dyDescent="0.25">
      <c r="A47" s="102" t="s">
        <v>191</v>
      </c>
      <c r="B47" s="212"/>
      <c r="C47" s="213"/>
      <c r="D47" s="213"/>
      <c r="E47" s="213"/>
      <c r="F47" s="213"/>
      <c r="G47" s="214"/>
      <c r="H47" s="215"/>
      <c r="I47" s="215"/>
      <c r="J47" s="215"/>
      <c r="K47" s="215"/>
      <c r="L47" s="215"/>
      <c r="M47" s="215"/>
      <c r="N47" s="215"/>
      <c r="O47" s="215"/>
      <c r="P47" s="96"/>
    </row>
    <row r="48" spans="1:16" ht="45.75" customHeight="1" thickBot="1" x14ac:dyDescent="0.25">
      <c r="A48" s="102" t="s">
        <v>192</v>
      </c>
      <c r="B48" s="212"/>
      <c r="C48" s="213"/>
      <c r="D48" s="213"/>
      <c r="E48" s="213"/>
      <c r="F48" s="213"/>
      <c r="G48" s="214"/>
      <c r="H48" s="215"/>
      <c r="I48" s="215"/>
      <c r="J48" s="215"/>
      <c r="K48" s="215"/>
      <c r="L48" s="215"/>
      <c r="M48" s="215"/>
      <c r="N48" s="215"/>
      <c r="O48" s="215"/>
      <c r="P48" s="96"/>
    </row>
    <row r="49" spans="1:16" ht="45.75" customHeight="1" thickBot="1" x14ac:dyDescent="0.25">
      <c r="A49" s="102" t="s">
        <v>193</v>
      </c>
      <c r="B49" s="212"/>
      <c r="C49" s="213"/>
      <c r="D49" s="213"/>
      <c r="E49" s="213"/>
      <c r="F49" s="213"/>
      <c r="G49" s="214"/>
      <c r="H49" s="215"/>
      <c r="I49" s="215"/>
      <c r="J49" s="215"/>
      <c r="K49" s="215"/>
      <c r="L49" s="215"/>
      <c r="M49" s="215"/>
      <c r="N49" s="215"/>
      <c r="O49" s="215"/>
      <c r="P49" s="96"/>
    </row>
    <row r="50" spans="1:16" ht="45.75" customHeight="1" thickBot="1" x14ac:dyDescent="0.25">
      <c r="A50" s="102" t="s">
        <v>194</v>
      </c>
      <c r="B50" s="212"/>
      <c r="C50" s="213"/>
      <c r="D50" s="213"/>
      <c r="E50" s="213"/>
      <c r="F50" s="213"/>
      <c r="G50" s="214"/>
      <c r="H50" s="215"/>
      <c r="I50" s="215"/>
      <c r="J50" s="215"/>
      <c r="K50" s="215"/>
      <c r="L50" s="215"/>
      <c r="M50" s="215"/>
      <c r="N50" s="215"/>
      <c r="O50" s="215"/>
      <c r="P50" s="96"/>
    </row>
  </sheetData>
  <mergeCells count="97">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 ref="B36:G36"/>
    <mergeCell ref="H36:K36"/>
    <mergeCell ref="L36:O36"/>
    <mergeCell ref="B37:G37"/>
    <mergeCell ref="H37:K37"/>
    <mergeCell ref="L37:O37"/>
    <mergeCell ref="B38:G38"/>
    <mergeCell ref="H38:K38"/>
    <mergeCell ref="L38:O38"/>
    <mergeCell ref="B39:G39"/>
    <mergeCell ref="H39:K39"/>
    <mergeCell ref="L39:O39"/>
    <mergeCell ref="B40:G40"/>
    <mergeCell ref="H40:K40"/>
    <mergeCell ref="L40:O40"/>
    <mergeCell ref="B41:G41"/>
    <mergeCell ref="H41:K41"/>
    <mergeCell ref="L41:O41"/>
    <mergeCell ref="B42:G42"/>
    <mergeCell ref="H42:K42"/>
    <mergeCell ref="L42:O42"/>
    <mergeCell ref="B43:G43"/>
    <mergeCell ref="H43:K43"/>
    <mergeCell ref="L43:O43"/>
    <mergeCell ref="B44:G44"/>
    <mergeCell ref="H44:K44"/>
    <mergeCell ref="L44:O44"/>
    <mergeCell ref="B45:G45"/>
    <mergeCell ref="H45:K45"/>
    <mergeCell ref="L45:O45"/>
    <mergeCell ref="B46:G46"/>
    <mergeCell ref="H46:K46"/>
    <mergeCell ref="L46:O46"/>
    <mergeCell ref="B47:G47"/>
    <mergeCell ref="H47:K47"/>
    <mergeCell ref="L47:O47"/>
    <mergeCell ref="B48:G48"/>
    <mergeCell ref="H48:K48"/>
    <mergeCell ref="L48:O48"/>
    <mergeCell ref="B49:G49"/>
    <mergeCell ref="H49:K49"/>
    <mergeCell ref="L49:O49"/>
    <mergeCell ref="B50:G50"/>
    <mergeCell ref="H50:K50"/>
    <mergeCell ref="L50:O50"/>
  </mergeCells>
  <conditionalFormatting sqref="B9:B10">
    <cfRule type="cellIs" dxfId="864" priority="33" operator="equal">
      <formula>"Nok"</formula>
    </cfRule>
    <cfRule type="cellIs" dxfId="863" priority="34" operator="equal">
      <formula>"Ok"</formula>
    </cfRule>
  </conditionalFormatting>
  <conditionalFormatting sqref="P22:P30">
    <cfRule type="cellIs" dxfId="862" priority="31" operator="equal">
      <formula>"Nok"</formula>
    </cfRule>
    <cfRule type="cellIs" dxfId="861" priority="32" operator="equal">
      <formula>"Ok"</formula>
    </cfRule>
  </conditionalFormatting>
  <conditionalFormatting sqref="P31:P35">
    <cfRule type="cellIs" dxfId="860" priority="29" operator="equal">
      <formula>"Nok"</formula>
    </cfRule>
    <cfRule type="cellIs" dxfId="859" priority="30" operator="equal">
      <formula>"Ok"</formula>
    </cfRule>
  </conditionalFormatting>
  <conditionalFormatting sqref="P36:P37">
    <cfRule type="cellIs" dxfId="858" priority="27" operator="equal">
      <formula>"Nok"</formula>
    </cfRule>
    <cfRule type="cellIs" dxfId="857" priority="28" operator="equal">
      <formula>"Ok"</formula>
    </cfRule>
  </conditionalFormatting>
  <conditionalFormatting sqref="P38">
    <cfRule type="cellIs" dxfId="856" priority="25" operator="equal">
      <formula>"Nok"</formula>
    </cfRule>
    <cfRule type="cellIs" dxfId="855" priority="26" operator="equal">
      <formula>"Ok"</formula>
    </cfRule>
  </conditionalFormatting>
  <conditionalFormatting sqref="P39">
    <cfRule type="cellIs" dxfId="854" priority="23" operator="equal">
      <formula>"Nok"</formula>
    </cfRule>
    <cfRule type="cellIs" dxfId="853" priority="24" operator="equal">
      <formula>"Ok"</formula>
    </cfRule>
  </conditionalFormatting>
  <conditionalFormatting sqref="P40">
    <cfRule type="cellIs" dxfId="852" priority="21" operator="equal">
      <formula>"Nok"</formula>
    </cfRule>
    <cfRule type="cellIs" dxfId="851" priority="22" operator="equal">
      <formula>"Ok"</formula>
    </cfRule>
  </conditionalFormatting>
  <conditionalFormatting sqref="P41">
    <cfRule type="cellIs" dxfId="850" priority="19" operator="equal">
      <formula>"Nok"</formula>
    </cfRule>
    <cfRule type="cellIs" dxfId="849" priority="20" operator="equal">
      <formula>"Ok"</formula>
    </cfRule>
  </conditionalFormatting>
  <conditionalFormatting sqref="P42">
    <cfRule type="cellIs" dxfId="848" priority="17" operator="equal">
      <formula>"Nok"</formula>
    </cfRule>
    <cfRule type="cellIs" dxfId="847" priority="18" operator="equal">
      <formula>"Ok"</formula>
    </cfRule>
  </conditionalFormatting>
  <conditionalFormatting sqref="P43">
    <cfRule type="cellIs" dxfId="846" priority="15" operator="equal">
      <formula>"Nok"</formula>
    </cfRule>
    <cfRule type="cellIs" dxfId="845" priority="16" operator="equal">
      <formula>"Ok"</formula>
    </cfRule>
  </conditionalFormatting>
  <conditionalFormatting sqref="P44">
    <cfRule type="cellIs" dxfId="844" priority="13" operator="equal">
      <formula>"Nok"</formula>
    </cfRule>
    <cfRule type="cellIs" dxfId="843" priority="14" operator="equal">
      <formula>"Ok"</formula>
    </cfRule>
  </conditionalFormatting>
  <conditionalFormatting sqref="P45">
    <cfRule type="cellIs" dxfId="842" priority="11" operator="equal">
      <formula>"Nok"</formula>
    </cfRule>
    <cfRule type="cellIs" dxfId="841" priority="12" operator="equal">
      <formula>"Ok"</formula>
    </cfRule>
  </conditionalFormatting>
  <conditionalFormatting sqref="P46">
    <cfRule type="cellIs" dxfId="840" priority="9" operator="equal">
      <formula>"Nok"</formula>
    </cfRule>
    <cfRule type="cellIs" dxfId="839" priority="10" operator="equal">
      <formula>"Ok"</formula>
    </cfRule>
  </conditionalFormatting>
  <conditionalFormatting sqref="P47">
    <cfRule type="cellIs" dxfId="838" priority="7" operator="equal">
      <formula>"Nok"</formula>
    </cfRule>
    <cfRule type="cellIs" dxfId="837" priority="8" operator="equal">
      <formula>"Ok"</formula>
    </cfRule>
  </conditionalFormatting>
  <conditionalFormatting sqref="P48">
    <cfRule type="cellIs" dxfId="836" priority="5" operator="equal">
      <formula>"Nok"</formula>
    </cfRule>
    <cfRule type="cellIs" dxfId="835" priority="6" operator="equal">
      <formula>"Ok"</formula>
    </cfRule>
  </conditionalFormatting>
  <conditionalFormatting sqref="P49">
    <cfRule type="cellIs" dxfId="834" priority="3" operator="equal">
      <formula>"Nok"</formula>
    </cfRule>
    <cfRule type="cellIs" dxfId="833" priority="4" operator="equal">
      <formula>"Ok"</formula>
    </cfRule>
  </conditionalFormatting>
  <conditionalFormatting sqref="P50">
    <cfRule type="cellIs" dxfId="832" priority="1" operator="equal">
      <formula>"Nok"</formula>
    </cfRule>
    <cfRule type="cellIs" dxfId="831" priority="2" operator="equal">
      <formula>"Ok"</formula>
    </cfRule>
  </conditionalFormatting>
  <dataValidations count="3">
    <dataValidation type="list" allowBlank="1" showInputMessage="1" showErrorMessage="1" sqref="B5">
      <formula1>"Nominal, Robustness, Endurance, Qualification"</formula1>
    </dataValidation>
    <dataValidation type="list" allowBlank="1" showInputMessage="1" showErrorMessage="1" sqref="B9">
      <formula1>"Ok, Nok, Not run, NA"</formula1>
    </dataValidation>
    <dataValidation type="list" allowBlank="1" showInputMessage="1" showErrorMessage="1" sqref="P22:P50">
      <formula1>"Ok, Nok, Not run, ,"</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workbookViewId="0">
      <selection activeCell="L23" sqref="L23:O23"/>
    </sheetView>
  </sheetViews>
  <sheetFormatPr defaultRowHeight="12.75" x14ac:dyDescent="0.2"/>
  <cols>
    <col min="1" max="1" width="20.140625" style="97" customWidth="1"/>
    <col min="2" max="2" width="18.42578125" style="93" customWidth="1"/>
    <col min="3" max="7" width="9.140625" style="93"/>
    <col min="8" max="15" width="9.5703125" style="93" customWidth="1"/>
    <col min="16" max="16384" width="9.140625" style="93"/>
  </cols>
  <sheetData>
    <row r="1" spans="1:15" ht="13.5" thickBot="1" x14ac:dyDescent="0.25">
      <c r="A1" s="98" t="s">
        <v>41</v>
      </c>
      <c r="B1" s="234" t="s">
        <v>279</v>
      </c>
      <c r="C1" s="235"/>
      <c r="D1" s="235"/>
      <c r="E1" s="235"/>
      <c r="F1" s="235"/>
      <c r="G1" s="236"/>
      <c r="H1" s="73"/>
      <c r="I1" s="73"/>
      <c r="J1" s="73"/>
      <c r="K1" s="73"/>
      <c r="L1" s="73"/>
      <c r="M1" s="73"/>
      <c r="N1" s="73"/>
      <c r="O1" s="73"/>
    </row>
    <row r="2" spans="1:15" ht="13.5" thickBot="1" x14ac:dyDescent="0.25">
      <c r="A2" s="71"/>
      <c r="B2" s="72"/>
      <c r="C2" s="72"/>
      <c r="D2" s="73"/>
      <c r="E2" s="73"/>
      <c r="F2" s="73"/>
      <c r="G2" s="73"/>
      <c r="H2" s="73"/>
      <c r="I2" s="73"/>
      <c r="J2" s="73"/>
      <c r="K2" s="73"/>
      <c r="L2" s="73"/>
      <c r="M2" s="73"/>
      <c r="N2" s="73"/>
      <c r="O2" s="73"/>
    </row>
    <row r="3" spans="1:15" ht="61.5" customHeight="1" thickBot="1" x14ac:dyDescent="0.25">
      <c r="A3" s="99" t="s">
        <v>46</v>
      </c>
      <c r="B3" s="237" t="s">
        <v>289</v>
      </c>
      <c r="C3" s="238"/>
      <c r="D3" s="238"/>
      <c r="E3" s="238"/>
      <c r="F3" s="238"/>
      <c r="G3" s="239"/>
      <c r="H3" s="73"/>
      <c r="I3" s="73"/>
      <c r="J3" s="73"/>
      <c r="K3" s="73"/>
      <c r="L3" s="73"/>
      <c r="M3" s="73"/>
      <c r="N3" s="73"/>
      <c r="O3" s="73"/>
    </row>
    <row r="4" spans="1:15" ht="13.5" thickBot="1" x14ac:dyDescent="0.25">
      <c r="A4" s="71"/>
      <c r="B4" s="72"/>
      <c r="C4" s="72"/>
      <c r="D4" s="73"/>
      <c r="E4" s="73"/>
      <c r="F4" s="73"/>
      <c r="G4" s="73"/>
      <c r="H4" s="73"/>
      <c r="I4" s="73"/>
      <c r="J4" s="73"/>
      <c r="K4" s="73"/>
      <c r="L4" s="73"/>
      <c r="M4" s="73"/>
      <c r="N4" s="73"/>
      <c r="O4" s="73"/>
    </row>
    <row r="5" spans="1:15" ht="13.5" thickBot="1" x14ac:dyDescent="0.25">
      <c r="A5" s="98" t="s">
        <v>111</v>
      </c>
      <c r="B5" s="76" t="s">
        <v>142</v>
      </c>
      <c r="C5" s="72"/>
      <c r="D5" s="73"/>
      <c r="E5" s="73"/>
      <c r="F5" s="73"/>
      <c r="G5" s="73"/>
      <c r="H5" s="73"/>
      <c r="I5" s="73"/>
      <c r="J5" s="73"/>
      <c r="K5" s="73"/>
      <c r="L5" s="73"/>
      <c r="M5" s="73"/>
      <c r="N5" s="73"/>
      <c r="O5" s="73"/>
    </row>
    <row r="6" spans="1:15" ht="13.5" thickBot="1" x14ac:dyDescent="0.25">
      <c r="A6" s="71"/>
      <c r="B6" s="72"/>
      <c r="C6" s="72"/>
      <c r="D6" s="73"/>
      <c r="E6" s="73"/>
      <c r="F6" s="73"/>
      <c r="G6" s="73"/>
      <c r="H6" s="73"/>
      <c r="I6" s="73"/>
      <c r="J6" s="73"/>
      <c r="K6" s="73"/>
      <c r="L6" s="73"/>
      <c r="M6" s="73"/>
      <c r="N6" s="73"/>
      <c r="O6" s="73"/>
    </row>
    <row r="7" spans="1:15" ht="30.75" customHeight="1" thickBot="1" x14ac:dyDescent="0.25">
      <c r="A7" s="98" t="s">
        <v>42</v>
      </c>
      <c r="B7" s="237" t="s">
        <v>278</v>
      </c>
      <c r="C7" s="238"/>
      <c r="D7" s="238"/>
      <c r="E7" s="238"/>
      <c r="F7" s="238"/>
      <c r="G7" s="239"/>
      <c r="H7" s="73"/>
      <c r="I7" s="73"/>
      <c r="J7" s="73"/>
      <c r="K7" s="73"/>
      <c r="L7" s="73"/>
      <c r="M7" s="73"/>
      <c r="N7" s="73"/>
      <c r="O7" s="73"/>
    </row>
    <row r="8" spans="1:15" ht="13.5" thickBot="1" x14ac:dyDescent="0.25">
      <c r="A8" s="75"/>
      <c r="B8" s="74"/>
      <c r="C8" s="74"/>
      <c r="D8" s="74"/>
      <c r="E8" s="74"/>
      <c r="F8" s="74"/>
      <c r="G8" s="74"/>
      <c r="H8" s="73"/>
      <c r="I8" s="73"/>
      <c r="J8" s="73"/>
      <c r="K8" s="73"/>
      <c r="L8" s="73"/>
      <c r="M8" s="73"/>
      <c r="N8" s="73"/>
      <c r="O8" s="73"/>
    </row>
    <row r="9" spans="1:15" ht="13.5" thickBot="1" x14ac:dyDescent="0.25">
      <c r="A9" s="98" t="s">
        <v>43</v>
      </c>
      <c r="B9" s="103" t="s">
        <v>143</v>
      </c>
      <c r="C9" s="72"/>
      <c r="D9" s="73"/>
      <c r="E9" s="73"/>
      <c r="F9" s="73"/>
      <c r="G9" s="73"/>
      <c r="H9" s="73"/>
      <c r="I9" s="73"/>
      <c r="J9" s="73"/>
      <c r="K9" s="73"/>
      <c r="L9" s="73"/>
      <c r="M9" s="73"/>
      <c r="N9" s="73"/>
      <c r="O9" s="73"/>
    </row>
    <row r="10" spans="1:15" ht="13.5" thickBot="1" x14ac:dyDescent="0.25">
      <c r="A10" s="75"/>
      <c r="B10" s="94"/>
      <c r="C10" s="72"/>
      <c r="D10" s="73"/>
      <c r="E10" s="73"/>
      <c r="F10" s="73"/>
      <c r="G10" s="73"/>
      <c r="H10" s="73"/>
      <c r="I10" s="73"/>
      <c r="J10" s="73"/>
      <c r="K10" s="73"/>
      <c r="L10" s="73"/>
      <c r="M10" s="73"/>
      <c r="N10" s="73"/>
      <c r="O10" s="73"/>
    </row>
    <row r="11" spans="1:15" ht="12" customHeight="1" x14ac:dyDescent="0.2">
      <c r="A11" s="223" t="s">
        <v>113</v>
      </c>
      <c r="B11" s="225"/>
      <c r="C11" s="226"/>
      <c r="D11" s="226"/>
      <c r="E11" s="226"/>
      <c r="F11" s="226"/>
      <c r="G11" s="227"/>
      <c r="H11" s="73"/>
      <c r="I11" s="73"/>
      <c r="J11" s="73"/>
      <c r="K11" s="73"/>
      <c r="L11" s="73"/>
      <c r="M11" s="73"/>
      <c r="N11" s="73"/>
      <c r="O11" s="73"/>
    </row>
    <row r="12" spans="1:15" x14ac:dyDescent="0.2">
      <c r="A12" s="224"/>
      <c r="B12" s="228"/>
      <c r="C12" s="229"/>
      <c r="D12" s="229"/>
      <c r="E12" s="229"/>
      <c r="F12" s="229"/>
      <c r="G12" s="230"/>
      <c r="H12" s="73"/>
      <c r="I12" s="73"/>
      <c r="J12" s="73"/>
      <c r="K12" s="73"/>
      <c r="L12" s="73"/>
      <c r="M12" s="73"/>
      <c r="N12" s="73"/>
      <c r="O12" s="73"/>
    </row>
    <row r="13" spans="1:15" x14ac:dyDescent="0.2">
      <c r="A13" s="224"/>
      <c r="B13" s="228"/>
      <c r="C13" s="229"/>
      <c r="D13" s="229"/>
      <c r="E13" s="229"/>
      <c r="F13" s="229"/>
      <c r="G13" s="230"/>
      <c r="H13" s="71"/>
      <c r="I13" s="73"/>
      <c r="J13" s="73"/>
      <c r="K13" s="73"/>
      <c r="L13" s="73"/>
      <c r="M13" s="73"/>
      <c r="N13" s="73"/>
      <c r="O13" s="73"/>
    </row>
    <row r="14" spans="1:15" ht="13.5" thickBot="1" x14ac:dyDescent="0.25">
      <c r="A14" s="224"/>
      <c r="B14" s="231"/>
      <c r="C14" s="232"/>
      <c r="D14" s="232"/>
      <c r="E14" s="232"/>
      <c r="F14" s="232"/>
      <c r="G14" s="233"/>
      <c r="H14" s="77"/>
      <c r="I14" s="73"/>
      <c r="J14" s="73"/>
      <c r="K14" s="73"/>
      <c r="L14" s="73"/>
      <c r="M14" s="73"/>
      <c r="N14" s="73"/>
      <c r="O14" s="73"/>
    </row>
    <row r="15" spans="1:15" ht="13.5" thickBot="1" x14ac:dyDescent="0.25">
      <c r="A15" s="71"/>
      <c r="B15" s="71"/>
      <c r="C15" s="71"/>
      <c r="D15" s="71"/>
      <c r="E15" s="71"/>
      <c r="F15" s="71"/>
      <c r="G15" s="71"/>
      <c r="H15" s="77"/>
      <c r="I15" s="73"/>
      <c r="J15" s="73"/>
      <c r="K15" s="73"/>
      <c r="L15" s="73"/>
      <c r="M15" s="73"/>
      <c r="N15" s="73"/>
      <c r="O15" s="73"/>
    </row>
    <row r="16" spans="1:15" x14ac:dyDescent="0.2">
      <c r="A16" s="223" t="s">
        <v>44</v>
      </c>
      <c r="B16" s="225"/>
      <c r="C16" s="226"/>
      <c r="D16" s="226"/>
      <c r="E16" s="226"/>
      <c r="F16" s="226"/>
      <c r="G16" s="227"/>
      <c r="H16" s="73"/>
      <c r="I16" s="73"/>
      <c r="J16" s="73"/>
      <c r="K16" s="73"/>
      <c r="L16" s="73"/>
      <c r="M16" s="73"/>
      <c r="N16" s="73"/>
      <c r="O16" s="73"/>
    </row>
    <row r="17" spans="1:16" x14ac:dyDescent="0.2">
      <c r="A17" s="224"/>
      <c r="B17" s="228"/>
      <c r="C17" s="229"/>
      <c r="D17" s="229"/>
      <c r="E17" s="229"/>
      <c r="F17" s="229"/>
      <c r="G17" s="230"/>
      <c r="H17" s="73"/>
      <c r="I17" s="73"/>
      <c r="J17" s="73"/>
      <c r="K17" s="73"/>
      <c r="L17" s="73"/>
      <c r="M17" s="73"/>
      <c r="N17" s="73"/>
      <c r="O17" s="73"/>
    </row>
    <row r="18" spans="1:16" x14ac:dyDescent="0.2">
      <c r="A18" s="224"/>
      <c r="B18" s="228"/>
      <c r="C18" s="229"/>
      <c r="D18" s="229"/>
      <c r="E18" s="229"/>
      <c r="F18" s="229"/>
      <c r="G18" s="230"/>
      <c r="H18" s="71"/>
      <c r="I18" s="73"/>
      <c r="J18" s="73"/>
      <c r="K18" s="73"/>
      <c r="L18" s="73"/>
      <c r="M18" s="73"/>
      <c r="N18" s="73"/>
      <c r="O18" s="73"/>
    </row>
    <row r="19" spans="1:16" ht="13.5" thickBot="1" x14ac:dyDescent="0.25">
      <c r="A19" s="224"/>
      <c r="B19" s="231"/>
      <c r="C19" s="232"/>
      <c r="D19" s="232"/>
      <c r="E19" s="232"/>
      <c r="F19" s="232"/>
      <c r="G19" s="233"/>
      <c r="H19" s="77"/>
      <c r="I19" s="73"/>
      <c r="J19" s="73"/>
      <c r="K19" s="73"/>
      <c r="L19" s="73"/>
      <c r="M19" s="73"/>
      <c r="N19" s="73"/>
      <c r="O19" s="73"/>
    </row>
    <row r="20" spans="1:16" ht="13.5" thickBot="1" x14ac:dyDescent="0.25">
      <c r="A20" s="71"/>
      <c r="B20" s="71"/>
      <c r="C20" s="71"/>
      <c r="D20" s="71"/>
      <c r="E20" s="71"/>
      <c r="F20" s="71"/>
      <c r="G20" s="71"/>
      <c r="H20" s="77"/>
      <c r="I20" s="73"/>
      <c r="J20" s="73"/>
      <c r="K20" s="73"/>
      <c r="L20" s="73"/>
      <c r="M20" s="73"/>
      <c r="N20" s="73"/>
      <c r="O20" s="73"/>
    </row>
    <row r="21" spans="1:16" ht="12.75" customHeight="1" x14ac:dyDescent="0.2">
      <c r="A21" s="220" t="s">
        <v>48</v>
      </c>
      <c r="B21" s="221"/>
      <c r="C21" s="221"/>
      <c r="D21" s="221"/>
      <c r="E21" s="221"/>
      <c r="F21" s="221"/>
      <c r="G21" s="222"/>
      <c r="H21" s="220" t="s">
        <v>49</v>
      </c>
      <c r="I21" s="221"/>
      <c r="J21" s="221"/>
      <c r="K21" s="222"/>
      <c r="L21" s="220" t="s">
        <v>60</v>
      </c>
      <c r="M21" s="221"/>
      <c r="N21" s="221"/>
      <c r="O21" s="222"/>
      <c r="P21" s="100" t="s">
        <v>47</v>
      </c>
    </row>
    <row r="22" spans="1:16" ht="53.25" customHeight="1" thickBot="1" x14ac:dyDescent="0.25">
      <c r="A22" s="101" t="s">
        <v>50</v>
      </c>
      <c r="B22" s="212" t="s">
        <v>288</v>
      </c>
      <c r="C22" s="213"/>
      <c r="D22" s="213"/>
      <c r="E22" s="213"/>
      <c r="F22" s="213"/>
      <c r="G22" s="214"/>
      <c r="H22" s="216"/>
      <c r="I22" s="216"/>
      <c r="J22" s="216"/>
      <c r="K22" s="216"/>
      <c r="L22" s="216" t="s">
        <v>290</v>
      </c>
      <c r="M22" s="216"/>
      <c r="N22" s="216"/>
      <c r="O22" s="216"/>
      <c r="P22" s="95" t="s">
        <v>143</v>
      </c>
    </row>
    <row r="23" spans="1:16" ht="54" customHeight="1" thickBot="1" x14ac:dyDescent="0.25">
      <c r="A23" s="101" t="s">
        <v>51</v>
      </c>
      <c r="B23" s="212"/>
      <c r="C23" s="213"/>
      <c r="D23" s="213"/>
      <c r="E23" s="213"/>
      <c r="F23" s="213"/>
      <c r="G23" s="214"/>
      <c r="H23" s="216"/>
      <c r="I23" s="216"/>
      <c r="J23" s="216"/>
      <c r="K23" s="216"/>
      <c r="L23" s="216"/>
      <c r="M23" s="216"/>
      <c r="N23" s="216"/>
      <c r="O23" s="216"/>
      <c r="P23" s="95"/>
    </row>
    <row r="24" spans="1:16" ht="43.5" customHeight="1" thickBot="1" x14ac:dyDescent="0.25">
      <c r="A24" s="101" t="s">
        <v>52</v>
      </c>
      <c r="B24" s="212"/>
      <c r="C24" s="213"/>
      <c r="D24" s="213"/>
      <c r="E24" s="213"/>
      <c r="F24" s="213"/>
      <c r="G24" s="214"/>
      <c r="H24" s="216"/>
      <c r="I24" s="216"/>
      <c r="J24" s="216"/>
      <c r="K24" s="216"/>
      <c r="L24" s="216"/>
      <c r="M24" s="216"/>
      <c r="N24" s="216"/>
      <c r="O24" s="216"/>
      <c r="P24" s="95"/>
    </row>
    <row r="25" spans="1:16" ht="72.75" customHeight="1" thickBot="1" x14ac:dyDescent="0.25">
      <c r="A25" s="101" t="s">
        <v>53</v>
      </c>
      <c r="B25" s="212"/>
      <c r="C25" s="213"/>
      <c r="D25" s="213"/>
      <c r="E25" s="213"/>
      <c r="F25" s="213"/>
      <c r="G25" s="214"/>
      <c r="H25" s="216"/>
      <c r="I25" s="216"/>
      <c r="J25" s="216"/>
      <c r="K25" s="216"/>
      <c r="L25" s="216"/>
      <c r="M25" s="216"/>
      <c r="N25" s="216"/>
      <c r="O25" s="216"/>
      <c r="P25" s="95"/>
    </row>
    <row r="26" spans="1:16" ht="104.25" customHeight="1" thickBot="1" x14ac:dyDescent="0.25">
      <c r="A26" s="101" t="s">
        <v>54</v>
      </c>
      <c r="B26" s="212"/>
      <c r="C26" s="213"/>
      <c r="D26" s="213"/>
      <c r="E26" s="213"/>
      <c r="F26" s="213"/>
      <c r="G26" s="214"/>
      <c r="H26" s="216"/>
      <c r="I26" s="216"/>
      <c r="J26" s="216"/>
      <c r="K26" s="216"/>
      <c r="L26" s="216"/>
      <c r="M26" s="216"/>
      <c r="N26" s="216"/>
      <c r="O26" s="216"/>
      <c r="P26" s="95"/>
    </row>
    <row r="27" spans="1:16" ht="29.25" customHeight="1" x14ac:dyDescent="0.2">
      <c r="A27" s="101" t="s">
        <v>55</v>
      </c>
      <c r="B27" s="217"/>
      <c r="C27" s="218"/>
      <c r="D27" s="218"/>
      <c r="E27" s="218"/>
      <c r="F27" s="218"/>
      <c r="G27" s="219"/>
      <c r="H27" s="216"/>
      <c r="I27" s="216"/>
      <c r="J27" s="216"/>
      <c r="K27" s="216"/>
      <c r="L27" s="216"/>
      <c r="M27" s="216"/>
      <c r="N27" s="216"/>
      <c r="O27" s="216"/>
      <c r="P27" s="95"/>
    </row>
    <row r="28" spans="1:16" ht="29.25" customHeight="1" x14ac:dyDescent="0.2">
      <c r="A28" s="101" t="s">
        <v>56</v>
      </c>
      <c r="B28" s="217"/>
      <c r="C28" s="218"/>
      <c r="D28" s="218"/>
      <c r="E28" s="218"/>
      <c r="F28" s="218"/>
      <c r="G28" s="219"/>
      <c r="H28" s="216"/>
      <c r="I28" s="216"/>
      <c r="J28" s="216"/>
      <c r="K28" s="216"/>
      <c r="L28" s="216"/>
      <c r="M28" s="216"/>
      <c r="N28" s="216"/>
      <c r="O28" s="216"/>
      <c r="P28" s="95"/>
    </row>
    <row r="29" spans="1:16" ht="29.25" customHeight="1" x14ac:dyDescent="0.2">
      <c r="A29" s="101" t="s">
        <v>57</v>
      </c>
      <c r="B29" s="217"/>
      <c r="C29" s="218"/>
      <c r="D29" s="218"/>
      <c r="E29" s="218"/>
      <c r="F29" s="218"/>
      <c r="G29" s="219"/>
      <c r="H29" s="216"/>
      <c r="I29" s="216"/>
      <c r="J29" s="216"/>
      <c r="K29" s="216"/>
      <c r="L29" s="216"/>
      <c r="M29" s="216"/>
      <c r="N29" s="216"/>
      <c r="O29" s="216"/>
      <c r="P29" s="95"/>
    </row>
    <row r="30" spans="1:16" ht="45.75" customHeight="1" thickBot="1" x14ac:dyDescent="0.25">
      <c r="A30" s="102" t="s">
        <v>58</v>
      </c>
      <c r="B30" s="212"/>
      <c r="C30" s="213"/>
      <c r="D30" s="213"/>
      <c r="E30" s="213"/>
      <c r="F30" s="213"/>
      <c r="G30" s="214"/>
      <c r="H30" s="215"/>
      <c r="I30" s="215"/>
      <c r="J30" s="215"/>
      <c r="K30" s="215"/>
      <c r="L30" s="215"/>
      <c r="M30" s="215"/>
      <c r="N30" s="215"/>
      <c r="O30" s="215"/>
      <c r="P30" s="96"/>
    </row>
    <row r="31" spans="1:16" ht="29.25" customHeight="1" thickBot="1" x14ac:dyDescent="0.25">
      <c r="A31" s="102" t="s">
        <v>145</v>
      </c>
      <c r="B31" s="217"/>
      <c r="C31" s="218"/>
      <c r="D31" s="218"/>
      <c r="E31" s="218"/>
      <c r="F31" s="218"/>
      <c r="G31" s="219"/>
      <c r="H31" s="216"/>
      <c r="I31" s="216"/>
      <c r="J31" s="216"/>
      <c r="K31" s="216"/>
      <c r="L31" s="216"/>
      <c r="M31" s="216"/>
      <c r="N31" s="216"/>
      <c r="O31" s="216"/>
      <c r="P31" s="95"/>
    </row>
    <row r="32" spans="1:16" ht="55.5" customHeight="1" thickBot="1" x14ac:dyDescent="0.25">
      <c r="A32" s="102" t="s">
        <v>146</v>
      </c>
      <c r="B32" s="217"/>
      <c r="C32" s="218"/>
      <c r="D32" s="218"/>
      <c r="E32" s="218"/>
      <c r="F32" s="218"/>
      <c r="G32" s="219"/>
      <c r="H32" s="216"/>
      <c r="I32" s="216"/>
      <c r="J32" s="216"/>
      <c r="K32" s="216"/>
      <c r="L32" s="216"/>
      <c r="M32" s="216"/>
      <c r="N32" s="216"/>
      <c r="O32" s="216"/>
      <c r="P32" s="95"/>
    </row>
    <row r="33" spans="1:16" ht="45.75" customHeight="1" thickBot="1" x14ac:dyDescent="0.25">
      <c r="A33" s="102" t="s">
        <v>147</v>
      </c>
      <c r="B33" s="212"/>
      <c r="C33" s="213"/>
      <c r="D33" s="213"/>
      <c r="E33" s="213"/>
      <c r="F33" s="213"/>
      <c r="G33" s="214"/>
      <c r="H33" s="215"/>
      <c r="I33" s="215"/>
      <c r="J33" s="215"/>
      <c r="K33" s="215"/>
      <c r="L33" s="215"/>
      <c r="M33" s="215"/>
      <c r="N33" s="215"/>
      <c r="O33" s="215"/>
      <c r="P33" s="95"/>
    </row>
    <row r="34" spans="1:16" ht="45.75" customHeight="1" thickBot="1" x14ac:dyDescent="0.25">
      <c r="A34" s="102" t="s">
        <v>148</v>
      </c>
      <c r="B34" s="217"/>
      <c r="C34" s="218"/>
      <c r="D34" s="218"/>
      <c r="E34" s="218"/>
      <c r="F34" s="218"/>
      <c r="G34" s="219"/>
      <c r="H34" s="216"/>
      <c r="I34" s="216"/>
      <c r="J34" s="216"/>
      <c r="K34" s="216"/>
      <c r="L34" s="216"/>
      <c r="M34" s="216"/>
      <c r="N34" s="216"/>
      <c r="O34" s="216"/>
      <c r="P34" s="95"/>
    </row>
    <row r="35" spans="1:16" ht="48" customHeight="1" thickBot="1" x14ac:dyDescent="0.25">
      <c r="A35" s="102" t="s">
        <v>149</v>
      </c>
      <c r="B35" s="217"/>
      <c r="C35" s="218"/>
      <c r="D35" s="218"/>
      <c r="E35" s="218"/>
      <c r="F35" s="218"/>
      <c r="G35" s="219"/>
      <c r="H35" s="216"/>
      <c r="I35" s="216"/>
      <c r="J35" s="216"/>
      <c r="K35" s="216"/>
      <c r="L35" s="216"/>
      <c r="M35" s="216"/>
      <c r="N35" s="216"/>
      <c r="O35" s="216"/>
      <c r="P35" s="95"/>
    </row>
    <row r="36" spans="1:16" ht="45.75" customHeight="1" thickBot="1" x14ac:dyDescent="0.25">
      <c r="A36" s="102" t="s">
        <v>150</v>
      </c>
      <c r="B36" s="212"/>
      <c r="C36" s="213"/>
      <c r="D36" s="213"/>
      <c r="E36" s="213"/>
      <c r="F36" s="213"/>
      <c r="G36" s="214"/>
      <c r="H36" s="215"/>
      <c r="I36" s="215"/>
      <c r="J36" s="215"/>
      <c r="K36" s="215"/>
      <c r="L36" s="216"/>
      <c r="M36" s="216"/>
      <c r="N36" s="216"/>
      <c r="O36" s="216"/>
      <c r="P36" s="96"/>
    </row>
    <row r="37" spans="1:16" ht="66" customHeight="1" thickBot="1" x14ac:dyDescent="0.25">
      <c r="A37" s="102" t="s">
        <v>151</v>
      </c>
      <c r="B37" s="212"/>
      <c r="C37" s="213"/>
      <c r="D37" s="213"/>
      <c r="E37" s="213"/>
      <c r="F37" s="213"/>
      <c r="G37" s="214"/>
      <c r="H37" s="215"/>
      <c r="I37" s="215"/>
      <c r="J37" s="215"/>
      <c r="K37" s="215"/>
      <c r="L37" s="216"/>
      <c r="M37" s="216"/>
      <c r="N37" s="216"/>
      <c r="O37" s="216"/>
      <c r="P37" s="96"/>
    </row>
    <row r="38" spans="1:16" ht="45.75" customHeight="1" thickBot="1" x14ac:dyDescent="0.25">
      <c r="A38" s="102" t="s">
        <v>152</v>
      </c>
      <c r="B38" s="212"/>
      <c r="C38" s="213"/>
      <c r="D38" s="213"/>
      <c r="E38" s="213"/>
      <c r="F38" s="213"/>
      <c r="G38" s="214"/>
      <c r="H38" s="215"/>
      <c r="I38" s="215"/>
      <c r="J38" s="215"/>
      <c r="K38" s="215"/>
      <c r="L38" s="215"/>
      <c r="M38" s="215"/>
      <c r="N38" s="215"/>
      <c r="O38" s="215"/>
      <c r="P38" s="96"/>
    </row>
    <row r="39" spans="1:16" ht="45.75" customHeight="1" thickBot="1" x14ac:dyDescent="0.25">
      <c r="A39" s="102" t="s">
        <v>153</v>
      </c>
      <c r="B39" s="212"/>
      <c r="C39" s="213"/>
      <c r="D39" s="213"/>
      <c r="E39" s="213"/>
      <c r="F39" s="213"/>
      <c r="G39" s="214"/>
      <c r="H39" s="215"/>
      <c r="I39" s="215"/>
      <c r="J39" s="215"/>
      <c r="K39" s="215"/>
      <c r="L39" s="215"/>
      <c r="M39" s="215"/>
      <c r="N39" s="215"/>
      <c r="O39" s="215"/>
      <c r="P39" s="96"/>
    </row>
    <row r="40" spans="1:16" ht="45.75" customHeight="1" thickBot="1" x14ac:dyDescent="0.25">
      <c r="A40" s="102" t="s">
        <v>184</v>
      </c>
      <c r="B40" s="212"/>
      <c r="C40" s="213"/>
      <c r="D40" s="213"/>
      <c r="E40" s="213"/>
      <c r="F40" s="213"/>
      <c r="G40" s="214"/>
      <c r="H40" s="215"/>
      <c r="I40" s="215"/>
      <c r="J40" s="215"/>
      <c r="K40" s="215"/>
      <c r="L40" s="215"/>
      <c r="M40" s="215"/>
      <c r="N40" s="215"/>
      <c r="O40" s="215"/>
      <c r="P40" s="96"/>
    </row>
    <row r="41" spans="1:16" ht="45.75" customHeight="1" thickBot="1" x14ac:dyDescent="0.25">
      <c r="A41" s="102" t="s">
        <v>185</v>
      </c>
      <c r="B41" s="212"/>
      <c r="C41" s="213"/>
      <c r="D41" s="213"/>
      <c r="E41" s="213"/>
      <c r="F41" s="213"/>
      <c r="G41" s="214"/>
      <c r="H41" s="215"/>
      <c r="I41" s="215"/>
      <c r="J41" s="215"/>
      <c r="K41" s="215"/>
      <c r="L41" s="215"/>
      <c r="M41" s="215"/>
      <c r="N41" s="215"/>
      <c r="O41" s="215"/>
      <c r="P41" s="96"/>
    </row>
    <row r="42" spans="1:16" ht="45.75" customHeight="1" thickBot="1" x14ac:dyDescent="0.25">
      <c r="A42" s="102" t="s">
        <v>186</v>
      </c>
      <c r="B42" s="212"/>
      <c r="C42" s="213"/>
      <c r="D42" s="213"/>
      <c r="E42" s="213"/>
      <c r="F42" s="213"/>
      <c r="G42" s="214"/>
      <c r="H42" s="215"/>
      <c r="I42" s="215"/>
      <c r="J42" s="215"/>
      <c r="K42" s="215"/>
      <c r="L42" s="215"/>
      <c r="M42" s="215"/>
      <c r="N42" s="215"/>
      <c r="O42" s="215"/>
      <c r="P42" s="96"/>
    </row>
    <row r="43" spans="1:16" ht="45.75" customHeight="1" thickBot="1" x14ac:dyDescent="0.25">
      <c r="A43" s="102" t="s">
        <v>187</v>
      </c>
      <c r="B43" s="212"/>
      <c r="C43" s="213"/>
      <c r="D43" s="213"/>
      <c r="E43" s="213"/>
      <c r="F43" s="213"/>
      <c r="G43" s="214"/>
      <c r="H43" s="215"/>
      <c r="I43" s="215"/>
      <c r="J43" s="215"/>
      <c r="K43" s="215"/>
      <c r="L43" s="215"/>
      <c r="M43" s="215"/>
      <c r="N43" s="215"/>
      <c r="O43" s="215"/>
      <c r="P43" s="96"/>
    </row>
    <row r="44" spans="1:16" ht="45.75" customHeight="1" thickBot="1" x14ac:dyDescent="0.25">
      <c r="A44" s="102" t="s">
        <v>188</v>
      </c>
      <c r="B44" s="212"/>
      <c r="C44" s="213"/>
      <c r="D44" s="213"/>
      <c r="E44" s="213"/>
      <c r="F44" s="213"/>
      <c r="G44" s="214"/>
      <c r="H44" s="215"/>
      <c r="I44" s="215"/>
      <c r="J44" s="215"/>
      <c r="K44" s="215"/>
      <c r="L44" s="215"/>
      <c r="M44" s="215"/>
      <c r="N44" s="215"/>
      <c r="O44" s="215"/>
      <c r="P44" s="96"/>
    </row>
    <row r="45" spans="1:16" ht="45.75" customHeight="1" thickBot="1" x14ac:dyDescent="0.25">
      <c r="A45" s="102" t="s">
        <v>189</v>
      </c>
      <c r="B45" s="212"/>
      <c r="C45" s="213"/>
      <c r="D45" s="213"/>
      <c r="E45" s="213"/>
      <c r="F45" s="213"/>
      <c r="G45" s="214"/>
      <c r="H45" s="215"/>
      <c r="I45" s="215"/>
      <c r="J45" s="215"/>
      <c r="K45" s="215"/>
      <c r="L45" s="215"/>
      <c r="M45" s="215"/>
      <c r="N45" s="215"/>
      <c r="O45" s="215"/>
      <c r="P45" s="96"/>
    </row>
    <row r="46" spans="1:16" ht="45.75" customHeight="1" thickBot="1" x14ac:dyDescent="0.25">
      <c r="A46" s="102" t="s">
        <v>190</v>
      </c>
      <c r="B46" s="212"/>
      <c r="C46" s="213"/>
      <c r="D46" s="213"/>
      <c r="E46" s="213"/>
      <c r="F46" s="213"/>
      <c r="G46" s="214"/>
      <c r="H46" s="215"/>
      <c r="I46" s="215"/>
      <c r="J46" s="215"/>
      <c r="K46" s="215"/>
      <c r="L46" s="215"/>
      <c r="M46" s="215"/>
      <c r="N46" s="215"/>
      <c r="O46" s="215"/>
      <c r="P46" s="96"/>
    </row>
    <row r="47" spans="1:16" ht="45.75" customHeight="1" thickBot="1" x14ac:dyDescent="0.25">
      <c r="A47" s="102" t="s">
        <v>191</v>
      </c>
      <c r="B47" s="212"/>
      <c r="C47" s="213"/>
      <c r="D47" s="213"/>
      <c r="E47" s="213"/>
      <c r="F47" s="213"/>
      <c r="G47" s="214"/>
      <c r="H47" s="215"/>
      <c r="I47" s="215"/>
      <c r="J47" s="215"/>
      <c r="K47" s="215"/>
      <c r="L47" s="215"/>
      <c r="M47" s="215"/>
      <c r="N47" s="215"/>
      <c r="O47" s="215"/>
      <c r="P47" s="96"/>
    </row>
    <row r="48" spans="1:16" ht="45.75" customHeight="1" thickBot="1" x14ac:dyDescent="0.25">
      <c r="A48" s="102" t="s">
        <v>192</v>
      </c>
      <c r="B48" s="212"/>
      <c r="C48" s="213"/>
      <c r="D48" s="213"/>
      <c r="E48" s="213"/>
      <c r="F48" s="213"/>
      <c r="G48" s="214"/>
      <c r="H48" s="215"/>
      <c r="I48" s="215"/>
      <c r="J48" s="215"/>
      <c r="K48" s="215"/>
      <c r="L48" s="215"/>
      <c r="M48" s="215"/>
      <c r="N48" s="215"/>
      <c r="O48" s="215"/>
      <c r="P48" s="96"/>
    </row>
    <row r="49" spans="1:16" ht="45.75" customHeight="1" thickBot="1" x14ac:dyDescent="0.25">
      <c r="A49" s="102" t="s">
        <v>193</v>
      </c>
      <c r="B49" s="212"/>
      <c r="C49" s="213"/>
      <c r="D49" s="213"/>
      <c r="E49" s="213"/>
      <c r="F49" s="213"/>
      <c r="G49" s="214"/>
      <c r="H49" s="215"/>
      <c r="I49" s="215"/>
      <c r="J49" s="215"/>
      <c r="K49" s="215"/>
      <c r="L49" s="215"/>
      <c r="M49" s="215"/>
      <c r="N49" s="215"/>
      <c r="O49" s="215"/>
      <c r="P49" s="96"/>
    </row>
    <row r="50" spans="1:16" ht="45.75" customHeight="1" thickBot="1" x14ac:dyDescent="0.25">
      <c r="A50" s="102" t="s">
        <v>194</v>
      </c>
      <c r="B50" s="212"/>
      <c r="C50" s="213"/>
      <c r="D50" s="213"/>
      <c r="E50" s="213"/>
      <c r="F50" s="213"/>
      <c r="G50" s="214"/>
      <c r="H50" s="215"/>
      <c r="I50" s="215"/>
      <c r="J50" s="215"/>
      <c r="K50" s="215"/>
      <c r="L50" s="215"/>
      <c r="M50" s="215"/>
      <c r="N50" s="215"/>
      <c r="O50" s="215"/>
      <c r="P50" s="96"/>
    </row>
  </sheetData>
  <mergeCells count="97">
    <mergeCell ref="B49:G49"/>
    <mergeCell ref="H49:K49"/>
    <mergeCell ref="L49:O49"/>
    <mergeCell ref="B50:G50"/>
    <mergeCell ref="H50:K50"/>
    <mergeCell ref="L50:O50"/>
    <mergeCell ref="B47:G47"/>
    <mergeCell ref="H47:K47"/>
    <mergeCell ref="L47:O47"/>
    <mergeCell ref="B48:G48"/>
    <mergeCell ref="H48:K48"/>
    <mergeCell ref="L48:O48"/>
    <mergeCell ref="B45:G45"/>
    <mergeCell ref="H45:K45"/>
    <mergeCell ref="L45:O45"/>
    <mergeCell ref="B46:G46"/>
    <mergeCell ref="H46:K46"/>
    <mergeCell ref="L46:O46"/>
    <mergeCell ref="B43:G43"/>
    <mergeCell ref="H43:K43"/>
    <mergeCell ref="L43:O43"/>
    <mergeCell ref="B44:G44"/>
    <mergeCell ref="H44:K44"/>
    <mergeCell ref="L44:O44"/>
    <mergeCell ref="B41:G41"/>
    <mergeCell ref="H41:K41"/>
    <mergeCell ref="L41:O41"/>
    <mergeCell ref="B42:G42"/>
    <mergeCell ref="H42:K42"/>
    <mergeCell ref="L42:O42"/>
    <mergeCell ref="B39:G39"/>
    <mergeCell ref="H39:K39"/>
    <mergeCell ref="L39:O39"/>
    <mergeCell ref="B40:G40"/>
    <mergeCell ref="H40:K40"/>
    <mergeCell ref="L40:O40"/>
    <mergeCell ref="B37:G37"/>
    <mergeCell ref="H37:K37"/>
    <mergeCell ref="L37:O37"/>
    <mergeCell ref="B38:G38"/>
    <mergeCell ref="H38:K38"/>
    <mergeCell ref="L38:O38"/>
    <mergeCell ref="B35:G35"/>
    <mergeCell ref="H35:K35"/>
    <mergeCell ref="L35:O35"/>
    <mergeCell ref="B36:G36"/>
    <mergeCell ref="H36:K36"/>
    <mergeCell ref="L36:O36"/>
    <mergeCell ref="B33:G33"/>
    <mergeCell ref="H33:K33"/>
    <mergeCell ref="L33:O33"/>
    <mergeCell ref="B34:G34"/>
    <mergeCell ref="H34:K34"/>
    <mergeCell ref="L34:O34"/>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B9:B10">
    <cfRule type="cellIs" dxfId="830" priority="33" operator="equal">
      <formula>"Nok"</formula>
    </cfRule>
    <cfRule type="cellIs" dxfId="829" priority="34" operator="equal">
      <formula>"Ok"</formula>
    </cfRule>
  </conditionalFormatting>
  <conditionalFormatting sqref="P22:P30">
    <cfRule type="cellIs" dxfId="828" priority="31" operator="equal">
      <formula>"Nok"</formula>
    </cfRule>
    <cfRule type="cellIs" dxfId="827" priority="32" operator="equal">
      <formula>"Ok"</formula>
    </cfRule>
  </conditionalFormatting>
  <conditionalFormatting sqref="P31:P35">
    <cfRule type="cellIs" dxfId="826" priority="29" operator="equal">
      <formula>"Nok"</formula>
    </cfRule>
    <cfRule type="cellIs" dxfId="825" priority="30" operator="equal">
      <formula>"Ok"</formula>
    </cfRule>
  </conditionalFormatting>
  <conditionalFormatting sqref="P36:P37">
    <cfRule type="cellIs" dxfId="824" priority="27" operator="equal">
      <formula>"Nok"</formula>
    </cfRule>
    <cfRule type="cellIs" dxfId="823" priority="28" operator="equal">
      <formula>"Ok"</formula>
    </cfRule>
  </conditionalFormatting>
  <conditionalFormatting sqref="P38">
    <cfRule type="cellIs" dxfId="822" priority="25" operator="equal">
      <formula>"Nok"</formula>
    </cfRule>
    <cfRule type="cellIs" dxfId="821" priority="26" operator="equal">
      <formula>"Ok"</formula>
    </cfRule>
  </conditionalFormatting>
  <conditionalFormatting sqref="P39">
    <cfRule type="cellIs" dxfId="820" priority="23" operator="equal">
      <formula>"Nok"</formula>
    </cfRule>
    <cfRule type="cellIs" dxfId="819" priority="24" operator="equal">
      <formula>"Ok"</formula>
    </cfRule>
  </conditionalFormatting>
  <conditionalFormatting sqref="P40">
    <cfRule type="cellIs" dxfId="818" priority="21" operator="equal">
      <formula>"Nok"</formula>
    </cfRule>
    <cfRule type="cellIs" dxfId="817" priority="22" operator="equal">
      <formula>"Ok"</formula>
    </cfRule>
  </conditionalFormatting>
  <conditionalFormatting sqref="P41">
    <cfRule type="cellIs" dxfId="816" priority="19" operator="equal">
      <formula>"Nok"</formula>
    </cfRule>
    <cfRule type="cellIs" dxfId="815" priority="20" operator="equal">
      <formula>"Ok"</formula>
    </cfRule>
  </conditionalFormatting>
  <conditionalFormatting sqref="P42">
    <cfRule type="cellIs" dxfId="814" priority="17" operator="equal">
      <formula>"Nok"</formula>
    </cfRule>
    <cfRule type="cellIs" dxfId="813" priority="18" operator="equal">
      <formula>"Ok"</formula>
    </cfRule>
  </conditionalFormatting>
  <conditionalFormatting sqref="P43">
    <cfRule type="cellIs" dxfId="812" priority="15" operator="equal">
      <formula>"Nok"</formula>
    </cfRule>
    <cfRule type="cellIs" dxfId="811" priority="16" operator="equal">
      <formula>"Ok"</formula>
    </cfRule>
  </conditionalFormatting>
  <conditionalFormatting sqref="P44">
    <cfRule type="cellIs" dxfId="810" priority="13" operator="equal">
      <formula>"Nok"</formula>
    </cfRule>
    <cfRule type="cellIs" dxfId="809" priority="14" operator="equal">
      <formula>"Ok"</formula>
    </cfRule>
  </conditionalFormatting>
  <conditionalFormatting sqref="P45">
    <cfRule type="cellIs" dxfId="808" priority="11" operator="equal">
      <formula>"Nok"</formula>
    </cfRule>
    <cfRule type="cellIs" dxfId="807" priority="12" operator="equal">
      <formula>"Ok"</formula>
    </cfRule>
  </conditionalFormatting>
  <conditionalFormatting sqref="P46">
    <cfRule type="cellIs" dxfId="806" priority="9" operator="equal">
      <formula>"Nok"</formula>
    </cfRule>
    <cfRule type="cellIs" dxfId="805" priority="10" operator="equal">
      <formula>"Ok"</formula>
    </cfRule>
  </conditionalFormatting>
  <conditionalFormatting sqref="P47">
    <cfRule type="cellIs" dxfId="804" priority="7" operator="equal">
      <formula>"Nok"</formula>
    </cfRule>
    <cfRule type="cellIs" dxfId="803" priority="8" operator="equal">
      <formula>"Ok"</formula>
    </cfRule>
  </conditionalFormatting>
  <conditionalFormatting sqref="P48">
    <cfRule type="cellIs" dxfId="802" priority="5" operator="equal">
      <formula>"Nok"</formula>
    </cfRule>
    <cfRule type="cellIs" dxfId="801" priority="6" operator="equal">
      <formula>"Ok"</formula>
    </cfRule>
  </conditionalFormatting>
  <conditionalFormatting sqref="P49">
    <cfRule type="cellIs" dxfId="800" priority="3" operator="equal">
      <formula>"Nok"</formula>
    </cfRule>
    <cfRule type="cellIs" dxfId="799" priority="4" operator="equal">
      <formula>"Ok"</formula>
    </cfRule>
  </conditionalFormatting>
  <conditionalFormatting sqref="P50">
    <cfRule type="cellIs" dxfId="798" priority="1" operator="equal">
      <formula>"Nok"</formula>
    </cfRule>
    <cfRule type="cellIs" dxfId="797" priority="2" operator="equal">
      <formula>"Ok"</formula>
    </cfRule>
  </conditionalFormatting>
  <dataValidations count="3">
    <dataValidation type="list" allowBlank="1" showInputMessage="1" showErrorMessage="1" sqref="B5">
      <formula1>"Nominal, Robustness, Endurance, Qualification"</formula1>
    </dataValidation>
    <dataValidation type="list" allowBlank="1" showInputMessage="1" showErrorMessage="1" sqref="B9">
      <formula1>"Ok, Nok, Not run, NA"</formula1>
    </dataValidation>
    <dataValidation type="list" allowBlank="1" showInputMessage="1" showErrorMessage="1" sqref="P22:P50">
      <formula1>"Ok, Nok, Not run, ,"</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workbookViewId="0">
      <selection activeCell="K11" sqref="K11"/>
    </sheetView>
  </sheetViews>
  <sheetFormatPr defaultRowHeight="12.75" x14ac:dyDescent="0.2"/>
  <cols>
    <col min="1" max="1" width="20.140625" style="97" customWidth="1"/>
    <col min="2" max="2" width="18.42578125" style="93" customWidth="1"/>
    <col min="3" max="7" width="9.140625" style="93"/>
    <col min="8" max="15" width="9.5703125" style="93" customWidth="1"/>
    <col min="16" max="16384" width="9.140625" style="93"/>
  </cols>
  <sheetData>
    <row r="1" spans="1:15" ht="13.5" thickBot="1" x14ac:dyDescent="0.25">
      <c r="A1" s="98" t="s">
        <v>41</v>
      </c>
      <c r="B1" s="234" t="s">
        <v>277</v>
      </c>
      <c r="C1" s="235"/>
      <c r="D1" s="235"/>
      <c r="E1" s="235"/>
      <c r="F1" s="235"/>
      <c r="G1" s="236"/>
      <c r="H1" s="73"/>
      <c r="I1" s="73"/>
      <c r="J1" s="73"/>
      <c r="K1" s="73"/>
      <c r="L1" s="73"/>
      <c r="M1" s="73"/>
      <c r="N1" s="73"/>
      <c r="O1" s="73"/>
    </row>
    <row r="2" spans="1:15" ht="13.5" thickBot="1" x14ac:dyDescent="0.25">
      <c r="A2" s="71"/>
      <c r="B2" s="72"/>
      <c r="C2" s="72"/>
      <c r="D2" s="73"/>
      <c r="E2" s="73"/>
      <c r="F2" s="73"/>
      <c r="G2" s="73"/>
      <c r="H2" s="73"/>
      <c r="I2" s="73"/>
      <c r="J2" s="73"/>
      <c r="K2" s="73"/>
      <c r="L2" s="73"/>
      <c r="M2" s="73"/>
      <c r="N2" s="73"/>
      <c r="O2" s="73"/>
    </row>
    <row r="3" spans="1:15" ht="61.5" customHeight="1" thickBot="1" x14ac:dyDescent="0.25">
      <c r="A3" s="99" t="s">
        <v>46</v>
      </c>
      <c r="B3" s="237" t="s">
        <v>287</v>
      </c>
      <c r="C3" s="238"/>
      <c r="D3" s="238"/>
      <c r="E3" s="238"/>
      <c r="F3" s="238"/>
      <c r="G3" s="239"/>
      <c r="H3" s="73"/>
      <c r="I3" s="73"/>
      <c r="J3" s="73"/>
      <c r="K3" s="73"/>
      <c r="L3" s="73"/>
      <c r="M3" s="73"/>
      <c r="N3" s="73"/>
      <c r="O3" s="73"/>
    </row>
    <row r="4" spans="1:15" ht="13.5" thickBot="1" x14ac:dyDescent="0.25">
      <c r="A4" s="71"/>
      <c r="B4" s="72"/>
      <c r="C4" s="72"/>
      <c r="D4" s="73"/>
      <c r="E4" s="73"/>
      <c r="F4" s="73"/>
      <c r="G4" s="73"/>
      <c r="H4" s="73"/>
      <c r="I4" s="73"/>
      <c r="J4" s="73"/>
      <c r="K4" s="73"/>
      <c r="L4" s="73"/>
      <c r="M4" s="73"/>
      <c r="N4" s="73"/>
      <c r="O4" s="73"/>
    </row>
    <row r="5" spans="1:15" ht="13.5" thickBot="1" x14ac:dyDescent="0.25">
      <c r="A5" s="98" t="s">
        <v>111</v>
      </c>
      <c r="B5" s="76" t="s">
        <v>142</v>
      </c>
      <c r="C5" s="72"/>
      <c r="D5" s="73"/>
      <c r="E5" s="73"/>
      <c r="F5" s="73"/>
      <c r="G5" s="73"/>
      <c r="H5" s="73"/>
      <c r="I5" s="73"/>
      <c r="J5" s="73"/>
      <c r="K5" s="73"/>
      <c r="L5" s="73"/>
      <c r="M5" s="73"/>
      <c r="N5" s="73"/>
      <c r="O5" s="73"/>
    </row>
    <row r="6" spans="1:15" ht="13.5" thickBot="1" x14ac:dyDescent="0.25">
      <c r="A6" s="71"/>
      <c r="B6" s="72"/>
      <c r="C6" s="72"/>
      <c r="D6" s="73"/>
      <c r="E6" s="73"/>
      <c r="F6" s="73"/>
      <c r="G6" s="73"/>
      <c r="H6" s="73"/>
      <c r="I6" s="73"/>
      <c r="J6" s="73"/>
      <c r="K6" s="73"/>
      <c r="L6" s="73"/>
      <c r="M6" s="73"/>
      <c r="N6" s="73"/>
      <c r="O6" s="73"/>
    </row>
    <row r="7" spans="1:15" ht="30.75" customHeight="1" thickBot="1" x14ac:dyDescent="0.25">
      <c r="A7" s="98" t="s">
        <v>42</v>
      </c>
      <c r="B7" s="237" t="s">
        <v>278</v>
      </c>
      <c r="C7" s="238"/>
      <c r="D7" s="238"/>
      <c r="E7" s="238"/>
      <c r="F7" s="238"/>
      <c r="G7" s="239"/>
      <c r="H7" s="73"/>
      <c r="I7" s="73"/>
      <c r="J7" s="73"/>
      <c r="K7" s="73"/>
      <c r="L7" s="73"/>
      <c r="M7" s="73"/>
      <c r="N7" s="73"/>
      <c r="O7" s="73"/>
    </row>
    <row r="8" spans="1:15" ht="13.5" thickBot="1" x14ac:dyDescent="0.25">
      <c r="A8" s="75"/>
      <c r="B8" s="74"/>
      <c r="C8" s="74"/>
      <c r="D8" s="74"/>
      <c r="E8" s="74"/>
      <c r="F8" s="74"/>
      <c r="G8" s="74"/>
      <c r="H8" s="73"/>
      <c r="I8" s="73"/>
      <c r="J8" s="73"/>
      <c r="K8" s="73"/>
      <c r="L8" s="73"/>
      <c r="M8" s="73"/>
      <c r="N8" s="73"/>
      <c r="O8" s="73"/>
    </row>
    <row r="9" spans="1:15" ht="13.5" thickBot="1" x14ac:dyDescent="0.25">
      <c r="A9" s="98" t="s">
        <v>43</v>
      </c>
      <c r="B9" s="103" t="s">
        <v>144</v>
      </c>
      <c r="C9" s="72"/>
      <c r="D9" s="73"/>
      <c r="E9" s="73"/>
      <c r="F9" s="73"/>
      <c r="G9" s="73"/>
      <c r="H9" s="73"/>
      <c r="I9" s="73"/>
      <c r="J9" s="73"/>
      <c r="K9" s="73"/>
      <c r="L9" s="73"/>
      <c r="M9" s="73"/>
      <c r="N9" s="73"/>
      <c r="O9" s="73"/>
    </row>
    <row r="10" spans="1:15" ht="13.5" thickBot="1" x14ac:dyDescent="0.25">
      <c r="A10" s="75"/>
      <c r="B10" s="94"/>
      <c r="C10" s="72"/>
      <c r="D10" s="73"/>
      <c r="E10" s="73"/>
      <c r="F10" s="73"/>
      <c r="G10" s="73"/>
      <c r="H10" s="73"/>
      <c r="I10" s="73"/>
      <c r="J10" s="73"/>
      <c r="K10" s="73"/>
      <c r="L10" s="73"/>
      <c r="M10" s="73"/>
      <c r="N10" s="73"/>
      <c r="O10" s="73"/>
    </row>
    <row r="11" spans="1:15" ht="12" customHeight="1" x14ac:dyDescent="0.2">
      <c r="A11" s="223" t="s">
        <v>113</v>
      </c>
      <c r="B11" s="225"/>
      <c r="C11" s="226"/>
      <c r="D11" s="226"/>
      <c r="E11" s="226"/>
      <c r="F11" s="226"/>
      <c r="G11" s="227"/>
      <c r="H11" s="73"/>
      <c r="I11" s="73"/>
      <c r="J11" s="73"/>
      <c r="K11" s="73"/>
      <c r="L11" s="73"/>
      <c r="M11" s="73"/>
      <c r="N11" s="73"/>
      <c r="O11" s="73"/>
    </row>
    <row r="12" spans="1:15" x14ac:dyDescent="0.2">
      <c r="A12" s="224"/>
      <c r="B12" s="228"/>
      <c r="C12" s="229"/>
      <c r="D12" s="229"/>
      <c r="E12" s="229"/>
      <c r="F12" s="229"/>
      <c r="G12" s="230"/>
      <c r="H12" s="73"/>
      <c r="I12" s="73"/>
      <c r="J12" s="73"/>
      <c r="K12" s="73"/>
      <c r="L12" s="73"/>
      <c r="M12" s="73"/>
      <c r="N12" s="73"/>
      <c r="O12" s="73"/>
    </row>
    <row r="13" spans="1:15" x14ac:dyDescent="0.2">
      <c r="A13" s="224"/>
      <c r="B13" s="228"/>
      <c r="C13" s="229"/>
      <c r="D13" s="229"/>
      <c r="E13" s="229"/>
      <c r="F13" s="229"/>
      <c r="G13" s="230"/>
      <c r="H13" s="71"/>
      <c r="I13" s="73"/>
      <c r="J13" s="73"/>
      <c r="K13" s="73"/>
      <c r="L13" s="73"/>
      <c r="M13" s="73"/>
      <c r="N13" s="73"/>
      <c r="O13" s="73"/>
    </row>
    <row r="14" spans="1:15" ht="13.5" thickBot="1" x14ac:dyDescent="0.25">
      <c r="A14" s="224"/>
      <c r="B14" s="231"/>
      <c r="C14" s="232"/>
      <c r="D14" s="232"/>
      <c r="E14" s="232"/>
      <c r="F14" s="232"/>
      <c r="G14" s="233"/>
      <c r="H14" s="77"/>
      <c r="I14" s="73"/>
      <c r="J14" s="73"/>
      <c r="K14" s="73"/>
      <c r="L14" s="73"/>
      <c r="M14" s="73"/>
      <c r="N14" s="73"/>
      <c r="O14" s="73"/>
    </row>
    <row r="15" spans="1:15" ht="13.5" thickBot="1" x14ac:dyDescent="0.25">
      <c r="A15" s="71"/>
      <c r="B15" s="71"/>
      <c r="C15" s="71"/>
      <c r="D15" s="71"/>
      <c r="E15" s="71"/>
      <c r="F15" s="71"/>
      <c r="G15" s="71"/>
      <c r="H15" s="77"/>
      <c r="I15" s="73"/>
      <c r="J15" s="73"/>
      <c r="K15" s="73"/>
      <c r="L15" s="73"/>
      <c r="M15" s="73"/>
      <c r="N15" s="73"/>
      <c r="O15" s="73"/>
    </row>
    <row r="16" spans="1:15" x14ac:dyDescent="0.2">
      <c r="A16" s="223" t="s">
        <v>44</v>
      </c>
      <c r="B16" s="225"/>
      <c r="C16" s="226"/>
      <c r="D16" s="226"/>
      <c r="E16" s="226"/>
      <c r="F16" s="226"/>
      <c r="G16" s="227"/>
      <c r="H16" s="73"/>
      <c r="I16" s="73"/>
      <c r="J16" s="73"/>
      <c r="K16" s="73"/>
      <c r="L16" s="73"/>
      <c r="M16" s="73"/>
      <c r="N16" s="73"/>
      <c r="O16" s="73"/>
    </row>
    <row r="17" spans="1:16" x14ac:dyDescent="0.2">
      <c r="A17" s="224"/>
      <c r="B17" s="228"/>
      <c r="C17" s="229"/>
      <c r="D17" s="229"/>
      <c r="E17" s="229"/>
      <c r="F17" s="229"/>
      <c r="G17" s="230"/>
      <c r="H17" s="73"/>
      <c r="I17" s="73"/>
      <c r="J17" s="73"/>
      <c r="K17" s="73"/>
      <c r="L17" s="73"/>
      <c r="M17" s="73"/>
      <c r="N17" s="73"/>
      <c r="O17" s="73"/>
    </row>
    <row r="18" spans="1:16" x14ac:dyDescent="0.2">
      <c r="A18" s="224"/>
      <c r="B18" s="228"/>
      <c r="C18" s="229"/>
      <c r="D18" s="229"/>
      <c r="E18" s="229"/>
      <c r="F18" s="229"/>
      <c r="G18" s="230"/>
      <c r="H18" s="71"/>
      <c r="I18" s="73"/>
      <c r="J18" s="73"/>
      <c r="K18" s="73"/>
      <c r="L18" s="73"/>
      <c r="M18" s="73"/>
      <c r="N18" s="73"/>
      <c r="O18" s="73"/>
    </row>
    <row r="19" spans="1:16" ht="13.5" thickBot="1" x14ac:dyDescent="0.25">
      <c r="A19" s="224"/>
      <c r="B19" s="231"/>
      <c r="C19" s="232"/>
      <c r="D19" s="232"/>
      <c r="E19" s="232"/>
      <c r="F19" s="232"/>
      <c r="G19" s="233"/>
      <c r="H19" s="77"/>
      <c r="I19" s="73"/>
      <c r="J19" s="73"/>
      <c r="K19" s="73"/>
      <c r="L19" s="73"/>
      <c r="M19" s="73"/>
      <c r="N19" s="73"/>
      <c r="O19" s="73"/>
    </row>
    <row r="20" spans="1:16" ht="13.5" thickBot="1" x14ac:dyDescent="0.25">
      <c r="A20" s="71"/>
      <c r="B20" s="71"/>
      <c r="C20" s="71"/>
      <c r="D20" s="71"/>
      <c r="E20" s="71"/>
      <c r="F20" s="71"/>
      <c r="G20" s="71"/>
      <c r="H20" s="77"/>
      <c r="I20" s="73"/>
      <c r="J20" s="73"/>
      <c r="K20" s="73"/>
      <c r="L20" s="73"/>
      <c r="M20" s="73"/>
      <c r="N20" s="73"/>
      <c r="O20" s="73"/>
    </row>
    <row r="21" spans="1:16" ht="12.75" customHeight="1" x14ac:dyDescent="0.2">
      <c r="A21" s="220" t="s">
        <v>48</v>
      </c>
      <c r="B21" s="221"/>
      <c r="C21" s="221"/>
      <c r="D21" s="221"/>
      <c r="E21" s="221"/>
      <c r="F21" s="221"/>
      <c r="G21" s="222"/>
      <c r="H21" s="220" t="s">
        <v>49</v>
      </c>
      <c r="I21" s="221"/>
      <c r="J21" s="221"/>
      <c r="K21" s="222"/>
      <c r="L21" s="220" t="s">
        <v>60</v>
      </c>
      <c r="M21" s="221"/>
      <c r="N21" s="221"/>
      <c r="O21" s="222"/>
      <c r="P21" s="100" t="s">
        <v>47</v>
      </c>
    </row>
    <row r="22" spans="1:16" ht="84.75" customHeight="1" thickBot="1" x14ac:dyDescent="0.25">
      <c r="A22" s="101" t="s">
        <v>50</v>
      </c>
      <c r="B22" s="243" t="s">
        <v>283</v>
      </c>
      <c r="C22" s="213"/>
      <c r="D22" s="213"/>
      <c r="E22" s="213"/>
      <c r="F22" s="213"/>
      <c r="G22" s="214"/>
      <c r="H22" s="216"/>
      <c r="I22" s="216"/>
      <c r="J22" s="216"/>
      <c r="K22" s="216"/>
      <c r="L22" s="216" t="s">
        <v>284</v>
      </c>
      <c r="M22" s="216"/>
      <c r="N22" s="216"/>
      <c r="O22" s="216"/>
      <c r="P22" s="95" t="s">
        <v>144</v>
      </c>
    </row>
    <row r="23" spans="1:16" ht="42.75" customHeight="1" thickBot="1" x14ac:dyDescent="0.25">
      <c r="A23" s="101" t="s">
        <v>51</v>
      </c>
      <c r="B23" s="212" t="s">
        <v>285</v>
      </c>
      <c r="C23" s="213"/>
      <c r="D23" s="213"/>
      <c r="E23" s="213"/>
      <c r="F23" s="213"/>
      <c r="G23" s="214"/>
      <c r="H23" s="216"/>
      <c r="I23" s="216"/>
      <c r="J23" s="216"/>
      <c r="K23" s="216"/>
      <c r="L23" s="216" t="s">
        <v>284</v>
      </c>
      <c r="M23" s="216"/>
      <c r="N23" s="216"/>
      <c r="O23" s="216"/>
      <c r="P23" s="95" t="s">
        <v>144</v>
      </c>
    </row>
    <row r="24" spans="1:16" ht="82.5" customHeight="1" thickBot="1" x14ac:dyDescent="0.25">
      <c r="A24" s="101" t="s">
        <v>52</v>
      </c>
      <c r="B24" s="212" t="s">
        <v>286</v>
      </c>
      <c r="C24" s="213"/>
      <c r="D24" s="213"/>
      <c r="E24" s="213"/>
      <c r="F24" s="213"/>
      <c r="G24" s="214"/>
      <c r="H24" s="216"/>
      <c r="I24" s="216"/>
      <c r="J24" s="216"/>
      <c r="K24" s="216"/>
      <c r="L24" s="216" t="s">
        <v>284</v>
      </c>
      <c r="M24" s="216"/>
      <c r="N24" s="216"/>
      <c r="O24" s="216"/>
      <c r="P24" s="95" t="s">
        <v>144</v>
      </c>
    </row>
    <row r="25" spans="1:16" ht="84" customHeight="1" thickBot="1" x14ac:dyDescent="0.25">
      <c r="A25" s="101" t="s">
        <v>53</v>
      </c>
      <c r="B25" s="212"/>
      <c r="C25" s="213"/>
      <c r="D25" s="213"/>
      <c r="E25" s="213"/>
      <c r="F25" s="213"/>
      <c r="G25" s="214"/>
      <c r="H25" s="216"/>
      <c r="I25" s="216"/>
      <c r="J25" s="216"/>
      <c r="K25" s="216"/>
      <c r="L25" s="216"/>
      <c r="M25" s="216"/>
      <c r="N25" s="216"/>
      <c r="O25" s="216"/>
      <c r="P25" s="95" t="s">
        <v>144</v>
      </c>
    </row>
    <row r="26" spans="1:16" ht="79.5" customHeight="1" x14ac:dyDescent="0.2">
      <c r="A26" s="101" t="s">
        <v>54</v>
      </c>
      <c r="B26" s="217"/>
      <c r="C26" s="218"/>
      <c r="D26" s="218"/>
      <c r="E26" s="218"/>
      <c r="F26" s="218"/>
      <c r="G26" s="219"/>
      <c r="H26" s="216"/>
      <c r="I26" s="216"/>
      <c r="J26" s="216"/>
      <c r="K26" s="216"/>
      <c r="L26" s="216"/>
      <c r="M26" s="216"/>
      <c r="N26" s="216"/>
      <c r="O26" s="216"/>
      <c r="P26" s="95"/>
    </row>
    <row r="27" spans="1:16" ht="29.25" customHeight="1" x14ac:dyDescent="0.2">
      <c r="A27" s="101" t="s">
        <v>55</v>
      </c>
      <c r="B27" s="217"/>
      <c r="C27" s="218"/>
      <c r="D27" s="218"/>
      <c r="E27" s="218"/>
      <c r="F27" s="218"/>
      <c r="G27" s="219"/>
      <c r="H27" s="216"/>
      <c r="I27" s="216"/>
      <c r="J27" s="216"/>
      <c r="K27" s="216"/>
      <c r="L27" s="216"/>
      <c r="M27" s="216"/>
      <c r="N27" s="216"/>
      <c r="O27" s="216"/>
      <c r="P27" s="95"/>
    </row>
    <row r="28" spans="1:16" ht="29.25" customHeight="1" x14ac:dyDescent="0.2">
      <c r="A28" s="101" t="s">
        <v>56</v>
      </c>
      <c r="B28" s="217"/>
      <c r="C28" s="218"/>
      <c r="D28" s="218"/>
      <c r="E28" s="218"/>
      <c r="F28" s="218"/>
      <c r="G28" s="219"/>
      <c r="H28" s="216"/>
      <c r="I28" s="216"/>
      <c r="J28" s="216"/>
      <c r="K28" s="216"/>
      <c r="L28" s="216"/>
      <c r="M28" s="216"/>
      <c r="N28" s="216"/>
      <c r="O28" s="216"/>
      <c r="P28" s="95"/>
    </row>
    <row r="29" spans="1:16" ht="29.25" customHeight="1" x14ac:dyDescent="0.2">
      <c r="A29" s="101" t="s">
        <v>57</v>
      </c>
      <c r="B29" s="217"/>
      <c r="C29" s="218"/>
      <c r="D29" s="218"/>
      <c r="E29" s="218"/>
      <c r="F29" s="218"/>
      <c r="G29" s="219"/>
      <c r="H29" s="216"/>
      <c r="I29" s="216"/>
      <c r="J29" s="216"/>
      <c r="K29" s="216"/>
      <c r="L29" s="216"/>
      <c r="M29" s="216"/>
      <c r="N29" s="216"/>
      <c r="O29" s="216"/>
      <c r="P29" s="95"/>
    </row>
    <row r="30" spans="1:16" ht="45.75" customHeight="1" thickBot="1" x14ac:dyDescent="0.25">
      <c r="A30" s="102" t="s">
        <v>58</v>
      </c>
      <c r="B30" s="212"/>
      <c r="C30" s="213"/>
      <c r="D30" s="213"/>
      <c r="E30" s="213"/>
      <c r="F30" s="213"/>
      <c r="G30" s="214"/>
      <c r="H30" s="215"/>
      <c r="I30" s="215"/>
      <c r="J30" s="215"/>
      <c r="K30" s="215"/>
      <c r="L30" s="215"/>
      <c r="M30" s="215"/>
      <c r="N30" s="215"/>
      <c r="O30" s="215"/>
      <c r="P30" s="96"/>
    </row>
    <row r="31" spans="1:16" ht="29.25" customHeight="1" thickBot="1" x14ac:dyDescent="0.25">
      <c r="A31" s="102" t="s">
        <v>145</v>
      </c>
      <c r="B31" s="217"/>
      <c r="C31" s="218"/>
      <c r="D31" s="218"/>
      <c r="E31" s="218"/>
      <c r="F31" s="218"/>
      <c r="G31" s="219"/>
      <c r="H31" s="216"/>
      <c r="I31" s="216"/>
      <c r="J31" s="216"/>
      <c r="K31" s="216"/>
      <c r="L31" s="216"/>
      <c r="M31" s="216"/>
      <c r="N31" s="216"/>
      <c r="O31" s="216"/>
      <c r="P31" s="95"/>
    </row>
    <row r="32" spans="1:16" ht="55.5" customHeight="1" thickBot="1" x14ac:dyDescent="0.25">
      <c r="A32" s="102" t="s">
        <v>146</v>
      </c>
      <c r="B32" s="217"/>
      <c r="C32" s="218"/>
      <c r="D32" s="218"/>
      <c r="E32" s="218"/>
      <c r="F32" s="218"/>
      <c r="G32" s="219"/>
      <c r="H32" s="216"/>
      <c r="I32" s="216"/>
      <c r="J32" s="216"/>
      <c r="K32" s="216"/>
      <c r="L32" s="216"/>
      <c r="M32" s="216"/>
      <c r="N32" s="216"/>
      <c r="O32" s="216"/>
      <c r="P32" s="95"/>
    </row>
    <row r="33" spans="1:16" ht="45.75" customHeight="1" thickBot="1" x14ac:dyDescent="0.25">
      <c r="A33" s="102" t="s">
        <v>147</v>
      </c>
      <c r="B33" s="212"/>
      <c r="C33" s="213"/>
      <c r="D33" s="213"/>
      <c r="E33" s="213"/>
      <c r="F33" s="213"/>
      <c r="G33" s="214"/>
      <c r="H33" s="215"/>
      <c r="I33" s="215"/>
      <c r="J33" s="215"/>
      <c r="K33" s="215"/>
      <c r="L33" s="215"/>
      <c r="M33" s="215"/>
      <c r="N33" s="215"/>
      <c r="O33" s="215"/>
      <c r="P33" s="95"/>
    </row>
    <row r="34" spans="1:16" ht="45.75" customHeight="1" thickBot="1" x14ac:dyDescent="0.25">
      <c r="A34" s="102" t="s">
        <v>148</v>
      </c>
      <c r="B34" s="217"/>
      <c r="C34" s="218"/>
      <c r="D34" s="218"/>
      <c r="E34" s="218"/>
      <c r="F34" s="218"/>
      <c r="G34" s="219"/>
      <c r="H34" s="216"/>
      <c r="I34" s="216"/>
      <c r="J34" s="216"/>
      <c r="K34" s="216"/>
      <c r="L34" s="216"/>
      <c r="M34" s="216"/>
      <c r="N34" s="216"/>
      <c r="O34" s="216"/>
      <c r="P34" s="95"/>
    </row>
    <row r="35" spans="1:16" ht="48" customHeight="1" thickBot="1" x14ac:dyDescent="0.25">
      <c r="A35" s="102" t="s">
        <v>149</v>
      </c>
      <c r="B35" s="217"/>
      <c r="C35" s="218"/>
      <c r="D35" s="218"/>
      <c r="E35" s="218"/>
      <c r="F35" s="218"/>
      <c r="G35" s="219"/>
      <c r="H35" s="216"/>
      <c r="I35" s="216"/>
      <c r="J35" s="216"/>
      <c r="K35" s="216"/>
      <c r="L35" s="216"/>
      <c r="M35" s="216"/>
      <c r="N35" s="216"/>
      <c r="O35" s="216"/>
      <c r="P35" s="95"/>
    </row>
    <row r="36" spans="1:16" ht="45.75" customHeight="1" thickBot="1" x14ac:dyDescent="0.25">
      <c r="A36" s="102" t="s">
        <v>150</v>
      </c>
      <c r="B36" s="212"/>
      <c r="C36" s="213"/>
      <c r="D36" s="213"/>
      <c r="E36" s="213"/>
      <c r="F36" s="213"/>
      <c r="G36" s="214"/>
      <c r="H36" s="215"/>
      <c r="I36" s="215"/>
      <c r="J36" s="215"/>
      <c r="K36" s="215"/>
      <c r="L36" s="216"/>
      <c r="M36" s="216"/>
      <c r="N36" s="216"/>
      <c r="O36" s="216"/>
      <c r="P36" s="96"/>
    </row>
    <row r="37" spans="1:16" ht="66" customHeight="1" thickBot="1" x14ac:dyDescent="0.25">
      <c r="A37" s="102" t="s">
        <v>151</v>
      </c>
      <c r="B37" s="212"/>
      <c r="C37" s="213"/>
      <c r="D37" s="213"/>
      <c r="E37" s="213"/>
      <c r="F37" s="213"/>
      <c r="G37" s="214"/>
      <c r="H37" s="215"/>
      <c r="I37" s="215"/>
      <c r="J37" s="215"/>
      <c r="K37" s="215"/>
      <c r="L37" s="216"/>
      <c r="M37" s="216"/>
      <c r="N37" s="216"/>
      <c r="O37" s="216"/>
      <c r="P37" s="96"/>
    </row>
    <row r="38" spans="1:16" ht="45.75" customHeight="1" thickBot="1" x14ac:dyDescent="0.25">
      <c r="A38" s="102" t="s">
        <v>152</v>
      </c>
      <c r="B38" s="212"/>
      <c r="C38" s="213"/>
      <c r="D38" s="213"/>
      <c r="E38" s="213"/>
      <c r="F38" s="213"/>
      <c r="G38" s="214"/>
      <c r="H38" s="215"/>
      <c r="I38" s="215"/>
      <c r="J38" s="215"/>
      <c r="K38" s="215"/>
      <c r="L38" s="215"/>
      <c r="M38" s="215"/>
      <c r="N38" s="215"/>
      <c r="O38" s="215"/>
      <c r="P38" s="96"/>
    </row>
    <row r="39" spans="1:16" ht="45.75" customHeight="1" thickBot="1" x14ac:dyDescent="0.25">
      <c r="A39" s="102" t="s">
        <v>153</v>
      </c>
      <c r="B39" s="212"/>
      <c r="C39" s="213"/>
      <c r="D39" s="213"/>
      <c r="E39" s="213"/>
      <c r="F39" s="213"/>
      <c r="G39" s="214"/>
      <c r="H39" s="215"/>
      <c r="I39" s="215"/>
      <c r="J39" s="215"/>
      <c r="K39" s="215"/>
      <c r="L39" s="215"/>
      <c r="M39" s="215"/>
      <c r="N39" s="215"/>
      <c r="O39" s="215"/>
      <c r="P39" s="96"/>
    </row>
    <row r="40" spans="1:16" ht="45.75" customHeight="1" thickBot="1" x14ac:dyDescent="0.25">
      <c r="A40" s="102" t="s">
        <v>184</v>
      </c>
      <c r="B40" s="212"/>
      <c r="C40" s="213"/>
      <c r="D40" s="213"/>
      <c r="E40" s="213"/>
      <c r="F40" s="213"/>
      <c r="G40" s="214"/>
      <c r="H40" s="215"/>
      <c r="I40" s="215"/>
      <c r="J40" s="215"/>
      <c r="K40" s="215"/>
      <c r="L40" s="215"/>
      <c r="M40" s="215"/>
      <c r="N40" s="215"/>
      <c r="O40" s="215"/>
      <c r="P40" s="96"/>
    </row>
    <row r="41" spans="1:16" ht="45.75" customHeight="1" thickBot="1" x14ac:dyDescent="0.25">
      <c r="A41" s="102" t="s">
        <v>185</v>
      </c>
      <c r="B41" s="212"/>
      <c r="C41" s="213"/>
      <c r="D41" s="213"/>
      <c r="E41" s="213"/>
      <c r="F41" s="213"/>
      <c r="G41" s="214"/>
      <c r="H41" s="215"/>
      <c r="I41" s="215"/>
      <c r="J41" s="215"/>
      <c r="K41" s="215"/>
      <c r="L41" s="215"/>
      <c r="M41" s="215"/>
      <c r="N41" s="215"/>
      <c r="O41" s="215"/>
      <c r="P41" s="96"/>
    </row>
    <row r="42" spans="1:16" ht="45.75" customHeight="1" thickBot="1" x14ac:dyDescent="0.25">
      <c r="A42" s="102" t="s">
        <v>186</v>
      </c>
      <c r="B42" s="212"/>
      <c r="C42" s="213"/>
      <c r="D42" s="213"/>
      <c r="E42" s="213"/>
      <c r="F42" s="213"/>
      <c r="G42" s="214"/>
      <c r="H42" s="215"/>
      <c r="I42" s="215"/>
      <c r="J42" s="215"/>
      <c r="K42" s="215"/>
      <c r="L42" s="215"/>
      <c r="M42" s="215"/>
      <c r="N42" s="215"/>
      <c r="O42" s="215"/>
      <c r="P42" s="96"/>
    </row>
    <row r="43" spans="1:16" ht="45.75" customHeight="1" thickBot="1" x14ac:dyDescent="0.25">
      <c r="A43" s="102" t="s">
        <v>187</v>
      </c>
      <c r="B43" s="212"/>
      <c r="C43" s="213"/>
      <c r="D43" s="213"/>
      <c r="E43" s="213"/>
      <c r="F43" s="213"/>
      <c r="G43" s="214"/>
      <c r="H43" s="215"/>
      <c r="I43" s="215"/>
      <c r="J43" s="215"/>
      <c r="K43" s="215"/>
      <c r="L43" s="215"/>
      <c r="M43" s="215"/>
      <c r="N43" s="215"/>
      <c r="O43" s="215"/>
      <c r="P43" s="96"/>
    </row>
    <row r="44" spans="1:16" ht="45.75" customHeight="1" thickBot="1" x14ac:dyDescent="0.25">
      <c r="A44" s="102" t="s">
        <v>188</v>
      </c>
      <c r="B44" s="212"/>
      <c r="C44" s="213"/>
      <c r="D44" s="213"/>
      <c r="E44" s="213"/>
      <c r="F44" s="213"/>
      <c r="G44" s="214"/>
      <c r="H44" s="215"/>
      <c r="I44" s="215"/>
      <c r="J44" s="215"/>
      <c r="K44" s="215"/>
      <c r="L44" s="215"/>
      <c r="M44" s="215"/>
      <c r="N44" s="215"/>
      <c r="O44" s="215"/>
      <c r="P44" s="96"/>
    </row>
    <row r="45" spans="1:16" ht="45.75" customHeight="1" thickBot="1" x14ac:dyDescent="0.25">
      <c r="A45" s="102" t="s">
        <v>189</v>
      </c>
      <c r="B45" s="212"/>
      <c r="C45" s="213"/>
      <c r="D45" s="213"/>
      <c r="E45" s="213"/>
      <c r="F45" s="213"/>
      <c r="G45" s="214"/>
      <c r="H45" s="215"/>
      <c r="I45" s="215"/>
      <c r="J45" s="215"/>
      <c r="K45" s="215"/>
      <c r="L45" s="215"/>
      <c r="M45" s="215"/>
      <c r="N45" s="215"/>
      <c r="O45" s="215"/>
      <c r="P45" s="96"/>
    </row>
    <row r="46" spans="1:16" ht="45.75" customHeight="1" thickBot="1" x14ac:dyDescent="0.25">
      <c r="A46" s="102" t="s">
        <v>190</v>
      </c>
      <c r="B46" s="212"/>
      <c r="C46" s="213"/>
      <c r="D46" s="213"/>
      <c r="E46" s="213"/>
      <c r="F46" s="213"/>
      <c r="G46" s="214"/>
      <c r="H46" s="215"/>
      <c r="I46" s="215"/>
      <c r="J46" s="215"/>
      <c r="K46" s="215"/>
      <c r="L46" s="215"/>
      <c r="M46" s="215"/>
      <c r="N46" s="215"/>
      <c r="O46" s="215"/>
      <c r="P46" s="96"/>
    </row>
    <row r="47" spans="1:16" ht="45.75" customHeight="1" thickBot="1" x14ac:dyDescent="0.25">
      <c r="A47" s="102" t="s">
        <v>191</v>
      </c>
      <c r="B47" s="212"/>
      <c r="C47" s="213"/>
      <c r="D47" s="213"/>
      <c r="E47" s="213"/>
      <c r="F47" s="213"/>
      <c r="G47" s="214"/>
      <c r="H47" s="215"/>
      <c r="I47" s="215"/>
      <c r="J47" s="215"/>
      <c r="K47" s="215"/>
      <c r="L47" s="215"/>
      <c r="M47" s="215"/>
      <c r="N47" s="215"/>
      <c r="O47" s="215"/>
      <c r="P47" s="96"/>
    </row>
    <row r="48" spans="1:16" ht="45.75" customHeight="1" thickBot="1" x14ac:dyDescent="0.25">
      <c r="A48" s="102" t="s">
        <v>192</v>
      </c>
      <c r="B48" s="212"/>
      <c r="C48" s="213"/>
      <c r="D48" s="213"/>
      <c r="E48" s="213"/>
      <c r="F48" s="213"/>
      <c r="G48" s="214"/>
      <c r="H48" s="215"/>
      <c r="I48" s="215"/>
      <c r="J48" s="215"/>
      <c r="K48" s="215"/>
      <c r="L48" s="215"/>
      <c r="M48" s="215"/>
      <c r="N48" s="215"/>
      <c r="O48" s="215"/>
      <c r="P48" s="96"/>
    </row>
    <row r="49" spans="1:16" ht="45.75" customHeight="1" thickBot="1" x14ac:dyDescent="0.25">
      <c r="A49" s="102" t="s">
        <v>193</v>
      </c>
      <c r="B49" s="212"/>
      <c r="C49" s="213"/>
      <c r="D49" s="213"/>
      <c r="E49" s="213"/>
      <c r="F49" s="213"/>
      <c r="G49" s="214"/>
      <c r="H49" s="215"/>
      <c r="I49" s="215"/>
      <c r="J49" s="215"/>
      <c r="K49" s="215"/>
      <c r="L49" s="215"/>
      <c r="M49" s="215"/>
      <c r="N49" s="215"/>
      <c r="O49" s="215"/>
      <c r="P49" s="96"/>
    </row>
    <row r="50" spans="1:16" ht="45.75" customHeight="1" thickBot="1" x14ac:dyDescent="0.25">
      <c r="A50" s="102" t="s">
        <v>194</v>
      </c>
      <c r="B50" s="212"/>
      <c r="C50" s="213"/>
      <c r="D50" s="213"/>
      <c r="E50" s="213"/>
      <c r="F50" s="213"/>
      <c r="G50" s="214"/>
      <c r="H50" s="215"/>
      <c r="I50" s="215"/>
      <c r="J50" s="215"/>
      <c r="K50" s="215"/>
      <c r="L50" s="215"/>
      <c r="M50" s="215"/>
      <c r="N50" s="215"/>
      <c r="O50" s="215"/>
      <c r="P50" s="96"/>
    </row>
  </sheetData>
  <mergeCells count="97">
    <mergeCell ref="B49:G49"/>
    <mergeCell ref="H49:K49"/>
    <mergeCell ref="L49:O49"/>
    <mergeCell ref="B50:G50"/>
    <mergeCell ref="H50:K50"/>
    <mergeCell ref="L50:O50"/>
    <mergeCell ref="B47:G47"/>
    <mergeCell ref="H47:K47"/>
    <mergeCell ref="L47:O47"/>
    <mergeCell ref="B48:G48"/>
    <mergeCell ref="H48:K48"/>
    <mergeCell ref="L48:O48"/>
    <mergeCell ref="B45:G45"/>
    <mergeCell ref="H45:K45"/>
    <mergeCell ref="L45:O45"/>
    <mergeCell ref="B46:G46"/>
    <mergeCell ref="H46:K46"/>
    <mergeCell ref="L46:O46"/>
    <mergeCell ref="B43:G43"/>
    <mergeCell ref="H43:K43"/>
    <mergeCell ref="L43:O43"/>
    <mergeCell ref="B44:G44"/>
    <mergeCell ref="H44:K44"/>
    <mergeCell ref="L44:O44"/>
    <mergeCell ref="B41:G41"/>
    <mergeCell ref="H41:K41"/>
    <mergeCell ref="L41:O41"/>
    <mergeCell ref="B42:G42"/>
    <mergeCell ref="H42:K42"/>
    <mergeCell ref="L42:O42"/>
    <mergeCell ref="B39:G39"/>
    <mergeCell ref="H39:K39"/>
    <mergeCell ref="L39:O39"/>
    <mergeCell ref="B40:G40"/>
    <mergeCell ref="H40:K40"/>
    <mergeCell ref="L40:O40"/>
    <mergeCell ref="B37:G37"/>
    <mergeCell ref="H37:K37"/>
    <mergeCell ref="L37:O37"/>
    <mergeCell ref="B38:G38"/>
    <mergeCell ref="H38:K38"/>
    <mergeCell ref="L38:O38"/>
    <mergeCell ref="B35:G35"/>
    <mergeCell ref="H35:K35"/>
    <mergeCell ref="L35:O35"/>
    <mergeCell ref="B36:G36"/>
    <mergeCell ref="H36:K36"/>
    <mergeCell ref="L36:O36"/>
    <mergeCell ref="B33:G33"/>
    <mergeCell ref="H33:K33"/>
    <mergeCell ref="L33:O33"/>
    <mergeCell ref="B34:G34"/>
    <mergeCell ref="H34:K34"/>
    <mergeCell ref="L34:O34"/>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B9:B10">
    <cfRule type="cellIs" dxfId="796" priority="33" operator="equal">
      <formula>"Nok"</formula>
    </cfRule>
    <cfRule type="cellIs" dxfId="795" priority="34" operator="equal">
      <formula>"Ok"</formula>
    </cfRule>
  </conditionalFormatting>
  <conditionalFormatting sqref="P22:P30">
    <cfRule type="cellIs" dxfId="794" priority="31" operator="equal">
      <formula>"Nok"</formula>
    </cfRule>
    <cfRule type="cellIs" dxfId="793" priority="32" operator="equal">
      <formula>"Ok"</formula>
    </cfRule>
  </conditionalFormatting>
  <conditionalFormatting sqref="P31:P35">
    <cfRule type="cellIs" dxfId="792" priority="29" operator="equal">
      <formula>"Nok"</formula>
    </cfRule>
    <cfRule type="cellIs" dxfId="791" priority="30" operator="equal">
      <formula>"Ok"</formula>
    </cfRule>
  </conditionalFormatting>
  <conditionalFormatting sqref="P36:P37">
    <cfRule type="cellIs" dxfId="790" priority="27" operator="equal">
      <formula>"Nok"</formula>
    </cfRule>
    <cfRule type="cellIs" dxfId="789" priority="28" operator="equal">
      <formula>"Ok"</formula>
    </cfRule>
  </conditionalFormatting>
  <conditionalFormatting sqref="P38">
    <cfRule type="cellIs" dxfId="788" priority="25" operator="equal">
      <formula>"Nok"</formula>
    </cfRule>
    <cfRule type="cellIs" dxfId="787" priority="26" operator="equal">
      <formula>"Ok"</formula>
    </cfRule>
  </conditionalFormatting>
  <conditionalFormatting sqref="P39">
    <cfRule type="cellIs" dxfId="786" priority="23" operator="equal">
      <formula>"Nok"</formula>
    </cfRule>
    <cfRule type="cellIs" dxfId="785" priority="24" operator="equal">
      <formula>"Ok"</formula>
    </cfRule>
  </conditionalFormatting>
  <conditionalFormatting sqref="P40">
    <cfRule type="cellIs" dxfId="784" priority="21" operator="equal">
      <formula>"Nok"</formula>
    </cfRule>
    <cfRule type="cellIs" dxfId="783" priority="22" operator="equal">
      <formula>"Ok"</formula>
    </cfRule>
  </conditionalFormatting>
  <conditionalFormatting sqref="P41">
    <cfRule type="cellIs" dxfId="782" priority="19" operator="equal">
      <formula>"Nok"</formula>
    </cfRule>
    <cfRule type="cellIs" dxfId="781" priority="20" operator="equal">
      <formula>"Ok"</formula>
    </cfRule>
  </conditionalFormatting>
  <conditionalFormatting sqref="P42">
    <cfRule type="cellIs" dxfId="780" priority="17" operator="equal">
      <formula>"Nok"</formula>
    </cfRule>
    <cfRule type="cellIs" dxfId="779" priority="18" operator="equal">
      <formula>"Ok"</formula>
    </cfRule>
  </conditionalFormatting>
  <conditionalFormatting sqref="P43">
    <cfRule type="cellIs" dxfId="778" priority="15" operator="equal">
      <formula>"Nok"</formula>
    </cfRule>
    <cfRule type="cellIs" dxfId="777" priority="16" operator="equal">
      <formula>"Ok"</formula>
    </cfRule>
  </conditionalFormatting>
  <conditionalFormatting sqref="P44">
    <cfRule type="cellIs" dxfId="776" priority="13" operator="equal">
      <formula>"Nok"</formula>
    </cfRule>
    <cfRule type="cellIs" dxfId="775" priority="14" operator="equal">
      <formula>"Ok"</formula>
    </cfRule>
  </conditionalFormatting>
  <conditionalFormatting sqref="P45">
    <cfRule type="cellIs" dxfId="774" priority="11" operator="equal">
      <formula>"Nok"</formula>
    </cfRule>
    <cfRule type="cellIs" dxfId="773" priority="12" operator="equal">
      <formula>"Ok"</formula>
    </cfRule>
  </conditionalFormatting>
  <conditionalFormatting sqref="P46">
    <cfRule type="cellIs" dxfId="772" priority="9" operator="equal">
      <formula>"Nok"</formula>
    </cfRule>
    <cfRule type="cellIs" dxfId="771" priority="10" operator="equal">
      <formula>"Ok"</formula>
    </cfRule>
  </conditionalFormatting>
  <conditionalFormatting sqref="P47">
    <cfRule type="cellIs" dxfId="770" priority="7" operator="equal">
      <formula>"Nok"</formula>
    </cfRule>
    <cfRule type="cellIs" dxfId="769" priority="8" operator="equal">
      <formula>"Ok"</formula>
    </cfRule>
  </conditionalFormatting>
  <conditionalFormatting sqref="P48">
    <cfRule type="cellIs" dxfId="768" priority="5" operator="equal">
      <formula>"Nok"</formula>
    </cfRule>
    <cfRule type="cellIs" dxfId="767" priority="6" operator="equal">
      <formula>"Ok"</formula>
    </cfRule>
  </conditionalFormatting>
  <conditionalFormatting sqref="P49">
    <cfRule type="cellIs" dxfId="766" priority="3" operator="equal">
      <formula>"Nok"</formula>
    </cfRule>
    <cfRule type="cellIs" dxfId="765" priority="4" operator="equal">
      <formula>"Ok"</formula>
    </cfRule>
  </conditionalFormatting>
  <conditionalFormatting sqref="P50">
    <cfRule type="cellIs" dxfId="764" priority="1" operator="equal">
      <formula>"Nok"</formula>
    </cfRule>
    <cfRule type="cellIs" dxfId="763" priority="2" operator="equal">
      <formula>"Ok"</formula>
    </cfRule>
  </conditionalFormatting>
  <dataValidations count="3">
    <dataValidation type="list" allowBlank="1" showInputMessage="1" showErrorMessage="1" sqref="P22:P50">
      <formula1>"Ok, Nok, Not run, ,"</formula1>
    </dataValidation>
    <dataValidation type="list" allowBlank="1" showInputMessage="1" showErrorMessage="1" sqref="B9">
      <formula1>"Ok, Nok, Not run, NA"</formula1>
    </dataValidation>
    <dataValidation type="list" allowBlank="1" showInputMessage="1" showErrorMessage="1" sqref="B5">
      <formula1>"Nominal, Robustness, Endurance, Qualification"</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workbookViewId="0">
      <selection activeCell="J14" sqref="J14"/>
    </sheetView>
  </sheetViews>
  <sheetFormatPr defaultRowHeight="12.75" x14ac:dyDescent="0.2"/>
  <cols>
    <col min="1" max="1" width="20.140625" style="97" customWidth="1"/>
    <col min="2" max="2" width="18.42578125" style="93" customWidth="1"/>
    <col min="3" max="7" width="9.140625" style="93"/>
    <col min="8" max="15" width="9.5703125" style="93" customWidth="1"/>
    <col min="16" max="16384" width="9.140625" style="93"/>
  </cols>
  <sheetData>
    <row r="1" spans="1:15" ht="13.5" thickBot="1" x14ac:dyDescent="0.25">
      <c r="A1" s="98" t="s">
        <v>41</v>
      </c>
      <c r="B1" s="234" t="s">
        <v>291</v>
      </c>
      <c r="C1" s="235"/>
      <c r="D1" s="235"/>
      <c r="E1" s="235"/>
      <c r="F1" s="235"/>
      <c r="G1" s="236"/>
      <c r="H1" s="73"/>
      <c r="I1" s="73"/>
      <c r="J1" s="73"/>
      <c r="K1" s="73"/>
      <c r="L1" s="73"/>
      <c r="M1" s="73"/>
      <c r="N1" s="73"/>
      <c r="O1" s="73"/>
    </row>
    <row r="2" spans="1:15" ht="13.5" thickBot="1" x14ac:dyDescent="0.25">
      <c r="A2" s="71"/>
      <c r="B2" s="72"/>
      <c r="C2" s="72"/>
      <c r="D2" s="73"/>
      <c r="E2" s="73"/>
      <c r="F2" s="73"/>
      <c r="G2" s="73"/>
      <c r="H2" s="73"/>
      <c r="I2" s="73"/>
      <c r="J2" s="73"/>
      <c r="K2" s="73"/>
      <c r="L2" s="73"/>
      <c r="M2" s="73"/>
      <c r="N2" s="73"/>
      <c r="O2" s="73"/>
    </row>
    <row r="3" spans="1:15" ht="61.5" customHeight="1" thickBot="1" x14ac:dyDescent="0.25">
      <c r="A3" s="99" t="s">
        <v>46</v>
      </c>
      <c r="B3" s="237" t="s">
        <v>298</v>
      </c>
      <c r="C3" s="238"/>
      <c r="D3" s="238"/>
      <c r="E3" s="238"/>
      <c r="F3" s="238"/>
      <c r="G3" s="239"/>
      <c r="H3" s="73"/>
      <c r="I3" s="73"/>
      <c r="J3" s="73"/>
      <c r="K3" s="73"/>
      <c r="L3" s="73"/>
      <c r="M3" s="73"/>
      <c r="N3" s="73"/>
      <c r="O3" s="73"/>
    </row>
    <row r="4" spans="1:15" ht="13.5" thickBot="1" x14ac:dyDescent="0.25">
      <c r="A4" s="71"/>
      <c r="B4" s="72"/>
      <c r="C4" s="72"/>
      <c r="D4" s="73"/>
      <c r="E4" s="73"/>
      <c r="F4" s="73"/>
      <c r="G4" s="73"/>
      <c r="H4" s="73"/>
      <c r="I4" s="73"/>
      <c r="J4" s="73"/>
      <c r="K4" s="73"/>
      <c r="L4" s="73"/>
      <c r="M4" s="73"/>
      <c r="N4" s="73"/>
      <c r="O4" s="73"/>
    </row>
    <row r="5" spans="1:15" ht="13.5" thickBot="1" x14ac:dyDescent="0.25">
      <c r="A5" s="98" t="s">
        <v>111</v>
      </c>
      <c r="B5" s="76" t="s">
        <v>142</v>
      </c>
      <c r="C5" s="72"/>
      <c r="D5" s="73"/>
      <c r="E5" s="73"/>
      <c r="F5" s="73"/>
      <c r="G5" s="73"/>
      <c r="H5" s="73"/>
      <c r="I5" s="73"/>
      <c r="J5" s="73"/>
      <c r="K5" s="73"/>
      <c r="L5" s="73"/>
      <c r="M5" s="73"/>
      <c r="N5" s="73"/>
      <c r="O5" s="73"/>
    </row>
    <row r="6" spans="1:15" ht="13.5" thickBot="1" x14ac:dyDescent="0.25">
      <c r="A6" s="71"/>
      <c r="B6" s="72"/>
      <c r="C6" s="72"/>
      <c r="D6" s="73"/>
      <c r="E6" s="73"/>
      <c r="F6" s="73"/>
      <c r="G6" s="73"/>
      <c r="H6" s="73"/>
      <c r="I6" s="73"/>
      <c r="J6" s="73"/>
      <c r="K6" s="73"/>
      <c r="L6" s="73"/>
      <c r="M6" s="73"/>
      <c r="N6" s="73"/>
      <c r="O6" s="73"/>
    </row>
    <row r="7" spans="1:15" ht="30.75" customHeight="1" thickBot="1" x14ac:dyDescent="0.25">
      <c r="A7" s="98" t="s">
        <v>42</v>
      </c>
      <c r="B7" s="237" t="s">
        <v>292</v>
      </c>
      <c r="C7" s="238"/>
      <c r="D7" s="238"/>
      <c r="E7" s="238"/>
      <c r="F7" s="238"/>
      <c r="G7" s="239"/>
      <c r="H7" s="73"/>
      <c r="I7" s="73"/>
      <c r="J7" s="73"/>
      <c r="K7" s="73"/>
      <c r="L7" s="73"/>
      <c r="M7" s="73"/>
      <c r="N7" s="73"/>
      <c r="O7" s="73"/>
    </row>
    <row r="8" spans="1:15" ht="13.5" thickBot="1" x14ac:dyDescent="0.25">
      <c r="A8" s="75"/>
      <c r="B8" s="74"/>
      <c r="C8" s="74"/>
      <c r="D8" s="74"/>
      <c r="E8" s="74"/>
      <c r="F8" s="74"/>
      <c r="G8" s="74"/>
      <c r="H8" s="73"/>
      <c r="I8" s="73"/>
      <c r="J8" s="73"/>
      <c r="K8" s="73"/>
      <c r="L8" s="73"/>
      <c r="M8" s="73"/>
      <c r="N8" s="73"/>
      <c r="O8" s="73"/>
    </row>
    <row r="9" spans="1:15" ht="13.5" thickBot="1" x14ac:dyDescent="0.25">
      <c r="A9" s="98" t="s">
        <v>43</v>
      </c>
      <c r="B9" s="103" t="s">
        <v>143</v>
      </c>
      <c r="C9" s="72"/>
      <c r="D9" s="73"/>
      <c r="E9" s="73"/>
      <c r="F9" s="73"/>
      <c r="G9" s="73"/>
      <c r="H9" s="73"/>
      <c r="I9" s="73"/>
      <c r="J9" s="73"/>
      <c r="K9" s="73"/>
      <c r="L9" s="73"/>
      <c r="M9" s="73"/>
      <c r="N9" s="73"/>
      <c r="O9" s="73"/>
    </row>
    <row r="10" spans="1:15" ht="13.5" thickBot="1" x14ac:dyDescent="0.25">
      <c r="A10" s="75"/>
      <c r="B10" s="94"/>
      <c r="C10" s="72"/>
      <c r="D10" s="73"/>
      <c r="E10" s="73"/>
      <c r="F10" s="73"/>
      <c r="G10" s="73"/>
      <c r="H10" s="73"/>
      <c r="I10" s="73"/>
      <c r="J10" s="73"/>
      <c r="K10" s="73"/>
      <c r="L10" s="73"/>
      <c r="M10" s="73"/>
      <c r="N10" s="73"/>
      <c r="O10" s="73"/>
    </row>
    <row r="11" spans="1:15" ht="12" customHeight="1" x14ac:dyDescent="0.2">
      <c r="A11" s="223" t="s">
        <v>113</v>
      </c>
      <c r="B11" s="225"/>
      <c r="C11" s="226"/>
      <c r="D11" s="226"/>
      <c r="E11" s="226"/>
      <c r="F11" s="226"/>
      <c r="G11" s="227"/>
      <c r="H11" s="73"/>
      <c r="I11" s="73"/>
      <c r="J11" s="73"/>
      <c r="K11" s="73"/>
      <c r="L11" s="73"/>
      <c r="M11" s="73"/>
      <c r="N11" s="73"/>
      <c r="O11" s="73"/>
    </row>
    <row r="12" spans="1:15" x14ac:dyDescent="0.2">
      <c r="A12" s="224"/>
      <c r="B12" s="228"/>
      <c r="C12" s="229"/>
      <c r="D12" s="229"/>
      <c r="E12" s="229"/>
      <c r="F12" s="229"/>
      <c r="G12" s="230"/>
      <c r="H12" s="73"/>
      <c r="I12" s="73"/>
      <c r="J12" s="73"/>
      <c r="K12" s="73"/>
      <c r="L12" s="73"/>
      <c r="M12" s="73"/>
      <c r="N12" s="73"/>
      <c r="O12" s="73"/>
    </row>
    <row r="13" spans="1:15" x14ac:dyDescent="0.2">
      <c r="A13" s="224"/>
      <c r="B13" s="228"/>
      <c r="C13" s="229"/>
      <c r="D13" s="229"/>
      <c r="E13" s="229"/>
      <c r="F13" s="229"/>
      <c r="G13" s="230"/>
      <c r="H13" s="71"/>
      <c r="I13" s="73"/>
      <c r="J13" s="73"/>
      <c r="K13" s="73"/>
      <c r="L13" s="73"/>
      <c r="M13" s="73"/>
      <c r="N13" s="73"/>
      <c r="O13" s="73"/>
    </row>
    <row r="14" spans="1:15" ht="13.5" thickBot="1" x14ac:dyDescent="0.25">
      <c r="A14" s="224"/>
      <c r="B14" s="231"/>
      <c r="C14" s="232"/>
      <c r="D14" s="232"/>
      <c r="E14" s="232"/>
      <c r="F14" s="232"/>
      <c r="G14" s="233"/>
      <c r="H14" s="77"/>
      <c r="I14" s="73"/>
      <c r="J14" s="73"/>
      <c r="K14" s="73"/>
      <c r="L14" s="73"/>
      <c r="M14" s="73"/>
      <c r="N14" s="73"/>
      <c r="O14" s="73"/>
    </row>
    <row r="15" spans="1:15" ht="13.5" thickBot="1" x14ac:dyDescent="0.25">
      <c r="A15" s="71"/>
      <c r="B15" s="71"/>
      <c r="C15" s="71"/>
      <c r="D15" s="71"/>
      <c r="E15" s="71"/>
      <c r="F15" s="71"/>
      <c r="G15" s="71"/>
      <c r="H15" s="77"/>
      <c r="I15" s="73"/>
      <c r="J15" s="73"/>
      <c r="K15" s="73"/>
      <c r="L15" s="73"/>
      <c r="M15" s="73"/>
      <c r="N15" s="73"/>
      <c r="O15" s="73"/>
    </row>
    <row r="16" spans="1:15" x14ac:dyDescent="0.2">
      <c r="A16" s="223" t="s">
        <v>44</v>
      </c>
      <c r="B16" s="225"/>
      <c r="C16" s="226"/>
      <c r="D16" s="226"/>
      <c r="E16" s="226"/>
      <c r="F16" s="226"/>
      <c r="G16" s="227"/>
      <c r="H16" s="73"/>
      <c r="I16" s="73"/>
      <c r="J16" s="73"/>
      <c r="K16" s="73"/>
      <c r="L16" s="73"/>
      <c r="M16" s="73"/>
      <c r="N16" s="73"/>
      <c r="O16" s="73"/>
    </row>
    <row r="17" spans="1:16" x14ac:dyDescent="0.2">
      <c r="A17" s="224"/>
      <c r="B17" s="228"/>
      <c r="C17" s="229"/>
      <c r="D17" s="229"/>
      <c r="E17" s="229"/>
      <c r="F17" s="229"/>
      <c r="G17" s="230"/>
      <c r="H17" s="73"/>
      <c r="I17" s="73"/>
      <c r="J17" s="73"/>
      <c r="K17" s="73"/>
      <c r="L17" s="73"/>
      <c r="M17" s="73"/>
      <c r="N17" s="73"/>
      <c r="O17" s="73"/>
    </row>
    <row r="18" spans="1:16" x14ac:dyDescent="0.2">
      <c r="A18" s="224"/>
      <c r="B18" s="228"/>
      <c r="C18" s="229"/>
      <c r="D18" s="229"/>
      <c r="E18" s="229"/>
      <c r="F18" s="229"/>
      <c r="G18" s="230"/>
      <c r="H18" s="71"/>
      <c r="I18" s="73"/>
      <c r="J18" s="73"/>
      <c r="K18" s="73"/>
      <c r="L18" s="73"/>
      <c r="M18" s="73"/>
      <c r="N18" s="73"/>
      <c r="O18" s="73"/>
    </row>
    <row r="19" spans="1:16" ht="13.5" thickBot="1" x14ac:dyDescent="0.25">
      <c r="A19" s="224"/>
      <c r="B19" s="231"/>
      <c r="C19" s="232"/>
      <c r="D19" s="232"/>
      <c r="E19" s="232"/>
      <c r="F19" s="232"/>
      <c r="G19" s="233"/>
      <c r="H19" s="77"/>
      <c r="I19" s="73"/>
      <c r="J19" s="73"/>
      <c r="K19" s="73"/>
      <c r="L19" s="73"/>
      <c r="M19" s="73"/>
      <c r="N19" s="73"/>
      <c r="O19" s="73"/>
    </row>
    <row r="20" spans="1:16" ht="13.5" thickBot="1" x14ac:dyDescent="0.25">
      <c r="A20" s="71"/>
      <c r="B20" s="71"/>
      <c r="C20" s="71"/>
      <c r="D20" s="71"/>
      <c r="E20" s="71"/>
      <c r="F20" s="71"/>
      <c r="G20" s="71"/>
      <c r="H20" s="77"/>
      <c r="I20" s="73"/>
      <c r="J20" s="73"/>
      <c r="K20" s="73"/>
      <c r="L20" s="73"/>
      <c r="M20" s="73"/>
      <c r="N20" s="73"/>
      <c r="O20" s="73"/>
    </row>
    <row r="21" spans="1:16" ht="12.75" customHeight="1" x14ac:dyDescent="0.2">
      <c r="A21" s="220" t="s">
        <v>48</v>
      </c>
      <c r="B21" s="221"/>
      <c r="C21" s="221"/>
      <c r="D21" s="221"/>
      <c r="E21" s="221"/>
      <c r="F21" s="221"/>
      <c r="G21" s="222"/>
      <c r="H21" s="220" t="s">
        <v>49</v>
      </c>
      <c r="I21" s="221"/>
      <c r="J21" s="221"/>
      <c r="K21" s="222"/>
      <c r="L21" s="220" t="s">
        <v>60</v>
      </c>
      <c r="M21" s="221"/>
      <c r="N21" s="221"/>
      <c r="O21" s="222"/>
      <c r="P21" s="100" t="s">
        <v>47</v>
      </c>
    </row>
    <row r="22" spans="1:16" ht="53.25" customHeight="1" thickBot="1" x14ac:dyDescent="0.25">
      <c r="A22" s="101" t="s">
        <v>50</v>
      </c>
      <c r="B22" s="212" t="s">
        <v>293</v>
      </c>
      <c r="C22" s="213"/>
      <c r="D22" s="213"/>
      <c r="E22" s="213"/>
      <c r="F22" s="213"/>
      <c r="G22" s="214"/>
      <c r="H22" s="216"/>
      <c r="I22" s="216"/>
      <c r="J22" s="216"/>
      <c r="K22" s="216"/>
      <c r="L22" s="216" t="s">
        <v>290</v>
      </c>
      <c r="M22" s="216"/>
      <c r="N22" s="216"/>
      <c r="O22" s="216"/>
      <c r="P22" s="95" t="s">
        <v>143</v>
      </c>
    </row>
    <row r="23" spans="1:16" ht="54" customHeight="1" thickBot="1" x14ac:dyDescent="0.25">
      <c r="A23" s="101" t="s">
        <v>51</v>
      </c>
      <c r="B23" s="212" t="s">
        <v>294</v>
      </c>
      <c r="C23" s="213"/>
      <c r="D23" s="213"/>
      <c r="E23" s="213"/>
      <c r="F23" s="213"/>
      <c r="G23" s="214"/>
      <c r="H23" s="216"/>
      <c r="I23" s="216"/>
      <c r="J23" s="216"/>
      <c r="K23" s="216"/>
      <c r="L23" s="216" t="s">
        <v>295</v>
      </c>
      <c r="M23" s="216"/>
      <c r="N23" s="216"/>
      <c r="O23" s="216"/>
      <c r="P23" s="95" t="s">
        <v>143</v>
      </c>
    </row>
    <row r="24" spans="1:16" ht="73.5" customHeight="1" thickBot="1" x14ac:dyDescent="0.25">
      <c r="A24" s="101" t="s">
        <v>52</v>
      </c>
      <c r="B24" s="212" t="s">
        <v>296</v>
      </c>
      <c r="C24" s="213"/>
      <c r="D24" s="213"/>
      <c r="E24" s="213"/>
      <c r="F24" s="213"/>
      <c r="G24" s="214"/>
      <c r="H24" s="216"/>
      <c r="I24" s="216"/>
      <c r="J24" s="216"/>
      <c r="K24" s="216"/>
      <c r="L24" s="216" t="s">
        <v>297</v>
      </c>
      <c r="M24" s="216"/>
      <c r="N24" s="216"/>
      <c r="O24" s="216"/>
      <c r="P24" s="95" t="s">
        <v>143</v>
      </c>
    </row>
    <row r="25" spans="1:16" ht="72.75" customHeight="1" thickBot="1" x14ac:dyDescent="0.25">
      <c r="A25" s="101" t="s">
        <v>53</v>
      </c>
      <c r="B25" s="212"/>
      <c r="C25" s="213"/>
      <c r="D25" s="213"/>
      <c r="E25" s="213"/>
      <c r="F25" s="213"/>
      <c r="G25" s="214"/>
      <c r="H25" s="216"/>
      <c r="I25" s="216"/>
      <c r="J25" s="216"/>
      <c r="K25" s="216"/>
      <c r="L25" s="216"/>
      <c r="M25" s="216"/>
      <c r="N25" s="216"/>
      <c r="O25" s="216"/>
      <c r="P25" s="95"/>
    </row>
    <row r="26" spans="1:16" ht="104.25" customHeight="1" thickBot="1" x14ac:dyDescent="0.25">
      <c r="A26" s="101" t="s">
        <v>54</v>
      </c>
      <c r="B26" s="212"/>
      <c r="C26" s="213"/>
      <c r="D26" s="213"/>
      <c r="E26" s="213"/>
      <c r="F26" s="213"/>
      <c r="G26" s="214"/>
      <c r="H26" s="216"/>
      <c r="I26" s="216"/>
      <c r="J26" s="216"/>
      <c r="K26" s="216"/>
      <c r="L26" s="216"/>
      <c r="M26" s="216"/>
      <c r="N26" s="216"/>
      <c r="O26" s="216"/>
      <c r="P26" s="95"/>
    </row>
    <row r="27" spans="1:16" ht="29.25" customHeight="1" x14ac:dyDescent="0.2">
      <c r="A27" s="101" t="s">
        <v>55</v>
      </c>
      <c r="B27" s="217"/>
      <c r="C27" s="218"/>
      <c r="D27" s="218"/>
      <c r="E27" s="218"/>
      <c r="F27" s="218"/>
      <c r="G27" s="219"/>
      <c r="H27" s="216"/>
      <c r="I27" s="216"/>
      <c r="J27" s="216"/>
      <c r="K27" s="216"/>
      <c r="L27" s="216"/>
      <c r="M27" s="216"/>
      <c r="N27" s="216"/>
      <c r="O27" s="216"/>
      <c r="P27" s="95"/>
    </row>
    <row r="28" spans="1:16" ht="29.25" customHeight="1" x14ac:dyDescent="0.2">
      <c r="A28" s="101" t="s">
        <v>56</v>
      </c>
      <c r="B28" s="217"/>
      <c r="C28" s="218"/>
      <c r="D28" s="218"/>
      <c r="E28" s="218"/>
      <c r="F28" s="218"/>
      <c r="G28" s="219"/>
      <c r="H28" s="216"/>
      <c r="I28" s="216"/>
      <c r="J28" s="216"/>
      <c r="K28" s="216"/>
      <c r="L28" s="216"/>
      <c r="M28" s="216"/>
      <c r="N28" s="216"/>
      <c r="O28" s="216"/>
      <c r="P28" s="95"/>
    </row>
    <row r="29" spans="1:16" ht="29.25" customHeight="1" x14ac:dyDescent="0.2">
      <c r="A29" s="101" t="s">
        <v>57</v>
      </c>
      <c r="B29" s="217"/>
      <c r="C29" s="218"/>
      <c r="D29" s="218"/>
      <c r="E29" s="218"/>
      <c r="F29" s="218"/>
      <c r="G29" s="219"/>
      <c r="H29" s="216"/>
      <c r="I29" s="216"/>
      <c r="J29" s="216"/>
      <c r="K29" s="216"/>
      <c r="L29" s="216"/>
      <c r="M29" s="216"/>
      <c r="N29" s="216"/>
      <c r="O29" s="216"/>
      <c r="P29" s="95"/>
    </row>
    <row r="30" spans="1:16" ht="45.75" customHeight="1" thickBot="1" x14ac:dyDescent="0.25">
      <c r="A30" s="102" t="s">
        <v>58</v>
      </c>
      <c r="B30" s="212"/>
      <c r="C30" s="213"/>
      <c r="D30" s="213"/>
      <c r="E30" s="213"/>
      <c r="F30" s="213"/>
      <c r="G30" s="214"/>
      <c r="H30" s="215"/>
      <c r="I30" s="215"/>
      <c r="J30" s="215"/>
      <c r="K30" s="215"/>
      <c r="L30" s="215"/>
      <c r="M30" s="215"/>
      <c r="N30" s="215"/>
      <c r="O30" s="215"/>
      <c r="P30" s="96"/>
    </row>
    <row r="31" spans="1:16" ht="29.25" customHeight="1" thickBot="1" x14ac:dyDescent="0.25">
      <c r="A31" s="102" t="s">
        <v>145</v>
      </c>
      <c r="B31" s="217"/>
      <c r="C31" s="218"/>
      <c r="D31" s="218"/>
      <c r="E31" s="218"/>
      <c r="F31" s="218"/>
      <c r="G31" s="219"/>
      <c r="H31" s="216"/>
      <c r="I31" s="216"/>
      <c r="J31" s="216"/>
      <c r="K31" s="216"/>
      <c r="L31" s="216"/>
      <c r="M31" s="216"/>
      <c r="N31" s="216"/>
      <c r="O31" s="216"/>
      <c r="P31" s="95"/>
    </row>
    <row r="32" spans="1:16" ht="55.5" customHeight="1" thickBot="1" x14ac:dyDescent="0.25">
      <c r="A32" s="102" t="s">
        <v>146</v>
      </c>
      <c r="B32" s="217"/>
      <c r="C32" s="218"/>
      <c r="D32" s="218"/>
      <c r="E32" s="218"/>
      <c r="F32" s="218"/>
      <c r="G32" s="219"/>
      <c r="H32" s="216"/>
      <c r="I32" s="216"/>
      <c r="J32" s="216"/>
      <c r="K32" s="216"/>
      <c r="L32" s="216"/>
      <c r="M32" s="216"/>
      <c r="N32" s="216"/>
      <c r="O32" s="216"/>
      <c r="P32" s="95"/>
    </row>
    <row r="33" spans="1:16" ht="45.75" customHeight="1" thickBot="1" x14ac:dyDescent="0.25">
      <c r="A33" s="102" t="s">
        <v>147</v>
      </c>
      <c r="B33" s="212"/>
      <c r="C33" s="213"/>
      <c r="D33" s="213"/>
      <c r="E33" s="213"/>
      <c r="F33" s="213"/>
      <c r="G33" s="214"/>
      <c r="H33" s="215"/>
      <c r="I33" s="215"/>
      <c r="J33" s="215"/>
      <c r="K33" s="215"/>
      <c r="L33" s="215"/>
      <c r="M33" s="215"/>
      <c r="N33" s="215"/>
      <c r="O33" s="215"/>
      <c r="P33" s="95"/>
    </row>
    <row r="34" spans="1:16" ht="45.75" customHeight="1" thickBot="1" x14ac:dyDescent="0.25">
      <c r="A34" s="102" t="s">
        <v>148</v>
      </c>
      <c r="B34" s="217"/>
      <c r="C34" s="218"/>
      <c r="D34" s="218"/>
      <c r="E34" s="218"/>
      <c r="F34" s="218"/>
      <c r="G34" s="219"/>
      <c r="H34" s="216"/>
      <c r="I34" s="216"/>
      <c r="J34" s="216"/>
      <c r="K34" s="216"/>
      <c r="L34" s="216"/>
      <c r="M34" s="216"/>
      <c r="N34" s="216"/>
      <c r="O34" s="216"/>
      <c r="P34" s="95"/>
    </row>
    <row r="35" spans="1:16" ht="48" customHeight="1" thickBot="1" x14ac:dyDescent="0.25">
      <c r="A35" s="102" t="s">
        <v>149</v>
      </c>
      <c r="B35" s="217"/>
      <c r="C35" s="218"/>
      <c r="D35" s="218"/>
      <c r="E35" s="218"/>
      <c r="F35" s="218"/>
      <c r="G35" s="219"/>
      <c r="H35" s="216"/>
      <c r="I35" s="216"/>
      <c r="J35" s="216"/>
      <c r="K35" s="216"/>
      <c r="L35" s="216"/>
      <c r="M35" s="216"/>
      <c r="N35" s="216"/>
      <c r="O35" s="216"/>
      <c r="P35" s="95"/>
    </row>
    <row r="36" spans="1:16" ht="45.75" customHeight="1" thickBot="1" x14ac:dyDescent="0.25">
      <c r="A36" s="102" t="s">
        <v>150</v>
      </c>
      <c r="B36" s="212"/>
      <c r="C36" s="213"/>
      <c r="D36" s="213"/>
      <c r="E36" s="213"/>
      <c r="F36" s="213"/>
      <c r="G36" s="214"/>
      <c r="H36" s="215"/>
      <c r="I36" s="215"/>
      <c r="J36" s="215"/>
      <c r="K36" s="215"/>
      <c r="L36" s="216"/>
      <c r="M36" s="216"/>
      <c r="N36" s="216"/>
      <c r="O36" s="216"/>
      <c r="P36" s="96"/>
    </row>
    <row r="37" spans="1:16" ht="66" customHeight="1" thickBot="1" x14ac:dyDescent="0.25">
      <c r="A37" s="102" t="s">
        <v>151</v>
      </c>
      <c r="B37" s="212"/>
      <c r="C37" s="213"/>
      <c r="D37" s="213"/>
      <c r="E37" s="213"/>
      <c r="F37" s="213"/>
      <c r="G37" s="214"/>
      <c r="H37" s="215"/>
      <c r="I37" s="215"/>
      <c r="J37" s="215"/>
      <c r="K37" s="215"/>
      <c r="L37" s="216"/>
      <c r="M37" s="216"/>
      <c r="N37" s="216"/>
      <c r="O37" s="216"/>
      <c r="P37" s="96"/>
    </row>
    <row r="38" spans="1:16" ht="45.75" customHeight="1" thickBot="1" x14ac:dyDescent="0.25">
      <c r="A38" s="102" t="s">
        <v>152</v>
      </c>
      <c r="B38" s="212"/>
      <c r="C38" s="213"/>
      <c r="D38" s="213"/>
      <c r="E38" s="213"/>
      <c r="F38" s="213"/>
      <c r="G38" s="214"/>
      <c r="H38" s="215"/>
      <c r="I38" s="215"/>
      <c r="J38" s="215"/>
      <c r="K38" s="215"/>
      <c r="L38" s="215"/>
      <c r="M38" s="215"/>
      <c r="N38" s="215"/>
      <c r="O38" s="215"/>
      <c r="P38" s="96"/>
    </row>
    <row r="39" spans="1:16" ht="45.75" customHeight="1" thickBot="1" x14ac:dyDescent="0.25">
      <c r="A39" s="102" t="s">
        <v>153</v>
      </c>
      <c r="B39" s="212"/>
      <c r="C39" s="213"/>
      <c r="D39" s="213"/>
      <c r="E39" s="213"/>
      <c r="F39" s="213"/>
      <c r="G39" s="214"/>
      <c r="H39" s="215"/>
      <c r="I39" s="215"/>
      <c r="J39" s="215"/>
      <c r="K39" s="215"/>
      <c r="L39" s="215"/>
      <c r="M39" s="215"/>
      <c r="N39" s="215"/>
      <c r="O39" s="215"/>
      <c r="P39" s="96"/>
    </row>
    <row r="40" spans="1:16" ht="45.75" customHeight="1" thickBot="1" x14ac:dyDescent="0.25">
      <c r="A40" s="102" t="s">
        <v>184</v>
      </c>
      <c r="B40" s="212"/>
      <c r="C40" s="213"/>
      <c r="D40" s="213"/>
      <c r="E40" s="213"/>
      <c r="F40" s="213"/>
      <c r="G40" s="214"/>
      <c r="H40" s="215"/>
      <c r="I40" s="215"/>
      <c r="J40" s="215"/>
      <c r="K40" s="215"/>
      <c r="L40" s="215"/>
      <c r="M40" s="215"/>
      <c r="N40" s="215"/>
      <c r="O40" s="215"/>
      <c r="P40" s="96"/>
    </row>
    <row r="41" spans="1:16" ht="45.75" customHeight="1" thickBot="1" x14ac:dyDescent="0.25">
      <c r="A41" s="102" t="s">
        <v>185</v>
      </c>
      <c r="B41" s="212"/>
      <c r="C41" s="213"/>
      <c r="D41" s="213"/>
      <c r="E41" s="213"/>
      <c r="F41" s="213"/>
      <c r="G41" s="214"/>
      <c r="H41" s="215"/>
      <c r="I41" s="215"/>
      <c r="J41" s="215"/>
      <c r="K41" s="215"/>
      <c r="L41" s="215"/>
      <c r="M41" s="215"/>
      <c r="N41" s="215"/>
      <c r="O41" s="215"/>
      <c r="P41" s="96"/>
    </row>
    <row r="42" spans="1:16" ht="45.75" customHeight="1" thickBot="1" x14ac:dyDescent="0.25">
      <c r="A42" s="102" t="s">
        <v>186</v>
      </c>
      <c r="B42" s="212"/>
      <c r="C42" s="213"/>
      <c r="D42" s="213"/>
      <c r="E42" s="213"/>
      <c r="F42" s="213"/>
      <c r="G42" s="214"/>
      <c r="H42" s="215"/>
      <c r="I42" s="215"/>
      <c r="J42" s="215"/>
      <c r="K42" s="215"/>
      <c r="L42" s="215"/>
      <c r="M42" s="215"/>
      <c r="N42" s="215"/>
      <c r="O42" s="215"/>
      <c r="P42" s="96"/>
    </row>
    <row r="43" spans="1:16" ht="45.75" customHeight="1" thickBot="1" x14ac:dyDescent="0.25">
      <c r="A43" s="102" t="s">
        <v>187</v>
      </c>
      <c r="B43" s="212"/>
      <c r="C43" s="213"/>
      <c r="D43" s="213"/>
      <c r="E43" s="213"/>
      <c r="F43" s="213"/>
      <c r="G43" s="214"/>
      <c r="H43" s="215"/>
      <c r="I43" s="215"/>
      <c r="J43" s="215"/>
      <c r="K43" s="215"/>
      <c r="L43" s="215"/>
      <c r="M43" s="215"/>
      <c r="N43" s="215"/>
      <c r="O43" s="215"/>
      <c r="P43" s="96"/>
    </row>
    <row r="44" spans="1:16" ht="45.75" customHeight="1" thickBot="1" x14ac:dyDescent="0.25">
      <c r="A44" s="102" t="s">
        <v>188</v>
      </c>
      <c r="B44" s="212"/>
      <c r="C44" s="213"/>
      <c r="D44" s="213"/>
      <c r="E44" s="213"/>
      <c r="F44" s="213"/>
      <c r="G44" s="214"/>
      <c r="H44" s="215"/>
      <c r="I44" s="215"/>
      <c r="J44" s="215"/>
      <c r="K44" s="215"/>
      <c r="L44" s="215"/>
      <c r="M44" s="215"/>
      <c r="N44" s="215"/>
      <c r="O44" s="215"/>
      <c r="P44" s="96"/>
    </row>
    <row r="45" spans="1:16" ht="45.75" customHeight="1" thickBot="1" x14ac:dyDescent="0.25">
      <c r="A45" s="102" t="s">
        <v>189</v>
      </c>
      <c r="B45" s="212"/>
      <c r="C45" s="213"/>
      <c r="D45" s="213"/>
      <c r="E45" s="213"/>
      <c r="F45" s="213"/>
      <c r="G45" s="214"/>
      <c r="H45" s="215"/>
      <c r="I45" s="215"/>
      <c r="J45" s="215"/>
      <c r="K45" s="215"/>
      <c r="L45" s="215"/>
      <c r="M45" s="215"/>
      <c r="N45" s="215"/>
      <c r="O45" s="215"/>
      <c r="P45" s="96"/>
    </row>
    <row r="46" spans="1:16" ht="45.75" customHeight="1" thickBot="1" x14ac:dyDescent="0.25">
      <c r="A46" s="102" t="s">
        <v>190</v>
      </c>
      <c r="B46" s="212"/>
      <c r="C46" s="213"/>
      <c r="D46" s="213"/>
      <c r="E46" s="213"/>
      <c r="F46" s="213"/>
      <c r="G46" s="214"/>
      <c r="H46" s="215"/>
      <c r="I46" s="215"/>
      <c r="J46" s="215"/>
      <c r="K46" s="215"/>
      <c r="L46" s="215"/>
      <c r="M46" s="215"/>
      <c r="N46" s="215"/>
      <c r="O46" s="215"/>
      <c r="P46" s="96"/>
    </row>
    <row r="47" spans="1:16" ht="45.75" customHeight="1" thickBot="1" x14ac:dyDescent="0.25">
      <c r="A47" s="102" t="s">
        <v>191</v>
      </c>
      <c r="B47" s="212"/>
      <c r="C47" s="213"/>
      <c r="D47" s="213"/>
      <c r="E47" s="213"/>
      <c r="F47" s="213"/>
      <c r="G47" s="214"/>
      <c r="H47" s="215"/>
      <c r="I47" s="215"/>
      <c r="J47" s="215"/>
      <c r="K47" s="215"/>
      <c r="L47" s="215"/>
      <c r="M47" s="215"/>
      <c r="N47" s="215"/>
      <c r="O47" s="215"/>
      <c r="P47" s="96"/>
    </row>
    <row r="48" spans="1:16" ht="45.75" customHeight="1" thickBot="1" x14ac:dyDescent="0.25">
      <c r="A48" s="102" t="s">
        <v>192</v>
      </c>
      <c r="B48" s="212"/>
      <c r="C48" s="213"/>
      <c r="D48" s="213"/>
      <c r="E48" s="213"/>
      <c r="F48" s="213"/>
      <c r="G48" s="214"/>
      <c r="H48" s="215"/>
      <c r="I48" s="215"/>
      <c r="J48" s="215"/>
      <c r="K48" s="215"/>
      <c r="L48" s="215"/>
      <c r="M48" s="215"/>
      <c r="N48" s="215"/>
      <c r="O48" s="215"/>
      <c r="P48" s="96"/>
    </row>
    <row r="49" spans="1:16" ht="45.75" customHeight="1" thickBot="1" x14ac:dyDescent="0.25">
      <c r="A49" s="102" t="s">
        <v>193</v>
      </c>
      <c r="B49" s="212"/>
      <c r="C49" s="213"/>
      <c r="D49" s="213"/>
      <c r="E49" s="213"/>
      <c r="F49" s="213"/>
      <c r="G49" s="214"/>
      <c r="H49" s="215"/>
      <c r="I49" s="215"/>
      <c r="J49" s="215"/>
      <c r="K49" s="215"/>
      <c r="L49" s="215"/>
      <c r="M49" s="215"/>
      <c r="N49" s="215"/>
      <c r="O49" s="215"/>
      <c r="P49" s="96"/>
    </row>
    <row r="50" spans="1:16" ht="45.75" customHeight="1" thickBot="1" x14ac:dyDescent="0.25">
      <c r="A50" s="102" t="s">
        <v>194</v>
      </c>
      <c r="B50" s="212"/>
      <c r="C50" s="213"/>
      <c r="D50" s="213"/>
      <c r="E50" s="213"/>
      <c r="F50" s="213"/>
      <c r="G50" s="214"/>
      <c r="H50" s="215"/>
      <c r="I50" s="215"/>
      <c r="J50" s="215"/>
      <c r="K50" s="215"/>
      <c r="L50" s="215"/>
      <c r="M50" s="215"/>
      <c r="N50" s="215"/>
      <c r="O50" s="215"/>
      <c r="P50" s="96"/>
    </row>
  </sheetData>
  <mergeCells count="97">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 ref="B36:G36"/>
    <mergeCell ref="H36:K36"/>
    <mergeCell ref="L36:O36"/>
    <mergeCell ref="B37:G37"/>
    <mergeCell ref="H37:K37"/>
    <mergeCell ref="L37:O37"/>
    <mergeCell ref="B38:G38"/>
    <mergeCell ref="H38:K38"/>
    <mergeCell ref="L38:O38"/>
    <mergeCell ref="B39:G39"/>
    <mergeCell ref="H39:K39"/>
    <mergeCell ref="L39:O39"/>
    <mergeCell ref="B40:G40"/>
    <mergeCell ref="H40:K40"/>
    <mergeCell ref="L40:O40"/>
    <mergeCell ref="B41:G41"/>
    <mergeCell ref="H41:K41"/>
    <mergeCell ref="L41:O41"/>
    <mergeCell ref="B42:G42"/>
    <mergeCell ref="H42:K42"/>
    <mergeCell ref="L42:O42"/>
    <mergeCell ref="B43:G43"/>
    <mergeCell ref="H43:K43"/>
    <mergeCell ref="L43:O43"/>
    <mergeCell ref="B44:G44"/>
    <mergeCell ref="H44:K44"/>
    <mergeCell ref="L44:O44"/>
    <mergeCell ref="B45:G45"/>
    <mergeCell ref="H45:K45"/>
    <mergeCell ref="L45:O45"/>
    <mergeCell ref="B46:G46"/>
    <mergeCell ref="H46:K46"/>
    <mergeCell ref="L46:O46"/>
    <mergeCell ref="B47:G47"/>
    <mergeCell ref="H47:K47"/>
    <mergeCell ref="L47:O47"/>
    <mergeCell ref="B48:G48"/>
    <mergeCell ref="H48:K48"/>
    <mergeCell ref="L48:O48"/>
    <mergeCell ref="B49:G49"/>
    <mergeCell ref="H49:K49"/>
    <mergeCell ref="L49:O49"/>
    <mergeCell ref="B50:G50"/>
    <mergeCell ref="H50:K50"/>
    <mergeCell ref="L50:O50"/>
  </mergeCells>
  <conditionalFormatting sqref="B9:B10">
    <cfRule type="cellIs" dxfId="762" priority="33" operator="equal">
      <formula>"Nok"</formula>
    </cfRule>
    <cfRule type="cellIs" dxfId="761" priority="34" operator="equal">
      <formula>"Ok"</formula>
    </cfRule>
  </conditionalFormatting>
  <conditionalFormatting sqref="P22:P30">
    <cfRule type="cellIs" dxfId="760" priority="31" operator="equal">
      <formula>"Nok"</formula>
    </cfRule>
    <cfRule type="cellIs" dxfId="759" priority="32" operator="equal">
      <formula>"Ok"</formula>
    </cfRule>
  </conditionalFormatting>
  <conditionalFormatting sqref="P31:P35">
    <cfRule type="cellIs" dxfId="758" priority="29" operator="equal">
      <formula>"Nok"</formula>
    </cfRule>
    <cfRule type="cellIs" dxfId="757" priority="30" operator="equal">
      <formula>"Ok"</formula>
    </cfRule>
  </conditionalFormatting>
  <conditionalFormatting sqref="P36:P37">
    <cfRule type="cellIs" dxfId="756" priority="27" operator="equal">
      <formula>"Nok"</formula>
    </cfRule>
    <cfRule type="cellIs" dxfId="755" priority="28" operator="equal">
      <formula>"Ok"</formula>
    </cfRule>
  </conditionalFormatting>
  <conditionalFormatting sqref="P38">
    <cfRule type="cellIs" dxfId="754" priority="25" operator="equal">
      <formula>"Nok"</formula>
    </cfRule>
    <cfRule type="cellIs" dxfId="753" priority="26" operator="equal">
      <formula>"Ok"</formula>
    </cfRule>
  </conditionalFormatting>
  <conditionalFormatting sqref="P39">
    <cfRule type="cellIs" dxfId="752" priority="23" operator="equal">
      <formula>"Nok"</formula>
    </cfRule>
    <cfRule type="cellIs" dxfId="751" priority="24" operator="equal">
      <formula>"Ok"</formula>
    </cfRule>
  </conditionalFormatting>
  <conditionalFormatting sqref="P40">
    <cfRule type="cellIs" dxfId="750" priority="21" operator="equal">
      <formula>"Nok"</formula>
    </cfRule>
    <cfRule type="cellIs" dxfId="749" priority="22" operator="equal">
      <formula>"Ok"</formula>
    </cfRule>
  </conditionalFormatting>
  <conditionalFormatting sqref="P41">
    <cfRule type="cellIs" dxfId="748" priority="19" operator="equal">
      <formula>"Nok"</formula>
    </cfRule>
    <cfRule type="cellIs" dxfId="747" priority="20" operator="equal">
      <formula>"Ok"</formula>
    </cfRule>
  </conditionalFormatting>
  <conditionalFormatting sqref="P42">
    <cfRule type="cellIs" dxfId="746" priority="17" operator="equal">
      <formula>"Nok"</formula>
    </cfRule>
    <cfRule type="cellIs" dxfId="745" priority="18" operator="equal">
      <formula>"Ok"</formula>
    </cfRule>
  </conditionalFormatting>
  <conditionalFormatting sqref="P43">
    <cfRule type="cellIs" dxfId="744" priority="15" operator="equal">
      <formula>"Nok"</formula>
    </cfRule>
    <cfRule type="cellIs" dxfId="743" priority="16" operator="equal">
      <formula>"Ok"</formula>
    </cfRule>
  </conditionalFormatting>
  <conditionalFormatting sqref="P44">
    <cfRule type="cellIs" dxfId="742" priority="13" operator="equal">
      <formula>"Nok"</formula>
    </cfRule>
    <cfRule type="cellIs" dxfId="741" priority="14" operator="equal">
      <formula>"Ok"</formula>
    </cfRule>
  </conditionalFormatting>
  <conditionalFormatting sqref="P45">
    <cfRule type="cellIs" dxfId="740" priority="11" operator="equal">
      <formula>"Nok"</formula>
    </cfRule>
    <cfRule type="cellIs" dxfId="739" priority="12" operator="equal">
      <formula>"Ok"</formula>
    </cfRule>
  </conditionalFormatting>
  <conditionalFormatting sqref="P46">
    <cfRule type="cellIs" dxfId="738" priority="9" operator="equal">
      <formula>"Nok"</formula>
    </cfRule>
    <cfRule type="cellIs" dxfId="737" priority="10" operator="equal">
      <formula>"Ok"</formula>
    </cfRule>
  </conditionalFormatting>
  <conditionalFormatting sqref="P47">
    <cfRule type="cellIs" dxfId="736" priority="7" operator="equal">
      <formula>"Nok"</formula>
    </cfRule>
    <cfRule type="cellIs" dxfId="735" priority="8" operator="equal">
      <formula>"Ok"</formula>
    </cfRule>
  </conditionalFormatting>
  <conditionalFormatting sqref="P48">
    <cfRule type="cellIs" dxfId="734" priority="5" operator="equal">
      <formula>"Nok"</formula>
    </cfRule>
    <cfRule type="cellIs" dxfId="733" priority="6" operator="equal">
      <formula>"Ok"</formula>
    </cfRule>
  </conditionalFormatting>
  <conditionalFormatting sqref="P49">
    <cfRule type="cellIs" dxfId="732" priority="3" operator="equal">
      <formula>"Nok"</formula>
    </cfRule>
    <cfRule type="cellIs" dxfId="731" priority="4" operator="equal">
      <formula>"Ok"</formula>
    </cfRule>
  </conditionalFormatting>
  <conditionalFormatting sqref="P50">
    <cfRule type="cellIs" dxfId="730" priority="1" operator="equal">
      <formula>"Nok"</formula>
    </cfRule>
    <cfRule type="cellIs" dxfId="729" priority="2" operator="equal">
      <formula>"Ok"</formula>
    </cfRule>
  </conditionalFormatting>
  <dataValidations count="3">
    <dataValidation type="list" allowBlank="1" showInputMessage="1" showErrorMessage="1" sqref="P22:P50">
      <formula1>"Ok, Nok, Not run, ,"</formula1>
    </dataValidation>
    <dataValidation type="list" allowBlank="1" showInputMessage="1" showErrorMessage="1" sqref="B9">
      <formula1>"Ok, Nok, Not run, NA"</formula1>
    </dataValidation>
    <dataValidation type="list" allowBlank="1" showInputMessage="1" showErrorMessage="1" sqref="B5">
      <formula1>"Nominal, Robustness, Endurance, Qualification"</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workbookViewId="0">
      <selection activeCell="H25" sqref="H25:K25"/>
    </sheetView>
  </sheetViews>
  <sheetFormatPr defaultRowHeight="12.75" x14ac:dyDescent="0.2"/>
  <cols>
    <col min="1" max="1" width="20.140625" style="97" customWidth="1"/>
    <col min="2" max="2" width="18.42578125" style="93" customWidth="1"/>
    <col min="3" max="7" width="9.140625" style="93"/>
    <col min="8" max="15" width="9.5703125" style="93" customWidth="1"/>
    <col min="16" max="16384" width="9.140625" style="93"/>
  </cols>
  <sheetData>
    <row r="1" spans="1:15" ht="13.5" thickBot="1" x14ac:dyDescent="0.25">
      <c r="A1" s="98" t="s">
        <v>41</v>
      </c>
      <c r="B1" s="234" t="s">
        <v>300</v>
      </c>
      <c r="C1" s="235"/>
      <c r="D1" s="235"/>
      <c r="E1" s="235"/>
      <c r="F1" s="235"/>
      <c r="G1" s="236"/>
      <c r="H1" s="73"/>
      <c r="I1" s="73"/>
      <c r="J1" s="73"/>
      <c r="K1" s="73"/>
      <c r="L1" s="73"/>
      <c r="M1" s="73"/>
      <c r="N1" s="73"/>
      <c r="O1" s="73"/>
    </row>
    <row r="2" spans="1:15" ht="13.5" thickBot="1" x14ac:dyDescent="0.25">
      <c r="A2" s="71"/>
      <c r="B2" s="72"/>
      <c r="C2" s="72"/>
      <c r="D2" s="73"/>
      <c r="E2" s="73"/>
      <c r="F2" s="73"/>
      <c r="G2" s="73"/>
      <c r="H2" s="73"/>
      <c r="I2" s="73"/>
      <c r="J2" s="73"/>
      <c r="K2" s="73"/>
      <c r="L2" s="73"/>
      <c r="M2" s="73"/>
      <c r="N2" s="73"/>
      <c r="O2" s="73"/>
    </row>
    <row r="3" spans="1:15" ht="61.5" customHeight="1" thickBot="1" x14ac:dyDescent="0.25">
      <c r="A3" s="99" t="s">
        <v>46</v>
      </c>
      <c r="B3" s="237" t="s">
        <v>301</v>
      </c>
      <c r="C3" s="238"/>
      <c r="D3" s="238"/>
      <c r="E3" s="238"/>
      <c r="F3" s="238"/>
      <c r="G3" s="239"/>
      <c r="H3" s="73"/>
      <c r="I3" s="73"/>
      <c r="J3" s="73"/>
      <c r="K3" s="73"/>
      <c r="L3" s="73"/>
      <c r="M3" s="73"/>
      <c r="N3" s="73"/>
      <c r="O3" s="73"/>
    </row>
    <row r="4" spans="1:15" ht="13.5" thickBot="1" x14ac:dyDescent="0.25">
      <c r="A4" s="71"/>
      <c r="B4" s="72"/>
      <c r="C4" s="72"/>
      <c r="D4" s="73"/>
      <c r="E4" s="73"/>
      <c r="F4" s="73"/>
      <c r="G4" s="73"/>
      <c r="H4" s="73"/>
      <c r="I4" s="73"/>
      <c r="J4" s="73"/>
      <c r="K4" s="73"/>
      <c r="L4" s="73"/>
      <c r="M4" s="73"/>
      <c r="N4" s="73"/>
      <c r="O4" s="73"/>
    </row>
    <row r="5" spans="1:15" ht="13.5" thickBot="1" x14ac:dyDescent="0.25">
      <c r="A5" s="98" t="s">
        <v>111</v>
      </c>
      <c r="B5" s="76" t="s">
        <v>142</v>
      </c>
      <c r="C5" s="72"/>
      <c r="D5" s="73"/>
      <c r="E5" s="73"/>
      <c r="F5" s="73"/>
      <c r="G5" s="73"/>
      <c r="H5" s="73"/>
      <c r="I5" s="73"/>
      <c r="J5" s="73"/>
      <c r="K5" s="73"/>
      <c r="L5" s="73"/>
      <c r="M5" s="73"/>
      <c r="N5" s="73"/>
      <c r="O5" s="73"/>
    </row>
    <row r="6" spans="1:15" ht="13.5" thickBot="1" x14ac:dyDescent="0.25">
      <c r="A6" s="71"/>
      <c r="B6" s="72"/>
      <c r="C6" s="72"/>
      <c r="D6" s="73"/>
      <c r="E6" s="73"/>
      <c r="F6" s="73"/>
      <c r="G6" s="73"/>
      <c r="H6" s="73"/>
      <c r="I6" s="73"/>
      <c r="J6" s="73"/>
      <c r="K6" s="73"/>
      <c r="L6" s="73"/>
      <c r="M6" s="73"/>
      <c r="N6" s="73"/>
      <c r="O6" s="73"/>
    </row>
    <row r="7" spans="1:15" ht="30.75" customHeight="1" thickBot="1" x14ac:dyDescent="0.25">
      <c r="A7" s="98" t="s">
        <v>42</v>
      </c>
      <c r="B7" s="237" t="s">
        <v>302</v>
      </c>
      <c r="C7" s="238"/>
      <c r="D7" s="238"/>
      <c r="E7" s="238"/>
      <c r="F7" s="238"/>
      <c r="G7" s="239"/>
      <c r="H7" s="73"/>
      <c r="I7" s="73"/>
      <c r="J7" s="73"/>
      <c r="K7" s="73"/>
      <c r="L7" s="73"/>
      <c r="M7" s="73"/>
      <c r="N7" s="73"/>
      <c r="O7" s="73"/>
    </row>
    <row r="8" spans="1:15" ht="13.5" thickBot="1" x14ac:dyDescent="0.25">
      <c r="A8" s="75"/>
      <c r="B8" s="74"/>
      <c r="C8" s="74"/>
      <c r="D8" s="74"/>
      <c r="E8" s="74"/>
      <c r="F8" s="74"/>
      <c r="G8" s="74"/>
      <c r="H8" s="73"/>
      <c r="I8" s="73"/>
      <c r="J8" s="73"/>
      <c r="K8" s="73"/>
      <c r="L8" s="73"/>
      <c r="M8" s="73"/>
      <c r="N8" s="73"/>
      <c r="O8" s="73"/>
    </row>
    <row r="9" spans="1:15" ht="13.5" thickBot="1" x14ac:dyDescent="0.25">
      <c r="A9" s="98" t="s">
        <v>43</v>
      </c>
      <c r="B9" s="103" t="s">
        <v>143</v>
      </c>
      <c r="C9" s="72"/>
      <c r="D9" s="73"/>
      <c r="E9" s="73"/>
      <c r="F9" s="73"/>
      <c r="G9" s="73"/>
      <c r="H9" s="73"/>
      <c r="I9" s="73"/>
      <c r="J9" s="73"/>
      <c r="K9" s="73"/>
      <c r="L9" s="73"/>
      <c r="M9" s="73"/>
      <c r="N9" s="73"/>
      <c r="O9" s="73"/>
    </row>
    <row r="10" spans="1:15" ht="13.5" thickBot="1" x14ac:dyDescent="0.25">
      <c r="A10" s="75"/>
      <c r="B10" s="94"/>
      <c r="C10" s="72"/>
      <c r="D10" s="73"/>
      <c r="E10" s="73"/>
      <c r="F10" s="73"/>
      <c r="G10" s="73"/>
      <c r="H10" s="73"/>
      <c r="I10" s="73"/>
      <c r="J10" s="73"/>
      <c r="K10" s="73"/>
      <c r="L10" s="73"/>
      <c r="M10" s="73"/>
      <c r="N10" s="73"/>
      <c r="O10" s="73"/>
    </row>
    <row r="11" spans="1:15" ht="12" customHeight="1" x14ac:dyDescent="0.2">
      <c r="A11" s="223" t="s">
        <v>113</v>
      </c>
      <c r="B11" s="225"/>
      <c r="C11" s="226"/>
      <c r="D11" s="226"/>
      <c r="E11" s="226"/>
      <c r="F11" s="226"/>
      <c r="G11" s="227"/>
      <c r="H11" s="73"/>
      <c r="I11" s="73"/>
      <c r="J11" s="73"/>
      <c r="K11" s="73"/>
      <c r="L11" s="73"/>
      <c r="M11" s="73"/>
      <c r="N11" s="73"/>
      <c r="O11" s="73"/>
    </row>
    <row r="12" spans="1:15" x14ac:dyDescent="0.2">
      <c r="A12" s="224"/>
      <c r="B12" s="228"/>
      <c r="C12" s="229"/>
      <c r="D12" s="229"/>
      <c r="E12" s="229"/>
      <c r="F12" s="229"/>
      <c r="G12" s="230"/>
      <c r="H12" s="73"/>
      <c r="I12" s="73"/>
      <c r="J12" s="73"/>
      <c r="K12" s="73"/>
      <c r="L12" s="73"/>
      <c r="M12" s="73"/>
      <c r="N12" s="73"/>
      <c r="O12" s="73"/>
    </row>
    <row r="13" spans="1:15" x14ac:dyDescent="0.2">
      <c r="A13" s="224"/>
      <c r="B13" s="228"/>
      <c r="C13" s="229"/>
      <c r="D13" s="229"/>
      <c r="E13" s="229"/>
      <c r="F13" s="229"/>
      <c r="G13" s="230"/>
      <c r="H13" s="71"/>
      <c r="I13" s="73"/>
      <c r="J13" s="73"/>
      <c r="K13" s="73"/>
      <c r="L13" s="73"/>
      <c r="M13" s="73"/>
      <c r="N13" s="73"/>
      <c r="O13" s="73"/>
    </row>
    <row r="14" spans="1:15" ht="13.5" thickBot="1" x14ac:dyDescent="0.25">
      <c r="A14" s="224"/>
      <c r="B14" s="231"/>
      <c r="C14" s="232"/>
      <c r="D14" s="232"/>
      <c r="E14" s="232"/>
      <c r="F14" s="232"/>
      <c r="G14" s="233"/>
      <c r="H14" s="77"/>
      <c r="I14" s="73"/>
      <c r="J14" s="73"/>
      <c r="K14" s="73"/>
      <c r="L14" s="73"/>
      <c r="M14" s="73"/>
      <c r="N14" s="73"/>
      <c r="O14" s="73"/>
    </row>
    <row r="15" spans="1:15" ht="13.5" thickBot="1" x14ac:dyDescent="0.25">
      <c r="A15" s="71"/>
      <c r="B15" s="71"/>
      <c r="C15" s="71"/>
      <c r="D15" s="71"/>
      <c r="E15" s="71"/>
      <c r="F15" s="71"/>
      <c r="G15" s="71"/>
      <c r="H15" s="77"/>
      <c r="I15" s="73"/>
      <c r="J15" s="73"/>
      <c r="K15" s="73"/>
      <c r="L15" s="73"/>
      <c r="M15" s="73"/>
      <c r="N15" s="73"/>
      <c r="O15" s="73"/>
    </row>
    <row r="16" spans="1:15" x14ac:dyDescent="0.2">
      <c r="A16" s="223" t="s">
        <v>44</v>
      </c>
      <c r="B16" s="225"/>
      <c r="C16" s="226"/>
      <c r="D16" s="226"/>
      <c r="E16" s="226"/>
      <c r="F16" s="226"/>
      <c r="G16" s="227"/>
      <c r="H16" s="73"/>
      <c r="I16" s="73"/>
      <c r="J16" s="73"/>
      <c r="K16" s="73"/>
      <c r="L16" s="73"/>
      <c r="M16" s="73"/>
      <c r="N16" s="73"/>
      <c r="O16" s="73"/>
    </row>
    <row r="17" spans="1:16" x14ac:dyDescent="0.2">
      <c r="A17" s="224"/>
      <c r="B17" s="228"/>
      <c r="C17" s="229"/>
      <c r="D17" s="229"/>
      <c r="E17" s="229"/>
      <c r="F17" s="229"/>
      <c r="G17" s="230"/>
      <c r="H17" s="73"/>
      <c r="I17" s="73"/>
      <c r="J17" s="73"/>
      <c r="K17" s="73"/>
      <c r="L17" s="73"/>
      <c r="M17" s="73"/>
      <c r="N17" s="73"/>
      <c r="O17" s="73"/>
    </row>
    <row r="18" spans="1:16" x14ac:dyDescent="0.2">
      <c r="A18" s="224"/>
      <c r="B18" s="228"/>
      <c r="C18" s="229"/>
      <c r="D18" s="229"/>
      <c r="E18" s="229"/>
      <c r="F18" s="229"/>
      <c r="G18" s="230"/>
      <c r="H18" s="71"/>
      <c r="I18" s="73"/>
      <c r="J18" s="73"/>
      <c r="K18" s="73"/>
      <c r="L18" s="73"/>
      <c r="M18" s="73"/>
      <c r="N18" s="73"/>
      <c r="O18" s="73"/>
    </row>
    <row r="19" spans="1:16" ht="13.5" thickBot="1" x14ac:dyDescent="0.25">
      <c r="A19" s="224"/>
      <c r="B19" s="231"/>
      <c r="C19" s="232"/>
      <c r="D19" s="232"/>
      <c r="E19" s="232"/>
      <c r="F19" s="232"/>
      <c r="G19" s="233"/>
      <c r="H19" s="77"/>
      <c r="I19" s="73"/>
      <c r="J19" s="73"/>
      <c r="K19" s="73"/>
      <c r="L19" s="73"/>
      <c r="M19" s="73"/>
      <c r="N19" s="73"/>
      <c r="O19" s="73"/>
    </row>
    <row r="20" spans="1:16" ht="13.5" thickBot="1" x14ac:dyDescent="0.25">
      <c r="A20" s="71"/>
      <c r="B20" s="71"/>
      <c r="C20" s="71"/>
      <c r="D20" s="71"/>
      <c r="E20" s="71"/>
      <c r="F20" s="71"/>
      <c r="G20" s="71"/>
      <c r="H20" s="77"/>
      <c r="I20" s="73"/>
      <c r="J20" s="73"/>
      <c r="K20" s="73"/>
      <c r="L20" s="73"/>
      <c r="M20" s="73"/>
      <c r="N20" s="73"/>
      <c r="O20" s="73"/>
    </row>
    <row r="21" spans="1:16" ht="12.75" customHeight="1" x14ac:dyDescent="0.2">
      <c r="A21" s="220" t="s">
        <v>48</v>
      </c>
      <c r="B21" s="221"/>
      <c r="C21" s="221"/>
      <c r="D21" s="221"/>
      <c r="E21" s="221"/>
      <c r="F21" s="221"/>
      <c r="G21" s="222"/>
      <c r="H21" s="220" t="s">
        <v>49</v>
      </c>
      <c r="I21" s="221"/>
      <c r="J21" s="221"/>
      <c r="K21" s="222"/>
      <c r="L21" s="220" t="s">
        <v>60</v>
      </c>
      <c r="M21" s="221"/>
      <c r="N21" s="221"/>
      <c r="O21" s="222"/>
      <c r="P21" s="100" t="s">
        <v>47</v>
      </c>
    </row>
    <row r="22" spans="1:16" ht="78" customHeight="1" thickBot="1" x14ac:dyDescent="0.25">
      <c r="A22" s="101" t="s">
        <v>50</v>
      </c>
      <c r="B22" s="212" t="s">
        <v>303</v>
      </c>
      <c r="C22" s="213"/>
      <c r="D22" s="213"/>
      <c r="E22" s="213"/>
      <c r="F22" s="213"/>
      <c r="G22" s="214"/>
      <c r="H22" s="216"/>
      <c r="I22" s="216"/>
      <c r="J22" s="216"/>
      <c r="K22" s="216"/>
      <c r="L22" s="216" t="s">
        <v>290</v>
      </c>
      <c r="M22" s="216"/>
      <c r="N22" s="216"/>
      <c r="O22" s="216"/>
      <c r="P22" s="95" t="s">
        <v>143</v>
      </c>
    </row>
    <row r="23" spans="1:16" ht="73.5" customHeight="1" thickBot="1" x14ac:dyDescent="0.25">
      <c r="A23" s="101" t="s">
        <v>51</v>
      </c>
      <c r="B23" s="212" t="s">
        <v>304</v>
      </c>
      <c r="C23" s="213"/>
      <c r="D23" s="213"/>
      <c r="E23" s="213"/>
      <c r="F23" s="213"/>
      <c r="G23" s="214"/>
      <c r="H23" s="216"/>
      <c r="I23" s="216"/>
      <c r="J23" s="216"/>
      <c r="K23" s="216"/>
      <c r="L23" s="216" t="s">
        <v>290</v>
      </c>
      <c r="M23" s="216"/>
      <c r="N23" s="216"/>
      <c r="O23" s="216"/>
      <c r="P23" s="95" t="s">
        <v>143</v>
      </c>
    </row>
    <row r="24" spans="1:16" ht="73.5" customHeight="1" thickBot="1" x14ac:dyDescent="0.25">
      <c r="A24" s="101" t="s">
        <v>52</v>
      </c>
      <c r="B24" s="212" t="s">
        <v>305</v>
      </c>
      <c r="C24" s="213"/>
      <c r="D24" s="213"/>
      <c r="E24" s="213"/>
      <c r="F24" s="213"/>
      <c r="G24" s="214"/>
      <c r="H24" s="216"/>
      <c r="I24" s="216"/>
      <c r="J24" s="216"/>
      <c r="K24" s="216"/>
      <c r="L24" s="216" t="s">
        <v>290</v>
      </c>
      <c r="M24" s="216"/>
      <c r="N24" s="216"/>
      <c r="O24" s="216"/>
      <c r="P24" s="95" t="s">
        <v>143</v>
      </c>
    </row>
    <row r="25" spans="1:16" ht="72.75" customHeight="1" thickBot="1" x14ac:dyDescent="0.25">
      <c r="A25" s="101" t="s">
        <v>53</v>
      </c>
      <c r="B25" s="212" t="s">
        <v>306</v>
      </c>
      <c r="C25" s="213"/>
      <c r="D25" s="213"/>
      <c r="E25" s="213"/>
      <c r="F25" s="213"/>
      <c r="G25" s="214"/>
      <c r="H25" s="216"/>
      <c r="I25" s="216"/>
      <c r="J25" s="216"/>
      <c r="K25" s="216"/>
      <c r="L25" s="216" t="s">
        <v>307</v>
      </c>
      <c r="M25" s="216"/>
      <c r="N25" s="216"/>
      <c r="O25" s="216"/>
      <c r="P25" s="95" t="s">
        <v>143</v>
      </c>
    </row>
    <row r="26" spans="1:16" ht="104.25" customHeight="1" thickBot="1" x14ac:dyDescent="0.25">
      <c r="A26" s="101" t="s">
        <v>54</v>
      </c>
      <c r="B26" s="212"/>
      <c r="C26" s="213"/>
      <c r="D26" s="213"/>
      <c r="E26" s="213"/>
      <c r="F26" s="213"/>
      <c r="G26" s="214"/>
      <c r="H26" s="216"/>
      <c r="I26" s="216"/>
      <c r="J26" s="216"/>
      <c r="K26" s="216"/>
      <c r="L26" s="216"/>
      <c r="M26" s="216"/>
      <c r="N26" s="216"/>
      <c r="O26" s="216"/>
      <c r="P26" s="95"/>
    </row>
    <row r="27" spans="1:16" ht="29.25" customHeight="1" x14ac:dyDescent="0.2">
      <c r="A27" s="101" t="s">
        <v>55</v>
      </c>
      <c r="B27" s="217"/>
      <c r="C27" s="218"/>
      <c r="D27" s="218"/>
      <c r="E27" s="218"/>
      <c r="F27" s="218"/>
      <c r="G27" s="219"/>
      <c r="H27" s="216"/>
      <c r="I27" s="216"/>
      <c r="J27" s="216"/>
      <c r="K27" s="216"/>
      <c r="L27" s="216"/>
      <c r="M27" s="216"/>
      <c r="N27" s="216"/>
      <c r="O27" s="216"/>
      <c r="P27" s="95"/>
    </row>
    <row r="28" spans="1:16" ht="29.25" customHeight="1" x14ac:dyDescent="0.2">
      <c r="A28" s="101" t="s">
        <v>56</v>
      </c>
      <c r="B28" s="217"/>
      <c r="C28" s="218"/>
      <c r="D28" s="218"/>
      <c r="E28" s="218"/>
      <c r="F28" s="218"/>
      <c r="G28" s="219"/>
      <c r="H28" s="216"/>
      <c r="I28" s="216"/>
      <c r="J28" s="216"/>
      <c r="K28" s="216"/>
      <c r="L28" s="216"/>
      <c r="M28" s="216"/>
      <c r="N28" s="216"/>
      <c r="O28" s="216"/>
      <c r="P28" s="95"/>
    </row>
    <row r="29" spans="1:16" ht="29.25" customHeight="1" x14ac:dyDescent="0.2">
      <c r="A29" s="101" t="s">
        <v>57</v>
      </c>
      <c r="B29" s="217"/>
      <c r="C29" s="218"/>
      <c r="D29" s="218"/>
      <c r="E29" s="218"/>
      <c r="F29" s="218"/>
      <c r="G29" s="219"/>
      <c r="H29" s="216"/>
      <c r="I29" s="216"/>
      <c r="J29" s="216"/>
      <c r="K29" s="216"/>
      <c r="L29" s="216"/>
      <c r="M29" s="216"/>
      <c r="N29" s="216"/>
      <c r="O29" s="216"/>
      <c r="P29" s="95"/>
    </row>
    <row r="30" spans="1:16" ht="45.75" customHeight="1" thickBot="1" x14ac:dyDescent="0.25">
      <c r="A30" s="102" t="s">
        <v>58</v>
      </c>
      <c r="B30" s="212"/>
      <c r="C30" s="213"/>
      <c r="D30" s="213"/>
      <c r="E30" s="213"/>
      <c r="F30" s="213"/>
      <c r="G30" s="214"/>
      <c r="H30" s="215"/>
      <c r="I30" s="215"/>
      <c r="J30" s="215"/>
      <c r="K30" s="215"/>
      <c r="L30" s="215"/>
      <c r="M30" s="215"/>
      <c r="N30" s="215"/>
      <c r="O30" s="215"/>
      <c r="P30" s="96"/>
    </row>
    <row r="31" spans="1:16" ht="29.25" customHeight="1" thickBot="1" x14ac:dyDescent="0.25">
      <c r="A31" s="102" t="s">
        <v>145</v>
      </c>
      <c r="B31" s="217"/>
      <c r="C31" s="218"/>
      <c r="D31" s="218"/>
      <c r="E31" s="218"/>
      <c r="F31" s="218"/>
      <c r="G31" s="219"/>
      <c r="H31" s="216"/>
      <c r="I31" s="216"/>
      <c r="J31" s="216"/>
      <c r="K31" s="216"/>
      <c r="L31" s="216"/>
      <c r="M31" s="216"/>
      <c r="N31" s="216"/>
      <c r="O31" s="216"/>
      <c r="P31" s="95"/>
    </row>
    <row r="32" spans="1:16" ht="55.5" customHeight="1" thickBot="1" x14ac:dyDescent="0.25">
      <c r="A32" s="102" t="s">
        <v>146</v>
      </c>
      <c r="B32" s="217"/>
      <c r="C32" s="218"/>
      <c r="D32" s="218"/>
      <c r="E32" s="218"/>
      <c r="F32" s="218"/>
      <c r="G32" s="219"/>
      <c r="H32" s="216"/>
      <c r="I32" s="216"/>
      <c r="J32" s="216"/>
      <c r="K32" s="216"/>
      <c r="L32" s="216"/>
      <c r="M32" s="216"/>
      <c r="N32" s="216"/>
      <c r="O32" s="216"/>
      <c r="P32" s="95"/>
    </row>
    <row r="33" spans="1:16" ht="45.75" customHeight="1" thickBot="1" x14ac:dyDescent="0.25">
      <c r="A33" s="102" t="s">
        <v>147</v>
      </c>
      <c r="B33" s="212"/>
      <c r="C33" s="213"/>
      <c r="D33" s="213"/>
      <c r="E33" s="213"/>
      <c r="F33" s="213"/>
      <c r="G33" s="214"/>
      <c r="H33" s="215"/>
      <c r="I33" s="215"/>
      <c r="J33" s="215"/>
      <c r="K33" s="215"/>
      <c r="L33" s="215"/>
      <c r="M33" s="215"/>
      <c r="N33" s="215"/>
      <c r="O33" s="215"/>
      <c r="P33" s="95"/>
    </row>
    <row r="34" spans="1:16" ht="45.75" customHeight="1" thickBot="1" x14ac:dyDescent="0.25">
      <c r="A34" s="102" t="s">
        <v>148</v>
      </c>
      <c r="B34" s="217"/>
      <c r="C34" s="218"/>
      <c r="D34" s="218"/>
      <c r="E34" s="218"/>
      <c r="F34" s="218"/>
      <c r="G34" s="219"/>
      <c r="H34" s="216"/>
      <c r="I34" s="216"/>
      <c r="J34" s="216"/>
      <c r="K34" s="216"/>
      <c r="L34" s="216"/>
      <c r="M34" s="216"/>
      <c r="N34" s="216"/>
      <c r="O34" s="216"/>
      <c r="P34" s="95"/>
    </row>
    <row r="35" spans="1:16" ht="48" customHeight="1" thickBot="1" x14ac:dyDescent="0.25">
      <c r="A35" s="102" t="s">
        <v>149</v>
      </c>
      <c r="B35" s="217"/>
      <c r="C35" s="218"/>
      <c r="D35" s="218"/>
      <c r="E35" s="218"/>
      <c r="F35" s="218"/>
      <c r="G35" s="219"/>
      <c r="H35" s="216"/>
      <c r="I35" s="216"/>
      <c r="J35" s="216"/>
      <c r="K35" s="216"/>
      <c r="L35" s="216"/>
      <c r="M35" s="216"/>
      <c r="N35" s="216"/>
      <c r="O35" s="216"/>
      <c r="P35" s="95"/>
    </row>
    <row r="36" spans="1:16" ht="45.75" customHeight="1" thickBot="1" x14ac:dyDescent="0.25">
      <c r="A36" s="102" t="s">
        <v>150</v>
      </c>
      <c r="B36" s="212"/>
      <c r="C36" s="213"/>
      <c r="D36" s="213"/>
      <c r="E36" s="213"/>
      <c r="F36" s="213"/>
      <c r="G36" s="214"/>
      <c r="H36" s="215"/>
      <c r="I36" s="215"/>
      <c r="J36" s="215"/>
      <c r="K36" s="215"/>
      <c r="L36" s="216"/>
      <c r="M36" s="216"/>
      <c r="N36" s="216"/>
      <c r="O36" s="216"/>
      <c r="P36" s="96"/>
    </row>
    <row r="37" spans="1:16" ht="66" customHeight="1" thickBot="1" x14ac:dyDescent="0.25">
      <c r="A37" s="102" t="s">
        <v>151</v>
      </c>
      <c r="B37" s="212"/>
      <c r="C37" s="213"/>
      <c r="D37" s="213"/>
      <c r="E37" s="213"/>
      <c r="F37" s="213"/>
      <c r="G37" s="214"/>
      <c r="H37" s="215"/>
      <c r="I37" s="215"/>
      <c r="J37" s="215"/>
      <c r="K37" s="215"/>
      <c r="L37" s="216"/>
      <c r="M37" s="216"/>
      <c r="N37" s="216"/>
      <c r="O37" s="216"/>
      <c r="P37" s="96"/>
    </row>
    <row r="38" spans="1:16" ht="45.75" customHeight="1" thickBot="1" x14ac:dyDescent="0.25">
      <c r="A38" s="102" t="s">
        <v>152</v>
      </c>
      <c r="B38" s="212"/>
      <c r="C38" s="213"/>
      <c r="D38" s="213"/>
      <c r="E38" s="213"/>
      <c r="F38" s="213"/>
      <c r="G38" s="214"/>
      <c r="H38" s="215"/>
      <c r="I38" s="215"/>
      <c r="J38" s="215"/>
      <c r="K38" s="215"/>
      <c r="L38" s="215"/>
      <c r="M38" s="215"/>
      <c r="N38" s="215"/>
      <c r="O38" s="215"/>
      <c r="P38" s="96"/>
    </row>
    <row r="39" spans="1:16" ht="45.75" customHeight="1" thickBot="1" x14ac:dyDescent="0.25">
      <c r="A39" s="102" t="s">
        <v>153</v>
      </c>
      <c r="B39" s="212"/>
      <c r="C39" s="213"/>
      <c r="D39" s="213"/>
      <c r="E39" s="213"/>
      <c r="F39" s="213"/>
      <c r="G39" s="214"/>
      <c r="H39" s="215"/>
      <c r="I39" s="215"/>
      <c r="J39" s="215"/>
      <c r="K39" s="215"/>
      <c r="L39" s="215"/>
      <c r="M39" s="215"/>
      <c r="N39" s="215"/>
      <c r="O39" s="215"/>
      <c r="P39" s="96"/>
    </row>
    <row r="40" spans="1:16" ht="45.75" customHeight="1" thickBot="1" x14ac:dyDescent="0.25">
      <c r="A40" s="102" t="s">
        <v>184</v>
      </c>
      <c r="B40" s="212"/>
      <c r="C40" s="213"/>
      <c r="D40" s="213"/>
      <c r="E40" s="213"/>
      <c r="F40" s="213"/>
      <c r="G40" s="214"/>
      <c r="H40" s="215"/>
      <c r="I40" s="215"/>
      <c r="J40" s="215"/>
      <c r="K40" s="215"/>
      <c r="L40" s="215"/>
      <c r="M40" s="215"/>
      <c r="N40" s="215"/>
      <c r="O40" s="215"/>
      <c r="P40" s="96"/>
    </row>
    <row r="41" spans="1:16" ht="45.75" customHeight="1" thickBot="1" x14ac:dyDescent="0.25">
      <c r="A41" s="102" t="s">
        <v>185</v>
      </c>
      <c r="B41" s="212"/>
      <c r="C41" s="213"/>
      <c r="D41" s="213"/>
      <c r="E41" s="213"/>
      <c r="F41" s="213"/>
      <c r="G41" s="214"/>
      <c r="H41" s="215"/>
      <c r="I41" s="215"/>
      <c r="J41" s="215"/>
      <c r="K41" s="215"/>
      <c r="L41" s="215"/>
      <c r="M41" s="215"/>
      <c r="N41" s="215"/>
      <c r="O41" s="215"/>
      <c r="P41" s="96"/>
    </row>
    <row r="42" spans="1:16" ht="45.75" customHeight="1" thickBot="1" x14ac:dyDescent="0.25">
      <c r="A42" s="102" t="s">
        <v>186</v>
      </c>
      <c r="B42" s="212"/>
      <c r="C42" s="213"/>
      <c r="D42" s="213"/>
      <c r="E42" s="213"/>
      <c r="F42" s="213"/>
      <c r="G42" s="214"/>
      <c r="H42" s="215"/>
      <c r="I42" s="215"/>
      <c r="J42" s="215"/>
      <c r="K42" s="215"/>
      <c r="L42" s="215"/>
      <c r="M42" s="215"/>
      <c r="N42" s="215"/>
      <c r="O42" s="215"/>
      <c r="P42" s="96"/>
    </row>
    <row r="43" spans="1:16" ht="45.75" customHeight="1" thickBot="1" x14ac:dyDescent="0.25">
      <c r="A43" s="102" t="s">
        <v>187</v>
      </c>
      <c r="B43" s="212"/>
      <c r="C43" s="213"/>
      <c r="D43" s="213"/>
      <c r="E43" s="213"/>
      <c r="F43" s="213"/>
      <c r="G43" s="214"/>
      <c r="H43" s="215"/>
      <c r="I43" s="215"/>
      <c r="J43" s="215"/>
      <c r="K43" s="215"/>
      <c r="L43" s="215"/>
      <c r="M43" s="215"/>
      <c r="N43" s="215"/>
      <c r="O43" s="215"/>
      <c r="P43" s="96"/>
    </row>
    <row r="44" spans="1:16" ht="45.75" customHeight="1" thickBot="1" x14ac:dyDescent="0.25">
      <c r="A44" s="102" t="s">
        <v>188</v>
      </c>
      <c r="B44" s="212"/>
      <c r="C44" s="213"/>
      <c r="D44" s="213"/>
      <c r="E44" s="213"/>
      <c r="F44" s="213"/>
      <c r="G44" s="214"/>
      <c r="H44" s="215"/>
      <c r="I44" s="215"/>
      <c r="J44" s="215"/>
      <c r="K44" s="215"/>
      <c r="L44" s="215"/>
      <c r="M44" s="215"/>
      <c r="N44" s="215"/>
      <c r="O44" s="215"/>
      <c r="P44" s="96"/>
    </row>
    <row r="45" spans="1:16" ht="45.75" customHeight="1" thickBot="1" x14ac:dyDescent="0.25">
      <c r="A45" s="102" t="s">
        <v>189</v>
      </c>
      <c r="B45" s="212"/>
      <c r="C45" s="213"/>
      <c r="D45" s="213"/>
      <c r="E45" s="213"/>
      <c r="F45" s="213"/>
      <c r="G45" s="214"/>
      <c r="H45" s="215"/>
      <c r="I45" s="215"/>
      <c r="J45" s="215"/>
      <c r="K45" s="215"/>
      <c r="L45" s="215"/>
      <c r="M45" s="215"/>
      <c r="N45" s="215"/>
      <c r="O45" s="215"/>
      <c r="P45" s="96"/>
    </row>
    <row r="46" spans="1:16" ht="45.75" customHeight="1" thickBot="1" x14ac:dyDescent="0.25">
      <c r="A46" s="102" t="s">
        <v>190</v>
      </c>
      <c r="B46" s="212"/>
      <c r="C46" s="213"/>
      <c r="D46" s="213"/>
      <c r="E46" s="213"/>
      <c r="F46" s="213"/>
      <c r="G46" s="214"/>
      <c r="H46" s="215"/>
      <c r="I46" s="215"/>
      <c r="J46" s="215"/>
      <c r="K46" s="215"/>
      <c r="L46" s="215"/>
      <c r="M46" s="215"/>
      <c r="N46" s="215"/>
      <c r="O46" s="215"/>
      <c r="P46" s="96"/>
    </row>
    <row r="47" spans="1:16" ht="45.75" customHeight="1" thickBot="1" x14ac:dyDescent="0.25">
      <c r="A47" s="102" t="s">
        <v>191</v>
      </c>
      <c r="B47" s="212"/>
      <c r="C47" s="213"/>
      <c r="D47" s="213"/>
      <c r="E47" s="213"/>
      <c r="F47" s="213"/>
      <c r="G47" s="214"/>
      <c r="H47" s="215"/>
      <c r="I47" s="215"/>
      <c r="J47" s="215"/>
      <c r="K47" s="215"/>
      <c r="L47" s="215"/>
      <c r="M47" s="215"/>
      <c r="N47" s="215"/>
      <c r="O47" s="215"/>
      <c r="P47" s="96"/>
    </row>
    <row r="48" spans="1:16" ht="45.75" customHeight="1" thickBot="1" x14ac:dyDescent="0.25">
      <c r="A48" s="102" t="s">
        <v>192</v>
      </c>
      <c r="B48" s="212"/>
      <c r="C48" s="213"/>
      <c r="D48" s="213"/>
      <c r="E48" s="213"/>
      <c r="F48" s="213"/>
      <c r="G48" s="214"/>
      <c r="H48" s="215"/>
      <c r="I48" s="215"/>
      <c r="J48" s="215"/>
      <c r="K48" s="215"/>
      <c r="L48" s="215"/>
      <c r="M48" s="215"/>
      <c r="N48" s="215"/>
      <c r="O48" s="215"/>
      <c r="P48" s="96"/>
    </row>
    <row r="49" spans="1:16" ht="45.75" customHeight="1" thickBot="1" x14ac:dyDescent="0.25">
      <c r="A49" s="102" t="s">
        <v>193</v>
      </c>
      <c r="B49" s="212"/>
      <c r="C49" s="213"/>
      <c r="D49" s="213"/>
      <c r="E49" s="213"/>
      <c r="F49" s="213"/>
      <c r="G49" s="214"/>
      <c r="H49" s="215"/>
      <c r="I49" s="215"/>
      <c r="J49" s="215"/>
      <c r="K49" s="215"/>
      <c r="L49" s="215"/>
      <c r="M49" s="215"/>
      <c r="N49" s="215"/>
      <c r="O49" s="215"/>
      <c r="P49" s="96"/>
    </row>
    <row r="50" spans="1:16" ht="45.75" customHeight="1" thickBot="1" x14ac:dyDescent="0.25">
      <c r="A50" s="102" t="s">
        <v>194</v>
      </c>
      <c r="B50" s="212"/>
      <c r="C50" s="213"/>
      <c r="D50" s="213"/>
      <c r="E50" s="213"/>
      <c r="F50" s="213"/>
      <c r="G50" s="214"/>
      <c r="H50" s="215"/>
      <c r="I50" s="215"/>
      <c r="J50" s="215"/>
      <c r="K50" s="215"/>
      <c r="L50" s="215"/>
      <c r="M50" s="215"/>
      <c r="N50" s="215"/>
      <c r="O50" s="215"/>
      <c r="P50" s="96"/>
    </row>
  </sheetData>
  <mergeCells count="97">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 ref="B36:G36"/>
    <mergeCell ref="H36:K36"/>
    <mergeCell ref="L36:O36"/>
    <mergeCell ref="B37:G37"/>
    <mergeCell ref="H37:K37"/>
    <mergeCell ref="L37:O37"/>
    <mergeCell ref="B38:G38"/>
    <mergeCell ref="H38:K38"/>
    <mergeCell ref="L38:O38"/>
    <mergeCell ref="B39:G39"/>
    <mergeCell ref="H39:K39"/>
    <mergeCell ref="L39:O39"/>
    <mergeCell ref="B40:G40"/>
    <mergeCell ref="H40:K40"/>
    <mergeCell ref="L40:O40"/>
    <mergeCell ref="B41:G41"/>
    <mergeCell ref="H41:K41"/>
    <mergeCell ref="L41:O41"/>
    <mergeCell ref="B42:G42"/>
    <mergeCell ref="H42:K42"/>
    <mergeCell ref="L42:O42"/>
    <mergeCell ref="B43:G43"/>
    <mergeCell ref="H43:K43"/>
    <mergeCell ref="L43:O43"/>
    <mergeCell ref="B44:G44"/>
    <mergeCell ref="H44:K44"/>
    <mergeCell ref="L44:O44"/>
    <mergeCell ref="B45:G45"/>
    <mergeCell ref="H45:K45"/>
    <mergeCell ref="L45:O45"/>
    <mergeCell ref="B46:G46"/>
    <mergeCell ref="H46:K46"/>
    <mergeCell ref="L46:O46"/>
    <mergeCell ref="B47:G47"/>
    <mergeCell ref="H47:K47"/>
    <mergeCell ref="L47:O47"/>
    <mergeCell ref="B48:G48"/>
    <mergeCell ref="H48:K48"/>
    <mergeCell ref="L48:O48"/>
    <mergeCell ref="B49:G49"/>
    <mergeCell ref="H49:K49"/>
    <mergeCell ref="L49:O49"/>
    <mergeCell ref="B50:G50"/>
    <mergeCell ref="H50:K50"/>
    <mergeCell ref="L50:O50"/>
  </mergeCells>
  <conditionalFormatting sqref="B9:B10">
    <cfRule type="cellIs" dxfId="728" priority="33" operator="equal">
      <formula>"Nok"</formula>
    </cfRule>
    <cfRule type="cellIs" dxfId="727" priority="34" operator="equal">
      <formula>"Ok"</formula>
    </cfRule>
  </conditionalFormatting>
  <conditionalFormatting sqref="P22:P30">
    <cfRule type="cellIs" dxfId="726" priority="31" operator="equal">
      <formula>"Nok"</formula>
    </cfRule>
    <cfRule type="cellIs" dxfId="725" priority="32" operator="equal">
      <formula>"Ok"</formula>
    </cfRule>
  </conditionalFormatting>
  <conditionalFormatting sqref="P31:P35">
    <cfRule type="cellIs" dxfId="724" priority="29" operator="equal">
      <formula>"Nok"</formula>
    </cfRule>
    <cfRule type="cellIs" dxfId="723" priority="30" operator="equal">
      <formula>"Ok"</formula>
    </cfRule>
  </conditionalFormatting>
  <conditionalFormatting sqref="P36:P37">
    <cfRule type="cellIs" dxfId="722" priority="27" operator="equal">
      <formula>"Nok"</formula>
    </cfRule>
    <cfRule type="cellIs" dxfId="721" priority="28" operator="equal">
      <formula>"Ok"</formula>
    </cfRule>
  </conditionalFormatting>
  <conditionalFormatting sqref="P38">
    <cfRule type="cellIs" dxfId="720" priority="25" operator="equal">
      <formula>"Nok"</formula>
    </cfRule>
    <cfRule type="cellIs" dxfId="719" priority="26" operator="equal">
      <formula>"Ok"</formula>
    </cfRule>
  </conditionalFormatting>
  <conditionalFormatting sqref="P39">
    <cfRule type="cellIs" dxfId="718" priority="23" operator="equal">
      <formula>"Nok"</formula>
    </cfRule>
    <cfRule type="cellIs" dxfId="717" priority="24" operator="equal">
      <formula>"Ok"</formula>
    </cfRule>
  </conditionalFormatting>
  <conditionalFormatting sqref="P40">
    <cfRule type="cellIs" dxfId="716" priority="21" operator="equal">
      <formula>"Nok"</formula>
    </cfRule>
    <cfRule type="cellIs" dxfId="715" priority="22" operator="equal">
      <formula>"Ok"</formula>
    </cfRule>
  </conditionalFormatting>
  <conditionalFormatting sqref="P41">
    <cfRule type="cellIs" dxfId="714" priority="19" operator="equal">
      <formula>"Nok"</formula>
    </cfRule>
    <cfRule type="cellIs" dxfId="713" priority="20" operator="equal">
      <formula>"Ok"</formula>
    </cfRule>
  </conditionalFormatting>
  <conditionalFormatting sqref="P42">
    <cfRule type="cellIs" dxfId="712" priority="17" operator="equal">
      <formula>"Nok"</formula>
    </cfRule>
    <cfRule type="cellIs" dxfId="711" priority="18" operator="equal">
      <formula>"Ok"</formula>
    </cfRule>
  </conditionalFormatting>
  <conditionalFormatting sqref="P43">
    <cfRule type="cellIs" dxfId="710" priority="15" operator="equal">
      <formula>"Nok"</formula>
    </cfRule>
    <cfRule type="cellIs" dxfId="709" priority="16" operator="equal">
      <formula>"Ok"</formula>
    </cfRule>
  </conditionalFormatting>
  <conditionalFormatting sqref="P44">
    <cfRule type="cellIs" dxfId="708" priority="13" operator="equal">
      <formula>"Nok"</formula>
    </cfRule>
    <cfRule type="cellIs" dxfId="707" priority="14" operator="equal">
      <formula>"Ok"</formula>
    </cfRule>
  </conditionalFormatting>
  <conditionalFormatting sqref="P45">
    <cfRule type="cellIs" dxfId="706" priority="11" operator="equal">
      <formula>"Nok"</formula>
    </cfRule>
    <cfRule type="cellIs" dxfId="705" priority="12" operator="equal">
      <formula>"Ok"</formula>
    </cfRule>
  </conditionalFormatting>
  <conditionalFormatting sqref="P46">
    <cfRule type="cellIs" dxfId="704" priority="9" operator="equal">
      <formula>"Nok"</formula>
    </cfRule>
    <cfRule type="cellIs" dxfId="703" priority="10" operator="equal">
      <formula>"Ok"</formula>
    </cfRule>
  </conditionalFormatting>
  <conditionalFormatting sqref="P47">
    <cfRule type="cellIs" dxfId="702" priority="7" operator="equal">
      <formula>"Nok"</formula>
    </cfRule>
    <cfRule type="cellIs" dxfId="701" priority="8" operator="equal">
      <formula>"Ok"</formula>
    </cfRule>
  </conditionalFormatting>
  <conditionalFormatting sqref="P48">
    <cfRule type="cellIs" dxfId="700" priority="5" operator="equal">
      <formula>"Nok"</formula>
    </cfRule>
    <cfRule type="cellIs" dxfId="699" priority="6" operator="equal">
      <formula>"Ok"</formula>
    </cfRule>
  </conditionalFormatting>
  <conditionalFormatting sqref="P49">
    <cfRule type="cellIs" dxfId="698" priority="3" operator="equal">
      <formula>"Nok"</formula>
    </cfRule>
    <cfRule type="cellIs" dxfId="697" priority="4" operator="equal">
      <formula>"Ok"</formula>
    </cfRule>
  </conditionalFormatting>
  <conditionalFormatting sqref="P50">
    <cfRule type="cellIs" dxfId="696" priority="1" operator="equal">
      <formula>"Nok"</formula>
    </cfRule>
    <cfRule type="cellIs" dxfId="695" priority="2" operator="equal">
      <formula>"Ok"</formula>
    </cfRule>
  </conditionalFormatting>
  <dataValidations count="3">
    <dataValidation type="list" allowBlank="1" showInputMessage="1" showErrorMessage="1" sqref="B5">
      <formula1>"Nominal, Robustness, Endurance, Qualification"</formula1>
    </dataValidation>
    <dataValidation type="list" allowBlank="1" showInputMessage="1" showErrorMessage="1" sqref="B9">
      <formula1>"Ok, Nok, Not run, NA"</formula1>
    </dataValidation>
    <dataValidation type="list" allowBlank="1" showInputMessage="1" showErrorMessage="1" sqref="P22:P50">
      <formula1>"Ok, Nok, Not run, ,"</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workbookViewId="0">
      <selection activeCell="B3" sqref="B3:G3"/>
    </sheetView>
  </sheetViews>
  <sheetFormatPr defaultRowHeight="12.75" x14ac:dyDescent="0.2"/>
  <cols>
    <col min="1" max="1" width="20.140625" style="97" customWidth="1"/>
    <col min="2" max="2" width="18.42578125" style="93" customWidth="1"/>
    <col min="3" max="7" width="9.140625" style="93"/>
    <col min="8" max="15" width="9.5703125" style="93" customWidth="1"/>
    <col min="16" max="16384" width="9.140625" style="93"/>
  </cols>
  <sheetData>
    <row r="1" spans="1:15" ht="13.5" thickBot="1" x14ac:dyDescent="0.25">
      <c r="A1" s="98" t="s">
        <v>41</v>
      </c>
      <c r="B1" s="234" t="s">
        <v>310</v>
      </c>
      <c r="C1" s="235"/>
      <c r="D1" s="235"/>
      <c r="E1" s="235"/>
      <c r="F1" s="235"/>
      <c r="G1" s="236"/>
      <c r="H1" s="73"/>
      <c r="I1" s="73"/>
      <c r="J1" s="73"/>
      <c r="K1" s="73"/>
      <c r="L1" s="73"/>
      <c r="M1" s="73"/>
      <c r="N1" s="73"/>
      <c r="O1" s="73"/>
    </row>
    <row r="2" spans="1:15" ht="13.5" thickBot="1" x14ac:dyDescent="0.25">
      <c r="A2" s="71"/>
      <c r="B2" s="72"/>
      <c r="C2" s="72"/>
      <c r="D2" s="73"/>
      <c r="E2" s="73"/>
      <c r="F2" s="73"/>
      <c r="G2" s="73"/>
      <c r="H2" s="73"/>
      <c r="I2" s="73"/>
      <c r="J2" s="73"/>
      <c r="K2" s="73"/>
      <c r="L2" s="73"/>
      <c r="M2" s="73"/>
      <c r="N2" s="73"/>
      <c r="O2" s="73"/>
    </row>
    <row r="3" spans="1:15" ht="61.5" customHeight="1" thickBot="1" x14ac:dyDescent="0.25">
      <c r="A3" s="99" t="s">
        <v>46</v>
      </c>
      <c r="B3" s="237" t="s">
        <v>314</v>
      </c>
      <c r="C3" s="238"/>
      <c r="D3" s="238"/>
      <c r="E3" s="238"/>
      <c r="F3" s="238"/>
      <c r="G3" s="239"/>
      <c r="H3" s="73"/>
      <c r="I3" s="73"/>
      <c r="J3" s="73"/>
      <c r="K3" s="73"/>
      <c r="L3" s="73"/>
      <c r="M3" s="73"/>
      <c r="N3" s="73"/>
      <c r="O3" s="73"/>
    </row>
    <row r="4" spans="1:15" ht="13.5" thickBot="1" x14ac:dyDescent="0.25">
      <c r="A4" s="71"/>
      <c r="B4" s="72"/>
      <c r="C4" s="72"/>
      <c r="D4" s="73"/>
      <c r="E4" s="73"/>
      <c r="F4" s="73"/>
      <c r="G4" s="73"/>
      <c r="H4" s="73"/>
      <c r="I4" s="73"/>
      <c r="J4" s="73"/>
      <c r="K4" s="73"/>
      <c r="L4" s="73"/>
      <c r="M4" s="73"/>
      <c r="N4" s="73"/>
      <c r="O4" s="73"/>
    </row>
    <row r="5" spans="1:15" ht="13.5" thickBot="1" x14ac:dyDescent="0.25">
      <c r="A5" s="98" t="s">
        <v>111</v>
      </c>
      <c r="B5" s="76" t="s">
        <v>142</v>
      </c>
      <c r="C5" s="72"/>
      <c r="D5" s="73"/>
      <c r="E5" s="73"/>
      <c r="F5" s="73"/>
      <c r="G5" s="73"/>
      <c r="H5" s="73"/>
      <c r="I5" s="73"/>
      <c r="J5" s="73"/>
      <c r="K5" s="73"/>
      <c r="L5" s="73"/>
      <c r="M5" s="73"/>
      <c r="N5" s="73"/>
      <c r="O5" s="73"/>
    </row>
    <row r="6" spans="1:15" ht="13.5" thickBot="1" x14ac:dyDescent="0.25">
      <c r="A6" s="71"/>
      <c r="B6" s="72"/>
      <c r="C6" s="72"/>
      <c r="D6" s="73"/>
      <c r="E6" s="73"/>
      <c r="F6" s="73"/>
      <c r="G6" s="73"/>
      <c r="H6" s="73"/>
      <c r="I6" s="73"/>
      <c r="J6" s="73"/>
      <c r="K6" s="73"/>
      <c r="L6" s="73"/>
      <c r="M6" s="73"/>
      <c r="N6" s="73"/>
      <c r="O6" s="73"/>
    </row>
    <row r="7" spans="1:15" ht="30.75" customHeight="1" thickBot="1" x14ac:dyDescent="0.25">
      <c r="A7" s="98" t="s">
        <v>42</v>
      </c>
      <c r="B7" s="237" t="s">
        <v>311</v>
      </c>
      <c r="C7" s="238"/>
      <c r="D7" s="238"/>
      <c r="E7" s="238"/>
      <c r="F7" s="238"/>
      <c r="G7" s="239"/>
      <c r="H7" s="73"/>
      <c r="I7" s="73"/>
      <c r="J7" s="73"/>
      <c r="K7" s="73"/>
      <c r="L7" s="73"/>
      <c r="M7" s="73"/>
      <c r="N7" s="73"/>
      <c r="O7" s="73"/>
    </row>
    <row r="8" spans="1:15" ht="13.5" thickBot="1" x14ac:dyDescent="0.25">
      <c r="A8" s="75"/>
      <c r="B8" s="74"/>
      <c r="C8" s="74"/>
      <c r="D8" s="74"/>
      <c r="E8" s="74"/>
      <c r="F8" s="74"/>
      <c r="G8" s="74"/>
      <c r="H8" s="73"/>
      <c r="I8" s="73"/>
      <c r="J8" s="73"/>
      <c r="K8" s="73"/>
      <c r="L8" s="73"/>
      <c r="M8" s="73"/>
      <c r="N8" s="73"/>
      <c r="O8" s="73"/>
    </row>
    <row r="9" spans="1:15" ht="13.5" thickBot="1" x14ac:dyDescent="0.25">
      <c r="A9" s="98" t="s">
        <v>43</v>
      </c>
      <c r="B9" s="103" t="s">
        <v>143</v>
      </c>
      <c r="C9" s="72"/>
      <c r="D9" s="73"/>
      <c r="E9" s="73"/>
      <c r="F9" s="73"/>
      <c r="G9" s="73"/>
      <c r="H9" s="73"/>
      <c r="I9" s="73"/>
      <c r="J9" s="73"/>
      <c r="K9" s="73"/>
      <c r="L9" s="73"/>
      <c r="M9" s="73"/>
      <c r="N9" s="73"/>
      <c r="O9" s="73"/>
    </row>
    <row r="10" spans="1:15" ht="13.5" thickBot="1" x14ac:dyDescent="0.25">
      <c r="A10" s="75"/>
      <c r="B10" s="94"/>
      <c r="C10" s="72"/>
      <c r="D10" s="73"/>
      <c r="E10" s="73"/>
      <c r="F10" s="73"/>
      <c r="G10" s="73"/>
      <c r="H10" s="73"/>
      <c r="I10" s="73"/>
      <c r="J10" s="73"/>
      <c r="K10" s="73"/>
      <c r="L10" s="73"/>
      <c r="M10" s="73"/>
      <c r="N10" s="73"/>
      <c r="O10" s="73"/>
    </row>
    <row r="11" spans="1:15" ht="12" customHeight="1" x14ac:dyDescent="0.2">
      <c r="A11" s="223" t="s">
        <v>113</v>
      </c>
      <c r="B11" s="225"/>
      <c r="C11" s="226"/>
      <c r="D11" s="226"/>
      <c r="E11" s="226"/>
      <c r="F11" s="226"/>
      <c r="G11" s="227"/>
      <c r="H11" s="73"/>
      <c r="I11" s="73"/>
      <c r="J11" s="73"/>
      <c r="K11" s="73"/>
      <c r="L11" s="73"/>
      <c r="M11" s="73"/>
      <c r="N11" s="73"/>
      <c r="O11" s="73"/>
    </row>
    <row r="12" spans="1:15" x14ac:dyDescent="0.2">
      <c r="A12" s="224"/>
      <c r="B12" s="228"/>
      <c r="C12" s="229"/>
      <c r="D12" s="229"/>
      <c r="E12" s="229"/>
      <c r="F12" s="229"/>
      <c r="G12" s="230"/>
      <c r="H12" s="73"/>
      <c r="I12" s="73"/>
      <c r="J12" s="73"/>
      <c r="K12" s="73"/>
      <c r="L12" s="73"/>
      <c r="M12" s="73"/>
      <c r="N12" s="73"/>
      <c r="O12" s="73"/>
    </row>
    <row r="13" spans="1:15" x14ac:dyDescent="0.2">
      <c r="A13" s="224"/>
      <c r="B13" s="228"/>
      <c r="C13" s="229"/>
      <c r="D13" s="229"/>
      <c r="E13" s="229"/>
      <c r="F13" s="229"/>
      <c r="G13" s="230"/>
      <c r="H13" s="71"/>
      <c r="I13" s="73"/>
      <c r="J13" s="73"/>
      <c r="K13" s="73"/>
      <c r="L13" s="73"/>
      <c r="M13" s="73"/>
      <c r="N13" s="73"/>
      <c r="O13" s="73"/>
    </row>
    <row r="14" spans="1:15" ht="13.5" thickBot="1" x14ac:dyDescent="0.25">
      <c r="A14" s="224"/>
      <c r="B14" s="231"/>
      <c r="C14" s="232"/>
      <c r="D14" s="232"/>
      <c r="E14" s="232"/>
      <c r="F14" s="232"/>
      <c r="G14" s="233"/>
      <c r="H14" s="77"/>
      <c r="I14" s="73"/>
      <c r="J14" s="73"/>
      <c r="K14" s="73"/>
      <c r="L14" s="73"/>
      <c r="M14" s="73"/>
      <c r="N14" s="73"/>
      <c r="O14" s="73"/>
    </row>
    <row r="15" spans="1:15" ht="13.5" thickBot="1" x14ac:dyDescent="0.25">
      <c r="A15" s="71"/>
      <c r="B15" s="71"/>
      <c r="C15" s="71"/>
      <c r="D15" s="71"/>
      <c r="E15" s="71"/>
      <c r="F15" s="71"/>
      <c r="G15" s="71"/>
      <c r="H15" s="77"/>
      <c r="I15" s="73"/>
      <c r="J15" s="73"/>
      <c r="K15" s="73"/>
      <c r="L15" s="73"/>
      <c r="M15" s="73"/>
      <c r="N15" s="73"/>
      <c r="O15" s="73"/>
    </row>
    <row r="16" spans="1:15" x14ac:dyDescent="0.2">
      <c r="A16" s="223" t="s">
        <v>44</v>
      </c>
      <c r="B16" s="225"/>
      <c r="C16" s="226"/>
      <c r="D16" s="226"/>
      <c r="E16" s="226"/>
      <c r="F16" s="226"/>
      <c r="G16" s="227"/>
      <c r="H16" s="73"/>
      <c r="I16" s="73"/>
      <c r="J16" s="73"/>
      <c r="K16" s="73"/>
      <c r="L16" s="73"/>
      <c r="M16" s="73"/>
      <c r="N16" s="73"/>
      <c r="O16" s="73"/>
    </row>
    <row r="17" spans="1:16" x14ac:dyDescent="0.2">
      <c r="A17" s="224"/>
      <c r="B17" s="228"/>
      <c r="C17" s="229"/>
      <c r="D17" s="229"/>
      <c r="E17" s="229"/>
      <c r="F17" s="229"/>
      <c r="G17" s="230"/>
      <c r="H17" s="73"/>
      <c r="I17" s="73"/>
      <c r="J17" s="73"/>
      <c r="K17" s="73"/>
      <c r="L17" s="73"/>
      <c r="M17" s="73"/>
      <c r="N17" s="73"/>
      <c r="O17" s="73"/>
    </row>
    <row r="18" spans="1:16" x14ac:dyDescent="0.2">
      <c r="A18" s="224"/>
      <c r="B18" s="228"/>
      <c r="C18" s="229"/>
      <c r="D18" s="229"/>
      <c r="E18" s="229"/>
      <c r="F18" s="229"/>
      <c r="G18" s="230"/>
      <c r="H18" s="71"/>
      <c r="I18" s="73"/>
      <c r="J18" s="73"/>
      <c r="K18" s="73"/>
      <c r="L18" s="73"/>
      <c r="M18" s="73"/>
      <c r="N18" s="73"/>
      <c r="O18" s="73"/>
    </row>
    <row r="19" spans="1:16" ht="13.5" thickBot="1" x14ac:dyDescent="0.25">
      <c r="A19" s="224"/>
      <c r="B19" s="231"/>
      <c r="C19" s="232"/>
      <c r="D19" s="232"/>
      <c r="E19" s="232"/>
      <c r="F19" s="232"/>
      <c r="G19" s="233"/>
      <c r="H19" s="77"/>
      <c r="I19" s="73"/>
      <c r="J19" s="73"/>
      <c r="K19" s="73"/>
      <c r="L19" s="73"/>
      <c r="M19" s="73"/>
      <c r="N19" s="73"/>
      <c r="O19" s="73"/>
    </row>
    <row r="20" spans="1:16" ht="13.5" thickBot="1" x14ac:dyDescent="0.25">
      <c r="A20" s="71"/>
      <c r="B20" s="71"/>
      <c r="C20" s="71"/>
      <c r="D20" s="71"/>
      <c r="E20" s="71"/>
      <c r="F20" s="71"/>
      <c r="G20" s="71"/>
      <c r="H20" s="77"/>
      <c r="I20" s="73"/>
      <c r="J20" s="73"/>
      <c r="K20" s="73"/>
      <c r="L20" s="73"/>
      <c r="M20" s="73"/>
      <c r="N20" s="73"/>
      <c r="O20" s="73"/>
    </row>
    <row r="21" spans="1:16" ht="12.75" customHeight="1" x14ac:dyDescent="0.2">
      <c r="A21" s="220" t="s">
        <v>48</v>
      </c>
      <c r="B21" s="221"/>
      <c r="C21" s="221"/>
      <c r="D21" s="221"/>
      <c r="E21" s="221"/>
      <c r="F21" s="221"/>
      <c r="G21" s="222"/>
      <c r="H21" s="220" t="s">
        <v>49</v>
      </c>
      <c r="I21" s="221"/>
      <c r="J21" s="221"/>
      <c r="K21" s="222"/>
      <c r="L21" s="220" t="s">
        <v>60</v>
      </c>
      <c r="M21" s="221"/>
      <c r="N21" s="221"/>
      <c r="O21" s="222"/>
      <c r="P21" s="100" t="s">
        <v>47</v>
      </c>
    </row>
    <row r="22" spans="1:16" ht="88.5" customHeight="1" thickBot="1" x14ac:dyDescent="0.25">
      <c r="A22" s="101" t="s">
        <v>50</v>
      </c>
      <c r="B22" s="212" t="s">
        <v>312</v>
      </c>
      <c r="C22" s="213"/>
      <c r="D22" s="213"/>
      <c r="E22" s="213"/>
      <c r="F22" s="213"/>
      <c r="G22" s="214"/>
      <c r="H22" s="216"/>
      <c r="I22" s="216"/>
      <c r="J22" s="216"/>
      <c r="K22" s="216"/>
      <c r="L22" s="216" t="s">
        <v>290</v>
      </c>
      <c r="M22" s="216"/>
      <c r="N22" s="216"/>
      <c r="O22" s="216"/>
      <c r="P22" s="95" t="s">
        <v>143</v>
      </c>
    </row>
    <row r="23" spans="1:16" ht="73.5" customHeight="1" thickBot="1" x14ac:dyDescent="0.25">
      <c r="A23" s="101" t="s">
        <v>51</v>
      </c>
      <c r="B23" s="212" t="s">
        <v>313</v>
      </c>
      <c r="C23" s="213"/>
      <c r="D23" s="213"/>
      <c r="E23" s="213"/>
      <c r="F23" s="213"/>
      <c r="G23" s="214"/>
      <c r="H23" s="216"/>
      <c r="I23" s="216"/>
      <c r="J23" s="216"/>
      <c r="K23" s="216"/>
      <c r="L23" s="216" t="s">
        <v>290</v>
      </c>
      <c r="M23" s="216"/>
      <c r="N23" s="216"/>
      <c r="O23" s="216"/>
      <c r="P23" s="95" t="s">
        <v>143</v>
      </c>
    </row>
    <row r="24" spans="1:16" ht="73.5" customHeight="1" thickBot="1" x14ac:dyDescent="0.25">
      <c r="A24" s="101" t="s">
        <v>52</v>
      </c>
      <c r="B24" s="212"/>
      <c r="C24" s="213"/>
      <c r="D24" s="213"/>
      <c r="E24" s="213"/>
      <c r="F24" s="213"/>
      <c r="G24" s="214"/>
      <c r="H24" s="216"/>
      <c r="I24" s="216"/>
      <c r="J24" s="216"/>
      <c r="K24" s="216"/>
      <c r="L24" s="216"/>
      <c r="M24" s="216"/>
      <c r="N24" s="216"/>
      <c r="O24" s="216"/>
      <c r="P24" s="95"/>
    </row>
    <row r="25" spans="1:16" ht="72.75" customHeight="1" thickBot="1" x14ac:dyDescent="0.25">
      <c r="A25" s="101" t="s">
        <v>53</v>
      </c>
      <c r="B25" s="212"/>
      <c r="C25" s="213"/>
      <c r="D25" s="213"/>
      <c r="E25" s="213"/>
      <c r="F25" s="213"/>
      <c r="G25" s="214"/>
      <c r="H25" s="216"/>
      <c r="I25" s="216"/>
      <c r="J25" s="216"/>
      <c r="K25" s="216"/>
      <c r="L25" s="216"/>
      <c r="M25" s="216"/>
      <c r="N25" s="216"/>
      <c r="O25" s="216"/>
      <c r="P25" s="95"/>
    </row>
    <row r="26" spans="1:16" ht="104.25" customHeight="1" thickBot="1" x14ac:dyDescent="0.25">
      <c r="A26" s="101" t="s">
        <v>54</v>
      </c>
      <c r="B26" s="212"/>
      <c r="C26" s="213"/>
      <c r="D26" s="213"/>
      <c r="E26" s="213"/>
      <c r="F26" s="213"/>
      <c r="G26" s="214"/>
      <c r="H26" s="216"/>
      <c r="I26" s="216"/>
      <c r="J26" s="216"/>
      <c r="K26" s="216"/>
      <c r="L26" s="216"/>
      <c r="M26" s="216"/>
      <c r="N26" s="216"/>
      <c r="O26" s="216"/>
      <c r="P26" s="95"/>
    </row>
    <row r="27" spans="1:16" ht="29.25" customHeight="1" x14ac:dyDescent="0.2">
      <c r="A27" s="101" t="s">
        <v>55</v>
      </c>
      <c r="B27" s="217"/>
      <c r="C27" s="218"/>
      <c r="D27" s="218"/>
      <c r="E27" s="218"/>
      <c r="F27" s="218"/>
      <c r="G27" s="219"/>
      <c r="H27" s="216"/>
      <c r="I27" s="216"/>
      <c r="J27" s="216"/>
      <c r="K27" s="216"/>
      <c r="L27" s="216"/>
      <c r="M27" s="216"/>
      <c r="N27" s="216"/>
      <c r="O27" s="216"/>
      <c r="P27" s="95"/>
    </row>
    <row r="28" spans="1:16" ht="29.25" customHeight="1" x14ac:dyDescent="0.2">
      <c r="A28" s="101" t="s">
        <v>56</v>
      </c>
      <c r="B28" s="217"/>
      <c r="C28" s="218"/>
      <c r="D28" s="218"/>
      <c r="E28" s="218"/>
      <c r="F28" s="218"/>
      <c r="G28" s="219"/>
      <c r="H28" s="216"/>
      <c r="I28" s="216"/>
      <c r="J28" s="216"/>
      <c r="K28" s="216"/>
      <c r="L28" s="216"/>
      <c r="M28" s="216"/>
      <c r="N28" s="216"/>
      <c r="O28" s="216"/>
      <c r="P28" s="95"/>
    </row>
    <row r="29" spans="1:16" ht="29.25" customHeight="1" x14ac:dyDescent="0.2">
      <c r="A29" s="101" t="s">
        <v>57</v>
      </c>
      <c r="B29" s="217"/>
      <c r="C29" s="218"/>
      <c r="D29" s="218"/>
      <c r="E29" s="218"/>
      <c r="F29" s="218"/>
      <c r="G29" s="219"/>
      <c r="H29" s="216"/>
      <c r="I29" s="216"/>
      <c r="J29" s="216"/>
      <c r="K29" s="216"/>
      <c r="L29" s="216"/>
      <c r="M29" s="216"/>
      <c r="N29" s="216"/>
      <c r="O29" s="216"/>
      <c r="P29" s="95"/>
    </row>
    <row r="30" spans="1:16" ht="45.75" customHeight="1" thickBot="1" x14ac:dyDescent="0.25">
      <c r="A30" s="102" t="s">
        <v>58</v>
      </c>
      <c r="B30" s="212"/>
      <c r="C30" s="213"/>
      <c r="D30" s="213"/>
      <c r="E30" s="213"/>
      <c r="F30" s="213"/>
      <c r="G30" s="214"/>
      <c r="H30" s="215"/>
      <c r="I30" s="215"/>
      <c r="J30" s="215"/>
      <c r="K30" s="215"/>
      <c r="L30" s="215"/>
      <c r="M30" s="215"/>
      <c r="N30" s="215"/>
      <c r="O30" s="215"/>
      <c r="P30" s="96"/>
    </row>
    <row r="31" spans="1:16" ht="29.25" customHeight="1" thickBot="1" x14ac:dyDescent="0.25">
      <c r="A31" s="102" t="s">
        <v>145</v>
      </c>
      <c r="B31" s="217"/>
      <c r="C31" s="218"/>
      <c r="D31" s="218"/>
      <c r="E31" s="218"/>
      <c r="F31" s="218"/>
      <c r="G31" s="219"/>
      <c r="H31" s="216"/>
      <c r="I31" s="216"/>
      <c r="J31" s="216"/>
      <c r="K31" s="216"/>
      <c r="L31" s="216"/>
      <c r="M31" s="216"/>
      <c r="N31" s="216"/>
      <c r="O31" s="216"/>
      <c r="P31" s="95"/>
    </row>
    <row r="32" spans="1:16" ht="55.5" customHeight="1" thickBot="1" x14ac:dyDescent="0.25">
      <c r="A32" s="102" t="s">
        <v>146</v>
      </c>
      <c r="B32" s="217"/>
      <c r="C32" s="218"/>
      <c r="D32" s="218"/>
      <c r="E32" s="218"/>
      <c r="F32" s="218"/>
      <c r="G32" s="219"/>
      <c r="H32" s="216"/>
      <c r="I32" s="216"/>
      <c r="J32" s="216"/>
      <c r="K32" s="216"/>
      <c r="L32" s="216"/>
      <c r="M32" s="216"/>
      <c r="N32" s="216"/>
      <c r="O32" s="216"/>
      <c r="P32" s="95"/>
    </row>
    <row r="33" spans="1:16" ht="45.75" customHeight="1" thickBot="1" x14ac:dyDescent="0.25">
      <c r="A33" s="102" t="s">
        <v>147</v>
      </c>
      <c r="B33" s="212"/>
      <c r="C33" s="213"/>
      <c r="D33" s="213"/>
      <c r="E33" s="213"/>
      <c r="F33" s="213"/>
      <c r="G33" s="214"/>
      <c r="H33" s="215"/>
      <c r="I33" s="215"/>
      <c r="J33" s="215"/>
      <c r="K33" s="215"/>
      <c r="L33" s="215"/>
      <c r="M33" s="215"/>
      <c r="N33" s="215"/>
      <c r="O33" s="215"/>
      <c r="P33" s="95"/>
    </row>
    <row r="34" spans="1:16" ht="45.75" customHeight="1" thickBot="1" x14ac:dyDescent="0.25">
      <c r="A34" s="102" t="s">
        <v>148</v>
      </c>
      <c r="B34" s="217"/>
      <c r="C34" s="218"/>
      <c r="D34" s="218"/>
      <c r="E34" s="218"/>
      <c r="F34" s="218"/>
      <c r="G34" s="219"/>
      <c r="H34" s="216"/>
      <c r="I34" s="216"/>
      <c r="J34" s="216"/>
      <c r="K34" s="216"/>
      <c r="L34" s="216"/>
      <c r="M34" s="216"/>
      <c r="N34" s="216"/>
      <c r="O34" s="216"/>
      <c r="P34" s="95"/>
    </row>
    <row r="35" spans="1:16" ht="48" customHeight="1" thickBot="1" x14ac:dyDescent="0.25">
      <c r="A35" s="102" t="s">
        <v>149</v>
      </c>
      <c r="B35" s="217"/>
      <c r="C35" s="218"/>
      <c r="D35" s="218"/>
      <c r="E35" s="218"/>
      <c r="F35" s="218"/>
      <c r="G35" s="219"/>
      <c r="H35" s="216"/>
      <c r="I35" s="216"/>
      <c r="J35" s="216"/>
      <c r="K35" s="216"/>
      <c r="L35" s="216"/>
      <c r="M35" s="216"/>
      <c r="N35" s="216"/>
      <c r="O35" s="216"/>
      <c r="P35" s="95"/>
    </row>
    <row r="36" spans="1:16" ht="45.75" customHeight="1" thickBot="1" x14ac:dyDescent="0.25">
      <c r="A36" s="102" t="s">
        <v>150</v>
      </c>
      <c r="B36" s="212"/>
      <c r="C36" s="213"/>
      <c r="D36" s="213"/>
      <c r="E36" s="213"/>
      <c r="F36" s="213"/>
      <c r="G36" s="214"/>
      <c r="H36" s="215"/>
      <c r="I36" s="215"/>
      <c r="J36" s="215"/>
      <c r="K36" s="215"/>
      <c r="L36" s="216"/>
      <c r="M36" s="216"/>
      <c r="N36" s="216"/>
      <c r="O36" s="216"/>
      <c r="P36" s="96"/>
    </row>
    <row r="37" spans="1:16" ht="66" customHeight="1" thickBot="1" x14ac:dyDescent="0.25">
      <c r="A37" s="102" t="s">
        <v>151</v>
      </c>
      <c r="B37" s="212"/>
      <c r="C37" s="213"/>
      <c r="D37" s="213"/>
      <c r="E37" s="213"/>
      <c r="F37" s="213"/>
      <c r="G37" s="214"/>
      <c r="H37" s="215"/>
      <c r="I37" s="215"/>
      <c r="J37" s="215"/>
      <c r="K37" s="215"/>
      <c r="L37" s="216"/>
      <c r="M37" s="216"/>
      <c r="N37" s="216"/>
      <c r="O37" s="216"/>
      <c r="P37" s="96"/>
    </row>
    <row r="38" spans="1:16" ht="45.75" customHeight="1" thickBot="1" x14ac:dyDescent="0.25">
      <c r="A38" s="102" t="s">
        <v>152</v>
      </c>
      <c r="B38" s="212"/>
      <c r="C38" s="213"/>
      <c r="D38" s="213"/>
      <c r="E38" s="213"/>
      <c r="F38" s="213"/>
      <c r="G38" s="214"/>
      <c r="H38" s="215"/>
      <c r="I38" s="215"/>
      <c r="J38" s="215"/>
      <c r="K38" s="215"/>
      <c r="L38" s="215"/>
      <c r="M38" s="215"/>
      <c r="N38" s="215"/>
      <c r="O38" s="215"/>
      <c r="P38" s="96"/>
    </row>
    <row r="39" spans="1:16" ht="45.75" customHeight="1" thickBot="1" x14ac:dyDescent="0.25">
      <c r="A39" s="102" t="s">
        <v>153</v>
      </c>
      <c r="B39" s="212"/>
      <c r="C39" s="213"/>
      <c r="D39" s="213"/>
      <c r="E39" s="213"/>
      <c r="F39" s="213"/>
      <c r="G39" s="214"/>
      <c r="H39" s="215"/>
      <c r="I39" s="215"/>
      <c r="J39" s="215"/>
      <c r="K39" s="215"/>
      <c r="L39" s="215"/>
      <c r="M39" s="215"/>
      <c r="N39" s="215"/>
      <c r="O39" s="215"/>
      <c r="P39" s="96"/>
    </row>
    <row r="40" spans="1:16" ht="45.75" customHeight="1" thickBot="1" x14ac:dyDescent="0.25">
      <c r="A40" s="102" t="s">
        <v>184</v>
      </c>
      <c r="B40" s="212"/>
      <c r="C40" s="213"/>
      <c r="D40" s="213"/>
      <c r="E40" s="213"/>
      <c r="F40" s="213"/>
      <c r="G40" s="214"/>
      <c r="H40" s="215"/>
      <c r="I40" s="215"/>
      <c r="J40" s="215"/>
      <c r="K40" s="215"/>
      <c r="L40" s="215"/>
      <c r="M40" s="215"/>
      <c r="N40" s="215"/>
      <c r="O40" s="215"/>
      <c r="P40" s="96"/>
    </row>
    <row r="41" spans="1:16" ht="45.75" customHeight="1" thickBot="1" x14ac:dyDescent="0.25">
      <c r="A41" s="102" t="s">
        <v>185</v>
      </c>
      <c r="B41" s="212"/>
      <c r="C41" s="213"/>
      <c r="D41" s="213"/>
      <c r="E41" s="213"/>
      <c r="F41" s="213"/>
      <c r="G41" s="214"/>
      <c r="H41" s="215"/>
      <c r="I41" s="215"/>
      <c r="J41" s="215"/>
      <c r="K41" s="215"/>
      <c r="L41" s="215"/>
      <c r="M41" s="215"/>
      <c r="N41" s="215"/>
      <c r="O41" s="215"/>
      <c r="P41" s="96"/>
    </row>
    <row r="42" spans="1:16" ht="45.75" customHeight="1" thickBot="1" x14ac:dyDescent="0.25">
      <c r="A42" s="102" t="s">
        <v>186</v>
      </c>
      <c r="B42" s="212"/>
      <c r="C42" s="213"/>
      <c r="D42" s="213"/>
      <c r="E42" s="213"/>
      <c r="F42" s="213"/>
      <c r="G42" s="214"/>
      <c r="H42" s="215"/>
      <c r="I42" s="215"/>
      <c r="J42" s="215"/>
      <c r="K42" s="215"/>
      <c r="L42" s="215"/>
      <c r="M42" s="215"/>
      <c r="N42" s="215"/>
      <c r="O42" s="215"/>
      <c r="P42" s="96"/>
    </row>
    <row r="43" spans="1:16" ht="45.75" customHeight="1" thickBot="1" x14ac:dyDescent="0.25">
      <c r="A43" s="102" t="s">
        <v>187</v>
      </c>
      <c r="B43" s="212"/>
      <c r="C43" s="213"/>
      <c r="D43" s="213"/>
      <c r="E43" s="213"/>
      <c r="F43" s="213"/>
      <c r="G43" s="214"/>
      <c r="H43" s="215"/>
      <c r="I43" s="215"/>
      <c r="J43" s="215"/>
      <c r="K43" s="215"/>
      <c r="L43" s="215"/>
      <c r="M43" s="215"/>
      <c r="N43" s="215"/>
      <c r="O43" s="215"/>
      <c r="P43" s="96"/>
    </row>
    <row r="44" spans="1:16" ht="45.75" customHeight="1" thickBot="1" x14ac:dyDescent="0.25">
      <c r="A44" s="102" t="s">
        <v>188</v>
      </c>
      <c r="B44" s="212"/>
      <c r="C44" s="213"/>
      <c r="D44" s="213"/>
      <c r="E44" s="213"/>
      <c r="F44" s="213"/>
      <c r="G44" s="214"/>
      <c r="H44" s="215"/>
      <c r="I44" s="215"/>
      <c r="J44" s="215"/>
      <c r="K44" s="215"/>
      <c r="L44" s="215"/>
      <c r="M44" s="215"/>
      <c r="N44" s="215"/>
      <c r="O44" s="215"/>
      <c r="P44" s="96"/>
    </row>
    <row r="45" spans="1:16" ht="45.75" customHeight="1" thickBot="1" x14ac:dyDescent="0.25">
      <c r="A45" s="102" t="s">
        <v>189</v>
      </c>
      <c r="B45" s="212"/>
      <c r="C45" s="213"/>
      <c r="D45" s="213"/>
      <c r="E45" s="213"/>
      <c r="F45" s="213"/>
      <c r="G45" s="214"/>
      <c r="H45" s="215"/>
      <c r="I45" s="215"/>
      <c r="J45" s="215"/>
      <c r="K45" s="215"/>
      <c r="L45" s="215"/>
      <c r="M45" s="215"/>
      <c r="N45" s="215"/>
      <c r="O45" s="215"/>
      <c r="P45" s="96"/>
    </row>
    <row r="46" spans="1:16" ht="45.75" customHeight="1" thickBot="1" x14ac:dyDescent="0.25">
      <c r="A46" s="102" t="s">
        <v>190</v>
      </c>
      <c r="B46" s="212"/>
      <c r="C46" s="213"/>
      <c r="D46" s="213"/>
      <c r="E46" s="213"/>
      <c r="F46" s="213"/>
      <c r="G46" s="214"/>
      <c r="H46" s="215"/>
      <c r="I46" s="215"/>
      <c r="J46" s="215"/>
      <c r="K46" s="215"/>
      <c r="L46" s="215"/>
      <c r="M46" s="215"/>
      <c r="N46" s="215"/>
      <c r="O46" s="215"/>
      <c r="P46" s="96"/>
    </row>
    <row r="47" spans="1:16" ht="45.75" customHeight="1" thickBot="1" x14ac:dyDescent="0.25">
      <c r="A47" s="102" t="s">
        <v>191</v>
      </c>
      <c r="B47" s="212"/>
      <c r="C47" s="213"/>
      <c r="D47" s="213"/>
      <c r="E47" s="213"/>
      <c r="F47" s="213"/>
      <c r="G47" s="214"/>
      <c r="H47" s="215"/>
      <c r="I47" s="215"/>
      <c r="J47" s="215"/>
      <c r="K47" s="215"/>
      <c r="L47" s="215"/>
      <c r="M47" s="215"/>
      <c r="N47" s="215"/>
      <c r="O47" s="215"/>
      <c r="P47" s="96"/>
    </row>
    <row r="48" spans="1:16" ht="45.75" customHeight="1" thickBot="1" x14ac:dyDescent="0.25">
      <c r="A48" s="102" t="s">
        <v>192</v>
      </c>
      <c r="B48" s="212"/>
      <c r="C48" s="213"/>
      <c r="D48" s="213"/>
      <c r="E48" s="213"/>
      <c r="F48" s="213"/>
      <c r="G48" s="214"/>
      <c r="H48" s="215"/>
      <c r="I48" s="215"/>
      <c r="J48" s="215"/>
      <c r="K48" s="215"/>
      <c r="L48" s="215"/>
      <c r="M48" s="215"/>
      <c r="N48" s="215"/>
      <c r="O48" s="215"/>
      <c r="P48" s="96"/>
    </row>
    <row r="49" spans="1:16" ht="45.75" customHeight="1" thickBot="1" x14ac:dyDescent="0.25">
      <c r="A49" s="102" t="s">
        <v>193</v>
      </c>
      <c r="B49" s="212"/>
      <c r="C49" s="213"/>
      <c r="D49" s="213"/>
      <c r="E49" s="213"/>
      <c r="F49" s="213"/>
      <c r="G49" s="214"/>
      <c r="H49" s="215"/>
      <c r="I49" s="215"/>
      <c r="J49" s="215"/>
      <c r="K49" s="215"/>
      <c r="L49" s="215"/>
      <c r="M49" s="215"/>
      <c r="N49" s="215"/>
      <c r="O49" s="215"/>
      <c r="P49" s="96"/>
    </row>
    <row r="50" spans="1:16" ht="45.75" customHeight="1" thickBot="1" x14ac:dyDescent="0.25">
      <c r="A50" s="102" t="s">
        <v>194</v>
      </c>
      <c r="B50" s="212"/>
      <c r="C50" s="213"/>
      <c r="D50" s="213"/>
      <c r="E50" s="213"/>
      <c r="F50" s="213"/>
      <c r="G50" s="214"/>
      <c r="H50" s="215"/>
      <c r="I50" s="215"/>
      <c r="J50" s="215"/>
      <c r="K50" s="215"/>
      <c r="L50" s="215"/>
      <c r="M50" s="215"/>
      <c r="N50" s="215"/>
      <c r="O50" s="215"/>
      <c r="P50" s="96"/>
    </row>
  </sheetData>
  <mergeCells count="97">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 ref="B36:G36"/>
    <mergeCell ref="H36:K36"/>
    <mergeCell ref="L36:O36"/>
    <mergeCell ref="B37:G37"/>
    <mergeCell ref="H37:K37"/>
    <mergeCell ref="L37:O37"/>
    <mergeCell ref="B38:G38"/>
    <mergeCell ref="H38:K38"/>
    <mergeCell ref="L38:O38"/>
    <mergeCell ref="B39:G39"/>
    <mergeCell ref="H39:K39"/>
    <mergeCell ref="L39:O39"/>
    <mergeCell ref="B40:G40"/>
    <mergeCell ref="H40:K40"/>
    <mergeCell ref="L40:O40"/>
    <mergeCell ref="B41:G41"/>
    <mergeCell ref="H41:K41"/>
    <mergeCell ref="L41:O41"/>
    <mergeCell ref="B42:G42"/>
    <mergeCell ref="H42:K42"/>
    <mergeCell ref="L42:O42"/>
    <mergeCell ref="B43:G43"/>
    <mergeCell ref="H43:K43"/>
    <mergeCell ref="L43:O43"/>
    <mergeCell ref="B44:G44"/>
    <mergeCell ref="H44:K44"/>
    <mergeCell ref="L44:O44"/>
    <mergeCell ref="B45:G45"/>
    <mergeCell ref="H45:K45"/>
    <mergeCell ref="L45:O45"/>
    <mergeCell ref="B46:G46"/>
    <mergeCell ref="H46:K46"/>
    <mergeCell ref="L46:O46"/>
    <mergeCell ref="B47:G47"/>
    <mergeCell ref="H47:K47"/>
    <mergeCell ref="L47:O47"/>
    <mergeCell ref="B48:G48"/>
    <mergeCell ref="H48:K48"/>
    <mergeCell ref="L48:O48"/>
    <mergeCell ref="B49:G49"/>
    <mergeCell ref="H49:K49"/>
    <mergeCell ref="L49:O49"/>
    <mergeCell ref="B50:G50"/>
    <mergeCell ref="H50:K50"/>
    <mergeCell ref="L50:O50"/>
  </mergeCells>
  <conditionalFormatting sqref="B9:B10">
    <cfRule type="cellIs" dxfId="694" priority="33" operator="equal">
      <formula>"Nok"</formula>
    </cfRule>
    <cfRule type="cellIs" dxfId="693" priority="34" operator="equal">
      <formula>"Ok"</formula>
    </cfRule>
  </conditionalFormatting>
  <conditionalFormatting sqref="P22:P30">
    <cfRule type="cellIs" dxfId="692" priority="31" operator="equal">
      <formula>"Nok"</formula>
    </cfRule>
    <cfRule type="cellIs" dxfId="691" priority="32" operator="equal">
      <formula>"Ok"</formula>
    </cfRule>
  </conditionalFormatting>
  <conditionalFormatting sqref="P31:P35">
    <cfRule type="cellIs" dxfId="690" priority="29" operator="equal">
      <formula>"Nok"</formula>
    </cfRule>
    <cfRule type="cellIs" dxfId="689" priority="30" operator="equal">
      <formula>"Ok"</formula>
    </cfRule>
  </conditionalFormatting>
  <conditionalFormatting sqref="P36:P37">
    <cfRule type="cellIs" dxfId="688" priority="27" operator="equal">
      <formula>"Nok"</formula>
    </cfRule>
    <cfRule type="cellIs" dxfId="687" priority="28" operator="equal">
      <formula>"Ok"</formula>
    </cfRule>
  </conditionalFormatting>
  <conditionalFormatting sqref="P38">
    <cfRule type="cellIs" dxfId="686" priority="25" operator="equal">
      <formula>"Nok"</formula>
    </cfRule>
    <cfRule type="cellIs" dxfId="685" priority="26" operator="equal">
      <formula>"Ok"</formula>
    </cfRule>
  </conditionalFormatting>
  <conditionalFormatting sqref="P39">
    <cfRule type="cellIs" dxfId="684" priority="23" operator="equal">
      <formula>"Nok"</formula>
    </cfRule>
    <cfRule type="cellIs" dxfId="683" priority="24" operator="equal">
      <formula>"Ok"</formula>
    </cfRule>
  </conditionalFormatting>
  <conditionalFormatting sqref="P40">
    <cfRule type="cellIs" dxfId="682" priority="21" operator="equal">
      <formula>"Nok"</formula>
    </cfRule>
    <cfRule type="cellIs" dxfId="681" priority="22" operator="equal">
      <formula>"Ok"</formula>
    </cfRule>
  </conditionalFormatting>
  <conditionalFormatting sqref="P41">
    <cfRule type="cellIs" dxfId="680" priority="19" operator="equal">
      <formula>"Nok"</formula>
    </cfRule>
    <cfRule type="cellIs" dxfId="679" priority="20" operator="equal">
      <formula>"Ok"</formula>
    </cfRule>
  </conditionalFormatting>
  <conditionalFormatting sqref="P42">
    <cfRule type="cellIs" dxfId="678" priority="17" operator="equal">
      <formula>"Nok"</formula>
    </cfRule>
    <cfRule type="cellIs" dxfId="677" priority="18" operator="equal">
      <formula>"Ok"</formula>
    </cfRule>
  </conditionalFormatting>
  <conditionalFormatting sqref="P43">
    <cfRule type="cellIs" dxfId="676" priority="15" operator="equal">
      <formula>"Nok"</formula>
    </cfRule>
    <cfRule type="cellIs" dxfId="675" priority="16" operator="equal">
      <formula>"Ok"</formula>
    </cfRule>
  </conditionalFormatting>
  <conditionalFormatting sqref="P44">
    <cfRule type="cellIs" dxfId="674" priority="13" operator="equal">
      <formula>"Nok"</formula>
    </cfRule>
    <cfRule type="cellIs" dxfId="673" priority="14" operator="equal">
      <formula>"Ok"</formula>
    </cfRule>
  </conditionalFormatting>
  <conditionalFormatting sqref="P45">
    <cfRule type="cellIs" dxfId="672" priority="11" operator="equal">
      <formula>"Nok"</formula>
    </cfRule>
    <cfRule type="cellIs" dxfId="671" priority="12" operator="equal">
      <formula>"Ok"</formula>
    </cfRule>
  </conditionalFormatting>
  <conditionalFormatting sqref="P46">
    <cfRule type="cellIs" dxfId="670" priority="9" operator="equal">
      <formula>"Nok"</formula>
    </cfRule>
    <cfRule type="cellIs" dxfId="669" priority="10" operator="equal">
      <formula>"Ok"</formula>
    </cfRule>
  </conditionalFormatting>
  <conditionalFormatting sqref="P47">
    <cfRule type="cellIs" dxfId="668" priority="7" operator="equal">
      <formula>"Nok"</formula>
    </cfRule>
    <cfRule type="cellIs" dxfId="667" priority="8" operator="equal">
      <formula>"Ok"</formula>
    </cfRule>
  </conditionalFormatting>
  <conditionalFormatting sqref="P48">
    <cfRule type="cellIs" dxfId="666" priority="5" operator="equal">
      <formula>"Nok"</formula>
    </cfRule>
    <cfRule type="cellIs" dxfId="665" priority="6" operator="equal">
      <formula>"Ok"</formula>
    </cfRule>
  </conditionalFormatting>
  <conditionalFormatting sqref="P49">
    <cfRule type="cellIs" dxfId="664" priority="3" operator="equal">
      <formula>"Nok"</formula>
    </cfRule>
    <cfRule type="cellIs" dxfId="663" priority="4" operator="equal">
      <formula>"Ok"</formula>
    </cfRule>
  </conditionalFormatting>
  <conditionalFormatting sqref="P50">
    <cfRule type="cellIs" dxfId="662" priority="1" operator="equal">
      <formula>"Nok"</formula>
    </cfRule>
    <cfRule type="cellIs" dxfId="661" priority="2" operator="equal">
      <formula>"Ok"</formula>
    </cfRule>
  </conditionalFormatting>
  <dataValidations count="3">
    <dataValidation type="list" allowBlank="1" showInputMessage="1" showErrorMessage="1" sqref="P22:P50">
      <formula1>"Ok, Nok, Not run, ,"</formula1>
    </dataValidation>
    <dataValidation type="list" allowBlank="1" showInputMessage="1" showErrorMessage="1" sqref="B9">
      <formula1>"Ok, Nok, Not run, NA"</formula1>
    </dataValidation>
    <dataValidation type="list" allowBlank="1" showInputMessage="1" showErrorMessage="1" sqref="B5">
      <formula1>"Nominal, Robustness, Endurance, Qualification"</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workbookViewId="0">
      <selection activeCell="J9" sqref="J9"/>
    </sheetView>
  </sheetViews>
  <sheetFormatPr defaultRowHeight="12.75" x14ac:dyDescent="0.2"/>
  <cols>
    <col min="1" max="1" width="20.140625" style="97" customWidth="1"/>
    <col min="2" max="2" width="18.42578125" style="93" customWidth="1"/>
    <col min="3" max="7" width="9.140625" style="93"/>
    <col min="8" max="15" width="9.5703125" style="93" customWidth="1"/>
    <col min="16" max="16384" width="9.140625" style="93"/>
  </cols>
  <sheetData>
    <row r="1" spans="1:15" ht="13.5" thickBot="1" x14ac:dyDescent="0.25">
      <c r="A1" s="98" t="s">
        <v>41</v>
      </c>
      <c r="B1" s="234" t="s">
        <v>316</v>
      </c>
      <c r="C1" s="235"/>
      <c r="D1" s="235"/>
      <c r="E1" s="235"/>
      <c r="F1" s="235"/>
      <c r="G1" s="236"/>
      <c r="H1" s="73"/>
      <c r="I1" s="73"/>
      <c r="J1" s="73"/>
      <c r="K1" s="73"/>
      <c r="L1" s="73"/>
      <c r="M1" s="73"/>
      <c r="N1" s="73"/>
      <c r="O1" s="73"/>
    </row>
    <row r="2" spans="1:15" ht="13.5" thickBot="1" x14ac:dyDescent="0.25">
      <c r="A2" s="71"/>
      <c r="B2" s="72"/>
      <c r="C2" s="72"/>
      <c r="D2" s="73"/>
      <c r="E2" s="73"/>
      <c r="F2" s="73"/>
      <c r="G2" s="73"/>
      <c r="H2" s="73"/>
      <c r="I2" s="73"/>
      <c r="J2" s="73"/>
      <c r="K2" s="73"/>
      <c r="L2" s="73"/>
      <c r="M2" s="73"/>
      <c r="N2" s="73"/>
      <c r="O2" s="73"/>
    </row>
    <row r="3" spans="1:15" ht="61.5" customHeight="1" thickBot="1" x14ac:dyDescent="0.25">
      <c r="A3" s="99" t="s">
        <v>46</v>
      </c>
      <c r="B3" s="237" t="s">
        <v>324</v>
      </c>
      <c r="C3" s="238"/>
      <c r="D3" s="238"/>
      <c r="E3" s="238"/>
      <c r="F3" s="238"/>
      <c r="G3" s="239"/>
      <c r="H3" s="73"/>
      <c r="I3" s="73"/>
      <c r="J3" s="73"/>
      <c r="K3" s="73"/>
      <c r="L3" s="73"/>
      <c r="M3" s="73"/>
      <c r="N3" s="73"/>
      <c r="O3" s="73"/>
    </row>
    <row r="4" spans="1:15" ht="13.5" thickBot="1" x14ac:dyDescent="0.25">
      <c r="A4" s="71"/>
      <c r="B4" s="72"/>
      <c r="C4" s="72"/>
      <c r="D4" s="73"/>
      <c r="E4" s="73"/>
      <c r="F4" s="73"/>
      <c r="G4" s="73"/>
      <c r="H4" s="73"/>
      <c r="I4" s="73"/>
      <c r="J4" s="73"/>
      <c r="K4" s="73"/>
      <c r="L4" s="73"/>
      <c r="M4" s="73"/>
      <c r="N4" s="73"/>
      <c r="O4" s="73"/>
    </row>
    <row r="5" spans="1:15" ht="13.5" thickBot="1" x14ac:dyDescent="0.25">
      <c r="A5" s="98" t="s">
        <v>111</v>
      </c>
      <c r="B5" s="76" t="s">
        <v>142</v>
      </c>
      <c r="C5" s="72"/>
      <c r="D5" s="73"/>
      <c r="E5" s="73"/>
      <c r="F5" s="73"/>
      <c r="G5" s="73"/>
      <c r="H5" s="73"/>
      <c r="I5" s="73"/>
      <c r="J5" s="73"/>
      <c r="K5" s="73"/>
      <c r="L5" s="73"/>
      <c r="M5" s="73"/>
      <c r="N5" s="73"/>
      <c r="O5" s="73"/>
    </row>
    <row r="6" spans="1:15" ht="13.5" thickBot="1" x14ac:dyDescent="0.25">
      <c r="A6" s="71"/>
      <c r="B6" s="72"/>
      <c r="C6" s="72"/>
      <c r="D6" s="73"/>
      <c r="E6" s="73"/>
      <c r="F6" s="73"/>
      <c r="G6" s="73"/>
      <c r="H6" s="73"/>
      <c r="I6" s="73"/>
      <c r="J6" s="73"/>
      <c r="K6" s="73"/>
      <c r="L6" s="73"/>
      <c r="M6" s="73"/>
      <c r="N6" s="73"/>
      <c r="O6" s="73"/>
    </row>
    <row r="7" spans="1:15" ht="30.75" customHeight="1" thickBot="1" x14ac:dyDescent="0.25">
      <c r="A7" s="98" t="s">
        <v>42</v>
      </c>
      <c r="B7" s="237" t="s">
        <v>317</v>
      </c>
      <c r="C7" s="238"/>
      <c r="D7" s="238"/>
      <c r="E7" s="238"/>
      <c r="F7" s="238"/>
      <c r="G7" s="239"/>
      <c r="H7" s="73"/>
      <c r="I7" s="73"/>
      <c r="J7" s="73"/>
      <c r="K7" s="73"/>
      <c r="L7" s="73"/>
      <c r="M7" s="73"/>
      <c r="N7" s="73"/>
      <c r="O7" s="73"/>
    </row>
    <row r="8" spans="1:15" ht="13.5" thickBot="1" x14ac:dyDescent="0.25">
      <c r="A8" s="75"/>
      <c r="B8" s="74"/>
      <c r="C8" s="74"/>
      <c r="D8" s="74"/>
      <c r="E8" s="74"/>
      <c r="F8" s="74"/>
      <c r="G8" s="74"/>
      <c r="H8" s="73"/>
      <c r="I8" s="73"/>
      <c r="J8" s="73"/>
      <c r="K8" s="73"/>
      <c r="L8" s="73"/>
      <c r="M8" s="73"/>
      <c r="N8" s="73"/>
      <c r="O8" s="73"/>
    </row>
    <row r="9" spans="1:15" ht="13.5" thickBot="1" x14ac:dyDescent="0.25">
      <c r="A9" s="98" t="s">
        <v>43</v>
      </c>
      <c r="B9" s="103" t="s">
        <v>143</v>
      </c>
      <c r="C9" s="72"/>
      <c r="D9" s="73"/>
      <c r="E9" s="73"/>
      <c r="F9" s="73"/>
      <c r="G9" s="73"/>
      <c r="H9" s="73"/>
      <c r="I9" s="73"/>
      <c r="J9" s="73"/>
      <c r="K9" s="73"/>
      <c r="L9" s="73"/>
      <c r="M9" s="73"/>
      <c r="N9" s="73"/>
      <c r="O9" s="73"/>
    </row>
    <row r="10" spans="1:15" ht="13.5" thickBot="1" x14ac:dyDescent="0.25">
      <c r="A10" s="75"/>
      <c r="B10" s="94"/>
      <c r="C10" s="72"/>
      <c r="D10" s="73"/>
      <c r="E10" s="73"/>
      <c r="F10" s="73"/>
      <c r="G10" s="73"/>
      <c r="H10" s="73"/>
      <c r="I10" s="73"/>
      <c r="J10" s="73"/>
      <c r="K10" s="73"/>
      <c r="L10" s="73"/>
      <c r="M10" s="73"/>
      <c r="N10" s="73"/>
      <c r="O10" s="73"/>
    </row>
    <row r="11" spans="1:15" ht="12" customHeight="1" x14ac:dyDescent="0.2">
      <c r="A11" s="223" t="s">
        <v>113</v>
      </c>
      <c r="B11" s="225"/>
      <c r="C11" s="226"/>
      <c r="D11" s="226"/>
      <c r="E11" s="226"/>
      <c r="F11" s="226"/>
      <c r="G11" s="227"/>
      <c r="H11" s="73"/>
      <c r="I11" s="73"/>
      <c r="J11" s="73"/>
      <c r="K11" s="73"/>
      <c r="L11" s="73"/>
      <c r="M11" s="73"/>
      <c r="N11" s="73"/>
      <c r="O11" s="73"/>
    </row>
    <row r="12" spans="1:15" x14ac:dyDescent="0.2">
      <c r="A12" s="224"/>
      <c r="B12" s="228"/>
      <c r="C12" s="229"/>
      <c r="D12" s="229"/>
      <c r="E12" s="229"/>
      <c r="F12" s="229"/>
      <c r="G12" s="230"/>
      <c r="H12" s="73"/>
      <c r="I12" s="73"/>
      <c r="J12" s="73"/>
      <c r="K12" s="73"/>
      <c r="L12" s="73"/>
      <c r="M12" s="73"/>
      <c r="N12" s="73"/>
      <c r="O12" s="73"/>
    </row>
    <row r="13" spans="1:15" x14ac:dyDescent="0.2">
      <c r="A13" s="224"/>
      <c r="B13" s="228"/>
      <c r="C13" s="229"/>
      <c r="D13" s="229"/>
      <c r="E13" s="229"/>
      <c r="F13" s="229"/>
      <c r="G13" s="230"/>
      <c r="H13" s="71"/>
      <c r="I13" s="73"/>
      <c r="J13" s="73"/>
      <c r="K13" s="73"/>
      <c r="L13" s="73"/>
      <c r="M13" s="73"/>
      <c r="N13" s="73"/>
      <c r="O13" s="73"/>
    </row>
    <row r="14" spans="1:15" ht="13.5" thickBot="1" x14ac:dyDescent="0.25">
      <c r="A14" s="224"/>
      <c r="B14" s="231"/>
      <c r="C14" s="232"/>
      <c r="D14" s="232"/>
      <c r="E14" s="232"/>
      <c r="F14" s="232"/>
      <c r="G14" s="233"/>
      <c r="H14" s="77"/>
      <c r="I14" s="73"/>
      <c r="J14" s="73"/>
      <c r="K14" s="73"/>
      <c r="L14" s="73"/>
      <c r="M14" s="73"/>
      <c r="N14" s="73"/>
      <c r="O14" s="73"/>
    </row>
    <row r="15" spans="1:15" ht="13.5" thickBot="1" x14ac:dyDescent="0.25">
      <c r="A15" s="71"/>
      <c r="B15" s="71"/>
      <c r="C15" s="71"/>
      <c r="D15" s="71"/>
      <c r="E15" s="71"/>
      <c r="F15" s="71"/>
      <c r="G15" s="71"/>
      <c r="H15" s="77"/>
      <c r="I15" s="73"/>
      <c r="J15" s="73"/>
      <c r="K15" s="73"/>
      <c r="L15" s="73"/>
      <c r="M15" s="73"/>
      <c r="N15" s="73"/>
      <c r="O15" s="73"/>
    </row>
    <row r="16" spans="1:15" x14ac:dyDescent="0.2">
      <c r="A16" s="223" t="s">
        <v>44</v>
      </c>
      <c r="B16" s="225"/>
      <c r="C16" s="226"/>
      <c r="D16" s="226"/>
      <c r="E16" s="226"/>
      <c r="F16" s="226"/>
      <c r="G16" s="227"/>
      <c r="H16" s="73"/>
      <c r="I16" s="73"/>
      <c r="J16" s="73"/>
      <c r="K16" s="73"/>
      <c r="L16" s="73"/>
      <c r="M16" s="73"/>
      <c r="N16" s="73"/>
      <c r="O16" s="73"/>
    </row>
    <row r="17" spans="1:16" x14ac:dyDescent="0.2">
      <c r="A17" s="224"/>
      <c r="B17" s="228"/>
      <c r="C17" s="229"/>
      <c r="D17" s="229"/>
      <c r="E17" s="229"/>
      <c r="F17" s="229"/>
      <c r="G17" s="230"/>
      <c r="H17" s="73"/>
      <c r="I17" s="73"/>
      <c r="J17" s="73"/>
      <c r="K17" s="73"/>
      <c r="L17" s="73"/>
      <c r="M17" s="73"/>
      <c r="N17" s="73"/>
      <c r="O17" s="73"/>
    </row>
    <row r="18" spans="1:16" x14ac:dyDescent="0.2">
      <c r="A18" s="224"/>
      <c r="B18" s="228"/>
      <c r="C18" s="229"/>
      <c r="D18" s="229"/>
      <c r="E18" s="229"/>
      <c r="F18" s="229"/>
      <c r="G18" s="230"/>
      <c r="H18" s="71"/>
      <c r="I18" s="73"/>
      <c r="J18" s="73"/>
      <c r="K18" s="73"/>
      <c r="L18" s="73"/>
      <c r="M18" s="73"/>
      <c r="N18" s="73"/>
      <c r="O18" s="73"/>
    </row>
    <row r="19" spans="1:16" ht="13.5" thickBot="1" x14ac:dyDescent="0.25">
      <c r="A19" s="224"/>
      <c r="B19" s="231"/>
      <c r="C19" s="232"/>
      <c r="D19" s="232"/>
      <c r="E19" s="232"/>
      <c r="F19" s="232"/>
      <c r="G19" s="233"/>
      <c r="H19" s="77"/>
      <c r="I19" s="73"/>
      <c r="J19" s="73"/>
      <c r="K19" s="73"/>
      <c r="L19" s="73"/>
      <c r="M19" s="73"/>
      <c r="N19" s="73"/>
      <c r="O19" s="73"/>
    </row>
    <row r="20" spans="1:16" ht="13.5" thickBot="1" x14ac:dyDescent="0.25">
      <c r="A20" s="71"/>
      <c r="B20" s="71"/>
      <c r="C20" s="71"/>
      <c r="D20" s="71"/>
      <c r="E20" s="71"/>
      <c r="F20" s="71"/>
      <c r="G20" s="71"/>
      <c r="H20" s="77"/>
      <c r="I20" s="73"/>
      <c r="J20" s="73"/>
      <c r="K20" s="73"/>
      <c r="L20" s="73"/>
      <c r="M20" s="73"/>
      <c r="N20" s="73"/>
      <c r="O20" s="73"/>
    </row>
    <row r="21" spans="1:16" ht="12.75" customHeight="1" x14ac:dyDescent="0.2">
      <c r="A21" s="220" t="s">
        <v>48</v>
      </c>
      <c r="B21" s="221"/>
      <c r="C21" s="221"/>
      <c r="D21" s="221"/>
      <c r="E21" s="221"/>
      <c r="F21" s="221"/>
      <c r="G21" s="222"/>
      <c r="H21" s="220" t="s">
        <v>49</v>
      </c>
      <c r="I21" s="221"/>
      <c r="J21" s="221"/>
      <c r="K21" s="222"/>
      <c r="L21" s="220" t="s">
        <v>60</v>
      </c>
      <c r="M21" s="221"/>
      <c r="N21" s="221"/>
      <c r="O21" s="222"/>
      <c r="P21" s="100" t="s">
        <v>47</v>
      </c>
    </row>
    <row r="22" spans="1:16" ht="88.5" customHeight="1" thickBot="1" x14ac:dyDescent="0.25">
      <c r="A22" s="101" t="s">
        <v>50</v>
      </c>
      <c r="B22" s="212" t="s">
        <v>318</v>
      </c>
      <c r="C22" s="213"/>
      <c r="D22" s="213"/>
      <c r="E22" s="213"/>
      <c r="F22" s="213"/>
      <c r="G22" s="214"/>
      <c r="H22" s="216"/>
      <c r="I22" s="216"/>
      <c r="J22" s="216"/>
      <c r="K22" s="216"/>
      <c r="L22" s="216" t="s">
        <v>290</v>
      </c>
      <c r="M22" s="216"/>
      <c r="N22" s="216"/>
      <c r="O22" s="216"/>
      <c r="P22" s="95" t="s">
        <v>143</v>
      </c>
    </row>
    <row r="23" spans="1:16" ht="73.5" customHeight="1" x14ac:dyDescent="0.2">
      <c r="A23" s="101" t="s">
        <v>51</v>
      </c>
      <c r="H23" s="216"/>
      <c r="I23" s="216"/>
      <c r="J23" s="216"/>
      <c r="K23" s="216"/>
      <c r="P23" s="95"/>
    </row>
    <row r="24" spans="1:16" ht="73.5" customHeight="1" thickBot="1" x14ac:dyDescent="0.25">
      <c r="A24" s="101" t="s">
        <v>52</v>
      </c>
      <c r="B24" s="212"/>
      <c r="C24" s="213"/>
      <c r="D24" s="213"/>
      <c r="E24" s="213"/>
      <c r="F24" s="213"/>
      <c r="G24" s="214"/>
      <c r="H24" s="216"/>
      <c r="I24" s="216"/>
      <c r="J24" s="216"/>
      <c r="K24" s="216"/>
      <c r="L24" s="216"/>
      <c r="M24" s="216"/>
      <c r="N24" s="216"/>
      <c r="O24" s="216"/>
      <c r="P24" s="95"/>
    </row>
    <row r="25" spans="1:16" ht="72.75" customHeight="1" thickBot="1" x14ac:dyDescent="0.25">
      <c r="A25" s="101" t="s">
        <v>53</v>
      </c>
      <c r="B25" s="212"/>
      <c r="C25" s="213"/>
      <c r="D25" s="213"/>
      <c r="E25" s="213"/>
      <c r="F25" s="213"/>
      <c r="G25" s="214"/>
      <c r="H25" s="216"/>
      <c r="I25" s="216"/>
      <c r="J25" s="216"/>
      <c r="K25" s="216"/>
      <c r="L25" s="216"/>
      <c r="M25" s="216"/>
      <c r="N25" s="216"/>
      <c r="O25" s="216"/>
      <c r="P25" s="95"/>
    </row>
    <row r="26" spans="1:16" ht="104.25" customHeight="1" thickBot="1" x14ac:dyDescent="0.25">
      <c r="A26" s="101" t="s">
        <v>54</v>
      </c>
      <c r="B26" s="212"/>
      <c r="C26" s="213"/>
      <c r="D26" s="213"/>
      <c r="E26" s="213"/>
      <c r="F26" s="213"/>
      <c r="G26" s="214"/>
      <c r="H26" s="216"/>
      <c r="I26" s="216"/>
      <c r="J26" s="216"/>
      <c r="K26" s="216"/>
      <c r="L26" s="216"/>
      <c r="M26" s="216"/>
      <c r="N26" s="216"/>
      <c r="O26" s="216"/>
      <c r="P26" s="95"/>
    </row>
    <row r="27" spans="1:16" ht="29.25" customHeight="1" x14ac:dyDescent="0.2">
      <c r="A27" s="101" t="s">
        <v>55</v>
      </c>
      <c r="B27" s="217"/>
      <c r="C27" s="218"/>
      <c r="D27" s="218"/>
      <c r="E27" s="218"/>
      <c r="F27" s="218"/>
      <c r="G27" s="219"/>
      <c r="H27" s="216"/>
      <c r="I27" s="216"/>
      <c r="J27" s="216"/>
      <c r="K27" s="216"/>
      <c r="L27" s="216"/>
      <c r="M27" s="216"/>
      <c r="N27" s="216"/>
      <c r="O27" s="216"/>
      <c r="P27" s="95"/>
    </row>
    <row r="28" spans="1:16" ht="29.25" customHeight="1" x14ac:dyDescent="0.2">
      <c r="A28" s="101" t="s">
        <v>56</v>
      </c>
      <c r="B28" s="217"/>
      <c r="C28" s="218"/>
      <c r="D28" s="218"/>
      <c r="E28" s="218"/>
      <c r="F28" s="218"/>
      <c r="G28" s="219"/>
      <c r="H28" s="216"/>
      <c r="I28" s="216"/>
      <c r="J28" s="216"/>
      <c r="K28" s="216"/>
      <c r="L28" s="216"/>
      <c r="M28" s="216"/>
      <c r="N28" s="216"/>
      <c r="O28" s="216"/>
      <c r="P28" s="95"/>
    </row>
    <row r="29" spans="1:16" ht="29.25" customHeight="1" x14ac:dyDescent="0.2">
      <c r="A29" s="101" t="s">
        <v>57</v>
      </c>
      <c r="B29" s="217"/>
      <c r="C29" s="218"/>
      <c r="D29" s="218"/>
      <c r="E29" s="218"/>
      <c r="F29" s="218"/>
      <c r="G29" s="219"/>
      <c r="H29" s="216"/>
      <c r="I29" s="216"/>
      <c r="J29" s="216"/>
      <c r="K29" s="216"/>
      <c r="L29" s="216"/>
      <c r="M29" s="216"/>
      <c r="N29" s="216"/>
      <c r="O29" s="216"/>
      <c r="P29" s="95"/>
    </row>
    <row r="30" spans="1:16" ht="45.75" customHeight="1" thickBot="1" x14ac:dyDescent="0.25">
      <c r="A30" s="102" t="s">
        <v>58</v>
      </c>
      <c r="B30" s="212"/>
      <c r="C30" s="213"/>
      <c r="D30" s="213"/>
      <c r="E30" s="213"/>
      <c r="F30" s="213"/>
      <c r="G30" s="214"/>
      <c r="H30" s="215"/>
      <c r="I30" s="215"/>
      <c r="J30" s="215"/>
      <c r="K30" s="215"/>
      <c r="L30" s="215"/>
      <c r="M30" s="215"/>
      <c r="N30" s="215"/>
      <c r="O30" s="215"/>
      <c r="P30" s="96"/>
    </row>
    <row r="31" spans="1:16" ht="29.25" customHeight="1" thickBot="1" x14ac:dyDescent="0.25">
      <c r="A31" s="102" t="s">
        <v>145</v>
      </c>
      <c r="B31" s="217"/>
      <c r="C31" s="218"/>
      <c r="D31" s="218"/>
      <c r="E31" s="218"/>
      <c r="F31" s="218"/>
      <c r="G31" s="219"/>
      <c r="H31" s="216"/>
      <c r="I31" s="216"/>
      <c r="J31" s="216"/>
      <c r="K31" s="216"/>
      <c r="L31" s="216"/>
      <c r="M31" s="216"/>
      <c r="N31" s="216"/>
      <c r="O31" s="216"/>
      <c r="P31" s="95"/>
    </row>
    <row r="32" spans="1:16" ht="55.5" customHeight="1" thickBot="1" x14ac:dyDescent="0.25">
      <c r="A32" s="102" t="s">
        <v>146</v>
      </c>
      <c r="B32" s="217"/>
      <c r="C32" s="218"/>
      <c r="D32" s="218"/>
      <c r="E32" s="218"/>
      <c r="F32" s="218"/>
      <c r="G32" s="219"/>
      <c r="H32" s="216"/>
      <c r="I32" s="216"/>
      <c r="J32" s="216"/>
      <c r="K32" s="216"/>
      <c r="L32" s="216"/>
      <c r="M32" s="216"/>
      <c r="N32" s="216"/>
      <c r="O32" s="216"/>
      <c r="P32" s="95"/>
    </row>
    <row r="33" spans="1:16" ht="45.75" customHeight="1" thickBot="1" x14ac:dyDescent="0.25">
      <c r="A33" s="102" t="s">
        <v>147</v>
      </c>
      <c r="B33" s="212"/>
      <c r="C33" s="213"/>
      <c r="D33" s="213"/>
      <c r="E33" s="213"/>
      <c r="F33" s="213"/>
      <c r="G33" s="214"/>
      <c r="H33" s="215"/>
      <c r="I33" s="215"/>
      <c r="J33" s="215"/>
      <c r="K33" s="215"/>
      <c r="L33" s="215"/>
      <c r="M33" s="215"/>
      <c r="N33" s="215"/>
      <c r="O33" s="215"/>
      <c r="P33" s="95"/>
    </row>
    <row r="34" spans="1:16" ht="45.75" customHeight="1" thickBot="1" x14ac:dyDescent="0.25">
      <c r="A34" s="102" t="s">
        <v>148</v>
      </c>
      <c r="B34" s="217"/>
      <c r="C34" s="218"/>
      <c r="D34" s="218"/>
      <c r="E34" s="218"/>
      <c r="F34" s="218"/>
      <c r="G34" s="219"/>
      <c r="H34" s="216"/>
      <c r="I34" s="216"/>
      <c r="J34" s="216"/>
      <c r="K34" s="216"/>
      <c r="L34" s="216"/>
      <c r="M34" s="216"/>
      <c r="N34" s="216"/>
      <c r="O34" s="216"/>
      <c r="P34" s="95"/>
    </row>
    <row r="35" spans="1:16" ht="48" customHeight="1" thickBot="1" x14ac:dyDescent="0.25">
      <c r="A35" s="102" t="s">
        <v>149</v>
      </c>
      <c r="B35" s="217"/>
      <c r="C35" s="218"/>
      <c r="D35" s="218"/>
      <c r="E35" s="218"/>
      <c r="F35" s="218"/>
      <c r="G35" s="219"/>
      <c r="H35" s="216"/>
      <c r="I35" s="216"/>
      <c r="J35" s="216"/>
      <c r="K35" s="216"/>
      <c r="L35" s="216"/>
      <c r="M35" s="216"/>
      <c r="N35" s="216"/>
      <c r="O35" s="216"/>
      <c r="P35" s="95"/>
    </row>
    <row r="36" spans="1:16" ht="45.75" customHeight="1" thickBot="1" x14ac:dyDescent="0.25">
      <c r="A36" s="102" t="s">
        <v>150</v>
      </c>
      <c r="B36" s="212"/>
      <c r="C36" s="213"/>
      <c r="D36" s="213"/>
      <c r="E36" s="213"/>
      <c r="F36" s="213"/>
      <c r="G36" s="214"/>
      <c r="H36" s="215"/>
      <c r="I36" s="215"/>
      <c r="J36" s="215"/>
      <c r="K36" s="215"/>
      <c r="L36" s="216"/>
      <c r="M36" s="216"/>
      <c r="N36" s="216"/>
      <c r="O36" s="216"/>
      <c r="P36" s="96"/>
    </row>
    <row r="37" spans="1:16" ht="66" customHeight="1" thickBot="1" x14ac:dyDescent="0.25">
      <c r="A37" s="102" t="s">
        <v>151</v>
      </c>
      <c r="B37" s="212"/>
      <c r="C37" s="213"/>
      <c r="D37" s="213"/>
      <c r="E37" s="213"/>
      <c r="F37" s="213"/>
      <c r="G37" s="214"/>
      <c r="H37" s="215"/>
      <c r="I37" s="215"/>
      <c r="J37" s="215"/>
      <c r="K37" s="215"/>
      <c r="L37" s="216"/>
      <c r="M37" s="216"/>
      <c r="N37" s="216"/>
      <c r="O37" s="216"/>
      <c r="P37" s="96"/>
    </row>
    <row r="38" spans="1:16" ht="45.75" customHeight="1" thickBot="1" x14ac:dyDescent="0.25">
      <c r="A38" s="102" t="s">
        <v>152</v>
      </c>
      <c r="B38" s="212"/>
      <c r="C38" s="213"/>
      <c r="D38" s="213"/>
      <c r="E38" s="213"/>
      <c r="F38" s="213"/>
      <c r="G38" s="214"/>
      <c r="H38" s="215"/>
      <c r="I38" s="215"/>
      <c r="J38" s="215"/>
      <c r="K38" s="215"/>
      <c r="L38" s="215"/>
      <c r="M38" s="215"/>
      <c r="N38" s="215"/>
      <c r="O38" s="215"/>
      <c r="P38" s="96"/>
    </row>
    <row r="39" spans="1:16" ht="45.75" customHeight="1" thickBot="1" x14ac:dyDescent="0.25">
      <c r="A39" s="102" t="s">
        <v>153</v>
      </c>
      <c r="B39" s="212"/>
      <c r="C39" s="213"/>
      <c r="D39" s="213"/>
      <c r="E39" s="213"/>
      <c r="F39" s="213"/>
      <c r="G39" s="214"/>
      <c r="H39" s="215"/>
      <c r="I39" s="215"/>
      <c r="J39" s="215"/>
      <c r="K39" s="215"/>
      <c r="L39" s="215"/>
      <c r="M39" s="215"/>
      <c r="N39" s="215"/>
      <c r="O39" s="215"/>
      <c r="P39" s="96"/>
    </row>
    <row r="40" spans="1:16" ht="45.75" customHeight="1" thickBot="1" x14ac:dyDescent="0.25">
      <c r="A40" s="102" t="s">
        <v>184</v>
      </c>
      <c r="B40" s="212"/>
      <c r="C40" s="213"/>
      <c r="D40" s="213"/>
      <c r="E40" s="213"/>
      <c r="F40" s="213"/>
      <c r="G40" s="214"/>
      <c r="H40" s="215"/>
      <c r="I40" s="215"/>
      <c r="J40" s="215"/>
      <c r="K40" s="215"/>
      <c r="L40" s="215"/>
      <c r="M40" s="215"/>
      <c r="N40" s="215"/>
      <c r="O40" s="215"/>
      <c r="P40" s="96"/>
    </row>
    <row r="41" spans="1:16" ht="45.75" customHeight="1" thickBot="1" x14ac:dyDescent="0.25">
      <c r="A41" s="102" t="s">
        <v>185</v>
      </c>
      <c r="B41" s="212"/>
      <c r="C41" s="213"/>
      <c r="D41" s="213"/>
      <c r="E41" s="213"/>
      <c r="F41" s="213"/>
      <c r="G41" s="214"/>
      <c r="H41" s="215"/>
      <c r="I41" s="215"/>
      <c r="J41" s="215"/>
      <c r="K41" s="215"/>
      <c r="L41" s="215"/>
      <c r="M41" s="215"/>
      <c r="N41" s="215"/>
      <c r="O41" s="215"/>
      <c r="P41" s="96"/>
    </row>
    <row r="42" spans="1:16" ht="45.75" customHeight="1" thickBot="1" x14ac:dyDescent="0.25">
      <c r="A42" s="102" t="s">
        <v>186</v>
      </c>
      <c r="B42" s="212"/>
      <c r="C42" s="213"/>
      <c r="D42" s="213"/>
      <c r="E42" s="213"/>
      <c r="F42" s="213"/>
      <c r="G42" s="214"/>
      <c r="H42" s="215"/>
      <c r="I42" s="215"/>
      <c r="J42" s="215"/>
      <c r="K42" s="215"/>
      <c r="L42" s="215"/>
      <c r="M42" s="215"/>
      <c r="N42" s="215"/>
      <c r="O42" s="215"/>
      <c r="P42" s="96"/>
    </row>
    <row r="43" spans="1:16" ht="45.75" customHeight="1" thickBot="1" x14ac:dyDescent="0.25">
      <c r="A43" s="102" t="s">
        <v>187</v>
      </c>
      <c r="B43" s="212"/>
      <c r="C43" s="213"/>
      <c r="D43" s="213"/>
      <c r="E43" s="213"/>
      <c r="F43" s="213"/>
      <c r="G43" s="214"/>
      <c r="H43" s="215"/>
      <c r="I43" s="215"/>
      <c r="J43" s="215"/>
      <c r="K43" s="215"/>
      <c r="L43" s="215"/>
      <c r="M43" s="215"/>
      <c r="N43" s="215"/>
      <c r="O43" s="215"/>
      <c r="P43" s="96"/>
    </row>
    <row r="44" spans="1:16" ht="45.75" customHeight="1" thickBot="1" x14ac:dyDescent="0.25">
      <c r="A44" s="102" t="s">
        <v>188</v>
      </c>
      <c r="B44" s="212"/>
      <c r="C44" s="213"/>
      <c r="D44" s="213"/>
      <c r="E44" s="213"/>
      <c r="F44" s="213"/>
      <c r="G44" s="214"/>
      <c r="H44" s="215"/>
      <c r="I44" s="215"/>
      <c r="J44" s="215"/>
      <c r="K44" s="215"/>
      <c r="L44" s="215"/>
      <c r="M44" s="215"/>
      <c r="N44" s="215"/>
      <c r="O44" s="215"/>
      <c r="P44" s="96"/>
    </row>
    <row r="45" spans="1:16" ht="45.75" customHeight="1" thickBot="1" x14ac:dyDescent="0.25">
      <c r="A45" s="102" t="s">
        <v>189</v>
      </c>
      <c r="B45" s="212"/>
      <c r="C45" s="213"/>
      <c r="D45" s="213"/>
      <c r="E45" s="213"/>
      <c r="F45" s="213"/>
      <c r="G45" s="214"/>
      <c r="H45" s="215"/>
      <c r="I45" s="215"/>
      <c r="J45" s="215"/>
      <c r="K45" s="215"/>
      <c r="L45" s="215"/>
      <c r="M45" s="215"/>
      <c r="N45" s="215"/>
      <c r="O45" s="215"/>
      <c r="P45" s="96"/>
    </row>
    <row r="46" spans="1:16" ht="45.75" customHeight="1" thickBot="1" x14ac:dyDescent="0.25">
      <c r="A46" s="102" t="s">
        <v>190</v>
      </c>
      <c r="B46" s="212"/>
      <c r="C46" s="213"/>
      <c r="D46" s="213"/>
      <c r="E46" s="213"/>
      <c r="F46" s="213"/>
      <c r="G46" s="214"/>
      <c r="H46" s="215"/>
      <c r="I46" s="215"/>
      <c r="J46" s="215"/>
      <c r="K46" s="215"/>
      <c r="L46" s="215"/>
      <c r="M46" s="215"/>
      <c r="N46" s="215"/>
      <c r="O46" s="215"/>
      <c r="P46" s="96"/>
    </row>
    <row r="47" spans="1:16" ht="45.75" customHeight="1" thickBot="1" x14ac:dyDescent="0.25">
      <c r="A47" s="102" t="s">
        <v>191</v>
      </c>
      <c r="B47" s="212"/>
      <c r="C47" s="213"/>
      <c r="D47" s="213"/>
      <c r="E47" s="213"/>
      <c r="F47" s="213"/>
      <c r="G47" s="214"/>
      <c r="H47" s="215"/>
      <c r="I47" s="215"/>
      <c r="J47" s="215"/>
      <c r="K47" s="215"/>
      <c r="L47" s="215"/>
      <c r="M47" s="215"/>
      <c r="N47" s="215"/>
      <c r="O47" s="215"/>
      <c r="P47" s="96"/>
    </row>
    <row r="48" spans="1:16" ht="45.75" customHeight="1" thickBot="1" x14ac:dyDescent="0.25">
      <c r="A48" s="102" t="s">
        <v>192</v>
      </c>
      <c r="B48" s="212"/>
      <c r="C48" s="213"/>
      <c r="D48" s="213"/>
      <c r="E48" s="213"/>
      <c r="F48" s="213"/>
      <c r="G48" s="214"/>
      <c r="H48" s="215"/>
      <c r="I48" s="215"/>
      <c r="J48" s="215"/>
      <c r="K48" s="215"/>
      <c r="L48" s="215"/>
      <c r="M48" s="215"/>
      <c r="N48" s="215"/>
      <c r="O48" s="215"/>
      <c r="P48" s="96"/>
    </row>
    <row r="49" spans="1:16" ht="45.75" customHeight="1" thickBot="1" x14ac:dyDescent="0.25">
      <c r="A49" s="102" t="s">
        <v>193</v>
      </c>
      <c r="B49" s="212"/>
      <c r="C49" s="213"/>
      <c r="D49" s="213"/>
      <c r="E49" s="213"/>
      <c r="F49" s="213"/>
      <c r="G49" s="214"/>
      <c r="H49" s="215"/>
      <c r="I49" s="215"/>
      <c r="J49" s="215"/>
      <c r="K49" s="215"/>
      <c r="L49" s="215"/>
      <c r="M49" s="215"/>
      <c r="N49" s="215"/>
      <c r="O49" s="215"/>
      <c r="P49" s="96"/>
    </row>
    <row r="50" spans="1:16" ht="45.75" customHeight="1" thickBot="1" x14ac:dyDescent="0.25">
      <c r="A50" s="102" t="s">
        <v>194</v>
      </c>
      <c r="B50" s="212"/>
      <c r="C50" s="213"/>
      <c r="D50" s="213"/>
      <c r="E50" s="213"/>
      <c r="F50" s="213"/>
      <c r="G50" s="214"/>
      <c r="H50" s="215"/>
      <c r="I50" s="215"/>
      <c r="J50" s="215"/>
      <c r="K50" s="215"/>
      <c r="L50" s="215"/>
      <c r="M50" s="215"/>
      <c r="N50" s="215"/>
      <c r="O50" s="215"/>
      <c r="P50" s="96"/>
    </row>
  </sheetData>
  <mergeCells count="95">
    <mergeCell ref="A21:G21"/>
    <mergeCell ref="H21:K21"/>
    <mergeCell ref="L21:O21"/>
    <mergeCell ref="H22:K22"/>
    <mergeCell ref="B1:G1"/>
    <mergeCell ref="B3:G3"/>
    <mergeCell ref="B7:G7"/>
    <mergeCell ref="A11:A14"/>
    <mergeCell ref="B11:G14"/>
    <mergeCell ref="A16:A19"/>
    <mergeCell ref="B16:G19"/>
    <mergeCell ref="B22:G22"/>
    <mergeCell ref="H23:K23"/>
    <mergeCell ref="L22:O22"/>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 ref="B36:G36"/>
    <mergeCell ref="H36:K36"/>
    <mergeCell ref="L36:O36"/>
    <mergeCell ref="B37:G37"/>
    <mergeCell ref="H37:K37"/>
    <mergeCell ref="L37:O37"/>
    <mergeCell ref="B38:G38"/>
    <mergeCell ref="H38:K38"/>
    <mergeCell ref="L38:O38"/>
    <mergeCell ref="B39:G39"/>
    <mergeCell ref="H39:K39"/>
    <mergeCell ref="L39:O39"/>
    <mergeCell ref="B40:G40"/>
    <mergeCell ref="H40:K40"/>
    <mergeCell ref="L40:O40"/>
    <mergeCell ref="B41:G41"/>
    <mergeCell ref="H41:K41"/>
    <mergeCell ref="L41:O41"/>
    <mergeCell ref="B42:G42"/>
    <mergeCell ref="H42:K42"/>
    <mergeCell ref="L42:O42"/>
    <mergeCell ref="B43:G43"/>
    <mergeCell ref="H43:K43"/>
    <mergeCell ref="L43:O43"/>
    <mergeCell ref="B44:G44"/>
    <mergeCell ref="H44:K44"/>
    <mergeCell ref="L44:O44"/>
    <mergeCell ref="B45:G45"/>
    <mergeCell ref="H45:K45"/>
    <mergeCell ref="L45:O45"/>
    <mergeCell ref="B46:G46"/>
    <mergeCell ref="H46:K46"/>
    <mergeCell ref="L46:O46"/>
    <mergeCell ref="B47:G47"/>
    <mergeCell ref="H47:K47"/>
    <mergeCell ref="L47:O47"/>
    <mergeCell ref="B48:G48"/>
    <mergeCell ref="H48:K48"/>
    <mergeCell ref="L48:O48"/>
    <mergeCell ref="B49:G49"/>
    <mergeCell ref="H49:K49"/>
    <mergeCell ref="L49:O49"/>
    <mergeCell ref="B50:G50"/>
    <mergeCell ref="H50:K50"/>
    <mergeCell ref="L50:O50"/>
  </mergeCells>
  <conditionalFormatting sqref="B9:B10">
    <cfRule type="cellIs" dxfId="660" priority="33" operator="equal">
      <formula>"Nok"</formula>
    </cfRule>
    <cfRule type="cellIs" dxfId="659" priority="34" operator="equal">
      <formula>"Ok"</formula>
    </cfRule>
  </conditionalFormatting>
  <conditionalFormatting sqref="P22:P30">
    <cfRule type="cellIs" dxfId="658" priority="31" operator="equal">
      <formula>"Nok"</formula>
    </cfRule>
    <cfRule type="cellIs" dxfId="657" priority="32" operator="equal">
      <formula>"Ok"</formula>
    </cfRule>
  </conditionalFormatting>
  <conditionalFormatting sqref="P31:P35">
    <cfRule type="cellIs" dxfId="656" priority="29" operator="equal">
      <formula>"Nok"</formula>
    </cfRule>
    <cfRule type="cellIs" dxfId="655" priority="30" operator="equal">
      <formula>"Ok"</formula>
    </cfRule>
  </conditionalFormatting>
  <conditionalFormatting sqref="P36:P37">
    <cfRule type="cellIs" dxfId="654" priority="27" operator="equal">
      <formula>"Nok"</formula>
    </cfRule>
    <cfRule type="cellIs" dxfId="653" priority="28" operator="equal">
      <formula>"Ok"</formula>
    </cfRule>
  </conditionalFormatting>
  <conditionalFormatting sqref="P38">
    <cfRule type="cellIs" dxfId="652" priority="25" operator="equal">
      <formula>"Nok"</formula>
    </cfRule>
    <cfRule type="cellIs" dxfId="651" priority="26" operator="equal">
      <formula>"Ok"</formula>
    </cfRule>
  </conditionalFormatting>
  <conditionalFormatting sqref="P39">
    <cfRule type="cellIs" dxfId="650" priority="23" operator="equal">
      <formula>"Nok"</formula>
    </cfRule>
    <cfRule type="cellIs" dxfId="649" priority="24" operator="equal">
      <formula>"Ok"</formula>
    </cfRule>
  </conditionalFormatting>
  <conditionalFormatting sqref="P40">
    <cfRule type="cellIs" dxfId="648" priority="21" operator="equal">
      <formula>"Nok"</formula>
    </cfRule>
    <cfRule type="cellIs" dxfId="647" priority="22" operator="equal">
      <formula>"Ok"</formula>
    </cfRule>
  </conditionalFormatting>
  <conditionalFormatting sqref="P41">
    <cfRule type="cellIs" dxfId="646" priority="19" operator="equal">
      <formula>"Nok"</formula>
    </cfRule>
    <cfRule type="cellIs" dxfId="645" priority="20" operator="equal">
      <formula>"Ok"</formula>
    </cfRule>
  </conditionalFormatting>
  <conditionalFormatting sqref="P42">
    <cfRule type="cellIs" dxfId="644" priority="17" operator="equal">
      <formula>"Nok"</formula>
    </cfRule>
    <cfRule type="cellIs" dxfId="643" priority="18" operator="equal">
      <formula>"Ok"</formula>
    </cfRule>
  </conditionalFormatting>
  <conditionalFormatting sqref="P43">
    <cfRule type="cellIs" dxfId="642" priority="15" operator="equal">
      <formula>"Nok"</formula>
    </cfRule>
    <cfRule type="cellIs" dxfId="641" priority="16" operator="equal">
      <formula>"Ok"</formula>
    </cfRule>
  </conditionalFormatting>
  <conditionalFormatting sqref="P44">
    <cfRule type="cellIs" dxfId="640" priority="13" operator="equal">
      <formula>"Nok"</formula>
    </cfRule>
    <cfRule type="cellIs" dxfId="639" priority="14" operator="equal">
      <formula>"Ok"</formula>
    </cfRule>
  </conditionalFormatting>
  <conditionalFormatting sqref="P45">
    <cfRule type="cellIs" dxfId="638" priority="11" operator="equal">
      <formula>"Nok"</formula>
    </cfRule>
    <cfRule type="cellIs" dxfId="637" priority="12" operator="equal">
      <formula>"Ok"</formula>
    </cfRule>
  </conditionalFormatting>
  <conditionalFormatting sqref="P46">
    <cfRule type="cellIs" dxfId="636" priority="9" operator="equal">
      <formula>"Nok"</formula>
    </cfRule>
    <cfRule type="cellIs" dxfId="635" priority="10" operator="equal">
      <formula>"Ok"</formula>
    </cfRule>
  </conditionalFormatting>
  <conditionalFormatting sqref="P47">
    <cfRule type="cellIs" dxfId="634" priority="7" operator="equal">
      <formula>"Nok"</formula>
    </cfRule>
    <cfRule type="cellIs" dxfId="633" priority="8" operator="equal">
      <formula>"Ok"</formula>
    </cfRule>
  </conditionalFormatting>
  <conditionalFormatting sqref="P48">
    <cfRule type="cellIs" dxfId="632" priority="5" operator="equal">
      <formula>"Nok"</formula>
    </cfRule>
    <cfRule type="cellIs" dxfId="631" priority="6" operator="equal">
      <formula>"Ok"</formula>
    </cfRule>
  </conditionalFormatting>
  <conditionalFormatting sqref="P49">
    <cfRule type="cellIs" dxfId="630" priority="3" operator="equal">
      <formula>"Nok"</formula>
    </cfRule>
    <cfRule type="cellIs" dxfId="629" priority="4" operator="equal">
      <formula>"Ok"</formula>
    </cfRule>
  </conditionalFormatting>
  <conditionalFormatting sqref="P50">
    <cfRule type="cellIs" dxfId="628" priority="1" operator="equal">
      <formula>"Nok"</formula>
    </cfRule>
    <cfRule type="cellIs" dxfId="627" priority="2" operator="equal">
      <formula>"Ok"</formula>
    </cfRule>
  </conditionalFormatting>
  <dataValidations count="3">
    <dataValidation type="list" allowBlank="1" showInputMessage="1" showErrorMessage="1" sqref="B5">
      <formula1>"Nominal, Robustness, Endurance, Qualification"</formula1>
    </dataValidation>
    <dataValidation type="list" allowBlank="1" showInputMessage="1" showErrorMessage="1" sqref="B9">
      <formula1>"Ok, Nok, Not run, NA"</formula1>
    </dataValidation>
    <dataValidation type="list" allowBlank="1" showInputMessage="1" showErrorMessage="1" sqref="P22:P50">
      <formula1>"Ok, Nok, Not run, ,"</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workbookViewId="0">
      <selection activeCell="K8" sqref="K8"/>
    </sheetView>
  </sheetViews>
  <sheetFormatPr defaultRowHeight="12.75" x14ac:dyDescent="0.2"/>
  <cols>
    <col min="1" max="1" width="20.140625" style="97" customWidth="1"/>
    <col min="2" max="2" width="18.42578125" style="93" customWidth="1"/>
    <col min="3" max="7" width="9.140625" style="93"/>
    <col min="8" max="15" width="9.5703125" style="93" customWidth="1"/>
    <col min="16" max="16384" width="9.140625" style="93"/>
  </cols>
  <sheetData>
    <row r="1" spans="1:15" ht="13.5" thickBot="1" x14ac:dyDescent="0.25">
      <c r="A1" s="98" t="s">
        <v>41</v>
      </c>
      <c r="B1" s="234" t="s">
        <v>323</v>
      </c>
      <c r="C1" s="235"/>
      <c r="D1" s="235"/>
      <c r="E1" s="235"/>
      <c r="F1" s="235"/>
      <c r="G1" s="236"/>
      <c r="H1" s="73"/>
      <c r="I1" s="73"/>
      <c r="J1" s="73"/>
      <c r="K1" s="73"/>
      <c r="L1" s="73"/>
      <c r="M1" s="73"/>
      <c r="N1" s="73"/>
      <c r="O1" s="73"/>
    </row>
    <row r="2" spans="1:15" ht="13.5" thickBot="1" x14ac:dyDescent="0.25">
      <c r="A2" s="71"/>
      <c r="B2" s="72"/>
      <c r="C2" s="72"/>
      <c r="D2" s="73"/>
      <c r="E2" s="73"/>
      <c r="F2" s="73"/>
      <c r="G2" s="73"/>
      <c r="H2" s="73"/>
      <c r="I2" s="73"/>
      <c r="J2" s="73"/>
      <c r="K2" s="73"/>
      <c r="L2" s="73"/>
      <c r="M2" s="73"/>
      <c r="N2" s="73"/>
      <c r="O2" s="73"/>
    </row>
    <row r="3" spans="1:15" ht="61.5" customHeight="1" thickBot="1" x14ac:dyDescent="0.25">
      <c r="A3" s="99" t="s">
        <v>46</v>
      </c>
      <c r="B3" s="237" t="s">
        <v>322</v>
      </c>
      <c r="C3" s="238"/>
      <c r="D3" s="238"/>
      <c r="E3" s="238"/>
      <c r="F3" s="238"/>
      <c r="G3" s="239"/>
      <c r="H3" s="73"/>
      <c r="I3" s="73"/>
      <c r="J3" s="73"/>
      <c r="K3" s="73"/>
      <c r="L3" s="73"/>
      <c r="M3" s="73"/>
      <c r="N3" s="73"/>
      <c r="O3" s="73"/>
    </row>
    <row r="4" spans="1:15" ht="13.5" thickBot="1" x14ac:dyDescent="0.25">
      <c r="A4" s="71"/>
      <c r="B4" s="72"/>
      <c r="C4" s="72"/>
      <c r="D4" s="73"/>
      <c r="E4" s="73"/>
      <c r="F4" s="73"/>
      <c r="G4" s="73"/>
      <c r="H4" s="73"/>
      <c r="I4" s="73"/>
      <c r="J4" s="73"/>
      <c r="K4" s="73"/>
      <c r="L4" s="73"/>
      <c r="M4" s="73"/>
      <c r="N4" s="73"/>
      <c r="O4" s="73"/>
    </row>
    <row r="5" spans="1:15" ht="13.5" thickBot="1" x14ac:dyDescent="0.25">
      <c r="A5" s="98" t="s">
        <v>111</v>
      </c>
      <c r="B5" s="76" t="s">
        <v>142</v>
      </c>
      <c r="C5" s="72"/>
      <c r="D5" s="73"/>
      <c r="E5" s="73"/>
      <c r="F5" s="73"/>
      <c r="G5" s="73"/>
      <c r="H5" s="73"/>
      <c r="I5" s="73"/>
      <c r="J5" s="73"/>
      <c r="K5" s="73"/>
      <c r="L5" s="73"/>
      <c r="M5" s="73"/>
      <c r="N5" s="73"/>
      <c r="O5" s="73"/>
    </row>
    <row r="6" spans="1:15" ht="13.5" thickBot="1" x14ac:dyDescent="0.25">
      <c r="A6" s="71"/>
      <c r="B6" s="72"/>
      <c r="C6" s="72"/>
      <c r="D6" s="73"/>
      <c r="E6" s="73"/>
      <c r="F6" s="73"/>
      <c r="G6" s="73"/>
      <c r="H6" s="73"/>
      <c r="I6" s="73"/>
      <c r="J6" s="73"/>
      <c r="K6" s="73"/>
      <c r="L6" s="73"/>
      <c r="M6" s="73"/>
      <c r="N6" s="73"/>
      <c r="O6" s="73"/>
    </row>
    <row r="7" spans="1:15" ht="30.75" customHeight="1" thickBot="1" x14ac:dyDescent="0.25">
      <c r="A7" s="98" t="s">
        <v>42</v>
      </c>
      <c r="B7" s="237" t="s">
        <v>317</v>
      </c>
      <c r="C7" s="238"/>
      <c r="D7" s="238"/>
      <c r="E7" s="238"/>
      <c r="F7" s="238"/>
      <c r="G7" s="239"/>
      <c r="H7" s="73"/>
      <c r="I7" s="73"/>
      <c r="J7" s="73"/>
      <c r="K7" s="73"/>
      <c r="L7" s="73"/>
      <c r="M7" s="73"/>
      <c r="N7" s="73"/>
      <c r="O7" s="73"/>
    </row>
    <row r="8" spans="1:15" ht="13.5" thickBot="1" x14ac:dyDescent="0.25">
      <c r="A8" s="75"/>
      <c r="B8" s="74"/>
      <c r="C8" s="74"/>
      <c r="D8" s="74"/>
      <c r="E8" s="74"/>
      <c r="F8" s="74"/>
      <c r="G8" s="74"/>
      <c r="H8" s="73"/>
      <c r="I8" s="73"/>
      <c r="J8" s="73"/>
      <c r="K8" s="73"/>
      <c r="L8" s="73"/>
      <c r="M8" s="73"/>
      <c r="N8" s="73"/>
      <c r="O8" s="73"/>
    </row>
    <row r="9" spans="1:15" ht="13.5" thickBot="1" x14ac:dyDescent="0.25">
      <c r="A9" s="98" t="s">
        <v>43</v>
      </c>
      <c r="B9" s="103" t="s">
        <v>321</v>
      </c>
      <c r="C9" s="72"/>
      <c r="D9" s="73"/>
      <c r="E9" s="73"/>
      <c r="F9" s="73"/>
      <c r="G9" s="73"/>
      <c r="H9" s="73"/>
      <c r="I9" s="73"/>
      <c r="J9" s="73"/>
      <c r="K9" s="73"/>
      <c r="L9" s="73"/>
      <c r="M9" s="73"/>
      <c r="N9" s="73"/>
      <c r="O9" s="73"/>
    </row>
    <row r="10" spans="1:15" ht="13.5" thickBot="1" x14ac:dyDescent="0.25">
      <c r="A10" s="75"/>
      <c r="B10" s="94"/>
      <c r="C10" s="72"/>
      <c r="D10" s="73"/>
      <c r="E10" s="73"/>
      <c r="F10" s="73"/>
      <c r="G10" s="73"/>
      <c r="H10" s="73"/>
      <c r="I10" s="73"/>
      <c r="J10" s="73"/>
      <c r="K10" s="73"/>
      <c r="L10" s="73"/>
      <c r="M10" s="73"/>
      <c r="N10" s="73"/>
      <c r="O10" s="73"/>
    </row>
    <row r="11" spans="1:15" ht="12" customHeight="1" x14ac:dyDescent="0.2">
      <c r="A11" s="223" t="s">
        <v>113</v>
      </c>
      <c r="B11" s="225"/>
      <c r="C11" s="226"/>
      <c r="D11" s="226"/>
      <c r="E11" s="226"/>
      <c r="F11" s="226"/>
      <c r="G11" s="227"/>
      <c r="H11" s="73"/>
      <c r="I11" s="73"/>
      <c r="J11" s="73"/>
      <c r="K11" s="73"/>
      <c r="L11" s="73"/>
      <c r="M11" s="73"/>
      <c r="N11" s="73"/>
      <c r="O11" s="73"/>
    </row>
    <row r="12" spans="1:15" x14ac:dyDescent="0.2">
      <c r="A12" s="224"/>
      <c r="B12" s="228"/>
      <c r="C12" s="229"/>
      <c r="D12" s="229"/>
      <c r="E12" s="229"/>
      <c r="F12" s="229"/>
      <c r="G12" s="230"/>
      <c r="H12" s="73"/>
      <c r="I12" s="73"/>
      <c r="J12" s="73"/>
      <c r="K12" s="73"/>
      <c r="L12" s="73"/>
      <c r="M12" s="73"/>
      <c r="N12" s="73"/>
      <c r="O12" s="73"/>
    </row>
    <row r="13" spans="1:15" x14ac:dyDescent="0.2">
      <c r="A13" s="224"/>
      <c r="B13" s="228"/>
      <c r="C13" s="229"/>
      <c r="D13" s="229"/>
      <c r="E13" s="229"/>
      <c r="F13" s="229"/>
      <c r="G13" s="230"/>
      <c r="H13" s="71"/>
      <c r="I13" s="73"/>
      <c r="J13" s="73"/>
      <c r="K13" s="73"/>
      <c r="L13" s="73"/>
      <c r="M13" s="73"/>
      <c r="N13" s="73"/>
      <c r="O13" s="73"/>
    </row>
    <row r="14" spans="1:15" ht="13.5" thickBot="1" x14ac:dyDescent="0.25">
      <c r="A14" s="224"/>
      <c r="B14" s="231"/>
      <c r="C14" s="232"/>
      <c r="D14" s="232"/>
      <c r="E14" s="232"/>
      <c r="F14" s="232"/>
      <c r="G14" s="233"/>
      <c r="H14" s="77"/>
      <c r="I14" s="73"/>
      <c r="J14" s="73"/>
      <c r="K14" s="73"/>
      <c r="L14" s="73"/>
      <c r="M14" s="73"/>
      <c r="N14" s="73"/>
      <c r="O14" s="73"/>
    </row>
    <row r="15" spans="1:15" ht="13.5" thickBot="1" x14ac:dyDescent="0.25">
      <c r="A15" s="71"/>
      <c r="B15" s="71"/>
      <c r="C15" s="71"/>
      <c r="D15" s="71"/>
      <c r="E15" s="71"/>
      <c r="F15" s="71"/>
      <c r="G15" s="71"/>
      <c r="H15" s="77"/>
      <c r="I15" s="73"/>
      <c r="J15" s="73"/>
      <c r="K15" s="73"/>
      <c r="L15" s="73"/>
      <c r="M15" s="73"/>
      <c r="N15" s="73"/>
      <c r="O15" s="73"/>
    </row>
    <row r="16" spans="1:15" x14ac:dyDescent="0.2">
      <c r="A16" s="223" t="s">
        <v>44</v>
      </c>
      <c r="B16" s="225"/>
      <c r="C16" s="226"/>
      <c r="D16" s="226"/>
      <c r="E16" s="226"/>
      <c r="F16" s="226"/>
      <c r="G16" s="227"/>
      <c r="H16" s="73"/>
      <c r="I16" s="73"/>
      <c r="J16" s="73"/>
      <c r="K16" s="73"/>
      <c r="L16" s="73"/>
      <c r="M16" s="73"/>
      <c r="N16" s="73"/>
      <c r="O16" s="73"/>
    </row>
    <row r="17" spans="1:16" x14ac:dyDescent="0.2">
      <c r="A17" s="224"/>
      <c r="B17" s="228"/>
      <c r="C17" s="229"/>
      <c r="D17" s="229"/>
      <c r="E17" s="229"/>
      <c r="F17" s="229"/>
      <c r="G17" s="230"/>
      <c r="H17" s="73"/>
      <c r="I17" s="73"/>
      <c r="J17" s="73"/>
      <c r="K17" s="73"/>
      <c r="L17" s="73"/>
      <c r="M17" s="73"/>
      <c r="N17" s="73"/>
      <c r="O17" s="73"/>
    </row>
    <row r="18" spans="1:16" x14ac:dyDescent="0.2">
      <c r="A18" s="224"/>
      <c r="B18" s="228"/>
      <c r="C18" s="229"/>
      <c r="D18" s="229"/>
      <c r="E18" s="229"/>
      <c r="F18" s="229"/>
      <c r="G18" s="230"/>
      <c r="H18" s="71"/>
      <c r="I18" s="73"/>
      <c r="J18" s="73"/>
      <c r="K18" s="73"/>
      <c r="L18" s="73"/>
      <c r="M18" s="73"/>
      <c r="N18" s="73"/>
      <c r="O18" s="73"/>
    </row>
    <row r="19" spans="1:16" ht="13.5" thickBot="1" x14ac:dyDescent="0.25">
      <c r="A19" s="224"/>
      <c r="B19" s="231"/>
      <c r="C19" s="232"/>
      <c r="D19" s="232"/>
      <c r="E19" s="232"/>
      <c r="F19" s="232"/>
      <c r="G19" s="233"/>
      <c r="H19" s="77"/>
      <c r="I19" s="73"/>
      <c r="J19" s="73"/>
      <c r="K19" s="73"/>
      <c r="L19" s="73"/>
      <c r="M19" s="73"/>
      <c r="N19" s="73"/>
      <c r="O19" s="73"/>
    </row>
    <row r="20" spans="1:16" ht="13.5" thickBot="1" x14ac:dyDescent="0.25">
      <c r="A20" s="71"/>
      <c r="B20" s="71"/>
      <c r="C20" s="71"/>
      <c r="D20" s="71"/>
      <c r="E20" s="71"/>
      <c r="F20" s="71"/>
      <c r="G20" s="71"/>
      <c r="H20" s="77"/>
      <c r="I20" s="73"/>
      <c r="J20" s="73"/>
      <c r="K20" s="73"/>
      <c r="L20" s="73"/>
      <c r="M20" s="73"/>
      <c r="N20" s="73"/>
      <c r="O20" s="73"/>
    </row>
    <row r="21" spans="1:16" ht="12.75" customHeight="1" x14ac:dyDescent="0.2">
      <c r="A21" s="220" t="s">
        <v>48</v>
      </c>
      <c r="B21" s="221"/>
      <c r="C21" s="221"/>
      <c r="D21" s="221"/>
      <c r="E21" s="221"/>
      <c r="F21" s="221"/>
      <c r="G21" s="222"/>
      <c r="H21" s="220" t="s">
        <v>49</v>
      </c>
      <c r="I21" s="221"/>
      <c r="J21" s="221"/>
      <c r="K21" s="222"/>
      <c r="L21" s="220" t="s">
        <v>60</v>
      </c>
      <c r="M21" s="221"/>
      <c r="N21" s="221"/>
      <c r="O21" s="222"/>
      <c r="P21" s="100" t="s">
        <v>47</v>
      </c>
    </row>
    <row r="22" spans="1:16" ht="88.5" customHeight="1" thickBot="1" x14ac:dyDescent="0.25">
      <c r="A22" s="101" t="s">
        <v>50</v>
      </c>
      <c r="B22" s="212" t="s">
        <v>319</v>
      </c>
      <c r="C22" s="213"/>
      <c r="D22" s="213"/>
      <c r="E22" s="213"/>
      <c r="F22" s="213"/>
      <c r="G22" s="214"/>
      <c r="H22" s="216"/>
      <c r="I22" s="216"/>
      <c r="J22" s="216"/>
      <c r="K22" s="216"/>
      <c r="L22" s="216" t="s">
        <v>320</v>
      </c>
      <c r="M22" s="216"/>
      <c r="N22" s="216"/>
      <c r="O22" s="216"/>
      <c r="P22" s="95" t="s">
        <v>321</v>
      </c>
    </row>
    <row r="23" spans="1:16" ht="73.5" customHeight="1" thickBot="1" x14ac:dyDescent="0.25">
      <c r="A23" s="101" t="s">
        <v>51</v>
      </c>
      <c r="B23" s="212"/>
      <c r="C23" s="213"/>
      <c r="D23" s="213"/>
      <c r="E23" s="213"/>
      <c r="F23" s="213"/>
      <c r="G23" s="214"/>
      <c r="H23" s="216"/>
      <c r="I23" s="216"/>
      <c r="J23" s="216"/>
      <c r="K23" s="216"/>
      <c r="L23" s="216"/>
      <c r="M23" s="216"/>
      <c r="N23" s="216"/>
      <c r="O23" s="216"/>
      <c r="P23" s="95"/>
    </row>
    <row r="24" spans="1:16" ht="73.5" customHeight="1" thickBot="1" x14ac:dyDescent="0.25">
      <c r="A24" s="101" t="s">
        <v>52</v>
      </c>
      <c r="B24" s="212"/>
      <c r="C24" s="213"/>
      <c r="D24" s="213"/>
      <c r="E24" s="213"/>
      <c r="F24" s="213"/>
      <c r="G24" s="214"/>
      <c r="H24" s="216"/>
      <c r="I24" s="216"/>
      <c r="J24" s="216"/>
      <c r="K24" s="216"/>
      <c r="L24" s="216"/>
      <c r="M24" s="216"/>
      <c r="N24" s="216"/>
      <c r="O24" s="216"/>
      <c r="P24" s="95"/>
    </row>
    <row r="25" spans="1:16" ht="72.75" customHeight="1" thickBot="1" x14ac:dyDescent="0.25">
      <c r="A25" s="101" t="s">
        <v>53</v>
      </c>
      <c r="B25" s="212"/>
      <c r="C25" s="213"/>
      <c r="D25" s="213"/>
      <c r="E25" s="213"/>
      <c r="F25" s="213"/>
      <c r="G25" s="214"/>
      <c r="H25" s="216"/>
      <c r="I25" s="216"/>
      <c r="J25" s="216"/>
      <c r="K25" s="216"/>
      <c r="L25" s="216"/>
      <c r="M25" s="216"/>
      <c r="N25" s="216"/>
      <c r="O25" s="216"/>
      <c r="P25" s="95"/>
    </row>
    <row r="26" spans="1:16" ht="104.25" customHeight="1" thickBot="1" x14ac:dyDescent="0.25">
      <c r="A26" s="101" t="s">
        <v>54</v>
      </c>
      <c r="B26" s="212"/>
      <c r="C26" s="213"/>
      <c r="D26" s="213"/>
      <c r="E26" s="213"/>
      <c r="F26" s="213"/>
      <c r="G26" s="214"/>
      <c r="H26" s="216"/>
      <c r="I26" s="216"/>
      <c r="J26" s="216"/>
      <c r="K26" s="216"/>
      <c r="L26" s="216"/>
      <c r="M26" s="216"/>
      <c r="N26" s="216"/>
      <c r="O26" s="216"/>
      <c r="P26" s="95"/>
    </row>
    <row r="27" spans="1:16" ht="29.25" customHeight="1" x14ac:dyDescent="0.2">
      <c r="A27" s="101" t="s">
        <v>55</v>
      </c>
      <c r="B27" s="217"/>
      <c r="C27" s="218"/>
      <c r="D27" s="218"/>
      <c r="E27" s="218"/>
      <c r="F27" s="218"/>
      <c r="G27" s="219"/>
      <c r="H27" s="216"/>
      <c r="I27" s="216"/>
      <c r="J27" s="216"/>
      <c r="K27" s="216"/>
      <c r="L27" s="216"/>
      <c r="M27" s="216"/>
      <c r="N27" s="216"/>
      <c r="O27" s="216"/>
      <c r="P27" s="95"/>
    </row>
    <row r="28" spans="1:16" ht="29.25" customHeight="1" x14ac:dyDescent="0.2">
      <c r="A28" s="101" t="s">
        <v>56</v>
      </c>
      <c r="B28" s="217"/>
      <c r="C28" s="218"/>
      <c r="D28" s="218"/>
      <c r="E28" s="218"/>
      <c r="F28" s="218"/>
      <c r="G28" s="219"/>
      <c r="H28" s="216"/>
      <c r="I28" s="216"/>
      <c r="J28" s="216"/>
      <c r="K28" s="216"/>
      <c r="L28" s="216"/>
      <c r="M28" s="216"/>
      <c r="N28" s="216"/>
      <c r="O28" s="216"/>
      <c r="P28" s="95"/>
    </row>
    <row r="29" spans="1:16" ht="29.25" customHeight="1" x14ac:dyDescent="0.2">
      <c r="A29" s="101" t="s">
        <v>57</v>
      </c>
      <c r="B29" s="217"/>
      <c r="C29" s="218"/>
      <c r="D29" s="218"/>
      <c r="E29" s="218"/>
      <c r="F29" s="218"/>
      <c r="G29" s="219"/>
      <c r="H29" s="216"/>
      <c r="I29" s="216"/>
      <c r="J29" s="216"/>
      <c r="K29" s="216"/>
      <c r="L29" s="216"/>
      <c r="M29" s="216"/>
      <c r="N29" s="216"/>
      <c r="O29" s="216"/>
      <c r="P29" s="95"/>
    </row>
    <row r="30" spans="1:16" ht="45.75" customHeight="1" thickBot="1" x14ac:dyDescent="0.25">
      <c r="A30" s="102" t="s">
        <v>58</v>
      </c>
      <c r="B30" s="212"/>
      <c r="C30" s="213"/>
      <c r="D30" s="213"/>
      <c r="E30" s="213"/>
      <c r="F30" s="213"/>
      <c r="G30" s="214"/>
      <c r="H30" s="215"/>
      <c r="I30" s="215"/>
      <c r="J30" s="215"/>
      <c r="K30" s="215"/>
      <c r="L30" s="215"/>
      <c r="M30" s="215"/>
      <c r="N30" s="215"/>
      <c r="O30" s="215"/>
      <c r="P30" s="96"/>
    </row>
    <row r="31" spans="1:16" ht="29.25" customHeight="1" thickBot="1" x14ac:dyDescent="0.25">
      <c r="A31" s="102" t="s">
        <v>145</v>
      </c>
      <c r="B31" s="217"/>
      <c r="C31" s="218"/>
      <c r="D31" s="218"/>
      <c r="E31" s="218"/>
      <c r="F31" s="218"/>
      <c r="G31" s="219"/>
      <c r="H31" s="216"/>
      <c r="I31" s="216"/>
      <c r="J31" s="216"/>
      <c r="K31" s="216"/>
      <c r="L31" s="216"/>
      <c r="M31" s="216"/>
      <c r="N31" s="216"/>
      <c r="O31" s="216"/>
      <c r="P31" s="95"/>
    </row>
    <row r="32" spans="1:16" ht="55.5" customHeight="1" thickBot="1" x14ac:dyDescent="0.25">
      <c r="A32" s="102" t="s">
        <v>146</v>
      </c>
      <c r="B32" s="217"/>
      <c r="C32" s="218"/>
      <c r="D32" s="218"/>
      <c r="E32" s="218"/>
      <c r="F32" s="218"/>
      <c r="G32" s="219"/>
      <c r="H32" s="216"/>
      <c r="I32" s="216"/>
      <c r="J32" s="216"/>
      <c r="K32" s="216"/>
      <c r="L32" s="216"/>
      <c r="M32" s="216"/>
      <c r="N32" s="216"/>
      <c r="O32" s="216"/>
      <c r="P32" s="95"/>
    </row>
    <row r="33" spans="1:16" ht="45.75" customHeight="1" thickBot="1" x14ac:dyDescent="0.25">
      <c r="A33" s="102" t="s">
        <v>147</v>
      </c>
      <c r="B33" s="212"/>
      <c r="C33" s="213"/>
      <c r="D33" s="213"/>
      <c r="E33" s="213"/>
      <c r="F33" s="213"/>
      <c r="G33" s="214"/>
      <c r="H33" s="215"/>
      <c r="I33" s="215"/>
      <c r="J33" s="215"/>
      <c r="K33" s="215"/>
      <c r="L33" s="215"/>
      <c r="M33" s="215"/>
      <c r="N33" s="215"/>
      <c r="O33" s="215"/>
      <c r="P33" s="95"/>
    </row>
    <row r="34" spans="1:16" ht="45.75" customHeight="1" thickBot="1" x14ac:dyDescent="0.25">
      <c r="A34" s="102" t="s">
        <v>148</v>
      </c>
      <c r="B34" s="217"/>
      <c r="C34" s="218"/>
      <c r="D34" s="218"/>
      <c r="E34" s="218"/>
      <c r="F34" s="218"/>
      <c r="G34" s="219"/>
      <c r="H34" s="216"/>
      <c r="I34" s="216"/>
      <c r="J34" s="216"/>
      <c r="K34" s="216"/>
      <c r="L34" s="216"/>
      <c r="M34" s="216"/>
      <c r="N34" s="216"/>
      <c r="O34" s="216"/>
      <c r="P34" s="95"/>
    </row>
    <row r="35" spans="1:16" ht="48" customHeight="1" thickBot="1" x14ac:dyDescent="0.25">
      <c r="A35" s="102" t="s">
        <v>149</v>
      </c>
      <c r="B35" s="217"/>
      <c r="C35" s="218"/>
      <c r="D35" s="218"/>
      <c r="E35" s="218"/>
      <c r="F35" s="218"/>
      <c r="G35" s="219"/>
      <c r="H35" s="216"/>
      <c r="I35" s="216"/>
      <c r="J35" s="216"/>
      <c r="K35" s="216"/>
      <c r="L35" s="216"/>
      <c r="M35" s="216"/>
      <c r="N35" s="216"/>
      <c r="O35" s="216"/>
      <c r="P35" s="95"/>
    </row>
    <row r="36" spans="1:16" ht="45.75" customHeight="1" thickBot="1" x14ac:dyDescent="0.25">
      <c r="A36" s="102" t="s">
        <v>150</v>
      </c>
      <c r="B36" s="212"/>
      <c r="C36" s="213"/>
      <c r="D36" s="213"/>
      <c r="E36" s="213"/>
      <c r="F36" s="213"/>
      <c r="G36" s="214"/>
      <c r="H36" s="215"/>
      <c r="I36" s="215"/>
      <c r="J36" s="215"/>
      <c r="K36" s="215"/>
      <c r="L36" s="216"/>
      <c r="M36" s="216"/>
      <c r="N36" s="216"/>
      <c r="O36" s="216"/>
      <c r="P36" s="96"/>
    </row>
    <row r="37" spans="1:16" ht="66" customHeight="1" thickBot="1" x14ac:dyDescent="0.25">
      <c r="A37" s="102" t="s">
        <v>151</v>
      </c>
      <c r="B37" s="212"/>
      <c r="C37" s="213"/>
      <c r="D37" s="213"/>
      <c r="E37" s="213"/>
      <c r="F37" s="213"/>
      <c r="G37" s="214"/>
      <c r="H37" s="215"/>
      <c r="I37" s="215"/>
      <c r="J37" s="215"/>
      <c r="K37" s="215"/>
      <c r="L37" s="216"/>
      <c r="M37" s="216"/>
      <c r="N37" s="216"/>
      <c r="O37" s="216"/>
      <c r="P37" s="96"/>
    </row>
    <row r="38" spans="1:16" ht="45.75" customHeight="1" thickBot="1" x14ac:dyDescent="0.25">
      <c r="A38" s="102" t="s">
        <v>152</v>
      </c>
      <c r="B38" s="212"/>
      <c r="C38" s="213"/>
      <c r="D38" s="213"/>
      <c r="E38" s="213"/>
      <c r="F38" s="213"/>
      <c r="G38" s="214"/>
      <c r="H38" s="215"/>
      <c r="I38" s="215"/>
      <c r="J38" s="215"/>
      <c r="K38" s="215"/>
      <c r="L38" s="215"/>
      <c r="M38" s="215"/>
      <c r="N38" s="215"/>
      <c r="O38" s="215"/>
      <c r="P38" s="96"/>
    </row>
    <row r="39" spans="1:16" ht="45.75" customHeight="1" thickBot="1" x14ac:dyDescent="0.25">
      <c r="A39" s="102" t="s">
        <v>153</v>
      </c>
      <c r="B39" s="212"/>
      <c r="C39" s="213"/>
      <c r="D39" s="213"/>
      <c r="E39" s="213"/>
      <c r="F39" s="213"/>
      <c r="G39" s="214"/>
      <c r="H39" s="215"/>
      <c r="I39" s="215"/>
      <c r="J39" s="215"/>
      <c r="K39" s="215"/>
      <c r="L39" s="215"/>
      <c r="M39" s="215"/>
      <c r="N39" s="215"/>
      <c r="O39" s="215"/>
      <c r="P39" s="96"/>
    </row>
    <row r="40" spans="1:16" ht="45.75" customHeight="1" thickBot="1" x14ac:dyDescent="0.25">
      <c r="A40" s="102" t="s">
        <v>184</v>
      </c>
      <c r="B40" s="212"/>
      <c r="C40" s="213"/>
      <c r="D40" s="213"/>
      <c r="E40" s="213"/>
      <c r="F40" s="213"/>
      <c r="G40" s="214"/>
      <c r="H40" s="215"/>
      <c r="I40" s="215"/>
      <c r="J40" s="215"/>
      <c r="K40" s="215"/>
      <c r="L40" s="215"/>
      <c r="M40" s="215"/>
      <c r="N40" s="215"/>
      <c r="O40" s="215"/>
      <c r="P40" s="96"/>
    </row>
    <row r="41" spans="1:16" ht="45.75" customHeight="1" thickBot="1" x14ac:dyDescent="0.25">
      <c r="A41" s="102" t="s">
        <v>185</v>
      </c>
      <c r="B41" s="212"/>
      <c r="C41" s="213"/>
      <c r="D41" s="213"/>
      <c r="E41" s="213"/>
      <c r="F41" s="213"/>
      <c r="G41" s="214"/>
      <c r="H41" s="215"/>
      <c r="I41" s="215"/>
      <c r="J41" s="215"/>
      <c r="K41" s="215"/>
      <c r="L41" s="215"/>
      <c r="M41" s="215"/>
      <c r="N41" s="215"/>
      <c r="O41" s="215"/>
      <c r="P41" s="96"/>
    </row>
    <row r="42" spans="1:16" ht="45.75" customHeight="1" thickBot="1" x14ac:dyDescent="0.25">
      <c r="A42" s="102" t="s">
        <v>186</v>
      </c>
      <c r="B42" s="212"/>
      <c r="C42" s="213"/>
      <c r="D42" s="213"/>
      <c r="E42" s="213"/>
      <c r="F42" s="213"/>
      <c r="G42" s="214"/>
      <c r="H42" s="215"/>
      <c r="I42" s="215"/>
      <c r="J42" s="215"/>
      <c r="K42" s="215"/>
      <c r="L42" s="215"/>
      <c r="M42" s="215"/>
      <c r="N42" s="215"/>
      <c r="O42" s="215"/>
      <c r="P42" s="96"/>
    </row>
    <row r="43" spans="1:16" ht="45.75" customHeight="1" thickBot="1" x14ac:dyDescent="0.25">
      <c r="A43" s="102" t="s">
        <v>187</v>
      </c>
      <c r="B43" s="212"/>
      <c r="C43" s="213"/>
      <c r="D43" s="213"/>
      <c r="E43" s="213"/>
      <c r="F43" s="213"/>
      <c r="G43" s="214"/>
      <c r="H43" s="215"/>
      <c r="I43" s="215"/>
      <c r="J43" s="215"/>
      <c r="K43" s="215"/>
      <c r="L43" s="215"/>
      <c r="M43" s="215"/>
      <c r="N43" s="215"/>
      <c r="O43" s="215"/>
      <c r="P43" s="96"/>
    </row>
    <row r="44" spans="1:16" ht="45.75" customHeight="1" thickBot="1" x14ac:dyDescent="0.25">
      <c r="A44" s="102" t="s">
        <v>188</v>
      </c>
      <c r="B44" s="212"/>
      <c r="C44" s="213"/>
      <c r="D44" s="213"/>
      <c r="E44" s="213"/>
      <c r="F44" s="213"/>
      <c r="G44" s="214"/>
      <c r="H44" s="215"/>
      <c r="I44" s="215"/>
      <c r="J44" s="215"/>
      <c r="K44" s="215"/>
      <c r="L44" s="215"/>
      <c r="M44" s="215"/>
      <c r="N44" s="215"/>
      <c r="O44" s="215"/>
      <c r="P44" s="96"/>
    </row>
    <row r="45" spans="1:16" ht="45.75" customHeight="1" thickBot="1" x14ac:dyDescent="0.25">
      <c r="A45" s="102" t="s">
        <v>189</v>
      </c>
      <c r="B45" s="212"/>
      <c r="C45" s="213"/>
      <c r="D45" s="213"/>
      <c r="E45" s="213"/>
      <c r="F45" s="213"/>
      <c r="G45" s="214"/>
      <c r="H45" s="215"/>
      <c r="I45" s="215"/>
      <c r="J45" s="215"/>
      <c r="K45" s="215"/>
      <c r="L45" s="215"/>
      <c r="M45" s="215"/>
      <c r="N45" s="215"/>
      <c r="O45" s="215"/>
      <c r="P45" s="96"/>
    </row>
    <row r="46" spans="1:16" ht="45.75" customHeight="1" thickBot="1" x14ac:dyDescent="0.25">
      <c r="A46" s="102" t="s">
        <v>190</v>
      </c>
      <c r="B46" s="212"/>
      <c r="C46" s="213"/>
      <c r="D46" s="213"/>
      <c r="E46" s="213"/>
      <c r="F46" s="213"/>
      <c r="G46" s="214"/>
      <c r="H46" s="215"/>
      <c r="I46" s="215"/>
      <c r="J46" s="215"/>
      <c r="K46" s="215"/>
      <c r="L46" s="215"/>
      <c r="M46" s="215"/>
      <c r="N46" s="215"/>
      <c r="O46" s="215"/>
      <c r="P46" s="96"/>
    </row>
    <row r="47" spans="1:16" ht="45.75" customHeight="1" thickBot="1" x14ac:dyDescent="0.25">
      <c r="A47" s="102" t="s">
        <v>191</v>
      </c>
      <c r="B47" s="212"/>
      <c r="C47" s="213"/>
      <c r="D47" s="213"/>
      <c r="E47" s="213"/>
      <c r="F47" s="213"/>
      <c r="G47" s="214"/>
      <c r="H47" s="215"/>
      <c r="I47" s="215"/>
      <c r="J47" s="215"/>
      <c r="K47" s="215"/>
      <c r="L47" s="215"/>
      <c r="M47" s="215"/>
      <c r="N47" s="215"/>
      <c r="O47" s="215"/>
      <c r="P47" s="96"/>
    </row>
    <row r="48" spans="1:16" ht="45.75" customHeight="1" thickBot="1" x14ac:dyDescent="0.25">
      <c r="A48" s="102" t="s">
        <v>192</v>
      </c>
      <c r="B48" s="212"/>
      <c r="C48" s="213"/>
      <c r="D48" s="213"/>
      <c r="E48" s="213"/>
      <c r="F48" s="213"/>
      <c r="G48" s="214"/>
      <c r="H48" s="215"/>
      <c r="I48" s="215"/>
      <c r="J48" s="215"/>
      <c r="K48" s="215"/>
      <c r="L48" s="215"/>
      <c r="M48" s="215"/>
      <c r="N48" s="215"/>
      <c r="O48" s="215"/>
      <c r="P48" s="96"/>
    </row>
    <row r="49" spans="1:16" ht="45.75" customHeight="1" thickBot="1" x14ac:dyDescent="0.25">
      <c r="A49" s="102" t="s">
        <v>193</v>
      </c>
      <c r="B49" s="212"/>
      <c r="C49" s="213"/>
      <c r="D49" s="213"/>
      <c r="E49" s="213"/>
      <c r="F49" s="213"/>
      <c r="G49" s="214"/>
      <c r="H49" s="215"/>
      <c r="I49" s="215"/>
      <c r="J49" s="215"/>
      <c r="K49" s="215"/>
      <c r="L49" s="215"/>
      <c r="M49" s="215"/>
      <c r="N49" s="215"/>
      <c r="O49" s="215"/>
      <c r="P49" s="96"/>
    </row>
    <row r="50" spans="1:16" ht="45.75" customHeight="1" thickBot="1" x14ac:dyDescent="0.25">
      <c r="A50" s="102" t="s">
        <v>194</v>
      </c>
      <c r="B50" s="212"/>
      <c r="C50" s="213"/>
      <c r="D50" s="213"/>
      <c r="E50" s="213"/>
      <c r="F50" s="213"/>
      <c r="G50" s="214"/>
      <c r="H50" s="215"/>
      <c r="I50" s="215"/>
      <c r="J50" s="215"/>
      <c r="K50" s="215"/>
      <c r="L50" s="215"/>
      <c r="M50" s="215"/>
      <c r="N50" s="215"/>
      <c r="O50" s="215"/>
      <c r="P50" s="96"/>
    </row>
  </sheetData>
  <mergeCells count="97">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 ref="B36:G36"/>
    <mergeCell ref="H36:K36"/>
    <mergeCell ref="L36:O36"/>
    <mergeCell ref="B37:G37"/>
    <mergeCell ref="H37:K37"/>
    <mergeCell ref="L37:O37"/>
    <mergeCell ref="B38:G38"/>
    <mergeCell ref="H38:K38"/>
    <mergeCell ref="L38:O38"/>
    <mergeCell ref="B39:G39"/>
    <mergeCell ref="H39:K39"/>
    <mergeCell ref="L39:O39"/>
    <mergeCell ref="B40:G40"/>
    <mergeCell ref="H40:K40"/>
    <mergeCell ref="L40:O40"/>
    <mergeCell ref="B41:G41"/>
    <mergeCell ref="H41:K41"/>
    <mergeCell ref="L41:O41"/>
    <mergeCell ref="B42:G42"/>
    <mergeCell ref="H42:K42"/>
    <mergeCell ref="L42:O42"/>
    <mergeCell ref="B43:G43"/>
    <mergeCell ref="H43:K43"/>
    <mergeCell ref="L43:O43"/>
    <mergeCell ref="B44:G44"/>
    <mergeCell ref="H44:K44"/>
    <mergeCell ref="L44:O44"/>
    <mergeCell ref="B45:G45"/>
    <mergeCell ref="H45:K45"/>
    <mergeCell ref="L45:O45"/>
    <mergeCell ref="B46:G46"/>
    <mergeCell ref="H46:K46"/>
    <mergeCell ref="L46:O46"/>
    <mergeCell ref="B47:G47"/>
    <mergeCell ref="H47:K47"/>
    <mergeCell ref="L47:O47"/>
    <mergeCell ref="B48:G48"/>
    <mergeCell ref="H48:K48"/>
    <mergeCell ref="L48:O48"/>
    <mergeCell ref="B49:G49"/>
    <mergeCell ref="H49:K49"/>
    <mergeCell ref="L49:O49"/>
    <mergeCell ref="B50:G50"/>
    <mergeCell ref="H50:K50"/>
    <mergeCell ref="L50:O50"/>
  </mergeCells>
  <conditionalFormatting sqref="B9:B10">
    <cfRule type="cellIs" dxfId="626" priority="33" operator="equal">
      <formula>"Nok"</formula>
    </cfRule>
    <cfRule type="cellIs" dxfId="625" priority="34" operator="equal">
      <formula>"Ok"</formula>
    </cfRule>
  </conditionalFormatting>
  <conditionalFormatting sqref="P22:P30">
    <cfRule type="cellIs" dxfId="624" priority="31" operator="equal">
      <formula>"Nok"</formula>
    </cfRule>
    <cfRule type="cellIs" dxfId="623" priority="32" operator="equal">
      <formula>"Ok"</formula>
    </cfRule>
  </conditionalFormatting>
  <conditionalFormatting sqref="P31:P35">
    <cfRule type="cellIs" dxfId="622" priority="29" operator="equal">
      <formula>"Nok"</formula>
    </cfRule>
    <cfRule type="cellIs" dxfId="621" priority="30" operator="equal">
      <formula>"Ok"</formula>
    </cfRule>
  </conditionalFormatting>
  <conditionalFormatting sqref="P36:P37">
    <cfRule type="cellIs" dxfId="620" priority="27" operator="equal">
      <formula>"Nok"</formula>
    </cfRule>
    <cfRule type="cellIs" dxfId="619" priority="28" operator="equal">
      <formula>"Ok"</formula>
    </cfRule>
  </conditionalFormatting>
  <conditionalFormatting sqref="P38">
    <cfRule type="cellIs" dxfId="618" priority="25" operator="equal">
      <formula>"Nok"</formula>
    </cfRule>
    <cfRule type="cellIs" dxfId="617" priority="26" operator="equal">
      <formula>"Ok"</formula>
    </cfRule>
  </conditionalFormatting>
  <conditionalFormatting sqref="P39">
    <cfRule type="cellIs" dxfId="616" priority="23" operator="equal">
      <formula>"Nok"</formula>
    </cfRule>
    <cfRule type="cellIs" dxfId="615" priority="24" operator="equal">
      <formula>"Ok"</formula>
    </cfRule>
  </conditionalFormatting>
  <conditionalFormatting sqref="P40">
    <cfRule type="cellIs" dxfId="614" priority="21" operator="equal">
      <formula>"Nok"</formula>
    </cfRule>
    <cfRule type="cellIs" dxfId="613" priority="22" operator="equal">
      <formula>"Ok"</formula>
    </cfRule>
  </conditionalFormatting>
  <conditionalFormatting sqref="P41">
    <cfRule type="cellIs" dxfId="612" priority="19" operator="equal">
      <formula>"Nok"</formula>
    </cfRule>
    <cfRule type="cellIs" dxfId="611" priority="20" operator="equal">
      <formula>"Ok"</formula>
    </cfRule>
  </conditionalFormatting>
  <conditionalFormatting sqref="P42">
    <cfRule type="cellIs" dxfId="610" priority="17" operator="equal">
      <formula>"Nok"</formula>
    </cfRule>
    <cfRule type="cellIs" dxfId="609" priority="18" operator="equal">
      <formula>"Ok"</formula>
    </cfRule>
  </conditionalFormatting>
  <conditionalFormatting sqref="P43">
    <cfRule type="cellIs" dxfId="608" priority="15" operator="equal">
      <formula>"Nok"</formula>
    </cfRule>
    <cfRule type="cellIs" dxfId="607" priority="16" operator="equal">
      <formula>"Ok"</formula>
    </cfRule>
  </conditionalFormatting>
  <conditionalFormatting sqref="P44">
    <cfRule type="cellIs" dxfId="606" priority="13" operator="equal">
      <formula>"Nok"</formula>
    </cfRule>
    <cfRule type="cellIs" dxfId="605" priority="14" operator="equal">
      <formula>"Ok"</formula>
    </cfRule>
  </conditionalFormatting>
  <conditionalFormatting sqref="P45">
    <cfRule type="cellIs" dxfId="604" priority="11" operator="equal">
      <formula>"Nok"</formula>
    </cfRule>
    <cfRule type="cellIs" dxfId="603" priority="12" operator="equal">
      <formula>"Ok"</formula>
    </cfRule>
  </conditionalFormatting>
  <conditionalFormatting sqref="P46">
    <cfRule type="cellIs" dxfId="602" priority="9" operator="equal">
      <formula>"Nok"</formula>
    </cfRule>
    <cfRule type="cellIs" dxfId="601" priority="10" operator="equal">
      <formula>"Ok"</formula>
    </cfRule>
  </conditionalFormatting>
  <conditionalFormatting sqref="P47">
    <cfRule type="cellIs" dxfId="600" priority="7" operator="equal">
      <formula>"Nok"</formula>
    </cfRule>
    <cfRule type="cellIs" dxfId="599" priority="8" operator="equal">
      <formula>"Ok"</formula>
    </cfRule>
  </conditionalFormatting>
  <conditionalFormatting sqref="P48">
    <cfRule type="cellIs" dxfId="598" priority="5" operator="equal">
      <formula>"Nok"</formula>
    </cfRule>
    <cfRule type="cellIs" dxfId="597" priority="6" operator="equal">
      <formula>"Ok"</formula>
    </cfRule>
  </conditionalFormatting>
  <conditionalFormatting sqref="P49">
    <cfRule type="cellIs" dxfId="596" priority="3" operator="equal">
      <formula>"Nok"</formula>
    </cfRule>
    <cfRule type="cellIs" dxfId="595" priority="4" operator="equal">
      <formula>"Ok"</formula>
    </cfRule>
  </conditionalFormatting>
  <conditionalFormatting sqref="P50">
    <cfRule type="cellIs" dxfId="594" priority="1" operator="equal">
      <formula>"Nok"</formula>
    </cfRule>
    <cfRule type="cellIs" dxfId="593" priority="2" operator="equal">
      <formula>"Ok"</formula>
    </cfRule>
  </conditionalFormatting>
  <dataValidations count="3">
    <dataValidation type="list" allowBlank="1" showInputMessage="1" showErrorMessage="1" sqref="P22:P50">
      <formula1>"Ok, Nok, Not run, ,"</formula1>
    </dataValidation>
    <dataValidation type="list" allowBlank="1" showInputMessage="1" showErrorMessage="1" sqref="B9">
      <formula1>"Ok, Nok, Not run, NA"</formula1>
    </dataValidation>
    <dataValidation type="list" allowBlank="1" showInputMessage="1" showErrorMessage="1" sqref="B5">
      <formula1>"Nominal, Robustness, Endurance, Qualification"</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workbookViewId="0">
      <selection activeCell="I4" sqref="I4"/>
    </sheetView>
  </sheetViews>
  <sheetFormatPr defaultRowHeight="12.75" x14ac:dyDescent="0.2"/>
  <cols>
    <col min="1" max="1" width="20.140625" style="97" customWidth="1"/>
    <col min="2" max="2" width="18.42578125" style="93" customWidth="1"/>
    <col min="3" max="7" width="9.140625" style="93"/>
    <col min="8" max="15" width="9.5703125" style="93" customWidth="1"/>
    <col min="16" max="16384" width="9.140625" style="93"/>
  </cols>
  <sheetData>
    <row r="1" spans="1:15" ht="13.5" thickBot="1" x14ac:dyDescent="0.25">
      <c r="A1" s="98" t="s">
        <v>41</v>
      </c>
      <c r="B1" s="234" t="s">
        <v>316</v>
      </c>
      <c r="C1" s="235"/>
      <c r="D1" s="235"/>
      <c r="E1" s="235"/>
      <c r="F1" s="235"/>
      <c r="G1" s="236"/>
      <c r="H1" s="73"/>
      <c r="I1" s="73"/>
      <c r="J1" s="73"/>
      <c r="K1" s="73"/>
      <c r="L1" s="73"/>
      <c r="M1" s="73"/>
      <c r="N1" s="73"/>
      <c r="O1" s="73"/>
    </row>
    <row r="2" spans="1:15" ht="13.5" thickBot="1" x14ac:dyDescent="0.25">
      <c r="A2" s="71"/>
      <c r="B2" s="72"/>
      <c r="C2" s="72"/>
      <c r="D2" s="73"/>
      <c r="E2" s="73"/>
      <c r="F2" s="73"/>
      <c r="G2" s="73"/>
      <c r="H2" s="73"/>
      <c r="I2" s="73"/>
      <c r="J2" s="73"/>
      <c r="K2" s="73"/>
      <c r="L2" s="73"/>
      <c r="M2" s="73"/>
      <c r="N2" s="73"/>
      <c r="O2" s="73"/>
    </row>
    <row r="3" spans="1:15" ht="61.5" customHeight="1" thickBot="1" x14ac:dyDescent="0.25">
      <c r="A3" s="99" t="s">
        <v>46</v>
      </c>
      <c r="B3" s="237" t="s">
        <v>340</v>
      </c>
      <c r="C3" s="238"/>
      <c r="D3" s="238"/>
      <c r="E3" s="238"/>
      <c r="F3" s="238"/>
      <c r="G3" s="239"/>
      <c r="H3" s="73"/>
      <c r="I3" s="73"/>
      <c r="J3" s="73"/>
      <c r="K3" s="73"/>
      <c r="L3" s="73"/>
      <c r="M3" s="73"/>
      <c r="N3" s="73"/>
      <c r="O3" s="73"/>
    </row>
    <row r="4" spans="1:15" ht="13.5" thickBot="1" x14ac:dyDescent="0.25">
      <c r="A4" s="71"/>
      <c r="B4" s="72"/>
      <c r="C4" s="72"/>
      <c r="D4" s="73"/>
      <c r="E4" s="73"/>
      <c r="F4" s="73"/>
      <c r="G4" s="73"/>
      <c r="H4" s="73"/>
      <c r="I4" s="73"/>
      <c r="J4" s="73"/>
      <c r="K4" s="73"/>
      <c r="L4" s="73"/>
      <c r="M4" s="73"/>
      <c r="N4" s="73"/>
      <c r="O4" s="73"/>
    </row>
    <row r="5" spans="1:15" ht="13.5" thickBot="1" x14ac:dyDescent="0.25">
      <c r="A5" s="98" t="s">
        <v>111</v>
      </c>
      <c r="B5" s="76" t="s">
        <v>142</v>
      </c>
      <c r="C5" s="72"/>
      <c r="D5" s="73"/>
      <c r="E5" s="73"/>
      <c r="F5" s="73"/>
      <c r="G5" s="73"/>
      <c r="H5" s="73"/>
      <c r="I5" s="73"/>
      <c r="J5" s="73"/>
      <c r="K5" s="73"/>
      <c r="L5" s="73"/>
      <c r="M5" s="73"/>
      <c r="N5" s="73"/>
      <c r="O5" s="73"/>
    </row>
    <row r="6" spans="1:15" ht="13.5" thickBot="1" x14ac:dyDescent="0.25">
      <c r="A6" s="71"/>
      <c r="B6" s="72"/>
      <c r="C6" s="72"/>
      <c r="D6" s="73"/>
      <c r="E6" s="73"/>
      <c r="F6" s="73"/>
      <c r="G6" s="73"/>
      <c r="H6" s="73"/>
      <c r="I6" s="73"/>
      <c r="J6" s="73"/>
      <c r="K6" s="73"/>
      <c r="L6" s="73"/>
      <c r="M6" s="73"/>
      <c r="N6" s="73"/>
      <c r="O6" s="73"/>
    </row>
    <row r="7" spans="1:15" ht="30.75" customHeight="1" thickBot="1" x14ac:dyDescent="0.25">
      <c r="A7" s="98" t="s">
        <v>42</v>
      </c>
      <c r="B7" s="237" t="s">
        <v>327</v>
      </c>
      <c r="C7" s="238"/>
      <c r="D7" s="238"/>
      <c r="E7" s="238"/>
      <c r="F7" s="238"/>
      <c r="G7" s="239"/>
      <c r="H7" s="73"/>
      <c r="I7" s="73"/>
      <c r="J7" s="73"/>
      <c r="K7" s="73"/>
      <c r="L7" s="73"/>
      <c r="M7" s="73"/>
      <c r="N7" s="73"/>
      <c r="O7" s="73"/>
    </row>
    <row r="8" spans="1:15" ht="13.5" thickBot="1" x14ac:dyDescent="0.25">
      <c r="A8" s="75"/>
      <c r="B8" s="74"/>
      <c r="C8" s="74"/>
      <c r="D8" s="74"/>
      <c r="E8" s="74"/>
      <c r="F8" s="74"/>
      <c r="G8" s="74"/>
      <c r="H8" s="73"/>
      <c r="I8" s="73"/>
      <c r="J8" s="73"/>
      <c r="K8" s="73"/>
      <c r="L8" s="73"/>
      <c r="M8" s="73"/>
      <c r="N8" s="73"/>
      <c r="O8" s="73"/>
    </row>
    <row r="9" spans="1:15" ht="13.5" thickBot="1" x14ac:dyDescent="0.25">
      <c r="A9" s="98" t="s">
        <v>43</v>
      </c>
      <c r="B9" s="103" t="s">
        <v>143</v>
      </c>
      <c r="C9" s="72"/>
      <c r="D9" s="73"/>
      <c r="E9" s="73"/>
      <c r="F9" s="73"/>
      <c r="G9" s="73"/>
      <c r="H9" s="73"/>
      <c r="I9" s="73"/>
      <c r="J9" s="73"/>
      <c r="K9" s="73"/>
      <c r="L9" s="73"/>
      <c r="M9" s="73"/>
      <c r="N9" s="73"/>
      <c r="O9" s="73"/>
    </row>
    <row r="10" spans="1:15" ht="13.5" thickBot="1" x14ac:dyDescent="0.25">
      <c r="A10" s="75"/>
      <c r="B10" s="94"/>
      <c r="C10" s="72"/>
      <c r="D10" s="73"/>
      <c r="E10" s="73"/>
      <c r="F10" s="73"/>
      <c r="G10" s="73"/>
      <c r="H10" s="73"/>
      <c r="I10" s="73"/>
      <c r="J10" s="73"/>
      <c r="K10" s="73"/>
      <c r="L10" s="73"/>
      <c r="M10" s="73"/>
      <c r="N10" s="73"/>
      <c r="O10" s="73"/>
    </row>
    <row r="11" spans="1:15" ht="12" customHeight="1" x14ac:dyDescent="0.2">
      <c r="A11" s="223" t="s">
        <v>113</v>
      </c>
      <c r="B11" s="225"/>
      <c r="C11" s="226"/>
      <c r="D11" s="226"/>
      <c r="E11" s="226"/>
      <c r="F11" s="226"/>
      <c r="G11" s="227"/>
      <c r="H11" s="73"/>
      <c r="I11" s="73"/>
      <c r="J11" s="73"/>
      <c r="K11" s="73"/>
      <c r="L11" s="73"/>
      <c r="M11" s="73"/>
      <c r="N11" s="73"/>
      <c r="O11" s="73"/>
    </row>
    <row r="12" spans="1:15" x14ac:dyDescent="0.2">
      <c r="A12" s="224"/>
      <c r="B12" s="228"/>
      <c r="C12" s="229"/>
      <c r="D12" s="229"/>
      <c r="E12" s="229"/>
      <c r="F12" s="229"/>
      <c r="G12" s="230"/>
      <c r="H12" s="73"/>
      <c r="I12" s="73"/>
      <c r="J12" s="73"/>
      <c r="K12" s="73"/>
      <c r="L12" s="73"/>
      <c r="M12" s="73"/>
      <c r="N12" s="73"/>
      <c r="O12" s="73"/>
    </row>
    <row r="13" spans="1:15" x14ac:dyDescent="0.2">
      <c r="A13" s="224"/>
      <c r="B13" s="228"/>
      <c r="C13" s="229"/>
      <c r="D13" s="229"/>
      <c r="E13" s="229"/>
      <c r="F13" s="229"/>
      <c r="G13" s="230"/>
      <c r="H13" s="71"/>
      <c r="I13" s="73"/>
      <c r="J13" s="73"/>
      <c r="K13" s="73"/>
      <c r="L13" s="73"/>
      <c r="M13" s="73"/>
      <c r="N13" s="73"/>
      <c r="O13" s="73"/>
    </row>
    <row r="14" spans="1:15" ht="13.5" thickBot="1" x14ac:dyDescent="0.25">
      <c r="A14" s="224"/>
      <c r="B14" s="231"/>
      <c r="C14" s="232"/>
      <c r="D14" s="232"/>
      <c r="E14" s="232"/>
      <c r="F14" s="232"/>
      <c r="G14" s="233"/>
      <c r="H14" s="77"/>
      <c r="I14" s="73"/>
      <c r="J14" s="73"/>
      <c r="K14" s="73"/>
      <c r="L14" s="73"/>
      <c r="M14" s="73"/>
      <c r="N14" s="73"/>
      <c r="O14" s="73"/>
    </row>
    <row r="15" spans="1:15" ht="13.5" thickBot="1" x14ac:dyDescent="0.25">
      <c r="A15" s="71"/>
      <c r="B15" s="71"/>
      <c r="C15" s="71"/>
      <c r="D15" s="71"/>
      <c r="E15" s="71"/>
      <c r="F15" s="71"/>
      <c r="G15" s="71"/>
      <c r="H15" s="77"/>
      <c r="I15" s="73"/>
      <c r="J15" s="73"/>
      <c r="K15" s="73"/>
      <c r="L15" s="73"/>
      <c r="M15" s="73"/>
      <c r="N15" s="73"/>
      <c r="O15" s="73"/>
    </row>
    <row r="16" spans="1:15" x14ac:dyDescent="0.2">
      <c r="A16" s="223" t="s">
        <v>44</v>
      </c>
      <c r="B16" s="225"/>
      <c r="C16" s="226"/>
      <c r="D16" s="226"/>
      <c r="E16" s="226"/>
      <c r="F16" s="226"/>
      <c r="G16" s="227"/>
      <c r="H16" s="73"/>
      <c r="I16" s="73"/>
      <c r="J16" s="73"/>
      <c r="K16" s="73"/>
      <c r="L16" s="73"/>
      <c r="M16" s="73"/>
      <c r="N16" s="73"/>
      <c r="O16" s="73"/>
    </row>
    <row r="17" spans="1:16" x14ac:dyDescent="0.2">
      <c r="A17" s="224"/>
      <c r="B17" s="228"/>
      <c r="C17" s="229"/>
      <c r="D17" s="229"/>
      <c r="E17" s="229"/>
      <c r="F17" s="229"/>
      <c r="G17" s="230"/>
      <c r="H17" s="73"/>
      <c r="I17" s="73"/>
      <c r="J17" s="73"/>
      <c r="K17" s="73"/>
      <c r="L17" s="73"/>
      <c r="M17" s="73"/>
      <c r="N17" s="73"/>
      <c r="O17" s="73"/>
    </row>
    <row r="18" spans="1:16" x14ac:dyDescent="0.2">
      <c r="A18" s="224"/>
      <c r="B18" s="228"/>
      <c r="C18" s="229"/>
      <c r="D18" s="229"/>
      <c r="E18" s="229"/>
      <c r="F18" s="229"/>
      <c r="G18" s="230"/>
      <c r="H18" s="71"/>
      <c r="I18" s="73"/>
      <c r="J18" s="73"/>
      <c r="K18" s="73"/>
      <c r="L18" s="73"/>
      <c r="M18" s="73"/>
      <c r="N18" s="73"/>
      <c r="O18" s="73"/>
    </row>
    <row r="19" spans="1:16" ht="13.5" thickBot="1" x14ac:dyDescent="0.25">
      <c r="A19" s="224"/>
      <c r="B19" s="231"/>
      <c r="C19" s="232"/>
      <c r="D19" s="232"/>
      <c r="E19" s="232"/>
      <c r="F19" s="232"/>
      <c r="G19" s="233"/>
      <c r="H19" s="77"/>
      <c r="I19" s="73"/>
      <c r="J19" s="73"/>
      <c r="K19" s="73"/>
      <c r="L19" s="73"/>
      <c r="M19" s="73"/>
      <c r="N19" s="73"/>
      <c r="O19" s="73"/>
    </row>
    <row r="20" spans="1:16" ht="13.5" thickBot="1" x14ac:dyDescent="0.25">
      <c r="A20" s="71"/>
      <c r="B20" s="71"/>
      <c r="C20" s="71"/>
      <c r="D20" s="71"/>
      <c r="E20" s="71"/>
      <c r="F20" s="71"/>
      <c r="G20" s="71"/>
      <c r="H20" s="77"/>
      <c r="I20" s="73"/>
      <c r="J20" s="73"/>
      <c r="K20" s="73"/>
      <c r="L20" s="73"/>
      <c r="M20" s="73"/>
      <c r="N20" s="73"/>
      <c r="O20" s="73"/>
    </row>
    <row r="21" spans="1:16" ht="12.75" customHeight="1" x14ac:dyDescent="0.2">
      <c r="A21" s="220" t="s">
        <v>48</v>
      </c>
      <c r="B21" s="221"/>
      <c r="C21" s="221"/>
      <c r="D21" s="221"/>
      <c r="E21" s="221"/>
      <c r="F21" s="221"/>
      <c r="G21" s="222"/>
      <c r="H21" s="220" t="s">
        <v>49</v>
      </c>
      <c r="I21" s="221"/>
      <c r="J21" s="221"/>
      <c r="K21" s="222"/>
      <c r="L21" s="220" t="s">
        <v>60</v>
      </c>
      <c r="M21" s="221"/>
      <c r="N21" s="221"/>
      <c r="O21" s="222"/>
      <c r="P21" s="100" t="s">
        <v>47</v>
      </c>
    </row>
    <row r="22" spans="1:16" ht="88.5" customHeight="1" thickBot="1" x14ac:dyDescent="0.25">
      <c r="A22" s="101" t="s">
        <v>50</v>
      </c>
      <c r="B22" s="212" t="s">
        <v>337</v>
      </c>
      <c r="C22" s="213"/>
      <c r="D22" s="213"/>
      <c r="E22" s="213"/>
      <c r="F22" s="213"/>
      <c r="G22" s="214"/>
      <c r="H22" s="216"/>
      <c r="I22" s="216"/>
      <c r="J22" s="216"/>
      <c r="K22" s="216"/>
      <c r="L22" s="216" t="s">
        <v>336</v>
      </c>
      <c r="M22" s="216"/>
      <c r="N22" s="216"/>
      <c r="O22" s="216"/>
      <c r="P22" s="95" t="s">
        <v>143</v>
      </c>
    </row>
    <row r="23" spans="1:16" ht="73.5" customHeight="1" thickBot="1" x14ac:dyDescent="0.25">
      <c r="A23" s="101" t="s">
        <v>51</v>
      </c>
      <c r="B23" s="212" t="s">
        <v>338</v>
      </c>
      <c r="C23" s="213"/>
      <c r="D23" s="213"/>
      <c r="E23" s="213"/>
      <c r="F23" s="213"/>
      <c r="G23" s="214"/>
      <c r="H23" s="216"/>
      <c r="I23" s="216"/>
      <c r="J23" s="216"/>
      <c r="K23" s="216"/>
      <c r="L23" s="216" t="s">
        <v>339</v>
      </c>
      <c r="M23" s="216"/>
      <c r="N23" s="216"/>
      <c r="O23" s="216"/>
      <c r="P23" s="95" t="s">
        <v>143</v>
      </c>
    </row>
    <row r="24" spans="1:16" ht="73.5" customHeight="1" thickBot="1" x14ac:dyDescent="0.25">
      <c r="A24" s="101" t="s">
        <v>52</v>
      </c>
      <c r="B24" s="212"/>
      <c r="C24" s="213"/>
      <c r="D24" s="213"/>
      <c r="E24" s="213"/>
      <c r="F24" s="213"/>
      <c r="G24" s="214"/>
      <c r="H24" s="216"/>
      <c r="I24" s="216"/>
      <c r="J24" s="216"/>
      <c r="K24" s="216"/>
      <c r="L24" s="216"/>
      <c r="M24" s="216"/>
      <c r="N24" s="216"/>
      <c r="O24" s="216"/>
      <c r="P24" s="95"/>
    </row>
    <row r="25" spans="1:16" ht="72.75" customHeight="1" thickBot="1" x14ac:dyDescent="0.25">
      <c r="A25" s="101" t="s">
        <v>53</v>
      </c>
      <c r="B25" s="212"/>
      <c r="C25" s="213"/>
      <c r="D25" s="213"/>
      <c r="E25" s="213"/>
      <c r="F25" s="213"/>
      <c r="G25" s="214"/>
      <c r="H25" s="216"/>
      <c r="I25" s="216"/>
      <c r="J25" s="216"/>
      <c r="K25" s="216"/>
      <c r="L25" s="216"/>
      <c r="M25" s="216"/>
      <c r="N25" s="216"/>
      <c r="O25" s="216"/>
      <c r="P25" s="95"/>
    </row>
    <row r="26" spans="1:16" ht="104.25" customHeight="1" thickBot="1" x14ac:dyDescent="0.25">
      <c r="A26" s="101" t="s">
        <v>54</v>
      </c>
      <c r="B26" s="212"/>
      <c r="C26" s="213"/>
      <c r="D26" s="213"/>
      <c r="E26" s="213"/>
      <c r="F26" s="213"/>
      <c r="G26" s="214"/>
      <c r="H26" s="216"/>
      <c r="I26" s="216"/>
      <c r="J26" s="216"/>
      <c r="K26" s="216"/>
      <c r="L26" s="216"/>
      <c r="M26" s="216"/>
      <c r="N26" s="216"/>
      <c r="O26" s="216"/>
      <c r="P26" s="95"/>
    </row>
    <row r="27" spans="1:16" ht="29.25" customHeight="1" x14ac:dyDescent="0.2">
      <c r="A27" s="101" t="s">
        <v>55</v>
      </c>
      <c r="B27" s="217"/>
      <c r="C27" s="218"/>
      <c r="D27" s="218"/>
      <c r="E27" s="218"/>
      <c r="F27" s="218"/>
      <c r="G27" s="219"/>
      <c r="H27" s="216"/>
      <c r="I27" s="216"/>
      <c r="J27" s="216"/>
      <c r="K27" s="216"/>
      <c r="L27" s="216"/>
      <c r="M27" s="216"/>
      <c r="N27" s="216"/>
      <c r="O27" s="216"/>
      <c r="P27" s="95"/>
    </row>
    <row r="28" spans="1:16" ht="29.25" customHeight="1" x14ac:dyDescent="0.2">
      <c r="A28" s="101" t="s">
        <v>56</v>
      </c>
      <c r="B28" s="217"/>
      <c r="C28" s="218"/>
      <c r="D28" s="218"/>
      <c r="E28" s="218"/>
      <c r="F28" s="218"/>
      <c r="G28" s="219"/>
      <c r="H28" s="216"/>
      <c r="I28" s="216"/>
      <c r="J28" s="216"/>
      <c r="K28" s="216"/>
      <c r="L28" s="216"/>
      <c r="M28" s="216"/>
      <c r="N28" s="216"/>
      <c r="O28" s="216"/>
      <c r="P28" s="95"/>
    </row>
    <row r="29" spans="1:16" ht="29.25" customHeight="1" x14ac:dyDescent="0.2">
      <c r="A29" s="101" t="s">
        <v>57</v>
      </c>
      <c r="B29" s="217"/>
      <c r="C29" s="218"/>
      <c r="D29" s="218"/>
      <c r="E29" s="218"/>
      <c r="F29" s="218"/>
      <c r="G29" s="219"/>
      <c r="H29" s="216"/>
      <c r="I29" s="216"/>
      <c r="J29" s="216"/>
      <c r="K29" s="216"/>
      <c r="L29" s="216"/>
      <c r="M29" s="216"/>
      <c r="N29" s="216"/>
      <c r="O29" s="216"/>
      <c r="P29" s="95"/>
    </row>
    <row r="30" spans="1:16" ht="45.75" customHeight="1" thickBot="1" x14ac:dyDescent="0.25">
      <c r="A30" s="102" t="s">
        <v>58</v>
      </c>
      <c r="B30" s="212"/>
      <c r="C30" s="213"/>
      <c r="D30" s="213"/>
      <c r="E30" s="213"/>
      <c r="F30" s="213"/>
      <c r="G30" s="214"/>
      <c r="H30" s="215"/>
      <c r="I30" s="215"/>
      <c r="J30" s="215"/>
      <c r="K30" s="215"/>
      <c r="L30" s="215"/>
      <c r="M30" s="215"/>
      <c r="N30" s="215"/>
      <c r="O30" s="215"/>
      <c r="P30" s="96"/>
    </row>
    <row r="31" spans="1:16" ht="29.25" customHeight="1" thickBot="1" x14ac:dyDescent="0.25">
      <c r="A31" s="102" t="s">
        <v>145</v>
      </c>
      <c r="B31" s="217"/>
      <c r="C31" s="218"/>
      <c r="D31" s="218"/>
      <c r="E31" s="218"/>
      <c r="F31" s="218"/>
      <c r="G31" s="219"/>
      <c r="H31" s="216"/>
      <c r="I31" s="216"/>
      <c r="J31" s="216"/>
      <c r="K31" s="216"/>
      <c r="L31" s="216"/>
      <c r="M31" s="216"/>
      <c r="N31" s="216"/>
      <c r="O31" s="216"/>
      <c r="P31" s="95"/>
    </row>
    <row r="32" spans="1:16" ht="55.5" customHeight="1" thickBot="1" x14ac:dyDescent="0.25">
      <c r="A32" s="102" t="s">
        <v>146</v>
      </c>
      <c r="B32" s="217"/>
      <c r="C32" s="218"/>
      <c r="D32" s="218"/>
      <c r="E32" s="218"/>
      <c r="F32" s="218"/>
      <c r="G32" s="219"/>
      <c r="H32" s="216"/>
      <c r="I32" s="216"/>
      <c r="J32" s="216"/>
      <c r="K32" s="216"/>
      <c r="L32" s="216"/>
      <c r="M32" s="216"/>
      <c r="N32" s="216"/>
      <c r="O32" s="216"/>
      <c r="P32" s="95"/>
    </row>
    <row r="33" spans="1:16" ht="45.75" customHeight="1" thickBot="1" x14ac:dyDescent="0.25">
      <c r="A33" s="102" t="s">
        <v>147</v>
      </c>
      <c r="B33" s="212"/>
      <c r="C33" s="213"/>
      <c r="D33" s="213"/>
      <c r="E33" s="213"/>
      <c r="F33" s="213"/>
      <c r="G33" s="214"/>
      <c r="H33" s="215"/>
      <c r="I33" s="215"/>
      <c r="J33" s="215"/>
      <c r="K33" s="215"/>
      <c r="L33" s="215"/>
      <c r="M33" s="215"/>
      <c r="N33" s="215"/>
      <c r="O33" s="215"/>
      <c r="P33" s="95"/>
    </row>
    <row r="34" spans="1:16" ht="45.75" customHeight="1" thickBot="1" x14ac:dyDescent="0.25">
      <c r="A34" s="102" t="s">
        <v>148</v>
      </c>
      <c r="B34" s="217"/>
      <c r="C34" s="218"/>
      <c r="D34" s="218"/>
      <c r="E34" s="218"/>
      <c r="F34" s="218"/>
      <c r="G34" s="219"/>
      <c r="H34" s="216"/>
      <c r="I34" s="216"/>
      <c r="J34" s="216"/>
      <c r="K34" s="216"/>
      <c r="L34" s="216"/>
      <c r="M34" s="216"/>
      <c r="N34" s="216"/>
      <c r="O34" s="216"/>
      <c r="P34" s="95"/>
    </row>
    <row r="35" spans="1:16" ht="48" customHeight="1" thickBot="1" x14ac:dyDescent="0.25">
      <c r="A35" s="102" t="s">
        <v>149</v>
      </c>
      <c r="B35" s="217"/>
      <c r="C35" s="218"/>
      <c r="D35" s="218"/>
      <c r="E35" s="218"/>
      <c r="F35" s="218"/>
      <c r="G35" s="219"/>
      <c r="H35" s="216"/>
      <c r="I35" s="216"/>
      <c r="J35" s="216"/>
      <c r="K35" s="216"/>
      <c r="L35" s="216"/>
      <c r="M35" s="216"/>
      <c r="N35" s="216"/>
      <c r="O35" s="216"/>
      <c r="P35" s="95"/>
    </row>
    <row r="36" spans="1:16" ht="45.75" customHeight="1" thickBot="1" x14ac:dyDescent="0.25">
      <c r="A36" s="102" t="s">
        <v>150</v>
      </c>
      <c r="B36" s="212"/>
      <c r="C36" s="213"/>
      <c r="D36" s="213"/>
      <c r="E36" s="213"/>
      <c r="F36" s="213"/>
      <c r="G36" s="214"/>
      <c r="H36" s="215"/>
      <c r="I36" s="215"/>
      <c r="J36" s="215"/>
      <c r="K36" s="215"/>
      <c r="L36" s="216"/>
      <c r="M36" s="216"/>
      <c r="N36" s="216"/>
      <c r="O36" s="216"/>
      <c r="P36" s="96"/>
    </row>
    <row r="37" spans="1:16" ht="66" customHeight="1" thickBot="1" x14ac:dyDescent="0.25">
      <c r="A37" s="102" t="s">
        <v>151</v>
      </c>
      <c r="B37" s="212"/>
      <c r="C37" s="213"/>
      <c r="D37" s="213"/>
      <c r="E37" s="213"/>
      <c r="F37" s="213"/>
      <c r="G37" s="214"/>
      <c r="H37" s="215"/>
      <c r="I37" s="215"/>
      <c r="J37" s="215"/>
      <c r="K37" s="215"/>
      <c r="L37" s="216"/>
      <c r="M37" s="216"/>
      <c r="N37" s="216"/>
      <c r="O37" s="216"/>
      <c r="P37" s="96"/>
    </row>
    <row r="38" spans="1:16" ht="45.75" customHeight="1" thickBot="1" x14ac:dyDescent="0.25">
      <c r="A38" s="102" t="s">
        <v>152</v>
      </c>
      <c r="B38" s="212"/>
      <c r="C38" s="213"/>
      <c r="D38" s="213"/>
      <c r="E38" s="213"/>
      <c r="F38" s="213"/>
      <c r="G38" s="214"/>
      <c r="H38" s="215"/>
      <c r="I38" s="215"/>
      <c r="J38" s="215"/>
      <c r="K38" s="215"/>
      <c r="L38" s="215"/>
      <c r="M38" s="215"/>
      <c r="N38" s="215"/>
      <c r="O38" s="215"/>
      <c r="P38" s="96"/>
    </row>
    <row r="39" spans="1:16" ht="45.75" customHeight="1" thickBot="1" x14ac:dyDescent="0.25">
      <c r="A39" s="102" t="s">
        <v>153</v>
      </c>
      <c r="B39" s="212"/>
      <c r="C39" s="213"/>
      <c r="D39" s="213"/>
      <c r="E39" s="213"/>
      <c r="F39" s="213"/>
      <c r="G39" s="214"/>
      <c r="H39" s="215"/>
      <c r="I39" s="215"/>
      <c r="J39" s="215"/>
      <c r="K39" s="215"/>
      <c r="L39" s="215"/>
      <c r="M39" s="215"/>
      <c r="N39" s="215"/>
      <c r="O39" s="215"/>
      <c r="P39" s="96"/>
    </row>
    <row r="40" spans="1:16" ht="45.75" customHeight="1" thickBot="1" x14ac:dyDescent="0.25">
      <c r="A40" s="102" t="s">
        <v>184</v>
      </c>
      <c r="B40" s="212"/>
      <c r="C40" s="213"/>
      <c r="D40" s="213"/>
      <c r="E40" s="213"/>
      <c r="F40" s="213"/>
      <c r="G40" s="214"/>
      <c r="H40" s="215"/>
      <c r="I40" s="215"/>
      <c r="J40" s="215"/>
      <c r="K40" s="215"/>
      <c r="L40" s="215"/>
      <c r="M40" s="215"/>
      <c r="N40" s="215"/>
      <c r="O40" s="215"/>
      <c r="P40" s="96"/>
    </row>
    <row r="41" spans="1:16" ht="45.75" customHeight="1" thickBot="1" x14ac:dyDescent="0.25">
      <c r="A41" s="102" t="s">
        <v>185</v>
      </c>
      <c r="B41" s="212"/>
      <c r="C41" s="213"/>
      <c r="D41" s="213"/>
      <c r="E41" s="213"/>
      <c r="F41" s="213"/>
      <c r="G41" s="214"/>
      <c r="H41" s="215"/>
      <c r="I41" s="215"/>
      <c r="J41" s="215"/>
      <c r="K41" s="215"/>
      <c r="L41" s="215"/>
      <c r="M41" s="215"/>
      <c r="N41" s="215"/>
      <c r="O41" s="215"/>
      <c r="P41" s="96"/>
    </row>
    <row r="42" spans="1:16" ht="45.75" customHeight="1" thickBot="1" x14ac:dyDescent="0.25">
      <c r="A42" s="102" t="s">
        <v>186</v>
      </c>
      <c r="B42" s="212"/>
      <c r="C42" s="213"/>
      <c r="D42" s="213"/>
      <c r="E42" s="213"/>
      <c r="F42" s="213"/>
      <c r="G42" s="214"/>
      <c r="H42" s="215"/>
      <c r="I42" s="215"/>
      <c r="J42" s="215"/>
      <c r="K42" s="215"/>
      <c r="L42" s="215"/>
      <c r="M42" s="215"/>
      <c r="N42" s="215"/>
      <c r="O42" s="215"/>
      <c r="P42" s="96"/>
    </row>
    <row r="43" spans="1:16" ht="45.75" customHeight="1" thickBot="1" x14ac:dyDescent="0.25">
      <c r="A43" s="102" t="s">
        <v>187</v>
      </c>
      <c r="B43" s="212"/>
      <c r="C43" s="213"/>
      <c r="D43" s="213"/>
      <c r="E43" s="213"/>
      <c r="F43" s="213"/>
      <c r="G43" s="214"/>
      <c r="H43" s="215"/>
      <c r="I43" s="215"/>
      <c r="J43" s="215"/>
      <c r="K43" s="215"/>
      <c r="L43" s="215"/>
      <c r="M43" s="215"/>
      <c r="N43" s="215"/>
      <c r="O43" s="215"/>
      <c r="P43" s="96"/>
    </row>
    <row r="44" spans="1:16" ht="45.75" customHeight="1" thickBot="1" x14ac:dyDescent="0.25">
      <c r="A44" s="102" t="s">
        <v>188</v>
      </c>
      <c r="B44" s="212"/>
      <c r="C44" s="213"/>
      <c r="D44" s="213"/>
      <c r="E44" s="213"/>
      <c r="F44" s="213"/>
      <c r="G44" s="214"/>
      <c r="H44" s="215"/>
      <c r="I44" s="215"/>
      <c r="J44" s="215"/>
      <c r="K44" s="215"/>
      <c r="L44" s="215"/>
      <c r="M44" s="215"/>
      <c r="N44" s="215"/>
      <c r="O44" s="215"/>
      <c r="P44" s="96"/>
    </row>
    <row r="45" spans="1:16" ht="45.75" customHeight="1" thickBot="1" x14ac:dyDescent="0.25">
      <c r="A45" s="102" t="s">
        <v>189</v>
      </c>
      <c r="B45" s="212"/>
      <c r="C45" s="213"/>
      <c r="D45" s="213"/>
      <c r="E45" s="213"/>
      <c r="F45" s="213"/>
      <c r="G45" s="214"/>
      <c r="H45" s="215"/>
      <c r="I45" s="215"/>
      <c r="J45" s="215"/>
      <c r="K45" s="215"/>
      <c r="L45" s="215"/>
      <c r="M45" s="215"/>
      <c r="N45" s="215"/>
      <c r="O45" s="215"/>
      <c r="P45" s="96"/>
    </row>
    <row r="46" spans="1:16" ht="45.75" customHeight="1" thickBot="1" x14ac:dyDescent="0.25">
      <c r="A46" s="102" t="s">
        <v>190</v>
      </c>
      <c r="B46" s="212"/>
      <c r="C46" s="213"/>
      <c r="D46" s="213"/>
      <c r="E46" s="213"/>
      <c r="F46" s="213"/>
      <c r="G46" s="214"/>
      <c r="H46" s="215"/>
      <c r="I46" s="215"/>
      <c r="J46" s="215"/>
      <c r="K46" s="215"/>
      <c r="L46" s="215"/>
      <c r="M46" s="215"/>
      <c r="N46" s="215"/>
      <c r="O46" s="215"/>
      <c r="P46" s="96"/>
    </row>
    <row r="47" spans="1:16" ht="45.75" customHeight="1" thickBot="1" x14ac:dyDescent="0.25">
      <c r="A47" s="102" t="s">
        <v>191</v>
      </c>
      <c r="B47" s="212"/>
      <c r="C47" s="213"/>
      <c r="D47" s="213"/>
      <c r="E47" s="213"/>
      <c r="F47" s="213"/>
      <c r="G47" s="214"/>
      <c r="H47" s="215"/>
      <c r="I47" s="215"/>
      <c r="J47" s="215"/>
      <c r="K47" s="215"/>
      <c r="L47" s="215"/>
      <c r="M47" s="215"/>
      <c r="N47" s="215"/>
      <c r="O47" s="215"/>
      <c r="P47" s="96"/>
    </row>
    <row r="48" spans="1:16" ht="45.75" customHeight="1" thickBot="1" x14ac:dyDescent="0.25">
      <c r="A48" s="102" t="s">
        <v>192</v>
      </c>
      <c r="B48" s="212"/>
      <c r="C48" s="213"/>
      <c r="D48" s="213"/>
      <c r="E48" s="213"/>
      <c r="F48" s="213"/>
      <c r="G48" s="214"/>
      <c r="H48" s="215"/>
      <c r="I48" s="215"/>
      <c r="J48" s="215"/>
      <c r="K48" s="215"/>
      <c r="L48" s="215"/>
      <c r="M48" s="215"/>
      <c r="N48" s="215"/>
      <c r="O48" s="215"/>
      <c r="P48" s="96"/>
    </row>
    <row r="49" spans="1:16" ht="45.75" customHeight="1" thickBot="1" x14ac:dyDescent="0.25">
      <c r="A49" s="102" t="s">
        <v>193</v>
      </c>
      <c r="B49" s="212"/>
      <c r="C49" s="213"/>
      <c r="D49" s="213"/>
      <c r="E49" s="213"/>
      <c r="F49" s="213"/>
      <c r="G49" s="214"/>
      <c r="H49" s="215"/>
      <c r="I49" s="215"/>
      <c r="J49" s="215"/>
      <c r="K49" s="215"/>
      <c r="L49" s="215"/>
      <c r="M49" s="215"/>
      <c r="N49" s="215"/>
      <c r="O49" s="215"/>
      <c r="P49" s="96"/>
    </row>
    <row r="50" spans="1:16" ht="45.75" customHeight="1" thickBot="1" x14ac:dyDescent="0.25">
      <c r="A50" s="102" t="s">
        <v>194</v>
      </c>
      <c r="B50" s="212"/>
      <c r="C50" s="213"/>
      <c r="D50" s="213"/>
      <c r="E50" s="213"/>
      <c r="F50" s="213"/>
      <c r="G50" s="214"/>
      <c r="H50" s="215"/>
      <c r="I50" s="215"/>
      <c r="J50" s="215"/>
      <c r="K50" s="215"/>
      <c r="L50" s="215"/>
      <c r="M50" s="215"/>
      <c r="N50" s="215"/>
      <c r="O50" s="215"/>
      <c r="P50" s="96"/>
    </row>
  </sheetData>
  <mergeCells count="97">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 ref="B36:G36"/>
    <mergeCell ref="H36:K36"/>
    <mergeCell ref="L36:O36"/>
    <mergeCell ref="B37:G37"/>
    <mergeCell ref="H37:K37"/>
    <mergeCell ref="L37:O37"/>
    <mergeCell ref="B38:G38"/>
    <mergeCell ref="H38:K38"/>
    <mergeCell ref="L38:O38"/>
    <mergeCell ref="B39:G39"/>
    <mergeCell ref="H39:K39"/>
    <mergeCell ref="L39:O39"/>
    <mergeCell ref="B40:G40"/>
    <mergeCell ref="H40:K40"/>
    <mergeCell ref="L40:O40"/>
    <mergeCell ref="B41:G41"/>
    <mergeCell ref="H41:K41"/>
    <mergeCell ref="L41:O41"/>
    <mergeCell ref="B42:G42"/>
    <mergeCell ref="H42:K42"/>
    <mergeCell ref="L42:O42"/>
    <mergeCell ref="B43:G43"/>
    <mergeCell ref="H43:K43"/>
    <mergeCell ref="L43:O43"/>
    <mergeCell ref="B44:G44"/>
    <mergeCell ref="H44:K44"/>
    <mergeCell ref="L44:O44"/>
    <mergeCell ref="B45:G45"/>
    <mergeCell ref="H45:K45"/>
    <mergeCell ref="L45:O45"/>
    <mergeCell ref="B46:G46"/>
    <mergeCell ref="H46:K46"/>
    <mergeCell ref="L46:O46"/>
    <mergeCell ref="B47:G47"/>
    <mergeCell ref="H47:K47"/>
    <mergeCell ref="L47:O47"/>
    <mergeCell ref="B48:G48"/>
    <mergeCell ref="H48:K48"/>
    <mergeCell ref="L48:O48"/>
    <mergeCell ref="B49:G49"/>
    <mergeCell ref="H49:K49"/>
    <mergeCell ref="L49:O49"/>
    <mergeCell ref="B50:G50"/>
    <mergeCell ref="H50:K50"/>
    <mergeCell ref="L50:O50"/>
  </mergeCells>
  <conditionalFormatting sqref="B9:B10">
    <cfRule type="cellIs" dxfId="592" priority="33" operator="equal">
      <formula>"Nok"</formula>
    </cfRule>
    <cfRule type="cellIs" dxfId="591" priority="34" operator="equal">
      <formula>"Ok"</formula>
    </cfRule>
  </conditionalFormatting>
  <conditionalFormatting sqref="P22:P30">
    <cfRule type="cellIs" dxfId="590" priority="31" operator="equal">
      <formula>"Nok"</formula>
    </cfRule>
    <cfRule type="cellIs" dxfId="589" priority="32" operator="equal">
      <formula>"Ok"</formula>
    </cfRule>
  </conditionalFormatting>
  <conditionalFormatting sqref="P31:P35">
    <cfRule type="cellIs" dxfId="588" priority="29" operator="equal">
      <formula>"Nok"</formula>
    </cfRule>
    <cfRule type="cellIs" dxfId="587" priority="30" operator="equal">
      <formula>"Ok"</formula>
    </cfRule>
  </conditionalFormatting>
  <conditionalFormatting sqref="P36:P37">
    <cfRule type="cellIs" dxfId="586" priority="27" operator="equal">
      <formula>"Nok"</formula>
    </cfRule>
    <cfRule type="cellIs" dxfId="585" priority="28" operator="equal">
      <formula>"Ok"</formula>
    </cfRule>
  </conditionalFormatting>
  <conditionalFormatting sqref="P38">
    <cfRule type="cellIs" dxfId="584" priority="25" operator="equal">
      <formula>"Nok"</formula>
    </cfRule>
    <cfRule type="cellIs" dxfId="583" priority="26" operator="equal">
      <formula>"Ok"</formula>
    </cfRule>
  </conditionalFormatting>
  <conditionalFormatting sqref="P39">
    <cfRule type="cellIs" dxfId="582" priority="23" operator="equal">
      <formula>"Nok"</formula>
    </cfRule>
    <cfRule type="cellIs" dxfId="581" priority="24" operator="equal">
      <formula>"Ok"</formula>
    </cfRule>
  </conditionalFormatting>
  <conditionalFormatting sqref="P40">
    <cfRule type="cellIs" dxfId="580" priority="21" operator="equal">
      <formula>"Nok"</formula>
    </cfRule>
    <cfRule type="cellIs" dxfId="579" priority="22" operator="equal">
      <formula>"Ok"</formula>
    </cfRule>
  </conditionalFormatting>
  <conditionalFormatting sqref="P41">
    <cfRule type="cellIs" dxfId="578" priority="19" operator="equal">
      <formula>"Nok"</formula>
    </cfRule>
    <cfRule type="cellIs" dxfId="577" priority="20" operator="equal">
      <formula>"Ok"</formula>
    </cfRule>
  </conditionalFormatting>
  <conditionalFormatting sqref="P42">
    <cfRule type="cellIs" dxfId="576" priority="17" operator="equal">
      <formula>"Nok"</formula>
    </cfRule>
    <cfRule type="cellIs" dxfId="575" priority="18" operator="equal">
      <formula>"Ok"</formula>
    </cfRule>
  </conditionalFormatting>
  <conditionalFormatting sqref="P43">
    <cfRule type="cellIs" dxfId="574" priority="15" operator="equal">
      <formula>"Nok"</formula>
    </cfRule>
    <cfRule type="cellIs" dxfId="573" priority="16" operator="equal">
      <formula>"Ok"</formula>
    </cfRule>
  </conditionalFormatting>
  <conditionalFormatting sqref="P44">
    <cfRule type="cellIs" dxfId="572" priority="13" operator="equal">
      <formula>"Nok"</formula>
    </cfRule>
    <cfRule type="cellIs" dxfId="571" priority="14" operator="equal">
      <formula>"Ok"</formula>
    </cfRule>
  </conditionalFormatting>
  <conditionalFormatting sqref="P45">
    <cfRule type="cellIs" dxfId="570" priority="11" operator="equal">
      <formula>"Nok"</formula>
    </cfRule>
    <cfRule type="cellIs" dxfId="569" priority="12" operator="equal">
      <formula>"Ok"</formula>
    </cfRule>
  </conditionalFormatting>
  <conditionalFormatting sqref="P46">
    <cfRule type="cellIs" dxfId="568" priority="9" operator="equal">
      <formula>"Nok"</formula>
    </cfRule>
    <cfRule type="cellIs" dxfId="567" priority="10" operator="equal">
      <formula>"Ok"</formula>
    </cfRule>
  </conditionalFormatting>
  <conditionalFormatting sqref="P47">
    <cfRule type="cellIs" dxfId="566" priority="7" operator="equal">
      <formula>"Nok"</formula>
    </cfRule>
    <cfRule type="cellIs" dxfId="565" priority="8" operator="equal">
      <formula>"Ok"</formula>
    </cfRule>
  </conditionalFormatting>
  <conditionalFormatting sqref="P48">
    <cfRule type="cellIs" dxfId="564" priority="5" operator="equal">
      <formula>"Nok"</formula>
    </cfRule>
    <cfRule type="cellIs" dxfId="563" priority="6" operator="equal">
      <formula>"Ok"</formula>
    </cfRule>
  </conditionalFormatting>
  <conditionalFormatting sqref="P49">
    <cfRule type="cellIs" dxfId="562" priority="3" operator="equal">
      <formula>"Nok"</formula>
    </cfRule>
    <cfRule type="cellIs" dxfId="561" priority="4" operator="equal">
      <formula>"Ok"</formula>
    </cfRule>
  </conditionalFormatting>
  <conditionalFormatting sqref="P50">
    <cfRule type="cellIs" dxfId="560" priority="1" operator="equal">
      <formula>"Nok"</formula>
    </cfRule>
    <cfRule type="cellIs" dxfId="559" priority="2" operator="equal">
      <formula>"Ok"</formula>
    </cfRule>
  </conditionalFormatting>
  <dataValidations count="3">
    <dataValidation type="list" allowBlank="1" showInputMessage="1" showErrorMessage="1" sqref="P22:P50">
      <formula1>"Ok, Nok, Not run, ,"</formula1>
    </dataValidation>
    <dataValidation type="list" allowBlank="1" showInputMessage="1" showErrorMessage="1" sqref="B9">
      <formula1>"Ok, Nok, Not run, NA"</formula1>
    </dataValidation>
    <dataValidation type="list" allowBlank="1" showInputMessage="1" showErrorMessage="1" sqref="B5">
      <formula1>"Nominal, Robustness, Endurance, Qualification"</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workbookViewId="0">
      <selection activeCell="J5" sqref="J5"/>
    </sheetView>
  </sheetViews>
  <sheetFormatPr defaultRowHeight="12.75" x14ac:dyDescent="0.2"/>
  <cols>
    <col min="1" max="1" width="20.140625" style="97" customWidth="1"/>
    <col min="2" max="2" width="18.42578125" style="93" customWidth="1"/>
    <col min="3" max="7" width="9.140625" style="93"/>
    <col min="8" max="15" width="9.5703125" style="93" customWidth="1"/>
    <col min="16" max="16384" width="9.140625" style="93"/>
  </cols>
  <sheetData>
    <row r="1" spans="1:15" ht="13.5" thickBot="1" x14ac:dyDescent="0.25">
      <c r="A1" s="98" t="s">
        <v>41</v>
      </c>
      <c r="B1" s="234" t="s">
        <v>347</v>
      </c>
      <c r="C1" s="235"/>
      <c r="D1" s="235"/>
      <c r="E1" s="235"/>
      <c r="F1" s="235"/>
      <c r="G1" s="236"/>
      <c r="H1" s="73"/>
      <c r="I1" s="73"/>
      <c r="J1" s="73"/>
      <c r="K1" s="73"/>
      <c r="L1" s="73"/>
      <c r="M1" s="73"/>
      <c r="N1" s="73"/>
      <c r="O1" s="73"/>
    </row>
    <row r="2" spans="1:15" ht="13.5" thickBot="1" x14ac:dyDescent="0.25">
      <c r="A2" s="71"/>
      <c r="B2" s="72"/>
      <c r="C2" s="72"/>
      <c r="D2" s="73"/>
      <c r="E2" s="73"/>
      <c r="F2" s="73"/>
      <c r="G2" s="73"/>
      <c r="H2" s="73"/>
      <c r="I2" s="73"/>
      <c r="J2" s="73"/>
      <c r="K2" s="73"/>
      <c r="L2" s="73"/>
      <c r="M2" s="73"/>
      <c r="N2" s="73"/>
      <c r="O2" s="73"/>
    </row>
    <row r="3" spans="1:15" ht="61.5" customHeight="1" thickBot="1" x14ac:dyDescent="0.25">
      <c r="A3" s="99" t="s">
        <v>46</v>
      </c>
      <c r="B3" s="237" t="s">
        <v>334</v>
      </c>
      <c r="C3" s="238"/>
      <c r="D3" s="238"/>
      <c r="E3" s="238"/>
      <c r="F3" s="238"/>
      <c r="G3" s="239"/>
      <c r="H3" s="73"/>
      <c r="I3" s="73"/>
      <c r="J3" s="73"/>
      <c r="K3" s="73"/>
      <c r="L3" s="73"/>
      <c r="M3" s="73"/>
      <c r="N3" s="73"/>
      <c r="O3" s="73"/>
    </row>
    <row r="4" spans="1:15" ht="13.5" thickBot="1" x14ac:dyDescent="0.25">
      <c r="A4" s="71"/>
      <c r="B4" s="72"/>
      <c r="C4" s="72"/>
      <c r="D4" s="73"/>
      <c r="E4" s="73"/>
      <c r="F4" s="73"/>
      <c r="G4" s="73"/>
      <c r="H4" s="73"/>
      <c r="I4" s="73"/>
      <c r="J4" s="73"/>
      <c r="K4" s="73"/>
      <c r="L4" s="73"/>
      <c r="M4" s="73"/>
      <c r="N4" s="73"/>
      <c r="O4" s="73"/>
    </row>
    <row r="5" spans="1:15" ht="13.5" thickBot="1" x14ac:dyDescent="0.25">
      <c r="A5" s="98" t="s">
        <v>111</v>
      </c>
      <c r="B5" s="76" t="s">
        <v>142</v>
      </c>
      <c r="C5" s="72"/>
      <c r="D5" s="73"/>
      <c r="E5" s="73"/>
      <c r="F5" s="73"/>
      <c r="G5" s="73"/>
      <c r="H5" s="73"/>
      <c r="I5" s="73"/>
      <c r="J5" s="73"/>
      <c r="K5" s="73"/>
      <c r="L5" s="73"/>
      <c r="M5" s="73"/>
      <c r="N5" s="73"/>
      <c r="O5" s="73"/>
    </row>
    <row r="6" spans="1:15" ht="13.5" thickBot="1" x14ac:dyDescent="0.25">
      <c r="A6" s="71"/>
      <c r="B6" s="72"/>
      <c r="C6" s="72"/>
      <c r="D6" s="73"/>
      <c r="E6" s="73"/>
      <c r="F6" s="73"/>
      <c r="G6" s="73"/>
      <c r="H6" s="73"/>
      <c r="I6" s="73"/>
      <c r="J6" s="73"/>
      <c r="K6" s="73"/>
      <c r="L6" s="73"/>
      <c r="M6" s="73"/>
      <c r="N6" s="73"/>
      <c r="O6" s="73"/>
    </row>
    <row r="7" spans="1:15" ht="30.75" customHeight="1" thickBot="1" x14ac:dyDescent="0.25">
      <c r="A7" s="98" t="s">
        <v>42</v>
      </c>
      <c r="B7" s="237" t="s">
        <v>327</v>
      </c>
      <c r="C7" s="238"/>
      <c r="D7" s="238"/>
      <c r="E7" s="238"/>
      <c r="F7" s="238"/>
      <c r="G7" s="239"/>
      <c r="H7" s="73"/>
      <c r="I7" s="73"/>
      <c r="J7" s="73"/>
      <c r="K7" s="73"/>
      <c r="L7" s="73"/>
      <c r="M7" s="73"/>
      <c r="N7" s="73"/>
      <c r="O7" s="73"/>
    </row>
    <row r="8" spans="1:15" ht="13.5" thickBot="1" x14ac:dyDescent="0.25">
      <c r="A8" s="75"/>
      <c r="B8" s="74"/>
      <c r="C8" s="74"/>
      <c r="D8" s="74"/>
      <c r="E8" s="74"/>
      <c r="F8" s="74"/>
      <c r="G8" s="74"/>
      <c r="H8" s="73"/>
      <c r="I8" s="73"/>
      <c r="J8" s="73"/>
      <c r="K8" s="73"/>
      <c r="L8" s="73"/>
      <c r="M8" s="73"/>
      <c r="N8" s="73"/>
      <c r="O8" s="73"/>
    </row>
    <row r="9" spans="1:15" ht="13.5" thickBot="1" x14ac:dyDescent="0.25">
      <c r="A9" s="98" t="s">
        <v>43</v>
      </c>
      <c r="B9" s="103" t="s">
        <v>144</v>
      </c>
      <c r="C9" s="72"/>
      <c r="D9" s="73"/>
      <c r="E9" s="73"/>
      <c r="F9" s="73"/>
      <c r="G9" s="73"/>
      <c r="H9" s="73"/>
      <c r="I9" s="73"/>
      <c r="J9" s="73"/>
      <c r="K9" s="73"/>
      <c r="L9" s="73"/>
      <c r="M9" s="73"/>
      <c r="N9" s="73"/>
      <c r="O9" s="73"/>
    </row>
    <row r="10" spans="1:15" ht="13.5" thickBot="1" x14ac:dyDescent="0.25">
      <c r="A10" s="75"/>
      <c r="B10" s="94"/>
      <c r="C10" s="72"/>
      <c r="D10" s="73"/>
      <c r="E10" s="73"/>
      <c r="F10" s="73"/>
      <c r="G10" s="73"/>
      <c r="H10" s="73"/>
      <c r="I10" s="73"/>
      <c r="J10" s="73"/>
      <c r="K10" s="73"/>
      <c r="L10" s="73"/>
      <c r="M10" s="73"/>
      <c r="N10" s="73"/>
      <c r="O10" s="73"/>
    </row>
    <row r="11" spans="1:15" ht="12" customHeight="1" x14ac:dyDescent="0.2">
      <c r="A11" s="223" t="s">
        <v>113</v>
      </c>
      <c r="B11" s="225"/>
      <c r="C11" s="226"/>
      <c r="D11" s="226"/>
      <c r="E11" s="226"/>
      <c r="F11" s="226"/>
      <c r="G11" s="227"/>
      <c r="H11" s="73"/>
      <c r="I11" s="73"/>
      <c r="J11" s="73"/>
      <c r="K11" s="73"/>
      <c r="L11" s="73"/>
      <c r="M11" s="73"/>
      <c r="N11" s="73"/>
      <c r="O11" s="73"/>
    </row>
    <row r="12" spans="1:15" x14ac:dyDescent="0.2">
      <c r="A12" s="224"/>
      <c r="B12" s="228"/>
      <c r="C12" s="229"/>
      <c r="D12" s="229"/>
      <c r="E12" s="229"/>
      <c r="F12" s="229"/>
      <c r="G12" s="230"/>
      <c r="H12" s="73"/>
      <c r="I12" s="73"/>
      <c r="J12" s="73"/>
      <c r="K12" s="73"/>
      <c r="L12" s="73"/>
      <c r="M12" s="73"/>
      <c r="N12" s="73"/>
      <c r="O12" s="73"/>
    </row>
    <row r="13" spans="1:15" x14ac:dyDescent="0.2">
      <c r="A13" s="224"/>
      <c r="B13" s="228"/>
      <c r="C13" s="229"/>
      <c r="D13" s="229"/>
      <c r="E13" s="229"/>
      <c r="F13" s="229"/>
      <c r="G13" s="230"/>
      <c r="H13" s="71"/>
      <c r="I13" s="73"/>
      <c r="J13" s="73"/>
      <c r="K13" s="73"/>
      <c r="L13" s="73"/>
      <c r="M13" s="73"/>
      <c r="N13" s="73"/>
      <c r="O13" s="73"/>
    </row>
    <row r="14" spans="1:15" ht="13.5" thickBot="1" x14ac:dyDescent="0.25">
      <c r="A14" s="224"/>
      <c r="B14" s="231"/>
      <c r="C14" s="232"/>
      <c r="D14" s="232"/>
      <c r="E14" s="232"/>
      <c r="F14" s="232"/>
      <c r="G14" s="233"/>
      <c r="H14" s="77"/>
      <c r="I14" s="73"/>
      <c r="J14" s="73"/>
      <c r="K14" s="73"/>
      <c r="L14" s="73"/>
      <c r="M14" s="73"/>
      <c r="N14" s="73"/>
      <c r="O14" s="73"/>
    </row>
    <row r="15" spans="1:15" ht="13.5" thickBot="1" x14ac:dyDescent="0.25">
      <c r="A15" s="71"/>
      <c r="B15" s="71"/>
      <c r="C15" s="71"/>
      <c r="D15" s="71"/>
      <c r="E15" s="71"/>
      <c r="F15" s="71"/>
      <c r="G15" s="71"/>
      <c r="H15" s="77"/>
      <c r="I15" s="73"/>
      <c r="J15" s="73"/>
      <c r="K15" s="73"/>
      <c r="L15" s="73"/>
      <c r="M15" s="73"/>
      <c r="N15" s="73"/>
      <c r="O15" s="73"/>
    </row>
    <row r="16" spans="1:15" x14ac:dyDescent="0.2">
      <c r="A16" s="223" t="s">
        <v>44</v>
      </c>
      <c r="B16" s="225"/>
      <c r="C16" s="226"/>
      <c r="D16" s="226"/>
      <c r="E16" s="226"/>
      <c r="F16" s="226"/>
      <c r="G16" s="227"/>
      <c r="H16" s="73"/>
      <c r="I16" s="73"/>
      <c r="J16" s="73"/>
      <c r="K16" s="73"/>
      <c r="L16" s="73"/>
      <c r="M16" s="73"/>
      <c r="N16" s="73"/>
      <c r="O16" s="73"/>
    </row>
    <row r="17" spans="1:16" x14ac:dyDescent="0.2">
      <c r="A17" s="224"/>
      <c r="B17" s="228"/>
      <c r="C17" s="229"/>
      <c r="D17" s="229"/>
      <c r="E17" s="229"/>
      <c r="F17" s="229"/>
      <c r="G17" s="230"/>
      <c r="H17" s="73"/>
      <c r="I17" s="73"/>
      <c r="J17" s="73"/>
      <c r="K17" s="73"/>
      <c r="L17" s="73"/>
      <c r="M17" s="73"/>
      <c r="N17" s="73"/>
      <c r="O17" s="73"/>
    </row>
    <row r="18" spans="1:16" x14ac:dyDescent="0.2">
      <c r="A18" s="224"/>
      <c r="B18" s="228"/>
      <c r="C18" s="229"/>
      <c r="D18" s="229"/>
      <c r="E18" s="229"/>
      <c r="F18" s="229"/>
      <c r="G18" s="230"/>
      <c r="H18" s="71"/>
      <c r="I18" s="73"/>
      <c r="J18" s="73"/>
      <c r="K18" s="73"/>
      <c r="L18" s="73"/>
      <c r="M18" s="73"/>
      <c r="N18" s="73"/>
      <c r="O18" s="73"/>
    </row>
    <row r="19" spans="1:16" ht="13.5" thickBot="1" x14ac:dyDescent="0.25">
      <c r="A19" s="224"/>
      <c r="B19" s="231"/>
      <c r="C19" s="232"/>
      <c r="D19" s="232"/>
      <c r="E19" s="232"/>
      <c r="F19" s="232"/>
      <c r="G19" s="233"/>
      <c r="H19" s="77"/>
      <c r="I19" s="73"/>
      <c r="J19" s="73"/>
      <c r="K19" s="73"/>
      <c r="L19" s="73"/>
      <c r="M19" s="73"/>
      <c r="N19" s="73"/>
      <c r="O19" s="73"/>
    </row>
    <row r="20" spans="1:16" ht="13.5" thickBot="1" x14ac:dyDescent="0.25">
      <c r="A20" s="71"/>
      <c r="B20" s="71"/>
      <c r="C20" s="71"/>
      <c r="D20" s="71"/>
      <c r="E20" s="71"/>
      <c r="F20" s="71"/>
      <c r="G20" s="71"/>
      <c r="H20" s="77"/>
      <c r="I20" s="73"/>
      <c r="J20" s="73"/>
      <c r="K20" s="73"/>
      <c r="L20" s="73"/>
      <c r="M20" s="73"/>
      <c r="N20" s="73"/>
      <c r="O20" s="73"/>
    </row>
    <row r="21" spans="1:16" ht="12.75" customHeight="1" x14ac:dyDescent="0.2">
      <c r="A21" s="220" t="s">
        <v>48</v>
      </c>
      <c r="B21" s="221"/>
      <c r="C21" s="221"/>
      <c r="D21" s="221"/>
      <c r="E21" s="221"/>
      <c r="F21" s="221"/>
      <c r="G21" s="222"/>
      <c r="H21" s="220" t="s">
        <v>49</v>
      </c>
      <c r="I21" s="221"/>
      <c r="J21" s="221"/>
      <c r="K21" s="222"/>
      <c r="L21" s="220" t="s">
        <v>60</v>
      </c>
      <c r="M21" s="221"/>
      <c r="N21" s="221"/>
      <c r="O21" s="222"/>
      <c r="P21" s="100" t="s">
        <v>47</v>
      </c>
    </row>
    <row r="22" spans="1:16" ht="88.5" customHeight="1" thickBot="1" x14ac:dyDescent="0.25">
      <c r="A22" s="101" t="s">
        <v>50</v>
      </c>
      <c r="B22" s="212" t="s">
        <v>328</v>
      </c>
      <c r="C22" s="213"/>
      <c r="D22" s="213"/>
      <c r="E22" s="213"/>
      <c r="F22" s="213"/>
      <c r="G22" s="214"/>
      <c r="H22" s="216"/>
      <c r="I22" s="216"/>
      <c r="J22" s="216"/>
      <c r="K22" s="216"/>
      <c r="L22" s="216" t="s">
        <v>331</v>
      </c>
      <c r="M22" s="216"/>
      <c r="N22" s="216"/>
      <c r="O22" s="216"/>
      <c r="P22" s="95" t="s">
        <v>144</v>
      </c>
    </row>
    <row r="23" spans="1:16" ht="73.5" customHeight="1" thickBot="1" x14ac:dyDescent="0.25">
      <c r="A23" s="101" t="s">
        <v>51</v>
      </c>
      <c r="B23" s="212" t="s">
        <v>329</v>
      </c>
      <c r="C23" s="213"/>
      <c r="D23" s="213"/>
      <c r="E23" s="213"/>
      <c r="F23" s="213"/>
      <c r="G23" s="214"/>
      <c r="H23" s="216"/>
      <c r="I23" s="216"/>
      <c r="J23" s="216"/>
      <c r="K23" s="216"/>
      <c r="L23" s="216" t="s">
        <v>332</v>
      </c>
      <c r="M23" s="216"/>
      <c r="N23" s="216"/>
      <c r="O23" s="216"/>
      <c r="P23" s="95" t="s">
        <v>144</v>
      </c>
    </row>
    <row r="24" spans="1:16" ht="73.5" customHeight="1" thickBot="1" x14ac:dyDescent="0.25">
      <c r="A24" s="101" t="s">
        <v>52</v>
      </c>
      <c r="B24" s="212" t="s">
        <v>330</v>
      </c>
      <c r="C24" s="213"/>
      <c r="D24" s="213"/>
      <c r="E24" s="213"/>
      <c r="F24" s="213"/>
      <c r="G24" s="214"/>
      <c r="H24" s="216"/>
      <c r="I24" s="216"/>
      <c r="J24" s="216"/>
      <c r="K24" s="216"/>
      <c r="L24" s="216" t="s">
        <v>333</v>
      </c>
      <c r="M24" s="216"/>
      <c r="N24" s="216"/>
      <c r="O24" s="216"/>
      <c r="P24" s="95" t="s">
        <v>144</v>
      </c>
    </row>
    <row r="25" spans="1:16" ht="72.75" customHeight="1" thickBot="1" x14ac:dyDescent="0.25">
      <c r="A25" s="101" t="s">
        <v>53</v>
      </c>
      <c r="B25" s="212"/>
      <c r="C25" s="213"/>
      <c r="D25" s="213"/>
      <c r="E25" s="213"/>
      <c r="F25" s="213"/>
      <c r="G25" s="214"/>
      <c r="H25" s="216"/>
      <c r="I25" s="216"/>
      <c r="J25" s="216"/>
      <c r="K25" s="216"/>
      <c r="L25" s="216"/>
      <c r="M25" s="216"/>
      <c r="N25" s="216"/>
      <c r="O25" s="216"/>
      <c r="P25" s="95"/>
    </row>
    <row r="26" spans="1:16" ht="104.25" customHeight="1" thickBot="1" x14ac:dyDescent="0.25">
      <c r="A26" s="101" t="s">
        <v>54</v>
      </c>
      <c r="B26" s="212"/>
      <c r="C26" s="213"/>
      <c r="D26" s="213"/>
      <c r="E26" s="213"/>
      <c r="F26" s="213"/>
      <c r="G26" s="214"/>
      <c r="H26" s="216"/>
      <c r="I26" s="216"/>
      <c r="J26" s="216"/>
      <c r="K26" s="216"/>
      <c r="L26" s="216"/>
      <c r="M26" s="216"/>
      <c r="N26" s="216"/>
      <c r="O26" s="216"/>
      <c r="P26" s="95"/>
    </row>
    <row r="27" spans="1:16" ht="29.25" customHeight="1" x14ac:dyDescent="0.2">
      <c r="A27" s="101" t="s">
        <v>55</v>
      </c>
      <c r="B27" s="217"/>
      <c r="C27" s="218"/>
      <c r="D27" s="218"/>
      <c r="E27" s="218"/>
      <c r="F27" s="218"/>
      <c r="G27" s="219"/>
      <c r="H27" s="216"/>
      <c r="I27" s="216"/>
      <c r="J27" s="216"/>
      <c r="K27" s="216"/>
      <c r="L27" s="216"/>
      <c r="M27" s="216"/>
      <c r="N27" s="216"/>
      <c r="O27" s="216"/>
      <c r="P27" s="95"/>
    </row>
    <row r="28" spans="1:16" ht="29.25" customHeight="1" x14ac:dyDescent="0.2">
      <c r="A28" s="101" t="s">
        <v>56</v>
      </c>
      <c r="B28" s="217"/>
      <c r="C28" s="218"/>
      <c r="D28" s="218"/>
      <c r="E28" s="218"/>
      <c r="F28" s="218"/>
      <c r="G28" s="219"/>
      <c r="H28" s="216"/>
      <c r="I28" s="216"/>
      <c r="J28" s="216"/>
      <c r="K28" s="216"/>
      <c r="L28" s="216"/>
      <c r="M28" s="216"/>
      <c r="N28" s="216"/>
      <c r="O28" s="216"/>
      <c r="P28" s="95"/>
    </row>
    <row r="29" spans="1:16" ht="29.25" customHeight="1" x14ac:dyDescent="0.2">
      <c r="A29" s="101" t="s">
        <v>57</v>
      </c>
      <c r="B29" s="217"/>
      <c r="C29" s="218"/>
      <c r="D29" s="218"/>
      <c r="E29" s="218"/>
      <c r="F29" s="218"/>
      <c r="G29" s="219"/>
      <c r="H29" s="216"/>
      <c r="I29" s="216"/>
      <c r="J29" s="216"/>
      <c r="K29" s="216"/>
      <c r="L29" s="216"/>
      <c r="M29" s="216"/>
      <c r="N29" s="216"/>
      <c r="O29" s="216"/>
      <c r="P29" s="95"/>
    </row>
    <row r="30" spans="1:16" ht="45.75" customHeight="1" thickBot="1" x14ac:dyDescent="0.25">
      <c r="A30" s="102" t="s">
        <v>58</v>
      </c>
      <c r="B30" s="212"/>
      <c r="C30" s="213"/>
      <c r="D30" s="213"/>
      <c r="E30" s="213"/>
      <c r="F30" s="213"/>
      <c r="G30" s="214"/>
      <c r="H30" s="215"/>
      <c r="I30" s="215"/>
      <c r="J30" s="215"/>
      <c r="K30" s="215"/>
      <c r="L30" s="215"/>
      <c r="M30" s="215"/>
      <c r="N30" s="215"/>
      <c r="O30" s="215"/>
      <c r="P30" s="96"/>
    </row>
    <row r="31" spans="1:16" ht="29.25" customHeight="1" thickBot="1" x14ac:dyDescent="0.25">
      <c r="A31" s="102" t="s">
        <v>145</v>
      </c>
      <c r="B31" s="217"/>
      <c r="C31" s="218"/>
      <c r="D31" s="218"/>
      <c r="E31" s="218"/>
      <c r="F31" s="218"/>
      <c r="G31" s="219"/>
      <c r="H31" s="216"/>
      <c r="I31" s="216"/>
      <c r="J31" s="216"/>
      <c r="K31" s="216"/>
      <c r="L31" s="216"/>
      <c r="M31" s="216"/>
      <c r="N31" s="216"/>
      <c r="O31" s="216"/>
      <c r="P31" s="95"/>
    </row>
    <row r="32" spans="1:16" ht="55.5" customHeight="1" thickBot="1" x14ac:dyDescent="0.25">
      <c r="A32" s="102" t="s">
        <v>146</v>
      </c>
      <c r="B32" s="217"/>
      <c r="C32" s="218"/>
      <c r="D32" s="218"/>
      <c r="E32" s="218"/>
      <c r="F32" s="218"/>
      <c r="G32" s="219"/>
      <c r="H32" s="216"/>
      <c r="I32" s="216"/>
      <c r="J32" s="216"/>
      <c r="K32" s="216"/>
      <c r="L32" s="216"/>
      <c r="M32" s="216"/>
      <c r="N32" s="216"/>
      <c r="O32" s="216"/>
      <c r="P32" s="95"/>
    </row>
    <row r="33" spans="1:16" ht="45.75" customHeight="1" thickBot="1" x14ac:dyDescent="0.25">
      <c r="A33" s="102" t="s">
        <v>147</v>
      </c>
      <c r="B33" s="212"/>
      <c r="C33" s="213"/>
      <c r="D33" s="213"/>
      <c r="E33" s="213"/>
      <c r="F33" s="213"/>
      <c r="G33" s="214"/>
      <c r="H33" s="215"/>
      <c r="I33" s="215"/>
      <c r="J33" s="215"/>
      <c r="K33" s="215"/>
      <c r="L33" s="215"/>
      <c r="M33" s="215"/>
      <c r="N33" s="215"/>
      <c r="O33" s="215"/>
      <c r="P33" s="95"/>
    </row>
    <row r="34" spans="1:16" ht="45.75" customHeight="1" thickBot="1" x14ac:dyDescent="0.25">
      <c r="A34" s="102" t="s">
        <v>148</v>
      </c>
      <c r="B34" s="217"/>
      <c r="C34" s="218"/>
      <c r="D34" s="218"/>
      <c r="E34" s="218"/>
      <c r="F34" s="218"/>
      <c r="G34" s="219"/>
      <c r="H34" s="216"/>
      <c r="I34" s="216"/>
      <c r="J34" s="216"/>
      <c r="K34" s="216"/>
      <c r="L34" s="216"/>
      <c r="M34" s="216"/>
      <c r="N34" s="216"/>
      <c r="O34" s="216"/>
      <c r="P34" s="95"/>
    </row>
    <row r="35" spans="1:16" ht="48" customHeight="1" thickBot="1" x14ac:dyDescent="0.25">
      <c r="A35" s="102" t="s">
        <v>149</v>
      </c>
      <c r="B35" s="217"/>
      <c r="C35" s="218"/>
      <c r="D35" s="218"/>
      <c r="E35" s="218"/>
      <c r="F35" s="218"/>
      <c r="G35" s="219"/>
      <c r="H35" s="216"/>
      <c r="I35" s="216"/>
      <c r="J35" s="216"/>
      <c r="K35" s="216"/>
      <c r="L35" s="216"/>
      <c r="M35" s="216"/>
      <c r="N35" s="216"/>
      <c r="O35" s="216"/>
      <c r="P35" s="95"/>
    </row>
    <row r="36" spans="1:16" ht="45.75" customHeight="1" thickBot="1" x14ac:dyDescent="0.25">
      <c r="A36" s="102" t="s">
        <v>150</v>
      </c>
      <c r="B36" s="212"/>
      <c r="C36" s="213"/>
      <c r="D36" s="213"/>
      <c r="E36" s="213"/>
      <c r="F36" s="213"/>
      <c r="G36" s="214"/>
      <c r="H36" s="215"/>
      <c r="I36" s="215"/>
      <c r="J36" s="215"/>
      <c r="K36" s="215"/>
      <c r="L36" s="216"/>
      <c r="M36" s="216"/>
      <c r="N36" s="216"/>
      <c r="O36" s="216"/>
      <c r="P36" s="96"/>
    </row>
    <row r="37" spans="1:16" ht="66" customHeight="1" thickBot="1" x14ac:dyDescent="0.25">
      <c r="A37" s="102" t="s">
        <v>151</v>
      </c>
      <c r="B37" s="212"/>
      <c r="C37" s="213"/>
      <c r="D37" s="213"/>
      <c r="E37" s="213"/>
      <c r="F37" s="213"/>
      <c r="G37" s="214"/>
      <c r="H37" s="215"/>
      <c r="I37" s="215"/>
      <c r="J37" s="215"/>
      <c r="K37" s="215"/>
      <c r="L37" s="216"/>
      <c r="M37" s="216"/>
      <c r="N37" s="216"/>
      <c r="O37" s="216"/>
      <c r="P37" s="96"/>
    </row>
    <row r="38" spans="1:16" ht="45.75" customHeight="1" thickBot="1" x14ac:dyDescent="0.25">
      <c r="A38" s="102" t="s">
        <v>152</v>
      </c>
      <c r="B38" s="212"/>
      <c r="C38" s="213"/>
      <c r="D38" s="213"/>
      <c r="E38" s="213"/>
      <c r="F38" s="213"/>
      <c r="G38" s="214"/>
      <c r="H38" s="215"/>
      <c r="I38" s="215"/>
      <c r="J38" s="215"/>
      <c r="K38" s="215"/>
      <c r="L38" s="215"/>
      <c r="M38" s="215"/>
      <c r="N38" s="215"/>
      <c r="O38" s="215"/>
      <c r="P38" s="96"/>
    </row>
    <row r="39" spans="1:16" ht="45.75" customHeight="1" thickBot="1" x14ac:dyDescent="0.25">
      <c r="A39" s="102" t="s">
        <v>153</v>
      </c>
      <c r="B39" s="212"/>
      <c r="C39" s="213"/>
      <c r="D39" s="213"/>
      <c r="E39" s="213"/>
      <c r="F39" s="213"/>
      <c r="G39" s="214"/>
      <c r="H39" s="215"/>
      <c r="I39" s="215"/>
      <c r="J39" s="215"/>
      <c r="K39" s="215"/>
      <c r="L39" s="215"/>
      <c r="M39" s="215"/>
      <c r="N39" s="215"/>
      <c r="O39" s="215"/>
      <c r="P39" s="96"/>
    </row>
    <row r="40" spans="1:16" ht="45.75" customHeight="1" thickBot="1" x14ac:dyDescent="0.25">
      <c r="A40" s="102" t="s">
        <v>184</v>
      </c>
      <c r="B40" s="212"/>
      <c r="C40" s="213"/>
      <c r="D40" s="213"/>
      <c r="E40" s="213"/>
      <c r="F40" s="213"/>
      <c r="G40" s="214"/>
      <c r="H40" s="215"/>
      <c r="I40" s="215"/>
      <c r="J40" s="215"/>
      <c r="K40" s="215"/>
      <c r="L40" s="215"/>
      <c r="M40" s="215"/>
      <c r="N40" s="215"/>
      <c r="O40" s="215"/>
      <c r="P40" s="96"/>
    </row>
    <row r="41" spans="1:16" ht="45.75" customHeight="1" thickBot="1" x14ac:dyDescent="0.25">
      <c r="A41" s="102" t="s">
        <v>185</v>
      </c>
      <c r="B41" s="212"/>
      <c r="C41" s="213"/>
      <c r="D41" s="213"/>
      <c r="E41" s="213"/>
      <c r="F41" s="213"/>
      <c r="G41" s="214"/>
      <c r="H41" s="215"/>
      <c r="I41" s="215"/>
      <c r="J41" s="215"/>
      <c r="K41" s="215"/>
      <c r="L41" s="215"/>
      <c r="M41" s="215"/>
      <c r="N41" s="215"/>
      <c r="O41" s="215"/>
      <c r="P41" s="96"/>
    </row>
    <row r="42" spans="1:16" ht="45.75" customHeight="1" thickBot="1" x14ac:dyDescent="0.25">
      <c r="A42" s="102" t="s">
        <v>186</v>
      </c>
      <c r="B42" s="212"/>
      <c r="C42" s="213"/>
      <c r="D42" s="213"/>
      <c r="E42" s="213"/>
      <c r="F42" s="213"/>
      <c r="G42" s="214"/>
      <c r="H42" s="215"/>
      <c r="I42" s="215"/>
      <c r="J42" s="215"/>
      <c r="K42" s="215"/>
      <c r="L42" s="215"/>
      <c r="M42" s="215"/>
      <c r="N42" s="215"/>
      <c r="O42" s="215"/>
      <c r="P42" s="96"/>
    </row>
    <row r="43" spans="1:16" ht="45.75" customHeight="1" thickBot="1" x14ac:dyDescent="0.25">
      <c r="A43" s="102" t="s">
        <v>187</v>
      </c>
      <c r="B43" s="212"/>
      <c r="C43" s="213"/>
      <c r="D43" s="213"/>
      <c r="E43" s="213"/>
      <c r="F43" s="213"/>
      <c r="G43" s="214"/>
      <c r="H43" s="215"/>
      <c r="I43" s="215"/>
      <c r="J43" s="215"/>
      <c r="K43" s="215"/>
      <c r="L43" s="215"/>
      <c r="M43" s="215"/>
      <c r="N43" s="215"/>
      <c r="O43" s="215"/>
      <c r="P43" s="96"/>
    </row>
    <row r="44" spans="1:16" ht="45.75" customHeight="1" thickBot="1" x14ac:dyDescent="0.25">
      <c r="A44" s="102" t="s">
        <v>188</v>
      </c>
      <c r="B44" s="212"/>
      <c r="C44" s="213"/>
      <c r="D44" s="213"/>
      <c r="E44" s="213"/>
      <c r="F44" s="213"/>
      <c r="G44" s="214"/>
      <c r="H44" s="215"/>
      <c r="I44" s="215"/>
      <c r="J44" s="215"/>
      <c r="K44" s="215"/>
      <c r="L44" s="215"/>
      <c r="M44" s="215"/>
      <c r="N44" s="215"/>
      <c r="O44" s="215"/>
      <c r="P44" s="96"/>
    </row>
    <row r="45" spans="1:16" ht="45.75" customHeight="1" thickBot="1" x14ac:dyDescent="0.25">
      <c r="A45" s="102" t="s">
        <v>189</v>
      </c>
      <c r="B45" s="212"/>
      <c r="C45" s="213"/>
      <c r="D45" s="213"/>
      <c r="E45" s="213"/>
      <c r="F45" s="213"/>
      <c r="G45" s="214"/>
      <c r="H45" s="215"/>
      <c r="I45" s="215"/>
      <c r="J45" s="215"/>
      <c r="K45" s="215"/>
      <c r="L45" s="215"/>
      <c r="M45" s="215"/>
      <c r="N45" s="215"/>
      <c r="O45" s="215"/>
      <c r="P45" s="96"/>
    </row>
    <row r="46" spans="1:16" ht="45.75" customHeight="1" thickBot="1" x14ac:dyDescent="0.25">
      <c r="A46" s="102" t="s">
        <v>190</v>
      </c>
      <c r="B46" s="212"/>
      <c r="C46" s="213"/>
      <c r="D46" s="213"/>
      <c r="E46" s="213"/>
      <c r="F46" s="213"/>
      <c r="G46" s="214"/>
      <c r="H46" s="215"/>
      <c r="I46" s="215"/>
      <c r="J46" s="215"/>
      <c r="K46" s="215"/>
      <c r="L46" s="215"/>
      <c r="M46" s="215"/>
      <c r="N46" s="215"/>
      <c r="O46" s="215"/>
      <c r="P46" s="96"/>
    </row>
    <row r="47" spans="1:16" ht="45.75" customHeight="1" thickBot="1" x14ac:dyDescent="0.25">
      <c r="A47" s="102" t="s">
        <v>191</v>
      </c>
      <c r="B47" s="212"/>
      <c r="C47" s="213"/>
      <c r="D47" s="213"/>
      <c r="E47" s="213"/>
      <c r="F47" s="213"/>
      <c r="G47" s="214"/>
      <c r="H47" s="215"/>
      <c r="I47" s="215"/>
      <c r="J47" s="215"/>
      <c r="K47" s="215"/>
      <c r="L47" s="215"/>
      <c r="M47" s="215"/>
      <c r="N47" s="215"/>
      <c r="O47" s="215"/>
      <c r="P47" s="96"/>
    </row>
    <row r="48" spans="1:16" ht="45.75" customHeight="1" thickBot="1" x14ac:dyDescent="0.25">
      <c r="A48" s="102" t="s">
        <v>192</v>
      </c>
      <c r="B48" s="212"/>
      <c r="C48" s="213"/>
      <c r="D48" s="213"/>
      <c r="E48" s="213"/>
      <c r="F48" s="213"/>
      <c r="G48" s="214"/>
      <c r="H48" s="215"/>
      <c r="I48" s="215"/>
      <c r="J48" s="215"/>
      <c r="K48" s="215"/>
      <c r="L48" s="215"/>
      <c r="M48" s="215"/>
      <c r="N48" s="215"/>
      <c r="O48" s="215"/>
      <c r="P48" s="96"/>
    </row>
    <row r="49" spans="1:16" ht="45.75" customHeight="1" thickBot="1" x14ac:dyDescent="0.25">
      <c r="A49" s="102" t="s">
        <v>193</v>
      </c>
      <c r="B49" s="212"/>
      <c r="C49" s="213"/>
      <c r="D49" s="213"/>
      <c r="E49" s="213"/>
      <c r="F49" s="213"/>
      <c r="G49" s="214"/>
      <c r="H49" s="215"/>
      <c r="I49" s="215"/>
      <c r="J49" s="215"/>
      <c r="K49" s="215"/>
      <c r="L49" s="215"/>
      <c r="M49" s="215"/>
      <c r="N49" s="215"/>
      <c r="O49" s="215"/>
      <c r="P49" s="96"/>
    </row>
    <row r="50" spans="1:16" ht="45.75" customHeight="1" thickBot="1" x14ac:dyDescent="0.25">
      <c r="A50" s="102" t="s">
        <v>194</v>
      </c>
      <c r="B50" s="212"/>
      <c r="C50" s="213"/>
      <c r="D50" s="213"/>
      <c r="E50" s="213"/>
      <c r="F50" s="213"/>
      <c r="G50" s="214"/>
      <c r="H50" s="215"/>
      <c r="I50" s="215"/>
      <c r="J50" s="215"/>
      <c r="K50" s="215"/>
      <c r="L50" s="215"/>
      <c r="M50" s="215"/>
      <c r="N50" s="215"/>
      <c r="O50" s="215"/>
      <c r="P50" s="96"/>
    </row>
  </sheetData>
  <mergeCells count="97">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 ref="B36:G36"/>
    <mergeCell ref="H36:K36"/>
    <mergeCell ref="L36:O36"/>
    <mergeCell ref="B37:G37"/>
    <mergeCell ref="H37:K37"/>
    <mergeCell ref="L37:O37"/>
    <mergeCell ref="B38:G38"/>
    <mergeCell ref="H38:K38"/>
    <mergeCell ref="L38:O38"/>
    <mergeCell ref="B39:G39"/>
    <mergeCell ref="H39:K39"/>
    <mergeCell ref="L39:O39"/>
    <mergeCell ref="B40:G40"/>
    <mergeCell ref="H40:K40"/>
    <mergeCell ref="L40:O40"/>
    <mergeCell ref="B41:G41"/>
    <mergeCell ref="H41:K41"/>
    <mergeCell ref="L41:O41"/>
    <mergeCell ref="B42:G42"/>
    <mergeCell ref="H42:K42"/>
    <mergeCell ref="L42:O42"/>
    <mergeCell ref="B43:G43"/>
    <mergeCell ref="H43:K43"/>
    <mergeCell ref="L43:O43"/>
    <mergeCell ref="B44:G44"/>
    <mergeCell ref="H44:K44"/>
    <mergeCell ref="L44:O44"/>
    <mergeCell ref="B45:G45"/>
    <mergeCell ref="H45:K45"/>
    <mergeCell ref="L45:O45"/>
    <mergeCell ref="B46:G46"/>
    <mergeCell ref="H46:K46"/>
    <mergeCell ref="L46:O46"/>
    <mergeCell ref="B47:G47"/>
    <mergeCell ref="H47:K47"/>
    <mergeCell ref="L47:O47"/>
    <mergeCell ref="B48:G48"/>
    <mergeCell ref="H48:K48"/>
    <mergeCell ref="L48:O48"/>
    <mergeCell ref="B49:G49"/>
    <mergeCell ref="H49:K49"/>
    <mergeCell ref="L49:O49"/>
    <mergeCell ref="B50:G50"/>
    <mergeCell ref="H50:K50"/>
    <mergeCell ref="L50:O50"/>
  </mergeCells>
  <conditionalFormatting sqref="B9:B10">
    <cfRule type="cellIs" dxfId="558" priority="33" operator="equal">
      <formula>"Nok"</formula>
    </cfRule>
    <cfRule type="cellIs" dxfId="557" priority="34" operator="equal">
      <formula>"Ok"</formula>
    </cfRule>
  </conditionalFormatting>
  <conditionalFormatting sqref="P22:P30">
    <cfRule type="cellIs" dxfId="556" priority="31" operator="equal">
      <formula>"Nok"</formula>
    </cfRule>
    <cfRule type="cellIs" dxfId="555" priority="32" operator="equal">
      <formula>"Ok"</formula>
    </cfRule>
  </conditionalFormatting>
  <conditionalFormatting sqref="P31:P35">
    <cfRule type="cellIs" dxfId="554" priority="29" operator="equal">
      <formula>"Nok"</formula>
    </cfRule>
    <cfRule type="cellIs" dxfId="553" priority="30" operator="equal">
      <formula>"Ok"</formula>
    </cfRule>
  </conditionalFormatting>
  <conditionalFormatting sqref="P36:P37">
    <cfRule type="cellIs" dxfId="552" priority="27" operator="equal">
      <formula>"Nok"</formula>
    </cfRule>
    <cfRule type="cellIs" dxfId="551" priority="28" operator="equal">
      <formula>"Ok"</formula>
    </cfRule>
  </conditionalFormatting>
  <conditionalFormatting sqref="P38">
    <cfRule type="cellIs" dxfId="550" priority="25" operator="equal">
      <formula>"Nok"</formula>
    </cfRule>
    <cfRule type="cellIs" dxfId="549" priority="26" operator="equal">
      <formula>"Ok"</formula>
    </cfRule>
  </conditionalFormatting>
  <conditionalFormatting sqref="P39">
    <cfRule type="cellIs" dxfId="548" priority="23" operator="equal">
      <formula>"Nok"</formula>
    </cfRule>
    <cfRule type="cellIs" dxfId="547" priority="24" operator="equal">
      <formula>"Ok"</formula>
    </cfRule>
  </conditionalFormatting>
  <conditionalFormatting sqref="P40">
    <cfRule type="cellIs" dxfId="546" priority="21" operator="equal">
      <formula>"Nok"</formula>
    </cfRule>
    <cfRule type="cellIs" dxfId="545" priority="22" operator="equal">
      <formula>"Ok"</formula>
    </cfRule>
  </conditionalFormatting>
  <conditionalFormatting sqref="P41">
    <cfRule type="cellIs" dxfId="544" priority="19" operator="equal">
      <formula>"Nok"</formula>
    </cfRule>
    <cfRule type="cellIs" dxfId="543" priority="20" operator="equal">
      <formula>"Ok"</formula>
    </cfRule>
  </conditionalFormatting>
  <conditionalFormatting sqref="P42">
    <cfRule type="cellIs" dxfId="542" priority="17" operator="equal">
      <formula>"Nok"</formula>
    </cfRule>
    <cfRule type="cellIs" dxfId="541" priority="18" operator="equal">
      <formula>"Ok"</formula>
    </cfRule>
  </conditionalFormatting>
  <conditionalFormatting sqref="P43">
    <cfRule type="cellIs" dxfId="540" priority="15" operator="equal">
      <formula>"Nok"</formula>
    </cfRule>
    <cfRule type="cellIs" dxfId="539" priority="16" operator="equal">
      <formula>"Ok"</formula>
    </cfRule>
  </conditionalFormatting>
  <conditionalFormatting sqref="P44">
    <cfRule type="cellIs" dxfId="538" priority="13" operator="equal">
      <formula>"Nok"</formula>
    </cfRule>
    <cfRule type="cellIs" dxfId="537" priority="14" operator="equal">
      <formula>"Ok"</formula>
    </cfRule>
  </conditionalFormatting>
  <conditionalFormatting sqref="P45">
    <cfRule type="cellIs" dxfId="536" priority="11" operator="equal">
      <formula>"Nok"</formula>
    </cfRule>
    <cfRule type="cellIs" dxfId="535" priority="12" operator="equal">
      <formula>"Ok"</formula>
    </cfRule>
  </conditionalFormatting>
  <conditionalFormatting sqref="P46">
    <cfRule type="cellIs" dxfId="534" priority="9" operator="equal">
      <formula>"Nok"</formula>
    </cfRule>
    <cfRule type="cellIs" dxfId="533" priority="10" operator="equal">
      <formula>"Ok"</formula>
    </cfRule>
  </conditionalFormatting>
  <conditionalFormatting sqref="P47">
    <cfRule type="cellIs" dxfId="532" priority="7" operator="equal">
      <formula>"Nok"</formula>
    </cfRule>
    <cfRule type="cellIs" dxfId="531" priority="8" operator="equal">
      <formula>"Ok"</formula>
    </cfRule>
  </conditionalFormatting>
  <conditionalFormatting sqref="P48">
    <cfRule type="cellIs" dxfId="530" priority="5" operator="equal">
      <formula>"Nok"</formula>
    </cfRule>
    <cfRule type="cellIs" dxfId="529" priority="6" operator="equal">
      <formula>"Ok"</formula>
    </cfRule>
  </conditionalFormatting>
  <conditionalFormatting sqref="P49">
    <cfRule type="cellIs" dxfId="528" priority="3" operator="equal">
      <formula>"Nok"</formula>
    </cfRule>
    <cfRule type="cellIs" dxfId="527" priority="4" operator="equal">
      <formula>"Ok"</formula>
    </cfRule>
  </conditionalFormatting>
  <conditionalFormatting sqref="P50">
    <cfRule type="cellIs" dxfId="526" priority="1" operator="equal">
      <formula>"Nok"</formula>
    </cfRule>
    <cfRule type="cellIs" dxfId="525" priority="2" operator="equal">
      <formula>"Ok"</formula>
    </cfRule>
  </conditionalFormatting>
  <dataValidations count="3">
    <dataValidation type="list" allowBlank="1" showInputMessage="1" showErrorMessage="1" sqref="B5">
      <formula1>"Nominal, Robustness, Endurance, Qualification"</formula1>
    </dataValidation>
    <dataValidation type="list" allowBlank="1" showInputMessage="1" showErrorMessage="1" sqref="B9">
      <formula1>"Ok, Nok, Not run, NA"</formula1>
    </dataValidation>
    <dataValidation type="list" allowBlank="1" showInputMessage="1" showErrorMessage="1" sqref="P22:P50">
      <formula1>"Ok, Nok, Not run, ,"</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workbookViewId="0">
      <selection activeCell="E10" sqref="E10"/>
    </sheetView>
  </sheetViews>
  <sheetFormatPr defaultRowHeight="12.75" x14ac:dyDescent="0.2"/>
  <cols>
    <col min="1" max="1" width="20.140625" style="97" customWidth="1"/>
    <col min="2" max="2" width="18.42578125" style="93" customWidth="1"/>
    <col min="3" max="7" width="9.140625" style="93"/>
    <col min="8" max="15" width="9.5703125" style="93" customWidth="1"/>
    <col min="16" max="16384" width="9.140625" style="93"/>
  </cols>
  <sheetData>
    <row r="1" spans="1:15" ht="13.5" thickBot="1" x14ac:dyDescent="0.25">
      <c r="A1" s="98" t="s">
        <v>41</v>
      </c>
      <c r="B1" s="234" t="s">
        <v>345</v>
      </c>
      <c r="C1" s="235"/>
      <c r="D1" s="235"/>
      <c r="E1" s="235"/>
      <c r="F1" s="235"/>
      <c r="G1" s="236"/>
      <c r="H1" s="73"/>
      <c r="I1" s="73"/>
      <c r="J1" s="73"/>
      <c r="K1" s="73"/>
      <c r="L1" s="73"/>
      <c r="M1" s="73"/>
      <c r="N1" s="73"/>
      <c r="O1" s="73"/>
    </row>
    <row r="2" spans="1:15" ht="13.5" thickBot="1" x14ac:dyDescent="0.25">
      <c r="A2" s="71"/>
      <c r="B2" s="72"/>
      <c r="C2" s="72"/>
      <c r="D2" s="73"/>
      <c r="E2" s="73"/>
      <c r="F2" s="73"/>
      <c r="G2" s="73"/>
      <c r="H2" s="73"/>
      <c r="I2" s="73"/>
      <c r="J2" s="73"/>
      <c r="K2" s="73"/>
      <c r="L2" s="73"/>
      <c r="M2" s="73"/>
      <c r="N2" s="73"/>
      <c r="O2" s="73"/>
    </row>
    <row r="3" spans="1:15" ht="61.5" customHeight="1" thickBot="1" x14ac:dyDescent="0.25">
      <c r="A3" s="99" t="s">
        <v>46</v>
      </c>
      <c r="B3" s="237" t="s">
        <v>344</v>
      </c>
      <c r="C3" s="238"/>
      <c r="D3" s="238"/>
      <c r="E3" s="238"/>
      <c r="F3" s="238"/>
      <c r="G3" s="239"/>
      <c r="H3" s="73"/>
      <c r="I3" s="73"/>
      <c r="J3" s="73"/>
      <c r="K3" s="73"/>
      <c r="L3" s="73"/>
      <c r="M3" s="73"/>
      <c r="N3" s="73"/>
      <c r="O3" s="73"/>
    </row>
    <row r="4" spans="1:15" ht="13.5" thickBot="1" x14ac:dyDescent="0.25">
      <c r="A4" s="71"/>
      <c r="B4" s="72"/>
      <c r="C4" s="72"/>
      <c r="D4" s="73"/>
      <c r="E4" s="73"/>
      <c r="F4" s="73"/>
      <c r="G4" s="73"/>
      <c r="H4" s="73"/>
      <c r="I4" s="73"/>
      <c r="J4" s="73"/>
      <c r="K4" s="73"/>
      <c r="L4" s="73"/>
      <c r="M4" s="73"/>
      <c r="N4" s="73"/>
      <c r="O4" s="73"/>
    </row>
    <row r="5" spans="1:15" ht="13.5" thickBot="1" x14ac:dyDescent="0.25">
      <c r="A5" s="98" t="s">
        <v>111</v>
      </c>
      <c r="B5" s="76" t="s">
        <v>142</v>
      </c>
      <c r="C5" s="72"/>
      <c r="D5" s="73"/>
      <c r="E5" s="73"/>
      <c r="F5" s="73"/>
      <c r="G5" s="73"/>
      <c r="H5" s="73"/>
      <c r="I5" s="73"/>
      <c r="J5" s="73"/>
      <c r="K5" s="73"/>
      <c r="L5" s="73"/>
      <c r="M5" s="73"/>
      <c r="N5" s="73"/>
      <c r="O5" s="73"/>
    </row>
    <row r="6" spans="1:15" ht="13.5" thickBot="1" x14ac:dyDescent="0.25">
      <c r="A6" s="71"/>
      <c r="B6" s="72"/>
      <c r="C6" s="72"/>
      <c r="D6" s="73"/>
      <c r="E6" s="73"/>
      <c r="F6" s="73"/>
      <c r="G6" s="73"/>
      <c r="H6" s="73"/>
      <c r="I6" s="73"/>
      <c r="J6" s="73"/>
      <c r="K6" s="73"/>
      <c r="L6" s="73"/>
      <c r="M6" s="73"/>
      <c r="N6" s="73"/>
      <c r="O6" s="73"/>
    </row>
    <row r="7" spans="1:15" ht="30.75" customHeight="1" thickBot="1" x14ac:dyDescent="0.25">
      <c r="A7" s="98" t="s">
        <v>42</v>
      </c>
      <c r="B7" s="237" t="s">
        <v>346</v>
      </c>
      <c r="C7" s="238"/>
      <c r="D7" s="238"/>
      <c r="E7" s="238"/>
      <c r="F7" s="238"/>
      <c r="G7" s="239"/>
      <c r="H7" s="73"/>
      <c r="I7" s="73"/>
      <c r="J7" s="73"/>
      <c r="K7" s="73"/>
      <c r="L7" s="73"/>
      <c r="M7" s="73"/>
      <c r="N7" s="73"/>
      <c r="O7" s="73"/>
    </row>
    <row r="8" spans="1:15" ht="13.5" thickBot="1" x14ac:dyDescent="0.25">
      <c r="A8" s="75"/>
      <c r="B8" s="74"/>
      <c r="C8" s="74"/>
      <c r="D8" s="74"/>
      <c r="E8" s="74"/>
      <c r="F8" s="74"/>
      <c r="G8" s="74"/>
      <c r="H8" s="73"/>
      <c r="I8" s="73"/>
      <c r="J8" s="73"/>
      <c r="K8" s="73"/>
      <c r="L8" s="73"/>
      <c r="M8" s="73"/>
      <c r="N8" s="73"/>
      <c r="O8" s="73"/>
    </row>
    <row r="9" spans="1:15" ht="13.5" thickBot="1" x14ac:dyDescent="0.25">
      <c r="A9" s="98" t="s">
        <v>43</v>
      </c>
      <c r="B9" s="103" t="s">
        <v>143</v>
      </c>
      <c r="C9" s="72"/>
      <c r="D9" s="73"/>
      <c r="E9" s="73"/>
      <c r="F9" s="73"/>
      <c r="G9" s="73"/>
      <c r="H9" s="73"/>
      <c r="I9" s="73"/>
      <c r="J9" s="73"/>
      <c r="K9" s="73"/>
      <c r="L9" s="73"/>
      <c r="M9" s="73"/>
      <c r="N9" s="73"/>
      <c r="O9" s="73"/>
    </row>
    <row r="10" spans="1:15" ht="13.5" thickBot="1" x14ac:dyDescent="0.25">
      <c r="A10" s="75"/>
      <c r="B10" s="94"/>
      <c r="C10" s="72"/>
      <c r="D10" s="73"/>
      <c r="E10" s="73"/>
      <c r="F10" s="73"/>
      <c r="G10" s="73"/>
      <c r="H10" s="73"/>
      <c r="I10" s="73"/>
      <c r="J10" s="73"/>
      <c r="K10" s="73"/>
      <c r="L10" s="73"/>
      <c r="M10" s="73"/>
      <c r="N10" s="73"/>
      <c r="O10" s="73"/>
    </row>
    <row r="11" spans="1:15" ht="12" customHeight="1" x14ac:dyDescent="0.2">
      <c r="A11" s="223" t="s">
        <v>113</v>
      </c>
      <c r="B11" s="225"/>
      <c r="C11" s="226"/>
      <c r="D11" s="226"/>
      <c r="E11" s="226"/>
      <c r="F11" s="226"/>
      <c r="G11" s="227"/>
      <c r="H11" s="73"/>
      <c r="I11" s="73"/>
      <c r="J11" s="73"/>
      <c r="K11" s="73"/>
      <c r="L11" s="73"/>
      <c r="M11" s="73"/>
      <c r="N11" s="73"/>
      <c r="O11" s="73"/>
    </row>
    <row r="12" spans="1:15" x14ac:dyDescent="0.2">
      <c r="A12" s="224"/>
      <c r="B12" s="228"/>
      <c r="C12" s="229"/>
      <c r="D12" s="229"/>
      <c r="E12" s="229"/>
      <c r="F12" s="229"/>
      <c r="G12" s="230"/>
      <c r="H12" s="73"/>
      <c r="I12" s="73"/>
      <c r="J12" s="73"/>
      <c r="K12" s="73"/>
      <c r="L12" s="73"/>
      <c r="M12" s="73"/>
      <c r="N12" s="73"/>
      <c r="O12" s="73"/>
    </row>
    <row r="13" spans="1:15" x14ac:dyDescent="0.2">
      <c r="A13" s="224"/>
      <c r="B13" s="228"/>
      <c r="C13" s="229"/>
      <c r="D13" s="229"/>
      <c r="E13" s="229"/>
      <c r="F13" s="229"/>
      <c r="G13" s="230"/>
      <c r="H13" s="71"/>
      <c r="I13" s="73"/>
      <c r="J13" s="73"/>
      <c r="K13" s="73"/>
      <c r="L13" s="73"/>
      <c r="M13" s="73"/>
      <c r="N13" s="73"/>
      <c r="O13" s="73"/>
    </row>
    <row r="14" spans="1:15" ht="13.5" thickBot="1" x14ac:dyDescent="0.25">
      <c r="A14" s="224"/>
      <c r="B14" s="231"/>
      <c r="C14" s="232"/>
      <c r="D14" s="232"/>
      <c r="E14" s="232"/>
      <c r="F14" s="232"/>
      <c r="G14" s="233"/>
      <c r="H14" s="77"/>
      <c r="I14" s="73"/>
      <c r="J14" s="73"/>
      <c r="K14" s="73"/>
      <c r="L14" s="73"/>
      <c r="M14" s="73"/>
      <c r="N14" s="73"/>
      <c r="O14" s="73"/>
    </row>
    <row r="15" spans="1:15" ht="13.5" thickBot="1" x14ac:dyDescent="0.25">
      <c r="A15" s="71"/>
      <c r="B15" s="71"/>
      <c r="C15" s="71"/>
      <c r="D15" s="71"/>
      <c r="E15" s="71"/>
      <c r="F15" s="71"/>
      <c r="G15" s="71"/>
      <c r="H15" s="77"/>
      <c r="I15" s="73"/>
      <c r="J15" s="73"/>
      <c r="K15" s="73"/>
      <c r="L15" s="73"/>
      <c r="M15" s="73"/>
      <c r="N15" s="73"/>
      <c r="O15" s="73"/>
    </row>
    <row r="16" spans="1:15" x14ac:dyDescent="0.2">
      <c r="A16" s="223" t="s">
        <v>44</v>
      </c>
      <c r="B16" s="225"/>
      <c r="C16" s="226"/>
      <c r="D16" s="226"/>
      <c r="E16" s="226"/>
      <c r="F16" s="226"/>
      <c r="G16" s="227"/>
      <c r="H16" s="73"/>
      <c r="I16" s="73"/>
      <c r="J16" s="73"/>
      <c r="K16" s="73"/>
      <c r="L16" s="73"/>
      <c r="M16" s="73"/>
      <c r="N16" s="73"/>
      <c r="O16" s="73"/>
    </row>
    <row r="17" spans="1:16" x14ac:dyDescent="0.2">
      <c r="A17" s="224"/>
      <c r="B17" s="228"/>
      <c r="C17" s="229"/>
      <c r="D17" s="229"/>
      <c r="E17" s="229"/>
      <c r="F17" s="229"/>
      <c r="G17" s="230"/>
      <c r="H17" s="73"/>
      <c r="I17" s="73"/>
      <c r="J17" s="73"/>
      <c r="K17" s="73"/>
      <c r="L17" s="73"/>
      <c r="M17" s="73"/>
      <c r="N17" s="73"/>
      <c r="O17" s="73"/>
    </row>
    <row r="18" spans="1:16" x14ac:dyDescent="0.2">
      <c r="A18" s="224"/>
      <c r="B18" s="228"/>
      <c r="C18" s="229"/>
      <c r="D18" s="229"/>
      <c r="E18" s="229"/>
      <c r="F18" s="229"/>
      <c r="G18" s="230"/>
      <c r="H18" s="71"/>
      <c r="I18" s="73"/>
      <c r="J18" s="73"/>
      <c r="K18" s="73"/>
      <c r="L18" s="73"/>
      <c r="M18" s="73"/>
      <c r="N18" s="73"/>
      <c r="O18" s="73"/>
    </row>
    <row r="19" spans="1:16" ht="13.5" thickBot="1" x14ac:dyDescent="0.25">
      <c r="A19" s="224"/>
      <c r="B19" s="231"/>
      <c r="C19" s="232"/>
      <c r="D19" s="232"/>
      <c r="E19" s="232"/>
      <c r="F19" s="232"/>
      <c r="G19" s="233"/>
      <c r="H19" s="77"/>
      <c r="I19" s="73"/>
      <c r="J19" s="73"/>
      <c r="K19" s="73"/>
      <c r="L19" s="73"/>
      <c r="M19" s="73"/>
      <c r="N19" s="73"/>
      <c r="O19" s="73"/>
    </row>
    <row r="20" spans="1:16" ht="13.5" thickBot="1" x14ac:dyDescent="0.25">
      <c r="A20" s="71"/>
      <c r="B20" s="71"/>
      <c r="C20" s="71"/>
      <c r="D20" s="71"/>
      <c r="E20" s="71"/>
      <c r="F20" s="71"/>
      <c r="G20" s="71"/>
      <c r="H20" s="77"/>
      <c r="I20" s="73"/>
      <c r="J20" s="73"/>
      <c r="K20" s="73"/>
      <c r="L20" s="73"/>
      <c r="M20" s="73"/>
      <c r="N20" s="73"/>
      <c r="O20" s="73"/>
    </row>
    <row r="21" spans="1:16" ht="12.75" customHeight="1" x14ac:dyDescent="0.2">
      <c r="A21" s="220" t="s">
        <v>48</v>
      </c>
      <c r="B21" s="221"/>
      <c r="C21" s="221"/>
      <c r="D21" s="221"/>
      <c r="E21" s="221"/>
      <c r="F21" s="221"/>
      <c r="G21" s="222"/>
      <c r="H21" s="220" t="s">
        <v>49</v>
      </c>
      <c r="I21" s="221"/>
      <c r="J21" s="221"/>
      <c r="K21" s="222"/>
      <c r="L21" s="220" t="s">
        <v>60</v>
      </c>
      <c r="M21" s="221"/>
      <c r="N21" s="221"/>
      <c r="O21" s="222"/>
      <c r="P21" s="100" t="s">
        <v>47</v>
      </c>
    </row>
    <row r="22" spans="1:16" ht="88.5" customHeight="1" thickBot="1" x14ac:dyDescent="0.25">
      <c r="A22" s="101" t="s">
        <v>50</v>
      </c>
      <c r="B22" s="212" t="s">
        <v>342</v>
      </c>
      <c r="C22" s="213"/>
      <c r="D22" s="213"/>
      <c r="E22" s="213"/>
      <c r="F22" s="213"/>
      <c r="G22" s="214"/>
      <c r="H22" s="216"/>
      <c r="I22" s="216"/>
      <c r="J22" s="216"/>
      <c r="K22" s="216"/>
      <c r="L22" s="216" t="s">
        <v>343</v>
      </c>
      <c r="M22" s="216"/>
      <c r="N22" s="216"/>
      <c r="O22" s="216"/>
      <c r="P22" s="95" t="s">
        <v>143</v>
      </c>
    </row>
    <row r="23" spans="1:16" ht="73.5" customHeight="1" thickBot="1" x14ac:dyDescent="0.25">
      <c r="A23" s="101" t="s">
        <v>51</v>
      </c>
      <c r="B23" s="212"/>
      <c r="C23" s="213"/>
      <c r="D23" s="213"/>
      <c r="E23" s="213"/>
      <c r="F23" s="213"/>
      <c r="G23" s="214"/>
      <c r="H23" s="216"/>
      <c r="I23" s="216"/>
      <c r="J23" s="216"/>
      <c r="K23" s="216"/>
      <c r="L23" s="216"/>
      <c r="M23" s="216"/>
      <c r="N23" s="216"/>
      <c r="O23" s="216"/>
      <c r="P23" s="95"/>
    </row>
    <row r="24" spans="1:16" ht="73.5" customHeight="1" thickBot="1" x14ac:dyDescent="0.25">
      <c r="A24" s="101" t="s">
        <v>52</v>
      </c>
      <c r="B24" s="212"/>
      <c r="C24" s="213"/>
      <c r="D24" s="213"/>
      <c r="E24" s="213"/>
      <c r="F24" s="213"/>
      <c r="G24" s="214"/>
      <c r="H24" s="216"/>
      <c r="I24" s="216"/>
      <c r="J24" s="216"/>
      <c r="K24" s="216"/>
      <c r="L24" s="216"/>
      <c r="M24" s="216"/>
      <c r="N24" s="216"/>
      <c r="O24" s="216"/>
      <c r="P24" s="95"/>
    </row>
    <row r="25" spans="1:16" ht="72.75" customHeight="1" thickBot="1" x14ac:dyDescent="0.25">
      <c r="A25" s="101" t="s">
        <v>53</v>
      </c>
      <c r="B25" s="212"/>
      <c r="C25" s="213"/>
      <c r="D25" s="213"/>
      <c r="E25" s="213"/>
      <c r="F25" s="213"/>
      <c r="G25" s="214"/>
      <c r="H25" s="216"/>
      <c r="I25" s="216"/>
      <c r="J25" s="216"/>
      <c r="K25" s="216"/>
      <c r="L25" s="216"/>
      <c r="M25" s="216"/>
      <c r="N25" s="216"/>
      <c r="O25" s="216"/>
      <c r="P25" s="95"/>
    </row>
    <row r="26" spans="1:16" ht="104.25" customHeight="1" thickBot="1" x14ac:dyDescent="0.25">
      <c r="A26" s="101" t="s">
        <v>54</v>
      </c>
      <c r="B26" s="212"/>
      <c r="C26" s="213"/>
      <c r="D26" s="213"/>
      <c r="E26" s="213"/>
      <c r="F26" s="213"/>
      <c r="G26" s="214"/>
      <c r="H26" s="216"/>
      <c r="I26" s="216"/>
      <c r="J26" s="216"/>
      <c r="K26" s="216"/>
      <c r="L26" s="216"/>
      <c r="M26" s="216"/>
      <c r="N26" s="216"/>
      <c r="O26" s="216"/>
      <c r="P26" s="95"/>
    </row>
    <row r="27" spans="1:16" ht="29.25" customHeight="1" x14ac:dyDescent="0.2">
      <c r="A27" s="101" t="s">
        <v>55</v>
      </c>
      <c r="B27" s="217"/>
      <c r="C27" s="218"/>
      <c r="D27" s="218"/>
      <c r="E27" s="218"/>
      <c r="F27" s="218"/>
      <c r="G27" s="219"/>
      <c r="H27" s="216"/>
      <c r="I27" s="216"/>
      <c r="J27" s="216"/>
      <c r="K27" s="216"/>
      <c r="L27" s="216"/>
      <c r="M27" s="216"/>
      <c r="N27" s="216"/>
      <c r="O27" s="216"/>
      <c r="P27" s="95"/>
    </row>
    <row r="28" spans="1:16" ht="29.25" customHeight="1" x14ac:dyDescent="0.2">
      <c r="A28" s="101" t="s">
        <v>56</v>
      </c>
      <c r="B28" s="217"/>
      <c r="C28" s="218"/>
      <c r="D28" s="218"/>
      <c r="E28" s="218"/>
      <c r="F28" s="218"/>
      <c r="G28" s="219"/>
      <c r="H28" s="216"/>
      <c r="I28" s="216"/>
      <c r="J28" s="216"/>
      <c r="K28" s="216"/>
      <c r="L28" s="216"/>
      <c r="M28" s="216"/>
      <c r="N28" s="216"/>
      <c r="O28" s="216"/>
      <c r="P28" s="95"/>
    </row>
    <row r="29" spans="1:16" ht="29.25" customHeight="1" x14ac:dyDescent="0.2">
      <c r="A29" s="101" t="s">
        <v>57</v>
      </c>
      <c r="B29" s="217"/>
      <c r="C29" s="218"/>
      <c r="D29" s="218"/>
      <c r="E29" s="218"/>
      <c r="F29" s="218"/>
      <c r="G29" s="219"/>
      <c r="H29" s="216"/>
      <c r="I29" s="216"/>
      <c r="J29" s="216"/>
      <c r="K29" s="216"/>
      <c r="L29" s="216"/>
      <c r="M29" s="216"/>
      <c r="N29" s="216"/>
      <c r="O29" s="216"/>
      <c r="P29" s="95"/>
    </row>
    <row r="30" spans="1:16" ht="45.75" customHeight="1" thickBot="1" x14ac:dyDescent="0.25">
      <c r="A30" s="102" t="s">
        <v>58</v>
      </c>
      <c r="B30" s="212"/>
      <c r="C30" s="213"/>
      <c r="D30" s="213"/>
      <c r="E30" s="213"/>
      <c r="F30" s="213"/>
      <c r="G30" s="214"/>
      <c r="H30" s="215"/>
      <c r="I30" s="215"/>
      <c r="J30" s="215"/>
      <c r="K30" s="215"/>
      <c r="L30" s="215"/>
      <c r="M30" s="215"/>
      <c r="N30" s="215"/>
      <c r="O30" s="215"/>
      <c r="P30" s="96"/>
    </row>
    <row r="31" spans="1:16" ht="29.25" customHeight="1" thickBot="1" x14ac:dyDescent="0.25">
      <c r="A31" s="102" t="s">
        <v>145</v>
      </c>
      <c r="B31" s="217"/>
      <c r="C31" s="218"/>
      <c r="D31" s="218"/>
      <c r="E31" s="218"/>
      <c r="F31" s="218"/>
      <c r="G31" s="219"/>
      <c r="H31" s="216"/>
      <c r="I31" s="216"/>
      <c r="J31" s="216"/>
      <c r="K31" s="216"/>
      <c r="L31" s="216"/>
      <c r="M31" s="216"/>
      <c r="N31" s="216"/>
      <c r="O31" s="216"/>
      <c r="P31" s="95"/>
    </row>
    <row r="32" spans="1:16" ht="55.5" customHeight="1" thickBot="1" x14ac:dyDescent="0.25">
      <c r="A32" s="102" t="s">
        <v>146</v>
      </c>
      <c r="B32" s="217"/>
      <c r="C32" s="218"/>
      <c r="D32" s="218"/>
      <c r="E32" s="218"/>
      <c r="F32" s="218"/>
      <c r="G32" s="219"/>
      <c r="H32" s="216"/>
      <c r="I32" s="216"/>
      <c r="J32" s="216"/>
      <c r="K32" s="216"/>
      <c r="L32" s="216"/>
      <c r="M32" s="216"/>
      <c r="N32" s="216"/>
      <c r="O32" s="216"/>
      <c r="P32" s="95"/>
    </row>
    <row r="33" spans="1:16" ht="45.75" customHeight="1" thickBot="1" x14ac:dyDescent="0.25">
      <c r="A33" s="102" t="s">
        <v>147</v>
      </c>
      <c r="B33" s="212"/>
      <c r="C33" s="213"/>
      <c r="D33" s="213"/>
      <c r="E33" s="213"/>
      <c r="F33" s="213"/>
      <c r="G33" s="214"/>
      <c r="H33" s="215"/>
      <c r="I33" s="215"/>
      <c r="J33" s="215"/>
      <c r="K33" s="215"/>
      <c r="L33" s="215"/>
      <c r="M33" s="215"/>
      <c r="N33" s="215"/>
      <c r="O33" s="215"/>
      <c r="P33" s="95"/>
    </row>
    <row r="34" spans="1:16" ht="45.75" customHeight="1" thickBot="1" x14ac:dyDescent="0.25">
      <c r="A34" s="102" t="s">
        <v>148</v>
      </c>
      <c r="B34" s="217"/>
      <c r="C34" s="218"/>
      <c r="D34" s="218"/>
      <c r="E34" s="218"/>
      <c r="F34" s="218"/>
      <c r="G34" s="219"/>
      <c r="H34" s="216"/>
      <c r="I34" s="216"/>
      <c r="J34" s="216"/>
      <c r="K34" s="216"/>
      <c r="L34" s="216"/>
      <c r="M34" s="216"/>
      <c r="N34" s="216"/>
      <c r="O34" s="216"/>
      <c r="P34" s="95"/>
    </row>
    <row r="35" spans="1:16" ht="48" customHeight="1" thickBot="1" x14ac:dyDescent="0.25">
      <c r="A35" s="102" t="s">
        <v>149</v>
      </c>
      <c r="B35" s="217"/>
      <c r="C35" s="218"/>
      <c r="D35" s="218"/>
      <c r="E35" s="218"/>
      <c r="F35" s="218"/>
      <c r="G35" s="219"/>
      <c r="H35" s="216"/>
      <c r="I35" s="216"/>
      <c r="J35" s="216"/>
      <c r="K35" s="216"/>
      <c r="L35" s="216"/>
      <c r="M35" s="216"/>
      <c r="N35" s="216"/>
      <c r="O35" s="216"/>
      <c r="P35" s="95"/>
    </row>
    <row r="36" spans="1:16" ht="45.75" customHeight="1" thickBot="1" x14ac:dyDescent="0.25">
      <c r="A36" s="102" t="s">
        <v>150</v>
      </c>
      <c r="B36" s="212"/>
      <c r="C36" s="213"/>
      <c r="D36" s="213"/>
      <c r="E36" s="213"/>
      <c r="F36" s="213"/>
      <c r="G36" s="214"/>
      <c r="H36" s="215"/>
      <c r="I36" s="215"/>
      <c r="J36" s="215"/>
      <c r="K36" s="215"/>
      <c r="L36" s="216"/>
      <c r="M36" s="216"/>
      <c r="N36" s="216"/>
      <c r="O36" s="216"/>
      <c r="P36" s="96"/>
    </row>
    <row r="37" spans="1:16" ht="66" customHeight="1" thickBot="1" x14ac:dyDescent="0.25">
      <c r="A37" s="102" t="s">
        <v>151</v>
      </c>
      <c r="B37" s="212"/>
      <c r="C37" s="213"/>
      <c r="D37" s="213"/>
      <c r="E37" s="213"/>
      <c r="F37" s="213"/>
      <c r="G37" s="214"/>
      <c r="H37" s="215"/>
      <c r="I37" s="215"/>
      <c r="J37" s="215"/>
      <c r="K37" s="215"/>
      <c r="L37" s="216"/>
      <c r="M37" s="216"/>
      <c r="N37" s="216"/>
      <c r="O37" s="216"/>
      <c r="P37" s="96"/>
    </row>
    <row r="38" spans="1:16" ht="45.75" customHeight="1" thickBot="1" x14ac:dyDescent="0.25">
      <c r="A38" s="102" t="s">
        <v>152</v>
      </c>
      <c r="B38" s="212"/>
      <c r="C38" s="213"/>
      <c r="D38" s="213"/>
      <c r="E38" s="213"/>
      <c r="F38" s="213"/>
      <c r="G38" s="214"/>
      <c r="H38" s="215"/>
      <c r="I38" s="215"/>
      <c r="J38" s="215"/>
      <c r="K38" s="215"/>
      <c r="L38" s="215"/>
      <c r="M38" s="215"/>
      <c r="N38" s="215"/>
      <c r="O38" s="215"/>
      <c r="P38" s="96"/>
    </row>
    <row r="39" spans="1:16" ht="45.75" customHeight="1" thickBot="1" x14ac:dyDescent="0.25">
      <c r="A39" s="102" t="s">
        <v>153</v>
      </c>
      <c r="B39" s="212"/>
      <c r="C39" s="213"/>
      <c r="D39" s="213"/>
      <c r="E39" s="213"/>
      <c r="F39" s="213"/>
      <c r="G39" s="214"/>
      <c r="H39" s="215"/>
      <c r="I39" s="215"/>
      <c r="J39" s="215"/>
      <c r="K39" s="215"/>
      <c r="L39" s="215"/>
      <c r="M39" s="215"/>
      <c r="N39" s="215"/>
      <c r="O39" s="215"/>
      <c r="P39" s="96"/>
    </row>
    <row r="40" spans="1:16" ht="45.75" customHeight="1" thickBot="1" x14ac:dyDescent="0.25">
      <c r="A40" s="102" t="s">
        <v>184</v>
      </c>
      <c r="B40" s="212"/>
      <c r="C40" s="213"/>
      <c r="D40" s="213"/>
      <c r="E40" s="213"/>
      <c r="F40" s="213"/>
      <c r="G40" s="214"/>
      <c r="H40" s="215"/>
      <c r="I40" s="215"/>
      <c r="J40" s="215"/>
      <c r="K40" s="215"/>
      <c r="L40" s="215"/>
      <c r="M40" s="215"/>
      <c r="N40" s="215"/>
      <c r="O40" s="215"/>
      <c r="P40" s="96"/>
    </row>
    <row r="41" spans="1:16" ht="45.75" customHeight="1" thickBot="1" x14ac:dyDescent="0.25">
      <c r="A41" s="102" t="s">
        <v>185</v>
      </c>
      <c r="B41" s="212"/>
      <c r="C41" s="213"/>
      <c r="D41" s="213"/>
      <c r="E41" s="213"/>
      <c r="F41" s="213"/>
      <c r="G41" s="214"/>
      <c r="H41" s="215"/>
      <c r="I41" s="215"/>
      <c r="J41" s="215"/>
      <c r="K41" s="215"/>
      <c r="L41" s="215"/>
      <c r="M41" s="215"/>
      <c r="N41" s="215"/>
      <c r="O41" s="215"/>
      <c r="P41" s="96"/>
    </row>
    <row r="42" spans="1:16" ht="45.75" customHeight="1" thickBot="1" x14ac:dyDescent="0.25">
      <c r="A42" s="102" t="s">
        <v>186</v>
      </c>
      <c r="B42" s="212"/>
      <c r="C42" s="213"/>
      <c r="D42" s="213"/>
      <c r="E42" s="213"/>
      <c r="F42" s="213"/>
      <c r="G42" s="214"/>
      <c r="H42" s="215"/>
      <c r="I42" s="215"/>
      <c r="J42" s="215"/>
      <c r="K42" s="215"/>
      <c r="L42" s="215"/>
      <c r="M42" s="215"/>
      <c r="N42" s="215"/>
      <c r="O42" s="215"/>
      <c r="P42" s="96"/>
    </row>
    <row r="43" spans="1:16" ht="45.75" customHeight="1" thickBot="1" x14ac:dyDescent="0.25">
      <c r="A43" s="102" t="s">
        <v>187</v>
      </c>
      <c r="B43" s="212"/>
      <c r="C43" s="213"/>
      <c r="D43" s="213"/>
      <c r="E43" s="213"/>
      <c r="F43" s="213"/>
      <c r="G43" s="214"/>
      <c r="H43" s="215"/>
      <c r="I43" s="215"/>
      <c r="J43" s="215"/>
      <c r="K43" s="215"/>
      <c r="L43" s="215"/>
      <c r="M43" s="215"/>
      <c r="N43" s="215"/>
      <c r="O43" s="215"/>
      <c r="P43" s="96"/>
    </row>
    <row r="44" spans="1:16" ht="45.75" customHeight="1" thickBot="1" x14ac:dyDescent="0.25">
      <c r="A44" s="102" t="s">
        <v>188</v>
      </c>
      <c r="B44" s="212"/>
      <c r="C44" s="213"/>
      <c r="D44" s="213"/>
      <c r="E44" s="213"/>
      <c r="F44" s="213"/>
      <c r="G44" s="214"/>
      <c r="H44" s="215"/>
      <c r="I44" s="215"/>
      <c r="J44" s="215"/>
      <c r="K44" s="215"/>
      <c r="L44" s="215"/>
      <c r="M44" s="215"/>
      <c r="N44" s="215"/>
      <c r="O44" s="215"/>
      <c r="P44" s="96"/>
    </row>
    <row r="45" spans="1:16" ht="45.75" customHeight="1" thickBot="1" x14ac:dyDescent="0.25">
      <c r="A45" s="102" t="s">
        <v>189</v>
      </c>
      <c r="B45" s="212"/>
      <c r="C45" s="213"/>
      <c r="D45" s="213"/>
      <c r="E45" s="213"/>
      <c r="F45" s="213"/>
      <c r="G45" s="214"/>
      <c r="H45" s="215"/>
      <c r="I45" s="215"/>
      <c r="J45" s="215"/>
      <c r="K45" s="215"/>
      <c r="L45" s="215"/>
      <c r="M45" s="215"/>
      <c r="N45" s="215"/>
      <c r="O45" s="215"/>
      <c r="P45" s="96"/>
    </row>
    <row r="46" spans="1:16" ht="45.75" customHeight="1" thickBot="1" x14ac:dyDescent="0.25">
      <c r="A46" s="102" t="s">
        <v>190</v>
      </c>
      <c r="B46" s="212"/>
      <c r="C46" s="213"/>
      <c r="D46" s="213"/>
      <c r="E46" s="213"/>
      <c r="F46" s="213"/>
      <c r="G46" s="214"/>
      <c r="H46" s="215"/>
      <c r="I46" s="215"/>
      <c r="J46" s="215"/>
      <c r="K46" s="215"/>
      <c r="L46" s="215"/>
      <c r="M46" s="215"/>
      <c r="N46" s="215"/>
      <c r="O46" s="215"/>
      <c r="P46" s="96"/>
    </row>
    <row r="47" spans="1:16" ht="45.75" customHeight="1" thickBot="1" x14ac:dyDescent="0.25">
      <c r="A47" s="102" t="s">
        <v>191</v>
      </c>
      <c r="B47" s="212"/>
      <c r="C47" s="213"/>
      <c r="D47" s="213"/>
      <c r="E47" s="213"/>
      <c r="F47" s="213"/>
      <c r="G47" s="214"/>
      <c r="H47" s="215"/>
      <c r="I47" s="215"/>
      <c r="J47" s="215"/>
      <c r="K47" s="215"/>
      <c r="L47" s="215"/>
      <c r="M47" s="215"/>
      <c r="N47" s="215"/>
      <c r="O47" s="215"/>
      <c r="P47" s="96"/>
    </row>
    <row r="48" spans="1:16" ht="45.75" customHeight="1" thickBot="1" x14ac:dyDescent="0.25">
      <c r="A48" s="102" t="s">
        <v>192</v>
      </c>
      <c r="B48" s="212"/>
      <c r="C48" s="213"/>
      <c r="D48" s="213"/>
      <c r="E48" s="213"/>
      <c r="F48" s="213"/>
      <c r="G48" s="214"/>
      <c r="H48" s="215"/>
      <c r="I48" s="215"/>
      <c r="J48" s="215"/>
      <c r="K48" s="215"/>
      <c r="L48" s="215"/>
      <c r="M48" s="215"/>
      <c r="N48" s="215"/>
      <c r="O48" s="215"/>
      <c r="P48" s="96"/>
    </row>
    <row r="49" spans="1:16" ht="45.75" customHeight="1" thickBot="1" x14ac:dyDescent="0.25">
      <c r="A49" s="102" t="s">
        <v>193</v>
      </c>
      <c r="B49" s="212"/>
      <c r="C49" s="213"/>
      <c r="D49" s="213"/>
      <c r="E49" s="213"/>
      <c r="F49" s="213"/>
      <c r="G49" s="214"/>
      <c r="H49" s="215"/>
      <c r="I49" s="215"/>
      <c r="J49" s="215"/>
      <c r="K49" s="215"/>
      <c r="L49" s="215"/>
      <c r="M49" s="215"/>
      <c r="N49" s="215"/>
      <c r="O49" s="215"/>
      <c r="P49" s="96"/>
    </row>
    <row r="50" spans="1:16" ht="45.75" customHeight="1" thickBot="1" x14ac:dyDescent="0.25">
      <c r="A50" s="102" t="s">
        <v>194</v>
      </c>
      <c r="B50" s="212"/>
      <c r="C50" s="213"/>
      <c r="D50" s="213"/>
      <c r="E50" s="213"/>
      <c r="F50" s="213"/>
      <c r="G50" s="214"/>
      <c r="H50" s="215"/>
      <c r="I50" s="215"/>
      <c r="J50" s="215"/>
      <c r="K50" s="215"/>
      <c r="L50" s="215"/>
      <c r="M50" s="215"/>
      <c r="N50" s="215"/>
      <c r="O50" s="215"/>
      <c r="P50" s="96"/>
    </row>
  </sheetData>
  <mergeCells count="97">
    <mergeCell ref="B49:G49"/>
    <mergeCell ref="H49:K49"/>
    <mergeCell ref="L49:O49"/>
    <mergeCell ref="B50:G50"/>
    <mergeCell ref="H50:K50"/>
    <mergeCell ref="L50:O50"/>
    <mergeCell ref="B47:G47"/>
    <mergeCell ref="H47:K47"/>
    <mergeCell ref="L47:O47"/>
    <mergeCell ref="B48:G48"/>
    <mergeCell ref="H48:K48"/>
    <mergeCell ref="L48:O48"/>
    <mergeCell ref="B45:G45"/>
    <mergeCell ref="H45:K45"/>
    <mergeCell ref="L45:O45"/>
    <mergeCell ref="B46:G46"/>
    <mergeCell ref="H46:K46"/>
    <mergeCell ref="L46:O46"/>
    <mergeCell ref="B43:G43"/>
    <mergeCell ref="H43:K43"/>
    <mergeCell ref="L43:O43"/>
    <mergeCell ref="B44:G44"/>
    <mergeCell ref="H44:K44"/>
    <mergeCell ref="L44:O44"/>
    <mergeCell ref="B41:G41"/>
    <mergeCell ref="H41:K41"/>
    <mergeCell ref="L41:O41"/>
    <mergeCell ref="B42:G42"/>
    <mergeCell ref="H42:K42"/>
    <mergeCell ref="L42:O42"/>
    <mergeCell ref="B39:G39"/>
    <mergeCell ref="H39:K39"/>
    <mergeCell ref="L39:O39"/>
    <mergeCell ref="B40:G40"/>
    <mergeCell ref="H40:K40"/>
    <mergeCell ref="L40:O40"/>
    <mergeCell ref="B37:G37"/>
    <mergeCell ref="H37:K37"/>
    <mergeCell ref="L37:O37"/>
    <mergeCell ref="B38:G38"/>
    <mergeCell ref="H38:K38"/>
    <mergeCell ref="L38:O38"/>
    <mergeCell ref="B35:G35"/>
    <mergeCell ref="H35:K35"/>
    <mergeCell ref="L35:O35"/>
    <mergeCell ref="B36:G36"/>
    <mergeCell ref="H36:K36"/>
    <mergeCell ref="L36:O36"/>
    <mergeCell ref="B33:G33"/>
    <mergeCell ref="H33:K33"/>
    <mergeCell ref="L33:O33"/>
    <mergeCell ref="B34:G34"/>
    <mergeCell ref="H34:K34"/>
    <mergeCell ref="L34:O34"/>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B9:B10">
    <cfRule type="cellIs" dxfId="524" priority="33" operator="equal">
      <formula>"Nok"</formula>
    </cfRule>
    <cfRule type="cellIs" dxfId="523" priority="34" operator="equal">
      <formula>"Ok"</formula>
    </cfRule>
  </conditionalFormatting>
  <conditionalFormatting sqref="P22:P30">
    <cfRule type="cellIs" dxfId="522" priority="31" operator="equal">
      <formula>"Nok"</formula>
    </cfRule>
    <cfRule type="cellIs" dxfId="521" priority="32" operator="equal">
      <formula>"Ok"</formula>
    </cfRule>
  </conditionalFormatting>
  <conditionalFormatting sqref="P31:P35">
    <cfRule type="cellIs" dxfId="520" priority="29" operator="equal">
      <formula>"Nok"</formula>
    </cfRule>
    <cfRule type="cellIs" dxfId="519" priority="30" operator="equal">
      <formula>"Ok"</formula>
    </cfRule>
  </conditionalFormatting>
  <conditionalFormatting sqref="P36:P37">
    <cfRule type="cellIs" dxfId="518" priority="27" operator="equal">
      <formula>"Nok"</formula>
    </cfRule>
    <cfRule type="cellIs" dxfId="517" priority="28" operator="equal">
      <formula>"Ok"</formula>
    </cfRule>
  </conditionalFormatting>
  <conditionalFormatting sqref="P38">
    <cfRule type="cellIs" dxfId="516" priority="25" operator="equal">
      <formula>"Nok"</formula>
    </cfRule>
    <cfRule type="cellIs" dxfId="515" priority="26" operator="equal">
      <formula>"Ok"</formula>
    </cfRule>
  </conditionalFormatting>
  <conditionalFormatting sqref="P39">
    <cfRule type="cellIs" dxfId="514" priority="23" operator="equal">
      <formula>"Nok"</formula>
    </cfRule>
    <cfRule type="cellIs" dxfId="513" priority="24" operator="equal">
      <formula>"Ok"</formula>
    </cfRule>
  </conditionalFormatting>
  <conditionalFormatting sqref="P40">
    <cfRule type="cellIs" dxfId="512" priority="21" operator="equal">
      <formula>"Nok"</formula>
    </cfRule>
    <cfRule type="cellIs" dxfId="511" priority="22" operator="equal">
      <formula>"Ok"</formula>
    </cfRule>
  </conditionalFormatting>
  <conditionalFormatting sqref="P41">
    <cfRule type="cellIs" dxfId="510" priority="19" operator="equal">
      <formula>"Nok"</formula>
    </cfRule>
    <cfRule type="cellIs" dxfId="509" priority="20" operator="equal">
      <formula>"Ok"</formula>
    </cfRule>
  </conditionalFormatting>
  <conditionalFormatting sqref="P42">
    <cfRule type="cellIs" dxfId="508" priority="17" operator="equal">
      <formula>"Nok"</formula>
    </cfRule>
    <cfRule type="cellIs" dxfId="507" priority="18" operator="equal">
      <formula>"Ok"</formula>
    </cfRule>
  </conditionalFormatting>
  <conditionalFormatting sqref="P43">
    <cfRule type="cellIs" dxfId="506" priority="15" operator="equal">
      <formula>"Nok"</formula>
    </cfRule>
    <cfRule type="cellIs" dxfId="505" priority="16" operator="equal">
      <formula>"Ok"</formula>
    </cfRule>
  </conditionalFormatting>
  <conditionalFormatting sqref="P44">
    <cfRule type="cellIs" dxfId="504" priority="13" operator="equal">
      <formula>"Nok"</formula>
    </cfRule>
    <cfRule type="cellIs" dxfId="503" priority="14" operator="equal">
      <formula>"Ok"</formula>
    </cfRule>
  </conditionalFormatting>
  <conditionalFormatting sqref="P45">
    <cfRule type="cellIs" dxfId="502" priority="11" operator="equal">
      <formula>"Nok"</formula>
    </cfRule>
    <cfRule type="cellIs" dxfId="501" priority="12" operator="equal">
      <formula>"Ok"</formula>
    </cfRule>
  </conditionalFormatting>
  <conditionalFormatting sqref="P46">
    <cfRule type="cellIs" dxfId="500" priority="9" operator="equal">
      <formula>"Nok"</formula>
    </cfRule>
    <cfRule type="cellIs" dxfId="499" priority="10" operator="equal">
      <formula>"Ok"</formula>
    </cfRule>
  </conditionalFormatting>
  <conditionalFormatting sqref="P47">
    <cfRule type="cellIs" dxfId="498" priority="7" operator="equal">
      <formula>"Nok"</formula>
    </cfRule>
    <cfRule type="cellIs" dxfId="497" priority="8" operator="equal">
      <formula>"Ok"</formula>
    </cfRule>
  </conditionalFormatting>
  <conditionalFormatting sqref="P48">
    <cfRule type="cellIs" dxfId="496" priority="5" operator="equal">
      <formula>"Nok"</formula>
    </cfRule>
    <cfRule type="cellIs" dxfId="495" priority="6" operator="equal">
      <formula>"Ok"</formula>
    </cfRule>
  </conditionalFormatting>
  <conditionalFormatting sqref="P49">
    <cfRule type="cellIs" dxfId="494" priority="3" operator="equal">
      <formula>"Nok"</formula>
    </cfRule>
    <cfRule type="cellIs" dxfId="493" priority="4" operator="equal">
      <formula>"Ok"</formula>
    </cfRule>
  </conditionalFormatting>
  <conditionalFormatting sqref="P50">
    <cfRule type="cellIs" dxfId="492" priority="1" operator="equal">
      <formula>"Nok"</formula>
    </cfRule>
    <cfRule type="cellIs" dxfId="491" priority="2" operator="equal">
      <formula>"Ok"</formula>
    </cfRule>
  </conditionalFormatting>
  <dataValidations count="3">
    <dataValidation type="list" allowBlank="1" showInputMessage="1" showErrorMessage="1" sqref="B5">
      <formula1>"Nominal, Robustness, Endurance, Qualification"</formula1>
    </dataValidation>
    <dataValidation type="list" allowBlank="1" showInputMessage="1" showErrorMessage="1" sqref="B9">
      <formula1>"Ok, Nok, Not run, NA"</formula1>
    </dataValidation>
    <dataValidation type="list" allowBlank="1" showInputMessage="1" showErrorMessage="1" sqref="P22:P50">
      <formula1>"Ok, Nok, Not run, ,"</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workbookViewId="0">
      <selection activeCell="I9" sqref="I9"/>
    </sheetView>
  </sheetViews>
  <sheetFormatPr defaultRowHeight="12.75" x14ac:dyDescent="0.2"/>
  <cols>
    <col min="1" max="1" width="20.140625" style="97" customWidth="1"/>
    <col min="2" max="2" width="18.42578125" style="93" customWidth="1"/>
    <col min="3" max="7" width="9.140625" style="93"/>
    <col min="8" max="15" width="9.5703125" style="93" customWidth="1"/>
    <col min="16" max="16384" width="9.140625" style="93"/>
  </cols>
  <sheetData>
    <row r="1" spans="1:15" ht="13.5" thickBot="1" x14ac:dyDescent="0.25">
      <c r="A1" s="98" t="s">
        <v>41</v>
      </c>
      <c r="B1" s="234" t="s">
        <v>352</v>
      </c>
      <c r="C1" s="235"/>
      <c r="D1" s="235"/>
      <c r="E1" s="235"/>
      <c r="F1" s="235"/>
      <c r="G1" s="236"/>
      <c r="H1" s="73"/>
      <c r="I1" s="73"/>
      <c r="J1" s="73"/>
      <c r="K1" s="73"/>
      <c r="L1" s="73"/>
      <c r="M1" s="73"/>
      <c r="N1" s="73"/>
      <c r="O1" s="73"/>
    </row>
    <row r="2" spans="1:15" ht="13.5" thickBot="1" x14ac:dyDescent="0.25">
      <c r="A2" s="71"/>
      <c r="B2" s="72"/>
      <c r="C2" s="72"/>
      <c r="D2" s="73"/>
      <c r="E2" s="73"/>
      <c r="F2" s="73"/>
      <c r="G2" s="73"/>
      <c r="H2" s="73"/>
      <c r="I2" s="73"/>
      <c r="J2" s="73"/>
      <c r="K2" s="73"/>
      <c r="L2" s="73"/>
      <c r="M2" s="73"/>
      <c r="N2" s="73"/>
      <c r="O2" s="73"/>
    </row>
    <row r="3" spans="1:15" ht="61.5" customHeight="1" thickBot="1" x14ac:dyDescent="0.25">
      <c r="A3" s="99" t="s">
        <v>46</v>
      </c>
      <c r="B3" s="237" t="s">
        <v>357</v>
      </c>
      <c r="C3" s="238"/>
      <c r="D3" s="238"/>
      <c r="E3" s="238"/>
      <c r="F3" s="238"/>
      <c r="G3" s="239"/>
      <c r="H3" s="73"/>
      <c r="I3" s="73"/>
      <c r="J3" s="73"/>
      <c r="K3" s="73"/>
      <c r="L3" s="73"/>
      <c r="M3" s="73"/>
      <c r="N3" s="73"/>
      <c r="O3" s="73"/>
    </row>
    <row r="4" spans="1:15" ht="13.5" thickBot="1" x14ac:dyDescent="0.25">
      <c r="A4" s="71"/>
      <c r="B4" s="72"/>
      <c r="C4" s="72"/>
      <c r="D4" s="73"/>
      <c r="E4" s="73"/>
      <c r="F4" s="73"/>
      <c r="G4" s="73"/>
      <c r="H4" s="73"/>
      <c r="I4" s="73"/>
      <c r="J4" s="73"/>
      <c r="K4" s="73"/>
      <c r="L4" s="73"/>
      <c r="M4" s="73"/>
      <c r="N4" s="73"/>
      <c r="O4" s="73"/>
    </row>
    <row r="5" spans="1:15" ht="13.5" thickBot="1" x14ac:dyDescent="0.25">
      <c r="A5" s="98" t="s">
        <v>111</v>
      </c>
      <c r="B5" s="76" t="s">
        <v>142</v>
      </c>
      <c r="C5" s="72"/>
      <c r="D5" s="73"/>
      <c r="E5" s="73"/>
      <c r="F5" s="73"/>
      <c r="G5" s="73"/>
      <c r="H5" s="73"/>
      <c r="I5" s="73"/>
      <c r="J5" s="73"/>
      <c r="K5" s="73"/>
      <c r="L5" s="73"/>
      <c r="M5" s="73"/>
      <c r="N5" s="73"/>
      <c r="O5" s="73"/>
    </row>
    <row r="6" spans="1:15" ht="13.5" thickBot="1" x14ac:dyDescent="0.25">
      <c r="A6" s="71"/>
      <c r="B6" s="72"/>
      <c r="C6" s="72"/>
      <c r="D6" s="73"/>
      <c r="E6" s="73"/>
      <c r="F6" s="73"/>
      <c r="G6" s="73"/>
      <c r="H6" s="73"/>
      <c r="I6" s="73"/>
      <c r="J6" s="73"/>
      <c r="K6" s="73"/>
      <c r="L6" s="73"/>
      <c r="M6" s="73"/>
      <c r="N6" s="73"/>
      <c r="O6" s="73"/>
    </row>
    <row r="7" spans="1:15" ht="30.75" customHeight="1" thickBot="1" x14ac:dyDescent="0.25">
      <c r="A7" s="98" t="s">
        <v>42</v>
      </c>
      <c r="B7" s="237" t="s">
        <v>353</v>
      </c>
      <c r="C7" s="238"/>
      <c r="D7" s="238"/>
      <c r="E7" s="238"/>
      <c r="F7" s="238"/>
      <c r="G7" s="239"/>
      <c r="H7" s="73"/>
      <c r="I7" s="73"/>
      <c r="J7" s="73"/>
      <c r="K7" s="73"/>
      <c r="L7" s="73"/>
      <c r="M7" s="73"/>
      <c r="N7" s="73"/>
      <c r="O7" s="73"/>
    </row>
    <row r="8" spans="1:15" ht="13.5" thickBot="1" x14ac:dyDescent="0.25">
      <c r="A8" s="75"/>
      <c r="B8" s="74"/>
      <c r="C8" s="74"/>
      <c r="D8" s="74"/>
      <c r="E8" s="74"/>
      <c r="F8" s="74"/>
      <c r="G8" s="74"/>
      <c r="H8" s="73"/>
      <c r="I8" s="73"/>
      <c r="J8" s="73"/>
      <c r="K8" s="73"/>
      <c r="L8" s="73"/>
      <c r="M8" s="73"/>
      <c r="N8" s="73"/>
      <c r="O8" s="73"/>
    </row>
    <row r="9" spans="1:15" ht="13.5" thickBot="1" x14ac:dyDescent="0.25">
      <c r="A9" s="98" t="s">
        <v>43</v>
      </c>
      <c r="B9" s="103" t="s">
        <v>144</v>
      </c>
      <c r="C9" s="72"/>
      <c r="D9" s="73"/>
      <c r="E9" s="73"/>
      <c r="F9" s="73"/>
      <c r="G9" s="73"/>
      <c r="H9" s="73"/>
      <c r="I9" s="73"/>
      <c r="J9" s="73"/>
      <c r="K9" s="73"/>
      <c r="L9" s="73"/>
      <c r="M9" s="73"/>
      <c r="N9" s="73"/>
      <c r="O9" s="73"/>
    </row>
    <row r="10" spans="1:15" ht="13.5" thickBot="1" x14ac:dyDescent="0.25">
      <c r="A10" s="75"/>
      <c r="B10" s="94"/>
      <c r="C10" s="72"/>
      <c r="D10" s="73"/>
      <c r="E10" s="73"/>
      <c r="F10" s="73"/>
      <c r="G10" s="73"/>
      <c r="H10" s="73"/>
      <c r="I10" s="73"/>
      <c r="J10" s="73"/>
      <c r="K10" s="73"/>
      <c r="L10" s="73"/>
      <c r="M10" s="73"/>
      <c r="N10" s="73"/>
      <c r="O10" s="73"/>
    </row>
    <row r="11" spans="1:15" ht="12" customHeight="1" x14ac:dyDescent="0.2">
      <c r="A11" s="223" t="s">
        <v>113</v>
      </c>
      <c r="B11" s="225"/>
      <c r="C11" s="226"/>
      <c r="D11" s="226"/>
      <c r="E11" s="226"/>
      <c r="F11" s="226"/>
      <c r="G11" s="227"/>
      <c r="H11" s="73"/>
      <c r="I11" s="73"/>
      <c r="J11" s="73"/>
      <c r="K11" s="73"/>
      <c r="L11" s="73"/>
      <c r="M11" s="73"/>
      <c r="N11" s="73"/>
      <c r="O11" s="73"/>
    </row>
    <row r="12" spans="1:15" x14ac:dyDescent="0.2">
      <c r="A12" s="224"/>
      <c r="B12" s="228"/>
      <c r="C12" s="229"/>
      <c r="D12" s="229"/>
      <c r="E12" s="229"/>
      <c r="F12" s="229"/>
      <c r="G12" s="230"/>
      <c r="H12" s="73"/>
      <c r="I12" s="73"/>
      <c r="J12" s="73"/>
      <c r="K12" s="73"/>
      <c r="L12" s="73"/>
      <c r="M12" s="73"/>
      <c r="N12" s="73"/>
      <c r="O12" s="73"/>
    </row>
    <row r="13" spans="1:15" x14ac:dyDescent="0.2">
      <c r="A13" s="224"/>
      <c r="B13" s="228"/>
      <c r="C13" s="229"/>
      <c r="D13" s="229"/>
      <c r="E13" s="229"/>
      <c r="F13" s="229"/>
      <c r="G13" s="230"/>
      <c r="H13" s="71"/>
      <c r="I13" s="73"/>
      <c r="J13" s="73"/>
      <c r="K13" s="73"/>
      <c r="L13" s="73"/>
      <c r="M13" s="73"/>
      <c r="N13" s="73"/>
      <c r="O13" s="73"/>
    </row>
    <row r="14" spans="1:15" ht="13.5" thickBot="1" x14ac:dyDescent="0.25">
      <c r="A14" s="224"/>
      <c r="B14" s="231"/>
      <c r="C14" s="232"/>
      <c r="D14" s="232"/>
      <c r="E14" s="232"/>
      <c r="F14" s="232"/>
      <c r="G14" s="233"/>
      <c r="H14" s="77"/>
      <c r="I14" s="73"/>
      <c r="J14" s="73"/>
      <c r="K14" s="73"/>
      <c r="L14" s="73"/>
      <c r="M14" s="73"/>
      <c r="N14" s="73"/>
      <c r="O14" s="73"/>
    </row>
    <row r="15" spans="1:15" ht="13.5" thickBot="1" x14ac:dyDescent="0.25">
      <c r="A15" s="71"/>
      <c r="B15" s="71"/>
      <c r="C15" s="71"/>
      <c r="D15" s="71"/>
      <c r="E15" s="71"/>
      <c r="F15" s="71"/>
      <c r="G15" s="71"/>
      <c r="H15" s="77"/>
      <c r="I15" s="73"/>
      <c r="J15" s="73"/>
      <c r="K15" s="73"/>
      <c r="L15" s="73"/>
      <c r="M15" s="73"/>
      <c r="N15" s="73"/>
      <c r="O15" s="73"/>
    </row>
    <row r="16" spans="1:15" x14ac:dyDescent="0.2">
      <c r="A16" s="223" t="s">
        <v>44</v>
      </c>
      <c r="B16" s="225"/>
      <c r="C16" s="226"/>
      <c r="D16" s="226"/>
      <c r="E16" s="226"/>
      <c r="F16" s="226"/>
      <c r="G16" s="227"/>
      <c r="H16" s="73"/>
      <c r="I16" s="73"/>
      <c r="J16" s="73"/>
      <c r="K16" s="73"/>
      <c r="L16" s="73"/>
      <c r="M16" s="73"/>
      <c r="N16" s="73"/>
      <c r="O16" s="73"/>
    </row>
    <row r="17" spans="1:16" x14ac:dyDescent="0.2">
      <c r="A17" s="224"/>
      <c r="B17" s="228"/>
      <c r="C17" s="229"/>
      <c r="D17" s="229"/>
      <c r="E17" s="229"/>
      <c r="F17" s="229"/>
      <c r="G17" s="230"/>
      <c r="H17" s="73"/>
      <c r="I17" s="73"/>
      <c r="J17" s="73"/>
      <c r="K17" s="73"/>
      <c r="L17" s="73"/>
      <c r="M17" s="73"/>
      <c r="N17" s="73"/>
      <c r="O17" s="73"/>
    </row>
    <row r="18" spans="1:16" x14ac:dyDescent="0.2">
      <c r="A18" s="224"/>
      <c r="B18" s="228"/>
      <c r="C18" s="229"/>
      <c r="D18" s="229"/>
      <c r="E18" s="229"/>
      <c r="F18" s="229"/>
      <c r="G18" s="230"/>
      <c r="H18" s="71"/>
      <c r="I18" s="73"/>
      <c r="J18" s="73"/>
      <c r="K18" s="73"/>
      <c r="L18" s="73"/>
      <c r="M18" s="73"/>
      <c r="N18" s="73"/>
      <c r="O18" s="73"/>
    </row>
    <row r="19" spans="1:16" ht="13.5" thickBot="1" x14ac:dyDescent="0.25">
      <c r="A19" s="224"/>
      <c r="B19" s="231"/>
      <c r="C19" s="232"/>
      <c r="D19" s="232"/>
      <c r="E19" s="232"/>
      <c r="F19" s="232"/>
      <c r="G19" s="233"/>
      <c r="H19" s="77"/>
      <c r="I19" s="73"/>
      <c r="J19" s="73"/>
      <c r="K19" s="73"/>
      <c r="L19" s="73"/>
      <c r="M19" s="73"/>
      <c r="N19" s="73"/>
      <c r="O19" s="73"/>
    </row>
    <row r="20" spans="1:16" ht="13.5" thickBot="1" x14ac:dyDescent="0.25">
      <c r="A20" s="71"/>
      <c r="B20" s="71"/>
      <c r="C20" s="71"/>
      <c r="D20" s="71"/>
      <c r="E20" s="71"/>
      <c r="F20" s="71"/>
      <c r="G20" s="71"/>
      <c r="H20" s="77"/>
      <c r="I20" s="73"/>
      <c r="J20" s="73"/>
      <c r="K20" s="73"/>
      <c r="L20" s="73"/>
      <c r="M20" s="73"/>
      <c r="N20" s="73"/>
      <c r="O20" s="73"/>
    </row>
    <row r="21" spans="1:16" ht="12.75" customHeight="1" x14ac:dyDescent="0.2">
      <c r="A21" s="220" t="s">
        <v>48</v>
      </c>
      <c r="B21" s="221"/>
      <c r="C21" s="221"/>
      <c r="D21" s="221"/>
      <c r="E21" s="221"/>
      <c r="F21" s="221"/>
      <c r="G21" s="222"/>
      <c r="H21" s="220" t="s">
        <v>49</v>
      </c>
      <c r="I21" s="221"/>
      <c r="J21" s="221"/>
      <c r="K21" s="222"/>
      <c r="L21" s="220" t="s">
        <v>60</v>
      </c>
      <c r="M21" s="221"/>
      <c r="N21" s="221"/>
      <c r="O21" s="222"/>
      <c r="P21" s="100" t="s">
        <v>47</v>
      </c>
    </row>
    <row r="22" spans="1:16" ht="88.5" customHeight="1" thickBot="1" x14ac:dyDescent="0.25">
      <c r="A22" s="101" t="s">
        <v>50</v>
      </c>
      <c r="B22" s="212" t="s">
        <v>354</v>
      </c>
      <c r="C22" s="213"/>
      <c r="D22" s="213"/>
      <c r="E22" s="213"/>
      <c r="F22" s="213"/>
      <c r="G22" s="214"/>
      <c r="H22" s="216"/>
      <c r="I22" s="216"/>
      <c r="J22" s="216"/>
      <c r="K22" s="216"/>
      <c r="L22" s="216" t="s">
        <v>356</v>
      </c>
      <c r="M22" s="216"/>
      <c r="N22" s="216"/>
      <c r="O22" s="216"/>
      <c r="P22" s="95" t="s">
        <v>144</v>
      </c>
    </row>
    <row r="23" spans="1:16" ht="73.5" customHeight="1" thickBot="1" x14ac:dyDescent="0.25">
      <c r="A23" s="101" t="s">
        <v>51</v>
      </c>
      <c r="B23" s="212" t="s">
        <v>355</v>
      </c>
      <c r="C23" s="213"/>
      <c r="D23" s="213"/>
      <c r="E23" s="213"/>
      <c r="F23" s="213"/>
      <c r="G23" s="214"/>
      <c r="H23" s="216"/>
      <c r="I23" s="216"/>
      <c r="J23" s="216"/>
      <c r="K23" s="216"/>
      <c r="L23" s="216" t="s">
        <v>356</v>
      </c>
      <c r="M23" s="216"/>
      <c r="N23" s="216"/>
      <c r="O23" s="216"/>
      <c r="P23" s="95" t="s">
        <v>144</v>
      </c>
    </row>
    <row r="24" spans="1:16" ht="73.5" customHeight="1" thickBot="1" x14ac:dyDescent="0.25">
      <c r="A24" s="101" t="s">
        <v>52</v>
      </c>
      <c r="B24" s="212"/>
      <c r="C24" s="213"/>
      <c r="D24" s="213"/>
      <c r="E24" s="213"/>
      <c r="F24" s="213"/>
      <c r="G24" s="214"/>
      <c r="H24" s="216"/>
      <c r="I24" s="216"/>
      <c r="J24" s="216"/>
      <c r="K24" s="216"/>
      <c r="L24" s="216"/>
      <c r="M24" s="216"/>
      <c r="N24" s="216"/>
      <c r="O24" s="216"/>
      <c r="P24" s="95"/>
    </row>
    <row r="25" spans="1:16" ht="72.75" customHeight="1" thickBot="1" x14ac:dyDescent="0.25">
      <c r="A25" s="101" t="s">
        <v>53</v>
      </c>
      <c r="B25" s="212"/>
      <c r="C25" s="213"/>
      <c r="D25" s="213"/>
      <c r="E25" s="213"/>
      <c r="F25" s="213"/>
      <c r="G25" s="214"/>
      <c r="H25" s="216"/>
      <c r="I25" s="216"/>
      <c r="J25" s="216"/>
      <c r="K25" s="216"/>
      <c r="L25" s="216"/>
      <c r="M25" s="216"/>
      <c r="N25" s="216"/>
      <c r="O25" s="216"/>
      <c r="P25" s="95"/>
    </row>
    <row r="26" spans="1:16" ht="104.25" customHeight="1" thickBot="1" x14ac:dyDescent="0.25">
      <c r="A26" s="101" t="s">
        <v>54</v>
      </c>
      <c r="B26" s="212"/>
      <c r="C26" s="213"/>
      <c r="D26" s="213"/>
      <c r="E26" s="213"/>
      <c r="F26" s="213"/>
      <c r="G26" s="214"/>
      <c r="H26" s="216"/>
      <c r="I26" s="216"/>
      <c r="J26" s="216"/>
      <c r="K26" s="216"/>
      <c r="L26" s="216"/>
      <c r="M26" s="216"/>
      <c r="N26" s="216"/>
      <c r="O26" s="216"/>
      <c r="P26" s="95"/>
    </row>
    <row r="27" spans="1:16" ht="29.25" customHeight="1" x14ac:dyDescent="0.2">
      <c r="A27" s="101" t="s">
        <v>55</v>
      </c>
      <c r="B27" s="217"/>
      <c r="C27" s="218"/>
      <c r="D27" s="218"/>
      <c r="E27" s="218"/>
      <c r="F27" s="218"/>
      <c r="G27" s="219"/>
      <c r="H27" s="216"/>
      <c r="I27" s="216"/>
      <c r="J27" s="216"/>
      <c r="K27" s="216"/>
      <c r="L27" s="216"/>
      <c r="M27" s="216"/>
      <c r="N27" s="216"/>
      <c r="O27" s="216"/>
      <c r="P27" s="95"/>
    </row>
    <row r="28" spans="1:16" ht="29.25" customHeight="1" x14ac:dyDescent="0.2">
      <c r="A28" s="101" t="s">
        <v>56</v>
      </c>
      <c r="B28" s="217"/>
      <c r="C28" s="218"/>
      <c r="D28" s="218"/>
      <c r="E28" s="218"/>
      <c r="F28" s="218"/>
      <c r="G28" s="219"/>
      <c r="H28" s="216"/>
      <c r="I28" s="216"/>
      <c r="J28" s="216"/>
      <c r="K28" s="216"/>
      <c r="L28" s="216"/>
      <c r="M28" s="216"/>
      <c r="N28" s="216"/>
      <c r="O28" s="216"/>
      <c r="P28" s="95"/>
    </row>
    <row r="29" spans="1:16" ht="29.25" customHeight="1" x14ac:dyDescent="0.2">
      <c r="A29" s="101" t="s">
        <v>57</v>
      </c>
      <c r="B29" s="217"/>
      <c r="C29" s="218"/>
      <c r="D29" s="218"/>
      <c r="E29" s="218"/>
      <c r="F29" s="218"/>
      <c r="G29" s="219"/>
      <c r="H29" s="216"/>
      <c r="I29" s="216"/>
      <c r="J29" s="216"/>
      <c r="K29" s="216"/>
      <c r="L29" s="216"/>
      <c r="M29" s="216"/>
      <c r="N29" s="216"/>
      <c r="O29" s="216"/>
      <c r="P29" s="95"/>
    </row>
    <row r="30" spans="1:16" ht="45.75" customHeight="1" thickBot="1" x14ac:dyDescent="0.25">
      <c r="A30" s="102" t="s">
        <v>58</v>
      </c>
      <c r="B30" s="212"/>
      <c r="C30" s="213"/>
      <c r="D30" s="213"/>
      <c r="E30" s="213"/>
      <c r="F30" s="213"/>
      <c r="G30" s="214"/>
      <c r="H30" s="215"/>
      <c r="I30" s="215"/>
      <c r="J30" s="215"/>
      <c r="K30" s="215"/>
      <c r="L30" s="215"/>
      <c r="M30" s="215"/>
      <c r="N30" s="215"/>
      <c r="O30" s="215"/>
      <c r="P30" s="96"/>
    </row>
    <row r="31" spans="1:16" ht="29.25" customHeight="1" thickBot="1" x14ac:dyDescent="0.25">
      <c r="A31" s="102" t="s">
        <v>145</v>
      </c>
      <c r="B31" s="217"/>
      <c r="C31" s="218"/>
      <c r="D31" s="218"/>
      <c r="E31" s="218"/>
      <c r="F31" s="218"/>
      <c r="G31" s="219"/>
      <c r="H31" s="216"/>
      <c r="I31" s="216"/>
      <c r="J31" s="216"/>
      <c r="K31" s="216"/>
      <c r="L31" s="216"/>
      <c r="M31" s="216"/>
      <c r="N31" s="216"/>
      <c r="O31" s="216"/>
      <c r="P31" s="95"/>
    </row>
    <row r="32" spans="1:16" ht="55.5" customHeight="1" thickBot="1" x14ac:dyDescent="0.25">
      <c r="A32" s="102" t="s">
        <v>146</v>
      </c>
      <c r="B32" s="217"/>
      <c r="C32" s="218"/>
      <c r="D32" s="218"/>
      <c r="E32" s="218"/>
      <c r="F32" s="218"/>
      <c r="G32" s="219"/>
      <c r="H32" s="216"/>
      <c r="I32" s="216"/>
      <c r="J32" s="216"/>
      <c r="K32" s="216"/>
      <c r="L32" s="216"/>
      <c r="M32" s="216"/>
      <c r="N32" s="216"/>
      <c r="O32" s="216"/>
      <c r="P32" s="95"/>
    </row>
    <row r="33" spans="1:16" ht="45.75" customHeight="1" thickBot="1" x14ac:dyDescent="0.25">
      <c r="A33" s="102" t="s">
        <v>147</v>
      </c>
      <c r="B33" s="212"/>
      <c r="C33" s="213"/>
      <c r="D33" s="213"/>
      <c r="E33" s="213"/>
      <c r="F33" s="213"/>
      <c r="G33" s="214"/>
      <c r="H33" s="215"/>
      <c r="I33" s="215"/>
      <c r="J33" s="215"/>
      <c r="K33" s="215"/>
      <c r="L33" s="215"/>
      <c r="M33" s="215"/>
      <c r="N33" s="215"/>
      <c r="O33" s="215"/>
      <c r="P33" s="95"/>
    </row>
    <row r="34" spans="1:16" ht="45.75" customHeight="1" thickBot="1" x14ac:dyDescent="0.25">
      <c r="A34" s="102" t="s">
        <v>148</v>
      </c>
      <c r="B34" s="217"/>
      <c r="C34" s="218"/>
      <c r="D34" s="218"/>
      <c r="E34" s="218"/>
      <c r="F34" s="218"/>
      <c r="G34" s="219"/>
      <c r="H34" s="216"/>
      <c r="I34" s="216"/>
      <c r="J34" s="216"/>
      <c r="K34" s="216"/>
      <c r="L34" s="216"/>
      <c r="M34" s="216"/>
      <c r="N34" s="216"/>
      <c r="O34" s="216"/>
      <c r="P34" s="95"/>
    </row>
    <row r="35" spans="1:16" ht="48" customHeight="1" thickBot="1" x14ac:dyDescent="0.25">
      <c r="A35" s="102" t="s">
        <v>149</v>
      </c>
      <c r="B35" s="217"/>
      <c r="C35" s="218"/>
      <c r="D35" s="218"/>
      <c r="E35" s="218"/>
      <c r="F35" s="218"/>
      <c r="G35" s="219"/>
      <c r="H35" s="216"/>
      <c r="I35" s="216"/>
      <c r="J35" s="216"/>
      <c r="K35" s="216"/>
      <c r="L35" s="216"/>
      <c r="M35" s="216"/>
      <c r="N35" s="216"/>
      <c r="O35" s="216"/>
      <c r="P35" s="95"/>
    </row>
    <row r="36" spans="1:16" ht="45.75" customHeight="1" thickBot="1" x14ac:dyDescent="0.25">
      <c r="A36" s="102" t="s">
        <v>150</v>
      </c>
      <c r="B36" s="212"/>
      <c r="C36" s="213"/>
      <c r="D36" s="213"/>
      <c r="E36" s="213"/>
      <c r="F36" s="213"/>
      <c r="G36" s="214"/>
      <c r="H36" s="215"/>
      <c r="I36" s="215"/>
      <c r="J36" s="215"/>
      <c r="K36" s="215"/>
      <c r="L36" s="216"/>
      <c r="M36" s="216"/>
      <c r="N36" s="216"/>
      <c r="O36" s="216"/>
      <c r="P36" s="96"/>
    </row>
    <row r="37" spans="1:16" ht="66" customHeight="1" thickBot="1" x14ac:dyDescent="0.25">
      <c r="A37" s="102" t="s">
        <v>151</v>
      </c>
      <c r="B37" s="212"/>
      <c r="C37" s="213"/>
      <c r="D37" s="213"/>
      <c r="E37" s="213"/>
      <c r="F37" s="213"/>
      <c r="G37" s="214"/>
      <c r="H37" s="215"/>
      <c r="I37" s="215"/>
      <c r="J37" s="215"/>
      <c r="K37" s="215"/>
      <c r="L37" s="216"/>
      <c r="M37" s="216"/>
      <c r="N37" s="216"/>
      <c r="O37" s="216"/>
      <c r="P37" s="96"/>
    </row>
    <row r="38" spans="1:16" ht="45.75" customHeight="1" thickBot="1" x14ac:dyDescent="0.25">
      <c r="A38" s="102" t="s">
        <v>152</v>
      </c>
      <c r="B38" s="212"/>
      <c r="C38" s="213"/>
      <c r="D38" s="213"/>
      <c r="E38" s="213"/>
      <c r="F38" s="213"/>
      <c r="G38" s="214"/>
      <c r="H38" s="215"/>
      <c r="I38" s="215"/>
      <c r="J38" s="215"/>
      <c r="K38" s="215"/>
      <c r="L38" s="215"/>
      <c r="M38" s="215"/>
      <c r="N38" s="215"/>
      <c r="O38" s="215"/>
      <c r="P38" s="96"/>
    </row>
    <row r="39" spans="1:16" ht="45.75" customHeight="1" thickBot="1" x14ac:dyDescent="0.25">
      <c r="A39" s="102" t="s">
        <v>153</v>
      </c>
      <c r="B39" s="212"/>
      <c r="C39" s="213"/>
      <c r="D39" s="213"/>
      <c r="E39" s="213"/>
      <c r="F39" s="213"/>
      <c r="G39" s="214"/>
      <c r="H39" s="215"/>
      <c r="I39" s="215"/>
      <c r="J39" s="215"/>
      <c r="K39" s="215"/>
      <c r="L39" s="215"/>
      <c r="M39" s="215"/>
      <c r="N39" s="215"/>
      <c r="O39" s="215"/>
      <c r="P39" s="96"/>
    </row>
    <row r="40" spans="1:16" ht="45.75" customHeight="1" thickBot="1" x14ac:dyDescent="0.25">
      <c r="A40" s="102" t="s">
        <v>184</v>
      </c>
      <c r="B40" s="212"/>
      <c r="C40" s="213"/>
      <c r="D40" s="213"/>
      <c r="E40" s="213"/>
      <c r="F40" s="213"/>
      <c r="G40" s="214"/>
      <c r="H40" s="215"/>
      <c r="I40" s="215"/>
      <c r="J40" s="215"/>
      <c r="K40" s="215"/>
      <c r="L40" s="215"/>
      <c r="M40" s="215"/>
      <c r="N40" s="215"/>
      <c r="O40" s="215"/>
      <c r="P40" s="96"/>
    </row>
    <row r="41" spans="1:16" ht="45.75" customHeight="1" thickBot="1" x14ac:dyDescent="0.25">
      <c r="A41" s="102" t="s">
        <v>185</v>
      </c>
      <c r="B41" s="212"/>
      <c r="C41" s="213"/>
      <c r="D41" s="213"/>
      <c r="E41" s="213"/>
      <c r="F41" s="213"/>
      <c r="G41" s="214"/>
      <c r="H41" s="215"/>
      <c r="I41" s="215"/>
      <c r="J41" s="215"/>
      <c r="K41" s="215"/>
      <c r="L41" s="215"/>
      <c r="M41" s="215"/>
      <c r="N41" s="215"/>
      <c r="O41" s="215"/>
      <c r="P41" s="96"/>
    </row>
    <row r="42" spans="1:16" ht="45.75" customHeight="1" thickBot="1" x14ac:dyDescent="0.25">
      <c r="A42" s="102" t="s">
        <v>186</v>
      </c>
      <c r="B42" s="212"/>
      <c r="C42" s="213"/>
      <c r="D42" s="213"/>
      <c r="E42" s="213"/>
      <c r="F42" s="213"/>
      <c r="G42" s="214"/>
      <c r="H42" s="215"/>
      <c r="I42" s="215"/>
      <c r="J42" s="215"/>
      <c r="K42" s="215"/>
      <c r="L42" s="215"/>
      <c r="M42" s="215"/>
      <c r="N42" s="215"/>
      <c r="O42" s="215"/>
      <c r="P42" s="96"/>
    </row>
    <row r="43" spans="1:16" ht="45.75" customHeight="1" thickBot="1" x14ac:dyDescent="0.25">
      <c r="A43" s="102" t="s">
        <v>187</v>
      </c>
      <c r="B43" s="212"/>
      <c r="C43" s="213"/>
      <c r="D43" s="213"/>
      <c r="E43" s="213"/>
      <c r="F43" s="213"/>
      <c r="G43" s="214"/>
      <c r="H43" s="215"/>
      <c r="I43" s="215"/>
      <c r="J43" s="215"/>
      <c r="K43" s="215"/>
      <c r="L43" s="215"/>
      <c r="M43" s="215"/>
      <c r="N43" s="215"/>
      <c r="O43" s="215"/>
      <c r="P43" s="96"/>
    </row>
    <row r="44" spans="1:16" ht="45.75" customHeight="1" thickBot="1" x14ac:dyDescent="0.25">
      <c r="A44" s="102" t="s">
        <v>188</v>
      </c>
      <c r="B44" s="212"/>
      <c r="C44" s="213"/>
      <c r="D44" s="213"/>
      <c r="E44" s="213"/>
      <c r="F44" s="213"/>
      <c r="G44" s="214"/>
      <c r="H44" s="215"/>
      <c r="I44" s="215"/>
      <c r="J44" s="215"/>
      <c r="K44" s="215"/>
      <c r="L44" s="215"/>
      <c r="M44" s="215"/>
      <c r="N44" s="215"/>
      <c r="O44" s="215"/>
      <c r="P44" s="96"/>
    </row>
    <row r="45" spans="1:16" ht="45.75" customHeight="1" thickBot="1" x14ac:dyDescent="0.25">
      <c r="A45" s="102" t="s">
        <v>189</v>
      </c>
      <c r="B45" s="212"/>
      <c r="C45" s="213"/>
      <c r="D45" s="213"/>
      <c r="E45" s="213"/>
      <c r="F45" s="213"/>
      <c r="G45" s="214"/>
      <c r="H45" s="215"/>
      <c r="I45" s="215"/>
      <c r="J45" s="215"/>
      <c r="K45" s="215"/>
      <c r="L45" s="215"/>
      <c r="M45" s="215"/>
      <c r="N45" s="215"/>
      <c r="O45" s="215"/>
      <c r="P45" s="96"/>
    </row>
    <row r="46" spans="1:16" ht="45.75" customHeight="1" thickBot="1" x14ac:dyDescent="0.25">
      <c r="A46" s="102" t="s">
        <v>190</v>
      </c>
      <c r="B46" s="212"/>
      <c r="C46" s="213"/>
      <c r="D46" s="213"/>
      <c r="E46" s="213"/>
      <c r="F46" s="213"/>
      <c r="G46" s="214"/>
      <c r="H46" s="215"/>
      <c r="I46" s="215"/>
      <c r="J46" s="215"/>
      <c r="K46" s="215"/>
      <c r="L46" s="215"/>
      <c r="M46" s="215"/>
      <c r="N46" s="215"/>
      <c r="O46" s="215"/>
      <c r="P46" s="96"/>
    </row>
    <row r="47" spans="1:16" ht="45.75" customHeight="1" thickBot="1" x14ac:dyDescent="0.25">
      <c r="A47" s="102" t="s">
        <v>191</v>
      </c>
      <c r="B47" s="212"/>
      <c r="C47" s="213"/>
      <c r="D47" s="213"/>
      <c r="E47" s="213"/>
      <c r="F47" s="213"/>
      <c r="G47" s="214"/>
      <c r="H47" s="215"/>
      <c r="I47" s="215"/>
      <c r="J47" s="215"/>
      <c r="K47" s="215"/>
      <c r="L47" s="215"/>
      <c r="M47" s="215"/>
      <c r="N47" s="215"/>
      <c r="O47" s="215"/>
      <c r="P47" s="96"/>
    </row>
    <row r="48" spans="1:16" ht="45.75" customHeight="1" thickBot="1" x14ac:dyDescent="0.25">
      <c r="A48" s="102" t="s">
        <v>192</v>
      </c>
      <c r="B48" s="212"/>
      <c r="C48" s="213"/>
      <c r="D48" s="213"/>
      <c r="E48" s="213"/>
      <c r="F48" s="213"/>
      <c r="G48" s="214"/>
      <c r="H48" s="215"/>
      <c r="I48" s="215"/>
      <c r="J48" s="215"/>
      <c r="K48" s="215"/>
      <c r="L48" s="215"/>
      <c r="M48" s="215"/>
      <c r="N48" s="215"/>
      <c r="O48" s="215"/>
      <c r="P48" s="96"/>
    </row>
    <row r="49" spans="1:16" ht="45.75" customHeight="1" thickBot="1" x14ac:dyDescent="0.25">
      <c r="A49" s="102" t="s">
        <v>193</v>
      </c>
      <c r="B49" s="212"/>
      <c r="C49" s="213"/>
      <c r="D49" s="213"/>
      <c r="E49" s="213"/>
      <c r="F49" s="213"/>
      <c r="G49" s="214"/>
      <c r="H49" s="215"/>
      <c r="I49" s="215"/>
      <c r="J49" s="215"/>
      <c r="K49" s="215"/>
      <c r="L49" s="215"/>
      <c r="M49" s="215"/>
      <c r="N49" s="215"/>
      <c r="O49" s="215"/>
      <c r="P49" s="96"/>
    </row>
    <row r="50" spans="1:16" ht="45.75" customHeight="1" thickBot="1" x14ac:dyDescent="0.25">
      <c r="A50" s="102" t="s">
        <v>194</v>
      </c>
      <c r="B50" s="212"/>
      <c r="C50" s="213"/>
      <c r="D50" s="213"/>
      <c r="E50" s="213"/>
      <c r="F50" s="213"/>
      <c r="G50" s="214"/>
      <c r="H50" s="215"/>
      <c r="I50" s="215"/>
      <c r="J50" s="215"/>
      <c r="K50" s="215"/>
      <c r="L50" s="215"/>
      <c r="M50" s="215"/>
      <c r="N50" s="215"/>
      <c r="O50" s="215"/>
      <c r="P50" s="96"/>
    </row>
  </sheetData>
  <mergeCells count="97">
    <mergeCell ref="B49:G49"/>
    <mergeCell ref="H49:K49"/>
    <mergeCell ref="L49:O49"/>
    <mergeCell ref="B50:G50"/>
    <mergeCell ref="H50:K50"/>
    <mergeCell ref="L50:O50"/>
    <mergeCell ref="B47:G47"/>
    <mergeCell ref="H47:K47"/>
    <mergeCell ref="L47:O47"/>
    <mergeCell ref="B48:G48"/>
    <mergeCell ref="H48:K48"/>
    <mergeCell ref="L48:O48"/>
    <mergeCell ref="B45:G45"/>
    <mergeCell ref="H45:K45"/>
    <mergeCell ref="L45:O45"/>
    <mergeCell ref="B46:G46"/>
    <mergeCell ref="H46:K46"/>
    <mergeCell ref="L46:O46"/>
    <mergeCell ref="B43:G43"/>
    <mergeCell ref="H43:K43"/>
    <mergeCell ref="L43:O43"/>
    <mergeCell ref="B44:G44"/>
    <mergeCell ref="H44:K44"/>
    <mergeCell ref="L44:O44"/>
    <mergeCell ref="B41:G41"/>
    <mergeCell ref="H41:K41"/>
    <mergeCell ref="L41:O41"/>
    <mergeCell ref="B42:G42"/>
    <mergeCell ref="H42:K42"/>
    <mergeCell ref="L42:O42"/>
    <mergeCell ref="B39:G39"/>
    <mergeCell ref="H39:K39"/>
    <mergeCell ref="L39:O39"/>
    <mergeCell ref="B40:G40"/>
    <mergeCell ref="H40:K40"/>
    <mergeCell ref="L40:O40"/>
    <mergeCell ref="B37:G37"/>
    <mergeCell ref="H37:K37"/>
    <mergeCell ref="L37:O37"/>
    <mergeCell ref="B38:G38"/>
    <mergeCell ref="H38:K38"/>
    <mergeCell ref="L38:O38"/>
    <mergeCell ref="B35:G35"/>
    <mergeCell ref="H35:K35"/>
    <mergeCell ref="L35:O35"/>
    <mergeCell ref="B36:G36"/>
    <mergeCell ref="H36:K36"/>
    <mergeCell ref="L36:O36"/>
    <mergeCell ref="B33:G33"/>
    <mergeCell ref="H33:K33"/>
    <mergeCell ref="L33:O33"/>
    <mergeCell ref="B34:G34"/>
    <mergeCell ref="H34:K34"/>
    <mergeCell ref="L34:O34"/>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B9:B10">
    <cfRule type="cellIs" dxfId="490" priority="33" operator="equal">
      <formula>"Nok"</formula>
    </cfRule>
    <cfRule type="cellIs" dxfId="489" priority="34" operator="equal">
      <formula>"Ok"</formula>
    </cfRule>
  </conditionalFormatting>
  <conditionalFormatting sqref="P22:P30">
    <cfRule type="cellIs" dxfId="488" priority="31" operator="equal">
      <formula>"Nok"</formula>
    </cfRule>
    <cfRule type="cellIs" dxfId="487" priority="32" operator="equal">
      <formula>"Ok"</formula>
    </cfRule>
  </conditionalFormatting>
  <conditionalFormatting sqref="P31:P35">
    <cfRule type="cellIs" dxfId="486" priority="29" operator="equal">
      <formula>"Nok"</formula>
    </cfRule>
    <cfRule type="cellIs" dxfId="485" priority="30" operator="equal">
      <formula>"Ok"</formula>
    </cfRule>
  </conditionalFormatting>
  <conditionalFormatting sqref="P36:P37">
    <cfRule type="cellIs" dxfId="484" priority="27" operator="equal">
      <formula>"Nok"</formula>
    </cfRule>
    <cfRule type="cellIs" dxfId="483" priority="28" operator="equal">
      <formula>"Ok"</formula>
    </cfRule>
  </conditionalFormatting>
  <conditionalFormatting sqref="P38">
    <cfRule type="cellIs" dxfId="482" priority="25" operator="equal">
      <formula>"Nok"</formula>
    </cfRule>
    <cfRule type="cellIs" dxfId="481" priority="26" operator="equal">
      <formula>"Ok"</formula>
    </cfRule>
  </conditionalFormatting>
  <conditionalFormatting sqref="P39">
    <cfRule type="cellIs" dxfId="480" priority="23" operator="equal">
      <formula>"Nok"</formula>
    </cfRule>
    <cfRule type="cellIs" dxfId="479" priority="24" operator="equal">
      <formula>"Ok"</formula>
    </cfRule>
  </conditionalFormatting>
  <conditionalFormatting sqref="P40">
    <cfRule type="cellIs" dxfId="478" priority="21" operator="equal">
      <formula>"Nok"</formula>
    </cfRule>
    <cfRule type="cellIs" dxfId="477" priority="22" operator="equal">
      <formula>"Ok"</formula>
    </cfRule>
  </conditionalFormatting>
  <conditionalFormatting sqref="P41">
    <cfRule type="cellIs" dxfId="476" priority="19" operator="equal">
      <formula>"Nok"</formula>
    </cfRule>
    <cfRule type="cellIs" dxfId="475" priority="20" operator="equal">
      <formula>"Ok"</formula>
    </cfRule>
  </conditionalFormatting>
  <conditionalFormatting sqref="P42">
    <cfRule type="cellIs" dxfId="474" priority="17" operator="equal">
      <formula>"Nok"</formula>
    </cfRule>
    <cfRule type="cellIs" dxfId="473" priority="18" operator="equal">
      <formula>"Ok"</formula>
    </cfRule>
  </conditionalFormatting>
  <conditionalFormatting sqref="P43">
    <cfRule type="cellIs" dxfId="472" priority="15" operator="equal">
      <formula>"Nok"</formula>
    </cfRule>
    <cfRule type="cellIs" dxfId="471" priority="16" operator="equal">
      <formula>"Ok"</formula>
    </cfRule>
  </conditionalFormatting>
  <conditionalFormatting sqref="P44">
    <cfRule type="cellIs" dxfId="470" priority="13" operator="equal">
      <formula>"Nok"</formula>
    </cfRule>
    <cfRule type="cellIs" dxfId="469" priority="14" operator="equal">
      <formula>"Ok"</formula>
    </cfRule>
  </conditionalFormatting>
  <conditionalFormatting sqref="P45">
    <cfRule type="cellIs" dxfId="468" priority="11" operator="equal">
      <formula>"Nok"</formula>
    </cfRule>
    <cfRule type="cellIs" dxfId="467" priority="12" operator="equal">
      <formula>"Ok"</formula>
    </cfRule>
  </conditionalFormatting>
  <conditionalFormatting sqref="P46">
    <cfRule type="cellIs" dxfId="466" priority="9" operator="equal">
      <formula>"Nok"</formula>
    </cfRule>
    <cfRule type="cellIs" dxfId="465" priority="10" operator="equal">
      <formula>"Ok"</formula>
    </cfRule>
  </conditionalFormatting>
  <conditionalFormatting sqref="P47">
    <cfRule type="cellIs" dxfId="464" priority="7" operator="equal">
      <formula>"Nok"</formula>
    </cfRule>
    <cfRule type="cellIs" dxfId="463" priority="8" operator="equal">
      <formula>"Ok"</formula>
    </cfRule>
  </conditionalFormatting>
  <conditionalFormatting sqref="P48">
    <cfRule type="cellIs" dxfId="462" priority="5" operator="equal">
      <formula>"Nok"</formula>
    </cfRule>
    <cfRule type="cellIs" dxfId="461" priority="6" operator="equal">
      <formula>"Ok"</formula>
    </cfRule>
  </conditionalFormatting>
  <conditionalFormatting sqref="P49">
    <cfRule type="cellIs" dxfId="460" priority="3" operator="equal">
      <formula>"Nok"</formula>
    </cfRule>
    <cfRule type="cellIs" dxfId="459" priority="4" operator="equal">
      <formula>"Ok"</formula>
    </cfRule>
  </conditionalFormatting>
  <conditionalFormatting sqref="P50">
    <cfRule type="cellIs" dxfId="458" priority="1" operator="equal">
      <formula>"Nok"</formula>
    </cfRule>
    <cfRule type="cellIs" dxfId="457" priority="2" operator="equal">
      <formula>"Ok"</formula>
    </cfRule>
  </conditionalFormatting>
  <dataValidations count="3">
    <dataValidation type="list" allowBlank="1" showInputMessage="1" showErrorMessage="1" sqref="P22:P50">
      <formula1>"Ok, Nok, Not run, ,"</formula1>
    </dataValidation>
    <dataValidation type="list" allowBlank="1" showInputMessage="1" showErrorMessage="1" sqref="B9">
      <formula1>"Ok, Nok, Not run, NA"</formula1>
    </dataValidation>
    <dataValidation type="list" allowBlank="1" showInputMessage="1" showErrorMessage="1" sqref="B5">
      <formula1>"Nominal, Robustness, Endurance, Qualification"</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topLeftCell="A22" workbookViewId="0">
      <selection activeCell="B24" sqref="B24:G24"/>
    </sheetView>
  </sheetViews>
  <sheetFormatPr defaultRowHeight="12.75" x14ac:dyDescent="0.2"/>
  <cols>
    <col min="1" max="1" width="20.140625" style="97" customWidth="1"/>
    <col min="2" max="2" width="18.42578125" style="93" customWidth="1"/>
    <col min="3" max="7" width="9.140625" style="93"/>
    <col min="8" max="15" width="9.5703125" style="93" customWidth="1"/>
    <col min="16" max="16384" width="9.140625" style="93"/>
  </cols>
  <sheetData>
    <row r="1" spans="1:15" ht="13.5" thickBot="1" x14ac:dyDescent="0.25">
      <c r="A1" s="98" t="s">
        <v>41</v>
      </c>
      <c r="B1" s="234" t="s">
        <v>358</v>
      </c>
      <c r="C1" s="235"/>
      <c r="D1" s="235"/>
      <c r="E1" s="235"/>
      <c r="F1" s="235"/>
      <c r="G1" s="236"/>
      <c r="H1" s="73"/>
      <c r="I1" s="73"/>
      <c r="J1" s="73"/>
      <c r="K1" s="73"/>
      <c r="L1" s="73"/>
      <c r="M1" s="73"/>
      <c r="N1" s="73"/>
      <c r="O1" s="73"/>
    </row>
    <row r="2" spans="1:15" ht="13.5" thickBot="1" x14ac:dyDescent="0.25">
      <c r="A2" s="71"/>
      <c r="B2" s="72"/>
      <c r="C2" s="72"/>
      <c r="D2" s="73"/>
      <c r="E2" s="73"/>
      <c r="F2" s="73"/>
      <c r="G2" s="73"/>
      <c r="H2" s="73"/>
      <c r="I2" s="73"/>
      <c r="J2" s="73"/>
      <c r="K2" s="73"/>
      <c r="L2" s="73"/>
      <c r="M2" s="73"/>
      <c r="N2" s="73"/>
      <c r="O2" s="73"/>
    </row>
    <row r="3" spans="1:15" ht="61.5" customHeight="1" thickBot="1" x14ac:dyDescent="0.25">
      <c r="A3" s="99" t="s">
        <v>46</v>
      </c>
      <c r="B3" s="237" t="s">
        <v>359</v>
      </c>
      <c r="C3" s="238"/>
      <c r="D3" s="238"/>
      <c r="E3" s="238"/>
      <c r="F3" s="238"/>
      <c r="G3" s="239"/>
      <c r="H3" s="73"/>
      <c r="I3" s="73"/>
      <c r="J3" s="73"/>
      <c r="K3" s="73"/>
      <c r="L3" s="73"/>
      <c r="M3" s="73"/>
      <c r="N3" s="73"/>
      <c r="O3" s="73"/>
    </row>
    <row r="4" spans="1:15" ht="13.5" thickBot="1" x14ac:dyDescent="0.25">
      <c r="A4" s="71"/>
      <c r="B4" s="72"/>
      <c r="C4" s="72"/>
      <c r="D4" s="73"/>
      <c r="E4" s="73"/>
      <c r="F4" s="73"/>
      <c r="G4" s="73"/>
      <c r="H4" s="73"/>
      <c r="I4" s="73"/>
      <c r="J4" s="73"/>
      <c r="K4" s="73"/>
      <c r="L4" s="73"/>
      <c r="M4" s="73"/>
      <c r="N4" s="73"/>
      <c r="O4" s="73"/>
    </row>
    <row r="5" spans="1:15" ht="13.5" thickBot="1" x14ac:dyDescent="0.25">
      <c r="A5" s="98" t="s">
        <v>111</v>
      </c>
      <c r="B5" s="76" t="s">
        <v>142</v>
      </c>
      <c r="C5" s="72"/>
      <c r="D5" s="73"/>
      <c r="E5" s="73"/>
      <c r="F5" s="73"/>
      <c r="G5" s="73"/>
      <c r="H5" s="73"/>
      <c r="I5" s="73"/>
      <c r="J5" s="73"/>
      <c r="K5" s="73"/>
      <c r="L5" s="73"/>
      <c r="M5" s="73"/>
      <c r="N5" s="73"/>
      <c r="O5" s="73"/>
    </row>
    <row r="6" spans="1:15" ht="13.5" thickBot="1" x14ac:dyDescent="0.25">
      <c r="A6" s="71"/>
      <c r="B6" s="72"/>
      <c r="C6" s="72"/>
      <c r="D6" s="73"/>
      <c r="E6" s="73"/>
      <c r="F6" s="73"/>
      <c r="G6" s="73"/>
      <c r="H6" s="73"/>
      <c r="I6" s="73"/>
      <c r="J6" s="73"/>
      <c r="K6" s="73"/>
      <c r="L6" s="73"/>
      <c r="M6" s="73"/>
      <c r="N6" s="73"/>
      <c r="O6" s="73"/>
    </row>
    <row r="7" spans="1:15" ht="30.75" customHeight="1" thickBot="1" x14ac:dyDescent="0.25">
      <c r="A7" s="98" t="s">
        <v>42</v>
      </c>
      <c r="B7" s="237" t="s">
        <v>360</v>
      </c>
      <c r="C7" s="238"/>
      <c r="D7" s="238"/>
      <c r="E7" s="238"/>
      <c r="F7" s="238"/>
      <c r="G7" s="239"/>
      <c r="H7" s="73"/>
      <c r="I7" s="73"/>
      <c r="J7" s="73"/>
      <c r="K7" s="73"/>
      <c r="L7" s="73"/>
      <c r="M7" s="73"/>
      <c r="N7" s="73"/>
      <c r="O7" s="73"/>
    </row>
    <row r="8" spans="1:15" ht="13.5" thickBot="1" x14ac:dyDescent="0.25">
      <c r="A8" s="75"/>
      <c r="B8" s="74"/>
      <c r="C8" s="74"/>
      <c r="D8" s="74"/>
      <c r="E8" s="74"/>
      <c r="F8" s="74"/>
      <c r="G8" s="74"/>
      <c r="H8" s="73"/>
      <c r="I8" s="73"/>
      <c r="J8" s="73"/>
      <c r="K8" s="73"/>
      <c r="L8" s="73"/>
      <c r="M8" s="73"/>
      <c r="N8" s="73"/>
      <c r="O8" s="73"/>
    </row>
    <row r="9" spans="1:15" ht="13.5" thickBot="1" x14ac:dyDescent="0.25">
      <c r="A9" s="98" t="s">
        <v>43</v>
      </c>
      <c r="B9" s="103" t="s">
        <v>144</v>
      </c>
      <c r="C9" s="72"/>
      <c r="D9" s="73"/>
      <c r="E9" s="73"/>
      <c r="F9" s="73"/>
      <c r="G9" s="73"/>
      <c r="H9" s="73"/>
      <c r="I9" s="73"/>
      <c r="J9" s="73"/>
      <c r="K9" s="73"/>
      <c r="L9" s="73"/>
      <c r="M9" s="73"/>
      <c r="N9" s="73"/>
      <c r="O9" s="73"/>
    </row>
    <row r="10" spans="1:15" ht="13.5" thickBot="1" x14ac:dyDescent="0.25">
      <c r="A10" s="75"/>
      <c r="B10" s="94"/>
      <c r="C10" s="72"/>
      <c r="D10" s="73"/>
      <c r="E10" s="73"/>
      <c r="F10" s="73"/>
      <c r="G10" s="73"/>
      <c r="H10" s="73"/>
      <c r="I10" s="73"/>
      <c r="J10" s="73"/>
      <c r="K10" s="73"/>
      <c r="L10" s="73"/>
      <c r="M10" s="73"/>
      <c r="N10" s="73"/>
      <c r="O10" s="73"/>
    </row>
    <row r="11" spans="1:15" ht="12" customHeight="1" x14ac:dyDescent="0.2">
      <c r="A11" s="223" t="s">
        <v>113</v>
      </c>
      <c r="B11" s="225"/>
      <c r="C11" s="226"/>
      <c r="D11" s="226"/>
      <c r="E11" s="226"/>
      <c r="F11" s="226"/>
      <c r="G11" s="227"/>
      <c r="H11" s="73"/>
      <c r="I11" s="73"/>
      <c r="J11" s="73"/>
      <c r="K11" s="73"/>
      <c r="L11" s="73"/>
      <c r="M11" s="73"/>
      <c r="N11" s="73"/>
      <c r="O11" s="73"/>
    </row>
    <row r="12" spans="1:15" x14ac:dyDescent="0.2">
      <c r="A12" s="224"/>
      <c r="B12" s="228"/>
      <c r="C12" s="229"/>
      <c r="D12" s="229"/>
      <c r="E12" s="229"/>
      <c r="F12" s="229"/>
      <c r="G12" s="230"/>
      <c r="H12" s="73"/>
      <c r="I12" s="73"/>
      <c r="J12" s="73"/>
      <c r="K12" s="73"/>
      <c r="L12" s="73"/>
      <c r="M12" s="73"/>
      <c r="N12" s="73"/>
      <c r="O12" s="73"/>
    </row>
    <row r="13" spans="1:15" x14ac:dyDescent="0.2">
      <c r="A13" s="224"/>
      <c r="B13" s="228"/>
      <c r="C13" s="229"/>
      <c r="D13" s="229"/>
      <c r="E13" s="229"/>
      <c r="F13" s="229"/>
      <c r="G13" s="230"/>
      <c r="H13" s="71"/>
      <c r="I13" s="73"/>
      <c r="J13" s="73"/>
      <c r="K13" s="73"/>
      <c r="L13" s="73"/>
      <c r="M13" s="73"/>
      <c r="N13" s="73"/>
      <c r="O13" s="73"/>
    </row>
    <row r="14" spans="1:15" ht="13.5" thickBot="1" x14ac:dyDescent="0.25">
      <c r="A14" s="224"/>
      <c r="B14" s="231"/>
      <c r="C14" s="232"/>
      <c r="D14" s="232"/>
      <c r="E14" s="232"/>
      <c r="F14" s="232"/>
      <c r="G14" s="233"/>
      <c r="H14" s="77"/>
      <c r="I14" s="73"/>
      <c r="J14" s="73"/>
      <c r="K14" s="73"/>
      <c r="L14" s="73"/>
      <c r="M14" s="73"/>
      <c r="N14" s="73"/>
      <c r="O14" s="73"/>
    </row>
    <row r="15" spans="1:15" ht="13.5" thickBot="1" x14ac:dyDescent="0.25">
      <c r="A15" s="71"/>
      <c r="B15" s="71"/>
      <c r="C15" s="71"/>
      <c r="D15" s="71"/>
      <c r="E15" s="71"/>
      <c r="F15" s="71"/>
      <c r="G15" s="71"/>
      <c r="H15" s="77"/>
      <c r="I15" s="73"/>
      <c r="J15" s="73"/>
      <c r="K15" s="73"/>
      <c r="L15" s="73"/>
      <c r="M15" s="73"/>
      <c r="N15" s="73"/>
      <c r="O15" s="73"/>
    </row>
    <row r="16" spans="1:15" x14ac:dyDescent="0.2">
      <c r="A16" s="223" t="s">
        <v>44</v>
      </c>
      <c r="B16" s="225"/>
      <c r="C16" s="226"/>
      <c r="D16" s="226"/>
      <c r="E16" s="226"/>
      <c r="F16" s="226"/>
      <c r="G16" s="227"/>
      <c r="H16" s="73"/>
      <c r="I16" s="73"/>
      <c r="J16" s="73"/>
      <c r="K16" s="73"/>
      <c r="L16" s="73"/>
      <c r="M16" s="73"/>
      <c r="N16" s="73"/>
      <c r="O16" s="73"/>
    </row>
    <row r="17" spans="1:16" x14ac:dyDescent="0.2">
      <c r="A17" s="224"/>
      <c r="B17" s="228"/>
      <c r="C17" s="229"/>
      <c r="D17" s="229"/>
      <c r="E17" s="229"/>
      <c r="F17" s="229"/>
      <c r="G17" s="230"/>
      <c r="H17" s="73"/>
      <c r="I17" s="73"/>
      <c r="J17" s="73"/>
      <c r="K17" s="73"/>
      <c r="L17" s="73"/>
      <c r="M17" s="73"/>
      <c r="N17" s="73"/>
      <c r="O17" s="73"/>
    </row>
    <row r="18" spans="1:16" x14ac:dyDescent="0.2">
      <c r="A18" s="224"/>
      <c r="B18" s="228"/>
      <c r="C18" s="229"/>
      <c r="D18" s="229"/>
      <c r="E18" s="229"/>
      <c r="F18" s="229"/>
      <c r="G18" s="230"/>
      <c r="H18" s="71"/>
      <c r="I18" s="73"/>
      <c r="J18" s="73"/>
      <c r="K18" s="73"/>
      <c r="L18" s="73"/>
      <c r="M18" s="73"/>
      <c r="N18" s="73"/>
      <c r="O18" s="73"/>
    </row>
    <row r="19" spans="1:16" ht="13.5" thickBot="1" x14ac:dyDescent="0.25">
      <c r="A19" s="224"/>
      <c r="B19" s="231"/>
      <c r="C19" s="232"/>
      <c r="D19" s="232"/>
      <c r="E19" s="232"/>
      <c r="F19" s="232"/>
      <c r="G19" s="233"/>
      <c r="H19" s="77"/>
      <c r="I19" s="73"/>
      <c r="J19" s="73"/>
      <c r="K19" s="73"/>
      <c r="L19" s="73"/>
      <c r="M19" s="73"/>
      <c r="N19" s="73"/>
      <c r="O19" s="73"/>
    </row>
    <row r="20" spans="1:16" ht="13.5" thickBot="1" x14ac:dyDescent="0.25">
      <c r="A20" s="71"/>
      <c r="B20" s="71"/>
      <c r="C20" s="71"/>
      <c r="D20" s="71"/>
      <c r="E20" s="71"/>
      <c r="F20" s="71"/>
      <c r="G20" s="71"/>
      <c r="H20" s="77"/>
      <c r="I20" s="73"/>
      <c r="J20" s="73"/>
      <c r="K20" s="73"/>
      <c r="L20" s="73"/>
      <c r="M20" s="73"/>
      <c r="N20" s="73"/>
      <c r="O20" s="73"/>
    </row>
    <row r="21" spans="1:16" ht="12.75" customHeight="1" x14ac:dyDescent="0.2">
      <c r="A21" s="220" t="s">
        <v>48</v>
      </c>
      <c r="B21" s="221"/>
      <c r="C21" s="221"/>
      <c r="D21" s="221"/>
      <c r="E21" s="221"/>
      <c r="F21" s="221"/>
      <c r="G21" s="222"/>
      <c r="H21" s="220" t="s">
        <v>49</v>
      </c>
      <c r="I21" s="221"/>
      <c r="J21" s="221"/>
      <c r="K21" s="222"/>
      <c r="L21" s="220" t="s">
        <v>60</v>
      </c>
      <c r="M21" s="221"/>
      <c r="N21" s="221"/>
      <c r="O21" s="222"/>
      <c r="P21" s="100" t="s">
        <v>47</v>
      </c>
    </row>
    <row r="22" spans="1:16" ht="88.5" customHeight="1" thickBot="1" x14ac:dyDescent="0.25">
      <c r="A22" s="101" t="s">
        <v>50</v>
      </c>
      <c r="B22" s="212" t="s">
        <v>361</v>
      </c>
      <c r="C22" s="213"/>
      <c r="D22" s="213"/>
      <c r="E22" s="213"/>
      <c r="F22" s="213"/>
      <c r="G22" s="214"/>
      <c r="H22" s="216"/>
      <c r="I22" s="216"/>
      <c r="J22" s="216"/>
      <c r="K22" s="216"/>
      <c r="L22" s="216" t="s">
        <v>364</v>
      </c>
      <c r="M22" s="216"/>
      <c r="N22" s="216"/>
      <c r="O22" s="216"/>
      <c r="P22" s="95" t="s">
        <v>144</v>
      </c>
    </row>
    <row r="23" spans="1:16" ht="73.5" customHeight="1" thickBot="1" x14ac:dyDescent="0.25">
      <c r="A23" s="101" t="s">
        <v>51</v>
      </c>
      <c r="B23" s="212" t="s">
        <v>362</v>
      </c>
      <c r="C23" s="213"/>
      <c r="D23" s="213"/>
      <c r="E23" s="213"/>
      <c r="F23" s="213"/>
      <c r="G23" s="214"/>
      <c r="H23" s="216"/>
      <c r="I23" s="216"/>
      <c r="J23" s="216"/>
      <c r="K23" s="216"/>
      <c r="L23" s="216" t="s">
        <v>364</v>
      </c>
      <c r="M23" s="216"/>
      <c r="N23" s="216"/>
      <c r="O23" s="216"/>
      <c r="P23" s="95" t="s">
        <v>144</v>
      </c>
    </row>
    <row r="24" spans="1:16" ht="118.5" customHeight="1" thickBot="1" x14ac:dyDescent="0.25">
      <c r="A24" s="101" t="s">
        <v>52</v>
      </c>
      <c r="B24" s="212" t="s">
        <v>363</v>
      </c>
      <c r="C24" s="213"/>
      <c r="D24" s="213"/>
      <c r="E24" s="213"/>
      <c r="F24" s="213"/>
      <c r="G24" s="214"/>
      <c r="H24" s="216"/>
      <c r="I24" s="216"/>
      <c r="J24" s="216"/>
      <c r="K24" s="216"/>
      <c r="L24" s="216" t="s">
        <v>364</v>
      </c>
      <c r="M24" s="216"/>
      <c r="N24" s="216"/>
      <c r="O24" s="216"/>
      <c r="P24" s="95" t="s">
        <v>144</v>
      </c>
    </row>
    <row r="25" spans="1:16" ht="72.75" customHeight="1" thickBot="1" x14ac:dyDescent="0.25">
      <c r="A25" s="101" t="s">
        <v>53</v>
      </c>
      <c r="B25" s="212" t="s">
        <v>365</v>
      </c>
      <c r="C25" s="213"/>
      <c r="D25" s="213"/>
      <c r="E25" s="213"/>
      <c r="F25" s="213"/>
      <c r="G25" s="214"/>
      <c r="H25" s="216"/>
      <c r="I25" s="216"/>
      <c r="J25" s="216"/>
      <c r="K25" s="216"/>
      <c r="L25" s="216" t="s">
        <v>364</v>
      </c>
      <c r="M25" s="216"/>
      <c r="N25" s="216"/>
      <c r="O25" s="216"/>
      <c r="P25" s="95" t="s">
        <v>144</v>
      </c>
    </row>
    <row r="26" spans="1:16" ht="104.25" customHeight="1" thickBot="1" x14ac:dyDescent="0.25">
      <c r="A26" s="101" t="s">
        <v>54</v>
      </c>
      <c r="B26" s="212" t="s">
        <v>366</v>
      </c>
      <c r="C26" s="213"/>
      <c r="D26" s="213"/>
      <c r="E26" s="213"/>
      <c r="F26" s="213"/>
      <c r="G26" s="214"/>
      <c r="H26" s="216"/>
      <c r="I26" s="216"/>
      <c r="J26" s="216"/>
      <c r="K26" s="216"/>
      <c r="L26" s="216" t="s">
        <v>364</v>
      </c>
      <c r="M26" s="216"/>
      <c r="N26" s="216"/>
      <c r="O26" s="216"/>
      <c r="P26" s="95" t="s">
        <v>144</v>
      </c>
    </row>
    <row r="27" spans="1:16" ht="29.25" customHeight="1" x14ac:dyDescent="0.2">
      <c r="A27" s="101" t="s">
        <v>55</v>
      </c>
      <c r="B27" s="217"/>
      <c r="C27" s="218"/>
      <c r="D27" s="218"/>
      <c r="E27" s="218"/>
      <c r="F27" s="218"/>
      <c r="G27" s="219"/>
      <c r="H27" s="216"/>
      <c r="I27" s="216"/>
      <c r="J27" s="216"/>
      <c r="K27" s="216"/>
      <c r="L27" s="216"/>
      <c r="M27" s="216"/>
      <c r="N27" s="216"/>
      <c r="O27" s="216"/>
      <c r="P27" s="95"/>
    </row>
    <row r="28" spans="1:16" ht="29.25" customHeight="1" x14ac:dyDescent="0.2">
      <c r="A28" s="101" t="s">
        <v>56</v>
      </c>
      <c r="B28" s="217"/>
      <c r="C28" s="218"/>
      <c r="D28" s="218"/>
      <c r="E28" s="218"/>
      <c r="F28" s="218"/>
      <c r="G28" s="219"/>
      <c r="H28" s="216"/>
      <c r="I28" s="216"/>
      <c r="J28" s="216"/>
      <c r="K28" s="216"/>
      <c r="L28" s="216"/>
      <c r="M28" s="216"/>
      <c r="N28" s="216"/>
      <c r="O28" s="216"/>
      <c r="P28" s="95"/>
    </row>
    <row r="29" spans="1:16" ht="29.25" customHeight="1" x14ac:dyDescent="0.2">
      <c r="A29" s="101" t="s">
        <v>57</v>
      </c>
      <c r="B29" s="217"/>
      <c r="C29" s="218"/>
      <c r="D29" s="218"/>
      <c r="E29" s="218"/>
      <c r="F29" s="218"/>
      <c r="G29" s="219"/>
      <c r="H29" s="216"/>
      <c r="I29" s="216"/>
      <c r="J29" s="216"/>
      <c r="K29" s="216"/>
      <c r="L29" s="216"/>
      <c r="M29" s="216"/>
      <c r="N29" s="216"/>
      <c r="O29" s="216"/>
      <c r="P29" s="95"/>
    </row>
    <row r="30" spans="1:16" ht="45.75" customHeight="1" thickBot="1" x14ac:dyDescent="0.25">
      <c r="A30" s="102" t="s">
        <v>58</v>
      </c>
      <c r="B30" s="212"/>
      <c r="C30" s="213"/>
      <c r="D30" s="213"/>
      <c r="E30" s="213"/>
      <c r="F30" s="213"/>
      <c r="G30" s="214"/>
      <c r="H30" s="215"/>
      <c r="I30" s="215"/>
      <c r="J30" s="215"/>
      <c r="K30" s="215"/>
      <c r="L30" s="215"/>
      <c r="M30" s="215"/>
      <c r="N30" s="215"/>
      <c r="O30" s="215"/>
      <c r="P30" s="96"/>
    </row>
    <row r="31" spans="1:16" ht="29.25" customHeight="1" thickBot="1" x14ac:dyDescent="0.25">
      <c r="A31" s="102" t="s">
        <v>145</v>
      </c>
      <c r="B31" s="217"/>
      <c r="C31" s="218"/>
      <c r="D31" s="218"/>
      <c r="E31" s="218"/>
      <c r="F31" s="218"/>
      <c r="G31" s="219"/>
      <c r="H31" s="216"/>
      <c r="I31" s="216"/>
      <c r="J31" s="216"/>
      <c r="K31" s="216"/>
      <c r="L31" s="216"/>
      <c r="M31" s="216"/>
      <c r="N31" s="216"/>
      <c r="O31" s="216"/>
      <c r="P31" s="95"/>
    </row>
    <row r="32" spans="1:16" ht="55.5" customHeight="1" thickBot="1" x14ac:dyDescent="0.25">
      <c r="A32" s="102" t="s">
        <v>146</v>
      </c>
      <c r="B32" s="217"/>
      <c r="C32" s="218"/>
      <c r="D32" s="218"/>
      <c r="E32" s="218"/>
      <c r="F32" s="218"/>
      <c r="G32" s="219"/>
      <c r="H32" s="216"/>
      <c r="I32" s="216"/>
      <c r="J32" s="216"/>
      <c r="K32" s="216"/>
      <c r="L32" s="216"/>
      <c r="M32" s="216"/>
      <c r="N32" s="216"/>
      <c r="O32" s="216"/>
      <c r="P32" s="95"/>
    </row>
    <row r="33" spans="1:16" ht="45.75" customHeight="1" thickBot="1" x14ac:dyDescent="0.25">
      <c r="A33" s="102" t="s">
        <v>147</v>
      </c>
      <c r="B33" s="212"/>
      <c r="C33" s="213"/>
      <c r="D33" s="213"/>
      <c r="E33" s="213"/>
      <c r="F33" s="213"/>
      <c r="G33" s="214"/>
      <c r="H33" s="215"/>
      <c r="I33" s="215"/>
      <c r="J33" s="215"/>
      <c r="K33" s="215"/>
      <c r="L33" s="215"/>
      <c r="M33" s="215"/>
      <c r="N33" s="215"/>
      <c r="O33" s="215"/>
      <c r="P33" s="95"/>
    </row>
    <row r="34" spans="1:16" ht="45.75" customHeight="1" thickBot="1" x14ac:dyDescent="0.25">
      <c r="A34" s="102" t="s">
        <v>148</v>
      </c>
      <c r="B34" s="217"/>
      <c r="C34" s="218"/>
      <c r="D34" s="218"/>
      <c r="E34" s="218"/>
      <c r="F34" s="218"/>
      <c r="G34" s="219"/>
      <c r="H34" s="216"/>
      <c r="I34" s="216"/>
      <c r="J34" s="216"/>
      <c r="K34" s="216"/>
      <c r="L34" s="216"/>
      <c r="M34" s="216"/>
      <c r="N34" s="216"/>
      <c r="O34" s="216"/>
      <c r="P34" s="95"/>
    </row>
    <row r="35" spans="1:16" ht="48" customHeight="1" thickBot="1" x14ac:dyDescent="0.25">
      <c r="A35" s="102" t="s">
        <v>149</v>
      </c>
      <c r="B35" s="217"/>
      <c r="C35" s="218"/>
      <c r="D35" s="218"/>
      <c r="E35" s="218"/>
      <c r="F35" s="218"/>
      <c r="G35" s="219"/>
      <c r="H35" s="216"/>
      <c r="I35" s="216"/>
      <c r="J35" s="216"/>
      <c r="K35" s="216"/>
      <c r="L35" s="216"/>
      <c r="M35" s="216"/>
      <c r="N35" s="216"/>
      <c r="O35" s="216"/>
      <c r="P35" s="95"/>
    </row>
    <row r="36" spans="1:16" ht="45.75" customHeight="1" thickBot="1" x14ac:dyDescent="0.25">
      <c r="A36" s="102" t="s">
        <v>150</v>
      </c>
      <c r="B36" s="212"/>
      <c r="C36" s="213"/>
      <c r="D36" s="213"/>
      <c r="E36" s="213"/>
      <c r="F36" s="213"/>
      <c r="G36" s="214"/>
      <c r="H36" s="215"/>
      <c r="I36" s="215"/>
      <c r="J36" s="215"/>
      <c r="K36" s="215"/>
      <c r="L36" s="216"/>
      <c r="M36" s="216"/>
      <c r="N36" s="216"/>
      <c r="O36" s="216"/>
      <c r="P36" s="96"/>
    </row>
    <row r="37" spans="1:16" ht="66" customHeight="1" thickBot="1" x14ac:dyDescent="0.25">
      <c r="A37" s="102" t="s">
        <v>151</v>
      </c>
      <c r="B37" s="212"/>
      <c r="C37" s="213"/>
      <c r="D37" s="213"/>
      <c r="E37" s="213"/>
      <c r="F37" s="213"/>
      <c r="G37" s="214"/>
      <c r="H37" s="215"/>
      <c r="I37" s="215"/>
      <c r="J37" s="215"/>
      <c r="K37" s="215"/>
      <c r="L37" s="216"/>
      <c r="M37" s="216"/>
      <c r="N37" s="216"/>
      <c r="O37" s="216"/>
      <c r="P37" s="96"/>
    </row>
    <row r="38" spans="1:16" ht="45.75" customHeight="1" thickBot="1" x14ac:dyDescent="0.25">
      <c r="A38" s="102" t="s">
        <v>152</v>
      </c>
      <c r="B38" s="212"/>
      <c r="C38" s="213"/>
      <c r="D38" s="213"/>
      <c r="E38" s="213"/>
      <c r="F38" s="213"/>
      <c r="G38" s="214"/>
      <c r="H38" s="215"/>
      <c r="I38" s="215"/>
      <c r="J38" s="215"/>
      <c r="K38" s="215"/>
      <c r="L38" s="215"/>
      <c r="M38" s="215"/>
      <c r="N38" s="215"/>
      <c r="O38" s="215"/>
      <c r="P38" s="96"/>
    </row>
    <row r="39" spans="1:16" ht="45.75" customHeight="1" thickBot="1" x14ac:dyDescent="0.25">
      <c r="A39" s="102" t="s">
        <v>153</v>
      </c>
      <c r="B39" s="212"/>
      <c r="C39" s="213"/>
      <c r="D39" s="213"/>
      <c r="E39" s="213"/>
      <c r="F39" s="213"/>
      <c r="G39" s="214"/>
      <c r="H39" s="215"/>
      <c r="I39" s="215"/>
      <c r="J39" s="215"/>
      <c r="K39" s="215"/>
      <c r="L39" s="215"/>
      <c r="M39" s="215"/>
      <c r="N39" s="215"/>
      <c r="O39" s="215"/>
      <c r="P39" s="96"/>
    </row>
    <row r="40" spans="1:16" ht="45.75" customHeight="1" thickBot="1" x14ac:dyDescent="0.25">
      <c r="A40" s="102" t="s">
        <v>184</v>
      </c>
      <c r="B40" s="212"/>
      <c r="C40" s="213"/>
      <c r="D40" s="213"/>
      <c r="E40" s="213"/>
      <c r="F40" s="213"/>
      <c r="G40" s="214"/>
      <c r="H40" s="215"/>
      <c r="I40" s="215"/>
      <c r="J40" s="215"/>
      <c r="K40" s="215"/>
      <c r="L40" s="215"/>
      <c r="M40" s="215"/>
      <c r="N40" s="215"/>
      <c r="O40" s="215"/>
      <c r="P40" s="96"/>
    </row>
    <row r="41" spans="1:16" ht="45.75" customHeight="1" thickBot="1" x14ac:dyDescent="0.25">
      <c r="A41" s="102" t="s">
        <v>185</v>
      </c>
      <c r="B41" s="212"/>
      <c r="C41" s="213"/>
      <c r="D41" s="213"/>
      <c r="E41" s="213"/>
      <c r="F41" s="213"/>
      <c r="G41" s="214"/>
      <c r="H41" s="215"/>
      <c r="I41" s="215"/>
      <c r="J41" s="215"/>
      <c r="K41" s="215"/>
      <c r="L41" s="215"/>
      <c r="M41" s="215"/>
      <c r="N41" s="215"/>
      <c r="O41" s="215"/>
      <c r="P41" s="96"/>
    </row>
    <row r="42" spans="1:16" ht="45.75" customHeight="1" thickBot="1" x14ac:dyDescent="0.25">
      <c r="A42" s="102" t="s">
        <v>186</v>
      </c>
      <c r="B42" s="212"/>
      <c r="C42" s="213"/>
      <c r="D42" s="213"/>
      <c r="E42" s="213"/>
      <c r="F42" s="213"/>
      <c r="G42" s="214"/>
      <c r="H42" s="215"/>
      <c r="I42" s="215"/>
      <c r="J42" s="215"/>
      <c r="K42" s="215"/>
      <c r="L42" s="215"/>
      <c r="M42" s="215"/>
      <c r="N42" s="215"/>
      <c r="O42" s="215"/>
      <c r="P42" s="96"/>
    </row>
    <row r="43" spans="1:16" ht="45.75" customHeight="1" thickBot="1" x14ac:dyDescent="0.25">
      <c r="A43" s="102" t="s">
        <v>187</v>
      </c>
      <c r="B43" s="212"/>
      <c r="C43" s="213"/>
      <c r="D43" s="213"/>
      <c r="E43" s="213"/>
      <c r="F43" s="213"/>
      <c r="G43" s="214"/>
      <c r="H43" s="215"/>
      <c r="I43" s="215"/>
      <c r="J43" s="215"/>
      <c r="K43" s="215"/>
      <c r="L43" s="215"/>
      <c r="M43" s="215"/>
      <c r="N43" s="215"/>
      <c r="O43" s="215"/>
      <c r="P43" s="96"/>
    </row>
    <row r="44" spans="1:16" ht="45.75" customHeight="1" thickBot="1" x14ac:dyDescent="0.25">
      <c r="A44" s="102" t="s">
        <v>188</v>
      </c>
      <c r="B44" s="212"/>
      <c r="C44" s="213"/>
      <c r="D44" s="213"/>
      <c r="E44" s="213"/>
      <c r="F44" s="213"/>
      <c r="G44" s="214"/>
      <c r="H44" s="215"/>
      <c r="I44" s="215"/>
      <c r="J44" s="215"/>
      <c r="K44" s="215"/>
      <c r="L44" s="215"/>
      <c r="M44" s="215"/>
      <c r="N44" s="215"/>
      <c r="O44" s="215"/>
      <c r="P44" s="96"/>
    </row>
    <row r="45" spans="1:16" ht="45.75" customHeight="1" thickBot="1" x14ac:dyDescent="0.25">
      <c r="A45" s="102" t="s">
        <v>189</v>
      </c>
      <c r="B45" s="212"/>
      <c r="C45" s="213"/>
      <c r="D45" s="213"/>
      <c r="E45" s="213"/>
      <c r="F45" s="213"/>
      <c r="G45" s="214"/>
      <c r="H45" s="215"/>
      <c r="I45" s="215"/>
      <c r="J45" s="215"/>
      <c r="K45" s="215"/>
      <c r="L45" s="215"/>
      <c r="M45" s="215"/>
      <c r="N45" s="215"/>
      <c r="O45" s="215"/>
      <c r="P45" s="96"/>
    </row>
    <row r="46" spans="1:16" ht="45.75" customHeight="1" thickBot="1" x14ac:dyDescent="0.25">
      <c r="A46" s="102" t="s">
        <v>190</v>
      </c>
      <c r="B46" s="212"/>
      <c r="C46" s="213"/>
      <c r="D46" s="213"/>
      <c r="E46" s="213"/>
      <c r="F46" s="213"/>
      <c r="G46" s="214"/>
      <c r="H46" s="215"/>
      <c r="I46" s="215"/>
      <c r="J46" s="215"/>
      <c r="K46" s="215"/>
      <c r="L46" s="215"/>
      <c r="M46" s="215"/>
      <c r="N46" s="215"/>
      <c r="O46" s="215"/>
      <c r="P46" s="96"/>
    </row>
    <row r="47" spans="1:16" ht="45.75" customHeight="1" thickBot="1" x14ac:dyDescent="0.25">
      <c r="A47" s="102" t="s">
        <v>191</v>
      </c>
      <c r="B47" s="212"/>
      <c r="C47" s="213"/>
      <c r="D47" s="213"/>
      <c r="E47" s="213"/>
      <c r="F47" s="213"/>
      <c r="G47" s="214"/>
      <c r="H47" s="215"/>
      <c r="I47" s="215"/>
      <c r="J47" s="215"/>
      <c r="K47" s="215"/>
      <c r="L47" s="215"/>
      <c r="M47" s="215"/>
      <c r="N47" s="215"/>
      <c r="O47" s="215"/>
      <c r="P47" s="96"/>
    </row>
    <row r="48" spans="1:16" ht="45.75" customHeight="1" thickBot="1" x14ac:dyDescent="0.25">
      <c r="A48" s="102" t="s">
        <v>192</v>
      </c>
      <c r="B48" s="212"/>
      <c r="C48" s="213"/>
      <c r="D48" s="213"/>
      <c r="E48" s="213"/>
      <c r="F48" s="213"/>
      <c r="G48" s="214"/>
      <c r="H48" s="215"/>
      <c r="I48" s="215"/>
      <c r="J48" s="215"/>
      <c r="K48" s="215"/>
      <c r="L48" s="215"/>
      <c r="M48" s="215"/>
      <c r="N48" s="215"/>
      <c r="O48" s="215"/>
      <c r="P48" s="96"/>
    </row>
    <row r="49" spans="1:16" ht="45.75" customHeight="1" thickBot="1" x14ac:dyDescent="0.25">
      <c r="A49" s="102" t="s">
        <v>193</v>
      </c>
      <c r="B49" s="212"/>
      <c r="C49" s="213"/>
      <c r="D49" s="213"/>
      <c r="E49" s="213"/>
      <c r="F49" s="213"/>
      <c r="G49" s="214"/>
      <c r="H49" s="215"/>
      <c r="I49" s="215"/>
      <c r="J49" s="215"/>
      <c r="K49" s="215"/>
      <c r="L49" s="215"/>
      <c r="M49" s="215"/>
      <c r="N49" s="215"/>
      <c r="O49" s="215"/>
      <c r="P49" s="96"/>
    </row>
    <row r="50" spans="1:16" ht="45.75" customHeight="1" thickBot="1" x14ac:dyDescent="0.25">
      <c r="A50" s="102" t="s">
        <v>194</v>
      </c>
      <c r="B50" s="212"/>
      <c r="C50" s="213"/>
      <c r="D50" s="213"/>
      <c r="E50" s="213"/>
      <c r="F50" s="213"/>
      <c r="G50" s="214"/>
      <c r="H50" s="215"/>
      <c r="I50" s="215"/>
      <c r="J50" s="215"/>
      <c r="K50" s="215"/>
      <c r="L50" s="215"/>
      <c r="M50" s="215"/>
      <c r="N50" s="215"/>
      <c r="O50" s="215"/>
      <c r="P50" s="96"/>
    </row>
  </sheetData>
  <mergeCells count="97">
    <mergeCell ref="B49:G49"/>
    <mergeCell ref="H49:K49"/>
    <mergeCell ref="L49:O49"/>
    <mergeCell ref="B50:G50"/>
    <mergeCell ref="H50:K50"/>
    <mergeCell ref="L50:O50"/>
    <mergeCell ref="B47:G47"/>
    <mergeCell ref="H47:K47"/>
    <mergeCell ref="L47:O47"/>
    <mergeCell ref="B48:G48"/>
    <mergeCell ref="H48:K48"/>
    <mergeCell ref="L48:O48"/>
    <mergeCell ref="B45:G45"/>
    <mergeCell ref="H45:K45"/>
    <mergeCell ref="L45:O45"/>
    <mergeCell ref="B46:G46"/>
    <mergeCell ref="H46:K46"/>
    <mergeCell ref="L46:O46"/>
    <mergeCell ref="B43:G43"/>
    <mergeCell ref="H43:K43"/>
    <mergeCell ref="L43:O43"/>
    <mergeCell ref="B44:G44"/>
    <mergeCell ref="H44:K44"/>
    <mergeCell ref="L44:O44"/>
    <mergeCell ref="B41:G41"/>
    <mergeCell ref="H41:K41"/>
    <mergeCell ref="L41:O41"/>
    <mergeCell ref="B42:G42"/>
    <mergeCell ref="H42:K42"/>
    <mergeCell ref="L42:O42"/>
    <mergeCell ref="B39:G39"/>
    <mergeCell ref="H39:K39"/>
    <mergeCell ref="L39:O39"/>
    <mergeCell ref="B40:G40"/>
    <mergeCell ref="H40:K40"/>
    <mergeCell ref="L40:O40"/>
    <mergeCell ref="B37:G37"/>
    <mergeCell ref="H37:K37"/>
    <mergeCell ref="L37:O37"/>
    <mergeCell ref="B38:G38"/>
    <mergeCell ref="H38:K38"/>
    <mergeCell ref="L38:O38"/>
    <mergeCell ref="B35:G35"/>
    <mergeCell ref="H35:K35"/>
    <mergeCell ref="L35:O35"/>
    <mergeCell ref="B36:G36"/>
    <mergeCell ref="H36:K36"/>
    <mergeCell ref="L36:O36"/>
    <mergeCell ref="B33:G33"/>
    <mergeCell ref="H33:K33"/>
    <mergeCell ref="L33:O33"/>
    <mergeCell ref="B34:G34"/>
    <mergeCell ref="H34:K34"/>
    <mergeCell ref="L34:O34"/>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B9:B10">
    <cfRule type="cellIs" dxfId="456" priority="33" operator="equal">
      <formula>"Nok"</formula>
    </cfRule>
    <cfRule type="cellIs" dxfId="455" priority="34" operator="equal">
      <formula>"Ok"</formula>
    </cfRule>
  </conditionalFormatting>
  <conditionalFormatting sqref="P22:P30">
    <cfRule type="cellIs" dxfId="454" priority="31" operator="equal">
      <formula>"Nok"</formula>
    </cfRule>
    <cfRule type="cellIs" dxfId="453" priority="32" operator="equal">
      <formula>"Ok"</formula>
    </cfRule>
  </conditionalFormatting>
  <conditionalFormatting sqref="P31:P35">
    <cfRule type="cellIs" dxfId="452" priority="29" operator="equal">
      <formula>"Nok"</formula>
    </cfRule>
    <cfRule type="cellIs" dxfId="451" priority="30" operator="equal">
      <formula>"Ok"</formula>
    </cfRule>
  </conditionalFormatting>
  <conditionalFormatting sqref="P36:P37">
    <cfRule type="cellIs" dxfId="450" priority="27" operator="equal">
      <formula>"Nok"</formula>
    </cfRule>
    <cfRule type="cellIs" dxfId="449" priority="28" operator="equal">
      <formula>"Ok"</formula>
    </cfRule>
  </conditionalFormatting>
  <conditionalFormatting sqref="P38">
    <cfRule type="cellIs" dxfId="448" priority="25" operator="equal">
      <formula>"Nok"</formula>
    </cfRule>
    <cfRule type="cellIs" dxfId="447" priority="26" operator="equal">
      <formula>"Ok"</formula>
    </cfRule>
  </conditionalFormatting>
  <conditionalFormatting sqref="P39">
    <cfRule type="cellIs" dxfId="446" priority="23" operator="equal">
      <formula>"Nok"</formula>
    </cfRule>
    <cfRule type="cellIs" dxfId="445" priority="24" operator="equal">
      <formula>"Ok"</formula>
    </cfRule>
  </conditionalFormatting>
  <conditionalFormatting sqref="P40">
    <cfRule type="cellIs" dxfId="444" priority="21" operator="equal">
      <formula>"Nok"</formula>
    </cfRule>
    <cfRule type="cellIs" dxfId="443" priority="22" operator="equal">
      <formula>"Ok"</formula>
    </cfRule>
  </conditionalFormatting>
  <conditionalFormatting sqref="P41">
    <cfRule type="cellIs" dxfId="442" priority="19" operator="equal">
      <formula>"Nok"</formula>
    </cfRule>
    <cfRule type="cellIs" dxfId="441" priority="20" operator="equal">
      <formula>"Ok"</formula>
    </cfRule>
  </conditionalFormatting>
  <conditionalFormatting sqref="P42">
    <cfRule type="cellIs" dxfId="440" priority="17" operator="equal">
      <formula>"Nok"</formula>
    </cfRule>
    <cfRule type="cellIs" dxfId="439" priority="18" operator="equal">
      <formula>"Ok"</formula>
    </cfRule>
  </conditionalFormatting>
  <conditionalFormatting sqref="P43">
    <cfRule type="cellIs" dxfId="438" priority="15" operator="equal">
      <formula>"Nok"</formula>
    </cfRule>
    <cfRule type="cellIs" dxfId="437" priority="16" operator="equal">
      <formula>"Ok"</formula>
    </cfRule>
  </conditionalFormatting>
  <conditionalFormatting sqref="P44">
    <cfRule type="cellIs" dxfId="436" priority="13" operator="equal">
      <formula>"Nok"</formula>
    </cfRule>
    <cfRule type="cellIs" dxfId="435" priority="14" operator="equal">
      <formula>"Ok"</formula>
    </cfRule>
  </conditionalFormatting>
  <conditionalFormatting sqref="P45">
    <cfRule type="cellIs" dxfId="434" priority="11" operator="equal">
      <formula>"Nok"</formula>
    </cfRule>
    <cfRule type="cellIs" dxfId="433" priority="12" operator="equal">
      <formula>"Ok"</formula>
    </cfRule>
  </conditionalFormatting>
  <conditionalFormatting sqref="P46">
    <cfRule type="cellIs" dxfId="432" priority="9" operator="equal">
      <formula>"Nok"</formula>
    </cfRule>
    <cfRule type="cellIs" dxfId="431" priority="10" operator="equal">
      <formula>"Ok"</formula>
    </cfRule>
  </conditionalFormatting>
  <conditionalFormatting sqref="P47">
    <cfRule type="cellIs" dxfId="430" priority="7" operator="equal">
      <formula>"Nok"</formula>
    </cfRule>
    <cfRule type="cellIs" dxfId="429" priority="8" operator="equal">
      <formula>"Ok"</formula>
    </cfRule>
  </conditionalFormatting>
  <conditionalFormatting sqref="P48">
    <cfRule type="cellIs" dxfId="428" priority="5" operator="equal">
      <formula>"Nok"</formula>
    </cfRule>
    <cfRule type="cellIs" dxfId="427" priority="6" operator="equal">
      <formula>"Ok"</formula>
    </cfRule>
  </conditionalFormatting>
  <conditionalFormatting sqref="P49">
    <cfRule type="cellIs" dxfId="426" priority="3" operator="equal">
      <formula>"Nok"</formula>
    </cfRule>
    <cfRule type="cellIs" dxfId="425" priority="4" operator="equal">
      <formula>"Ok"</formula>
    </cfRule>
  </conditionalFormatting>
  <conditionalFormatting sqref="P50">
    <cfRule type="cellIs" dxfId="424" priority="1" operator="equal">
      <formula>"Nok"</formula>
    </cfRule>
    <cfRule type="cellIs" dxfId="423" priority="2" operator="equal">
      <formula>"Ok"</formula>
    </cfRule>
  </conditionalFormatting>
  <dataValidations count="3">
    <dataValidation type="list" allowBlank="1" showInputMessage="1" showErrorMessage="1" sqref="B5">
      <formula1>"Nominal, Robustness, Endurance, Qualification"</formula1>
    </dataValidation>
    <dataValidation type="list" allowBlank="1" showInputMessage="1" showErrorMessage="1" sqref="B9">
      <formula1>"Ok, Nok, Not run, NA"</formula1>
    </dataValidation>
    <dataValidation type="list" allowBlank="1" showInputMessage="1" showErrorMessage="1" sqref="P22:P50">
      <formula1>"Ok, Nok, Not run, ,"</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workbookViewId="0">
      <selection activeCell="B23" sqref="B23:G23"/>
    </sheetView>
  </sheetViews>
  <sheetFormatPr defaultRowHeight="12.75" x14ac:dyDescent="0.2"/>
  <cols>
    <col min="1" max="1" width="20.140625" style="97" customWidth="1"/>
    <col min="2" max="2" width="18.42578125" style="93" customWidth="1"/>
    <col min="3" max="7" width="9.140625" style="93"/>
    <col min="8" max="15" width="9.5703125" style="93" customWidth="1"/>
    <col min="16" max="16384" width="9.140625" style="93"/>
  </cols>
  <sheetData>
    <row r="1" spans="1:15" ht="13.5" thickBot="1" x14ac:dyDescent="0.25">
      <c r="A1" s="98" t="s">
        <v>41</v>
      </c>
      <c r="B1" s="234" t="s">
        <v>369</v>
      </c>
      <c r="C1" s="235"/>
      <c r="D1" s="235"/>
      <c r="E1" s="235"/>
      <c r="F1" s="235"/>
      <c r="G1" s="236"/>
      <c r="H1" s="73"/>
      <c r="I1" s="73"/>
      <c r="J1" s="73"/>
      <c r="K1" s="73"/>
      <c r="L1" s="73"/>
      <c r="M1" s="73"/>
      <c r="N1" s="73"/>
      <c r="O1" s="73"/>
    </row>
    <row r="2" spans="1:15" ht="13.5" thickBot="1" x14ac:dyDescent="0.25">
      <c r="A2" s="71"/>
      <c r="B2" s="72"/>
      <c r="C2" s="72"/>
      <c r="D2" s="73"/>
      <c r="E2" s="73"/>
      <c r="F2" s="73"/>
      <c r="G2" s="73"/>
      <c r="H2" s="73"/>
      <c r="I2" s="73"/>
      <c r="J2" s="73"/>
      <c r="K2" s="73"/>
      <c r="L2" s="73"/>
      <c r="M2" s="73"/>
      <c r="N2" s="73"/>
      <c r="O2" s="73"/>
    </row>
    <row r="3" spans="1:15" ht="61.5" customHeight="1" thickBot="1" x14ac:dyDescent="0.25">
      <c r="A3" s="99" t="s">
        <v>46</v>
      </c>
      <c r="B3" s="237" t="s">
        <v>371</v>
      </c>
      <c r="C3" s="238"/>
      <c r="D3" s="238"/>
      <c r="E3" s="238"/>
      <c r="F3" s="238"/>
      <c r="G3" s="239"/>
      <c r="H3" s="73"/>
      <c r="I3" s="73"/>
      <c r="J3" s="73"/>
      <c r="K3" s="73"/>
      <c r="L3" s="73"/>
      <c r="M3" s="73"/>
      <c r="N3" s="73"/>
      <c r="O3" s="73"/>
    </row>
    <row r="4" spans="1:15" ht="13.5" thickBot="1" x14ac:dyDescent="0.25">
      <c r="A4" s="71"/>
      <c r="B4" s="72"/>
      <c r="C4" s="72"/>
      <c r="D4" s="73"/>
      <c r="E4" s="73"/>
      <c r="F4" s="73"/>
      <c r="G4" s="73"/>
      <c r="H4" s="73"/>
      <c r="I4" s="73"/>
      <c r="J4" s="73"/>
      <c r="K4" s="73"/>
      <c r="L4" s="73"/>
      <c r="M4" s="73"/>
      <c r="N4" s="73"/>
      <c r="O4" s="73"/>
    </row>
    <row r="5" spans="1:15" ht="13.5" thickBot="1" x14ac:dyDescent="0.25">
      <c r="A5" s="98" t="s">
        <v>111</v>
      </c>
      <c r="B5" s="76" t="s">
        <v>142</v>
      </c>
      <c r="C5" s="72"/>
      <c r="D5" s="73"/>
      <c r="E5" s="73"/>
      <c r="F5" s="73"/>
      <c r="G5" s="73"/>
      <c r="H5" s="73"/>
      <c r="I5" s="73"/>
      <c r="J5" s="73"/>
      <c r="K5" s="73"/>
      <c r="L5" s="73"/>
      <c r="M5" s="73"/>
      <c r="N5" s="73"/>
      <c r="O5" s="73"/>
    </row>
    <row r="6" spans="1:15" ht="13.5" thickBot="1" x14ac:dyDescent="0.25">
      <c r="A6" s="71"/>
      <c r="B6" s="72"/>
      <c r="C6" s="72"/>
      <c r="D6" s="73"/>
      <c r="E6" s="73"/>
      <c r="F6" s="73"/>
      <c r="G6" s="73"/>
      <c r="H6" s="73"/>
      <c r="I6" s="73"/>
      <c r="J6" s="73"/>
      <c r="K6" s="73"/>
      <c r="L6" s="73"/>
      <c r="M6" s="73"/>
      <c r="N6" s="73"/>
      <c r="O6" s="73"/>
    </row>
    <row r="7" spans="1:15" ht="30.75" customHeight="1" thickBot="1" x14ac:dyDescent="0.25">
      <c r="A7" s="98" t="s">
        <v>42</v>
      </c>
      <c r="B7" s="237" t="s">
        <v>370</v>
      </c>
      <c r="C7" s="238"/>
      <c r="D7" s="238"/>
      <c r="E7" s="238"/>
      <c r="F7" s="238"/>
      <c r="G7" s="239"/>
      <c r="H7" s="73"/>
      <c r="I7" s="73"/>
      <c r="J7" s="73"/>
      <c r="K7" s="73"/>
      <c r="L7" s="73"/>
      <c r="M7" s="73"/>
      <c r="N7" s="73"/>
      <c r="O7" s="73"/>
    </row>
    <row r="8" spans="1:15" ht="13.5" thickBot="1" x14ac:dyDescent="0.25">
      <c r="A8" s="75"/>
      <c r="B8" s="74"/>
      <c r="C8" s="74"/>
      <c r="D8" s="74"/>
      <c r="E8" s="74"/>
      <c r="F8" s="74"/>
      <c r="G8" s="74"/>
      <c r="H8" s="73"/>
      <c r="I8" s="73"/>
      <c r="J8" s="73"/>
      <c r="K8" s="73"/>
      <c r="L8" s="73"/>
      <c r="M8" s="73"/>
      <c r="N8" s="73"/>
      <c r="O8" s="73"/>
    </row>
    <row r="9" spans="1:15" ht="13.5" thickBot="1" x14ac:dyDescent="0.25">
      <c r="A9" s="98" t="s">
        <v>43</v>
      </c>
      <c r="B9" s="103" t="s">
        <v>144</v>
      </c>
      <c r="C9" s="72"/>
      <c r="D9" s="73"/>
      <c r="E9" s="73"/>
      <c r="F9" s="73"/>
      <c r="G9" s="73"/>
      <c r="H9" s="73"/>
      <c r="I9" s="73"/>
      <c r="J9" s="73"/>
      <c r="K9" s="73"/>
      <c r="L9" s="73"/>
      <c r="M9" s="73"/>
      <c r="N9" s="73"/>
      <c r="O9" s="73"/>
    </row>
    <row r="10" spans="1:15" ht="13.5" thickBot="1" x14ac:dyDescent="0.25">
      <c r="A10" s="75"/>
      <c r="B10" s="94"/>
      <c r="C10" s="72"/>
      <c r="D10" s="73"/>
      <c r="E10" s="73"/>
      <c r="F10" s="73"/>
      <c r="G10" s="73"/>
      <c r="H10" s="73"/>
      <c r="I10" s="73"/>
      <c r="J10" s="73"/>
      <c r="K10" s="73"/>
      <c r="L10" s="73"/>
      <c r="M10" s="73"/>
      <c r="N10" s="73"/>
      <c r="O10" s="73"/>
    </row>
    <row r="11" spans="1:15" ht="12" customHeight="1" x14ac:dyDescent="0.2">
      <c r="A11" s="223" t="s">
        <v>113</v>
      </c>
      <c r="B11" s="225"/>
      <c r="C11" s="226"/>
      <c r="D11" s="226"/>
      <c r="E11" s="226"/>
      <c r="F11" s="226"/>
      <c r="G11" s="227"/>
      <c r="H11" s="73"/>
      <c r="I11" s="73"/>
      <c r="J11" s="73"/>
      <c r="K11" s="73"/>
      <c r="L11" s="73"/>
      <c r="M11" s="73"/>
      <c r="N11" s="73"/>
      <c r="O11" s="73"/>
    </row>
    <row r="12" spans="1:15" x14ac:dyDescent="0.2">
      <c r="A12" s="224"/>
      <c r="B12" s="228"/>
      <c r="C12" s="229"/>
      <c r="D12" s="229"/>
      <c r="E12" s="229"/>
      <c r="F12" s="229"/>
      <c r="G12" s="230"/>
      <c r="H12" s="73"/>
      <c r="I12" s="73"/>
      <c r="J12" s="73"/>
      <c r="K12" s="73"/>
      <c r="L12" s="73"/>
      <c r="M12" s="73"/>
      <c r="N12" s="73"/>
      <c r="O12" s="73"/>
    </row>
    <row r="13" spans="1:15" x14ac:dyDescent="0.2">
      <c r="A13" s="224"/>
      <c r="B13" s="228"/>
      <c r="C13" s="229"/>
      <c r="D13" s="229"/>
      <c r="E13" s="229"/>
      <c r="F13" s="229"/>
      <c r="G13" s="230"/>
      <c r="H13" s="71"/>
      <c r="I13" s="73"/>
      <c r="J13" s="73"/>
      <c r="K13" s="73"/>
      <c r="L13" s="73"/>
      <c r="M13" s="73"/>
      <c r="N13" s="73"/>
      <c r="O13" s="73"/>
    </row>
    <row r="14" spans="1:15" ht="13.5" thickBot="1" x14ac:dyDescent="0.25">
      <c r="A14" s="224"/>
      <c r="B14" s="231"/>
      <c r="C14" s="232"/>
      <c r="D14" s="232"/>
      <c r="E14" s="232"/>
      <c r="F14" s="232"/>
      <c r="G14" s="233"/>
      <c r="H14" s="77"/>
      <c r="I14" s="73"/>
      <c r="J14" s="73"/>
      <c r="K14" s="73"/>
      <c r="L14" s="73"/>
      <c r="M14" s="73"/>
      <c r="N14" s="73"/>
      <c r="O14" s="73"/>
    </row>
    <row r="15" spans="1:15" ht="13.5" thickBot="1" x14ac:dyDescent="0.25">
      <c r="A15" s="71"/>
      <c r="B15" s="71"/>
      <c r="C15" s="71"/>
      <c r="D15" s="71"/>
      <c r="E15" s="71"/>
      <c r="F15" s="71"/>
      <c r="G15" s="71"/>
      <c r="H15" s="77"/>
      <c r="I15" s="73"/>
      <c r="J15" s="73"/>
      <c r="K15" s="73"/>
      <c r="L15" s="73"/>
      <c r="M15" s="73"/>
      <c r="N15" s="73"/>
      <c r="O15" s="73"/>
    </row>
    <row r="16" spans="1:15" x14ac:dyDescent="0.2">
      <c r="A16" s="223" t="s">
        <v>44</v>
      </c>
      <c r="B16" s="225"/>
      <c r="C16" s="226"/>
      <c r="D16" s="226"/>
      <c r="E16" s="226"/>
      <c r="F16" s="226"/>
      <c r="G16" s="227"/>
      <c r="H16" s="73"/>
      <c r="I16" s="73"/>
      <c r="J16" s="73"/>
      <c r="K16" s="73"/>
      <c r="L16" s="73"/>
      <c r="M16" s="73"/>
      <c r="N16" s="73"/>
      <c r="O16" s="73"/>
    </row>
    <row r="17" spans="1:16" x14ac:dyDescent="0.2">
      <c r="A17" s="224"/>
      <c r="B17" s="228"/>
      <c r="C17" s="229"/>
      <c r="D17" s="229"/>
      <c r="E17" s="229"/>
      <c r="F17" s="229"/>
      <c r="G17" s="230"/>
      <c r="H17" s="73"/>
      <c r="I17" s="73"/>
      <c r="J17" s="73"/>
      <c r="K17" s="73"/>
      <c r="L17" s="73"/>
      <c r="M17" s="73"/>
      <c r="N17" s="73"/>
      <c r="O17" s="73"/>
    </row>
    <row r="18" spans="1:16" x14ac:dyDescent="0.2">
      <c r="A18" s="224"/>
      <c r="B18" s="228"/>
      <c r="C18" s="229"/>
      <c r="D18" s="229"/>
      <c r="E18" s="229"/>
      <c r="F18" s="229"/>
      <c r="G18" s="230"/>
      <c r="H18" s="71"/>
      <c r="I18" s="73"/>
      <c r="J18" s="73"/>
      <c r="K18" s="73"/>
      <c r="L18" s="73"/>
      <c r="M18" s="73"/>
      <c r="N18" s="73"/>
      <c r="O18" s="73"/>
    </row>
    <row r="19" spans="1:16" ht="13.5" thickBot="1" x14ac:dyDescent="0.25">
      <c r="A19" s="224"/>
      <c r="B19" s="231"/>
      <c r="C19" s="232"/>
      <c r="D19" s="232"/>
      <c r="E19" s="232"/>
      <c r="F19" s="232"/>
      <c r="G19" s="233"/>
      <c r="H19" s="77"/>
      <c r="I19" s="73"/>
      <c r="J19" s="73"/>
      <c r="K19" s="73"/>
      <c r="L19" s="73"/>
      <c r="M19" s="73"/>
      <c r="N19" s="73"/>
      <c r="O19" s="73"/>
    </row>
    <row r="20" spans="1:16" ht="13.5" thickBot="1" x14ac:dyDescent="0.25">
      <c r="A20" s="71"/>
      <c r="B20" s="71"/>
      <c r="C20" s="71"/>
      <c r="D20" s="71"/>
      <c r="E20" s="71"/>
      <c r="F20" s="71"/>
      <c r="G20" s="71"/>
      <c r="H20" s="77"/>
      <c r="I20" s="73"/>
      <c r="J20" s="73"/>
      <c r="K20" s="73"/>
      <c r="L20" s="73"/>
      <c r="M20" s="73"/>
      <c r="N20" s="73"/>
      <c r="O20" s="73"/>
    </row>
    <row r="21" spans="1:16" ht="12.75" customHeight="1" x14ac:dyDescent="0.2">
      <c r="A21" s="220" t="s">
        <v>48</v>
      </c>
      <c r="B21" s="221"/>
      <c r="C21" s="221"/>
      <c r="D21" s="221"/>
      <c r="E21" s="221"/>
      <c r="F21" s="221"/>
      <c r="G21" s="222"/>
      <c r="H21" s="220" t="s">
        <v>49</v>
      </c>
      <c r="I21" s="221"/>
      <c r="J21" s="221"/>
      <c r="K21" s="222"/>
      <c r="L21" s="220" t="s">
        <v>60</v>
      </c>
      <c r="M21" s="221"/>
      <c r="N21" s="221"/>
      <c r="O21" s="222"/>
      <c r="P21" s="100" t="s">
        <v>47</v>
      </c>
    </row>
    <row r="22" spans="1:16" ht="88.5" customHeight="1" thickBot="1" x14ac:dyDescent="0.25">
      <c r="A22" s="101" t="s">
        <v>50</v>
      </c>
      <c r="B22" s="212" t="s">
        <v>367</v>
      </c>
      <c r="C22" s="213"/>
      <c r="D22" s="213"/>
      <c r="E22" s="213"/>
      <c r="F22" s="213"/>
      <c r="G22" s="214"/>
      <c r="H22" s="216"/>
      <c r="I22" s="216"/>
      <c r="J22" s="216"/>
      <c r="K22" s="216"/>
      <c r="L22" s="216" t="s">
        <v>368</v>
      </c>
      <c r="M22" s="216"/>
      <c r="N22" s="216"/>
      <c r="O22" s="216"/>
      <c r="P22" s="95" t="s">
        <v>144</v>
      </c>
    </row>
    <row r="23" spans="1:16" ht="73.5" customHeight="1" thickBot="1" x14ac:dyDescent="0.25">
      <c r="A23" s="101" t="s">
        <v>51</v>
      </c>
      <c r="B23" s="212"/>
      <c r="C23" s="213"/>
      <c r="D23" s="213"/>
      <c r="E23" s="213"/>
      <c r="F23" s="213"/>
      <c r="G23" s="214"/>
      <c r="H23" s="216"/>
      <c r="I23" s="216"/>
      <c r="J23" s="216"/>
      <c r="K23" s="216"/>
      <c r="L23" s="216"/>
      <c r="M23" s="216"/>
      <c r="N23" s="216"/>
      <c r="O23" s="216"/>
      <c r="P23" s="95"/>
    </row>
    <row r="24" spans="1:16" ht="118.5" customHeight="1" thickBot="1" x14ac:dyDescent="0.25">
      <c r="A24" s="101" t="s">
        <v>52</v>
      </c>
      <c r="B24" s="212"/>
      <c r="C24" s="213"/>
      <c r="D24" s="213"/>
      <c r="E24" s="213"/>
      <c r="F24" s="213"/>
      <c r="G24" s="214"/>
      <c r="H24" s="216"/>
      <c r="I24" s="216"/>
      <c r="J24" s="216"/>
      <c r="K24" s="216"/>
      <c r="L24" s="216"/>
      <c r="M24" s="216"/>
      <c r="N24" s="216"/>
      <c r="O24" s="216"/>
      <c r="P24" s="95"/>
    </row>
    <row r="25" spans="1:16" ht="72.75" customHeight="1" thickBot="1" x14ac:dyDescent="0.25">
      <c r="A25" s="101" t="s">
        <v>53</v>
      </c>
      <c r="B25" s="212"/>
      <c r="C25" s="213"/>
      <c r="D25" s="213"/>
      <c r="E25" s="213"/>
      <c r="F25" s="213"/>
      <c r="G25" s="214"/>
      <c r="H25" s="216"/>
      <c r="I25" s="216"/>
      <c r="J25" s="216"/>
      <c r="K25" s="216"/>
      <c r="L25" s="216"/>
      <c r="M25" s="216"/>
      <c r="N25" s="216"/>
      <c r="O25" s="216"/>
      <c r="P25" s="95"/>
    </row>
    <row r="26" spans="1:16" ht="104.25" customHeight="1" thickBot="1" x14ac:dyDescent="0.25">
      <c r="A26" s="101" t="s">
        <v>54</v>
      </c>
      <c r="B26" s="212"/>
      <c r="C26" s="213"/>
      <c r="D26" s="213"/>
      <c r="E26" s="213"/>
      <c r="F26" s="213"/>
      <c r="G26" s="214"/>
      <c r="H26" s="216"/>
      <c r="I26" s="216"/>
      <c r="J26" s="216"/>
      <c r="K26" s="216"/>
      <c r="L26" s="216"/>
      <c r="M26" s="216"/>
      <c r="N26" s="216"/>
      <c r="O26" s="216"/>
      <c r="P26" s="95"/>
    </row>
    <row r="27" spans="1:16" ht="29.25" customHeight="1" x14ac:dyDescent="0.2">
      <c r="A27" s="101" t="s">
        <v>55</v>
      </c>
      <c r="B27" s="217"/>
      <c r="C27" s="218"/>
      <c r="D27" s="218"/>
      <c r="E27" s="218"/>
      <c r="F27" s="218"/>
      <c r="G27" s="219"/>
      <c r="H27" s="216"/>
      <c r="I27" s="216"/>
      <c r="J27" s="216"/>
      <c r="K27" s="216"/>
      <c r="L27" s="216"/>
      <c r="M27" s="216"/>
      <c r="N27" s="216"/>
      <c r="O27" s="216"/>
      <c r="P27" s="95"/>
    </row>
    <row r="28" spans="1:16" ht="29.25" customHeight="1" x14ac:dyDescent="0.2">
      <c r="A28" s="101" t="s">
        <v>56</v>
      </c>
      <c r="B28" s="217"/>
      <c r="C28" s="218"/>
      <c r="D28" s="218"/>
      <c r="E28" s="218"/>
      <c r="F28" s="218"/>
      <c r="G28" s="219"/>
      <c r="H28" s="216"/>
      <c r="I28" s="216"/>
      <c r="J28" s="216"/>
      <c r="K28" s="216"/>
      <c r="L28" s="216"/>
      <c r="M28" s="216"/>
      <c r="N28" s="216"/>
      <c r="O28" s="216"/>
      <c r="P28" s="95"/>
    </row>
    <row r="29" spans="1:16" ht="29.25" customHeight="1" x14ac:dyDescent="0.2">
      <c r="A29" s="101" t="s">
        <v>57</v>
      </c>
      <c r="B29" s="217"/>
      <c r="C29" s="218"/>
      <c r="D29" s="218"/>
      <c r="E29" s="218"/>
      <c r="F29" s="218"/>
      <c r="G29" s="219"/>
      <c r="H29" s="216"/>
      <c r="I29" s="216"/>
      <c r="J29" s="216"/>
      <c r="K29" s="216"/>
      <c r="L29" s="216"/>
      <c r="M29" s="216"/>
      <c r="N29" s="216"/>
      <c r="O29" s="216"/>
      <c r="P29" s="95"/>
    </row>
    <row r="30" spans="1:16" ht="45.75" customHeight="1" thickBot="1" x14ac:dyDescent="0.25">
      <c r="A30" s="102" t="s">
        <v>58</v>
      </c>
      <c r="B30" s="212"/>
      <c r="C30" s="213"/>
      <c r="D30" s="213"/>
      <c r="E30" s="213"/>
      <c r="F30" s="213"/>
      <c r="G30" s="214"/>
      <c r="H30" s="215"/>
      <c r="I30" s="215"/>
      <c r="J30" s="215"/>
      <c r="K30" s="215"/>
      <c r="L30" s="215"/>
      <c r="M30" s="215"/>
      <c r="N30" s="215"/>
      <c r="O30" s="215"/>
      <c r="P30" s="96"/>
    </row>
    <row r="31" spans="1:16" ht="29.25" customHeight="1" thickBot="1" x14ac:dyDescent="0.25">
      <c r="A31" s="102" t="s">
        <v>145</v>
      </c>
      <c r="B31" s="217"/>
      <c r="C31" s="218"/>
      <c r="D31" s="218"/>
      <c r="E31" s="218"/>
      <c r="F31" s="218"/>
      <c r="G31" s="219"/>
      <c r="H31" s="216"/>
      <c r="I31" s="216"/>
      <c r="J31" s="216"/>
      <c r="K31" s="216"/>
      <c r="L31" s="216"/>
      <c r="M31" s="216"/>
      <c r="N31" s="216"/>
      <c r="O31" s="216"/>
      <c r="P31" s="95"/>
    </row>
    <row r="32" spans="1:16" ht="55.5" customHeight="1" thickBot="1" x14ac:dyDescent="0.25">
      <c r="A32" s="102" t="s">
        <v>146</v>
      </c>
      <c r="B32" s="217"/>
      <c r="C32" s="218"/>
      <c r="D32" s="218"/>
      <c r="E32" s="218"/>
      <c r="F32" s="218"/>
      <c r="G32" s="219"/>
      <c r="H32" s="216"/>
      <c r="I32" s="216"/>
      <c r="J32" s="216"/>
      <c r="K32" s="216"/>
      <c r="L32" s="216"/>
      <c r="M32" s="216"/>
      <c r="N32" s="216"/>
      <c r="O32" s="216"/>
      <c r="P32" s="95"/>
    </row>
    <row r="33" spans="1:16" ht="45.75" customHeight="1" thickBot="1" x14ac:dyDescent="0.25">
      <c r="A33" s="102" t="s">
        <v>147</v>
      </c>
      <c r="B33" s="212"/>
      <c r="C33" s="213"/>
      <c r="D33" s="213"/>
      <c r="E33" s="213"/>
      <c r="F33" s="213"/>
      <c r="G33" s="214"/>
      <c r="H33" s="215"/>
      <c r="I33" s="215"/>
      <c r="J33" s="215"/>
      <c r="K33" s="215"/>
      <c r="L33" s="215"/>
      <c r="M33" s="215"/>
      <c r="N33" s="215"/>
      <c r="O33" s="215"/>
      <c r="P33" s="95"/>
    </row>
    <row r="34" spans="1:16" ht="45.75" customHeight="1" thickBot="1" x14ac:dyDescent="0.25">
      <c r="A34" s="102" t="s">
        <v>148</v>
      </c>
      <c r="B34" s="217"/>
      <c r="C34" s="218"/>
      <c r="D34" s="218"/>
      <c r="E34" s="218"/>
      <c r="F34" s="218"/>
      <c r="G34" s="219"/>
      <c r="H34" s="216"/>
      <c r="I34" s="216"/>
      <c r="J34" s="216"/>
      <c r="K34" s="216"/>
      <c r="L34" s="216"/>
      <c r="M34" s="216"/>
      <c r="N34" s="216"/>
      <c r="O34" s="216"/>
      <c r="P34" s="95"/>
    </row>
    <row r="35" spans="1:16" ht="48" customHeight="1" thickBot="1" x14ac:dyDescent="0.25">
      <c r="A35" s="102" t="s">
        <v>149</v>
      </c>
      <c r="B35" s="217"/>
      <c r="C35" s="218"/>
      <c r="D35" s="218"/>
      <c r="E35" s="218"/>
      <c r="F35" s="218"/>
      <c r="G35" s="219"/>
      <c r="H35" s="216"/>
      <c r="I35" s="216"/>
      <c r="J35" s="216"/>
      <c r="K35" s="216"/>
      <c r="L35" s="216"/>
      <c r="M35" s="216"/>
      <c r="N35" s="216"/>
      <c r="O35" s="216"/>
      <c r="P35" s="95"/>
    </row>
    <row r="36" spans="1:16" ht="45.75" customHeight="1" thickBot="1" x14ac:dyDescent="0.25">
      <c r="A36" s="102" t="s">
        <v>150</v>
      </c>
      <c r="B36" s="212"/>
      <c r="C36" s="213"/>
      <c r="D36" s="213"/>
      <c r="E36" s="213"/>
      <c r="F36" s="213"/>
      <c r="G36" s="214"/>
      <c r="H36" s="215"/>
      <c r="I36" s="215"/>
      <c r="J36" s="215"/>
      <c r="K36" s="215"/>
      <c r="L36" s="216"/>
      <c r="M36" s="216"/>
      <c r="N36" s="216"/>
      <c r="O36" s="216"/>
      <c r="P36" s="96"/>
    </row>
    <row r="37" spans="1:16" ht="66" customHeight="1" thickBot="1" x14ac:dyDescent="0.25">
      <c r="A37" s="102" t="s">
        <v>151</v>
      </c>
      <c r="B37" s="212"/>
      <c r="C37" s="213"/>
      <c r="D37" s="213"/>
      <c r="E37" s="213"/>
      <c r="F37" s="213"/>
      <c r="G37" s="214"/>
      <c r="H37" s="215"/>
      <c r="I37" s="215"/>
      <c r="J37" s="215"/>
      <c r="K37" s="215"/>
      <c r="L37" s="216"/>
      <c r="M37" s="216"/>
      <c r="N37" s="216"/>
      <c r="O37" s="216"/>
      <c r="P37" s="96"/>
    </row>
    <row r="38" spans="1:16" ht="45.75" customHeight="1" thickBot="1" x14ac:dyDescent="0.25">
      <c r="A38" s="102" t="s">
        <v>152</v>
      </c>
      <c r="B38" s="212"/>
      <c r="C38" s="213"/>
      <c r="D38" s="213"/>
      <c r="E38" s="213"/>
      <c r="F38" s="213"/>
      <c r="G38" s="214"/>
      <c r="H38" s="215"/>
      <c r="I38" s="215"/>
      <c r="J38" s="215"/>
      <c r="K38" s="215"/>
      <c r="L38" s="215"/>
      <c r="M38" s="215"/>
      <c r="N38" s="215"/>
      <c r="O38" s="215"/>
      <c r="P38" s="96"/>
    </row>
    <row r="39" spans="1:16" ht="45.75" customHeight="1" thickBot="1" x14ac:dyDescent="0.25">
      <c r="A39" s="102" t="s">
        <v>153</v>
      </c>
      <c r="B39" s="212"/>
      <c r="C39" s="213"/>
      <c r="D39" s="213"/>
      <c r="E39" s="213"/>
      <c r="F39" s="213"/>
      <c r="G39" s="214"/>
      <c r="H39" s="215"/>
      <c r="I39" s="215"/>
      <c r="J39" s="215"/>
      <c r="K39" s="215"/>
      <c r="L39" s="215"/>
      <c r="M39" s="215"/>
      <c r="N39" s="215"/>
      <c r="O39" s="215"/>
      <c r="P39" s="96"/>
    </row>
    <row r="40" spans="1:16" ht="45.75" customHeight="1" thickBot="1" x14ac:dyDescent="0.25">
      <c r="A40" s="102" t="s">
        <v>184</v>
      </c>
      <c r="B40" s="212"/>
      <c r="C40" s="213"/>
      <c r="D40" s="213"/>
      <c r="E40" s="213"/>
      <c r="F40" s="213"/>
      <c r="G40" s="214"/>
      <c r="H40" s="215"/>
      <c r="I40" s="215"/>
      <c r="J40" s="215"/>
      <c r="K40" s="215"/>
      <c r="L40" s="215"/>
      <c r="M40" s="215"/>
      <c r="N40" s="215"/>
      <c r="O40" s="215"/>
      <c r="P40" s="96"/>
    </row>
    <row r="41" spans="1:16" ht="45.75" customHeight="1" thickBot="1" x14ac:dyDescent="0.25">
      <c r="A41" s="102" t="s">
        <v>185</v>
      </c>
      <c r="B41" s="212"/>
      <c r="C41" s="213"/>
      <c r="D41" s="213"/>
      <c r="E41" s="213"/>
      <c r="F41" s="213"/>
      <c r="G41" s="214"/>
      <c r="H41" s="215"/>
      <c r="I41" s="215"/>
      <c r="J41" s="215"/>
      <c r="K41" s="215"/>
      <c r="L41" s="215"/>
      <c r="M41" s="215"/>
      <c r="N41" s="215"/>
      <c r="O41" s="215"/>
      <c r="P41" s="96"/>
    </row>
    <row r="42" spans="1:16" ht="45.75" customHeight="1" thickBot="1" x14ac:dyDescent="0.25">
      <c r="A42" s="102" t="s">
        <v>186</v>
      </c>
      <c r="B42" s="212"/>
      <c r="C42" s="213"/>
      <c r="D42" s="213"/>
      <c r="E42" s="213"/>
      <c r="F42" s="213"/>
      <c r="G42" s="214"/>
      <c r="H42" s="215"/>
      <c r="I42" s="215"/>
      <c r="J42" s="215"/>
      <c r="K42" s="215"/>
      <c r="L42" s="215"/>
      <c r="M42" s="215"/>
      <c r="N42" s="215"/>
      <c r="O42" s="215"/>
      <c r="P42" s="96"/>
    </row>
    <row r="43" spans="1:16" ht="45.75" customHeight="1" thickBot="1" x14ac:dyDescent="0.25">
      <c r="A43" s="102" t="s">
        <v>187</v>
      </c>
      <c r="B43" s="212"/>
      <c r="C43" s="213"/>
      <c r="D43" s="213"/>
      <c r="E43" s="213"/>
      <c r="F43" s="213"/>
      <c r="G43" s="214"/>
      <c r="H43" s="215"/>
      <c r="I43" s="215"/>
      <c r="J43" s="215"/>
      <c r="K43" s="215"/>
      <c r="L43" s="215"/>
      <c r="M43" s="215"/>
      <c r="N43" s="215"/>
      <c r="O43" s="215"/>
      <c r="P43" s="96"/>
    </row>
    <row r="44" spans="1:16" ht="45.75" customHeight="1" thickBot="1" x14ac:dyDescent="0.25">
      <c r="A44" s="102" t="s">
        <v>188</v>
      </c>
      <c r="B44" s="212"/>
      <c r="C44" s="213"/>
      <c r="D44" s="213"/>
      <c r="E44" s="213"/>
      <c r="F44" s="213"/>
      <c r="G44" s="214"/>
      <c r="H44" s="215"/>
      <c r="I44" s="215"/>
      <c r="J44" s="215"/>
      <c r="K44" s="215"/>
      <c r="L44" s="215"/>
      <c r="M44" s="215"/>
      <c r="N44" s="215"/>
      <c r="O44" s="215"/>
      <c r="P44" s="96"/>
    </row>
    <row r="45" spans="1:16" ht="45.75" customHeight="1" thickBot="1" x14ac:dyDescent="0.25">
      <c r="A45" s="102" t="s">
        <v>189</v>
      </c>
      <c r="B45" s="212"/>
      <c r="C45" s="213"/>
      <c r="D45" s="213"/>
      <c r="E45" s="213"/>
      <c r="F45" s="213"/>
      <c r="G45" s="214"/>
      <c r="H45" s="215"/>
      <c r="I45" s="215"/>
      <c r="J45" s="215"/>
      <c r="K45" s="215"/>
      <c r="L45" s="215"/>
      <c r="M45" s="215"/>
      <c r="N45" s="215"/>
      <c r="O45" s="215"/>
      <c r="P45" s="96"/>
    </row>
    <row r="46" spans="1:16" ht="45.75" customHeight="1" thickBot="1" x14ac:dyDescent="0.25">
      <c r="A46" s="102" t="s">
        <v>190</v>
      </c>
      <c r="B46" s="212"/>
      <c r="C46" s="213"/>
      <c r="D46" s="213"/>
      <c r="E46" s="213"/>
      <c r="F46" s="213"/>
      <c r="G46" s="214"/>
      <c r="H46" s="215"/>
      <c r="I46" s="215"/>
      <c r="J46" s="215"/>
      <c r="K46" s="215"/>
      <c r="L46" s="215"/>
      <c r="M46" s="215"/>
      <c r="N46" s="215"/>
      <c r="O46" s="215"/>
      <c r="P46" s="96"/>
    </row>
    <row r="47" spans="1:16" ht="45.75" customHeight="1" thickBot="1" x14ac:dyDescent="0.25">
      <c r="A47" s="102" t="s">
        <v>191</v>
      </c>
      <c r="B47" s="212"/>
      <c r="C47" s="213"/>
      <c r="D47" s="213"/>
      <c r="E47" s="213"/>
      <c r="F47" s="213"/>
      <c r="G47" s="214"/>
      <c r="H47" s="215"/>
      <c r="I47" s="215"/>
      <c r="J47" s="215"/>
      <c r="K47" s="215"/>
      <c r="L47" s="215"/>
      <c r="M47" s="215"/>
      <c r="N47" s="215"/>
      <c r="O47" s="215"/>
      <c r="P47" s="96"/>
    </row>
    <row r="48" spans="1:16" ht="45.75" customHeight="1" thickBot="1" x14ac:dyDescent="0.25">
      <c r="A48" s="102" t="s">
        <v>192</v>
      </c>
      <c r="B48" s="212"/>
      <c r="C48" s="213"/>
      <c r="D48" s="213"/>
      <c r="E48" s="213"/>
      <c r="F48" s="213"/>
      <c r="G48" s="214"/>
      <c r="H48" s="215"/>
      <c r="I48" s="215"/>
      <c r="J48" s="215"/>
      <c r="K48" s="215"/>
      <c r="L48" s="215"/>
      <c r="M48" s="215"/>
      <c r="N48" s="215"/>
      <c r="O48" s="215"/>
      <c r="P48" s="96"/>
    </row>
    <row r="49" spans="1:16" ht="45.75" customHeight="1" thickBot="1" x14ac:dyDescent="0.25">
      <c r="A49" s="102" t="s">
        <v>193</v>
      </c>
      <c r="B49" s="212"/>
      <c r="C49" s="213"/>
      <c r="D49" s="213"/>
      <c r="E49" s="213"/>
      <c r="F49" s="213"/>
      <c r="G49" s="214"/>
      <c r="H49" s="215"/>
      <c r="I49" s="215"/>
      <c r="J49" s="215"/>
      <c r="K49" s="215"/>
      <c r="L49" s="215"/>
      <c r="M49" s="215"/>
      <c r="N49" s="215"/>
      <c r="O49" s="215"/>
      <c r="P49" s="96"/>
    </row>
    <row r="50" spans="1:16" ht="45.75" customHeight="1" thickBot="1" x14ac:dyDescent="0.25">
      <c r="A50" s="102" t="s">
        <v>194</v>
      </c>
      <c r="B50" s="212"/>
      <c r="C50" s="213"/>
      <c r="D50" s="213"/>
      <c r="E50" s="213"/>
      <c r="F50" s="213"/>
      <c r="G50" s="214"/>
      <c r="H50" s="215"/>
      <c r="I50" s="215"/>
      <c r="J50" s="215"/>
      <c r="K50" s="215"/>
      <c r="L50" s="215"/>
      <c r="M50" s="215"/>
      <c r="N50" s="215"/>
      <c r="O50" s="215"/>
      <c r="P50" s="96"/>
    </row>
  </sheetData>
  <mergeCells count="97">
    <mergeCell ref="B49:G49"/>
    <mergeCell ref="H49:K49"/>
    <mergeCell ref="L49:O49"/>
    <mergeCell ref="B50:G50"/>
    <mergeCell ref="H50:K50"/>
    <mergeCell ref="L50:O50"/>
    <mergeCell ref="B47:G47"/>
    <mergeCell ref="H47:K47"/>
    <mergeCell ref="L47:O47"/>
    <mergeCell ref="B48:G48"/>
    <mergeCell ref="H48:K48"/>
    <mergeCell ref="L48:O48"/>
    <mergeCell ref="B45:G45"/>
    <mergeCell ref="H45:K45"/>
    <mergeCell ref="L45:O45"/>
    <mergeCell ref="B46:G46"/>
    <mergeCell ref="H46:K46"/>
    <mergeCell ref="L46:O46"/>
    <mergeCell ref="B43:G43"/>
    <mergeCell ref="H43:K43"/>
    <mergeCell ref="L43:O43"/>
    <mergeCell ref="B44:G44"/>
    <mergeCell ref="H44:K44"/>
    <mergeCell ref="L44:O44"/>
    <mergeCell ref="B41:G41"/>
    <mergeCell ref="H41:K41"/>
    <mergeCell ref="L41:O41"/>
    <mergeCell ref="B42:G42"/>
    <mergeCell ref="H42:K42"/>
    <mergeCell ref="L42:O42"/>
    <mergeCell ref="B39:G39"/>
    <mergeCell ref="H39:K39"/>
    <mergeCell ref="L39:O39"/>
    <mergeCell ref="B40:G40"/>
    <mergeCell ref="H40:K40"/>
    <mergeCell ref="L40:O40"/>
    <mergeCell ref="B37:G37"/>
    <mergeCell ref="H37:K37"/>
    <mergeCell ref="L37:O37"/>
    <mergeCell ref="B38:G38"/>
    <mergeCell ref="H38:K38"/>
    <mergeCell ref="L38:O38"/>
    <mergeCell ref="B35:G35"/>
    <mergeCell ref="H35:K35"/>
    <mergeCell ref="L35:O35"/>
    <mergeCell ref="B36:G36"/>
    <mergeCell ref="H36:K36"/>
    <mergeCell ref="L36:O36"/>
    <mergeCell ref="B33:G33"/>
    <mergeCell ref="H33:K33"/>
    <mergeCell ref="L33:O33"/>
    <mergeCell ref="B34:G34"/>
    <mergeCell ref="H34:K34"/>
    <mergeCell ref="L34:O34"/>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B9:B10">
    <cfRule type="cellIs" dxfId="422" priority="33" operator="equal">
      <formula>"Nok"</formula>
    </cfRule>
    <cfRule type="cellIs" dxfId="421" priority="34" operator="equal">
      <formula>"Ok"</formula>
    </cfRule>
  </conditionalFormatting>
  <conditionalFormatting sqref="P22:P30">
    <cfRule type="cellIs" dxfId="420" priority="31" operator="equal">
      <formula>"Nok"</formula>
    </cfRule>
    <cfRule type="cellIs" dxfId="419" priority="32" operator="equal">
      <formula>"Ok"</formula>
    </cfRule>
  </conditionalFormatting>
  <conditionalFormatting sqref="P31:P35">
    <cfRule type="cellIs" dxfId="418" priority="29" operator="equal">
      <formula>"Nok"</formula>
    </cfRule>
    <cfRule type="cellIs" dxfId="417" priority="30" operator="equal">
      <formula>"Ok"</formula>
    </cfRule>
  </conditionalFormatting>
  <conditionalFormatting sqref="P36:P37">
    <cfRule type="cellIs" dxfId="416" priority="27" operator="equal">
      <formula>"Nok"</formula>
    </cfRule>
    <cfRule type="cellIs" dxfId="415" priority="28" operator="equal">
      <formula>"Ok"</formula>
    </cfRule>
  </conditionalFormatting>
  <conditionalFormatting sqref="P38">
    <cfRule type="cellIs" dxfId="414" priority="25" operator="equal">
      <formula>"Nok"</formula>
    </cfRule>
    <cfRule type="cellIs" dxfId="413" priority="26" operator="equal">
      <formula>"Ok"</formula>
    </cfRule>
  </conditionalFormatting>
  <conditionalFormatting sqref="P39">
    <cfRule type="cellIs" dxfId="412" priority="23" operator="equal">
      <formula>"Nok"</formula>
    </cfRule>
    <cfRule type="cellIs" dxfId="411" priority="24" operator="equal">
      <formula>"Ok"</formula>
    </cfRule>
  </conditionalFormatting>
  <conditionalFormatting sqref="P40">
    <cfRule type="cellIs" dxfId="410" priority="21" operator="equal">
      <formula>"Nok"</formula>
    </cfRule>
    <cfRule type="cellIs" dxfId="409" priority="22" operator="equal">
      <formula>"Ok"</formula>
    </cfRule>
  </conditionalFormatting>
  <conditionalFormatting sqref="P41">
    <cfRule type="cellIs" dxfId="408" priority="19" operator="equal">
      <formula>"Nok"</formula>
    </cfRule>
    <cfRule type="cellIs" dxfId="407" priority="20" operator="equal">
      <formula>"Ok"</formula>
    </cfRule>
  </conditionalFormatting>
  <conditionalFormatting sqref="P42">
    <cfRule type="cellIs" dxfId="406" priority="17" operator="equal">
      <formula>"Nok"</formula>
    </cfRule>
    <cfRule type="cellIs" dxfId="405" priority="18" operator="equal">
      <formula>"Ok"</formula>
    </cfRule>
  </conditionalFormatting>
  <conditionalFormatting sqref="P43">
    <cfRule type="cellIs" dxfId="404" priority="15" operator="equal">
      <formula>"Nok"</formula>
    </cfRule>
    <cfRule type="cellIs" dxfId="403" priority="16" operator="equal">
      <formula>"Ok"</formula>
    </cfRule>
  </conditionalFormatting>
  <conditionalFormatting sqref="P44">
    <cfRule type="cellIs" dxfId="402" priority="13" operator="equal">
      <formula>"Nok"</formula>
    </cfRule>
    <cfRule type="cellIs" dxfId="401" priority="14" operator="equal">
      <formula>"Ok"</formula>
    </cfRule>
  </conditionalFormatting>
  <conditionalFormatting sqref="P45">
    <cfRule type="cellIs" dxfId="400" priority="11" operator="equal">
      <formula>"Nok"</formula>
    </cfRule>
    <cfRule type="cellIs" dxfId="399" priority="12" operator="equal">
      <formula>"Ok"</formula>
    </cfRule>
  </conditionalFormatting>
  <conditionalFormatting sqref="P46">
    <cfRule type="cellIs" dxfId="398" priority="9" operator="equal">
      <formula>"Nok"</formula>
    </cfRule>
    <cfRule type="cellIs" dxfId="397" priority="10" operator="equal">
      <formula>"Ok"</formula>
    </cfRule>
  </conditionalFormatting>
  <conditionalFormatting sqref="P47">
    <cfRule type="cellIs" dxfId="396" priority="7" operator="equal">
      <formula>"Nok"</formula>
    </cfRule>
    <cfRule type="cellIs" dxfId="395" priority="8" operator="equal">
      <formula>"Ok"</formula>
    </cfRule>
  </conditionalFormatting>
  <conditionalFormatting sqref="P48">
    <cfRule type="cellIs" dxfId="394" priority="5" operator="equal">
      <formula>"Nok"</formula>
    </cfRule>
    <cfRule type="cellIs" dxfId="393" priority="6" operator="equal">
      <formula>"Ok"</formula>
    </cfRule>
  </conditionalFormatting>
  <conditionalFormatting sqref="P49">
    <cfRule type="cellIs" dxfId="392" priority="3" operator="equal">
      <formula>"Nok"</formula>
    </cfRule>
    <cfRule type="cellIs" dxfId="391" priority="4" operator="equal">
      <formula>"Ok"</formula>
    </cfRule>
  </conditionalFormatting>
  <conditionalFormatting sqref="P50">
    <cfRule type="cellIs" dxfId="390" priority="1" operator="equal">
      <formula>"Nok"</formula>
    </cfRule>
    <cfRule type="cellIs" dxfId="389" priority="2" operator="equal">
      <formula>"Ok"</formula>
    </cfRule>
  </conditionalFormatting>
  <dataValidations count="3">
    <dataValidation type="list" allowBlank="1" showInputMessage="1" showErrorMessage="1" sqref="P22:P50">
      <formula1>"Ok, Nok, Not run, ,"</formula1>
    </dataValidation>
    <dataValidation type="list" allowBlank="1" showInputMessage="1" showErrorMessage="1" sqref="B9">
      <formula1>"Ok, Nok, Not run, NA"</formula1>
    </dataValidation>
    <dataValidation type="list" allowBlank="1" showInputMessage="1" showErrorMessage="1" sqref="B5">
      <formula1>"Nominal, Robustness, Endurance, Qualification"</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topLeftCell="A3" workbookViewId="0">
      <selection activeCell="I10" sqref="I10"/>
    </sheetView>
  </sheetViews>
  <sheetFormatPr defaultRowHeight="12.75" x14ac:dyDescent="0.2"/>
  <cols>
    <col min="1" max="1" width="20.140625" style="97" customWidth="1"/>
    <col min="2" max="2" width="18.42578125" style="93" customWidth="1"/>
    <col min="3" max="7" width="9.140625" style="93"/>
    <col min="8" max="15" width="9.5703125" style="93" customWidth="1"/>
    <col min="16" max="16384" width="9.140625" style="93"/>
  </cols>
  <sheetData>
    <row r="1" spans="1:15" ht="13.5" thickBot="1" x14ac:dyDescent="0.25">
      <c r="A1" s="98" t="s">
        <v>41</v>
      </c>
      <c r="B1" s="234" t="s">
        <v>373</v>
      </c>
      <c r="C1" s="235"/>
      <c r="D1" s="235"/>
      <c r="E1" s="235"/>
      <c r="F1" s="235"/>
      <c r="G1" s="236"/>
      <c r="H1" s="73"/>
      <c r="I1" s="73"/>
      <c r="J1" s="73"/>
      <c r="K1" s="73"/>
      <c r="L1" s="73"/>
      <c r="M1" s="73"/>
      <c r="N1" s="73"/>
      <c r="O1" s="73"/>
    </row>
    <row r="2" spans="1:15" ht="13.5" thickBot="1" x14ac:dyDescent="0.25">
      <c r="A2" s="71"/>
      <c r="B2" s="72"/>
      <c r="C2" s="72"/>
      <c r="D2" s="73"/>
      <c r="E2" s="73"/>
      <c r="F2" s="73"/>
      <c r="G2" s="73"/>
      <c r="H2" s="73"/>
      <c r="I2" s="73"/>
      <c r="J2" s="73"/>
      <c r="K2" s="73"/>
      <c r="L2" s="73"/>
      <c r="M2" s="73"/>
      <c r="N2" s="73"/>
      <c r="O2" s="73"/>
    </row>
    <row r="3" spans="1:15" ht="61.5" customHeight="1" thickBot="1" x14ac:dyDescent="0.25">
      <c r="A3" s="99" t="s">
        <v>46</v>
      </c>
      <c r="B3" s="237" t="s">
        <v>380</v>
      </c>
      <c r="C3" s="238"/>
      <c r="D3" s="238"/>
      <c r="E3" s="238"/>
      <c r="F3" s="238"/>
      <c r="G3" s="239"/>
      <c r="H3" s="73"/>
      <c r="I3" s="73"/>
      <c r="J3" s="73"/>
      <c r="K3" s="73"/>
      <c r="L3" s="73"/>
      <c r="M3" s="73"/>
      <c r="N3" s="73"/>
      <c r="O3" s="73"/>
    </row>
    <row r="4" spans="1:15" ht="13.5" thickBot="1" x14ac:dyDescent="0.25">
      <c r="A4" s="71"/>
      <c r="B4" s="72"/>
      <c r="C4" s="72"/>
      <c r="D4" s="73"/>
      <c r="E4" s="73"/>
      <c r="F4" s="73"/>
      <c r="G4" s="73"/>
      <c r="H4" s="73"/>
      <c r="I4" s="73"/>
      <c r="J4" s="73"/>
      <c r="K4" s="73"/>
      <c r="L4" s="73"/>
      <c r="M4" s="73"/>
      <c r="N4" s="73"/>
      <c r="O4" s="73"/>
    </row>
    <row r="5" spans="1:15" ht="13.5" thickBot="1" x14ac:dyDescent="0.25">
      <c r="A5" s="98" t="s">
        <v>111</v>
      </c>
      <c r="B5" s="76" t="s">
        <v>142</v>
      </c>
      <c r="C5" s="72"/>
      <c r="D5" s="73"/>
      <c r="E5" s="73"/>
      <c r="F5" s="73"/>
      <c r="G5" s="73"/>
      <c r="H5" s="73"/>
      <c r="I5" s="73"/>
      <c r="J5" s="73"/>
      <c r="K5" s="73"/>
      <c r="L5" s="73"/>
      <c r="M5" s="73"/>
      <c r="N5" s="73"/>
      <c r="O5" s="73"/>
    </row>
    <row r="6" spans="1:15" ht="13.5" thickBot="1" x14ac:dyDescent="0.25">
      <c r="A6" s="71"/>
      <c r="B6" s="72"/>
      <c r="C6" s="72"/>
      <c r="D6" s="73"/>
      <c r="E6" s="73"/>
      <c r="F6" s="73"/>
      <c r="G6" s="73"/>
      <c r="H6" s="73"/>
      <c r="I6" s="73"/>
      <c r="J6" s="73"/>
      <c r="K6" s="73"/>
      <c r="L6" s="73"/>
      <c r="M6" s="73"/>
      <c r="N6" s="73"/>
      <c r="O6" s="73"/>
    </row>
    <row r="7" spans="1:15" ht="30.75" customHeight="1" thickBot="1" x14ac:dyDescent="0.25">
      <c r="A7" s="98" t="s">
        <v>42</v>
      </c>
      <c r="B7" s="237" t="s">
        <v>374</v>
      </c>
      <c r="C7" s="238"/>
      <c r="D7" s="238"/>
      <c r="E7" s="238"/>
      <c r="F7" s="238"/>
      <c r="G7" s="239"/>
      <c r="H7" s="73"/>
      <c r="I7" s="73"/>
      <c r="J7" s="73"/>
      <c r="K7" s="73"/>
      <c r="L7" s="73"/>
      <c r="M7" s="73"/>
      <c r="N7" s="73"/>
      <c r="O7" s="73"/>
    </row>
    <row r="8" spans="1:15" ht="13.5" thickBot="1" x14ac:dyDescent="0.25">
      <c r="A8" s="75"/>
      <c r="B8" s="74"/>
      <c r="C8" s="74"/>
      <c r="D8" s="74"/>
      <c r="E8" s="74"/>
      <c r="F8" s="74"/>
      <c r="G8" s="74"/>
      <c r="H8" s="73"/>
      <c r="I8" s="73"/>
      <c r="J8" s="73"/>
      <c r="K8" s="73"/>
      <c r="L8" s="73"/>
      <c r="M8" s="73"/>
      <c r="N8" s="73"/>
      <c r="O8" s="73"/>
    </row>
    <row r="9" spans="1:15" ht="13.5" thickBot="1" x14ac:dyDescent="0.25">
      <c r="A9" s="98" t="s">
        <v>43</v>
      </c>
      <c r="B9" s="103" t="s">
        <v>143</v>
      </c>
      <c r="C9" s="72"/>
      <c r="D9" s="73"/>
      <c r="E9" s="73"/>
      <c r="F9" s="73"/>
      <c r="G9" s="73"/>
      <c r="H9" s="73"/>
      <c r="I9" s="73"/>
      <c r="J9" s="73"/>
      <c r="K9" s="73"/>
      <c r="L9" s="73"/>
      <c r="M9" s="73"/>
      <c r="N9" s="73"/>
      <c r="O9" s="73"/>
    </row>
    <row r="10" spans="1:15" ht="13.5" thickBot="1" x14ac:dyDescent="0.25">
      <c r="A10" s="75"/>
      <c r="B10" s="94"/>
      <c r="C10" s="72"/>
      <c r="D10" s="73"/>
      <c r="E10" s="73"/>
      <c r="F10" s="73"/>
      <c r="G10" s="73"/>
      <c r="H10" s="73"/>
      <c r="I10" s="73"/>
      <c r="J10" s="73"/>
      <c r="K10" s="73"/>
      <c r="L10" s="73"/>
      <c r="M10" s="73"/>
      <c r="N10" s="73"/>
      <c r="O10" s="73"/>
    </row>
    <row r="11" spans="1:15" ht="12" customHeight="1" x14ac:dyDescent="0.2">
      <c r="A11" s="223" t="s">
        <v>113</v>
      </c>
      <c r="B11" s="225"/>
      <c r="C11" s="226"/>
      <c r="D11" s="226"/>
      <c r="E11" s="226"/>
      <c r="F11" s="226"/>
      <c r="G11" s="227"/>
      <c r="H11" s="73"/>
      <c r="I11" s="73"/>
      <c r="J11" s="73"/>
      <c r="K11" s="73"/>
      <c r="L11" s="73"/>
      <c r="M11" s="73"/>
      <c r="N11" s="73"/>
      <c r="O11" s="73"/>
    </row>
    <row r="12" spans="1:15" x14ac:dyDescent="0.2">
      <c r="A12" s="224"/>
      <c r="B12" s="228"/>
      <c r="C12" s="229"/>
      <c r="D12" s="229"/>
      <c r="E12" s="229"/>
      <c r="F12" s="229"/>
      <c r="G12" s="230"/>
      <c r="H12" s="73"/>
      <c r="I12" s="73"/>
      <c r="J12" s="73"/>
      <c r="K12" s="73"/>
      <c r="L12" s="73"/>
      <c r="M12" s="73"/>
      <c r="N12" s="73"/>
      <c r="O12" s="73"/>
    </row>
    <row r="13" spans="1:15" x14ac:dyDescent="0.2">
      <c r="A13" s="224"/>
      <c r="B13" s="228"/>
      <c r="C13" s="229"/>
      <c r="D13" s="229"/>
      <c r="E13" s="229"/>
      <c r="F13" s="229"/>
      <c r="G13" s="230"/>
      <c r="H13" s="71"/>
      <c r="I13" s="73"/>
      <c r="J13" s="73"/>
      <c r="K13" s="73"/>
      <c r="L13" s="73"/>
      <c r="M13" s="73"/>
      <c r="N13" s="73"/>
      <c r="O13" s="73"/>
    </row>
    <row r="14" spans="1:15" ht="13.5" thickBot="1" x14ac:dyDescent="0.25">
      <c r="A14" s="224"/>
      <c r="B14" s="231"/>
      <c r="C14" s="232"/>
      <c r="D14" s="232"/>
      <c r="E14" s="232"/>
      <c r="F14" s="232"/>
      <c r="G14" s="233"/>
      <c r="H14" s="77"/>
      <c r="I14" s="73"/>
      <c r="J14" s="73"/>
      <c r="K14" s="73"/>
      <c r="L14" s="73"/>
      <c r="M14" s="73"/>
      <c r="N14" s="73"/>
      <c r="O14" s="73"/>
    </row>
    <row r="15" spans="1:15" ht="13.5" thickBot="1" x14ac:dyDescent="0.25">
      <c r="A15" s="71"/>
      <c r="B15" s="71"/>
      <c r="C15" s="71"/>
      <c r="D15" s="71"/>
      <c r="E15" s="71"/>
      <c r="F15" s="71"/>
      <c r="G15" s="71"/>
      <c r="H15" s="77"/>
      <c r="I15" s="73"/>
      <c r="J15" s="73"/>
      <c r="K15" s="73"/>
      <c r="L15" s="73"/>
      <c r="M15" s="73"/>
      <c r="N15" s="73"/>
      <c r="O15" s="73"/>
    </row>
    <row r="16" spans="1:15" x14ac:dyDescent="0.2">
      <c r="A16" s="223" t="s">
        <v>44</v>
      </c>
      <c r="B16" s="225"/>
      <c r="C16" s="226"/>
      <c r="D16" s="226"/>
      <c r="E16" s="226"/>
      <c r="F16" s="226"/>
      <c r="G16" s="227"/>
      <c r="H16" s="73"/>
      <c r="I16" s="73"/>
      <c r="J16" s="73"/>
      <c r="K16" s="73"/>
      <c r="L16" s="73"/>
      <c r="M16" s="73"/>
      <c r="N16" s="73"/>
      <c r="O16" s="73"/>
    </row>
    <row r="17" spans="1:16" x14ac:dyDescent="0.2">
      <c r="A17" s="224"/>
      <c r="B17" s="228"/>
      <c r="C17" s="229"/>
      <c r="D17" s="229"/>
      <c r="E17" s="229"/>
      <c r="F17" s="229"/>
      <c r="G17" s="230"/>
      <c r="H17" s="73"/>
      <c r="I17" s="73"/>
      <c r="J17" s="73"/>
      <c r="K17" s="73"/>
      <c r="L17" s="73"/>
      <c r="M17" s="73"/>
      <c r="N17" s="73"/>
      <c r="O17" s="73"/>
    </row>
    <row r="18" spans="1:16" x14ac:dyDescent="0.2">
      <c r="A18" s="224"/>
      <c r="B18" s="228"/>
      <c r="C18" s="229"/>
      <c r="D18" s="229"/>
      <c r="E18" s="229"/>
      <c r="F18" s="229"/>
      <c r="G18" s="230"/>
      <c r="H18" s="71"/>
      <c r="I18" s="73"/>
      <c r="J18" s="73"/>
      <c r="K18" s="73"/>
      <c r="L18" s="73"/>
      <c r="M18" s="73"/>
      <c r="N18" s="73"/>
      <c r="O18" s="73"/>
    </row>
    <row r="19" spans="1:16" ht="13.5" thickBot="1" x14ac:dyDescent="0.25">
      <c r="A19" s="224"/>
      <c r="B19" s="231"/>
      <c r="C19" s="232"/>
      <c r="D19" s="232"/>
      <c r="E19" s="232"/>
      <c r="F19" s="232"/>
      <c r="G19" s="233"/>
      <c r="H19" s="77"/>
      <c r="I19" s="73"/>
      <c r="J19" s="73"/>
      <c r="K19" s="73"/>
      <c r="L19" s="73"/>
      <c r="M19" s="73"/>
      <c r="N19" s="73"/>
      <c r="O19" s="73"/>
    </row>
    <row r="20" spans="1:16" ht="13.5" thickBot="1" x14ac:dyDescent="0.25">
      <c r="A20" s="71"/>
      <c r="B20" s="71"/>
      <c r="C20" s="71"/>
      <c r="D20" s="71"/>
      <c r="E20" s="71"/>
      <c r="F20" s="71"/>
      <c r="G20" s="71"/>
      <c r="H20" s="77"/>
      <c r="I20" s="73"/>
      <c r="J20" s="73"/>
      <c r="K20" s="73"/>
      <c r="L20" s="73"/>
      <c r="M20" s="73"/>
      <c r="N20" s="73"/>
      <c r="O20" s="73"/>
    </row>
    <row r="21" spans="1:16" ht="12.75" customHeight="1" x14ac:dyDescent="0.2">
      <c r="A21" s="220" t="s">
        <v>48</v>
      </c>
      <c r="B21" s="221"/>
      <c r="C21" s="221"/>
      <c r="D21" s="221"/>
      <c r="E21" s="221"/>
      <c r="F21" s="221"/>
      <c r="G21" s="222"/>
      <c r="H21" s="220" t="s">
        <v>49</v>
      </c>
      <c r="I21" s="221"/>
      <c r="J21" s="221"/>
      <c r="K21" s="222"/>
      <c r="L21" s="220" t="s">
        <v>60</v>
      </c>
      <c r="M21" s="221"/>
      <c r="N21" s="221"/>
      <c r="O21" s="222"/>
      <c r="P21" s="100" t="s">
        <v>47</v>
      </c>
    </row>
    <row r="22" spans="1:16" ht="88.5" customHeight="1" thickBot="1" x14ac:dyDescent="0.25">
      <c r="A22" s="101" t="s">
        <v>50</v>
      </c>
      <c r="B22" s="212" t="s">
        <v>375</v>
      </c>
      <c r="C22" s="213"/>
      <c r="D22" s="213"/>
      <c r="E22" s="213"/>
      <c r="F22" s="213"/>
      <c r="G22" s="214"/>
      <c r="H22" s="216"/>
      <c r="I22" s="216"/>
      <c r="J22" s="216"/>
      <c r="K22" s="216"/>
      <c r="L22" s="216" t="s">
        <v>376</v>
      </c>
      <c r="M22" s="216"/>
      <c r="N22" s="216"/>
      <c r="O22" s="216"/>
      <c r="P22" s="95" t="s">
        <v>143</v>
      </c>
    </row>
    <row r="23" spans="1:16" ht="130.5" customHeight="1" thickBot="1" x14ac:dyDescent="0.25">
      <c r="A23" s="101" t="s">
        <v>51</v>
      </c>
      <c r="B23" s="212" t="s">
        <v>377</v>
      </c>
      <c r="C23" s="213"/>
      <c r="D23" s="213"/>
      <c r="E23" s="213"/>
      <c r="F23" s="213"/>
      <c r="G23" s="214"/>
      <c r="H23" s="216"/>
      <c r="I23" s="216"/>
      <c r="J23" s="216"/>
      <c r="K23" s="216"/>
      <c r="L23" s="216" t="s">
        <v>376</v>
      </c>
      <c r="M23" s="216"/>
      <c r="N23" s="216"/>
      <c r="O23" s="216"/>
      <c r="P23" s="95" t="s">
        <v>143</v>
      </c>
    </row>
    <row r="24" spans="1:16" ht="97.5" customHeight="1" thickBot="1" x14ac:dyDescent="0.25">
      <c r="A24" s="101" t="s">
        <v>52</v>
      </c>
      <c r="B24" s="212" t="s">
        <v>378</v>
      </c>
      <c r="C24" s="213"/>
      <c r="D24" s="213"/>
      <c r="E24" s="213"/>
      <c r="F24" s="213"/>
      <c r="G24" s="214"/>
      <c r="H24" s="216"/>
      <c r="I24" s="216"/>
      <c r="J24" s="216"/>
      <c r="K24" s="216"/>
      <c r="L24" s="216" t="s">
        <v>376</v>
      </c>
      <c r="M24" s="216"/>
      <c r="N24" s="216"/>
      <c r="O24" s="216"/>
      <c r="P24" s="95" t="s">
        <v>143</v>
      </c>
    </row>
    <row r="25" spans="1:16" ht="72.75" customHeight="1" thickBot="1" x14ac:dyDescent="0.25">
      <c r="A25" s="101" t="s">
        <v>53</v>
      </c>
      <c r="B25" s="212" t="s">
        <v>379</v>
      </c>
      <c r="C25" s="213"/>
      <c r="D25" s="213"/>
      <c r="E25" s="213"/>
      <c r="F25" s="213"/>
      <c r="G25" s="214"/>
      <c r="H25" s="216"/>
      <c r="I25" s="216"/>
      <c r="J25" s="216"/>
      <c r="K25" s="216"/>
      <c r="L25" s="216" t="s">
        <v>376</v>
      </c>
      <c r="M25" s="216"/>
      <c r="N25" s="216"/>
      <c r="O25" s="216"/>
      <c r="P25" s="95" t="s">
        <v>143</v>
      </c>
    </row>
    <row r="26" spans="1:16" ht="104.25" customHeight="1" thickBot="1" x14ac:dyDescent="0.25">
      <c r="A26" s="101" t="s">
        <v>54</v>
      </c>
      <c r="B26" s="212"/>
      <c r="C26" s="213"/>
      <c r="D26" s="213"/>
      <c r="E26" s="213"/>
      <c r="F26" s="213"/>
      <c r="G26" s="214"/>
      <c r="H26" s="216"/>
      <c r="I26" s="216"/>
      <c r="J26" s="216"/>
      <c r="K26" s="216"/>
      <c r="L26" s="216"/>
      <c r="M26" s="216"/>
      <c r="N26" s="216"/>
      <c r="O26" s="216"/>
      <c r="P26" s="95"/>
    </row>
    <row r="27" spans="1:16" ht="29.25" customHeight="1" x14ac:dyDescent="0.2">
      <c r="A27" s="101" t="s">
        <v>55</v>
      </c>
      <c r="B27" s="217"/>
      <c r="C27" s="218"/>
      <c r="D27" s="218"/>
      <c r="E27" s="218"/>
      <c r="F27" s="218"/>
      <c r="G27" s="219"/>
      <c r="H27" s="216"/>
      <c r="I27" s="216"/>
      <c r="J27" s="216"/>
      <c r="K27" s="216"/>
      <c r="L27" s="216"/>
      <c r="M27" s="216"/>
      <c r="N27" s="216"/>
      <c r="O27" s="216"/>
      <c r="P27" s="95"/>
    </row>
    <row r="28" spans="1:16" ht="29.25" customHeight="1" x14ac:dyDescent="0.2">
      <c r="A28" s="101" t="s">
        <v>56</v>
      </c>
      <c r="B28" s="217"/>
      <c r="C28" s="218"/>
      <c r="D28" s="218"/>
      <c r="E28" s="218"/>
      <c r="F28" s="218"/>
      <c r="G28" s="219"/>
      <c r="H28" s="216"/>
      <c r="I28" s="216"/>
      <c r="J28" s="216"/>
      <c r="K28" s="216"/>
      <c r="L28" s="216"/>
      <c r="M28" s="216"/>
      <c r="N28" s="216"/>
      <c r="O28" s="216"/>
      <c r="P28" s="95"/>
    </row>
    <row r="29" spans="1:16" ht="29.25" customHeight="1" x14ac:dyDescent="0.2">
      <c r="A29" s="101" t="s">
        <v>57</v>
      </c>
      <c r="B29" s="217"/>
      <c r="C29" s="218"/>
      <c r="D29" s="218"/>
      <c r="E29" s="218"/>
      <c r="F29" s="218"/>
      <c r="G29" s="219"/>
      <c r="H29" s="216"/>
      <c r="I29" s="216"/>
      <c r="J29" s="216"/>
      <c r="K29" s="216"/>
      <c r="L29" s="216"/>
      <c r="M29" s="216"/>
      <c r="N29" s="216"/>
      <c r="O29" s="216"/>
      <c r="P29" s="95"/>
    </row>
    <row r="30" spans="1:16" ht="45.75" customHeight="1" thickBot="1" x14ac:dyDescent="0.25">
      <c r="A30" s="102" t="s">
        <v>58</v>
      </c>
      <c r="B30" s="212"/>
      <c r="C30" s="213"/>
      <c r="D30" s="213"/>
      <c r="E30" s="213"/>
      <c r="F30" s="213"/>
      <c r="G30" s="214"/>
      <c r="H30" s="215"/>
      <c r="I30" s="215"/>
      <c r="J30" s="215"/>
      <c r="K30" s="215"/>
      <c r="L30" s="215"/>
      <c r="M30" s="215"/>
      <c r="N30" s="215"/>
      <c r="O30" s="215"/>
      <c r="P30" s="96"/>
    </row>
    <row r="31" spans="1:16" ht="29.25" customHeight="1" thickBot="1" x14ac:dyDescent="0.25">
      <c r="A31" s="102" t="s">
        <v>145</v>
      </c>
      <c r="B31" s="217"/>
      <c r="C31" s="218"/>
      <c r="D31" s="218"/>
      <c r="E31" s="218"/>
      <c r="F31" s="218"/>
      <c r="G31" s="219"/>
      <c r="H31" s="216"/>
      <c r="I31" s="216"/>
      <c r="J31" s="216"/>
      <c r="K31" s="216"/>
      <c r="L31" s="216"/>
      <c r="M31" s="216"/>
      <c r="N31" s="216"/>
      <c r="O31" s="216"/>
      <c r="P31" s="95"/>
    </row>
    <row r="32" spans="1:16" ht="55.5" customHeight="1" thickBot="1" x14ac:dyDescent="0.25">
      <c r="A32" s="102" t="s">
        <v>146</v>
      </c>
      <c r="B32" s="217"/>
      <c r="C32" s="218"/>
      <c r="D32" s="218"/>
      <c r="E32" s="218"/>
      <c r="F32" s="218"/>
      <c r="G32" s="219"/>
      <c r="H32" s="216"/>
      <c r="I32" s="216"/>
      <c r="J32" s="216"/>
      <c r="K32" s="216"/>
      <c r="L32" s="216"/>
      <c r="M32" s="216"/>
      <c r="N32" s="216"/>
      <c r="O32" s="216"/>
      <c r="P32" s="95"/>
    </row>
    <row r="33" spans="1:16" ht="45.75" customHeight="1" thickBot="1" x14ac:dyDescent="0.25">
      <c r="A33" s="102" t="s">
        <v>147</v>
      </c>
      <c r="B33" s="212"/>
      <c r="C33" s="213"/>
      <c r="D33" s="213"/>
      <c r="E33" s="213"/>
      <c r="F33" s="213"/>
      <c r="G33" s="214"/>
      <c r="H33" s="215"/>
      <c r="I33" s="215"/>
      <c r="J33" s="215"/>
      <c r="K33" s="215"/>
      <c r="L33" s="215"/>
      <c r="M33" s="215"/>
      <c r="N33" s="215"/>
      <c r="O33" s="215"/>
      <c r="P33" s="95"/>
    </row>
    <row r="34" spans="1:16" ht="45.75" customHeight="1" thickBot="1" x14ac:dyDescent="0.25">
      <c r="A34" s="102" t="s">
        <v>148</v>
      </c>
      <c r="B34" s="217"/>
      <c r="C34" s="218"/>
      <c r="D34" s="218"/>
      <c r="E34" s="218"/>
      <c r="F34" s="218"/>
      <c r="G34" s="219"/>
      <c r="H34" s="216"/>
      <c r="I34" s="216"/>
      <c r="J34" s="216"/>
      <c r="K34" s="216"/>
      <c r="L34" s="216"/>
      <c r="M34" s="216"/>
      <c r="N34" s="216"/>
      <c r="O34" s="216"/>
      <c r="P34" s="95"/>
    </row>
    <row r="35" spans="1:16" ht="48" customHeight="1" thickBot="1" x14ac:dyDescent="0.25">
      <c r="A35" s="102" t="s">
        <v>149</v>
      </c>
      <c r="B35" s="217"/>
      <c r="C35" s="218"/>
      <c r="D35" s="218"/>
      <c r="E35" s="218"/>
      <c r="F35" s="218"/>
      <c r="G35" s="219"/>
      <c r="H35" s="216"/>
      <c r="I35" s="216"/>
      <c r="J35" s="216"/>
      <c r="K35" s="216"/>
      <c r="L35" s="216"/>
      <c r="M35" s="216"/>
      <c r="N35" s="216"/>
      <c r="O35" s="216"/>
      <c r="P35" s="95"/>
    </row>
    <row r="36" spans="1:16" ht="45.75" customHeight="1" thickBot="1" x14ac:dyDescent="0.25">
      <c r="A36" s="102" t="s">
        <v>150</v>
      </c>
      <c r="B36" s="212"/>
      <c r="C36" s="213"/>
      <c r="D36" s="213"/>
      <c r="E36" s="213"/>
      <c r="F36" s="213"/>
      <c r="G36" s="214"/>
      <c r="H36" s="215"/>
      <c r="I36" s="215"/>
      <c r="J36" s="215"/>
      <c r="K36" s="215"/>
      <c r="L36" s="216"/>
      <c r="M36" s="216"/>
      <c r="N36" s="216"/>
      <c r="O36" s="216"/>
      <c r="P36" s="96"/>
    </row>
    <row r="37" spans="1:16" ht="66" customHeight="1" thickBot="1" x14ac:dyDescent="0.25">
      <c r="A37" s="102" t="s">
        <v>151</v>
      </c>
      <c r="B37" s="212"/>
      <c r="C37" s="213"/>
      <c r="D37" s="213"/>
      <c r="E37" s="213"/>
      <c r="F37" s="213"/>
      <c r="G37" s="214"/>
      <c r="H37" s="215"/>
      <c r="I37" s="215"/>
      <c r="J37" s="215"/>
      <c r="K37" s="215"/>
      <c r="L37" s="216"/>
      <c r="M37" s="216"/>
      <c r="N37" s="216"/>
      <c r="O37" s="216"/>
      <c r="P37" s="96"/>
    </row>
    <row r="38" spans="1:16" ht="45.75" customHeight="1" thickBot="1" x14ac:dyDescent="0.25">
      <c r="A38" s="102" t="s">
        <v>152</v>
      </c>
      <c r="B38" s="212"/>
      <c r="C38" s="213"/>
      <c r="D38" s="213"/>
      <c r="E38" s="213"/>
      <c r="F38" s="213"/>
      <c r="G38" s="214"/>
      <c r="H38" s="215"/>
      <c r="I38" s="215"/>
      <c r="J38" s="215"/>
      <c r="K38" s="215"/>
      <c r="L38" s="215"/>
      <c r="M38" s="215"/>
      <c r="N38" s="215"/>
      <c r="O38" s="215"/>
      <c r="P38" s="96"/>
    </row>
    <row r="39" spans="1:16" ht="45.75" customHeight="1" thickBot="1" x14ac:dyDescent="0.25">
      <c r="A39" s="102" t="s">
        <v>153</v>
      </c>
      <c r="B39" s="212"/>
      <c r="C39" s="213"/>
      <c r="D39" s="213"/>
      <c r="E39" s="213"/>
      <c r="F39" s="213"/>
      <c r="G39" s="214"/>
      <c r="H39" s="215"/>
      <c r="I39" s="215"/>
      <c r="J39" s="215"/>
      <c r="K39" s="215"/>
      <c r="L39" s="215"/>
      <c r="M39" s="215"/>
      <c r="N39" s="215"/>
      <c r="O39" s="215"/>
      <c r="P39" s="96"/>
    </row>
    <row r="40" spans="1:16" ht="45.75" customHeight="1" thickBot="1" x14ac:dyDescent="0.25">
      <c r="A40" s="102" t="s">
        <v>184</v>
      </c>
      <c r="B40" s="212"/>
      <c r="C40" s="213"/>
      <c r="D40" s="213"/>
      <c r="E40" s="213"/>
      <c r="F40" s="213"/>
      <c r="G40" s="214"/>
      <c r="H40" s="215"/>
      <c r="I40" s="215"/>
      <c r="J40" s="215"/>
      <c r="K40" s="215"/>
      <c r="L40" s="215"/>
      <c r="M40" s="215"/>
      <c r="N40" s="215"/>
      <c r="O40" s="215"/>
      <c r="P40" s="96"/>
    </row>
    <row r="41" spans="1:16" ht="45.75" customHeight="1" thickBot="1" x14ac:dyDescent="0.25">
      <c r="A41" s="102" t="s">
        <v>185</v>
      </c>
      <c r="B41" s="212"/>
      <c r="C41" s="213"/>
      <c r="D41" s="213"/>
      <c r="E41" s="213"/>
      <c r="F41" s="213"/>
      <c r="G41" s="214"/>
      <c r="H41" s="215"/>
      <c r="I41" s="215"/>
      <c r="J41" s="215"/>
      <c r="K41" s="215"/>
      <c r="L41" s="215"/>
      <c r="M41" s="215"/>
      <c r="N41" s="215"/>
      <c r="O41" s="215"/>
      <c r="P41" s="96"/>
    </row>
    <row r="42" spans="1:16" ht="45.75" customHeight="1" thickBot="1" x14ac:dyDescent="0.25">
      <c r="A42" s="102" t="s">
        <v>186</v>
      </c>
      <c r="B42" s="212"/>
      <c r="C42" s="213"/>
      <c r="D42" s="213"/>
      <c r="E42" s="213"/>
      <c r="F42" s="213"/>
      <c r="G42" s="214"/>
      <c r="H42" s="215"/>
      <c r="I42" s="215"/>
      <c r="J42" s="215"/>
      <c r="K42" s="215"/>
      <c r="L42" s="215"/>
      <c r="M42" s="215"/>
      <c r="N42" s="215"/>
      <c r="O42" s="215"/>
      <c r="P42" s="96"/>
    </row>
    <row r="43" spans="1:16" ht="45.75" customHeight="1" thickBot="1" x14ac:dyDescent="0.25">
      <c r="A43" s="102" t="s">
        <v>187</v>
      </c>
      <c r="B43" s="212"/>
      <c r="C43" s="213"/>
      <c r="D43" s="213"/>
      <c r="E43" s="213"/>
      <c r="F43" s="213"/>
      <c r="G43" s="214"/>
      <c r="H43" s="215"/>
      <c r="I43" s="215"/>
      <c r="J43" s="215"/>
      <c r="K43" s="215"/>
      <c r="L43" s="215"/>
      <c r="M43" s="215"/>
      <c r="N43" s="215"/>
      <c r="O43" s="215"/>
      <c r="P43" s="96"/>
    </row>
    <row r="44" spans="1:16" ht="45.75" customHeight="1" thickBot="1" x14ac:dyDescent="0.25">
      <c r="A44" s="102" t="s">
        <v>188</v>
      </c>
      <c r="B44" s="212"/>
      <c r="C44" s="213"/>
      <c r="D44" s="213"/>
      <c r="E44" s="213"/>
      <c r="F44" s="213"/>
      <c r="G44" s="214"/>
      <c r="H44" s="215"/>
      <c r="I44" s="215"/>
      <c r="J44" s="215"/>
      <c r="K44" s="215"/>
      <c r="L44" s="215"/>
      <c r="M44" s="215"/>
      <c r="N44" s="215"/>
      <c r="O44" s="215"/>
      <c r="P44" s="96"/>
    </row>
    <row r="45" spans="1:16" ht="45.75" customHeight="1" thickBot="1" x14ac:dyDescent="0.25">
      <c r="A45" s="102" t="s">
        <v>189</v>
      </c>
      <c r="B45" s="212"/>
      <c r="C45" s="213"/>
      <c r="D45" s="213"/>
      <c r="E45" s="213"/>
      <c r="F45" s="213"/>
      <c r="G45" s="214"/>
      <c r="H45" s="215"/>
      <c r="I45" s="215"/>
      <c r="J45" s="215"/>
      <c r="K45" s="215"/>
      <c r="L45" s="215"/>
      <c r="M45" s="215"/>
      <c r="N45" s="215"/>
      <c r="O45" s="215"/>
      <c r="P45" s="96"/>
    </row>
    <row r="46" spans="1:16" ht="45.75" customHeight="1" thickBot="1" x14ac:dyDescent="0.25">
      <c r="A46" s="102" t="s">
        <v>190</v>
      </c>
      <c r="B46" s="212"/>
      <c r="C46" s="213"/>
      <c r="D46" s="213"/>
      <c r="E46" s="213"/>
      <c r="F46" s="213"/>
      <c r="G46" s="214"/>
      <c r="H46" s="215"/>
      <c r="I46" s="215"/>
      <c r="J46" s="215"/>
      <c r="K46" s="215"/>
      <c r="L46" s="215"/>
      <c r="M46" s="215"/>
      <c r="N46" s="215"/>
      <c r="O46" s="215"/>
      <c r="P46" s="96"/>
    </row>
    <row r="47" spans="1:16" ht="45.75" customHeight="1" thickBot="1" x14ac:dyDescent="0.25">
      <c r="A47" s="102" t="s">
        <v>191</v>
      </c>
      <c r="B47" s="212"/>
      <c r="C47" s="213"/>
      <c r="D47" s="213"/>
      <c r="E47" s="213"/>
      <c r="F47" s="213"/>
      <c r="G47" s="214"/>
      <c r="H47" s="215"/>
      <c r="I47" s="215"/>
      <c r="J47" s="215"/>
      <c r="K47" s="215"/>
      <c r="L47" s="215"/>
      <c r="M47" s="215"/>
      <c r="N47" s="215"/>
      <c r="O47" s="215"/>
      <c r="P47" s="96"/>
    </row>
    <row r="48" spans="1:16" ht="45.75" customHeight="1" thickBot="1" x14ac:dyDescent="0.25">
      <c r="A48" s="102" t="s">
        <v>192</v>
      </c>
      <c r="B48" s="212"/>
      <c r="C48" s="213"/>
      <c r="D48" s="213"/>
      <c r="E48" s="213"/>
      <c r="F48" s="213"/>
      <c r="G48" s="214"/>
      <c r="H48" s="215"/>
      <c r="I48" s="215"/>
      <c r="J48" s="215"/>
      <c r="K48" s="215"/>
      <c r="L48" s="215"/>
      <c r="M48" s="215"/>
      <c r="N48" s="215"/>
      <c r="O48" s="215"/>
      <c r="P48" s="96"/>
    </row>
    <row r="49" spans="1:16" ht="45.75" customHeight="1" thickBot="1" x14ac:dyDescent="0.25">
      <c r="A49" s="102" t="s">
        <v>193</v>
      </c>
      <c r="B49" s="212"/>
      <c r="C49" s="213"/>
      <c r="D49" s="213"/>
      <c r="E49" s="213"/>
      <c r="F49" s="213"/>
      <c r="G49" s="214"/>
      <c r="H49" s="215"/>
      <c r="I49" s="215"/>
      <c r="J49" s="215"/>
      <c r="K49" s="215"/>
      <c r="L49" s="215"/>
      <c r="M49" s="215"/>
      <c r="N49" s="215"/>
      <c r="O49" s="215"/>
      <c r="P49" s="96"/>
    </row>
    <row r="50" spans="1:16" ht="45.75" customHeight="1" thickBot="1" x14ac:dyDescent="0.25">
      <c r="A50" s="102" t="s">
        <v>194</v>
      </c>
      <c r="B50" s="212"/>
      <c r="C50" s="213"/>
      <c r="D50" s="213"/>
      <c r="E50" s="213"/>
      <c r="F50" s="213"/>
      <c r="G50" s="214"/>
      <c r="H50" s="215"/>
      <c r="I50" s="215"/>
      <c r="J50" s="215"/>
      <c r="K50" s="215"/>
      <c r="L50" s="215"/>
      <c r="M50" s="215"/>
      <c r="N50" s="215"/>
      <c r="O50" s="215"/>
      <c r="P50" s="96"/>
    </row>
  </sheetData>
  <mergeCells count="97">
    <mergeCell ref="B49:G49"/>
    <mergeCell ref="H49:K49"/>
    <mergeCell ref="L49:O49"/>
    <mergeCell ref="B50:G50"/>
    <mergeCell ref="H50:K50"/>
    <mergeCell ref="L50:O50"/>
    <mergeCell ref="B47:G47"/>
    <mergeCell ref="H47:K47"/>
    <mergeCell ref="L47:O47"/>
    <mergeCell ref="B48:G48"/>
    <mergeCell ref="H48:K48"/>
    <mergeCell ref="L48:O48"/>
    <mergeCell ref="B45:G45"/>
    <mergeCell ref="H45:K45"/>
    <mergeCell ref="L45:O45"/>
    <mergeCell ref="B46:G46"/>
    <mergeCell ref="H46:K46"/>
    <mergeCell ref="L46:O46"/>
    <mergeCell ref="B43:G43"/>
    <mergeCell ref="H43:K43"/>
    <mergeCell ref="L43:O43"/>
    <mergeCell ref="B44:G44"/>
    <mergeCell ref="H44:K44"/>
    <mergeCell ref="L44:O44"/>
    <mergeCell ref="B41:G41"/>
    <mergeCell ref="H41:K41"/>
    <mergeCell ref="L41:O41"/>
    <mergeCell ref="B42:G42"/>
    <mergeCell ref="H42:K42"/>
    <mergeCell ref="L42:O42"/>
    <mergeCell ref="B39:G39"/>
    <mergeCell ref="H39:K39"/>
    <mergeCell ref="L39:O39"/>
    <mergeCell ref="B40:G40"/>
    <mergeCell ref="H40:K40"/>
    <mergeCell ref="L40:O40"/>
    <mergeCell ref="B37:G37"/>
    <mergeCell ref="H37:K37"/>
    <mergeCell ref="L37:O37"/>
    <mergeCell ref="B38:G38"/>
    <mergeCell ref="H38:K38"/>
    <mergeCell ref="L38:O38"/>
    <mergeCell ref="B35:G35"/>
    <mergeCell ref="H35:K35"/>
    <mergeCell ref="L35:O35"/>
    <mergeCell ref="B36:G36"/>
    <mergeCell ref="H36:K36"/>
    <mergeCell ref="L36:O36"/>
    <mergeCell ref="B33:G33"/>
    <mergeCell ref="H33:K33"/>
    <mergeCell ref="L33:O33"/>
    <mergeCell ref="B34:G34"/>
    <mergeCell ref="H34:K34"/>
    <mergeCell ref="L34:O34"/>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B9:B10">
    <cfRule type="cellIs" dxfId="388" priority="33" operator="equal">
      <formula>"Nok"</formula>
    </cfRule>
    <cfRule type="cellIs" dxfId="387" priority="34" operator="equal">
      <formula>"Ok"</formula>
    </cfRule>
  </conditionalFormatting>
  <conditionalFormatting sqref="P22:P30">
    <cfRule type="cellIs" dxfId="386" priority="31" operator="equal">
      <formula>"Nok"</formula>
    </cfRule>
    <cfRule type="cellIs" dxfId="385" priority="32" operator="equal">
      <formula>"Ok"</formula>
    </cfRule>
  </conditionalFormatting>
  <conditionalFormatting sqref="P31:P35">
    <cfRule type="cellIs" dxfId="384" priority="29" operator="equal">
      <formula>"Nok"</formula>
    </cfRule>
    <cfRule type="cellIs" dxfId="383" priority="30" operator="equal">
      <formula>"Ok"</formula>
    </cfRule>
  </conditionalFormatting>
  <conditionalFormatting sqref="P36:P37">
    <cfRule type="cellIs" dxfId="382" priority="27" operator="equal">
      <formula>"Nok"</formula>
    </cfRule>
    <cfRule type="cellIs" dxfId="381" priority="28" operator="equal">
      <formula>"Ok"</formula>
    </cfRule>
  </conditionalFormatting>
  <conditionalFormatting sqref="P38">
    <cfRule type="cellIs" dxfId="380" priority="25" operator="equal">
      <formula>"Nok"</formula>
    </cfRule>
    <cfRule type="cellIs" dxfId="379" priority="26" operator="equal">
      <formula>"Ok"</formula>
    </cfRule>
  </conditionalFormatting>
  <conditionalFormatting sqref="P39">
    <cfRule type="cellIs" dxfId="378" priority="23" operator="equal">
      <formula>"Nok"</formula>
    </cfRule>
    <cfRule type="cellIs" dxfId="377" priority="24" operator="equal">
      <formula>"Ok"</formula>
    </cfRule>
  </conditionalFormatting>
  <conditionalFormatting sqref="P40">
    <cfRule type="cellIs" dxfId="376" priority="21" operator="equal">
      <formula>"Nok"</formula>
    </cfRule>
    <cfRule type="cellIs" dxfId="375" priority="22" operator="equal">
      <formula>"Ok"</formula>
    </cfRule>
  </conditionalFormatting>
  <conditionalFormatting sqref="P41">
    <cfRule type="cellIs" dxfId="374" priority="19" operator="equal">
      <formula>"Nok"</formula>
    </cfRule>
    <cfRule type="cellIs" dxfId="373" priority="20" operator="equal">
      <formula>"Ok"</formula>
    </cfRule>
  </conditionalFormatting>
  <conditionalFormatting sqref="P42">
    <cfRule type="cellIs" dxfId="372" priority="17" operator="equal">
      <formula>"Nok"</formula>
    </cfRule>
    <cfRule type="cellIs" dxfId="371" priority="18" operator="equal">
      <formula>"Ok"</formula>
    </cfRule>
  </conditionalFormatting>
  <conditionalFormatting sqref="P43">
    <cfRule type="cellIs" dxfId="370" priority="15" operator="equal">
      <formula>"Nok"</formula>
    </cfRule>
    <cfRule type="cellIs" dxfId="369" priority="16" operator="equal">
      <formula>"Ok"</formula>
    </cfRule>
  </conditionalFormatting>
  <conditionalFormatting sqref="P44">
    <cfRule type="cellIs" dxfId="368" priority="13" operator="equal">
      <formula>"Nok"</formula>
    </cfRule>
    <cfRule type="cellIs" dxfId="367" priority="14" operator="equal">
      <formula>"Ok"</formula>
    </cfRule>
  </conditionalFormatting>
  <conditionalFormatting sqref="P45">
    <cfRule type="cellIs" dxfId="366" priority="11" operator="equal">
      <formula>"Nok"</formula>
    </cfRule>
    <cfRule type="cellIs" dxfId="365" priority="12" operator="equal">
      <formula>"Ok"</formula>
    </cfRule>
  </conditionalFormatting>
  <conditionalFormatting sqref="P46">
    <cfRule type="cellIs" dxfId="364" priority="9" operator="equal">
      <formula>"Nok"</formula>
    </cfRule>
    <cfRule type="cellIs" dxfId="363" priority="10" operator="equal">
      <formula>"Ok"</formula>
    </cfRule>
  </conditionalFormatting>
  <conditionalFormatting sqref="P47">
    <cfRule type="cellIs" dxfId="362" priority="7" operator="equal">
      <formula>"Nok"</formula>
    </cfRule>
    <cfRule type="cellIs" dxfId="361" priority="8" operator="equal">
      <formula>"Ok"</formula>
    </cfRule>
  </conditionalFormatting>
  <conditionalFormatting sqref="P48">
    <cfRule type="cellIs" dxfId="360" priority="5" operator="equal">
      <formula>"Nok"</formula>
    </cfRule>
    <cfRule type="cellIs" dxfId="359" priority="6" operator="equal">
      <formula>"Ok"</formula>
    </cfRule>
  </conditionalFormatting>
  <conditionalFormatting sqref="P49">
    <cfRule type="cellIs" dxfId="358" priority="3" operator="equal">
      <formula>"Nok"</formula>
    </cfRule>
    <cfRule type="cellIs" dxfId="357" priority="4" operator="equal">
      <formula>"Ok"</formula>
    </cfRule>
  </conditionalFormatting>
  <conditionalFormatting sqref="P50">
    <cfRule type="cellIs" dxfId="356" priority="1" operator="equal">
      <formula>"Nok"</formula>
    </cfRule>
    <cfRule type="cellIs" dxfId="355" priority="2" operator="equal">
      <formula>"Ok"</formula>
    </cfRule>
  </conditionalFormatting>
  <dataValidations count="3">
    <dataValidation type="list" allowBlank="1" showInputMessage="1" showErrorMessage="1" sqref="P22:P50">
      <formula1>"Ok, Nok, Not run, ,"</formula1>
    </dataValidation>
    <dataValidation type="list" allowBlank="1" showInputMessage="1" showErrorMessage="1" sqref="B9">
      <formula1>"Ok, Nok, Not run, NA"</formula1>
    </dataValidation>
    <dataValidation type="list" allowBlank="1" showInputMessage="1" showErrorMessage="1" sqref="B5">
      <formula1>"Nominal, Robustness, Endurance, Qualification"</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workbookViewId="0">
      <selection activeCell="K7" sqref="K7"/>
    </sheetView>
  </sheetViews>
  <sheetFormatPr defaultRowHeight="12.75" x14ac:dyDescent="0.2"/>
  <cols>
    <col min="1" max="1" width="20.140625" style="97" customWidth="1"/>
    <col min="2" max="2" width="18.42578125" style="93" customWidth="1"/>
    <col min="3" max="7" width="9.140625" style="93"/>
    <col min="8" max="15" width="9.5703125" style="93" customWidth="1"/>
    <col min="16" max="16384" width="9.140625" style="93"/>
  </cols>
  <sheetData>
    <row r="1" spans="1:15" ht="13.5" thickBot="1" x14ac:dyDescent="0.25">
      <c r="A1" s="98" t="s">
        <v>41</v>
      </c>
      <c r="B1" s="234" t="s">
        <v>382</v>
      </c>
      <c r="C1" s="235"/>
      <c r="D1" s="235"/>
      <c r="E1" s="235"/>
      <c r="F1" s="235"/>
      <c r="G1" s="236"/>
      <c r="H1" s="73"/>
      <c r="I1" s="73"/>
      <c r="J1" s="73"/>
      <c r="K1" s="73"/>
      <c r="L1" s="73"/>
      <c r="M1" s="73"/>
      <c r="N1" s="73"/>
      <c r="O1" s="73"/>
    </row>
    <row r="2" spans="1:15" ht="13.5" thickBot="1" x14ac:dyDescent="0.25">
      <c r="A2" s="71"/>
      <c r="B2" s="72"/>
      <c r="C2" s="72"/>
      <c r="D2" s="73"/>
      <c r="E2" s="73"/>
      <c r="F2" s="73"/>
      <c r="G2" s="73"/>
      <c r="H2" s="73"/>
      <c r="I2" s="73"/>
      <c r="J2" s="73"/>
      <c r="K2" s="73"/>
      <c r="L2" s="73"/>
      <c r="M2" s="73"/>
      <c r="N2" s="73"/>
      <c r="O2" s="73"/>
    </row>
    <row r="3" spans="1:15" ht="61.5" customHeight="1" thickBot="1" x14ac:dyDescent="0.25">
      <c r="A3" s="99" t="s">
        <v>46</v>
      </c>
      <c r="B3" s="237" t="s">
        <v>395</v>
      </c>
      <c r="C3" s="238"/>
      <c r="D3" s="238"/>
      <c r="E3" s="238"/>
      <c r="F3" s="238"/>
      <c r="G3" s="239"/>
      <c r="H3" s="73"/>
      <c r="I3" s="73"/>
      <c r="J3" s="73"/>
      <c r="K3" s="73"/>
      <c r="L3" s="73"/>
      <c r="M3" s="73"/>
      <c r="N3" s="73"/>
      <c r="O3" s="73"/>
    </row>
    <row r="4" spans="1:15" ht="13.5" thickBot="1" x14ac:dyDescent="0.25">
      <c r="A4" s="71"/>
      <c r="B4" s="72"/>
      <c r="C4" s="72"/>
      <c r="D4" s="73"/>
      <c r="E4" s="73"/>
      <c r="F4" s="73"/>
      <c r="G4" s="73"/>
      <c r="H4" s="73"/>
      <c r="I4" s="73"/>
      <c r="J4" s="73"/>
      <c r="K4" s="73"/>
      <c r="L4" s="73"/>
      <c r="M4" s="73"/>
      <c r="N4" s="73"/>
      <c r="O4" s="73"/>
    </row>
    <row r="5" spans="1:15" ht="13.5" thickBot="1" x14ac:dyDescent="0.25">
      <c r="A5" s="98" t="s">
        <v>111</v>
      </c>
      <c r="B5" s="76" t="s">
        <v>142</v>
      </c>
      <c r="C5" s="72"/>
      <c r="D5" s="73"/>
      <c r="E5" s="73"/>
      <c r="F5" s="73"/>
      <c r="G5" s="73"/>
      <c r="H5" s="73"/>
      <c r="I5" s="73"/>
      <c r="J5" s="73"/>
      <c r="K5" s="73"/>
      <c r="L5" s="73"/>
      <c r="M5" s="73"/>
      <c r="N5" s="73"/>
      <c r="O5" s="73"/>
    </row>
    <row r="6" spans="1:15" ht="13.5" thickBot="1" x14ac:dyDescent="0.25">
      <c r="A6" s="71"/>
      <c r="B6" s="72"/>
      <c r="C6" s="72"/>
      <c r="D6" s="73"/>
      <c r="E6" s="73"/>
      <c r="F6" s="73"/>
      <c r="G6" s="73"/>
      <c r="H6" s="73"/>
      <c r="I6" s="73"/>
      <c r="J6" s="73"/>
      <c r="K6" s="73"/>
      <c r="L6" s="73"/>
      <c r="M6" s="73"/>
      <c r="N6" s="73"/>
      <c r="O6" s="73"/>
    </row>
    <row r="7" spans="1:15" ht="30.75" customHeight="1" thickBot="1" x14ac:dyDescent="0.25">
      <c r="A7" s="98" t="s">
        <v>42</v>
      </c>
      <c r="B7" s="237" t="s">
        <v>374</v>
      </c>
      <c r="C7" s="238"/>
      <c r="D7" s="238"/>
      <c r="E7" s="238"/>
      <c r="F7" s="238"/>
      <c r="G7" s="239"/>
      <c r="H7" s="73"/>
      <c r="I7" s="73"/>
      <c r="J7" s="73"/>
      <c r="K7" s="73"/>
      <c r="L7" s="73"/>
      <c r="M7" s="73"/>
      <c r="N7" s="73"/>
      <c r="O7" s="73"/>
    </row>
    <row r="8" spans="1:15" ht="13.5" thickBot="1" x14ac:dyDescent="0.25">
      <c r="A8" s="75"/>
      <c r="B8" s="74"/>
      <c r="C8" s="74"/>
      <c r="D8" s="74"/>
      <c r="E8" s="74"/>
      <c r="F8" s="74"/>
      <c r="G8" s="74"/>
      <c r="H8" s="73"/>
      <c r="I8" s="73"/>
      <c r="J8" s="73"/>
      <c r="K8" s="73"/>
      <c r="L8" s="73"/>
      <c r="M8" s="73"/>
      <c r="N8" s="73"/>
      <c r="O8" s="73"/>
    </row>
    <row r="9" spans="1:15" ht="13.5" thickBot="1" x14ac:dyDescent="0.25">
      <c r="A9" s="98" t="s">
        <v>43</v>
      </c>
      <c r="B9" s="103" t="s">
        <v>144</v>
      </c>
      <c r="C9" s="72"/>
      <c r="D9" s="73"/>
      <c r="E9" s="73"/>
      <c r="F9" s="73"/>
      <c r="G9" s="73"/>
      <c r="H9" s="73"/>
      <c r="I9" s="73"/>
      <c r="J9" s="73"/>
      <c r="K9" s="73"/>
      <c r="L9" s="73"/>
      <c r="M9" s="73"/>
      <c r="N9" s="73"/>
      <c r="O9" s="73"/>
    </row>
    <row r="10" spans="1:15" ht="13.5" thickBot="1" x14ac:dyDescent="0.25">
      <c r="A10" s="75"/>
      <c r="B10" s="94"/>
      <c r="C10" s="72"/>
      <c r="D10" s="73"/>
      <c r="E10" s="73"/>
      <c r="F10" s="73"/>
      <c r="G10" s="73"/>
      <c r="H10" s="73"/>
      <c r="I10" s="73"/>
      <c r="J10" s="73"/>
      <c r="K10" s="73"/>
      <c r="L10" s="73"/>
      <c r="M10" s="73"/>
      <c r="N10" s="73"/>
      <c r="O10" s="73"/>
    </row>
    <row r="11" spans="1:15" ht="12" customHeight="1" x14ac:dyDescent="0.2">
      <c r="A11" s="223" t="s">
        <v>113</v>
      </c>
      <c r="B11" s="225"/>
      <c r="C11" s="226"/>
      <c r="D11" s="226"/>
      <c r="E11" s="226"/>
      <c r="F11" s="226"/>
      <c r="G11" s="227"/>
      <c r="H11" s="73"/>
      <c r="I11" s="73"/>
      <c r="J11" s="73"/>
      <c r="K11" s="73"/>
      <c r="L11" s="73"/>
      <c r="M11" s="73"/>
      <c r="N11" s="73"/>
      <c r="O11" s="73"/>
    </row>
    <row r="12" spans="1:15" x14ac:dyDescent="0.2">
      <c r="A12" s="224"/>
      <c r="B12" s="228"/>
      <c r="C12" s="229"/>
      <c r="D12" s="229"/>
      <c r="E12" s="229"/>
      <c r="F12" s="229"/>
      <c r="G12" s="230"/>
      <c r="H12" s="73"/>
      <c r="I12" s="73"/>
      <c r="J12" s="73"/>
      <c r="K12" s="73"/>
      <c r="L12" s="73"/>
      <c r="M12" s="73"/>
      <c r="N12" s="73"/>
      <c r="O12" s="73"/>
    </row>
    <row r="13" spans="1:15" x14ac:dyDescent="0.2">
      <c r="A13" s="224"/>
      <c r="B13" s="228"/>
      <c r="C13" s="229"/>
      <c r="D13" s="229"/>
      <c r="E13" s="229"/>
      <c r="F13" s="229"/>
      <c r="G13" s="230"/>
      <c r="H13" s="71"/>
      <c r="I13" s="73"/>
      <c r="J13" s="73"/>
      <c r="K13" s="73"/>
      <c r="L13" s="73"/>
      <c r="M13" s="73"/>
      <c r="N13" s="73"/>
      <c r="O13" s="73"/>
    </row>
    <row r="14" spans="1:15" ht="13.5" thickBot="1" x14ac:dyDescent="0.25">
      <c r="A14" s="224"/>
      <c r="B14" s="231"/>
      <c r="C14" s="232"/>
      <c r="D14" s="232"/>
      <c r="E14" s="232"/>
      <c r="F14" s="232"/>
      <c r="G14" s="233"/>
      <c r="H14" s="77"/>
      <c r="I14" s="73"/>
      <c r="J14" s="73"/>
      <c r="K14" s="73"/>
      <c r="L14" s="73"/>
      <c r="M14" s="73"/>
      <c r="N14" s="73"/>
      <c r="O14" s="73"/>
    </row>
    <row r="15" spans="1:15" ht="13.5" thickBot="1" x14ac:dyDescent="0.25">
      <c r="A15" s="71"/>
      <c r="B15" s="71"/>
      <c r="C15" s="71"/>
      <c r="D15" s="71"/>
      <c r="E15" s="71"/>
      <c r="F15" s="71"/>
      <c r="G15" s="71"/>
      <c r="H15" s="77"/>
      <c r="I15" s="73"/>
      <c r="J15" s="73"/>
      <c r="K15" s="73"/>
      <c r="L15" s="73"/>
      <c r="M15" s="73"/>
      <c r="N15" s="73"/>
      <c r="O15" s="73"/>
    </row>
    <row r="16" spans="1:15" x14ac:dyDescent="0.2">
      <c r="A16" s="223" t="s">
        <v>44</v>
      </c>
      <c r="B16" s="225"/>
      <c r="C16" s="226"/>
      <c r="D16" s="226"/>
      <c r="E16" s="226"/>
      <c r="F16" s="226"/>
      <c r="G16" s="227"/>
      <c r="H16" s="73"/>
      <c r="I16" s="73"/>
      <c r="J16" s="73"/>
      <c r="K16" s="73"/>
      <c r="L16" s="73"/>
      <c r="M16" s="73"/>
      <c r="N16" s="73"/>
      <c r="O16" s="73"/>
    </row>
    <row r="17" spans="1:16" x14ac:dyDescent="0.2">
      <c r="A17" s="224"/>
      <c r="B17" s="228"/>
      <c r="C17" s="229"/>
      <c r="D17" s="229"/>
      <c r="E17" s="229"/>
      <c r="F17" s="229"/>
      <c r="G17" s="230"/>
      <c r="H17" s="73"/>
      <c r="I17" s="73"/>
      <c r="J17" s="73"/>
      <c r="K17" s="73"/>
      <c r="L17" s="73"/>
      <c r="M17" s="73"/>
      <c r="N17" s="73"/>
      <c r="O17" s="73"/>
    </row>
    <row r="18" spans="1:16" x14ac:dyDescent="0.2">
      <c r="A18" s="224"/>
      <c r="B18" s="228"/>
      <c r="C18" s="229"/>
      <c r="D18" s="229"/>
      <c r="E18" s="229"/>
      <c r="F18" s="229"/>
      <c r="G18" s="230"/>
      <c r="H18" s="71"/>
      <c r="I18" s="73"/>
      <c r="J18" s="73"/>
      <c r="K18" s="73"/>
      <c r="L18" s="73"/>
      <c r="M18" s="73"/>
      <c r="N18" s="73"/>
      <c r="O18" s="73"/>
    </row>
    <row r="19" spans="1:16" ht="13.5" thickBot="1" x14ac:dyDescent="0.25">
      <c r="A19" s="224"/>
      <c r="B19" s="231"/>
      <c r="C19" s="232"/>
      <c r="D19" s="232"/>
      <c r="E19" s="232"/>
      <c r="F19" s="232"/>
      <c r="G19" s="233"/>
      <c r="H19" s="77"/>
      <c r="I19" s="73"/>
      <c r="J19" s="73"/>
      <c r="K19" s="73"/>
      <c r="L19" s="73"/>
      <c r="M19" s="73"/>
      <c r="N19" s="73"/>
      <c r="O19" s="73"/>
    </row>
    <row r="20" spans="1:16" ht="13.5" thickBot="1" x14ac:dyDescent="0.25">
      <c r="A20" s="71"/>
      <c r="B20" s="71"/>
      <c r="C20" s="71"/>
      <c r="D20" s="71"/>
      <c r="E20" s="71"/>
      <c r="F20" s="71"/>
      <c r="G20" s="71"/>
      <c r="H20" s="77"/>
      <c r="I20" s="73"/>
      <c r="J20" s="73"/>
      <c r="K20" s="73"/>
      <c r="L20" s="73"/>
      <c r="M20" s="73"/>
      <c r="N20" s="73"/>
      <c r="O20" s="73"/>
    </row>
    <row r="21" spans="1:16" ht="12.75" customHeight="1" x14ac:dyDescent="0.2">
      <c r="A21" s="220" t="s">
        <v>48</v>
      </c>
      <c r="B21" s="221"/>
      <c r="C21" s="221"/>
      <c r="D21" s="221"/>
      <c r="E21" s="221"/>
      <c r="F21" s="221"/>
      <c r="G21" s="222"/>
      <c r="H21" s="220" t="s">
        <v>49</v>
      </c>
      <c r="I21" s="221"/>
      <c r="J21" s="221"/>
      <c r="K21" s="222"/>
      <c r="L21" s="220" t="s">
        <v>60</v>
      </c>
      <c r="M21" s="221"/>
      <c r="N21" s="221"/>
      <c r="O21" s="222"/>
      <c r="P21" s="100" t="s">
        <v>47</v>
      </c>
    </row>
    <row r="22" spans="1:16" ht="57" customHeight="1" thickBot="1" x14ac:dyDescent="0.25">
      <c r="A22" s="101" t="s">
        <v>50</v>
      </c>
      <c r="B22" s="212" t="s">
        <v>381</v>
      </c>
      <c r="C22" s="213"/>
      <c r="D22" s="213"/>
      <c r="E22" s="213"/>
      <c r="F22" s="213"/>
      <c r="G22" s="214"/>
      <c r="H22" s="216"/>
      <c r="I22" s="216"/>
      <c r="J22" s="216"/>
      <c r="K22" s="216"/>
      <c r="L22" s="216"/>
      <c r="M22" s="216"/>
      <c r="N22" s="216"/>
      <c r="O22" s="216"/>
      <c r="P22" s="95" t="s">
        <v>144</v>
      </c>
    </row>
    <row r="23" spans="1:16" ht="57" customHeight="1" thickBot="1" x14ac:dyDescent="0.25">
      <c r="A23" s="101" t="s">
        <v>51</v>
      </c>
      <c r="B23" s="212" t="s">
        <v>383</v>
      </c>
      <c r="C23" s="213"/>
      <c r="D23" s="213"/>
      <c r="E23" s="213"/>
      <c r="F23" s="213"/>
      <c r="G23" s="214"/>
      <c r="H23" s="216"/>
      <c r="I23" s="216"/>
      <c r="J23" s="216"/>
      <c r="K23" s="216"/>
      <c r="L23" s="216"/>
      <c r="M23" s="216"/>
      <c r="N23" s="216"/>
      <c r="O23" s="216"/>
      <c r="P23" s="95" t="s">
        <v>144</v>
      </c>
    </row>
    <row r="24" spans="1:16" ht="35.25" customHeight="1" thickBot="1" x14ac:dyDescent="0.25">
      <c r="A24" s="101" t="s">
        <v>52</v>
      </c>
      <c r="B24" s="212" t="s">
        <v>384</v>
      </c>
      <c r="C24" s="213"/>
      <c r="D24" s="213"/>
      <c r="E24" s="213"/>
      <c r="F24" s="213"/>
      <c r="G24" s="214"/>
      <c r="H24" s="216"/>
      <c r="I24" s="216"/>
      <c r="J24" s="216"/>
      <c r="K24" s="216"/>
      <c r="L24" s="216"/>
      <c r="M24" s="216"/>
      <c r="N24" s="216"/>
      <c r="O24" s="216"/>
      <c r="P24" s="95" t="s">
        <v>144</v>
      </c>
    </row>
    <row r="25" spans="1:16" ht="72.75" customHeight="1" thickBot="1" x14ac:dyDescent="0.25">
      <c r="A25" s="101" t="s">
        <v>53</v>
      </c>
      <c r="B25" s="212" t="s">
        <v>385</v>
      </c>
      <c r="C25" s="213"/>
      <c r="D25" s="213"/>
      <c r="E25" s="213"/>
      <c r="F25" s="213"/>
      <c r="G25" s="214"/>
      <c r="H25" s="216"/>
      <c r="I25" s="216"/>
      <c r="J25" s="216"/>
      <c r="K25" s="216"/>
      <c r="L25" s="216"/>
      <c r="M25" s="216"/>
      <c r="N25" s="216"/>
      <c r="O25" s="216"/>
      <c r="P25" s="95" t="s">
        <v>144</v>
      </c>
    </row>
    <row r="26" spans="1:16" ht="61.5" customHeight="1" thickBot="1" x14ac:dyDescent="0.25">
      <c r="A26" s="101" t="s">
        <v>54</v>
      </c>
      <c r="B26" s="212" t="s">
        <v>387</v>
      </c>
      <c r="C26" s="213"/>
      <c r="D26" s="213"/>
      <c r="E26" s="213"/>
      <c r="F26" s="213"/>
      <c r="G26" s="214"/>
      <c r="H26" s="216"/>
      <c r="I26" s="216"/>
      <c r="J26" s="216"/>
      <c r="K26" s="216"/>
      <c r="L26" s="216"/>
      <c r="M26" s="216"/>
      <c r="N26" s="216"/>
      <c r="O26" s="216"/>
      <c r="P26" s="95" t="s">
        <v>144</v>
      </c>
    </row>
    <row r="27" spans="1:16" ht="61.5" customHeight="1" thickBot="1" x14ac:dyDescent="0.25">
      <c r="A27" s="101" t="s">
        <v>55</v>
      </c>
      <c r="B27" s="212" t="s">
        <v>386</v>
      </c>
      <c r="C27" s="213"/>
      <c r="D27" s="213"/>
      <c r="E27" s="213"/>
      <c r="F27" s="213"/>
      <c r="G27" s="214"/>
      <c r="H27" s="216"/>
      <c r="I27" s="216"/>
      <c r="J27" s="216"/>
      <c r="K27" s="216"/>
      <c r="L27" s="216"/>
      <c r="M27" s="216"/>
      <c r="N27" s="216"/>
      <c r="O27" s="216"/>
      <c r="P27" s="95" t="s">
        <v>144</v>
      </c>
    </row>
    <row r="28" spans="1:16" ht="62.25" customHeight="1" thickBot="1" x14ac:dyDescent="0.25">
      <c r="A28" s="101" t="s">
        <v>56</v>
      </c>
      <c r="B28" s="212" t="s">
        <v>388</v>
      </c>
      <c r="C28" s="213"/>
      <c r="D28" s="213"/>
      <c r="E28" s="213"/>
      <c r="F28" s="213"/>
      <c r="G28" s="214"/>
      <c r="H28" s="216"/>
      <c r="I28" s="216"/>
      <c r="J28" s="216"/>
      <c r="K28" s="216"/>
      <c r="L28" s="216"/>
      <c r="M28" s="216"/>
      <c r="N28" s="216"/>
      <c r="O28" s="216"/>
      <c r="P28" s="95" t="s">
        <v>144</v>
      </c>
    </row>
    <row r="29" spans="1:16" ht="45.75" customHeight="1" thickBot="1" x14ac:dyDescent="0.25">
      <c r="A29" s="101" t="s">
        <v>57</v>
      </c>
      <c r="B29" s="212" t="s">
        <v>389</v>
      </c>
      <c r="C29" s="213"/>
      <c r="D29" s="213"/>
      <c r="E29" s="213"/>
      <c r="F29" s="213"/>
      <c r="G29" s="214"/>
      <c r="H29" s="216"/>
      <c r="I29" s="216"/>
      <c r="J29" s="216"/>
      <c r="K29" s="216"/>
      <c r="L29" s="216"/>
      <c r="M29" s="216"/>
      <c r="N29" s="216"/>
      <c r="O29" s="216"/>
      <c r="P29" s="95" t="s">
        <v>144</v>
      </c>
    </row>
    <row r="30" spans="1:16" ht="50.25" customHeight="1" thickBot="1" x14ac:dyDescent="0.25">
      <c r="A30" s="102" t="s">
        <v>58</v>
      </c>
      <c r="B30" s="212" t="s">
        <v>390</v>
      </c>
      <c r="C30" s="213"/>
      <c r="D30" s="213"/>
      <c r="E30" s="213"/>
      <c r="F30" s="213"/>
      <c r="G30" s="214"/>
      <c r="H30" s="215"/>
      <c r="I30" s="215"/>
      <c r="J30" s="215"/>
      <c r="K30" s="215"/>
      <c r="L30" s="215"/>
      <c r="M30" s="215"/>
      <c r="N30" s="215"/>
      <c r="O30" s="215"/>
      <c r="P30" s="95" t="s">
        <v>144</v>
      </c>
    </row>
    <row r="31" spans="1:16" ht="43.5" customHeight="1" thickBot="1" x14ac:dyDescent="0.25">
      <c r="A31" s="102" t="s">
        <v>145</v>
      </c>
      <c r="B31" s="212" t="s">
        <v>391</v>
      </c>
      <c r="C31" s="213"/>
      <c r="D31" s="213"/>
      <c r="E31" s="213"/>
      <c r="F31" s="213"/>
      <c r="G31" s="214"/>
      <c r="H31" s="216"/>
      <c r="I31" s="216"/>
      <c r="J31" s="216"/>
      <c r="K31" s="216"/>
      <c r="L31" s="216"/>
      <c r="M31" s="216"/>
      <c r="N31" s="216"/>
      <c r="O31" s="216"/>
      <c r="P31" s="95" t="s">
        <v>144</v>
      </c>
    </row>
    <row r="32" spans="1:16" ht="55.5" customHeight="1" thickBot="1" x14ac:dyDescent="0.25">
      <c r="A32" s="102" t="s">
        <v>146</v>
      </c>
      <c r="B32" s="212" t="s">
        <v>392</v>
      </c>
      <c r="C32" s="213"/>
      <c r="D32" s="213"/>
      <c r="E32" s="213"/>
      <c r="F32" s="213"/>
      <c r="G32" s="214"/>
      <c r="H32" s="216"/>
      <c r="I32" s="216"/>
      <c r="J32" s="216"/>
      <c r="K32" s="216"/>
      <c r="L32" s="216"/>
      <c r="M32" s="216"/>
      <c r="N32" s="216"/>
      <c r="O32" s="216"/>
      <c r="P32" s="95" t="s">
        <v>144</v>
      </c>
    </row>
    <row r="33" spans="1:16" ht="45.75" customHeight="1" thickBot="1" x14ac:dyDescent="0.25">
      <c r="A33" s="102" t="s">
        <v>147</v>
      </c>
      <c r="B33" s="212" t="s">
        <v>393</v>
      </c>
      <c r="C33" s="213"/>
      <c r="D33" s="213"/>
      <c r="E33" s="213"/>
      <c r="F33" s="213"/>
      <c r="G33" s="214"/>
      <c r="H33" s="215"/>
      <c r="I33" s="215"/>
      <c r="J33" s="215"/>
      <c r="K33" s="215"/>
      <c r="L33" s="215"/>
      <c r="M33" s="215"/>
      <c r="N33" s="215"/>
      <c r="O33" s="215"/>
      <c r="P33" s="95" t="s">
        <v>144</v>
      </c>
    </row>
    <row r="34" spans="1:16" ht="45.75" customHeight="1" thickBot="1" x14ac:dyDescent="0.25">
      <c r="A34" s="102" t="s">
        <v>148</v>
      </c>
      <c r="B34" s="212" t="s">
        <v>394</v>
      </c>
      <c r="C34" s="213"/>
      <c r="D34" s="213"/>
      <c r="E34" s="213"/>
      <c r="F34" s="213"/>
      <c r="G34" s="214"/>
      <c r="H34" s="216"/>
      <c r="I34" s="216"/>
      <c r="J34" s="216"/>
      <c r="K34" s="216"/>
      <c r="L34" s="216"/>
      <c r="M34" s="216"/>
      <c r="N34" s="216"/>
      <c r="O34" s="216"/>
      <c r="P34" s="95" t="s">
        <v>144</v>
      </c>
    </row>
    <row r="35" spans="1:16" ht="48" customHeight="1" thickBot="1" x14ac:dyDescent="0.25">
      <c r="A35" s="102" t="s">
        <v>149</v>
      </c>
      <c r="B35" s="217"/>
      <c r="C35" s="218"/>
      <c r="D35" s="218"/>
      <c r="E35" s="218"/>
      <c r="F35" s="218"/>
      <c r="G35" s="219"/>
      <c r="H35" s="216"/>
      <c r="I35" s="216"/>
      <c r="J35" s="216"/>
      <c r="K35" s="216"/>
      <c r="L35" s="216"/>
      <c r="M35" s="216"/>
      <c r="N35" s="216"/>
      <c r="O35" s="216"/>
      <c r="P35" s="95"/>
    </row>
    <row r="36" spans="1:16" ht="45.75" customHeight="1" thickBot="1" x14ac:dyDescent="0.25">
      <c r="A36" s="102" t="s">
        <v>150</v>
      </c>
      <c r="B36" s="212"/>
      <c r="C36" s="213"/>
      <c r="D36" s="213"/>
      <c r="E36" s="213"/>
      <c r="F36" s="213"/>
      <c r="G36" s="214"/>
      <c r="H36" s="215"/>
      <c r="I36" s="215"/>
      <c r="J36" s="215"/>
      <c r="K36" s="215"/>
      <c r="L36" s="216"/>
      <c r="M36" s="216"/>
      <c r="N36" s="216"/>
      <c r="O36" s="216"/>
      <c r="P36" s="96"/>
    </row>
    <row r="37" spans="1:16" ht="66" customHeight="1" thickBot="1" x14ac:dyDescent="0.25">
      <c r="A37" s="102" t="s">
        <v>151</v>
      </c>
      <c r="B37" s="212"/>
      <c r="C37" s="213"/>
      <c r="D37" s="213"/>
      <c r="E37" s="213"/>
      <c r="F37" s="213"/>
      <c r="G37" s="214"/>
      <c r="H37" s="215"/>
      <c r="I37" s="215"/>
      <c r="J37" s="215"/>
      <c r="K37" s="215"/>
      <c r="L37" s="216"/>
      <c r="M37" s="216"/>
      <c r="N37" s="216"/>
      <c r="O37" s="216"/>
      <c r="P37" s="96"/>
    </row>
    <row r="38" spans="1:16" ht="45.75" customHeight="1" thickBot="1" x14ac:dyDescent="0.25">
      <c r="A38" s="102" t="s">
        <v>152</v>
      </c>
      <c r="B38" s="212"/>
      <c r="C38" s="213"/>
      <c r="D38" s="213"/>
      <c r="E38" s="213"/>
      <c r="F38" s="213"/>
      <c r="G38" s="214"/>
      <c r="H38" s="215"/>
      <c r="I38" s="215"/>
      <c r="J38" s="215"/>
      <c r="K38" s="215"/>
      <c r="L38" s="215"/>
      <c r="M38" s="215"/>
      <c r="N38" s="215"/>
      <c r="O38" s="215"/>
      <c r="P38" s="96"/>
    </row>
    <row r="39" spans="1:16" ht="45.75" customHeight="1" thickBot="1" x14ac:dyDescent="0.25">
      <c r="A39" s="102" t="s">
        <v>153</v>
      </c>
      <c r="B39" s="212"/>
      <c r="C39" s="213"/>
      <c r="D39" s="213"/>
      <c r="E39" s="213"/>
      <c r="F39" s="213"/>
      <c r="G39" s="214"/>
      <c r="H39" s="215"/>
      <c r="I39" s="215"/>
      <c r="J39" s="215"/>
      <c r="K39" s="215"/>
      <c r="L39" s="215"/>
      <c r="M39" s="215"/>
      <c r="N39" s="215"/>
      <c r="O39" s="215"/>
      <c r="P39" s="96"/>
    </row>
    <row r="40" spans="1:16" ht="45.75" customHeight="1" thickBot="1" x14ac:dyDescent="0.25">
      <c r="A40" s="102" t="s">
        <v>184</v>
      </c>
      <c r="B40" s="212"/>
      <c r="C40" s="213"/>
      <c r="D40" s="213"/>
      <c r="E40" s="213"/>
      <c r="F40" s="213"/>
      <c r="G40" s="214"/>
      <c r="H40" s="215"/>
      <c r="I40" s="215"/>
      <c r="J40" s="215"/>
      <c r="K40" s="215"/>
      <c r="L40" s="215"/>
      <c r="M40" s="215"/>
      <c r="N40" s="215"/>
      <c r="O40" s="215"/>
      <c r="P40" s="96"/>
    </row>
    <row r="41" spans="1:16" ht="45.75" customHeight="1" thickBot="1" x14ac:dyDescent="0.25">
      <c r="A41" s="102" t="s">
        <v>185</v>
      </c>
      <c r="B41" s="212"/>
      <c r="C41" s="213"/>
      <c r="D41" s="213"/>
      <c r="E41" s="213"/>
      <c r="F41" s="213"/>
      <c r="G41" s="214"/>
      <c r="H41" s="215"/>
      <c r="I41" s="215"/>
      <c r="J41" s="215"/>
      <c r="K41" s="215"/>
      <c r="L41" s="215"/>
      <c r="M41" s="215"/>
      <c r="N41" s="215"/>
      <c r="O41" s="215"/>
      <c r="P41" s="96"/>
    </row>
    <row r="42" spans="1:16" ht="45.75" customHeight="1" thickBot="1" x14ac:dyDescent="0.25">
      <c r="A42" s="102" t="s">
        <v>186</v>
      </c>
      <c r="B42" s="212"/>
      <c r="C42" s="213"/>
      <c r="D42" s="213"/>
      <c r="E42" s="213"/>
      <c r="F42" s="213"/>
      <c r="G42" s="214"/>
      <c r="H42" s="215"/>
      <c r="I42" s="215"/>
      <c r="J42" s="215"/>
      <c r="K42" s="215"/>
      <c r="L42" s="215"/>
      <c r="M42" s="215"/>
      <c r="N42" s="215"/>
      <c r="O42" s="215"/>
      <c r="P42" s="96"/>
    </row>
    <row r="43" spans="1:16" ht="45.75" customHeight="1" thickBot="1" x14ac:dyDescent="0.25">
      <c r="A43" s="102" t="s">
        <v>187</v>
      </c>
      <c r="B43" s="212"/>
      <c r="C43" s="213"/>
      <c r="D43" s="213"/>
      <c r="E43" s="213"/>
      <c r="F43" s="213"/>
      <c r="G43" s="214"/>
      <c r="H43" s="215"/>
      <c r="I43" s="215"/>
      <c r="J43" s="215"/>
      <c r="K43" s="215"/>
      <c r="L43" s="215"/>
      <c r="M43" s="215"/>
      <c r="N43" s="215"/>
      <c r="O43" s="215"/>
      <c r="P43" s="96"/>
    </row>
    <row r="44" spans="1:16" ht="45.75" customHeight="1" thickBot="1" x14ac:dyDescent="0.25">
      <c r="A44" s="102" t="s">
        <v>188</v>
      </c>
      <c r="B44" s="212"/>
      <c r="C44" s="213"/>
      <c r="D44" s="213"/>
      <c r="E44" s="213"/>
      <c r="F44" s="213"/>
      <c r="G44" s="214"/>
      <c r="H44" s="215"/>
      <c r="I44" s="215"/>
      <c r="J44" s="215"/>
      <c r="K44" s="215"/>
      <c r="L44" s="215"/>
      <c r="M44" s="215"/>
      <c r="N44" s="215"/>
      <c r="O44" s="215"/>
      <c r="P44" s="96"/>
    </row>
    <row r="45" spans="1:16" ht="45.75" customHeight="1" thickBot="1" x14ac:dyDescent="0.25">
      <c r="A45" s="102" t="s">
        <v>189</v>
      </c>
      <c r="B45" s="212"/>
      <c r="C45" s="213"/>
      <c r="D45" s="213"/>
      <c r="E45" s="213"/>
      <c r="F45" s="213"/>
      <c r="G45" s="214"/>
      <c r="H45" s="215"/>
      <c r="I45" s="215"/>
      <c r="J45" s="215"/>
      <c r="K45" s="215"/>
      <c r="L45" s="215"/>
      <c r="M45" s="215"/>
      <c r="N45" s="215"/>
      <c r="O45" s="215"/>
      <c r="P45" s="96"/>
    </row>
    <row r="46" spans="1:16" ht="45.75" customHeight="1" thickBot="1" x14ac:dyDescent="0.25">
      <c r="A46" s="102" t="s">
        <v>190</v>
      </c>
      <c r="B46" s="212"/>
      <c r="C46" s="213"/>
      <c r="D46" s="213"/>
      <c r="E46" s="213"/>
      <c r="F46" s="213"/>
      <c r="G46" s="214"/>
      <c r="H46" s="215"/>
      <c r="I46" s="215"/>
      <c r="J46" s="215"/>
      <c r="K46" s="215"/>
      <c r="L46" s="215"/>
      <c r="M46" s="215"/>
      <c r="N46" s="215"/>
      <c r="O46" s="215"/>
      <c r="P46" s="96"/>
    </row>
    <row r="47" spans="1:16" ht="45.75" customHeight="1" thickBot="1" x14ac:dyDescent="0.25">
      <c r="A47" s="102" t="s">
        <v>191</v>
      </c>
      <c r="B47" s="212"/>
      <c r="C47" s="213"/>
      <c r="D47" s="213"/>
      <c r="E47" s="213"/>
      <c r="F47" s="213"/>
      <c r="G47" s="214"/>
      <c r="H47" s="215"/>
      <c r="I47" s="215"/>
      <c r="J47" s="215"/>
      <c r="K47" s="215"/>
      <c r="L47" s="215"/>
      <c r="M47" s="215"/>
      <c r="N47" s="215"/>
      <c r="O47" s="215"/>
      <c r="P47" s="96"/>
    </row>
    <row r="48" spans="1:16" ht="45.75" customHeight="1" thickBot="1" x14ac:dyDescent="0.25">
      <c r="A48" s="102" t="s">
        <v>192</v>
      </c>
      <c r="B48" s="212"/>
      <c r="C48" s="213"/>
      <c r="D48" s="213"/>
      <c r="E48" s="213"/>
      <c r="F48" s="213"/>
      <c r="G48" s="214"/>
      <c r="H48" s="215"/>
      <c r="I48" s="215"/>
      <c r="J48" s="215"/>
      <c r="K48" s="215"/>
      <c r="L48" s="215"/>
      <c r="M48" s="215"/>
      <c r="N48" s="215"/>
      <c r="O48" s="215"/>
      <c r="P48" s="96"/>
    </row>
    <row r="49" spans="1:16" ht="45.75" customHeight="1" thickBot="1" x14ac:dyDescent="0.25">
      <c r="A49" s="102" t="s">
        <v>193</v>
      </c>
      <c r="B49" s="212"/>
      <c r="C49" s="213"/>
      <c r="D49" s="213"/>
      <c r="E49" s="213"/>
      <c r="F49" s="213"/>
      <c r="G49" s="214"/>
      <c r="H49" s="215"/>
      <c r="I49" s="215"/>
      <c r="J49" s="215"/>
      <c r="K49" s="215"/>
      <c r="L49" s="215"/>
      <c r="M49" s="215"/>
      <c r="N49" s="215"/>
      <c r="O49" s="215"/>
      <c r="P49" s="96"/>
    </row>
    <row r="50" spans="1:16" ht="45.75" customHeight="1" thickBot="1" x14ac:dyDescent="0.25">
      <c r="A50" s="102" t="s">
        <v>194</v>
      </c>
      <c r="B50" s="212"/>
      <c r="C50" s="213"/>
      <c r="D50" s="213"/>
      <c r="E50" s="213"/>
      <c r="F50" s="213"/>
      <c r="G50" s="214"/>
      <c r="H50" s="215"/>
      <c r="I50" s="215"/>
      <c r="J50" s="215"/>
      <c r="K50" s="215"/>
      <c r="L50" s="215"/>
      <c r="M50" s="215"/>
      <c r="N50" s="215"/>
      <c r="O50" s="215"/>
      <c r="P50" s="96"/>
    </row>
  </sheetData>
  <mergeCells count="97">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 ref="B36:G36"/>
    <mergeCell ref="H36:K36"/>
    <mergeCell ref="L36:O36"/>
    <mergeCell ref="B37:G37"/>
    <mergeCell ref="H37:K37"/>
    <mergeCell ref="L37:O37"/>
    <mergeCell ref="B38:G38"/>
    <mergeCell ref="H38:K38"/>
    <mergeCell ref="L38:O38"/>
    <mergeCell ref="B39:G39"/>
    <mergeCell ref="H39:K39"/>
    <mergeCell ref="L39:O39"/>
    <mergeCell ref="B40:G40"/>
    <mergeCell ref="H40:K40"/>
    <mergeCell ref="L40:O40"/>
    <mergeCell ref="B41:G41"/>
    <mergeCell ref="H41:K41"/>
    <mergeCell ref="L41:O41"/>
    <mergeCell ref="B42:G42"/>
    <mergeCell ref="H42:K42"/>
    <mergeCell ref="L42:O42"/>
    <mergeCell ref="B43:G43"/>
    <mergeCell ref="H43:K43"/>
    <mergeCell ref="L43:O43"/>
    <mergeCell ref="B44:G44"/>
    <mergeCell ref="H44:K44"/>
    <mergeCell ref="L44:O44"/>
    <mergeCell ref="B45:G45"/>
    <mergeCell ref="H45:K45"/>
    <mergeCell ref="L45:O45"/>
    <mergeCell ref="B46:G46"/>
    <mergeCell ref="H46:K46"/>
    <mergeCell ref="L46:O46"/>
    <mergeCell ref="B47:G47"/>
    <mergeCell ref="H47:K47"/>
    <mergeCell ref="L47:O47"/>
    <mergeCell ref="B48:G48"/>
    <mergeCell ref="H48:K48"/>
    <mergeCell ref="L48:O48"/>
    <mergeCell ref="B49:G49"/>
    <mergeCell ref="H49:K49"/>
    <mergeCell ref="L49:O49"/>
    <mergeCell ref="B50:G50"/>
    <mergeCell ref="H50:K50"/>
    <mergeCell ref="L50:O50"/>
  </mergeCells>
  <conditionalFormatting sqref="B9:B10">
    <cfRule type="cellIs" dxfId="354" priority="33" operator="equal">
      <formula>"Nok"</formula>
    </cfRule>
    <cfRule type="cellIs" dxfId="353" priority="34" operator="equal">
      <formula>"Ok"</formula>
    </cfRule>
  </conditionalFormatting>
  <conditionalFormatting sqref="P22:P34">
    <cfRule type="cellIs" dxfId="352" priority="31" operator="equal">
      <formula>"Nok"</formula>
    </cfRule>
    <cfRule type="cellIs" dxfId="351" priority="32" operator="equal">
      <formula>"Ok"</formula>
    </cfRule>
  </conditionalFormatting>
  <conditionalFormatting sqref="P35">
    <cfRule type="cellIs" dxfId="350" priority="29" operator="equal">
      <formula>"Nok"</formula>
    </cfRule>
    <cfRule type="cellIs" dxfId="349" priority="30" operator="equal">
      <formula>"Ok"</formula>
    </cfRule>
  </conditionalFormatting>
  <conditionalFormatting sqref="P36:P37">
    <cfRule type="cellIs" dxfId="348" priority="27" operator="equal">
      <formula>"Nok"</formula>
    </cfRule>
    <cfRule type="cellIs" dxfId="347" priority="28" operator="equal">
      <formula>"Ok"</formula>
    </cfRule>
  </conditionalFormatting>
  <conditionalFormatting sqref="P38">
    <cfRule type="cellIs" dxfId="346" priority="25" operator="equal">
      <formula>"Nok"</formula>
    </cfRule>
    <cfRule type="cellIs" dxfId="345" priority="26" operator="equal">
      <formula>"Ok"</formula>
    </cfRule>
  </conditionalFormatting>
  <conditionalFormatting sqref="P39">
    <cfRule type="cellIs" dxfId="344" priority="23" operator="equal">
      <formula>"Nok"</formula>
    </cfRule>
    <cfRule type="cellIs" dxfId="343" priority="24" operator="equal">
      <formula>"Ok"</formula>
    </cfRule>
  </conditionalFormatting>
  <conditionalFormatting sqref="P40">
    <cfRule type="cellIs" dxfId="342" priority="21" operator="equal">
      <formula>"Nok"</formula>
    </cfRule>
    <cfRule type="cellIs" dxfId="341" priority="22" operator="equal">
      <formula>"Ok"</formula>
    </cfRule>
  </conditionalFormatting>
  <conditionalFormatting sqref="P41">
    <cfRule type="cellIs" dxfId="340" priority="19" operator="equal">
      <formula>"Nok"</formula>
    </cfRule>
    <cfRule type="cellIs" dxfId="339" priority="20" operator="equal">
      <formula>"Ok"</formula>
    </cfRule>
  </conditionalFormatting>
  <conditionalFormatting sqref="P42">
    <cfRule type="cellIs" dxfId="338" priority="17" operator="equal">
      <formula>"Nok"</formula>
    </cfRule>
    <cfRule type="cellIs" dxfId="337" priority="18" operator="equal">
      <formula>"Ok"</formula>
    </cfRule>
  </conditionalFormatting>
  <conditionalFormatting sqref="P43">
    <cfRule type="cellIs" dxfId="336" priority="15" operator="equal">
      <formula>"Nok"</formula>
    </cfRule>
    <cfRule type="cellIs" dxfId="335" priority="16" operator="equal">
      <formula>"Ok"</formula>
    </cfRule>
  </conditionalFormatting>
  <conditionalFormatting sqref="P44">
    <cfRule type="cellIs" dxfId="334" priority="13" operator="equal">
      <formula>"Nok"</formula>
    </cfRule>
    <cfRule type="cellIs" dxfId="333" priority="14" operator="equal">
      <formula>"Ok"</formula>
    </cfRule>
  </conditionalFormatting>
  <conditionalFormatting sqref="P45">
    <cfRule type="cellIs" dxfId="332" priority="11" operator="equal">
      <formula>"Nok"</formula>
    </cfRule>
    <cfRule type="cellIs" dxfId="331" priority="12" operator="equal">
      <formula>"Ok"</formula>
    </cfRule>
  </conditionalFormatting>
  <conditionalFormatting sqref="P46">
    <cfRule type="cellIs" dxfId="330" priority="9" operator="equal">
      <formula>"Nok"</formula>
    </cfRule>
    <cfRule type="cellIs" dxfId="329" priority="10" operator="equal">
      <formula>"Ok"</formula>
    </cfRule>
  </conditionalFormatting>
  <conditionalFormatting sqref="P47">
    <cfRule type="cellIs" dxfId="328" priority="7" operator="equal">
      <formula>"Nok"</formula>
    </cfRule>
    <cfRule type="cellIs" dxfId="327" priority="8" operator="equal">
      <formula>"Ok"</formula>
    </cfRule>
  </conditionalFormatting>
  <conditionalFormatting sqref="P48">
    <cfRule type="cellIs" dxfId="326" priority="5" operator="equal">
      <formula>"Nok"</formula>
    </cfRule>
    <cfRule type="cellIs" dxfId="325" priority="6" operator="equal">
      <formula>"Ok"</formula>
    </cfRule>
  </conditionalFormatting>
  <conditionalFormatting sqref="P49">
    <cfRule type="cellIs" dxfId="324" priority="3" operator="equal">
      <formula>"Nok"</formula>
    </cfRule>
    <cfRule type="cellIs" dxfId="323" priority="4" operator="equal">
      <formula>"Ok"</formula>
    </cfRule>
  </conditionalFormatting>
  <conditionalFormatting sqref="P50">
    <cfRule type="cellIs" dxfId="322" priority="1" operator="equal">
      <formula>"Nok"</formula>
    </cfRule>
    <cfRule type="cellIs" dxfId="321" priority="2" operator="equal">
      <formula>"Ok"</formula>
    </cfRule>
  </conditionalFormatting>
  <dataValidations count="3">
    <dataValidation type="list" allowBlank="1" showInputMessage="1" showErrorMessage="1" sqref="B5">
      <formula1>"Nominal, Robustness, Endurance, Qualification"</formula1>
    </dataValidation>
    <dataValidation type="list" allowBlank="1" showInputMessage="1" showErrorMessage="1" sqref="B9">
      <formula1>"Ok, Nok, Not run, NA"</formula1>
    </dataValidation>
    <dataValidation type="list" allowBlank="1" showInputMessage="1" showErrorMessage="1" sqref="P22:P50">
      <formula1>"Ok, Nok, Not run, ,"</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workbookViewId="0">
      <selection activeCell="B4" sqref="B4"/>
    </sheetView>
  </sheetViews>
  <sheetFormatPr defaultRowHeight="12.75" x14ac:dyDescent="0.2"/>
  <cols>
    <col min="1" max="1" width="20.140625" style="97" customWidth="1"/>
    <col min="2" max="2" width="18.42578125" style="93" customWidth="1"/>
    <col min="3" max="7" width="9.140625" style="93"/>
    <col min="8" max="15" width="9.5703125" style="93" customWidth="1"/>
    <col min="16" max="16384" width="9.140625" style="93"/>
  </cols>
  <sheetData>
    <row r="1" spans="1:15" ht="13.5" thickBot="1" x14ac:dyDescent="0.25">
      <c r="A1" s="98" t="s">
        <v>41</v>
      </c>
      <c r="B1" s="234" t="s">
        <v>397</v>
      </c>
      <c r="C1" s="235"/>
      <c r="D1" s="235"/>
      <c r="E1" s="235"/>
      <c r="F1" s="235"/>
      <c r="G1" s="236"/>
      <c r="H1" s="73"/>
      <c r="I1" s="73"/>
      <c r="J1" s="73"/>
      <c r="K1" s="73"/>
      <c r="L1" s="73"/>
      <c r="M1" s="73"/>
      <c r="N1" s="73"/>
      <c r="O1" s="73"/>
    </row>
    <row r="2" spans="1:15" ht="13.5" thickBot="1" x14ac:dyDescent="0.25">
      <c r="A2" s="71"/>
      <c r="B2" s="72"/>
      <c r="C2" s="72"/>
      <c r="D2" s="73"/>
      <c r="E2" s="73"/>
      <c r="F2" s="73"/>
      <c r="G2" s="73"/>
      <c r="H2" s="73"/>
      <c r="I2" s="73"/>
      <c r="J2" s="73"/>
      <c r="K2" s="73"/>
      <c r="L2" s="73"/>
      <c r="M2" s="73"/>
      <c r="N2" s="73"/>
      <c r="O2" s="73"/>
    </row>
    <row r="3" spans="1:15" ht="61.5" customHeight="1" thickBot="1" x14ac:dyDescent="0.25">
      <c r="A3" s="99" t="s">
        <v>46</v>
      </c>
      <c r="B3" s="237" t="s">
        <v>429</v>
      </c>
      <c r="C3" s="238"/>
      <c r="D3" s="238"/>
      <c r="E3" s="238"/>
      <c r="F3" s="238"/>
      <c r="G3" s="239"/>
      <c r="H3" s="73"/>
      <c r="I3" s="73"/>
      <c r="J3" s="73"/>
      <c r="K3" s="73"/>
      <c r="L3" s="73"/>
      <c r="M3" s="73"/>
      <c r="N3" s="73"/>
      <c r="O3" s="73"/>
    </row>
    <row r="4" spans="1:15" ht="13.5" thickBot="1" x14ac:dyDescent="0.25">
      <c r="A4" s="71"/>
      <c r="B4" s="72"/>
      <c r="C4" s="72"/>
      <c r="D4" s="73"/>
      <c r="E4" s="73"/>
      <c r="F4" s="73"/>
      <c r="G4" s="73"/>
      <c r="H4" s="73"/>
      <c r="I4" s="73"/>
      <c r="J4" s="73"/>
      <c r="K4" s="73"/>
      <c r="L4" s="73"/>
      <c r="M4" s="73"/>
      <c r="N4" s="73"/>
      <c r="O4" s="73"/>
    </row>
    <row r="5" spans="1:15" ht="13.5" thickBot="1" x14ac:dyDescent="0.25">
      <c r="A5" s="98" t="s">
        <v>111</v>
      </c>
      <c r="B5" s="76" t="s">
        <v>142</v>
      </c>
      <c r="C5" s="72"/>
      <c r="D5" s="73"/>
      <c r="E5" s="73"/>
      <c r="F5" s="73"/>
      <c r="G5" s="73"/>
      <c r="H5" s="73"/>
      <c r="I5" s="73"/>
      <c r="J5" s="73"/>
      <c r="K5" s="73"/>
      <c r="L5" s="73"/>
      <c r="M5" s="73"/>
      <c r="N5" s="73"/>
      <c r="O5" s="73"/>
    </row>
    <row r="6" spans="1:15" ht="13.5" thickBot="1" x14ac:dyDescent="0.25">
      <c r="A6" s="71"/>
      <c r="B6" s="72"/>
      <c r="C6" s="72"/>
      <c r="D6" s="73"/>
      <c r="E6" s="73"/>
      <c r="F6" s="73"/>
      <c r="G6" s="73"/>
      <c r="H6" s="73"/>
      <c r="I6" s="73"/>
      <c r="J6" s="73"/>
      <c r="K6" s="73"/>
      <c r="L6" s="73"/>
      <c r="M6" s="73"/>
      <c r="N6" s="73"/>
      <c r="O6" s="73"/>
    </row>
    <row r="7" spans="1:15" ht="30.75" customHeight="1" thickBot="1" x14ac:dyDescent="0.25">
      <c r="A7" s="98" t="s">
        <v>42</v>
      </c>
      <c r="B7" s="237" t="s">
        <v>398</v>
      </c>
      <c r="C7" s="238"/>
      <c r="D7" s="238"/>
      <c r="E7" s="238"/>
      <c r="F7" s="238"/>
      <c r="G7" s="239"/>
      <c r="H7" s="73"/>
      <c r="I7" s="73"/>
      <c r="J7" s="73"/>
      <c r="K7" s="73"/>
      <c r="L7" s="73"/>
      <c r="M7" s="73"/>
      <c r="N7" s="73"/>
      <c r="O7" s="73"/>
    </row>
    <row r="8" spans="1:15" ht="13.5" thickBot="1" x14ac:dyDescent="0.25">
      <c r="A8" s="75"/>
      <c r="B8" s="74"/>
      <c r="C8" s="74"/>
      <c r="D8" s="74"/>
      <c r="E8" s="74"/>
      <c r="F8" s="74"/>
      <c r="G8" s="74"/>
      <c r="H8" s="73"/>
      <c r="I8" s="73"/>
      <c r="J8" s="73"/>
      <c r="K8" s="73"/>
      <c r="L8" s="73"/>
      <c r="M8" s="73"/>
      <c r="N8" s="73"/>
      <c r="O8" s="73"/>
    </row>
    <row r="9" spans="1:15" ht="13.5" thickBot="1" x14ac:dyDescent="0.25">
      <c r="A9" s="98" t="s">
        <v>43</v>
      </c>
      <c r="B9" s="103" t="s">
        <v>143</v>
      </c>
      <c r="C9" s="72"/>
      <c r="D9" s="73"/>
      <c r="E9" s="73"/>
      <c r="F9" s="73"/>
      <c r="G9" s="73"/>
      <c r="H9" s="73"/>
      <c r="I9" s="73"/>
      <c r="J9" s="73"/>
      <c r="K9" s="73"/>
      <c r="L9" s="73"/>
      <c r="M9" s="73"/>
      <c r="N9" s="73"/>
      <c r="O9" s="73"/>
    </row>
    <row r="10" spans="1:15" ht="13.5" thickBot="1" x14ac:dyDescent="0.25">
      <c r="A10" s="75"/>
      <c r="B10" s="94"/>
      <c r="C10" s="72"/>
      <c r="D10" s="73"/>
      <c r="E10" s="73"/>
      <c r="F10" s="73"/>
      <c r="G10" s="73"/>
      <c r="H10" s="73"/>
      <c r="I10" s="73"/>
      <c r="J10" s="73"/>
      <c r="K10" s="73"/>
      <c r="L10" s="73"/>
      <c r="M10" s="73"/>
      <c r="N10" s="73"/>
      <c r="O10" s="73"/>
    </row>
    <row r="11" spans="1:15" ht="12" customHeight="1" x14ac:dyDescent="0.2">
      <c r="A11" s="223" t="s">
        <v>113</v>
      </c>
      <c r="B11" s="225"/>
      <c r="C11" s="226"/>
      <c r="D11" s="226"/>
      <c r="E11" s="226"/>
      <c r="F11" s="226"/>
      <c r="G11" s="227"/>
      <c r="H11" s="73"/>
      <c r="I11" s="73"/>
      <c r="J11" s="73"/>
      <c r="K11" s="73"/>
      <c r="L11" s="73"/>
      <c r="M11" s="73"/>
      <c r="N11" s="73"/>
      <c r="O11" s="73"/>
    </row>
    <row r="12" spans="1:15" x14ac:dyDescent="0.2">
      <c r="A12" s="224"/>
      <c r="B12" s="228"/>
      <c r="C12" s="229"/>
      <c r="D12" s="229"/>
      <c r="E12" s="229"/>
      <c r="F12" s="229"/>
      <c r="G12" s="230"/>
      <c r="H12" s="73"/>
      <c r="I12" s="73"/>
      <c r="J12" s="73"/>
      <c r="K12" s="73"/>
      <c r="L12" s="73"/>
      <c r="M12" s="73"/>
      <c r="N12" s="73"/>
      <c r="O12" s="73"/>
    </row>
    <row r="13" spans="1:15" x14ac:dyDescent="0.2">
      <c r="A13" s="224"/>
      <c r="B13" s="228"/>
      <c r="C13" s="229"/>
      <c r="D13" s="229"/>
      <c r="E13" s="229"/>
      <c r="F13" s="229"/>
      <c r="G13" s="230"/>
      <c r="H13" s="71"/>
      <c r="I13" s="73"/>
      <c r="J13" s="73"/>
      <c r="K13" s="73"/>
      <c r="L13" s="73"/>
      <c r="M13" s="73"/>
      <c r="N13" s="73"/>
      <c r="O13" s="73"/>
    </row>
    <row r="14" spans="1:15" ht="13.5" thickBot="1" x14ac:dyDescent="0.25">
      <c r="A14" s="224"/>
      <c r="B14" s="231"/>
      <c r="C14" s="232"/>
      <c r="D14" s="232"/>
      <c r="E14" s="232"/>
      <c r="F14" s="232"/>
      <c r="G14" s="233"/>
      <c r="H14" s="77"/>
      <c r="I14" s="73"/>
      <c r="J14" s="73"/>
      <c r="K14" s="73"/>
      <c r="L14" s="73"/>
      <c r="M14" s="73"/>
      <c r="N14" s="73"/>
      <c r="O14" s="73"/>
    </row>
    <row r="15" spans="1:15" ht="13.5" thickBot="1" x14ac:dyDescent="0.25">
      <c r="A15" s="71"/>
      <c r="B15" s="71"/>
      <c r="C15" s="71"/>
      <c r="D15" s="71"/>
      <c r="E15" s="71"/>
      <c r="F15" s="71"/>
      <c r="G15" s="71"/>
      <c r="H15" s="77"/>
      <c r="I15" s="73"/>
      <c r="J15" s="73"/>
      <c r="K15" s="73"/>
      <c r="L15" s="73"/>
      <c r="M15" s="73"/>
      <c r="N15" s="73"/>
      <c r="O15" s="73"/>
    </row>
    <row r="16" spans="1:15" x14ac:dyDescent="0.2">
      <c r="A16" s="223" t="s">
        <v>44</v>
      </c>
      <c r="B16" s="225"/>
      <c r="C16" s="226"/>
      <c r="D16" s="226"/>
      <c r="E16" s="226"/>
      <c r="F16" s="226"/>
      <c r="G16" s="227"/>
      <c r="H16" s="73"/>
      <c r="I16" s="73"/>
      <c r="J16" s="73"/>
      <c r="K16" s="73"/>
      <c r="L16" s="73"/>
      <c r="M16" s="73"/>
      <c r="N16" s="73"/>
      <c r="O16" s="73"/>
    </row>
    <row r="17" spans="1:16" x14ac:dyDescent="0.2">
      <c r="A17" s="224"/>
      <c r="B17" s="228"/>
      <c r="C17" s="229"/>
      <c r="D17" s="229"/>
      <c r="E17" s="229"/>
      <c r="F17" s="229"/>
      <c r="G17" s="230"/>
      <c r="H17" s="73"/>
      <c r="I17" s="73"/>
      <c r="J17" s="73"/>
      <c r="K17" s="73"/>
      <c r="L17" s="73"/>
      <c r="M17" s="73"/>
      <c r="N17" s="73"/>
      <c r="O17" s="73"/>
    </row>
    <row r="18" spans="1:16" x14ac:dyDescent="0.2">
      <c r="A18" s="224"/>
      <c r="B18" s="228"/>
      <c r="C18" s="229"/>
      <c r="D18" s="229"/>
      <c r="E18" s="229"/>
      <c r="F18" s="229"/>
      <c r="G18" s="230"/>
      <c r="H18" s="71"/>
      <c r="I18" s="73"/>
      <c r="J18" s="73"/>
      <c r="K18" s="73"/>
      <c r="L18" s="73"/>
      <c r="M18" s="73"/>
      <c r="N18" s="73"/>
      <c r="O18" s="73"/>
    </row>
    <row r="19" spans="1:16" ht="13.5" thickBot="1" x14ac:dyDescent="0.25">
      <c r="A19" s="224"/>
      <c r="B19" s="231"/>
      <c r="C19" s="232"/>
      <c r="D19" s="232"/>
      <c r="E19" s="232"/>
      <c r="F19" s="232"/>
      <c r="G19" s="233"/>
      <c r="H19" s="77"/>
      <c r="I19" s="73"/>
      <c r="J19" s="73"/>
      <c r="K19" s="73"/>
      <c r="L19" s="73"/>
      <c r="M19" s="73"/>
      <c r="N19" s="73"/>
      <c r="O19" s="73"/>
    </row>
    <row r="20" spans="1:16" ht="13.5" thickBot="1" x14ac:dyDescent="0.25">
      <c r="A20" s="71"/>
      <c r="B20" s="71"/>
      <c r="C20" s="71"/>
      <c r="D20" s="71"/>
      <c r="E20" s="71"/>
      <c r="F20" s="71"/>
      <c r="G20" s="71"/>
      <c r="H20" s="77"/>
      <c r="I20" s="73"/>
      <c r="J20" s="73"/>
      <c r="K20" s="73"/>
      <c r="L20" s="73"/>
      <c r="M20" s="73"/>
      <c r="N20" s="73"/>
      <c r="O20" s="73"/>
    </row>
    <row r="21" spans="1:16" ht="12.75" customHeight="1" x14ac:dyDescent="0.2">
      <c r="A21" s="220" t="s">
        <v>48</v>
      </c>
      <c r="B21" s="221"/>
      <c r="C21" s="221"/>
      <c r="D21" s="221"/>
      <c r="E21" s="221"/>
      <c r="F21" s="221"/>
      <c r="G21" s="222"/>
      <c r="H21" s="220" t="s">
        <v>49</v>
      </c>
      <c r="I21" s="221"/>
      <c r="J21" s="221"/>
      <c r="K21" s="222"/>
      <c r="L21" s="220" t="s">
        <v>60</v>
      </c>
      <c r="M21" s="221"/>
      <c r="N21" s="221"/>
      <c r="O21" s="222"/>
      <c r="P21" s="100" t="s">
        <v>47</v>
      </c>
    </row>
    <row r="22" spans="1:16" ht="99.75" customHeight="1" thickBot="1" x14ac:dyDescent="0.25">
      <c r="A22" s="101" t="s">
        <v>50</v>
      </c>
      <c r="B22" s="212" t="s">
        <v>413</v>
      </c>
      <c r="C22" s="213"/>
      <c r="D22" s="213"/>
      <c r="E22" s="213"/>
      <c r="F22" s="213"/>
      <c r="G22" s="214"/>
      <c r="H22" s="216"/>
      <c r="I22" s="216"/>
      <c r="J22" s="216"/>
      <c r="K22" s="216"/>
      <c r="L22" s="216" t="s">
        <v>406</v>
      </c>
      <c r="M22" s="216"/>
      <c r="N22" s="216"/>
      <c r="O22" s="216"/>
      <c r="P22" s="95" t="s">
        <v>143</v>
      </c>
    </row>
    <row r="23" spans="1:16" ht="75" customHeight="1" thickBot="1" x14ac:dyDescent="0.25">
      <c r="A23" s="101" t="s">
        <v>51</v>
      </c>
      <c r="B23" s="212" t="s">
        <v>412</v>
      </c>
      <c r="C23" s="213"/>
      <c r="D23" s="213"/>
      <c r="E23" s="213"/>
      <c r="F23" s="213"/>
      <c r="G23" s="214"/>
      <c r="H23" s="216"/>
      <c r="I23" s="216"/>
      <c r="J23" s="216"/>
      <c r="K23" s="216"/>
      <c r="L23" s="216" t="s">
        <v>406</v>
      </c>
      <c r="M23" s="216"/>
      <c r="N23" s="216"/>
      <c r="O23" s="216"/>
      <c r="P23" s="95" t="s">
        <v>143</v>
      </c>
    </row>
    <row r="24" spans="1:16" ht="45" customHeight="1" thickBot="1" x14ac:dyDescent="0.25">
      <c r="A24" s="101" t="s">
        <v>52</v>
      </c>
      <c r="B24" s="212" t="s">
        <v>416</v>
      </c>
      <c r="C24" s="213"/>
      <c r="D24" s="213"/>
      <c r="E24" s="213"/>
      <c r="F24" s="213"/>
      <c r="G24" s="214"/>
      <c r="H24" s="216"/>
      <c r="I24" s="216"/>
      <c r="J24" s="216"/>
      <c r="K24" s="216"/>
      <c r="L24" s="216" t="s">
        <v>406</v>
      </c>
      <c r="M24" s="216"/>
      <c r="N24" s="216"/>
      <c r="O24" s="216"/>
      <c r="P24" s="95" t="s">
        <v>143</v>
      </c>
    </row>
    <row r="25" spans="1:16" ht="72.75" customHeight="1" thickBot="1" x14ac:dyDescent="0.25">
      <c r="A25" s="101" t="s">
        <v>53</v>
      </c>
      <c r="B25" s="212" t="s">
        <v>424</v>
      </c>
      <c r="C25" s="213"/>
      <c r="D25" s="213"/>
      <c r="E25" s="213"/>
      <c r="F25" s="213"/>
      <c r="G25" s="214"/>
      <c r="H25" s="216"/>
      <c r="I25" s="216"/>
      <c r="J25" s="216"/>
      <c r="K25" s="216"/>
      <c r="L25" s="216" t="s">
        <v>406</v>
      </c>
      <c r="M25" s="216"/>
      <c r="N25" s="216"/>
      <c r="O25" s="216"/>
      <c r="P25" s="95" t="s">
        <v>143</v>
      </c>
    </row>
    <row r="26" spans="1:16" ht="104.25" customHeight="1" thickBot="1" x14ac:dyDescent="0.25">
      <c r="A26" s="101" t="s">
        <v>54</v>
      </c>
      <c r="B26" s="212"/>
      <c r="C26" s="213"/>
      <c r="D26" s="213"/>
      <c r="E26" s="213"/>
      <c r="F26" s="213"/>
      <c r="G26" s="214"/>
      <c r="H26" s="216"/>
      <c r="I26" s="216"/>
      <c r="J26" s="216"/>
      <c r="K26" s="216"/>
      <c r="L26" s="216"/>
      <c r="M26" s="216"/>
      <c r="N26" s="216"/>
      <c r="O26" s="216"/>
      <c r="P26" s="95"/>
    </row>
    <row r="27" spans="1:16" ht="29.25" customHeight="1" x14ac:dyDescent="0.2">
      <c r="A27" s="101" t="s">
        <v>55</v>
      </c>
      <c r="B27" s="217"/>
      <c r="C27" s="218"/>
      <c r="D27" s="218"/>
      <c r="E27" s="218"/>
      <c r="F27" s="218"/>
      <c r="G27" s="219"/>
      <c r="H27" s="216"/>
      <c r="I27" s="216"/>
      <c r="J27" s="216"/>
      <c r="K27" s="216"/>
      <c r="L27" s="216"/>
      <c r="M27" s="216"/>
      <c r="N27" s="216"/>
      <c r="O27" s="216"/>
      <c r="P27" s="95"/>
    </row>
    <row r="28" spans="1:16" ht="29.25" customHeight="1" x14ac:dyDescent="0.2">
      <c r="A28" s="101" t="s">
        <v>56</v>
      </c>
      <c r="B28" s="217"/>
      <c r="C28" s="218"/>
      <c r="D28" s="218"/>
      <c r="E28" s="218"/>
      <c r="F28" s="218"/>
      <c r="G28" s="219"/>
      <c r="H28" s="216"/>
      <c r="I28" s="216"/>
      <c r="J28" s="216"/>
      <c r="K28" s="216"/>
      <c r="L28" s="216"/>
      <c r="M28" s="216"/>
      <c r="N28" s="216"/>
      <c r="O28" s="216"/>
      <c r="P28" s="95"/>
    </row>
    <row r="29" spans="1:16" ht="29.25" customHeight="1" x14ac:dyDescent="0.2">
      <c r="A29" s="101" t="s">
        <v>57</v>
      </c>
      <c r="B29" s="217"/>
      <c r="C29" s="218"/>
      <c r="D29" s="218"/>
      <c r="E29" s="218"/>
      <c r="F29" s="218"/>
      <c r="G29" s="219"/>
      <c r="H29" s="216"/>
      <c r="I29" s="216"/>
      <c r="J29" s="216"/>
      <c r="K29" s="216"/>
      <c r="L29" s="216"/>
      <c r="M29" s="216"/>
      <c r="N29" s="216"/>
      <c r="O29" s="216"/>
      <c r="P29" s="95"/>
    </row>
    <row r="30" spans="1:16" ht="45.75" customHeight="1" thickBot="1" x14ac:dyDescent="0.25">
      <c r="A30" s="102" t="s">
        <v>58</v>
      </c>
      <c r="B30" s="212"/>
      <c r="C30" s="213"/>
      <c r="D30" s="213"/>
      <c r="E30" s="213"/>
      <c r="F30" s="213"/>
      <c r="G30" s="214"/>
      <c r="H30" s="215"/>
      <c r="I30" s="215"/>
      <c r="J30" s="215"/>
      <c r="K30" s="215"/>
      <c r="L30" s="215"/>
      <c r="M30" s="215"/>
      <c r="N30" s="215"/>
      <c r="O30" s="215"/>
      <c r="P30" s="96"/>
    </row>
    <row r="31" spans="1:16" ht="29.25" customHeight="1" thickBot="1" x14ac:dyDescent="0.25">
      <c r="A31" s="102" t="s">
        <v>145</v>
      </c>
      <c r="B31" s="217"/>
      <c r="C31" s="218"/>
      <c r="D31" s="218"/>
      <c r="E31" s="218"/>
      <c r="F31" s="218"/>
      <c r="G31" s="219"/>
      <c r="H31" s="216"/>
      <c r="I31" s="216"/>
      <c r="J31" s="216"/>
      <c r="K31" s="216"/>
      <c r="L31" s="216"/>
      <c r="M31" s="216"/>
      <c r="N31" s="216"/>
      <c r="O31" s="216"/>
      <c r="P31" s="95"/>
    </row>
    <row r="32" spans="1:16" ht="55.5" customHeight="1" thickBot="1" x14ac:dyDescent="0.25">
      <c r="A32" s="102" t="s">
        <v>146</v>
      </c>
      <c r="B32" s="217"/>
      <c r="C32" s="218"/>
      <c r="D32" s="218"/>
      <c r="E32" s="218"/>
      <c r="F32" s="218"/>
      <c r="G32" s="219"/>
      <c r="H32" s="216"/>
      <c r="I32" s="216"/>
      <c r="J32" s="216"/>
      <c r="K32" s="216"/>
      <c r="L32" s="216"/>
      <c r="M32" s="216"/>
      <c r="N32" s="216"/>
      <c r="O32" s="216"/>
      <c r="P32" s="95"/>
    </row>
    <row r="33" spans="1:16" ht="45.75" customHeight="1" thickBot="1" x14ac:dyDescent="0.25">
      <c r="A33" s="102" t="s">
        <v>147</v>
      </c>
      <c r="B33" s="212"/>
      <c r="C33" s="213"/>
      <c r="D33" s="213"/>
      <c r="E33" s="213"/>
      <c r="F33" s="213"/>
      <c r="G33" s="214"/>
      <c r="H33" s="215"/>
      <c r="I33" s="215"/>
      <c r="J33" s="215"/>
      <c r="K33" s="215"/>
      <c r="L33" s="215"/>
      <c r="M33" s="215"/>
      <c r="N33" s="215"/>
      <c r="O33" s="215"/>
      <c r="P33" s="95"/>
    </row>
    <row r="34" spans="1:16" ht="45.75" customHeight="1" thickBot="1" x14ac:dyDescent="0.25">
      <c r="A34" s="102" t="s">
        <v>148</v>
      </c>
      <c r="B34" s="217"/>
      <c r="C34" s="218"/>
      <c r="D34" s="218"/>
      <c r="E34" s="218"/>
      <c r="F34" s="218"/>
      <c r="G34" s="219"/>
      <c r="H34" s="216"/>
      <c r="I34" s="216"/>
      <c r="J34" s="216"/>
      <c r="K34" s="216"/>
      <c r="L34" s="216"/>
      <c r="M34" s="216"/>
      <c r="N34" s="216"/>
      <c r="O34" s="216"/>
      <c r="P34" s="95"/>
    </row>
    <row r="35" spans="1:16" ht="48" customHeight="1" thickBot="1" x14ac:dyDescent="0.25">
      <c r="A35" s="102" t="s">
        <v>149</v>
      </c>
      <c r="B35" s="217"/>
      <c r="C35" s="218"/>
      <c r="D35" s="218"/>
      <c r="E35" s="218"/>
      <c r="F35" s="218"/>
      <c r="G35" s="219"/>
      <c r="H35" s="216"/>
      <c r="I35" s="216"/>
      <c r="J35" s="216"/>
      <c r="K35" s="216"/>
      <c r="L35" s="216"/>
      <c r="M35" s="216"/>
      <c r="N35" s="216"/>
      <c r="O35" s="216"/>
      <c r="P35" s="95"/>
    </row>
    <row r="36" spans="1:16" ht="45.75" customHeight="1" thickBot="1" x14ac:dyDescent="0.25">
      <c r="A36" s="102" t="s">
        <v>150</v>
      </c>
      <c r="B36" s="212"/>
      <c r="C36" s="213"/>
      <c r="D36" s="213"/>
      <c r="E36" s="213"/>
      <c r="F36" s="213"/>
      <c r="G36" s="214"/>
      <c r="H36" s="215"/>
      <c r="I36" s="215"/>
      <c r="J36" s="215"/>
      <c r="K36" s="215"/>
      <c r="L36" s="216"/>
      <c r="M36" s="216"/>
      <c r="N36" s="216"/>
      <c r="O36" s="216"/>
      <c r="P36" s="96"/>
    </row>
    <row r="37" spans="1:16" ht="66" customHeight="1" thickBot="1" x14ac:dyDescent="0.25">
      <c r="A37" s="102" t="s">
        <v>151</v>
      </c>
      <c r="B37" s="212"/>
      <c r="C37" s="213"/>
      <c r="D37" s="213"/>
      <c r="E37" s="213"/>
      <c r="F37" s="213"/>
      <c r="G37" s="214"/>
      <c r="H37" s="215"/>
      <c r="I37" s="215"/>
      <c r="J37" s="215"/>
      <c r="K37" s="215"/>
      <c r="L37" s="216"/>
      <c r="M37" s="216"/>
      <c r="N37" s="216"/>
      <c r="O37" s="216"/>
      <c r="P37" s="96"/>
    </row>
    <row r="38" spans="1:16" ht="45.75" customHeight="1" thickBot="1" x14ac:dyDescent="0.25">
      <c r="A38" s="102" t="s">
        <v>152</v>
      </c>
      <c r="B38" s="212"/>
      <c r="C38" s="213"/>
      <c r="D38" s="213"/>
      <c r="E38" s="213"/>
      <c r="F38" s="213"/>
      <c r="G38" s="214"/>
      <c r="H38" s="215"/>
      <c r="I38" s="215"/>
      <c r="J38" s="215"/>
      <c r="K38" s="215"/>
      <c r="L38" s="215"/>
      <c r="M38" s="215"/>
      <c r="N38" s="215"/>
      <c r="O38" s="215"/>
      <c r="P38" s="96"/>
    </row>
    <row r="39" spans="1:16" ht="45.75" customHeight="1" thickBot="1" x14ac:dyDescent="0.25">
      <c r="A39" s="102" t="s">
        <v>153</v>
      </c>
      <c r="B39" s="212"/>
      <c r="C39" s="213"/>
      <c r="D39" s="213"/>
      <c r="E39" s="213"/>
      <c r="F39" s="213"/>
      <c r="G39" s="214"/>
      <c r="H39" s="215"/>
      <c r="I39" s="215"/>
      <c r="J39" s="215"/>
      <c r="K39" s="215"/>
      <c r="L39" s="215"/>
      <c r="M39" s="215"/>
      <c r="N39" s="215"/>
      <c r="O39" s="215"/>
      <c r="P39" s="96"/>
    </row>
    <row r="40" spans="1:16" ht="45.75" customHeight="1" thickBot="1" x14ac:dyDescent="0.25">
      <c r="A40" s="102" t="s">
        <v>184</v>
      </c>
      <c r="B40" s="212"/>
      <c r="C40" s="213"/>
      <c r="D40" s="213"/>
      <c r="E40" s="213"/>
      <c r="F40" s="213"/>
      <c r="G40" s="214"/>
      <c r="H40" s="215"/>
      <c r="I40" s="215"/>
      <c r="J40" s="215"/>
      <c r="K40" s="215"/>
      <c r="L40" s="215"/>
      <c r="M40" s="215"/>
      <c r="N40" s="215"/>
      <c r="O40" s="215"/>
      <c r="P40" s="96"/>
    </row>
    <row r="41" spans="1:16" ht="45.75" customHeight="1" thickBot="1" x14ac:dyDescent="0.25">
      <c r="A41" s="102" t="s">
        <v>185</v>
      </c>
      <c r="B41" s="212"/>
      <c r="C41" s="213"/>
      <c r="D41" s="213"/>
      <c r="E41" s="213"/>
      <c r="F41" s="213"/>
      <c r="G41" s="214"/>
      <c r="H41" s="215"/>
      <c r="I41" s="215"/>
      <c r="J41" s="215"/>
      <c r="K41" s="215"/>
      <c r="L41" s="215"/>
      <c r="M41" s="215"/>
      <c r="N41" s="215"/>
      <c r="O41" s="215"/>
      <c r="P41" s="96"/>
    </row>
    <row r="42" spans="1:16" ht="45.75" customHeight="1" thickBot="1" x14ac:dyDescent="0.25">
      <c r="A42" s="102" t="s">
        <v>186</v>
      </c>
      <c r="B42" s="212"/>
      <c r="C42" s="213"/>
      <c r="D42" s="213"/>
      <c r="E42" s="213"/>
      <c r="F42" s="213"/>
      <c r="G42" s="214"/>
      <c r="H42" s="215"/>
      <c r="I42" s="215"/>
      <c r="J42" s="215"/>
      <c r="K42" s="215"/>
      <c r="L42" s="215"/>
      <c r="M42" s="215"/>
      <c r="N42" s="215"/>
      <c r="O42" s="215"/>
      <c r="P42" s="96"/>
    </row>
    <row r="43" spans="1:16" ht="45.75" customHeight="1" thickBot="1" x14ac:dyDescent="0.25">
      <c r="A43" s="102" t="s">
        <v>187</v>
      </c>
      <c r="B43" s="212"/>
      <c r="C43" s="213"/>
      <c r="D43" s="213"/>
      <c r="E43" s="213"/>
      <c r="F43" s="213"/>
      <c r="G43" s="214"/>
      <c r="H43" s="215"/>
      <c r="I43" s="215"/>
      <c r="J43" s="215"/>
      <c r="K43" s="215"/>
      <c r="L43" s="215"/>
      <c r="M43" s="215"/>
      <c r="N43" s="215"/>
      <c r="O43" s="215"/>
      <c r="P43" s="96"/>
    </row>
    <row r="44" spans="1:16" ht="45.75" customHeight="1" thickBot="1" x14ac:dyDescent="0.25">
      <c r="A44" s="102" t="s">
        <v>188</v>
      </c>
      <c r="B44" s="212"/>
      <c r="C44" s="213"/>
      <c r="D44" s="213"/>
      <c r="E44" s="213"/>
      <c r="F44" s="213"/>
      <c r="G44" s="214"/>
      <c r="H44" s="215"/>
      <c r="I44" s="215"/>
      <c r="J44" s="215"/>
      <c r="K44" s="215"/>
      <c r="L44" s="215"/>
      <c r="M44" s="215"/>
      <c r="N44" s="215"/>
      <c r="O44" s="215"/>
      <c r="P44" s="96"/>
    </row>
    <row r="45" spans="1:16" ht="45.75" customHeight="1" thickBot="1" x14ac:dyDescent="0.25">
      <c r="A45" s="102" t="s">
        <v>189</v>
      </c>
      <c r="B45" s="212"/>
      <c r="C45" s="213"/>
      <c r="D45" s="213"/>
      <c r="E45" s="213"/>
      <c r="F45" s="213"/>
      <c r="G45" s="214"/>
      <c r="H45" s="215"/>
      <c r="I45" s="215"/>
      <c r="J45" s="215"/>
      <c r="K45" s="215"/>
      <c r="L45" s="215"/>
      <c r="M45" s="215"/>
      <c r="N45" s="215"/>
      <c r="O45" s="215"/>
      <c r="P45" s="96"/>
    </row>
    <row r="46" spans="1:16" ht="45.75" customHeight="1" thickBot="1" x14ac:dyDescent="0.25">
      <c r="A46" s="102" t="s">
        <v>190</v>
      </c>
      <c r="B46" s="212"/>
      <c r="C46" s="213"/>
      <c r="D46" s="213"/>
      <c r="E46" s="213"/>
      <c r="F46" s="213"/>
      <c r="G46" s="214"/>
      <c r="H46" s="215"/>
      <c r="I46" s="215"/>
      <c r="J46" s="215"/>
      <c r="K46" s="215"/>
      <c r="L46" s="215"/>
      <c r="M46" s="215"/>
      <c r="N46" s="215"/>
      <c r="O46" s="215"/>
      <c r="P46" s="96"/>
    </row>
    <row r="47" spans="1:16" ht="45.75" customHeight="1" thickBot="1" x14ac:dyDescent="0.25">
      <c r="A47" s="102" t="s">
        <v>191</v>
      </c>
      <c r="B47" s="212"/>
      <c r="C47" s="213"/>
      <c r="D47" s="213"/>
      <c r="E47" s="213"/>
      <c r="F47" s="213"/>
      <c r="G47" s="214"/>
      <c r="H47" s="215"/>
      <c r="I47" s="215"/>
      <c r="J47" s="215"/>
      <c r="K47" s="215"/>
      <c r="L47" s="215"/>
      <c r="M47" s="215"/>
      <c r="N47" s="215"/>
      <c r="O47" s="215"/>
      <c r="P47" s="96"/>
    </row>
    <row r="48" spans="1:16" ht="45.75" customHeight="1" thickBot="1" x14ac:dyDescent="0.25">
      <c r="A48" s="102" t="s">
        <v>192</v>
      </c>
      <c r="B48" s="212"/>
      <c r="C48" s="213"/>
      <c r="D48" s="213"/>
      <c r="E48" s="213"/>
      <c r="F48" s="213"/>
      <c r="G48" s="214"/>
      <c r="H48" s="215"/>
      <c r="I48" s="215"/>
      <c r="J48" s="215"/>
      <c r="K48" s="215"/>
      <c r="L48" s="215"/>
      <c r="M48" s="215"/>
      <c r="N48" s="215"/>
      <c r="O48" s="215"/>
      <c r="P48" s="96"/>
    </row>
    <row r="49" spans="1:16" ht="45.75" customHeight="1" thickBot="1" x14ac:dyDescent="0.25">
      <c r="A49" s="102" t="s">
        <v>193</v>
      </c>
      <c r="B49" s="212"/>
      <c r="C49" s="213"/>
      <c r="D49" s="213"/>
      <c r="E49" s="213"/>
      <c r="F49" s="213"/>
      <c r="G49" s="214"/>
      <c r="H49" s="215"/>
      <c r="I49" s="215"/>
      <c r="J49" s="215"/>
      <c r="K49" s="215"/>
      <c r="L49" s="215"/>
      <c r="M49" s="215"/>
      <c r="N49" s="215"/>
      <c r="O49" s="215"/>
      <c r="P49" s="96"/>
    </row>
    <row r="50" spans="1:16" ht="45.75" customHeight="1" thickBot="1" x14ac:dyDescent="0.25">
      <c r="A50" s="102" t="s">
        <v>194</v>
      </c>
      <c r="B50" s="212"/>
      <c r="C50" s="213"/>
      <c r="D50" s="213"/>
      <c r="E50" s="213"/>
      <c r="F50" s="213"/>
      <c r="G50" s="214"/>
      <c r="H50" s="215"/>
      <c r="I50" s="215"/>
      <c r="J50" s="215"/>
      <c r="K50" s="215"/>
      <c r="L50" s="215"/>
      <c r="M50" s="215"/>
      <c r="N50" s="215"/>
      <c r="O50" s="215"/>
      <c r="P50" s="96"/>
    </row>
  </sheetData>
  <mergeCells count="97">
    <mergeCell ref="B49:G49"/>
    <mergeCell ref="H49:K49"/>
    <mergeCell ref="L49:O49"/>
    <mergeCell ref="B50:G50"/>
    <mergeCell ref="H50:K50"/>
    <mergeCell ref="L50:O50"/>
    <mergeCell ref="B47:G47"/>
    <mergeCell ref="H47:K47"/>
    <mergeCell ref="L47:O47"/>
    <mergeCell ref="B48:G48"/>
    <mergeCell ref="H48:K48"/>
    <mergeCell ref="L48:O48"/>
    <mergeCell ref="B45:G45"/>
    <mergeCell ref="H45:K45"/>
    <mergeCell ref="L45:O45"/>
    <mergeCell ref="B46:G46"/>
    <mergeCell ref="H46:K46"/>
    <mergeCell ref="L46:O46"/>
    <mergeCell ref="B43:G43"/>
    <mergeCell ref="H43:K43"/>
    <mergeCell ref="L43:O43"/>
    <mergeCell ref="B44:G44"/>
    <mergeCell ref="H44:K44"/>
    <mergeCell ref="L44:O44"/>
    <mergeCell ref="B41:G41"/>
    <mergeCell ref="H41:K41"/>
    <mergeCell ref="L41:O41"/>
    <mergeCell ref="B42:G42"/>
    <mergeCell ref="H42:K42"/>
    <mergeCell ref="L42:O42"/>
    <mergeCell ref="B39:G39"/>
    <mergeCell ref="H39:K39"/>
    <mergeCell ref="L39:O39"/>
    <mergeCell ref="B40:G40"/>
    <mergeCell ref="H40:K40"/>
    <mergeCell ref="L40:O40"/>
    <mergeCell ref="B37:G37"/>
    <mergeCell ref="H37:K37"/>
    <mergeCell ref="L37:O37"/>
    <mergeCell ref="B38:G38"/>
    <mergeCell ref="H38:K38"/>
    <mergeCell ref="L38:O38"/>
    <mergeCell ref="B35:G35"/>
    <mergeCell ref="H35:K35"/>
    <mergeCell ref="L35:O35"/>
    <mergeCell ref="B36:G36"/>
    <mergeCell ref="H36:K36"/>
    <mergeCell ref="L36:O36"/>
    <mergeCell ref="B33:G33"/>
    <mergeCell ref="H33:K33"/>
    <mergeCell ref="L33:O33"/>
    <mergeCell ref="B34:G34"/>
    <mergeCell ref="H34:K34"/>
    <mergeCell ref="L34:O34"/>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B9:B10">
    <cfRule type="cellIs" dxfId="320" priority="33" operator="equal">
      <formula>"Nok"</formula>
    </cfRule>
    <cfRule type="cellIs" dxfId="319" priority="34" operator="equal">
      <formula>"Ok"</formula>
    </cfRule>
  </conditionalFormatting>
  <conditionalFormatting sqref="P22:P30">
    <cfRule type="cellIs" dxfId="318" priority="31" operator="equal">
      <formula>"Nok"</formula>
    </cfRule>
    <cfRule type="cellIs" dxfId="317" priority="32" operator="equal">
      <formula>"Ok"</formula>
    </cfRule>
  </conditionalFormatting>
  <conditionalFormatting sqref="P31:P35">
    <cfRule type="cellIs" dxfId="316" priority="29" operator="equal">
      <formula>"Nok"</formula>
    </cfRule>
    <cfRule type="cellIs" dxfId="315" priority="30" operator="equal">
      <formula>"Ok"</formula>
    </cfRule>
  </conditionalFormatting>
  <conditionalFormatting sqref="P36:P37">
    <cfRule type="cellIs" dxfId="314" priority="27" operator="equal">
      <formula>"Nok"</formula>
    </cfRule>
    <cfRule type="cellIs" dxfId="313" priority="28" operator="equal">
      <formula>"Ok"</formula>
    </cfRule>
  </conditionalFormatting>
  <conditionalFormatting sqref="P38">
    <cfRule type="cellIs" dxfId="312" priority="25" operator="equal">
      <formula>"Nok"</formula>
    </cfRule>
    <cfRule type="cellIs" dxfId="311" priority="26" operator="equal">
      <formula>"Ok"</formula>
    </cfRule>
  </conditionalFormatting>
  <conditionalFormatting sqref="P39">
    <cfRule type="cellIs" dxfId="310" priority="23" operator="equal">
      <formula>"Nok"</formula>
    </cfRule>
    <cfRule type="cellIs" dxfId="309" priority="24" operator="equal">
      <formula>"Ok"</formula>
    </cfRule>
  </conditionalFormatting>
  <conditionalFormatting sqref="P40">
    <cfRule type="cellIs" dxfId="308" priority="21" operator="equal">
      <formula>"Nok"</formula>
    </cfRule>
    <cfRule type="cellIs" dxfId="307" priority="22" operator="equal">
      <formula>"Ok"</formula>
    </cfRule>
  </conditionalFormatting>
  <conditionalFormatting sqref="P41">
    <cfRule type="cellIs" dxfId="306" priority="19" operator="equal">
      <formula>"Nok"</formula>
    </cfRule>
    <cfRule type="cellIs" dxfId="305" priority="20" operator="equal">
      <formula>"Ok"</formula>
    </cfRule>
  </conditionalFormatting>
  <conditionalFormatting sqref="P42">
    <cfRule type="cellIs" dxfId="304" priority="17" operator="equal">
      <formula>"Nok"</formula>
    </cfRule>
    <cfRule type="cellIs" dxfId="303" priority="18" operator="equal">
      <formula>"Ok"</formula>
    </cfRule>
  </conditionalFormatting>
  <conditionalFormatting sqref="P43">
    <cfRule type="cellIs" dxfId="302" priority="15" operator="equal">
      <formula>"Nok"</formula>
    </cfRule>
    <cfRule type="cellIs" dxfId="301" priority="16" operator="equal">
      <formula>"Ok"</formula>
    </cfRule>
  </conditionalFormatting>
  <conditionalFormatting sqref="P44">
    <cfRule type="cellIs" dxfId="300" priority="13" operator="equal">
      <formula>"Nok"</formula>
    </cfRule>
    <cfRule type="cellIs" dxfId="299" priority="14" operator="equal">
      <formula>"Ok"</formula>
    </cfRule>
  </conditionalFormatting>
  <conditionalFormatting sqref="P45">
    <cfRule type="cellIs" dxfId="298" priority="11" operator="equal">
      <formula>"Nok"</formula>
    </cfRule>
    <cfRule type="cellIs" dxfId="297" priority="12" operator="equal">
      <formula>"Ok"</formula>
    </cfRule>
  </conditionalFormatting>
  <conditionalFormatting sqref="P46">
    <cfRule type="cellIs" dxfId="296" priority="9" operator="equal">
      <formula>"Nok"</formula>
    </cfRule>
    <cfRule type="cellIs" dxfId="295" priority="10" operator="equal">
      <formula>"Ok"</formula>
    </cfRule>
  </conditionalFormatting>
  <conditionalFormatting sqref="P47">
    <cfRule type="cellIs" dxfId="294" priority="7" operator="equal">
      <formula>"Nok"</formula>
    </cfRule>
    <cfRule type="cellIs" dxfId="293" priority="8" operator="equal">
      <formula>"Ok"</formula>
    </cfRule>
  </conditionalFormatting>
  <conditionalFormatting sqref="P48">
    <cfRule type="cellIs" dxfId="292" priority="5" operator="equal">
      <formula>"Nok"</formula>
    </cfRule>
    <cfRule type="cellIs" dxfId="291" priority="6" operator="equal">
      <formula>"Ok"</formula>
    </cfRule>
  </conditionalFormatting>
  <conditionalFormatting sqref="P49">
    <cfRule type="cellIs" dxfId="290" priority="3" operator="equal">
      <formula>"Nok"</formula>
    </cfRule>
    <cfRule type="cellIs" dxfId="289" priority="4" operator="equal">
      <formula>"Ok"</formula>
    </cfRule>
  </conditionalFormatting>
  <conditionalFormatting sqref="P50">
    <cfRule type="cellIs" dxfId="288" priority="1" operator="equal">
      <formula>"Nok"</formula>
    </cfRule>
    <cfRule type="cellIs" dxfId="287" priority="2" operator="equal">
      <formula>"Ok"</formula>
    </cfRule>
  </conditionalFormatting>
  <dataValidations count="3">
    <dataValidation type="list" allowBlank="1" showInputMessage="1" showErrorMessage="1" sqref="B5">
      <formula1>"Nominal, Robustness, Endurance, Qualification"</formula1>
    </dataValidation>
    <dataValidation type="list" allowBlank="1" showInputMessage="1" showErrorMessage="1" sqref="B9">
      <formula1>"Ok, Nok, Not run, NA"</formula1>
    </dataValidation>
    <dataValidation type="list" allowBlank="1" showInputMessage="1" showErrorMessage="1" sqref="P22:P50">
      <formula1>"Ok, Nok, Not run, ,"</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workbookViewId="0">
      <selection activeCell="I7" sqref="I7"/>
    </sheetView>
  </sheetViews>
  <sheetFormatPr defaultRowHeight="12.75" x14ac:dyDescent="0.2"/>
  <cols>
    <col min="1" max="1" width="20.140625" style="97" customWidth="1"/>
    <col min="2" max="2" width="18.42578125" style="93" customWidth="1"/>
    <col min="3" max="7" width="9.140625" style="93"/>
    <col min="8" max="15" width="9.5703125" style="93" customWidth="1"/>
    <col min="16" max="16384" width="9.140625" style="93"/>
  </cols>
  <sheetData>
    <row r="1" spans="1:15" ht="13.5" thickBot="1" x14ac:dyDescent="0.25">
      <c r="A1" s="98" t="s">
        <v>41</v>
      </c>
      <c r="B1" s="234" t="s">
        <v>399</v>
      </c>
      <c r="C1" s="235"/>
      <c r="D1" s="235"/>
      <c r="E1" s="235"/>
      <c r="F1" s="235"/>
      <c r="G1" s="236"/>
      <c r="H1" s="73"/>
      <c r="I1" s="73"/>
      <c r="J1" s="73"/>
      <c r="K1" s="73"/>
      <c r="L1" s="73"/>
      <c r="M1" s="73"/>
      <c r="N1" s="73"/>
      <c r="O1" s="73"/>
    </row>
    <row r="2" spans="1:15" ht="13.5" thickBot="1" x14ac:dyDescent="0.25">
      <c r="A2" s="71"/>
      <c r="B2" s="72"/>
      <c r="C2" s="72"/>
      <c r="D2" s="73"/>
      <c r="E2" s="73"/>
      <c r="F2" s="73"/>
      <c r="G2" s="73"/>
      <c r="H2" s="73"/>
      <c r="I2" s="73"/>
      <c r="J2" s="73"/>
      <c r="K2" s="73"/>
      <c r="L2" s="73"/>
      <c r="M2" s="73"/>
      <c r="N2" s="73"/>
      <c r="O2" s="73"/>
    </row>
    <row r="3" spans="1:15" ht="61.5" customHeight="1" thickBot="1" x14ac:dyDescent="0.25">
      <c r="A3" s="99" t="s">
        <v>46</v>
      </c>
      <c r="B3" s="237" t="s">
        <v>427</v>
      </c>
      <c r="C3" s="238"/>
      <c r="D3" s="238"/>
      <c r="E3" s="238"/>
      <c r="F3" s="238"/>
      <c r="G3" s="239"/>
      <c r="H3" s="73"/>
      <c r="I3" s="73"/>
      <c r="J3" s="73"/>
      <c r="K3" s="73"/>
      <c r="L3" s="73"/>
      <c r="M3" s="73"/>
      <c r="N3" s="73"/>
      <c r="O3" s="73"/>
    </row>
    <row r="4" spans="1:15" ht="13.5" thickBot="1" x14ac:dyDescent="0.25">
      <c r="A4" s="71"/>
      <c r="B4" s="72"/>
      <c r="C4" s="72"/>
      <c r="D4" s="73"/>
      <c r="E4" s="73"/>
      <c r="F4" s="73"/>
      <c r="G4" s="73"/>
      <c r="H4" s="73"/>
      <c r="I4" s="73"/>
      <c r="J4" s="73"/>
      <c r="K4" s="73"/>
      <c r="L4" s="73"/>
      <c r="M4" s="73"/>
      <c r="N4" s="73"/>
      <c r="O4" s="73"/>
    </row>
    <row r="5" spans="1:15" ht="13.5" thickBot="1" x14ac:dyDescent="0.25">
      <c r="A5" s="98" t="s">
        <v>111</v>
      </c>
      <c r="B5" s="76" t="s">
        <v>142</v>
      </c>
      <c r="C5" s="72"/>
      <c r="D5" s="73"/>
      <c r="E5" s="73"/>
      <c r="F5" s="73"/>
      <c r="G5" s="73"/>
      <c r="H5" s="73"/>
      <c r="I5" s="73"/>
      <c r="J5" s="73"/>
      <c r="K5" s="73"/>
      <c r="L5" s="73"/>
      <c r="M5" s="73"/>
      <c r="N5" s="73"/>
      <c r="O5" s="73"/>
    </row>
    <row r="6" spans="1:15" ht="13.5" thickBot="1" x14ac:dyDescent="0.25">
      <c r="A6" s="71"/>
      <c r="B6" s="72"/>
      <c r="C6" s="72"/>
      <c r="D6" s="73"/>
      <c r="E6" s="73"/>
      <c r="F6" s="73"/>
      <c r="G6" s="73"/>
      <c r="H6" s="73"/>
      <c r="I6" s="73"/>
      <c r="J6" s="73"/>
      <c r="K6" s="73"/>
      <c r="L6" s="73"/>
      <c r="M6" s="73"/>
      <c r="N6" s="73"/>
      <c r="O6" s="73"/>
    </row>
    <row r="7" spans="1:15" ht="30.75" customHeight="1" thickBot="1" x14ac:dyDescent="0.25">
      <c r="A7" s="98" t="s">
        <v>42</v>
      </c>
      <c r="B7" s="237" t="s">
        <v>398</v>
      </c>
      <c r="C7" s="238"/>
      <c r="D7" s="238"/>
      <c r="E7" s="238"/>
      <c r="F7" s="238"/>
      <c r="G7" s="239"/>
      <c r="H7" s="73"/>
      <c r="I7" s="73"/>
      <c r="J7" s="73"/>
      <c r="K7" s="73"/>
      <c r="L7" s="73"/>
      <c r="M7" s="73"/>
      <c r="N7" s="73"/>
      <c r="O7" s="73"/>
    </row>
    <row r="8" spans="1:15" ht="13.5" thickBot="1" x14ac:dyDescent="0.25">
      <c r="A8" s="75"/>
      <c r="B8" s="74"/>
      <c r="C8" s="74"/>
      <c r="D8" s="74"/>
      <c r="E8" s="74"/>
      <c r="F8" s="74"/>
      <c r="G8" s="74"/>
      <c r="H8" s="73"/>
      <c r="I8" s="73"/>
      <c r="J8" s="73"/>
      <c r="K8" s="73"/>
      <c r="L8" s="73"/>
      <c r="M8" s="73"/>
      <c r="N8" s="73"/>
      <c r="O8" s="73"/>
    </row>
    <row r="9" spans="1:15" ht="13.5" thickBot="1" x14ac:dyDescent="0.25">
      <c r="A9" s="98" t="s">
        <v>43</v>
      </c>
      <c r="B9" s="103" t="s">
        <v>144</v>
      </c>
      <c r="C9" s="72"/>
      <c r="D9" s="73"/>
      <c r="E9" s="73"/>
      <c r="F9" s="73"/>
      <c r="G9" s="73"/>
      <c r="H9" s="73"/>
      <c r="I9" s="73"/>
      <c r="J9" s="73"/>
      <c r="K9" s="73"/>
      <c r="L9" s="73"/>
      <c r="M9" s="73"/>
      <c r="N9" s="73"/>
      <c r="O9" s="73"/>
    </row>
    <row r="10" spans="1:15" ht="13.5" thickBot="1" x14ac:dyDescent="0.25">
      <c r="A10" s="75"/>
      <c r="B10" s="94"/>
      <c r="C10" s="72"/>
      <c r="D10" s="73"/>
      <c r="E10" s="73"/>
      <c r="F10" s="73"/>
      <c r="G10" s="73"/>
      <c r="H10" s="73"/>
      <c r="I10" s="73"/>
      <c r="J10" s="73"/>
      <c r="K10" s="73"/>
      <c r="L10" s="73"/>
      <c r="M10" s="73"/>
      <c r="N10" s="73"/>
      <c r="O10" s="73"/>
    </row>
    <row r="11" spans="1:15" ht="12" customHeight="1" x14ac:dyDescent="0.2">
      <c r="A11" s="223" t="s">
        <v>113</v>
      </c>
      <c r="B11" s="225"/>
      <c r="C11" s="226"/>
      <c r="D11" s="226"/>
      <c r="E11" s="226"/>
      <c r="F11" s="226"/>
      <c r="G11" s="227"/>
      <c r="H11" s="73"/>
      <c r="I11" s="73"/>
      <c r="J11" s="73"/>
      <c r="K11" s="73"/>
      <c r="L11" s="73"/>
      <c r="M11" s="73"/>
      <c r="N11" s="73"/>
      <c r="O11" s="73"/>
    </row>
    <row r="12" spans="1:15" x14ac:dyDescent="0.2">
      <c r="A12" s="224"/>
      <c r="B12" s="228"/>
      <c r="C12" s="229"/>
      <c r="D12" s="229"/>
      <c r="E12" s="229"/>
      <c r="F12" s="229"/>
      <c r="G12" s="230"/>
      <c r="H12" s="73"/>
      <c r="I12" s="73"/>
      <c r="J12" s="73"/>
      <c r="K12" s="73"/>
      <c r="L12" s="73"/>
      <c r="M12" s="73"/>
      <c r="N12" s="73"/>
      <c r="O12" s="73"/>
    </row>
    <row r="13" spans="1:15" x14ac:dyDescent="0.2">
      <c r="A13" s="224"/>
      <c r="B13" s="228"/>
      <c r="C13" s="229"/>
      <c r="D13" s="229"/>
      <c r="E13" s="229"/>
      <c r="F13" s="229"/>
      <c r="G13" s="230"/>
      <c r="H13" s="71"/>
      <c r="I13" s="73"/>
      <c r="J13" s="73"/>
      <c r="K13" s="73"/>
      <c r="L13" s="73"/>
      <c r="M13" s="73"/>
      <c r="N13" s="73"/>
      <c r="O13" s="73"/>
    </row>
    <row r="14" spans="1:15" ht="13.5" thickBot="1" x14ac:dyDescent="0.25">
      <c r="A14" s="224"/>
      <c r="B14" s="231"/>
      <c r="C14" s="232"/>
      <c r="D14" s="232"/>
      <c r="E14" s="232"/>
      <c r="F14" s="232"/>
      <c r="G14" s="233"/>
      <c r="H14" s="77"/>
      <c r="I14" s="73"/>
      <c r="J14" s="73"/>
      <c r="K14" s="73"/>
      <c r="L14" s="73"/>
      <c r="M14" s="73"/>
      <c r="N14" s="73"/>
      <c r="O14" s="73"/>
    </row>
    <row r="15" spans="1:15" ht="13.5" thickBot="1" x14ac:dyDescent="0.25">
      <c r="A15" s="71"/>
      <c r="B15" s="71"/>
      <c r="C15" s="71"/>
      <c r="D15" s="71"/>
      <c r="E15" s="71"/>
      <c r="F15" s="71"/>
      <c r="G15" s="71"/>
      <c r="H15" s="77"/>
      <c r="I15" s="73"/>
      <c r="J15" s="73"/>
      <c r="K15" s="73"/>
      <c r="L15" s="73"/>
      <c r="M15" s="73"/>
      <c r="N15" s="73"/>
      <c r="O15" s="73"/>
    </row>
    <row r="16" spans="1:15" x14ac:dyDescent="0.2">
      <c r="A16" s="223" t="s">
        <v>44</v>
      </c>
      <c r="B16" s="225"/>
      <c r="C16" s="226"/>
      <c r="D16" s="226"/>
      <c r="E16" s="226"/>
      <c r="F16" s="226"/>
      <c r="G16" s="227"/>
      <c r="H16" s="73"/>
      <c r="I16" s="73"/>
      <c r="J16" s="73"/>
      <c r="K16" s="73"/>
      <c r="L16" s="73"/>
      <c r="M16" s="73"/>
      <c r="N16" s="73"/>
      <c r="O16" s="73"/>
    </row>
    <row r="17" spans="1:16" x14ac:dyDescent="0.2">
      <c r="A17" s="224"/>
      <c r="B17" s="228"/>
      <c r="C17" s="229"/>
      <c r="D17" s="229"/>
      <c r="E17" s="229"/>
      <c r="F17" s="229"/>
      <c r="G17" s="230"/>
      <c r="H17" s="73"/>
      <c r="I17" s="73"/>
      <c r="J17" s="73"/>
      <c r="K17" s="73"/>
      <c r="L17" s="73"/>
      <c r="M17" s="73"/>
      <c r="N17" s="73"/>
      <c r="O17" s="73"/>
    </row>
    <row r="18" spans="1:16" x14ac:dyDescent="0.2">
      <c r="A18" s="224"/>
      <c r="B18" s="228"/>
      <c r="C18" s="229"/>
      <c r="D18" s="229"/>
      <c r="E18" s="229"/>
      <c r="F18" s="229"/>
      <c r="G18" s="230"/>
      <c r="H18" s="71"/>
      <c r="I18" s="73"/>
      <c r="J18" s="73"/>
      <c r="K18" s="73"/>
      <c r="L18" s="73"/>
      <c r="M18" s="73"/>
      <c r="N18" s="73"/>
      <c r="O18" s="73"/>
    </row>
    <row r="19" spans="1:16" ht="13.5" thickBot="1" x14ac:dyDescent="0.25">
      <c r="A19" s="224"/>
      <c r="B19" s="231"/>
      <c r="C19" s="232"/>
      <c r="D19" s="232"/>
      <c r="E19" s="232"/>
      <c r="F19" s="232"/>
      <c r="G19" s="233"/>
      <c r="H19" s="77"/>
      <c r="I19" s="73"/>
      <c r="J19" s="73"/>
      <c r="K19" s="73"/>
      <c r="L19" s="73"/>
      <c r="M19" s="73"/>
      <c r="N19" s="73"/>
      <c r="O19" s="73"/>
    </row>
    <row r="20" spans="1:16" ht="13.5" thickBot="1" x14ac:dyDescent="0.25">
      <c r="A20" s="71"/>
      <c r="B20" s="71"/>
      <c r="C20" s="71"/>
      <c r="D20" s="71"/>
      <c r="E20" s="71"/>
      <c r="F20" s="71"/>
      <c r="G20" s="71"/>
      <c r="H20" s="77"/>
      <c r="I20" s="73"/>
      <c r="J20" s="73"/>
      <c r="K20" s="73"/>
      <c r="L20" s="73"/>
      <c r="M20" s="73"/>
      <c r="N20" s="73"/>
      <c r="O20" s="73"/>
    </row>
    <row r="21" spans="1:16" ht="12.75" customHeight="1" x14ac:dyDescent="0.2">
      <c r="A21" s="220" t="s">
        <v>48</v>
      </c>
      <c r="B21" s="221"/>
      <c r="C21" s="221"/>
      <c r="D21" s="221"/>
      <c r="E21" s="221"/>
      <c r="F21" s="221"/>
      <c r="G21" s="222"/>
      <c r="H21" s="220" t="s">
        <v>49</v>
      </c>
      <c r="I21" s="221"/>
      <c r="J21" s="221"/>
      <c r="K21" s="222"/>
      <c r="L21" s="220" t="s">
        <v>60</v>
      </c>
      <c r="M21" s="221"/>
      <c r="N21" s="221"/>
      <c r="O21" s="222"/>
      <c r="P21" s="100" t="s">
        <v>47</v>
      </c>
    </row>
    <row r="22" spans="1:16" ht="57" customHeight="1" thickBot="1" x14ac:dyDescent="0.25">
      <c r="A22" s="101" t="s">
        <v>50</v>
      </c>
      <c r="B22" s="212" t="s">
        <v>407</v>
      </c>
      <c r="C22" s="213"/>
      <c r="D22" s="213"/>
      <c r="E22" s="213"/>
      <c r="F22" s="213"/>
      <c r="G22" s="214"/>
      <c r="H22" s="216"/>
      <c r="I22" s="216"/>
      <c r="J22" s="216"/>
      <c r="K22" s="216"/>
      <c r="L22" s="216" t="s">
        <v>402</v>
      </c>
      <c r="M22" s="216"/>
      <c r="N22" s="216"/>
      <c r="O22" s="216"/>
      <c r="P22" s="95" t="s">
        <v>144</v>
      </c>
    </row>
    <row r="23" spans="1:16" ht="57" customHeight="1" thickBot="1" x14ac:dyDescent="0.25">
      <c r="A23" s="101" t="s">
        <v>51</v>
      </c>
      <c r="B23" s="212" t="s">
        <v>408</v>
      </c>
      <c r="C23" s="213"/>
      <c r="D23" s="213"/>
      <c r="E23" s="213"/>
      <c r="F23" s="213"/>
      <c r="G23" s="214"/>
      <c r="H23" s="216"/>
      <c r="I23" s="216"/>
      <c r="J23" s="216"/>
      <c r="K23" s="216"/>
      <c r="L23" s="216" t="s">
        <v>403</v>
      </c>
      <c r="M23" s="216"/>
      <c r="N23" s="216"/>
      <c r="O23" s="216"/>
      <c r="P23" s="95" t="s">
        <v>144</v>
      </c>
    </row>
    <row r="24" spans="1:16" ht="35.25" customHeight="1" thickBot="1" x14ac:dyDescent="0.25">
      <c r="A24" s="101" t="s">
        <v>52</v>
      </c>
      <c r="B24" s="212" t="s">
        <v>409</v>
      </c>
      <c r="C24" s="213"/>
      <c r="D24" s="213"/>
      <c r="E24" s="213"/>
      <c r="F24" s="213"/>
      <c r="G24" s="214"/>
      <c r="H24" s="216"/>
      <c r="I24" s="216"/>
      <c r="J24" s="216"/>
      <c r="K24" s="216"/>
      <c r="L24" s="216" t="s">
        <v>404</v>
      </c>
      <c r="M24" s="216"/>
      <c r="N24" s="216"/>
      <c r="O24" s="216"/>
      <c r="P24" s="95" t="s">
        <v>144</v>
      </c>
    </row>
    <row r="25" spans="1:16" ht="38.25" customHeight="1" thickBot="1" x14ac:dyDescent="0.25">
      <c r="A25" s="101" t="s">
        <v>53</v>
      </c>
      <c r="B25" s="212" t="s">
        <v>410</v>
      </c>
      <c r="C25" s="213"/>
      <c r="D25" s="213"/>
      <c r="E25" s="213"/>
      <c r="F25" s="213"/>
      <c r="G25" s="214"/>
      <c r="H25" s="216"/>
      <c r="I25" s="216"/>
      <c r="J25" s="216"/>
      <c r="K25" s="216"/>
      <c r="L25" s="216" t="s">
        <v>405</v>
      </c>
      <c r="M25" s="216"/>
      <c r="N25" s="216"/>
      <c r="O25" s="216"/>
      <c r="P25" s="95" t="s">
        <v>144</v>
      </c>
    </row>
    <row r="26" spans="1:16" ht="41.25" customHeight="1" thickBot="1" x14ac:dyDescent="0.25">
      <c r="A26" s="101" t="s">
        <v>54</v>
      </c>
      <c r="B26" s="212" t="s">
        <v>411</v>
      </c>
      <c r="C26" s="213"/>
      <c r="D26" s="213"/>
      <c r="E26" s="213"/>
      <c r="F26" s="213"/>
      <c r="G26" s="214"/>
      <c r="H26" s="216"/>
      <c r="I26" s="216"/>
      <c r="J26" s="216"/>
      <c r="K26" s="216"/>
      <c r="L26" s="216" t="s">
        <v>405</v>
      </c>
      <c r="M26" s="216"/>
      <c r="N26" s="216"/>
      <c r="O26" s="216"/>
      <c r="P26" s="95" t="s">
        <v>144</v>
      </c>
    </row>
    <row r="27" spans="1:16" ht="87.75" customHeight="1" thickBot="1" x14ac:dyDescent="0.25">
      <c r="A27" s="101" t="s">
        <v>55</v>
      </c>
      <c r="B27" s="212" t="s">
        <v>414</v>
      </c>
      <c r="C27" s="213"/>
      <c r="D27" s="213"/>
      <c r="E27" s="213"/>
      <c r="F27" s="213"/>
      <c r="G27" s="214"/>
      <c r="H27" s="216"/>
      <c r="I27" s="216"/>
      <c r="J27" s="216"/>
      <c r="K27" s="216"/>
      <c r="L27" s="216" t="s">
        <v>415</v>
      </c>
      <c r="M27" s="216"/>
      <c r="N27" s="216"/>
      <c r="O27" s="216"/>
      <c r="P27" s="95" t="s">
        <v>144</v>
      </c>
    </row>
    <row r="28" spans="1:16" ht="62.25" customHeight="1" thickBot="1" x14ac:dyDescent="0.25">
      <c r="A28" s="101" t="s">
        <v>56</v>
      </c>
      <c r="B28" s="212" t="s">
        <v>423</v>
      </c>
      <c r="C28" s="213"/>
      <c r="D28" s="213"/>
      <c r="E28" s="213"/>
      <c r="F28" s="213"/>
      <c r="G28" s="214"/>
      <c r="H28" s="216"/>
      <c r="I28" s="216"/>
      <c r="J28" s="216"/>
      <c r="K28" s="216"/>
      <c r="L28" s="216"/>
      <c r="M28" s="216"/>
      <c r="N28" s="216"/>
      <c r="O28" s="216"/>
      <c r="P28" s="95" t="s">
        <v>144</v>
      </c>
    </row>
    <row r="29" spans="1:16" ht="45.75" customHeight="1" thickBot="1" x14ac:dyDescent="0.25">
      <c r="A29" s="101" t="s">
        <v>57</v>
      </c>
      <c r="B29" s="212" t="s">
        <v>425</v>
      </c>
      <c r="C29" s="213"/>
      <c r="D29" s="213"/>
      <c r="E29" s="213"/>
      <c r="F29" s="213"/>
      <c r="G29" s="214"/>
      <c r="H29" s="216"/>
      <c r="I29" s="216"/>
      <c r="J29" s="216"/>
      <c r="K29" s="216"/>
      <c r="L29" s="216"/>
      <c r="M29" s="216"/>
      <c r="N29" s="216"/>
      <c r="O29" s="216"/>
      <c r="P29" s="95" t="s">
        <v>144</v>
      </c>
    </row>
    <row r="30" spans="1:16" ht="50.25" customHeight="1" thickBot="1" x14ac:dyDescent="0.25">
      <c r="A30" s="102" t="s">
        <v>58</v>
      </c>
      <c r="B30" s="212" t="s">
        <v>426</v>
      </c>
      <c r="C30" s="213"/>
      <c r="D30" s="213"/>
      <c r="E30" s="213"/>
      <c r="F30" s="213"/>
      <c r="G30" s="214"/>
      <c r="H30" s="215"/>
      <c r="I30" s="215"/>
      <c r="J30" s="215"/>
      <c r="K30" s="215"/>
      <c r="L30" s="215"/>
      <c r="M30" s="215"/>
      <c r="N30" s="215"/>
      <c r="O30" s="215"/>
      <c r="P30" s="95" t="s">
        <v>144</v>
      </c>
    </row>
    <row r="31" spans="1:16" ht="43.5" customHeight="1" thickBot="1" x14ac:dyDescent="0.25">
      <c r="A31" s="102" t="s">
        <v>145</v>
      </c>
      <c r="B31" s="212"/>
      <c r="C31" s="213"/>
      <c r="D31" s="213"/>
      <c r="E31" s="213"/>
      <c r="F31" s="213"/>
      <c r="G31" s="214"/>
      <c r="H31" s="216"/>
      <c r="I31" s="216"/>
      <c r="J31" s="216"/>
      <c r="K31" s="216"/>
      <c r="L31" s="216"/>
      <c r="M31" s="216"/>
      <c r="N31" s="216"/>
      <c r="O31" s="216"/>
      <c r="P31" s="95" t="s">
        <v>144</v>
      </c>
    </row>
    <row r="32" spans="1:16" ht="55.5" customHeight="1" thickBot="1" x14ac:dyDescent="0.25">
      <c r="A32" s="102" t="s">
        <v>146</v>
      </c>
      <c r="B32" s="212"/>
      <c r="C32" s="213"/>
      <c r="D32" s="213"/>
      <c r="E32" s="213"/>
      <c r="F32" s="213"/>
      <c r="G32" s="214"/>
      <c r="H32" s="216"/>
      <c r="I32" s="216"/>
      <c r="J32" s="216"/>
      <c r="K32" s="216"/>
      <c r="L32" s="216"/>
      <c r="M32" s="216"/>
      <c r="N32" s="216"/>
      <c r="O32" s="216"/>
      <c r="P32" s="95" t="s">
        <v>144</v>
      </c>
    </row>
    <row r="33" spans="1:16" ht="45.75" customHeight="1" thickBot="1" x14ac:dyDescent="0.25">
      <c r="A33" s="102" t="s">
        <v>147</v>
      </c>
      <c r="B33" s="212"/>
      <c r="C33" s="213"/>
      <c r="D33" s="213"/>
      <c r="E33" s="213"/>
      <c r="F33" s="213"/>
      <c r="G33" s="214"/>
      <c r="H33" s="215"/>
      <c r="I33" s="215"/>
      <c r="J33" s="215"/>
      <c r="K33" s="215"/>
      <c r="L33" s="215"/>
      <c r="M33" s="215"/>
      <c r="N33" s="215"/>
      <c r="O33" s="215"/>
      <c r="P33" s="95" t="s">
        <v>144</v>
      </c>
    </row>
    <row r="34" spans="1:16" ht="45.75" customHeight="1" thickBot="1" x14ac:dyDescent="0.25">
      <c r="A34" s="102" t="s">
        <v>148</v>
      </c>
      <c r="B34" s="212"/>
      <c r="C34" s="213"/>
      <c r="D34" s="213"/>
      <c r="E34" s="213"/>
      <c r="F34" s="213"/>
      <c r="G34" s="214"/>
      <c r="H34" s="216"/>
      <c r="I34" s="216"/>
      <c r="J34" s="216"/>
      <c r="K34" s="216"/>
      <c r="L34" s="216"/>
      <c r="M34" s="216"/>
      <c r="N34" s="216"/>
      <c r="O34" s="216"/>
      <c r="P34" s="95" t="s">
        <v>144</v>
      </c>
    </row>
    <row r="35" spans="1:16" ht="48" customHeight="1" thickBot="1" x14ac:dyDescent="0.25">
      <c r="A35" s="102" t="s">
        <v>149</v>
      </c>
      <c r="B35" s="217"/>
      <c r="C35" s="218"/>
      <c r="D35" s="218"/>
      <c r="E35" s="218"/>
      <c r="F35" s="218"/>
      <c r="G35" s="219"/>
      <c r="H35" s="216"/>
      <c r="I35" s="216"/>
      <c r="J35" s="216"/>
      <c r="K35" s="216"/>
      <c r="L35" s="216"/>
      <c r="M35" s="216"/>
      <c r="N35" s="216"/>
      <c r="O35" s="216"/>
      <c r="P35" s="95"/>
    </row>
    <row r="36" spans="1:16" ht="45.75" customHeight="1" thickBot="1" x14ac:dyDescent="0.25">
      <c r="A36" s="102" t="s">
        <v>150</v>
      </c>
      <c r="B36" s="212"/>
      <c r="C36" s="213"/>
      <c r="D36" s="213"/>
      <c r="E36" s="213"/>
      <c r="F36" s="213"/>
      <c r="G36" s="214"/>
      <c r="H36" s="215"/>
      <c r="I36" s="215"/>
      <c r="J36" s="215"/>
      <c r="K36" s="215"/>
      <c r="L36" s="216"/>
      <c r="M36" s="216"/>
      <c r="N36" s="216"/>
      <c r="O36" s="216"/>
      <c r="P36" s="96"/>
    </row>
    <row r="37" spans="1:16" ht="66" customHeight="1" thickBot="1" x14ac:dyDescent="0.25">
      <c r="A37" s="102" t="s">
        <v>151</v>
      </c>
      <c r="B37" s="212"/>
      <c r="C37" s="213"/>
      <c r="D37" s="213"/>
      <c r="E37" s="213"/>
      <c r="F37" s="213"/>
      <c r="G37" s="214"/>
      <c r="H37" s="215"/>
      <c r="I37" s="215"/>
      <c r="J37" s="215"/>
      <c r="K37" s="215"/>
      <c r="L37" s="216"/>
      <c r="M37" s="216"/>
      <c r="N37" s="216"/>
      <c r="O37" s="216"/>
      <c r="P37" s="96"/>
    </row>
    <row r="38" spans="1:16" ht="45.75" customHeight="1" thickBot="1" x14ac:dyDescent="0.25">
      <c r="A38" s="102" t="s">
        <v>152</v>
      </c>
      <c r="B38" s="212"/>
      <c r="C38" s="213"/>
      <c r="D38" s="213"/>
      <c r="E38" s="213"/>
      <c r="F38" s="213"/>
      <c r="G38" s="214"/>
      <c r="H38" s="215"/>
      <c r="I38" s="215"/>
      <c r="J38" s="215"/>
      <c r="K38" s="215"/>
      <c r="L38" s="215"/>
      <c r="M38" s="215"/>
      <c r="N38" s="215"/>
      <c r="O38" s="215"/>
      <c r="P38" s="96"/>
    </row>
    <row r="39" spans="1:16" ht="45.75" customHeight="1" thickBot="1" x14ac:dyDescent="0.25">
      <c r="A39" s="102" t="s">
        <v>153</v>
      </c>
      <c r="B39" s="212"/>
      <c r="C39" s="213"/>
      <c r="D39" s="213"/>
      <c r="E39" s="213"/>
      <c r="F39" s="213"/>
      <c r="G39" s="214"/>
      <c r="H39" s="215"/>
      <c r="I39" s="215"/>
      <c r="J39" s="215"/>
      <c r="K39" s="215"/>
      <c r="L39" s="215"/>
      <c r="M39" s="215"/>
      <c r="N39" s="215"/>
      <c r="O39" s="215"/>
      <c r="P39" s="96"/>
    </row>
    <row r="40" spans="1:16" ht="45.75" customHeight="1" thickBot="1" x14ac:dyDescent="0.25">
      <c r="A40" s="102" t="s">
        <v>184</v>
      </c>
      <c r="B40" s="212"/>
      <c r="C40" s="213"/>
      <c r="D40" s="213"/>
      <c r="E40" s="213"/>
      <c r="F40" s="213"/>
      <c r="G40" s="214"/>
      <c r="H40" s="215"/>
      <c r="I40" s="215"/>
      <c r="J40" s="215"/>
      <c r="K40" s="215"/>
      <c r="L40" s="215"/>
      <c r="M40" s="215"/>
      <c r="N40" s="215"/>
      <c r="O40" s="215"/>
      <c r="P40" s="96"/>
    </row>
    <row r="41" spans="1:16" ht="45.75" customHeight="1" thickBot="1" x14ac:dyDescent="0.25">
      <c r="A41" s="102" t="s">
        <v>185</v>
      </c>
      <c r="B41" s="212"/>
      <c r="C41" s="213"/>
      <c r="D41" s="213"/>
      <c r="E41" s="213"/>
      <c r="F41" s="213"/>
      <c r="G41" s="214"/>
      <c r="H41" s="215"/>
      <c r="I41" s="215"/>
      <c r="J41" s="215"/>
      <c r="K41" s="215"/>
      <c r="L41" s="215"/>
      <c r="M41" s="215"/>
      <c r="N41" s="215"/>
      <c r="O41" s="215"/>
      <c r="P41" s="96"/>
    </row>
    <row r="42" spans="1:16" ht="45.75" customHeight="1" thickBot="1" x14ac:dyDescent="0.25">
      <c r="A42" s="102" t="s">
        <v>186</v>
      </c>
      <c r="B42" s="212"/>
      <c r="C42" s="213"/>
      <c r="D42" s="213"/>
      <c r="E42" s="213"/>
      <c r="F42" s="213"/>
      <c r="G42" s="214"/>
      <c r="H42" s="215"/>
      <c r="I42" s="215"/>
      <c r="J42" s="215"/>
      <c r="K42" s="215"/>
      <c r="L42" s="215"/>
      <c r="M42" s="215"/>
      <c r="N42" s="215"/>
      <c r="O42" s="215"/>
      <c r="P42" s="96"/>
    </row>
    <row r="43" spans="1:16" ht="45.75" customHeight="1" thickBot="1" x14ac:dyDescent="0.25">
      <c r="A43" s="102" t="s">
        <v>187</v>
      </c>
      <c r="B43" s="212"/>
      <c r="C43" s="213"/>
      <c r="D43" s="213"/>
      <c r="E43" s="213"/>
      <c r="F43" s="213"/>
      <c r="G43" s="214"/>
      <c r="H43" s="215"/>
      <c r="I43" s="215"/>
      <c r="J43" s="215"/>
      <c r="K43" s="215"/>
      <c r="L43" s="215"/>
      <c r="M43" s="215"/>
      <c r="N43" s="215"/>
      <c r="O43" s="215"/>
      <c r="P43" s="96"/>
    </row>
    <row r="44" spans="1:16" ht="45.75" customHeight="1" thickBot="1" x14ac:dyDescent="0.25">
      <c r="A44" s="102" t="s">
        <v>188</v>
      </c>
      <c r="B44" s="212"/>
      <c r="C44" s="213"/>
      <c r="D44" s="213"/>
      <c r="E44" s="213"/>
      <c r="F44" s="213"/>
      <c r="G44" s="214"/>
      <c r="H44" s="215"/>
      <c r="I44" s="215"/>
      <c r="J44" s="215"/>
      <c r="K44" s="215"/>
      <c r="L44" s="215"/>
      <c r="M44" s="215"/>
      <c r="N44" s="215"/>
      <c r="O44" s="215"/>
      <c r="P44" s="96"/>
    </row>
    <row r="45" spans="1:16" ht="45.75" customHeight="1" thickBot="1" x14ac:dyDescent="0.25">
      <c r="A45" s="102" t="s">
        <v>189</v>
      </c>
      <c r="B45" s="212"/>
      <c r="C45" s="213"/>
      <c r="D45" s="213"/>
      <c r="E45" s="213"/>
      <c r="F45" s="213"/>
      <c r="G45" s="214"/>
      <c r="H45" s="215"/>
      <c r="I45" s="215"/>
      <c r="J45" s="215"/>
      <c r="K45" s="215"/>
      <c r="L45" s="215"/>
      <c r="M45" s="215"/>
      <c r="N45" s="215"/>
      <c r="O45" s="215"/>
      <c r="P45" s="96"/>
    </row>
    <row r="46" spans="1:16" ht="45.75" customHeight="1" thickBot="1" x14ac:dyDescent="0.25">
      <c r="A46" s="102" t="s">
        <v>190</v>
      </c>
      <c r="B46" s="212"/>
      <c r="C46" s="213"/>
      <c r="D46" s="213"/>
      <c r="E46" s="213"/>
      <c r="F46" s="213"/>
      <c r="G46" s="214"/>
      <c r="H46" s="215"/>
      <c r="I46" s="215"/>
      <c r="J46" s="215"/>
      <c r="K46" s="215"/>
      <c r="L46" s="215"/>
      <c r="M46" s="215"/>
      <c r="N46" s="215"/>
      <c r="O46" s="215"/>
      <c r="P46" s="96"/>
    </row>
    <row r="47" spans="1:16" ht="45.75" customHeight="1" thickBot="1" x14ac:dyDescent="0.25">
      <c r="A47" s="102" t="s">
        <v>191</v>
      </c>
      <c r="B47" s="212"/>
      <c r="C47" s="213"/>
      <c r="D47" s="213"/>
      <c r="E47" s="213"/>
      <c r="F47" s="213"/>
      <c r="G47" s="214"/>
      <c r="H47" s="215"/>
      <c r="I47" s="215"/>
      <c r="J47" s="215"/>
      <c r="K47" s="215"/>
      <c r="L47" s="215"/>
      <c r="M47" s="215"/>
      <c r="N47" s="215"/>
      <c r="O47" s="215"/>
      <c r="P47" s="96"/>
    </row>
    <row r="48" spans="1:16" ht="45.75" customHeight="1" thickBot="1" x14ac:dyDescent="0.25">
      <c r="A48" s="102" t="s">
        <v>192</v>
      </c>
      <c r="B48" s="212"/>
      <c r="C48" s="213"/>
      <c r="D48" s="213"/>
      <c r="E48" s="213"/>
      <c r="F48" s="213"/>
      <c r="G48" s="214"/>
      <c r="H48" s="215"/>
      <c r="I48" s="215"/>
      <c r="J48" s="215"/>
      <c r="K48" s="215"/>
      <c r="L48" s="215"/>
      <c r="M48" s="215"/>
      <c r="N48" s="215"/>
      <c r="O48" s="215"/>
      <c r="P48" s="96"/>
    </row>
    <row r="49" spans="1:16" ht="45.75" customHeight="1" thickBot="1" x14ac:dyDescent="0.25">
      <c r="A49" s="102" t="s">
        <v>193</v>
      </c>
      <c r="B49" s="212"/>
      <c r="C49" s="213"/>
      <c r="D49" s="213"/>
      <c r="E49" s="213"/>
      <c r="F49" s="213"/>
      <c r="G49" s="214"/>
      <c r="H49" s="215"/>
      <c r="I49" s="215"/>
      <c r="J49" s="215"/>
      <c r="K49" s="215"/>
      <c r="L49" s="215"/>
      <c r="M49" s="215"/>
      <c r="N49" s="215"/>
      <c r="O49" s="215"/>
      <c r="P49" s="96"/>
    </row>
    <row r="50" spans="1:16" ht="45.75" customHeight="1" thickBot="1" x14ac:dyDescent="0.25">
      <c r="A50" s="102" t="s">
        <v>194</v>
      </c>
      <c r="B50" s="212"/>
      <c r="C50" s="213"/>
      <c r="D50" s="213"/>
      <c r="E50" s="213"/>
      <c r="F50" s="213"/>
      <c r="G50" s="214"/>
      <c r="H50" s="215"/>
      <c r="I50" s="215"/>
      <c r="J50" s="215"/>
      <c r="K50" s="215"/>
      <c r="L50" s="215"/>
      <c r="M50" s="215"/>
      <c r="N50" s="215"/>
      <c r="O50" s="215"/>
      <c r="P50" s="96"/>
    </row>
  </sheetData>
  <mergeCells count="97">
    <mergeCell ref="B49:G49"/>
    <mergeCell ref="H49:K49"/>
    <mergeCell ref="L49:O49"/>
    <mergeCell ref="B50:G50"/>
    <mergeCell ref="H50:K50"/>
    <mergeCell ref="L50:O50"/>
    <mergeCell ref="B47:G47"/>
    <mergeCell ref="H47:K47"/>
    <mergeCell ref="L47:O47"/>
    <mergeCell ref="B48:G48"/>
    <mergeCell ref="H48:K48"/>
    <mergeCell ref="L48:O48"/>
    <mergeCell ref="B45:G45"/>
    <mergeCell ref="H45:K45"/>
    <mergeCell ref="L45:O45"/>
    <mergeCell ref="B46:G46"/>
    <mergeCell ref="H46:K46"/>
    <mergeCell ref="L46:O46"/>
    <mergeCell ref="B43:G43"/>
    <mergeCell ref="H43:K43"/>
    <mergeCell ref="L43:O43"/>
    <mergeCell ref="B44:G44"/>
    <mergeCell ref="H44:K44"/>
    <mergeCell ref="L44:O44"/>
    <mergeCell ref="B41:G41"/>
    <mergeCell ref="H41:K41"/>
    <mergeCell ref="L41:O41"/>
    <mergeCell ref="B42:G42"/>
    <mergeCell ref="H42:K42"/>
    <mergeCell ref="L42:O42"/>
    <mergeCell ref="B39:G39"/>
    <mergeCell ref="H39:K39"/>
    <mergeCell ref="L39:O39"/>
    <mergeCell ref="B40:G40"/>
    <mergeCell ref="H40:K40"/>
    <mergeCell ref="L40:O40"/>
    <mergeCell ref="B37:G37"/>
    <mergeCell ref="H37:K37"/>
    <mergeCell ref="L37:O37"/>
    <mergeCell ref="B38:G38"/>
    <mergeCell ref="H38:K38"/>
    <mergeCell ref="L38:O38"/>
    <mergeCell ref="B35:G35"/>
    <mergeCell ref="H35:K35"/>
    <mergeCell ref="L35:O35"/>
    <mergeCell ref="B36:G36"/>
    <mergeCell ref="H36:K36"/>
    <mergeCell ref="L36:O36"/>
    <mergeCell ref="B33:G33"/>
    <mergeCell ref="H33:K33"/>
    <mergeCell ref="L33:O33"/>
    <mergeCell ref="B34:G34"/>
    <mergeCell ref="H34:K34"/>
    <mergeCell ref="L34:O34"/>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B9:B10">
    <cfRule type="cellIs" dxfId="286" priority="33" operator="equal">
      <formula>"Nok"</formula>
    </cfRule>
    <cfRule type="cellIs" dxfId="285" priority="34" operator="equal">
      <formula>"Ok"</formula>
    </cfRule>
  </conditionalFormatting>
  <conditionalFormatting sqref="P22:P34">
    <cfRule type="cellIs" dxfId="284" priority="31" operator="equal">
      <formula>"Nok"</formula>
    </cfRule>
    <cfRule type="cellIs" dxfId="283" priority="32" operator="equal">
      <formula>"Ok"</formula>
    </cfRule>
  </conditionalFormatting>
  <conditionalFormatting sqref="P35">
    <cfRule type="cellIs" dxfId="282" priority="29" operator="equal">
      <formula>"Nok"</formula>
    </cfRule>
    <cfRule type="cellIs" dxfId="281" priority="30" operator="equal">
      <formula>"Ok"</formula>
    </cfRule>
  </conditionalFormatting>
  <conditionalFormatting sqref="P36:P37">
    <cfRule type="cellIs" dxfId="280" priority="27" operator="equal">
      <formula>"Nok"</formula>
    </cfRule>
    <cfRule type="cellIs" dxfId="279" priority="28" operator="equal">
      <formula>"Ok"</formula>
    </cfRule>
  </conditionalFormatting>
  <conditionalFormatting sqref="P38">
    <cfRule type="cellIs" dxfId="278" priority="25" operator="equal">
      <formula>"Nok"</formula>
    </cfRule>
    <cfRule type="cellIs" dxfId="277" priority="26" operator="equal">
      <formula>"Ok"</formula>
    </cfRule>
  </conditionalFormatting>
  <conditionalFormatting sqref="P39">
    <cfRule type="cellIs" dxfId="276" priority="23" operator="equal">
      <formula>"Nok"</formula>
    </cfRule>
    <cfRule type="cellIs" dxfId="275" priority="24" operator="equal">
      <formula>"Ok"</formula>
    </cfRule>
  </conditionalFormatting>
  <conditionalFormatting sqref="P40">
    <cfRule type="cellIs" dxfId="274" priority="21" operator="equal">
      <formula>"Nok"</formula>
    </cfRule>
    <cfRule type="cellIs" dxfId="273" priority="22" operator="equal">
      <formula>"Ok"</formula>
    </cfRule>
  </conditionalFormatting>
  <conditionalFormatting sqref="P41">
    <cfRule type="cellIs" dxfId="272" priority="19" operator="equal">
      <formula>"Nok"</formula>
    </cfRule>
    <cfRule type="cellIs" dxfId="271" priority="20" operator="equal">
      <formula>"Ok"</formula>
    </cfRule>
  </conditionalFormatting>
  <conditionalFormatting sqref="P42">
    <cfRule type="cellIs" dxfId="270" priority="17" operator="equal">
      <formula>"Nok"</formula>
    </cfRule>
    <cfRule type="cellIs" dxfId="269" priority="18" operator="equal">
      <formula>"Ok"</formula>
    </cfRule>
  </conditionalFormatting>
  <conditionalFormatting sqref="P43">
    <cfRule type="cellIs" dxfId="268" priority="15" operator="equal">
      <formula>"Nok"</formula>
    </cfRule>
    <cfRule type="cellIs" dxfId="267" priority="16" operator="equal">
      <formula>"Ok"</formula>
    </cfRule>
  </conditionalFormatting>
  <conditionalFormatting sqref="P44">
    <cfRule type="cellIs" dxfId="266" priority="13" operator="equal">
      <formula>"Nok"</formula>
    </cfRule>
    <cfRule type="cellIs" dxfId="265" priority="14" operator="equal">
      <formula>"Ok"</formula>
    </cfRule>
  </conditionalFormatting>
  <conditionalFormatting sqref="P45">
    <cfRule type="cellIs" dxfId="264" priority="11" operator="equal">
      <formula>"Nok"</formula>
    </cfRule>
    <cfRule type="cellIs" dxfId="263" priority="12" operator="equal">
      <formula>"Ok"</formula>
    </cfRule>
  </conditionalFormatting>
  <conditionalFormatting sqref="P46">
    <cfRule type="cellIs" dxfId="262" priority="9" operator="equal">
      <formula>"Nok"</formula>
    </cfRule>
    <cfRule type="cellIs" dxfId="261" priority="10" operator="equal">
      <formula>"Ok"</formula>
    </cfRule>
  </conditionalFormatting>
  <conditionalFormatting sqref="P47">
    <cfRule type="cellIs" dxfId="260" priority="7" operator="equal">
      <formula>"Nok"</formula>
    </cfRule>
    <cfRule type="cellIs" dxfId="259" priority="8" operator="equal">
      <formula>"Ok"</formula>
    </cfRule>
  </conditionalFormatting>
  <conditionalFormatting sqref="P48">
    <cfRule type="cellIs" dxfId="258" priority="5" operator="equal">
      <formula>"Nok"</formula>
    </cfRule>
    <cfRule type="cellIs" dxfId="257" priority="6" operator="equal">
      <formula>"Ok"</formula>
    </cfRule>
  </conditionalFormatting>
  <conditionalFormatting sqref="P49">
    <cfRule type="cellIs" dxfId="256" priority="3" operator="equal">
      <formula>"Nok"</formula>
    </cfRule>
    <cfRule type="cellIs" dxfId="255" priority="4" operator="equal">
      <formula>"Ok"</formula>
    </cfRule>
  </conditionalFormatting>
  <conditionalFormatting sqref="P50">
    <cfRule type="cellIs" dxfId="254" priority="1" operator="equal">
      <formula>"Nok"</formula>
    </cfRule>
    <cfRule type="cellIs" dxfId="253" priority="2" operator="equal">
      <formula>"Ok"</formula>
    </cfRule>
  </conditionalFormatting>
  <dataValidations count="3">
    <dataValidation type="list" allowBlank="1" showInputMessage="1" showErrorMessage="1" sqref="P22:P50">
      <formula1>"Ok, Nok, Not run, ,"</formula1>
    </dataValidation>
    <dataValidation type="list" allowBlank="1" showInputMessage="1" showErrorMessage="1" sqref="B9">
      <formula1>"Ok, Nok, Not run, NA"</formula1>
    </dataValidation>
    <dataValidation type="list" allowBlank="1" showInputMessage="1" showErrorMessage="1" sqref="B5">
      <formula1>"Nominal, Robustness, Endurance, Qualification"</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workbookViewId="0">
      <selection activeCell="J7" sqref="J7"/>
    </sheetView>
  </sheetViews>
  <sheetFormatPr defaultRowHeight="12.75" x14ac:dyDescent="0.2"/>
  <cols>
    <col min="1" max="1" width="20.140625" style="97" customWidth="1"/>
    <col min="2" max="2" width="18.42578125" style="93" customWidth="1"/>
    <col min="3" max="7" width="9.140625" style="93"/>
    <col min="8" max="15" width="9.5703125" style="93" customWidth="1"/>
    <col min="16" max="16384" width="9.140625" style="93"/>
  </cols>
  <sheetData>
    <row r="1" spans="1:15" ht="13.5" thickBot="1" x14ac:dyDescent="0.25">
      <c r="A1" s="98" t="s">
        <v>41</v>
      </c>
      <c r="B1" s="234" t="s">
        <v>417</v>
      </c>
      <c r="C1" s="235"/>
      <c r="D1" s="235"/>
      <c r="E1" s="235"/>
      <c r="F1" s="235"/>
      <c r="G1" s="236"/>
      <c r="H1" s="73"/>
      <c r="I1" s="73"/>
      <c r="J1" s="73"/>
      <c r="K1" s="73"/>
      <c r="L1" s="73"/>
      <c r="M1" s="73"/>
      <c r="N1" s="73"/>
      <c r="O1" s="73"/>
    </row>
    <row r="2" spans="1:15" ht="13.5" thickBot="1" x14ac:dyDescent="0.25">
      <c r="A2" s="71"/>
      <c r="B2" s="72"/>
      <c r="C2" s="72"/>
      <c r="D2" s="73"/>
      <c r="E2" s="73"/>
      <c r="F2" s="73"/>
      <c r="G2" s="73"/>
      <c r="H2" s="73"/>
      <c r="I2" s="73"/>
      <c r="J2" s="73"/>
      <c r="K2" s="73"/>
      <c r="L2" s="73"/>
      <c r="M2" s="73"/>
      <c r="N2" s="73"/>
      <c r="O2" s="73"/>
    </row>
    <row r="3" spans="1:15" ht="61.5" customHeight="1" thickBot="1" x14ac:dyDescent="0.25">
      <c r="A3" s="99" t="s">
        <v>46</v>
      </c>
      <c r="B3" s="237" t="s">
        <v>428</v>
      </c>
      <c r="C3" s="238"/>
      <c r="D3" s="238"/>
      <c r="E3" s="238"/>
      <c r="F3" s="238"/>
      <c r="G3" s="239"/>
      <c r="H3" s="73"/>
      <c r="I3" s="73"/>
      <c r="J3" s="73"/>
      <c r="K3" s="73"/>
      <c r="L3" s="73"/>
      <c r="M3" s="73"/>
      <c r="N3" s="73"/>
      <c r="O3" s="73"/>
    </row>
    <row r="4" spans="1:15" ht="13.5" thickBot="1" x14ac:dyDescent="0.25">
      <c r="A4" s="71"/>
      <c r="B4" s="72"/>
      <c r="C4" s="72"/>
      <c r="D4" s="73"/>
      <c r="E4" s="73"/>
      <c r="F4" s="73"/>
      <c r="G4" s="73"/>
      <c r="H4" s="73"/>
      <c r="I4" s="73"/>
      <c r="J4" s="73"/>
      <c r="K4" s="73"/>
      <c r="L4" s="73"/>
      <c r="M4" s="73"/>
      <c r="N4" s="73"/>
      <c r="O4" s="73"/>
    </row>
    <row r="5" spans="1:15" ht="13.5" thickBot="1" x14ac:dyDescent="0.25">
      <c r="A5" s="98" t="s">
        <v>111</v>
      </c>
      <c r="B5" s="76" t="s">
        <v>142</v>
      </c>
      <c r="C5" s="72"/>
      <c r="D5" s="73"/>
      <c r="E5" s="73"/>
      <c r="F5" s="73"/>
      <c r="G5" s="73"/>
      <c r="H5" s="73"/>
      <c r="I5" s="73"/>
      <c r="J5" s="73"/>
      <c r="K5" s="73"/>
      <c r="L5" s="73"/>
      <c r="M5" s="73"/>
      <c r="N5" s="73"/>
      <c r="O5" s="73"/>
    </row>
    <row r="6" spans="1:15" ht="13.5" thickBot="1" x14ac:dyDescent="0.25">
      <c r="A6" s="71"/>
      <c r="B6" s="72"/>
      <c r="C6" s="72"/>
      <c r="D6" s="73"/>
      <c r="E6" s="73"/>
      <c r="F6" s="73"/>
      <c r="G6" s="73"/>
      <c r="H6" s="73"/>
      <c r="I6" s="73"/>
      <c r="J6" s="73"/>
      <c r="K6" s="73"/>
      <c r="L6" s="73"/>
      <c r="M6" s="73"/>
      <c r="N6" s="73"/>
      <c r="O6" s="73"/>
    </row>
    <row r="7" spans="1:15" ht="30.75" customHeight="1" thickBot="1" x14ac:dyDescent="0.25">
      <c r="A7" s="98" t="s">
        <v>42</v>
      </c>
      <c r="B7" s="237" t="s">
        <v>398</v>
      </c>
      <c r="C7" s="238"/>
      <c r="D7" s="238"/>
      <c r="E7" s="238"/>
      <c r="F7" s="238"/>
      <c r="G7" s="239"/>
      <c r="H7" s="73"/>
      <c r="I7" s="73"/>
      <c r="J7" s="73"/>
      <c r="K7" s="73"/>
      <c r="L7" s="73"/>
      <c r="M7" s="73"/>
      <c r="N7" s="73"/>
      <c r="O7" s="73"/>
    </row>
    <row r="8" spans="1:15" ht="13.5" thickBot="1" x14ac:dyDescent="0.25">
      <c r="A8" s="75"/>
      <c r="B8" s="74"/>
      <c r="C8" s="74"/>
      <c r="D8" s="74"/>
      <c r="E8" s="74"/>
      <c r="F8" s="74"/>
      <c r="G8" s="74"/>
      <c r="H8" s="73"/>
      <c r="I8" s="73"/>
      <c r="J8" s="73"/>
      <c r="K8" s="73"/>
      <c r="L8" s="73"/>
      <c r="M8" s="73"/>
      <c r="N8" s="73"/>
      <c r="O8" s="73"/>
    </row>
    <row r="9" spans="1:15" ht="13.5" thickBot="1" x14ac:dyDescent="0.25">
      <c r="A9" s="98" t="s">
        <v>43</v>
      </c>
      <c r="B9" s="103" t="s">
        <v>321</v>
      </c>
      <c r="C9" s="72"/>
      <c r="D9" s="73"/>
      <c r="E9" s="73"/>
      <c r="F9" s="73"/>
      <c r="G9" s="73"/>
      <c r="H9" s="73"/>
      <c r="I9" s="73"/>
      <c r="J9" s="73"/>
      <c r="K9" s="73"/>
      <c r="L9" s="73"/>
      <c r="M9" s="73"/>
      <c r="N9" s="73"/>
      <c r="O9" s="73"/>
    </row>
    <row r="10" spans="1:15" ht="13.5" thickBot="1" x14ac:dyDescent="0.25">
      <c r="A10" s="75"/>
      <c r="B10" s="94"/>
      <c r="C10" s="72"/>
      <c r="D10" s="73"/>
      <c r="E10" s="73"/>
      <c r="F10" s="73"/>
      <c r="G10" s="73"/>
      <c r="H10" s="73"/>
      <c r="I10" s="73"/>
      <c r="J10" s="73"/>
      <c r="K10" s="73"/>
      <c r="L10" s="73"/>
      <c r="M10" s="73"/>
      <c r="N10" s="73"/>
      <c r="O10" s="73"/>
    </row>
    <row r="11" spans="1:15" ht="12" customHeight="1" x14ac:dyDescent="0.2">
      <c r="A11" s="223" t="s">
        <v>113</v>
      </c>
      <c r="B11" s="225"/>
      <c r="C11" s="226"/>
      <c r="D11" s="226"/>
      <c r="E11" s="226"/>
      <c r="F11" s="226"/>
      <c r="G11" s="227"/>
      <c r="H11" s="73"/>
      <c r="I11" s="73"/>
      <c r="J11" s="73"/>
      <c r="K11" s="73"/>
      <c r="L11" s="73"/>
      <c r="M11" s="73"/>
      <c r="N11" s="73"/>
      <c r="O11" s="73"/>
    </row>
    <row r="12" spans="1:15" x14ac:dyDescent="0.2">
      <c r="A12" s="224"/>
      <c r="B12" s="228"/>
      <c r="C12" s="229"/>
      <c r="D12" s="229"/>
      <c r="E12" s="229"/>
      <c r="F12" s="229"/>
      <c r="G12" s="230"/>
      <c r="H12" s="73"/>
      <c r="I12" s="73"/>
      <c r="J12" s="73"/>
      <c r="K12" s="73"/>
      <c r="L12" s="73"/>
      <c r="M12" s="73"/>
      <c r="N12" s="73"/>
      <c r="O12" s="73"/>
    </row>
    <row r="13" spans="1:15" x14ac:dyDescent="0.2">
      <c r="A13" s="224"/>
      <c r="B13" s="228"/>
      <c r="C13" s="229"/>
      <c r="D13" s="229"/>
      <c r="E13" s="229"/>
      <c r="F13" s="229"/>
      <c r="G13" s="230"/>
      <c r="H13" s="71"/>
      <c r="I13" s="73"/>
      <c r="J13" s="73"/>
      <c r="K13" s="73"/>
      <c r="L13" s="73"/>
      <c r="M13" s="73"/>
      <c r="N13" s="73"/>
      <c r="O13" s="73"/>
    </row>
    <row r="14" spans="1:15" ht="13.5" thickBot="1" x14ac:dyDescent="0.25">
      <c r="A14" s="224"/>
      <c r="B14" s="231"/>
      <c r="C14" s="232"/>
      <c r="D14" s="232"/>
      <c r="E14" s="232"/>
      <c r="F14" s="232"/>
      <c r="G14" s="233"/>
      <c r="H14" s="77"/>
      <c r="I14" s="73"/>
      <c r="J14" s="73"/>
      <c r="K14" s="73"/>
      <c r="L14" s="73"/>
      <c r="M14" s="73"/>
      <c r="N14" s="73"/>
      <c r="O14" s="73"/>
    </row>
    <row r="15" spans="1:15" ht="13.5" thickBot="1" x14ac:dyDescent="0.25">
      <c r="A15" s="71"/>
      <c r="B15" s="71"/>
      <c r="C15" s="71"/>
      <c r="D15" s="71"/>
      <c r="E15" s="71"/>
      <c r="F15" s="71"/>
      <c r="G15" s="71"/>
      <c r="H15" s="77"/>
      <c r="I15" s="73"/>
      <c r="J15" s="73"/>
      <c r="K15" s="73"/>
      <c r="L15" s="73"/>
      <c r="M15" s="73"/>
      <c r="N15" s="73"/>
      <c r="O15" s="73"/>
    </row>
    <row r="16" spans="1:15" x14ac:dyDescent="0.2">
      <c r="A16" s="223" t="s">
        <v>44</v>
      </c>
      <c r="B16" s="225"/>
      <c r="C16" s="226"/>
      <c r="D16" s="226"/>
      <c r="E16" s="226"/>
      <c r="F16" s="226"/>
      <c r="G16" s="227"/>
      <c r="H16" s="73"/>
      <c r="I16" s="73"/>
      <c r="J16" s="73"/>
      <c r="K16" s="73"/>
      <c r="L16" s="73"/>
      <c r="M16" s="73"/>
      <c r="N16" s="73"/>
      <c r="O16" s="73"/>
    </row>
    <row r="17" spans="1:16" x14ac:dyDescent="0.2">
      <c r="A17" s="224"/>
      <c r="B17" s="228"/>
      <c r="C17" s="229"/>
      <c r="D17" s="229"/>
      <c r="E17" s="229"/>
      <c r="F17" s="229"/>
      <c r="G17" s="230"/>
      <c r="H17" s="73"/>
      <c r="I17" s="73"/>
      <c r="J17" s="73"/>
      <c r="K17" s="73"/>
      <c r="L17" s="73"/>
      <c r="M17" s="73"/>
      <c r="N17" s="73"/>
      <c r="O17" s="73"/>
    </row>
    <row r="18" spans="1:16" x14ac:dyDescent="0.2">
      <c r="A18" s="224"/>
      <c r="B18" s="228"/>
      <c r="C18" s="229"/>
      <c r="D18" s="229"/>
      <c r="E18" s="229"/>
      <c r="F18" s="229"/>
      <c r="G18" s="230"/>
      <c r="H18" s="71"/>
      <c r="I18" s="73"/>
      <c r="J18" s="73"/>
      <c r="K18" s="73"/>
      <c r="L18" s="73"/>
      <c r="M18" s="73"/>
      <c r="N18" s="73"/>
      <c r="O18" s="73"/>
    </row>
    <row r="19" spans="1:16" ht="13.5" thickBot="1" x14ac:dyDescent="0.25">
      <c r="A19" s="224"/>
      <c r="B19" s="231"/>
      <c r="C19" s="232"/>
      <c r="D19" s="232"/>
      <c r="E19" s="232"/>
      <c r="F19" s="232"/>
      <c r="G19" s="233"/>
      <c r="H19" s="77"/>
      <c r="I19" s="73"/>
      <c r="J19" s="73"/>
      <c r="K19" s="73"/>
      <c r="L19" s="73"/>
      <c r="M19" s="73"/>
      <c r="N19" s="73"/>
      <c r="O19" s="73"/>
    </row>
    <row r="20" spans="1:16" ht="13.5" thickBot="1" x14ac:dyDescent="0.25">
      <c r="A20" s="71"/>
      <c r="B20" s="71"/>
      <c r="C20" s="71"/>
      <c r="D20" s="71"/>
      <c r="E20" s="71"/>
      <c r="F20" s="71"/>
      <c r="G20" s="71"/>
      <c r="H20" s="77"/>
      <c r="I20" s="73"/>
      <c r="J20" s="73"/>
      <c r="K20" s="73"/>
      <c r="L20" s="73"/>
      <c r="M20" s="73"/>
      <c r="N20" s="73"/>
      <c r="O20" s="73"/>
    </row>
    <row r="21" spans="1:16" ht="12.75" customHeight="1" x14ac:dyDescent="0.2">
      <c r="A21" s="220" t="s">
        <v>48</v>
      </c>
      <c r="B21" s="221"/>
      <c r="C21" s="221"/>
      <c r="D21" s="221"/>
      <c r="E21" s="221"/>
      <c r="F21" s="221"/>
      <c r="G21" s="222"/>
      <c r="H21" s="220" t="s">
        <v>49</v>
      </c>
      <c r="I21" s="221"/>
      <c r="J21" s="221"/>
      <c r="K21" s="222"/>
      <c r="L21" s="220" t="s">
        <v>60</v>
      </c>
      <c r="M21" s="221"/>
      <c r="N21" s="221"/>
      <c r="O21" s="222"/>
      <c r="P21" s="100" t="s">
        <v>47</v>
      </c>
    </row>
    <row r="22" spans="1:16" ht="33" customHeight="1" thickBot="1" x14ac:dyDescent="0.25">
      <c r="A22" s="101" t="s">
        <v>50</v>
      </c>
      <c r="B22" s="212" t="s">
        <v>418</v>
      </c>
      <c r="C22" s="213"/>
      <c r="D22" s="213"/>
      <c r="E22" s="213"/>
      <c r="F22" s="213"/>
      <c r="G22" s="214"/>
      <c r="H22" s="216"/>
      <c r="I22" s="216"/>
      <c r="J22" s="216"/>
      <c r="K22" s="216"/>
      <c r="L22" s="216" t="s">
        <v>419</v>
      </c>
      <c r="M22" s="216"/>
      <c r="N22" s="216"/>
      <c r="O22" s="216"/>
      <c r="P22" s="95" t="s">
        <v>321</v>
      </c>
    </row>
    <row r="23" spans="1:16" ht="82.5" customHeight="1" thickBot="1" x14ac:dyDescent="0.25">
      <c r="A23" s="101" t="s">
        <v>51</v>
      </c>
      <c r="B23" s="212" t="s">
        <v>420</v>
      </c>
      <c r="C23" s="213"/>
      <c r="D23" s="213"/>
      <c r="E23" s="213"/>
      <c r="F23" s="213"/>
      <c r="G23" s="214"/>
      <c r="H23" s="216"/>
      <c r="I23" s="216"/>
      <c r="J23" s="216"/>
      <c r="K23" s="216"/>
      <c r="L23" s="216" t="s">
        <v>419</v>
      </c>
      <c r="M23" s="216"/>
      <c r="N23" s="216"/>
      <c r="O23" s="216"/>
      <c r="P23" s="95" t="s">
        <v>321</v>
      </c>
    </row>
    <row r="24" spans="1:16" ht="51.75" customHeight="1" thickBot="1" x14ac:dyDescent="0.25">
      <c r="A24" s="101" t="s">
        <v>52</v>
      </c>
      <c r="B24" s="212" t="s">
        <v>421</v>
      </c>
      <c r="C24" s="213"/>
      <c r="D24" s="213"/>
      <c r="E24" s="213"/>
      <c r="F24" s="213"/>
      <c r="G24" s="214"/>
      <c r="H24" s="216"/>
      <c r="I24" s="216"/>
      <c r="J24" s="216"/>
      <c r="K24" s="216"/>
      <c r="L24" s="216" t="s">
        <v>422</v>
      </c>
      <c r="M24" s="216"/>
      <c r="N24" s="216"/>
      <c r="O24" s="216"/>
      <c r="P24" s="95" t="s">
        <v>321</v>
      </c>
    </row>
    <row r="25" spans="1:16" ht="72.75" customHeight="1" thickBot="1" x14ac:dyDescent="0.25">
      <c r="A25" s="101" t="s">
        <v>53</v>
      </c>
      <c r="B25" s="212"/>
      <c r="C25" s="213"/>
      <c r="D25" s="213"/>
      <c r="E25" s="213"/>
      <c r="F25" s="213"/>
      <c r="G25" s="214"/>
      <c r="H25" s="216"/>
      <c r="I25" s="216"/>
      <c r="J25" s="216"/>
      <c r="K25" s="216"/>
      <c r="L25" s="216"/>
      <c r="M25" s="216"/>
      <c r="N25" s="216"/>
      <c r="O25" s="216"/>
      <c r="P25" s="95"/>
    </row>
    <row r="26" spans="1:16" ht="104.25" customHeight="1" thickBot="1" x14ac:dyDescent="0.25">
      <c r="A26" s="101" t="s">
        <v>54</v>
      </c>
      <c r="B26" s="212"/>
      <c r="C26" s="213"/>
      <c r="D26" s="213"/>
      <c r="E26" s="213"/>
      <c r="F26" s="213"/>
      <c r="G26" s="214"/>
      <c r="H26" s="216"/>
      <c r="I26" s="216"/>
      <c r="J26" s="216"/>
      <c r="K26" s="216"/>
      <c r="L26" s="216"/>
      <c r="M26" s="216"/>
      <c r="N26" s="216"/>
      <c r="O26" s="216"/>
      <c r="P26" s="95"/>
    </row>
    <row r="27" spans="1:16" ht="29.25" customHeight="1" x14ac:dyDescent="0.2">
      <c r="A27" s="101" t="s">
        <v>55</v>
      </c>
      <c r="B27" s="217"/>
      <c r="C27" s="218"/>
      <c r="D27" s="218"/>
      <c r="E27" s="218"/>
      <c r="F27" s="218"/>
      <c r="G27" s="219"/>
      <c r="H27" s="216"/>
      <c r="I27" s="216"/>
      <c r="J27" s="216"/>
      <c r="K27" s="216"/>
      <c r="L27" s="216"/>
      <c r="M27" s="216"/>
      <c r="N27" s="216"/>
      <c r="O27" s="216"/>
      <c r="P27" s="95"/>
    </row>
    <row r="28" spans="1:16" ht="29.25" customHeight="1" x14ac:dyDescent="0.2">
      <c r="A28" s="101" t="s">
        <v>56</v>
      </c>
      <c r="B28" s="217"/>
      <c r="C28" s="218"/>
      <c r="D28" s="218"/>
      <c r="E28" s="218"/>
      <c r="F28" s="218"/>
      <c r="G28" s="219"/>
      <c r="H28" s="216"/>
      <c r="I28" s="216"/>
      <c r="J28" s="216"/>
      <c r="K28" s="216"/>
      <c r="L28" s="216"/>
      <c r="M28" s="216"/>
      <c r="N28" s="216"/>
      <c r="O28" s="216"/>
      <c r="P28" s="95"/>
    </row>
    <row r="29" spans="1:16" ht="29.25" customHeight="1" x14ac:dyDescent="0.2">
      <c r="A29" s="101" t="s">
        <v>57</v>
      </c>
      <c r="B29" s="217"/>
      <c r="C29" s="218"/>
      <c r="D29" s="218"/>
      <c r="E29" s="218"/>
      <c r="F29" s="218"/>
      <c r="G29" s="219"/>
      <c r="H29" s="216"/>
      <c r="I29" s="216"/>
      <c r="J29" s="216"/>
      <c r="K29" s="216"/>
      <c r="L29" s="216"/>
      <c r="M29" s="216"/>
      <c r="N29" s="216"/>
      <c r="O29" s="216"/>
      <c r="P29" s="95"/>
    </row>
    <row r="30" spans="1:16" ht="45.75" customHeight="1" thickBot="1" x14ac:dyDescent="0.25">
      <c r="A30" s="102" t="s">
        <v>58</v>
      </c>
      <c r="B30" s="212"/>
      <c r="C30" s="213"/>
      <c r="D30" s="213"/>
      <c r="E30" s="213"/>
      <c r="F30" s="213"/>
      <c r="G30" s="214"/>
      <c r="H30" s="215"/>
      <c r="I30" s="215"/>
      <c r="J30" s="215"/>
      <c r="K30" s="215"/>
      <c r="L30" s="215"/>
      <c r="M30" s="215"/>
      <c r="N30" s="215"/>
      <c r="O30" s="215"/>
      <c r="P30" s="96"/>
    </row>
    <row r="31" spans="1:16" ht="29.25" customHeight="1" thickBot="1" x14ac:dyDescent="0.25">
      <c r="A31" s="102" t="s">
        <v>145</v>
      </c>
      <c r="B31" s="217"/>
      <c r="C31" s="218"/>
      <c r="D31" s="218"/>
      <c r="E31" s="218"/>
      <c r="F31" s="218"/>
      <c r="G31" s="219"/>
      <c r="H31" s="216"/>
      <c r="I31" s="216"/>
      <c r="J31" s="216"/>
      <c r="K31" s="216"/>
      <c r="L31" s="216"/>
      <c r="M31" s="216"/>
      <c r="N31" s="216"/>
      <c r="O31" s="216"/>
      <c r="P31" s="95"/>
    </row>
    <row r="32" spans="1:16" ht="55.5" customHeight="1" thickBot="1" x14ac:dyDescent="0.25">
      <c r="A32" s="102" t="s">
        <v>146</v>
      </c>
      <c r="B32" s="217"/>
      <c r="C32" s="218"/>
      <c r="D32" s="218"/>
      <c r="E32" s="218"/>
      <c r="F32" s="218"/>
      <c r="G32" s="219"/>
      <c r="H32" s="216"/>
      <c r="I32" s="216"/>
      <c r="J32" s="216"/>
      <c r="K32" s="216"/>
      <c r="L32" s="216"/>
      <c r="M32" s="216"/>
      <c r="N32" s="216"/>
      <c r="O32" s="216"/>
      <c r="P32" s="95"/>
    </row>
    <row r="33" spans="1:16" ht="45.75" customHeight="1" thickBot="1" x14ac:dyDescent="0.25">
      <c r="A33" s="102" t="s">
        <v>147</v>
      </c>
      <c r="B33" s="212"/>
      <c r="C33" s="213"/>
      <c r="D33" s="213"/>
      <c r="E33" s="213"/>
      <c r="F33" s="213"/>
      <c r="G33" s="214"/>
      <c r="H33" s="215"/>
      <c r="I33" s="215"/>
      <c r="J33" s="215"/>
      <c r="K33" s="215"/>
      <c r="L33" s="215"/>
      <c r="M33" s="215"/>
      <c r="N33" s="215"/>
      <c r="O33" s="215"/>
      <c r="P33" s="95"/>
    </row>
    <row r="34" spans="1:16" ht="45.75" customHeight="1" thickBot="1" x14ac:dyDescent="0.25">
      <c r="A34" s="102" t="s">
        <v>148</v>
      </c>
      <c r="B34" s="217"/>
      <c r="C34" s="218"/>
      <c r="D34" s="218"/>
      <c r="E34" s="218"/>
      <c r="F34" s="218"/>
      <c r="G34" s="219"/>
      <c r="H34" s="216"/>
      <c r="I34" s="216"/>
      <c r="J34" s="216"/>
      <c r="K34" s="216"/>
      <c r="L34" s="216"/>
      <c r="M34" s="216"/>
      <c r="N34" s="216"/>
      <c r="O34" s="216"/>
      <c r="P34" s="95"/>
    </row>
    <row r="35" spans="1:16" ht="48" customHeight="1" thickBot="1" x14ac:dyDescent="0.25">
      <c r="A35" s="102" t="s">
        <v>149</v>
      </c>
      <c r="B35" s="217"/>
      <c r="C35" s="218"/>
      <c r="D35" s="218"/>
      <c r="E35" s="218"/>
      <c r="F35" s="218"/>
      <c r="G35" s="219"/>
      <c r="H35" s="216"/>
      <c r="I35" s="216"/>
      <c r="J35" s="216"/>
      <c r="K35" s="216"/>
      <c r="L35" s="216"/>
      <c r="M35" s="216"/>
      <c r="N35" s="216"/>
      <c r="O35" s="216"/>
      <c r="P35" s="95"/>
    </row>
    <row r="36" spans="1:16" ht="45.75" customHeight="1" thickBot="1" x14ac:dyDescent="0.25">
      <c r="A36" s="102" t="s">
        <v>150</v>
      </c>
      <c r="B36" s="212"/>
      <c r="C36" s="213"/>
      <c r="D36" s="213"/>
      <c r="E36" s="213"/>
      <c r="F36" s="213"/>
      <c r="G36" s="214"/>
      <c r="H36" s="215"/>
      <c r="I36" s="215"/>
      <c r="J36" s="215"/>
      <c r="K36" s="215"/>
      <c r="L36" s="216"/>
      <c r="M36" s="216"/>
      <c r="N36" s="216"/>
      <c r="O36" s="216"/>
      <c r="P36" s="96"/>
    </row>
    <row r="37" spans="1:16" ht="66" customHeight="1" thickBot="1" x14ac:dyDescent="0.25">
      <c r="A37" s="102" t="s">
        <v>151</v>
      </c>
      <c r="B37" s="212"/>
      <c r="C37" s="213"/>
      <c r="D37" s="213"/>
      <c r="E37" s="213"/>
      <c r="F37" s="213"/>
      <c r="G37" s="214"/>
      <c r="H37" s="215"/>
      <c r="I37" s="215"/>
      <c r="J37" s="215"/>
      <c r="K37" s="215"/>
      <c r="L37" s="216"/>
      <c r="M37" s="216"/>
      <c r="N37" s="216"/>
      <c r="O37" s="216"/>
      <c r="P37" s="96"/>
    </row>
    <row r="38" spans="1:16" ht="45.75" customHeight="1" thickBot="1" x14ac:dyDescent="0.25">
      <c r="A38" s="102" t="s">
        <v>152</v>
      </c>
      <c r="B38" s="212"/>
      <c r="C38" s="213"/>
      <c r="D38" s="213"/>
      <c r="E38" s="213"/>
      <c r="F38" s="213"/>
      <c r="G38" s="214"/>
      <c r="H38" s="215"/>
      <c r="I38" s="215"/>
      <c r="J38" s="215"/>
      <c r="K38" s="215"/>
      <c r="L38" s="215"/>
      <c r="M38" s="215"/>
      <c r="N38" s="215"/>
      <c r="O38" s="215"/>
      <c r="P38" s="96"/>
    </row>
    <row r="39" spans="1:16" ht="45.75" customHeight="1" thickBot="1" x14ac:dyDescent="0.25">
      <c r="A39" s="102" t="s">
        <v>153</v>
      </c>
      <c r="B39" s="212"/>
      <c r="C39" s="213"/>
      <c r="D39" s="213"/>
      <c r="E39" s="213"/>
      <c r="F39" s="213"/>
      <c r="G39" s="214"/>
      <c r="H39" s="215"/>
      <c r="I39" s="215"/>
      <c r="J39" s="215"/>
      <c r="K39" s="215"/>
      <c r="L39" s="215"/>
      <c r="M39" s="215"/>
      <c r="N39" s="215"/>
      <c r="O39" s="215"/>
      <c r="P39" s="96"/>
    </row>
    <row r="40" spans="1:16" ht="45.75" customHeight="1" thickBot="1" x14ac:dyDescent="0.25">
      <c r="A40" s="102" t="s">
        <v>184</v>
      </c>
      <c r="B40" s="212"/>
      <c r="C40" s="213"/>
      <c r="D40" s="213"/>
      <c r="E40" s="213"/>
      <c r="F40" s="213"/>
      <c r="G40" s="214"/>
      <c r="H40" s="215"/>
      <c r="I40" s="215"/>
      <c r="J40" s="215"/>
      <c r="K40" s="215"/>
      <c r="L40" s="215"/>
      <c r="M40" s="215"/>
      <c r="N40" s="215"/>
      <c r="O40" s="215"/>
      <c r="P40" s="96"/>
    </row>
    <row r="41" spans="1:16" ht="45.75" customHeight="1" thickBot="1" x14ac:dyDescent="0.25">
      <c r="A41" s="102" t="s">
        <v>185</v>
      </c>
      <c r="B41" s="212"/>
      <c r="C41" s="213"/>
      <c r="D41" s="213"/>
      <c r="E41" s="213"/>
      <c r="F41" s="213"/>
      <c r="G41" s="214"/>
      <c r="H41" s="215"/>
      <c r="I41" s="215"/>
      <c r="J41" s="215"/>
      <c r="K41" s="215"/>
      <c r="L41" s="215"/>
      <c r="M41" s="215"/>
      <c r="N41" s="215"/>
      <c r="O41" s="215"/>
      <c r="P41" s="96"/>
    </row>
    <row r="42" spans="1:16" ht="45.75" customHeight="1" thickBot="1" x14ac:dyDescent="0.25">
      <c r="A42" s="102" t="s">
        <v>186</v>
      </c>
      <c r="B42" s="212"/>
      <c r="C42" s="213"/>
      <c r="D42" s="213"/>
      <c r="E42" s="213"/>
      <c r="F42" s="213"/>
      <c r="G42" s="214"/>
      <c r="H42" s="215"/>
      <c r="I42" s="215"/>
      <c r="J42" s="215"/>
      <c r="K42" s="215"/>
      <c r="L42" s="215"/>
      <c r="M42" s="215"/>
      <c r="N42" s="215"/>
      <c r="O42" s="215"/>
      <c r="P42" s="96"/>
    </row>
    <row r="43" spans="1:16" ht="45.75" customHeight="1" thickBot="1" x14ac:dyDescent="0.25">
      <c r="A43" s="102" t="s">
        <v>187</v>
      </c>
      <c r="B43" s="212"/>
      <c r="C43" s="213"/>
      <c r="D43" s="213"/>
      <c r="E43" s="213"/>
      <c r="F43" s="213"/>
      <c r="G43" s="214"/>
      <c r="H43" s="215"/>
      <c r="I43" s="215"/>
      <c r="J43" s="215"/>
      <c r="K43" s="215"/>
      <c r="L43" s="215"/>
      <c r="M43" s="215"/>
      <c r="N43" s="215"/>
      <c r="O43" s="215"/>
      <c r="P43" s="96"/>
    </row>
    <row r="44" spans="1:16" ht="45.75" customHeight="1" thickBot="1" x14ac:dyDescent="0.25">
      <c r="A44" s="102" t="s">
        <v>188</v>
      </c>
      <c r="B44" s="212"/>
      <c r="C44" s="213"/>
      <c r="D44" s="213"/>
      <c r="E44" s="213"/>
      <c r="F44" s="213"/>
      <c r="G44" s="214"/>
      <c r="H44" s="215"/>
      <c r="I44" s="215"/>
      <c r="J44" s="215"/>
      <c r="K44" s="215"/>
      <c r="L44" s="215"/>
      <c r="M44" s="215"/>
      <c r="N44" s="215"/>
      <c r="O44" s="215"/>
      <c r="P44" s="96"/>
    </row>
    <row r="45" spans="1:16" ht="45.75" customHeight="1" thickBot="1" x14ac:dyDescent="0.25">
      <c r="A45" s="102" t="s">
        <v>189</v>
      </c>
      <c r="B45" s="212"/>
      <c r="C45" s="213"/>
      <c r="D45" s="213"/>
      <c r="E45" s="213"/>
      <c r="F45" s="213"/>
      <c r="G45" s="214"/>
      <c r="H45" s="215"/>
      <c r="I45" s="215"/>
      <c r="J45" s="215"/>
      <c r="K45" s="215"/>
      <c r="L45" s="215"/>
      <c r="M45" s="215"/>
      <c r="N45" s="215"/>
      <c r="O45" s="215"/>
      <c r="P45" s="96"/>
    </row>
    <row r="46" spans="1:16" ht="45.75" customHeight="1" thickBot="1" x14ac:dyDescent="0.25">
      <c r="A46" s="102" t="s">
        <v>190</v>
      </c>
      <c r="B46" s="212"/>
      <c r="C46" s="213"/>
      <c r="D46" s="213"/>
      <c r="E46" s="213"/>
      <c r="F46" s="213"/>
      <c r="G46" s="214"/>
      <c r="H46" s="215"/>
      <c r="I46" s="215"/>
      <c r="J46" s="215"/>
      <c r="K46" s="215"/>
      <c r="L46" s="215"/>
      <c r="M46" s="215"/>
      <c r="N46" s="215"/>
      <c r="O46" s="215"/>
      <c r="P46" s="96"/>
    </row>
    <row r="47" spans="1:16" ht="45.75" customHeight="1" thickBot="1" x14ac:dyDescent="0.25">
      <c r="A47" s="102" t="s">
        <v>191</v>
      </c>
      <c r="B47" s="212"/>
      <c r="C47" s="213"/>
      <c r="D47" s="213"/>
      <c r="E47" s="213"/>
      <c r="F47" s="213"/>
      <c r="G47" s="214"/>
      <c r="H47" s="215"/>
      <c r="I47" s="215"/>
      <c r="J47" s="215"/>
      <c r="K47" s="215"/>
      <c r="L47" s="215"/>
      <c r="M47" s="215"/>
      <c r="N47" s="215"/>
      <c r="O47" s="215"/>
      <c r="P47" s="96"/>
    </row>
    <row r="48" spans="1:16" ht="45.75" customHeight="1" thickBot="1" x14ac:dyDescent="0.25">
      <c r="A48" s="102" t="s">
        <v>192</v>
      </c>
      <c r="B48" s="212"/>
      <c r="C48" s="213"/>
      <c r="D48" s="213"/>
      <c r="E48" s="213"/>
      <c r="F48" s="213"/>
      <c r="G48" s="214"/>
      <c r="H48" s="215"/>
      <c r="I48" s="215"/>
      <c r="J48" s="215"/>
      <c r="K48" s="215"/>
      <c r="L48" s="215"/>
      <c r="M48" s="215"/>
      <c r="N48" s="215"/>
      <c r="O48" s="215"/>
      <c r="P48" s="96"/>
    </row>
    <row r="49" spans="1:16" ht="45.75" customHeight="1" thickBot="1" x14ac:dyDescent="0.25">
      <c r="A49" s="102" t="s">
        <v>193</v>
      </c>
      <c r="B49" s="212"/>
      <c r="C49" s="213"/>
      <c r="D49" s="213"/>
      <c r="E49" s="213"/>
      <c r="F49" s="213"/>
      <c r="G49" s="214"/>
      <c r="H49" s="215"/>
      <c r="I49" s="215"/>
      <c r="J49" s="215"/>
      <c r="K49" s="215"/>
      <c r="L49" s="215"/>
      <c r="M49" s="215"/>
      <c r="N49" s="215"/>
      <c r="O49" s="215"/>
      <c r="P49" s="96"/>
    </row>
    <row r="50" spans="1:16" ht="45.75" customHeight="1" thickBot="1" x14ac:dyDescent="0.25">
      <c r="A50" s="102" t="s">
        <v>194</v>
      </c>
      <c r="B50" s="212"/>
      <c r="C50" s="213"/>
      <c r="D50" s="213"/>
      <c r="E50" s="213"/>
      <c r="F50" s="213"/>
      <c r="G50" s="214"/>
      <c r="H50" s="215"/>
      <c r="I50" s="215"/>
      <c r="J50" s="215"/>
      <c r="K50" s="215"/>
      <c r="L50" s="215"/>
      <c r="M50" s="215"/>
      <c r="N50" s="215"/>
      <c r="O50" s="215"/>
      <c r="P50" s="96"/>
    </row>
  </sheetData>
  <mergeCells count="97">
    <mergeCell ref="B49:G49"/>
    <mergeCell ref="H49:K49"/>
    <mergeCell ref="L49:O49"/>
    <mergeCell ref="B50:G50"/>
    <mergeCell ref="H50:K50"/>
    <mergeCell ref="L50:O50"/>
    <mergeCell ref="B47:G47"/>
    <mergeCell ref="H47:K47"/>
    <mergeCell ref="L47:O47"/>
    <mergeCell ref="B48:G48"/>
    <mergeCell ref="H48:K48"/>
    <mergeCell ref="L48:O48"/>
    <mergeCell ref="B45:G45"/>
    <mergeCell ref="H45:K45"/>
    <mergeCell ref="L45:O45"/>
    <mergeCell ref="B46:G46"/>
    <mergeCell ref="H46:K46"/>
    <mergeCell ref="L46:O46"/>
    <mergeCell ref="B43:G43"/>
    <mergeCell ref="H43:K43"/>
    <mergeCell ref="L43:O43"/>
    <mergeCell ref="B44:G44"/>
    <mergeCell ref="H44:K44"/>
    <mergeCell ref="L44:O44"/>
    <mergeCell ref="B41:G41"/>
    <mergeCell ref="H41:K41"/>
    <mergeCell ref="L41:O41"/>
    <mergeCell ref="B42:G42"/>
    <mergeCell ref="H42:K42"/>
    <mergeCell ref="L42:O42"/>
    <mergeCell ref="B39:G39"/>
    <mergeCell ref="H39:K39"/>
    <mergeCell ref="L39:O39"/>
    <mergeCell ref="B40:G40"/>
    <mergeCell ref="H40:K40"/>
    <mergeCell ref="L40:O40"/>
    <mergeCell ref="B37:G37"/>
    <mergeCell ref="H37:K37"/>
    <mergeCell ref="L37:O37"/>
    <mergeCell ref="B38:G38"/>
    <mergeCell ref="H38:K38"/>
    <mergeCell ref="L38:O38"/>
    <mergeCell ref="B35:G35"/>
    <mergeCell ref="H35:K35"/>
    <mergeCell ref="L35:O35"/>
    <mergeCell ref="B36:G36"/>
    <mergeCell ref="H36:K36"/>
    <mergeCell ref="L36:O36"/>
    <mergeCell ref="B33:G33"/>
    <mergeCell ref="H33:K33"/>
    <mergeCell ref="L33:O33"/>
    <mergeCell ref="B34:G34"/>
    <mergeCell ref="H34:K34"/>
    <mergeCell ref="L34:O34"/>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B9:B10">
    <cfRule type="cellIs" dxfId="252" priority="33" operator="equal">
      <formula>"Nok"</formula>
    </cfRule>
    <cfRule type="cellIs" dxfId="251" priority="34" operator="equal">
      <formula>"Ok"</formula>
    </cfRule>
  </conditionalFormatting>
  <conditionalFormatting sqref="P22:P30">
    <cfRule type="cellIs" dxfId="250" priority="31" operator="equal">
      <formula>"Nok"</formula>
    </cfRule>
    <cfRule type="cellIs" dxfId="249" priority="32" operator="equal">
      <formula>"Ok"</formula>
    </cfRule>
  </conditionalFormatting>
  <conditionalFormatting sqref="P31:P35">
    <cfRule type="cellIs" dxfId="248" priority="29" operator="equal">
      <formula>"Nok"</formula>
    </cfRule>
    <cfRule type="cellIs" dxfId="247" priority="30" operator="equal">
      <formula>"Ok"</formula>
    </cfRule>
  </conditionalFormatting>
  <conditionalFormatting sqref="P36:P37">
    <cfRule type="cellIs" dxfId="246" priority="27" operator="equal">
      <formula>"Nok"</formula>
    </cfRule>
    <cfRule type="cellIs" dxfId="245" priority="28" operator="equal">
      <formula>"Ok"</formula>
    </cfRule>
  </conditionalFormatting>
  <conditionalFormatting sqref="P38">
    <cfRule type="cellIs" dxfId="244" priority="25" operator="equal">
      <formula>"Nok"</formula>
    </cfRule>
    <cfRule type="cellIs" dxfId="243" priority="26" operator="equal">
      <formula>"Ok"</formula>
    </cfRule>
  </conditionalFormatting>
  <conditionalFormatting sqref="P39">
    <cfRule type="cellIs" dxfId="242" priority="23" operator="equal">
      <formula>"Nok"</formula>
    </cfRule>
    <cfRule type="cellIs" dxfId="241" priority="24" operator="equal">
      <formula>"Ok"</formula>
    </cfRule>
  </conditionalFormatting>
  <conditionalFormatting sqref="P40">
    <cfRule type="cellIs" dxfId="240" priority="21" operator="equal">
      <formula>"Nok"</formula>
    </cfRule>
    <cfRule type="cellIs" dxfId="239" priority="22" operator="equal">
      <formula>"Ok"</formula>
    </cfRule>
  </conditionalFormatting>
  <conditionalFormatting sqref="P41">
    <cfRule type="cellIs" dxfId="238" priority="19" operator="equal">
      <formula>"Nok"</formula>
    </cfRule>
    <cfRule type="cellIs" dxfId="237" priority="20" operator="equal">
      <formula>"Ok"</formula>
    </cfRule>
  </conditionalFormatting>
  <conditionalFormatting sqref="P42">
    <cfRule type="cellIs" dxfId="236" priority="17" operator="equal">
      <formula>"Nok"</formula>
    </cfRule>
    <cfRule type="cellIs" dxfId="235" priority="18" operator="equal">
      <formula>"Ok"</formula>
    </cfRule>
  </conditionalFormatting>
  <conditionalFormatting sqref="P43">
    <cfRule type="cellIs" dxfId="234" priority="15" operator="equal">
      <formula>"Nok"</formula>
    </cfRule>
    <cfRule type="cellIs" dxfId="233" priority="16" operator="equal">
      <formula>"Ok"</formula>
    </cfRule>
  </conditionalFormatting>
  <conditionalFormatting sqref="P44">
    <cfRule type="cellIs" dxfId="232" priority="13" operator="equal">
      <formula>"Nok"</formula>
    </cfRule>
    <cfRule type="cellIs" dxfId="231" priority="14" operator="equal">
      <formula>"Ok"</formula>
    </cfRule>
  </conditionalFormatting>
  <conditionalFormatting sqref="P45">
    <cfRule type="cellIs" dxfId="230" priority="11" operator="equal">
      <formula>"Nok"</formula>
    </cfRule>
    <cfRule type="cellIs" dxfId="229" priority="12" operator="equal">
      <formula>"Ok"</formula>
    </cfRule>
  </conditionalFormatting>
  <conditionalFormatting sqref="P46">
    <cfRule type="cellIs" dxfId="228" priority="9" operator="equal">
      <formula>"Nok"</formula>
    </cfRule>
    <cfRule type="cellIs" dxfId="227" priority="10" operator="equal">
      <formula>"Ok"</formula>
    </cfRule>
  </conditionalFormatting>
  <conditionalFormatting sqref="P47">
    <cfRule type="cellIs" dxfId="226" priority="7" operator="equal">
      <formula>"Nok"</formula>
    </cfRule>
    <cfRule type="cellIs" dxfId="225" priority="8" operator="equal">
      <formula>"Ok"</formula>
    </cfRule>
  </conditionalFormatting>
  <conditionalFormatting sqref="P48">
    <cfRule type="cellIs" dxfId="224" priority="5" operator="equal">
      <formula>"Nok"</formula>
    </cfRule>
    <cfRule type="cellIs" dxfId="223" priority="6" operator="equal">
      <formula>"Ok"</formula>
    </cfRule>
  </conditionalFormatting>
  <conditionalFormatting sqref="P49">
    <cfRule type="cellIs" dxfId="222" priority="3" operator="equal">
      <formula>"Nok"</formula>
    </cfRule>
    <cfRule type="cellIs" dxfId="221" priority="4" operator="equal">
      <formula>"Ok"</formula>
    </cfRule>
  </conditionalFormatting>
  <conditionalFormatting sqref="P50">
    <cfRule type="cellIs" dxfId="220" priority="1" operator="equal">
      <formula>"Nok"</formula>
    </cfRule>
    <cfRule type="cellIs" dxfId="219" priority="2" operator="equal">
      <formula>"Ok"</formula>
    </cfRule>
  </conditionalFormatting>
  <dataValidations count="3">
    <dataValidation type="list" allowBlank="1" showInputMessage="1" showErrorMessage="1" sqref="P22:P50">
      <formula1>"Ok, Nok, Not run, ,"</formula1>
    </dataValidation>
    <dataValidation type="list" allowBlank="1" showInputMessage="1" showErrorMessage="1" sqref="B9">
      <formula1>"Ok, Nok, Not run, NA"</formula1>
    </dataValidation>
    <dataValidation type="list" allowBlank="1" showInputMessage="1" showErrorMessage="1" sqref="B5">
      <formula1>"Nominal, Robustness, Endurance, Qualification"</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topLeftCell="A10" workbookViewId="0">
      <selection activeCell="B24" sqref="B24:G24"/>
    </sheetView>
  </sheetViews>
  <sheetFormatPr defaultRowHeight="12.75" x14ac:dyDescent="0.2"/>
  <cols>
    <col min="1" max="1" width="20.140625" style="97" customWidth="1"/>
    <col min="2" max="2" width="18.42578125" style="93" customWidth="1"/>
    <col min="3" max="7" width="9.140625" style="93"/>
    <col min="8" max="15" width="9.5703125" style="93" customWidth="1"/>
    <col min="16" max="16384" width="9.140625" style="93"/>
  </cols>
  <sheetData>
    <row r="1" spans="1:15" ht="13.5" thickBot="1" x14ac:dyDescent="0.25">
      <c r="A1" s="98" t="s">
        <v>41</v>
      </c>
      <c r="B1" s="234" t="s">
        <v>431</v>
      </c>
      <c r="C1" s="235"/>
      <c r="D1" s="235"/>
      <c r="E1" s="235"/>
      <c r="F1" s="235"/>
      <c r="G1" s="236"/>
      <c r="H1" s="73"/>
      <c r="I1" s="73"/>
      <c r="J1" s="73"/>
      <c r="K1" s="73"/>
      <c r="L1" s="73"/>
      <c r="M1" s="73"/>
      <c r="N1" s="73"/>
      <c r="O1" s="73"/>
    </row>
    <row r="2" spans="1:15" ht="13.5" thickBot="1" x14ac:dyDescent="0.25">
      <c r="A2" s="71"/>
      <c r="B2" s="72"/>
      <c r="C2" s="72"/>
      <c r="D2" s="73"/>
      <c r="E2" s="73"/>
      <c r="F2" s="73"/>
      <c r="G2" s="73"/>
      <c r="H2" s="73"/>
      <c r="I2" s="73"/>
      <c r="J2" s="73"/>
      <c r="K2" s="73"/>
      <c r="L2" s="73"/>
      <c r="M2" s="73"/>
      <c r="N2" s="73"/>
      <c r="O2" s="73"/>
    </row>
    <row r="3" spans="1:15" ht="61.5" customHeight="1" thickBot="1" x14ac:dyDescent="0.25">
      <c r="A3" s="99" t="s">
        <v>46</v>
      </c>
      <c r="B3" s="237" t="s">
        <v>462</v>
      </c>
      <c r="C3" s="238"/>
      <c r="D3" s="238"/>
      <c r="E3" s="238"/>
      <c r="F3" s="238"/>
      <c r="G3" s="239"/>
      <c r="H3" s="73"/>
      <c r="I3" s="73"/>
      <c r="J3" s="73"/>
      <c r="K3" s="73"/>
      <c r="L3" s="73"/>
      <c r="M3" s="73"/>
      <c r="N3" s="73"/>
      <c r="O3" s="73"/>
    </row>
    <row r="4" spans="1:15" ht="13.5" thickBot="1" x14ac:dyDescent="0.25">
      <c r="A4" s="71"/>
      <c r="B4" s="72"/>
      <c r="C4" s="72"/>
      <c r="D4" s="73"/>
      <c r="E4" s="73"/>
      <c r="F4" s="73"/>
      <c r="G4" s="73"/>
      <c r="H4" s="73"/>
      <c r="I4" s="73"/>
      <c r="J4" s="73"/>
      <c r="K4" s="73"/>
      <c r="L4" s="73"/>
      <c r="M4" s="73"/>
      <c r="N4" s="73"/>
      <c r="O4" s="73"/>
    </row>
    <row r="5" spans="1:15" ht="13.5" thickBot="1" x14ac:dyDescent="0.25">
      <c r="A5" s="98" t="s">
        <v>111</v>
      </c>
      <c r="B5" s="76" t="s">
        <v>142</v>
      </c>
      <c r="C5" s="72"/>
      <c r="D5" s="73"/>
      <c r="E5" s="73"/>
      <c r="F5" s="73"/>
      <c r="G5" s="73"/>
      <c r="H5" s="73"/>
      <c r="I5" s="73"/>
      <c r="J5" s="73"/>
      <c r="K5" s="73"/>
      <c r="L5" s="73"/>
      <c r="M5" s="73"/>
      <c r="N5" s="73"/>
      <c r="O5" s="73"/>
    </row>
    <row r="6" spans="1:15" ht="13.5" thickBot="1" x14ac:dyDescent="0.25">
      <c r="A6" s="71"/>
      <c r="B6" s="72"/>
      <c r="C6" s="72"/>
      <c r="D6" s="73"/>
      <c r="E6" s="73"/>
      <c r="F6" s="73"/>
      <c r="G6" s="73"/>
      <c r="H6" s="73"/>
      <c r="I6" s="73"/>
      <c r="J6" s="73"/>
      <c r="K6" s="73"/>
      <c r="L6" s="73"/>
      <c r="M6" s="73"/>
      <c r="N6" s="73"/>
      <c r="O6" s="73"/>
    </row>
    <row r="7" spans="1:15" ht="30.75" customHeight="1" thickBot="1" x14ac:dyDescent="0.25">
      <c r="A7" s="98" t="s">
        <v>42</v>
      </c>
      <c r="B7" s="237" t="s">
        <v>432</v>
      </c>
      <c r="C7" s="238"/>
      <c r="D7" s="238"/>
      <c r="E7" s="238"/>
      <c r="F7" s="238"/>
      <c r="G7" s="239"/>
      <c r="H7" s="73"/>
      <c r="I7" s="73"/>
      <c r="J7" s="73"/>
      <c r="K7" s="73"/>
      <c r="L7" s="73"/>
      <c r="M7" s="73"/>
      <c r="N7" s="73"/>
      <c r="O7" s="73"/>
    </row>
    <row r="8" spans="1:15" ht="13.5" thickBot="1" x14ac:dyDescent="0.25">
      <c r="A8" s="75"/>
      <c r="B8" s="74"/>
      <c r="C8" s="74"/>
      <c r="D8" s="74"/>
      <c r="E8" s="74"/>
      <c r="F8" s="74"/>
      <c r="G8" s="74"/>
      <c r="H8" s="73"/>
      <c r="I8" s="73"/>
      <c r="J8" s="73"/>
      <c r="K8" s="73"/>
      <c r="L8" s="73"/>
      <c r="M8" s="73"/>
      <c r="N8" s="73"/>
      <c r="O8" s="73"/>
    </row>
    <row r="9" spans="1:15" ht="13.5" thickBot="1" x14ac:dyDescent="0.25">
      <c r="A9" s="98" t="s">
        <v>43</v>
      </c>
      <c r="B9" s="103" t="s">
        <v>143</v>
      </c>
      <c r="C9" s="72"/>
      <c r="D9" s="73"/>
      <c r="E9" s="73"/>
      <c r="F9" s="73"/>
      <c r="G9" s="73"/>
      <c r="H9" s="73"/>
      <c r="I9" s="73"/>
      <c r="J9" s="73"/>
      <c r="K9" s="73"/>
      <c r="L9" s="73"/>
      <c r="M9" s="73"/>
      <c r="N9" s="73"/>
      <c r="O9" s="73"/>
    </row>
    <row r="10" spans="1:15" ht="13.5" thickBot="1" x14ac:dyDescent="0.25">
      <c r="A10" s="75"/>
      <c r="B10" s="94"/>
      <c r="C10" s="72"/>
      <c r="D10" s="73"/>
      <c r="E10" s="73"/>
      <c r="F10" s="73"/>
      <c r="G10" s="73"/>
      <c r="H10" s="73"/>
      <c r="I10" s="73"/>
      <c r="J10" s="73"/>
      <c r="K10" s="73"/>
      <c r="L10" s="73"/>
      <c r="M10" s="73"/>
      <c r="N10" s="73"/>
      <c r="O10" s="73"/>
    </row>
    <row r="11" spans="1:15" ht="12" customHeight="1" x14ac:dyDescent="0.2">
      <c r="A11" s="223" t="s">
        <v>113</v>
      </c>
      <c r="B11" s="225"/>
      <c r="C11" s="226"/>
      <c r="D11" s="226"/>
      <c r="E11" s="226"/>
      <c r="F11" s="226"/>
      <c r="G11" s="227"/>
      <c r="H11" s="73"/>
      <c r="I11" s="73"/>
      <c r="J11" s="73"/>
      <c r="K11" s="73"/>
      <c r="L11" s="73"/>
      <c r="M11" s="73"/>
      <c r="N11" s="73"/>
      <c r="O11" s="73"/>
    </row>
    <row r="12" spans="1:15" x14ac:dyDescent="0.2">
      <c r="A12" s="224"/>
      <c r="B12" s="228"/>
      <c r="C12" s="229"/>
      <c r="D12" s="229"/>
      <c r="E12" s="229"/>
      <c r="F12" s="229"/>
      <c r="G12" s="230"/>
      <c r="H12" s="73"/>
      <c r="I12" s="73"/>
      <c r="J12" s="73"/>
      <c r="K12" s="73"/>
      <c r="L12" s="73"/>
      <c r="M12" s="73"/>
      <c r="N12" s="73"/>
      <c r="O12" s="73"/>
    </row>
    <row r="13" spans="1:15" x14ac:dyDescent="0.2">
      <c r="A13" s="224"/>
      <c r="B13" s="228"/>
      <c r="C13" s="229"/>
      <c r="D13" s="229"/>
      <c r="E13" s="229"/>
      <c r="F13" s="229"/>
      <c r="G13" s="230"/>
      <c r="H13" s="71"/>
      <c r="I13" s="73"/>
      <c r="J13" s="73"/>
      <c r="K13" s="73"/>
      <c r="L13" s="73"/>
      <c r="M13" s="73"/>
      <c r="N13" s="73"/>
      <c r="O13" s="73"/>
    </row>
    <row r="14" spans="1:15" ht="13.5" thickBot="1" x14ac:dyDescent="0.25">
      <c r="A14" s="224"/>
      <c r="B14" s="231"/>
      <c r="C14" s="232"/>
      <c r="D14" s="232"/>
      <c r="E14" s="232"/>
      <c r="F14" s="232"/>
      <c r="G14" s="233"/>
      <c r="H14" s="77"/>
      <c r="I14" s="73"/>
      <c r="J14" s="73"/>
      <c r="K14" s="73"/>
      <c r="L14" s="73"/>
      <c r="M14" s="73"/>
      <c r="N14" s="73"/>
      <c r="O14" s="73"/>
    </row>
    <row r="15" spans="1:15" ht="13.5" thickBot="1" x14ac:dyDescent="0.25">
      <c r="A15" s="71"/>
      <c r="B15" s="71"/>
      <c r="C15" s="71"/>
      <c r="D15" s="71"/>
      <c r="E15" s="71"/>
      <c r="F15" s="71"/>
      <c r="G15" s="71"/>
      <c r="H15" s="77"/>
      <c r="I15" s="73"/>
      <c r="J15" s="73"/>
      <c r="K15" s="73"/>
      <c r="L15" s="73"/>
      <c r="M15" s="73"/>
      <c r="N15" s="73"/>
      <c r="O15" s="73"/>
    </row>
    <row r="16" spans="1:15" x14ac:dyDescent="0.2">
      <c r="A16" s="223" t="s">
        <v>44</v>
      </c>
      <c r="B16" s="225"/>
      <c r="C16" s="226"/>
      <c r="D16" s="226"/>
      <c r="E16" s="226"/>
      <c r="F16" s="226"/>
      <c r="G16" s="227"/>
      <c r="H16" s="73"/>
      <c r="I16" s="73"/>
      <c r="J16" s="73"/>
      <c r="K16" s="73"/>
      <c r="L16" s="73"/>
      <c r="M16" s="73"/>
      <c r="N16" s="73"/>
      <c r="O16" s="73"/>
    </row>
    <row r="17" spans="1:16" x14ac:dyDescent="0.2">
      <c r="A17" s="224"/>
      <c r="B17" s="228"/>
      <c r="C17" s="229"/>
      <c r="D17" s="229"/>
      <c r="E17" s="229"/>
      <c r="F17" s="229"/>
      <c r="G17" s="230"/>
      <c r="H17" s="73"/>
      <c r="I17" s="73"/>
      <c r="J17" s="73"/>
      <c r="K17" s="73"/>
      <c r="L17" s="73"/>
      <c r="M17" s="73"/>
      <c r="N17" s="73"/>
      <c r="O17" s="73"/>
    </row>
    <row r="18" spans="1:16" x14ac:dyDescent="0.2">
      <c r="A18" s="224"/>
      <c r="B18" s="228"/>
      <c r="C18" s="229"/>
      <c r="D18" s="229"/>
      <c r="E18" s="229"/>
      <c r="F18" s="229"/>
      <c r="G18" s="230"/>
      <c r="H18" s="71"/>
      <c r="I18" s="73"/>
      <c r="J18" s="73"/>
      <c r="K18" s="73"/>
      <c r="L18" s="73"/>
      <c r="M18" s="73"/>
      <c r="N18" s="73"/>
      <c r="O18" s="73"/>
    </row>
    <row r="19" spans="1:16" ht="13.5" thickBot="1" x14ac:dyDescent="0.25">
      <c r="A19" s="224"/>
      <c r="B19" s="231"/>
      <c r="C19" s="232"/>
      <c r="D19" s="232"/>
      <c r="E19" s="232"/>
      <c r="F19" s="232"/>
      <c r="G19" s="233"/>
      <c r="H19" s="77"/>
      <c r="I19" s="73"/>
      <c r="J19" s="73"/>
      <c r="K19" s="73"/>
      <c r="L19" s="73"/>
      <c r="M19" s="73"/>
      <c r="N19" s="73"/>
      <c r="O19" s="73"/>
    </row>
    <row r="20" spans="1:16" ht="13.5" thickBot="1" x14ac:dyDescent="0.25">
      <c r="A20" s="71"/>
      <c r="B20" s="71"/>
      <c r="C20" s="71"/>
      <c r="D20" s="71"/>
      <c r="E20" s="71"/>
      <c r="F20" s="71"/>
      <c r="G20" s="71"/>
      <c r="H20" s="77"/>
      <c r="I20" s="73"/>
      <c r="J20" s="73"/>
      <c r="K20" s="73"/>
      <c r="L20" s="73"/>
      <c r="M20" s="73"/>
      <c r="N20" s="73"/>
      <c r="O20" s="73"/>
    </row>
    <row r="21" spans="1:16" ht="12.75" customHeight="1" x14ac:dyDescent="0.2">
      <c r="A21" s="220" t="s">
        <v>48</v>
      </c>
      <c r="B21" s="221"/>
      <c r="C21" s="221"/>
      <c r="D21" s="221"/>
      <c r="E21" s="221"/>
      <c r="F21" s="221"/>
      <c r="G21" s="222"/>
      <c r="H21" s="220" t="s">
        <v>49</v>
      </c>
      <c r="I21" s="221"/>
      <c r="J21" s="221"/>
      <c r="K21" s="222"/>
      <c r="L21" s="220" t="s">
        <v>60</v>
      </c>
      <c r="M21" s="221"/>
      <c r="N21" s="221"/>
      <c r="O21" s="222"/>
      <c r="P21" s="100" t="s">
        <v>47</v>
      </c>
    </row>
    <row r="22" spans="1:16" ht="33" customHeight="1" thickBot="1" x14ac:dyDescent="0.25">
      <c r="A22" s="101" t="s">
        <v>50</v>
      </c>
      <c r="B22" s="212" t="s">
        <v>433</v>
      </c>
      <c r="C22" s="213"/>
      <c r="D22" s="213"/>
      <c r="E22" s="213"/>
      <c r="F22" s="213"/>
      <c r="G22" s="214"/>
      <c r="H22" s="216"/>
      <c r="I22" s="216"/>
      <c r="J22" s="216"/>
      <c r="K22" s="216"/>
      <c r="L22" s="216" t="s">
        <v>434</v>
      </c>
      <c r="M22" s="216"/>
      <c r="N22" s="216"/>
      <c r="O22" s="216"/>
      <c r="P22" s="95" t="s">
        <v>143</v>
      </c>
    </row>
    <row r="23" spans="1:16" ht="30.75" customHeight="1" thickBot="1" x14ac:dyDescent="0.25">
      <c r="A23" s="101" t="s">
        <v>51</v>
      </c>
      <c r="B23" s="212" t="s">
        <v>435</v>
      </c>
      <c r="C23" s="213"/>
      <c r="D23" s="213"/>
      <c r="E23" s="213"/>
      <c r="F23" s="213"/>
      <c r="G23" s="214"/>
      <c r="H23" s="216"/>
      <c r="I23" s="216"/>
      <c r="J23" s="216"/>
      <c r="K23" s="216"/>
      <c r="L23" s="216"/>
      <c r="M23" s="216"/>
      <c r="N23" s="216"/>
      <c r="O23" s="216"/>
      <c r="P23" s="95" t="s">
        <v>143</v>
      </c>
    </row>
    <row r="24" spans="1:16" ht="81" customHeight="1" thickBot="1" x14ac:dyDescent="0.25">
      <c r="A24" s="101" t="s">
        <v>52</v>
      </c>
      <c r="B24" s="212" t="s">
        <v>436</v>
      </c>
      <c r="C24" s="213"/>
      <c r="D24" s="213"/>
      <c r="E24" s="213"/>
      <c r="F24" s="213"/>
      <c r="G24" s="214"/>
      <c r="H24" s="216"/>
      <c r="I24" s="216"/>
      <c r="J24" s="216"/>
      <c r="K24" s="216"/>
      <c r="L24" s="216"/>
      <c r="M24" s="216"/>
      <c r="N24" s="216"/>
      <c r="O24" s="216"/>
      <c r="P24" s="95" t="s">
        <v>143</v>
      </c>
    </row>
    <row r="25" spans="1:16" ht="31.5" customHeight="1" thickBot="1" x14ac:dyDescent="0.25">
      <c r="A25" s="101" t="s">
        <v>53</v>
      </c>
      <c r="B25" s="212" t="s">
        <v>437</v>
      </c>
      <c r="C25" s="213"/>
      <c r="D25" s="213"/>
      <c r="E25" s="213"/>
      <c r="F25" s="213"/>
      <c r="G25" s="214"/>
      <c r="H25" s="216"/>
      <c r="I25" s="216"/>
      <c r="J25" s="216"/>
      <c r="K25" s="216"/>
      <c r="L25" s="216"/>
      <c r="M25" s="216"/>
      <c r="N25" s="216"/>
      <c r="O25" s="216"/>
      <c r="P25" s="95" t="s">
        <v>143</v>
      </c>
    </row>
    <row r="26" spans="1:16" ht="104.25" customHeight="1" thickBot="1" x14ac:dyDescent="0.25">
      <c r="A26" s="101" t="s">
        <v>54</v>
      </c>
      <c r="B26" s="212" t="s">
        <v>439</v>
      </c>
      <c r="C26" s="213"/>
      <c r="D26" s="213"/>
      <c r="E26" s="213"/>
      <c r="F26" s="213"/>
      <c r="G26" s="214"/>
      <c r="H26" s="216"/>
      <c r="I26" s="216"/>
      <c r="J26" s="216"/>
      <c r="K26" s="216"/>
      <c r="L26" s="216"/>
      <c r="M26" s="216"/>
      <c r="N26" s="216"/>
      <c r="O26" s="216"/>
      <c r="P26" s="95" t="s">
        <v>143</v>
      </c>
    </row>
    <row r="27" spans="1:16" ht="52.5" customHeight="1" thickBot="1" x14ac:dyDescent="0.25">
      <c r="A27" s="101" t="s">
        <v>55</v>
      </c>
      <c r="B27" s="212" t="s">
        <v>445</v>
      </c>
      <c r="C27" s="213"/>
      <c r="D27" s="213"/>
      <c r="E27" s="213"/>
      <c r="F27" s="213"/>
      <c r="G27" s="214"/>
      <c r="H27" s="244"/>
      <c r="I27" s="245"/>
      <c r="J27" s="245"/>
      <c r="K27" s="245"/>
      <c r="L27" s="244"/>
      <c r="M27" s="245"/>
      <c r="N27" s="245"/>
      <c r="O27" s="246"/>
      <c r="P27" s="95" t="s">
        <v>143</v>
      </c>
    </row>
    <row r="28" spans="1:16" ht="61.5" customHeight="1" thickBot="1" x14ac:dyDescent="0.25">
      <c r="A28" s="101" t="s">
        <v>56</v>
      </c>
      <c r="B28" s="212" t="s">
        <v>446</v>
      </c>
      <c r="C28" s="213"/>
      <c r="D28" s="213"/>
      <c r="E28" s="213"/>
      <c r="F28" s="213"/>
      <c r="G28" s="214"/>
      <c r="H28" s="216"/>
      <c r="I28" s="216"/>
      <c r="J28" s="216"/>
      <c r="K28" s="216"/>
      <c r="L28" s="216"/>
      <c r="M28" s="216"/>
      <c r="N28" s="216"/>
      <c r="O28" s="216"/>
      <c r="P28" s="95" t="s">
        <v>143</v>
      </c>
    </row>
    <row r="29" spans="1:16" ht="33" customHeight="1" thickBot="1" x14ac:dyDescent="0.25">
      <c r="A29" s="101" t="s">
        <v>57</v>
      </c>
      <c r="B29" s="212" t="s">
        <v>450</v>
      </c>
      <c r="C29" s="213"/>
      <c r="D29" s="213"/>
      <c r="E29" s="213"/>
      <c r="F29" s="213"/>
      <c r="G29" s="214"/>
      <c r="H29" s="216"/>
      <c r="I29" s="216"/>
      <c r="J29" s="216"/>
      <c r="K29" s="216"/>
      <c r="L29" s="216" t="s">
        <v>451</v>
      </c>
      <c r="M29" s="216"/>
      <c r="N29" s="216"/>
      <c r="O29" s="216"/>
      <c r="P29" s="95" t="s">
        <v>143</v>
      </c>
    </row>
    <row r="30" spans="1:16" ht="68.25" customHeight="1" thickBot="1" x14ac:dyDescent="0.25">
      <c r="A30" s="102" t="s">
        <v>58</v>
      </c>
      <c r="B30" s="212" t="s">
        <v>452</v>
      </c>
      <c r="C30" s="213"/>
      <c r="D30" s="213"/>
      <c r="E30" s="213"/>
      <c r="F30" s="213"/>
      <c r="G30" s="214"/>
      <c r="H30" s="215"/>
      <c r="I30" s="215"/>
      <c r="J30" s="215"/>
      <c r="K30" s="215"/>
      <c r="L30" s="215"/>
      <c r="M30" s="215"/>
      <c r="N30" s="215"/>
      <c r="O30" s="215"/>
      <c r="P30" s="95" t="s">
        <v>143</v>
      </c>
    </row>
    <row r="31" spans="1:16" ht="59.25" customHeight="1" thickBot="1" x14ac:dyDescent="0.25">
      <c r="A31" s="102" t="s">
        <v>145</v>
      </c>
      <c r="B31" s="212" t="s">
        <v>457</v>
      </c>
      <c r="C31" s="213"/>
      <c r="D31" s="213"/>
      <c r="E31" s="213"/>
      <c r="F31" s="213"/>
      <c r="G31" s="214"/>
      <c r="H31" s="216"/>
      <c r="I31" s="216"/>
      <c r="J31" s="216"/>
      <c r="K31" s="216"/>
      <c r="L31" s="216" t="s">
        <v>458</v>
      </c>
      <c r="M31" s="216"/>
      <c r="N31" s="216"/>
      <c r="O31" s="216"/>
      <c r="P31" s="95"/>
    </row>
    <row r="32" spans="1:16" ht="55.5" customHeight="1" thickBot="1" x14ac:dyDescent="0.25">
      <c r="A32" s="102" t="s">
        <v>146</v>
      </c>
      <c r="B32" s="217"/>
      <c r="C32" s="218"/>
      <c r="D32" s="218"/>
      <c r="E32" s="218"/>
      <c r="F32" s="218"/>
      <c r="G32" s="219"/>
      <c r="H32" s="216"/>
      <c r="I32" s="216"/>
      <c r="J32" s="216"/>
      <c r="K32" s="216"/>
      <c r="L32" s="216"/>
      <c r="M32" s="216"/>
      <c r="N32" s="216"/>
      <c r="O32" s="216"/>
      <c r="P32" s="95"/>
    </row>
    <row r="33" spans="1:16" ht="45.75" customHeight="1" thickBot="1" x14ac:dyDescent="0.25">
      <c r="A33" s="102" t="s">
        <v>147</v>
      </c>
      <c r="B33" s="212"/>
      <c r="C33" s="213"/>
      <c r="D33" s="213"/>
      <c r="E33" s="213"/>
      <c r="F33" s="213"/>
      <c r="G33" s="214"/>
      <c r="H33" s="215"/>
      <c r="I33" s="215"/>
      <c r="J33" s="215"/>
      <c r="K33" s="215"/>
      <c r="L33" s="215"/>
      <c r="M33" s="215"/>
      <c r="N33" s="215"/>
      <c r="O33" s="215"/>
      <c r="P33" s="95"/>
    </row>
    <row r="34" spans="1:16" ht="45.75" customHeight="1" thickBot="1" x14ac:dyDescent="0.25">
      <c r="A34" s="102" t="s">
        <v>148</v>
      </c>
      <c r="B34" s="217"/>
      <c r="C34" s="218"/>
      <c r="D34" s="218"/>
      <c r="E34" s="218"/>
      <c r="F34" s="218"/>
      <c r="G34" s="219"/>
      <c r="H34" s="216"/>
      <c r="I34" s="216"/>
      <c r="J34" s="216"/>
      <c r="K34" s="216"/>
      <c r="L34" s="216"/>
      <c r="M34" s="216"/>
      <c r="N34" s="216"/>
      <c r="O34" s="216"/>
      <c r="P34" s="95"/>
    </row>
    <row r="35" spans="1:16" ht="48" customHeight="1" thickBot="1" x14ac:dyDescent="0.25">
      <c r="A35" s="102" t="s">
        <v>149</v>
      </c>
      <c r="B35" s="217"/>
      <c r="C35" s="218"/>
      <c r="D35" s="218"/>
      <c r="E35" s="218"/>
      <c r="F35" s="218"/>
      <c r="G35" s="219"/>
      <c r="H35" s="216"/>
      <c r="I35" s="216"/>
      <c r="J35" s="216"/>
      <c r="K35" s="216"/>
      <c r="L35" s="216"/>
      <c r="M35" s="216"/>
      <c r="N35" s="216"/>
      <c r="O35" s="216"/>
      <c r="P35" s="95"/>
    </row>
    <row r="36" spans="1:16" ht="45.75" customHeight="1" thickBot="1" x14ac:dyDescent="0.25">
      <c r="A36" s="102" t="s">
        <v>150</v>
      </c>
      <c r="B36" s="212"/>
      <c r="C36" s="213"/>
      <c r="D36" s="213"/>
      <c r="E36" s="213"/>
      <c r="F36" s="213"/>
      <c r="G36" s="214"/>
      <c r="H36" s="215"/>
      <c r="I36" s="215"/>
      <c r="J36" s="215"/>
      <c r="K36" s="215"/>
      <c r="L36" s="216"/>
      <c r="M36" s="216"/>
      <c r="N36" s="216"/>
      <c r="O36" s="216"/>
      <c r="P36" s="96"/>
    </row>
    <row r="37" spans="1:16" ht="66" customHeight="1" thickBot="1" x14ac:dyDescent="0.25">
      <c r="A37" s="102" t="s">
        <v>151</v>
      </c>
      <c r="B37" s="212"/>
      <c r="C37" s="213"/>
      <c r="D37" s="213"/>
      <c r="E37" s="213"/>
      <c r="F37" s="213"/>
      <c r="G37" s="214"/>
      <c r="H37" s="215"/>
      <c r="I37" s="215"/>
      <c r="J37" s="215"/>
      <c r="K37" s="215"/>
      <c r="L37" s="216"/>
      <c r="M37" s="216"/>
      <c r="N37" s="216"/>
      <c r="O37" s="216"/>
      <c r="P37" s="96"/>
    </row>
    <row r="38" spans="1:16" ht="45.75" customHeight="1" thickBot="1" x14ac:dyDescent="0.25">
      <c r="A38" s="102" t="s">
        <v>152</v>
      </c>
      <c r="B38" s="212"/>
      <c r="C38" s="213"/>
      <c r="D38" s="213"/>
      <c r="E38" s="213"/>
      <c r="F38" s="213"/>
      <c r="G38" s="214"/>
      <c r="H38" s="215"/>
      <c r="I38" s="215"/>
      <c r="J38" s="215"/>
      <c r="K38" s="215"/>
      <c r="L38" s="215"/>
      <c r="M38" s="215"/>
      <c r="N38" s="215"/>
      <c r="O38" s="215"/>
      <c r="P38" s="96"/>
    </row>
    <row r="39" spans="1:16" ht="45.75" customHeight="1" thickBot="1" x14ac:dyDescent="0.25">
      <c r="A39" s="102" t="s">
        <v>153</v>
      </c>
      <c r="B39" s="212"/>
      <c r="C39" s="213"/>
      <c r="D39" s="213"/>
      <c r="E39" s="213"/>
      <c r="F39" s="213"/>
      <c r="G39" s="214"/>
      <c r="H39" s="215"/>
      <c r="I39" s="215"/>
      <c r="J39" s="215"/>
      <c r="K39" s="215"/>
      <c r="L39" s="215"/>
      <c r="M39" s="215"/>
      <c r="N39" s="215"/>
      <c r="O39" s="215"/>
      <c r="P39" s="96"/>
    </row>
    <row r="40" spans="1:16" ht="45.75" customHeight="1" thickBot="1" x14ac:dyDescent="0.25">
      <c r="A40" s="102" t="s">
        <v>184</v>
      </c>
      <c r="B40" s="212"/>
      <c r="C40" s="213"/>
      <c r="D40" s="213"/>
      <c r="E40" s="213"/>
      <c r="F40" s="213"/>
      <c r="G40" s="214"/>
      <c r="H40" s="215"/>
      <c r="I40" s="215"/>
      <c r="J40" s="215"/>
      <c r="K40" s="215"/>
      <c r="L40" s="215"/>
      <c r="M40" s="215"/>
      <c r="N40" s="215"/>
      <c r="O40" s="215"/>
      <c r="P40" s="96"/>
    </row>
    <row r="41" spans="1:16" ht="45.75" customHeight="1" thickBot="1" x14ac:dyDescent="0.25">
      <c r="A41" s="102" t="s">
        <v>185</v>
      </c>
      <c r="B41" s="212"/>
      <c r="C41" s="213"/>
      <c r="D41" s="213"/>
      <c r="E41" s="213"/>
      <c r="F41" s="213"/>
      <c r="G41" s="214"/>
      <c r="H41" s="215"/>
      <c r="I41" s="215"/>
      <c r="J41" s="215"/>
      <c r="K41" s="215"/>
      <c r="L41" s="215"/>
      <c r="M41" s="215"/>
      <c r="N41" s="215"/>
      <c r="O41" s="215"/>
      <c r="P41" s="96"/>
    </row>
    <row r="42" spans="1:16" ht="45.75" customHeight="1" thickBot="1" x14ac:dyDescent="0.25">
      <c r="A42" s="102" t="s">
        <v>186</v>
      </c>
      <c r="B42" s="212"/>
      <c r="C42" s="213"/>
      <c r="D42" s="213"/>
      <c r="E42" s="213"/>
      <c r="F42" s="213"/>
      <c r="G42" s="214"/>
      <c r="H42" s="215"/>
      <c r="I42" s="215"/>
      <c r="J42" s="215"/>
      <c r="K42" s="215"/>
      <c r="L42" s="215"/>
      <c r="M42" s="215"/>
      <c r="N42" s="215"/>
      <c r="O42" s="215"/>
      <c r="P42" s="96"/>
    </row>
    <row r="43" spans="1:16" ht="45.75" customHeight="1" thickBot="1" x14ac:dyDescent="0.25">
      <c r="A43" s="102" t="s">
        <v>187</v>
      </c>
      <c r="B43" s="212"/>
      <c r="C43" s="213"/>
      <c r="D43" s="213"/>
      <c r="E43" s="213"/>
      <c r="F43" s="213"/>
      <c r="G43" s="214"/>
      <c r="H43" s="215"/>
      <c r="I43" s="215"/>
      <c r="J43" s="215"/>
      <c r="K43" s="215"/>
      <c r="L43" s="215"/>
      <c r="M43" s="215"/>
      <c r="N43" s="215"/>
      <c r="O43" s="215"/>
      <c r="P43" s="96"/>
    </row>
    <row r="44" spans="1:16" ht="45.75" customHeight="1" thickBot="1" x14ac:dyDescent="0.25">
      <c r="A44" s="102" t="s">
        <v>188</v>
      </c>
      <c r="B44" s="212"/>
      <c r="C44" s="213"/>
      <c r="D44" s="213"/>
      <c r="E44" s="213"/>
      <c r="F44" s="213"/>
      <c r="G44" s="214"/>
      <c r="H44" s="215"/>
      <c r="I44" s="215"/>
      <c r="J44" s="215"/>
      <c r="K44" s="215"/>
      <c r="L44" s="215"/>
      <c r="M44" s="215"/>
      <c r="N44" s="215"/>
      <c r="O44" s="215"/>
      <c r="P44" s="96"/>
    </row>
    <row r="45" spans="1:16" ht="45.75" customHeight="1" thickBot="1" x14ac:dyDescent="0.25">
      <c r="A45" s="102" t="s">
        <v>189</v>
      </c>
      <c r="B45" s="212"/>
      <c r="C45" s="213"/>
      <c r="D45" s="213"/>
      <c r="E45" s="213"/>
      <c r="F45" s="213"/>
      <c r="G45" s="214"/>
      <c r="H45" s="215"/>
      <c r="I45" s="215"/>
      <c r="J45" s="215"/>
      <c r="K45" s="215"/>
      <c r="L45" s="215"/>
      <c r="M45" s="215"/>
      <c r="N45" s="215"/>
      <c r="O45" s="215"/>
      <c r="P45" s="96"/>
    </row>
    <row r="46" spans="1:16" ht="45.75" customHeight="1" thickBot="1" x14ac:dyDescent="0.25">
      <c r="A46" s="102" t="s">
        <v>190</v>
      </c>
      <c r="B46" s="212"/>
      <c r="C46" s="213"/>
      <c r="D46" s="213"/>
      <c r="E46" s="213"/>
      <c r="F46" s="213"/>
      <c r="G46" s="214"/>
      <c r="H46" s="215"/>
      <c r="I46" s="215"/>
      <c r="J46" s="215"/>
      <c r="K46" s="215"/>
      <c r="L46" s="215"/>
      <c r="M46" s="215"/>
      <c r="N46" s="215"/>
      <c r="O46" s="215"/>
      <c r="P46" s="96"/>
    </row>
    <row r="47" spans="1:16" ht="45.75" customHeight="1" thickBot="1" x14ac:dyDescent="0.25">
      <c r="A47" s="102" t="s">
        <v>191</v>
      </c>
      <c r="B47" s="212"/>
      <c r="C47" s="213"/>
      <c r="D47" s="213"/>
      <c r="E47" s="213"/>
      <c r="F47" s="213"/>
      <c r="G47" s="214"/>
      <c r="H47" s="215"/>
      <c r="I47" s="215"/>
      <c r="J47" s="215"/>
      <c r="K47" s="215"/>
      <c r="L47" s="215"/>
      <c r="M47" s="215"/>
      <c r="N47" s="215"/>
      <c r="O47" s="215"/>
      <c r="P47" s="96"/>
    </row>
    <row r="48" spans="1:16" ht="45.75" customHeight="1" thickBot="1" x14ac:dyDescent="0.25">
      <c r="A48" s="102" t="s">
        <v>192</v>
      </c>
      <c r="B48" s="212"/>
      <c r="C48" s="213"/>
      <c r="D48" s="213"/>
      <c r="E48" s="213"/>
      <c r="F48" s="213"/>
      <c r="G48" s="214"/>
      <c r="H48" s="215"/>
      <c r="I48" s="215"/>
      <c r="J48" s="215"/>
      <c r="K48" s="215"/>
      <c r="L48" s="215"/>
      <c r="M48" s="215"/>
      <c r="N48" s="215"/>
      <c r="O48" s="215"/>
      <c r="P48" s="96"/>
    </row>
    <row r="49" spans="1:16" ht="45.75" customHeight="1" thickBot="1" x14ac:dyDescent="0.25">
      <c r="A49" s="102" t="s">
        <v>193</v>
      </c>
      <c r="B49" s="212"/>
      <c r="C49" s="213"/>
      <c r="D49" s="213"/>
      <c r="E49" s="213"/>
      <c r="F49" s="213"/>
      <c r="G49" s="214"/>
      <c r="H49" s="215"/>
      <c r="I49" s="215"/>
      <c r="J49" s="215"/>
      <c r="K49" s="215"/>
      <c r="L49" s="215"/>
      <c r="M49" s="215"/>
      <c r="N49" s="215"/>
      <c r="O49" s="215"/>
      <c r="P49" s="96"/>
    </row>
    <row r="50" spans="1:16" ht="45.75" customHeight="1" thickBot="1" x14ac:dyDescent="0.25">
      <c r="A50" s="102" t="s">
        <v>194</v>
      </c>
      <c r="B50" s="212"/>
      <c r="C50" s="213"/>
      <c r="D50" s="213"/>
      <c r="E50" s="213"/>
      <c r="F50" s="213"/>
      <c r="G50" s="214"/>
      <c r="H50" s="215"/>
      <c r="I50" s="215"/>
      <c r="J50" s="215"/>
      <c r="K50" s="215"/>
      <c r="L50" s="215"/>
      <c r="M50" s="215"/>
      <c r="N50" s="215"/>
      <c r="O50" s="215"/>
      <c r="P50" s="96"/>
    </row>
  </sheetData>
  <mergeCells count="97">
    <mergeCell ref="B49:G49"/>
    <mergeCell ref="H49:K49"/>
    <mergeCell ref="L49:O49"/>
    <mergeCell ref="B50:G50"/>
    <mergeCell ref="H50:K50"/>
    <mergeCell ref="L50:O50"/>
    <mergeCell ref="B47:G47"/>
    <mergeCell ref="H47:K47"/>
    <mergeCell ref="L47:O47"/>
    <mergeCell ref="B48:G48"/>
    <mergeCell ref="H48:K48"/>
    <mergeCell ref="L48:O48"/>
    <mergeCell ref="B45:G45"/>
    <mergeCell ref="H45:K45"/>
    <mergeCell ref="L45:O45"/>
    <mergeCell ref="B46:G46"/>
    <mergeCell ref="H46:K46"/>
    <mergeCell ref="L46:O46"/>
    <mergeCell ref="B43:G43"/>
    <mergeCell ref="H43:K43"/>
    <mergeCell ref="L43:O43"/>
    <mergeCell ref="B44:G44"/>
    <mergeCell ref="H44:K44"/>
    <mergeCell ref="L44:O44"/>
    <mergeCell ref="B41:G41"/>
    <mergeCell ref="H41:K41"/>
    <mergeCell ref="L41:O41"/>
    <mergeCell ref="B42:G42"/>
    <mergeCell ref="H42:K42"/>
    <mergeCell ref="L42:O42"/>
    <mergeCell ref="B39:G39"/>
    <mergeCell ref="H39:K39"/>
    <mergeCell ref="L39:O39"/>
    <mergeCell ref="B40:G40"/>
    <mergeCell ref="H40:K40"/>
    <mergeCell ref="L40:O40"/>
    <mergeCell ref="B37:G37"/>
    <mergeCell ref="H37:K37"/>
    <mergeCell ref="L37:O37"/>
    <mergeCell ref="B38:G38"/>
    <mergeCell ref="H38:K38"/>
    <mergeCell ref="L38:O38"/>
    <mergeCell ref="B35:G35"/>
    <mergeCell ref="H35:K35"/>
    <mergeCell ref="L35:O35"/>
    <mergeCell ref="B36:G36"/>
    <mergeCell ref="H36:K36"/>
    <mergeCell ref="L36:O36"/>
    <mergeCell ref="B33:G33"/>
    <mergeCell ref="H33:K33"/>
    <mergeCell ref="L33:O33"/>
    <mergeCell ref="B34:G34"/>
    <mergeCell ref="H34:K34"/>
    <mergeCell ref="L34:O34"/>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B9:B10">
    <cfRule type="cellIs" dxfId="218" priority="33" operator="equal">
      <formula>"Nok"</formula>
    </cfRule>
    <cfRule type="cellIs" dxfId="217" priority="34" operator="equal">
      <formula>"Ok"</formula>
    </cfRule>
  </conditionalFormatting>
  <conditionalFormatting sqref="P22:P30">
    <cfRule type="cellIs" dxfId="216" priority="31" operator="equal">
      <formula>"Nok"</formula>
    </cfRule>
    <cfRule type="cellIs" dxfId="215" priority="32" operator="equal">
      <formula>"Ok"</formula>
    </cfRule>
  </conditionalFormatting>
  <conditionalFormatting sqref="P31:P35">
    <cfRule type="cellIs" dxfId="214" priority="29" operator="equal">
      <formula>"Nok"</formula>
    </cfRule>
    <cfRule type="cellIs" dxfId="213" priority="30" operator="equal">
      <formula>"Ok"</formula>
    </cfRule>
  </conditionalFormatting>
  <conditionalFormatting sqref="P36:P37">
    <cfRule type="cellIs" dxfId="212" priority="27" operator="equal">
      <formula>"Nok"</formula>
    </cfRule>
    <cfRule type="cellIs" dxfId="211" priority="28" operator="equal">
      <formula>"Ok"</formula>
    </cfRule>
  </conditionalFormatting>
  <conditionalFormatting sqref="P38">
    <cfRule type="cellIs" dxfId="210" priority="25" operator="equal">
      <formula>"Nok"</formula>
    </cfRule>
    <cfRule type="cellIs" dxfId="209" priority="26" operator="equal">
      <formula>"Ok"</formula>
    </cfRule>
  </conditionalFormatting>
  <conditionalFormatting sqref="P39">
    <cfRule type="cellIs" dxfId="208" priority="23" operator="equal">
      <formula>"Nok"</formula>
    </cfRule>
    <cfRule type="cellIs" dxfId="207" priority="24" operator="equal">
      <formula>"Ok"</formula>
    </cfRule>
  </conditionalFormatting>
  <conditionalFormatting sqref="P40">
    <cfRule type="cellIs" dxfId="206" priority="21" operator="equal">
      <formula>"Nok"</formula>
    </cfRule>
    <cfRule type="cellIs" dxfId="205" priority="22" operator="equal">
      <formula>"Ok"</formula>
    </cfRule>
  </conditionalFormatting>
  <conditionalFormatting sqref="P41">
    <cfRule type="cellIs" dxfId="204" priority="19" operator="equal">
      <formula>"Nok"</formula>
    </cfRule>
    <cfRule type="cellIs" dxfId="203" priority="20" operator="equal">
      <formula>"Ok"</formula>
    </cfRule>
  </conditionalFormatting>
  <conditionalFormatting sqref="P42">
    <cfRule type="cellIs" dxfId="202" priority="17" operator="equal">
      <formula>"Nok"</formula>
    </cfRule>
    <cfRule type="cellIs" dxfId="201" priority="18" operator="equal">
      <formula>"Ok"</formula>
    </cfRule>
  </conditionalFormatting>
  <conditionalFormatting sqref="P43">
    <cfRule type="cellIs" dxfId="200" priority="15" operator="equal">
      <formula>"Nok"</formula>
    </cfRule>
    <cfRule type="cellIs" dxfId="199" priority="16" operator="equal">
      <formula>"Ok"</formula>
    </cfRule>
  </conditionalFormatting>
  <conditionalFormatting sqref="P44">
    <cfRule type="cellIs" dxfId="198" priority="13" operator="equal">
      <formula>"Nok"</formula>
    </cfRule>
    <cfRule type="cellIs" dxfId="197" priority="14" operator="equal">
      <formula>"Ok"</formula>
    </cfRule>
  </conditionalFormatting>
  <conditionalFormatting sqref="P45">
    <cfRule type="cellIs" dxfId="196" priority="11" operator="equal">
      <formula>"Nok"</formula>
    </cfRule>
    <cfRule type="cellIs" dxfId="195" priority="12" operator="equal">
      <formula>"Ok"</formula>
    </cfRule>
  </conditionalFormatting>
  <conditionalFormatting sqref="P46">
    <cfRule type="cellIs" dxfId="194" priority="9" operator="equal">
      <formula>"Nok"</formula>
    </cfRule>
    <cfRule type="cellIs" dxfId="193" priority="10" operator="equal">
      <formula>"Ok"</formula>
    </cfRule>
  </conditionalFormatting>
  <conditionalFormatting sqref="P47">
    <cfRule type="cellIs" dxfId="192" priority="7" operator="equal">
      <formula>"Nok"</formula>
    </cfRule>
    <cfRule type="cellIs" dxfId="191" priority="8" operator="equal">
      <formula>"Ok"</formula>
    </cfRule>
  </conditionalFormatting>
  <conditionalFormatting sqref="P48">
    <cfRule type="cellIs" dxfId="190" priority="5" operator="equal">
      <formula>"Nok"</formula>
    </cfRule>
    <cfRule type="cellIs" dxfId="189" priority="6" operator="equal">
      <formula>"Ok"</formula>
    </cfRule>
  </conditionalFormatting>
  <conditionalFormatting sqref="P49">
    <cfRule type="cellIs" dxfId="188" priority="3" operator="equal">
      <formula>"Nok"</formula>
    </cfRule>
    <cfRule type="cellIs" dxfId="187" priority="4" operator="equal">
      <formula>"Ok"</formula>
    </cfRule>
  </conditionalFormatting>
  <conditionalFormatting sqref="P50">
    <cfRule type="cellIs" dxfId="186" priority="1" operator="equal">
      <formula>"Nok"</formula>
    </cfRule>
    <cfRule type="cellIs" dxfId="185" priority="2" operator="equal">
      <formula>"Ok"</formula>
    </cfRule>
  </conditionalFormatting>
  <dataValidations count="3">
    <dataValidation type="list" allowBlank="1" showInputMessage="1" showErrorMessage="1" sqref="B9">
      <formula1>"Ok, Nok, Not run, NA"</formula1>
    </dataValidation>
    <dataValidation type="list" allowBlank="1" showInputMessage="1" showErrorMessage="1" sqref="B5">
      <formula1>"Nominal, Robustness, Endurance, Qualification"</formula1>
    </dataValidation>
    <dataValidation type="list" allowBlank="1" showInputMessage="1" showErrorMessage="1" sqref="P22:P50">
      <formula1>"Ok, Nok, Not run, ,"</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topLeftCell="A10" workbookViewId="0">
      <selection activeCell="H13" sqref="H13"/>
    </sheetView>
  </sheetViews>
  <sheetFormatPr defaultRowHeight="12.75" x14ac:dyDescent="0.2"/>
  <cols>
    <col min="1" max="1" width="20.140625" style="97" customWidth="1"/>
    <col min="2" max="2" width="18.42578125" style="93" customWidth="1"/>
    <col min="3" max="7" width="9.140625" style="93"/>
    <col min="8" max="15" width="9.5703125" style="93" customWidth="1"/>
    <col min="16" max="16384" width="9.140625" style="93"/>
  </cols>
  <sheetData>
    <row r="1" spans="1:15" ht="13.5" thickBot="1" x14ac:dyDescent="0.25">
      <c r="A1" s="98" t="s">
        <v>41</v>
      </c>
      <c r="B1" s="234" t="s">
        <v>442</v>
      </c>
      <c r="C1" s="235"/>
      <c r="D1" s="235"/>
      <c r="E1" s="235"/>
      <c r="F1" s="235"/>
      <c r="G1" s="236"/>
      <c r="H1" s="73"/>
      <c r="I1" s="73"/>
      <c r="J1" s="73"/>
      <c r="K1" s="73"/>
      <c r="L1" s="73"/>
      <c r="M1" s="73"/>
      <c r="N1" s="73"/>
      <c r="O1" s="73"/>
    </row>
    <row r="2" spans="1:15" ht="13.5" thickBot="1" x14ac:dyDescent="0.25">
      <c r="A2" s="71"/>
      <c r="B2" s="72"/>
      <c r="C2" s="72"/>
      <c r="D2" s="73"/>
      <c r="E2" s="73"/>
      <c r="F2" s="73"/>
      <c r="G2" s="73"/>
      <c r="H2" s="73"/>
      <c r="I2" s="73"/>
      <c r="J2" s="73"/>
      <c r="K2" s="73"/>
      <c r="L2" s="73"/>
      <c r="M2" s="73"/>
      <c r="N2" s="73"/>
      <c r="O2" s="73"/>
    </row>
    <row r="3" spans="1:15" ht="61.5" customHeight="1" thickBot="1" x14ac:dyDescent="0.25">
      <c r="A3" s="99" t="s">
        <v>46</v>
      </c>
      <c r="B3" s="237" t="s">
        <v>459</v>
      </c>
      <c r="C3" s="238"/>
      <c r="D3" s="238"/>
      <c r="E3" s="238"/>
      <c r="F3" s="238"/>
      <c r="G3" s="239"/>
      <c r="H3" s="73"/>
      <c r="I3" s="73"/>
      <c r="J3" s="73"/>
      <c r="K3" s="73"/>
      <c r="L3" s="73"/>
      <c r="M3" s="73"/>
      <c r="N3" s="73"/>
      <c r="O3" s="73"/>
    </row>
    <row r="4" spans="1:15" ht="13.5" thickBot="1" x14ac:dyDescent="0.25">
      <c r="A4" s="71"/>
      <c r="B4" s="72"/>
      <c r="C4" s="72"/>
      <c r="D4" s="73"/>
      <c r="E4" s="73"/>
      <c r="F4" s="73"/>
      <c r="G4" s="73"/>
      <c r="H4" s="73"/>
      <c r="I4" s="73"/>
      <c r="J4" s="73"/>
      <c r="K4" s="73"/>
      <c r="L4" s="73"/>
      <c r="M4" s="73"/>
      <c r="N4" s="73"/>
      <c r="O4" s="73"/>
    </row>
    <row r="5" spans="1:15" ht="13.5" thickBot="1" x14ac:dyDescent="0.25">
      <c r="A5" s="98" t="s">
        <v>111</v>
      </c>
      <c r="B5" s="76" t="s">
        <v>142</v>
      </c>
      <c r="C5" s="72"/>
      <c r="D5" s="73"/>
      <c r="E5" s="73"/>
      <c r="F5" s="73"/>
      <c r="G5" s="73"/>
      <c r="H5" s="73"/>
      <c r="I5" s="73"/>
      <c r="J5" s="73"/>
      <c r="K5" s="73"/>
      <c r="L5" s="73"/>
      <c r="M5" s="73"/>
      <c r="N5" s="73"/>
      <c r="O5" s="73"/>
    </row>
    <row r="6" spans="1:15" ht="13.5" thickBot="1" x14ac:dyDescent="0.25">
      <c r="A6" s="71"/>
      <c r="B6" s="72"/>
      <c r="C6" s="72"/>
      <c r="D6" s="73"/>
      <c r="E6" s="73"/>
      <c r="F6" s="73"/>
      <c r="G6" s="73"/>
      <c r="H6" s="73"/>
      <c r="I6" s="73"/>
      <c r="J6" s="73"/>
      <c r="K6" s="73"/>
      <c r="L6" s="73"/>
      <c r="M6" s="73"/>
      <c r="N6" s="73"/>
      <c r="O6" s="73"/>
    </row>
    <row r="7" spans="1:15" ht="30.75" customHeight="1" thickBot="1" x14ac:dyDescent="0.25">
      <c r="A7" s="98" t="s">
        <v>42</v>
      </c>
      <c r="B7" s="237" t="s">
        <v>432</v>
      </c>
      <c r="C7" s="238"/>
      <c r="D7" s="238"/>
      <c r="E7" s="238"/>
      <c r="F7" s="238"/>
      <c r="G7" s="239"/>
      <c r="H7" s="73"/>
      <c r="I7" s="73"/>
      <c r="J7" s="73"/>
      <c r="K7" s="73"/>
      <c r="L7" s="73"/>
      <c r="M7" s="73"/>
      <c r="N7" s="73"/>
      <c r="O7" s="73"/>
    </row>
    <row r="8" spans="1:15" ht="13.5" thickBot="1" x14ac:dyDescent="0.25">
      <c r="A8" s="75"/>
      <c r="B8" s="74"/>
      <c r="C8" s="74"/>
      <c r="D8" s="74"/>
      <c r="E8" s="74"/>
      <c r="F8" s="74"/>
      <c r="G8" s="74"/>
      <c r="H8" s="73"/>
      <c r="I8" s="73"/>
      <c r="J8" s="73"/>
      <c r="K8" s="73"/>
      <c r="L8" s="73"/>
      <c r="M8" s="73"/>
      <c r="N8" s="73"/>
      <c r="O8" s="73"/>
    </row>
    <row r="9" spans="1:15" ht="13.5" thickBot="1" x14ac:dyDescent="0.25">
      <c r="A9" s="98" t="s">
        <v>43</v>
      </c>
      <c r="B9" s="103" t="s">
        <v>144</v>
      </c>
      <c r="C9" s="72"/>
      <c r="D9" s="73"/>
      <c r="E9" s="73"/>
      <c r="F9" s="73"/>
      <c r="G9" s="73"/>
      <c r="H9" s="73"/>
      <c r="I9" s="73"/>
      <c r="J9" s="73"/>
      <c r="K9" s="73"/>
      <c r="L9" s="73"/>
      <c r="M9" s="73"/>
      <c r="N9" s="73"/>
      <c r="O9" s="73"/>
    </row>
    <row r="10" spans="1:15" ht="13.5" thickBot="1" x14ac:dyDescent="0.25">
      <c r="A10" s="75"/>
      <c r="B10" s="94"/>
      <c r="C10" s="72"/>
      <c r="D10" s="73"/>
      <c r="E10" s="73"/>
      <c r="F10" s="73"/>
      <c r="G10" s="73"/>
      <c r="H10" s="73"/>
      <c r="I10" s="73"/>
      <c r="J10" s="73"/>
      <c r="K10" s="73"/>
      <c r="L10" s="73"/>
      <c r="M10" s="73"/>
      <c r="N10" s="73"/>
      <c r="O10" s="73"/>
    </row>
    <row r="11" spans="1:15" ht="12" customHeight="1" x14ac:dyDescent="0.2">
      <c r="A11" s="223" t="s">
        <v>113</v>
      </c>
      <c r="B11" s="225"/>
      <c r="C11" s="226"/>
      <c r="D11" s="226"/>
      <c r="E11" s="226"/>
      <c r="F11" s="226"/>
      <c r="G11" s="227"/>
      <c r="H11" s="73"/>
      <c r="I11" s="73"/>
      <c r="J11" s="73"/>
      <c r="K11" s="73"/>
      <c r="L11" s="73"/>
      <c r="M11" s="73"/>
      <c r="N11" s="73"/>
      <c r="O11" s="73"/>
    </row>
    <row r="12" spans="1:15" x14ac:dyDescent="0.2">
      <c r="A12" s="224"/>
      <c r="B12" s="228"/>
      <c r="C12" s="229"/>
      <c r="D12" s="229"/>
      <c r="E12" s="229"/>
      <c r="F12" s="229"/>
      <c r="G12" s="230"/>
      <c r="H12" s="73"/>
      <c r="I12" s="73"/>
      <c r="J12" s="73"/>
      <c r="K12" s="73"/>
      <c r="L12" s="73"/>
      <c r="M12" s="73"/>
      <c r="N12" s="73"/>
      <c r="O12" s="73"/>
    </row>
    <row r="13" spans="1:15" x14ac:dyDescent="0.2">
      <c r="A13" s="224"/>
      <c r="B13" s="228"/>
      <c r="C13" s="229"/>
      <c r="D13" s="229"/>
      <c r="E13" s="229"/>
      <c r="F13" s="229"/>
      <c r="G13" s="230"/>
      <c r="H13" s="71"/>
      <c r="I13" s="73"/>
      <c r="J13" s="73"/>
      <c r="K13" s="73"/>
      <c r="L13" s="73"/>
      <c r="M13" s="73"/>
      <c r="N13" s="73"/>
      <c r="O13" s="73"/>
    </row>
    <row r="14" spans="1:15" ht="13.5" thickBot="1" x14ac:dyDescent="0.25">
      <c r="A14" s="224"/>
      <c r="B14" s="231"/>
      <c r="C14" s="232"/>
      <c r="D14" s="232"/>
      <c r="E14" s="232"/>
      <c r="F14" s="232"/>
      <c r="G14" s="233"/>
      <c r="H14" s="77"/>
      <c r="I14" s="73"/>
      <c r="J14" s="73"/>
      <c r="K14" s="73"/>
      <c r="L14" s="73"/>
      <c r="M14" s="73"/>
      <c r="N14" s="73"/>
      <c r="O14" s="73"/>
    </row>
    <row r="15" spans="1:15" ht="13.5" thickBot="1" x14ac:dyDescent="0.25">
      <c r="A15" s="71"/>
      <c r="B15" s="71"/>
      <c r="C15" s="71"/>
      <c r="D15" s="71"/>
      <c r="E15" s="71"/>
      <c r="F15" s="71"/>
      <c r="G15" s="71"/>
      <c r="H15" s="77"/>
      <c r="I15" s="73"/>
      <c r="J15" s="73"/>
      <c r="K15" s="73"/>
      <c r="L15" s="73"/>
      <c r="M15" s="73"/>
      <c r="N15" s="73"/>
      <c r="O15" s="73"/>
    </row>
    <row r="16" spans="1:15" x14ac:dyDescent="0.2">
      <c r="A16" s="223" t="s">
        <v>44</v>
      </c>
      <c r="B16" s="225"/>
      <c r="C16" s="226"/>
      <c r="D16" s="226"/>
      <c r="E16" s="226"/>
      <c r="F16" s="226"/>
      <c r="G16" s="227"/>
      <c r="H16" s="73"/>
      <c r="I16" s="73"/>
      <c r="J16" s="73"/>
      <c r="K16" s="73"/>
      <c r="L16" s="73"/>
      <c r="M16" s="73"/>
      <c r="N16" s="73"/>
      <c r="O16" s="73"/>
    </row>
    <row r="17" spans="1:16" x14ac:dyDescent="0.2">
      <c r="A17" s="224"/>
      <c r="B17" s="228"/>
      <c r="C17" s="229"/>
      <c r="D17" s="229"/>
      <c r="E17" s="229"/>
      <c r="F17" s="229"/>
      <c r="G17" s="230"/>
      <c r="H17" s="73"/>
      <c r="I17" s="73"/>
      <c r="J17" s="73"/>
      <c r="K17" s="73"/>
      <c r="L17" s="73"/>
      <c r="M17" s="73"/>
      <c r="N17" s="73"/>
      <c r="O17" s="73"/>
    </row>
    <row r="18" spans="1:16" x14ac:dyDescent="0.2">
      <c r="A18" s="224"/>
      <c r="B18" s="228"/>
      <c r="C18" s="229"/>
      <c r="D18" s="229"/>
      <c r="E18" s="229"/>
      <c r="F18" s="229"/>
      <c r="G18" s="230"/>
      <c r="H18" s="71"/>
      <c r="I18" s="73"/>
      <c r="J18" s="73"/>
      <c r="K18" s="73"/>
      <c r="L18" s="73"/>
      <c r="M18" s="73"/>
      <c r="N18" s="73"/>
      <c r="O18" s="73"/>
    </row>
    <row r="19" spans="1:16" ht="13.5" thickBot="1" x14ac:dyDescent="0.25">
      <c r="A19" s="224"/>
      <c r="B19" s="231"/>
      <c r="C19" s="232"/>
      <c r="D19" s="232"/>
      <c r="E19" s="232"/>
      <c r="F19" s="232"/>
      <c r="G19" s="233"/>
      <c r="H19" s="77"/>
      <c r="I19" s="73"/>
      <c r="J19" s="73"/>
      <c r="K19" s="73"/>
      <c r="L19" s="73"/>
      <c r="M19" s="73"/>
      <c r="N19" s="73"/>
      <c r="O19" s="73"/>
    </row>
    <row r="20" spans="1:16" ht="13.5" thickBot="1" x14ac:dyDescent="0.25">
      <c r="A20" s="71"/>
      <c r="B20" s="71"/>
      <c r="C20" s="71"/>
      <c r="D20" s="71"/>
      <c r="E20" s="71"/>
      <c r="F20" s="71"/>
      <c r="G20" s="71"/>
      <c r="H20" s="77"/>
      <c r="I20" s="73"/>
      <c r="J20" s="73"/>
      <c r="K20" s="73"/>
      <c r="L20" s="73"/>
      <c r="M20" s="73"/>
      <c r="N20" s="73"/>
      <c r="O20" s="73"/>
    </row>
    <row r="21" spans="1:16" ht="12.75" customHeight="1" x14ac:dyDescent="0.2">
      <c r="A21" s="220" t="s">
        <v>48</v>
      </c>
      <c r="B21" s="221"/>
      <c r="C21" s="221"/>
      <c r="D21" s="221"/>
      <c r="E21" s="221"/>
      <c r="F21" s="221"/>
      <c r="G21" s="222"/>
      <c r="H21" s="220" t="s">
        <v>49</v>
      </c>
      <c r="I21" s="221"/>
      <c r="J21" s="221"/>
      <c r="K21" s="222"/>
      <c r="L21" s="220" t="s">
        <v>60</v>
      </c>
      <c r="M21" s="221"/>
      <c r="N21" s="221"/>
      <c r="O21" s="222"/>
      <c r="P21" s="100" t="s">
        <v>47</v>
      </c>
    </row>
    <row r="22" spans="1:16" ht="57" customHeight="1" thickBot="1" x14ac:dyDescent="0.25">
      <c r="A22" s="101" t="s">
        <v>50</v>
      </c>
      <c r="B22" s="212" t="s">
        <v>438</v>
      </c>
      <c r="C22" s="213"/>
      <c r="D22" s="213"/>
      <c r="E22" s="213"/>
      <c r="F22" s="213"/>
      <c r="G22" s="214"/>
      <c r="H22" s="216"/>
      <c r="I22" s="216"/>
      <c r="J22" s="216"/>
      <c r="K22" s="216"/>
      <c r="L22" s="216" t="s">
        <v>229</v>
      </c>
      <c r="M22" s="216"/>
      <c r="N22" s="216"/>
      <c r="O22" s="216"/>
      <c r="P22" s="95" t="s">
        <v>144</v>
      </c>
    </row>
    <row r="23" spans="1:16" ht="112.5" customHeight="1" thickBot="1" x14ac:dyDescent="0.25">
      <c r="A23" s="101" t="s">
        <v>51</v>
      </c>
      <c r="B23" s="212" t="s">
        <v>440</v>
      </c>
      <c r="C23" s="213"/>
      <c r="D23" s="213"/>
      <c r="E23" s="213"/>
      <c r="F23" s="213"/>
      <c r="G23" s="214"/>
      <c r="H23" s="216"/>
      <c r="I23" s="216"/>
      <c r="J23" s="216"/>
      <c r="K23" s="216"/>
      <c r="L23" s="216" t="s">
        <v>441</v>
      </c>
      <c r="M23" s="216"/>
      <c r="N23" s="216"/>
      <c r="O23" s="216"/>
      <c r="P23" s="95" t="s">
        <v>144</v>
      </c>
    </row>
    <row r="24" spans="1:16" ht="105" customHeight="1" thickBot="1" x14ac:dyDescent="0.25">
      <c r="A24" s="101" t="s">
        <v>52</v>
      </c>
      <c r="B24" s="212" t="s">
        <v>443</v>
      </c>
      <c r="C24" s="213"/>
      <c r="D24" s="213"/>
      <c r="E24" s="213"/>
      <c r="F24" s="213"/>
      <c r="G24" s="214"/>
      <c r="H24" s="216"/>
      <c r="I24" s="216"/>
      <c r="J24" s="216"/>
      <c r="K24" s="216"/>
      <c r="L24" s="216" t="s">
        <v>441</v>
      </c>
      <c r="M24" s="216"/>
      <c r="N24" s="216"/>
      <c r="O24" s="216"/>
      <c r="P24" s="95" t="s">
        <v>144</v>
      </c>
    </row>
    <row r="25" spans="1:16" ht="111" customHeight="1" thickBot="1" x14ac:dyDescent="0.25">
      <c r="A25" s="101" t="s">
        <v>53</v>
      </c>
      <c r="B25" s="212" t="s">
        <v>444</v>
      </c>
      <c r="C25" s="213"/>
      <c r="D25" s="213"/>
      <c r="E25" s="213"/>
      <c r="F25" s="213"/>
      <c r="G25" s="214"/>
      <c r="H25" s="216"/>
      <c r="I25" s="216"/>
      <c r="J25" s="216"/>
      <c r="K25" s="216"/>
      <c r="L25" s="216" t="s">
        <v>441</v>
      </c>
      <c r="M25" s="216"/>
      <c r="N25" s="216"/>
      <c r="O25" s="216"/>
      <c r="P25" s="95" t="s">
        <v>144</v>
      </c>
    </row>
    <row r="26" spans="1:16" ht="57" customHeight="1" thickBot="1" x14ac:dyDescent="0.25">
      <c r="A26" s="101" t="s">
        <v>54</v>
      </c>
      <c r="B26" s="212" t="s">
        <v>447</v>
      </c>
      <c r="C26" s="213"/>
      <c r="D26" s="213"/>
      <c r="E26" s="213"/>
      <c r="F26" s="213"/>
      <c r="G26" s="214"/>
      <c r="H26" s="216"/>
      <c r="I26" s="216"/>
      <c r="J26" s="216"/>
      <c r="K26" s="216"/>
      <c r="L26" s="216"/>
      <c r="M26" s="216"/>
      <c r="N26" s="216"/>
      <c r="O26" s="216"/>
      <c r="P26" s="95" t="s">
        <v>144</v>
      </c>
    </row>
    <row r="27" spans="1:16" ht="48.75" customHeight="1" thickBot="1" x14ac:dyDescent="0.25">
      <c r="A27" s="101" t="s">
        <v>55</v>
      </c>
      <c r="B27" s="212" t="s">
        <v>448</v>
      </c>
      <c r="C27" s="213"/>
      <c r="D27" s="213"/>
      <c r="E27" s="213"/>
      <c r="F27" s="213"/>
      <c r="G27" s="214"/>
      <c r="H27" s="216"/>
      <c r="I27" s="216"/>
      <c r="J27" s="216"/>
      <c r="K27" s="216"/>
      <c r="L27" s="216"/>
      <c r="M27" s="216"/>
      <c r="N27" s="216"/>
      <c r="O27" s="216"/>
      <c r="P27" s="95" t="s">
        <v>144</v>
      </c>
    </row>
    <row r="28" spans="1:16" ht="62.25" customHeight="1" thickBot="1" x14ac:dyDescent="0.25">
      <c r="A28" s="101" t="s">
        <v>56</v>
      </c>
      <c r="B28" s="212" t="s">
        <v>449</v>
      </c>
      <c r="C28" s="213"/>
      <c r="D28" s="213"/>
      <c r="E28" s="213"/>
      <c r="F28" s="213"/>
      <c r="G28" s="214"/>
      <c r="H28" s="216"/>
      <c r="I28" s="216"/>
      <c r="J28" s="216"/>
      <c r="K28" s="216"/>
      <c r="L28" s="216"/>
      <c r="M28" s="216"/>
      <c r="N28" s="216"/>
      <c r="O28" s="216"/>
      <c r="P28" s="95" t="s">
        <v>144</v>
      </c>
    </row>
    <row r="29" spans="1:16" ht="99.75" customHeight="1" thickBot="1" x14ac:dyDescent="0.25">
      <c r="A29" s="101" t="s">
        <v>57</v>
      </c>
      <c r="B29" s="212" t="s">
        <v>453</v>
      </c>
      <c r="C29" s="213"/>
      <c r="D29" s="213"/>
      <c r="E29" s="213"/>
      <c r="F29" s="213"/>
      <c r="G29" s="214"/>
      <c r="H29" s="216"/>
      <c r="I29" s="216"/>
      <c r="J29" s="216"/>
      <c r="K29" s="216"/>
      <c r="L29" s="216" t="s">
        <v>454</v>
      </c>
      <c r="M29" s="216"/>
      <c r="N29" s="216"/>
      <c r="O29" s="216"/>
      <c r="P29" s="95" t="s">
        <v>144</v>
      </c>
    </row>
    <row r="30" spans="1:16" ht="50.25" customHeight="1" thickBot="1" x14ac:dyDescent="0.25">
      <c r="A30" s="102" t="s">
        <v>58</v>
      </c>
      <c r="B30" s="212" t="s">
        <v>455</v>
      </c>
      <c r="C30" s="213"/>
      <c r="D30" s="213"/>
      <c r="E30" s="213"/>
      <c r="F30" s="213"/>
      <c r="G30" s="214"/>
      <c r="H30" s="215"/>
      <c r="I30" s="215"/>
      <c r="J30" s="215"/>
      <c r="K30" s="215"/>
      <c r="L30" s="215" t="s">
        <v>456</v>
      </c>
      <c r="M30" s="215"/>
      <c r="N30" s="215"/>
      <c r="O30" s="215"/>
      <c r="P30" s="95" t="s">
        <v>144</v>
      </c>
    </row>
    <row r="31" spans="1:16" ht="43.5" customHeight="1" thickBot="1" x14ac:dyDescent="0.25">
      <c r="A31" s="102" t="s">
        <v>145</v>
      </c>
      <c r="B31" s="212"/>
      <c r="C31" s="213"/>
      <c r="D31" s="213"/>
      <c r="E31" s="213"/>
      <c r="F31" s="213"/>
      <c r="G31" s="214"/>
      <c r="H31" s="216"/>
      <c r="I31" s="216"/>
      <c r="J31" s="216"/>
      <c r="K31" s="216"/>
      <c r="L31" s="216"/>
      <c r="M31" s="216"/>
      <c r="N31" s="216"/>
      <c r="O31" s="216"/>
      <c r="P31" s="95"/>
    </row>
    <row r="32" spans="1:16" ht="55.5" customHeight="1" thickBot="1" x14ac:dyDescent="0.25">
      <c r="A32" s="102" t="s">
        <v>146</v>
      </c>
      <c r="B32" s="212"/>
      <c r="C32" s="213"/>
      <c r="D32" s="213"/>
      <c r="E32" s="213"/>
      <c r="F32" s="213"/>
      <c r="G32" s="214"/>
      <c r="H32" s="216"/>
      <c r="I32" s="216"/>
      <c r="J32" s="216"/>
      <c r="K32" s="216"/>
      <c r="L32" s="216"/>
      <c r="M32" s="216"/>
      <c r="N32" s="216"/>
      <c r="O32" s="216"/>
      <c r="P32" s="95"/>
    </row>
    <row r="33" spans="1:16" ht="45.75" customHeight="1" thickBot="1" x14ac:dyDescent="0.25">
      <c r="A33" s="102" t="s">
        <v>147</v>
      </c>
      <c r="B33" s="212"/>
      <c r="C33" s="213"/>
      <c r="D33" s="213"/>
      <c r="E33" s="213"/>
      <c r="F33" s="213"/>
      <c r="G33" s="214"/>
      <c r="H33" s="215"/>
      <c r="I33" s="215"/>
      <c r="J33" s="215"/>
      <c r="K33" s="215"/>
      <c r="L33" s="215"/>
      <c r="M33" s="215"/>
      <c r="N33" s="215"/>
      <c r="O33" s="215"/>
      <c r="P33" s="95"/>
    </row>
    <row r="34" spans="1:16" ht="45.75" customHeight="1" thickBot="1" x14ac:dyDescent="0.25">
      <c r="A34" s="102" t="s">
        <v>148</v>
      </c>
      <c r="B34" s="212"/>
      <c r="C34" s="213"/>
      <c r="D34" s="213"/>
      <c r="E34" s="213"/>
      <c r="F34" s="213"/>
      <c r="G34" s="214"/>
      <c r="H34" s="216"/>
      <c r="I34" s="216"/>
      <c r="J34" s="216"/>
      <c r="K34" s="216"/>
      <c r="L34" s="216"/>
      <c r="M34" s="216"/>
      <c r="N34" s="216"/>
      <c r="O34" s="216"/>
      <c r="P34" s="95"/>
    </row>
    <row r="35" spans="1:16" ht="48" customHeight="1" thickBot="1" x14ac:dyDescent="0.25">
      <c r="A35" s="102" t="s">
        <v>149</v>
      </c>
      <c r="B35" s="217"/>
      <c r="C35" s="218"/>
      <c r="D35" s="218"/>
      <c r="E35" s="218"/>
      <c r="F35" s="218"/>
      <c r="G35" s="219"/>
      <c r="H35" s="216"/>
      <c r="I35" s="216"/>
      <c r="J35" s="216"/>
      <c r="K35" s="216"/>
      <c r="L35" s="216"/>
      <c r="M35" s="216"/>
      <c r="N35" s="216"/>
      <c r="O35" s="216"/>
      <c r="P35" s="95"/>
    </row>
    <row r="36" spans="1:16" ht="45.75" customHeight="1" thickBot="1" x14ac:dyDescent="0.25">
      <c r="A36" s="102" t="s">
        <v>150</v>
      </c>
      <c r="B36" s="212"/>
      <c r="C36" s="213"/>
      <c r="D36" s="213"/>
      <c r="E36" s="213"/>
      <c r="F36" s="213"/>
      <c r="G36" s="214"/>
      <c r="H36" s="215"/>
      <c r="I36" s="215"/>
      <c r="J36" s="215"/>
      <c r="K36" s="215"/>
      <c r="L36" s="216"/>
      <c r="M36" s="216"/>
      <c r="N36" s="216"/>
      <c r="O36" s="216"/>
      <c r="P36" s="96"/>
    </row>
    <row r="37" spans="1:16" ht="66" customHeight="1" thickBot="1" x14ac:dyDescent="0.25">
      <c r="A37" s="102" t="s">
        <v>151</v>
      </c>
      <c r="B37" s="212"/>
      <c r="C37" s="213"/>
      <c r="D37" s="213"/>
      <c r="E37" s="213"/>
      <c r="F37" s="213"/>
      <c r="G37" s="214"/>
      <c r="H37" s="215"/>
      <c r="I37" s="215"/>
      <c r="J37" s="215"/>
      <c r="K37" s="215"/>
      <c r="L37" s="216"/>
      <c r="M37" s="216"/>
      <c r="N37" s="216"/>
      <c r="O37" s="216"/>
      <c r="P37" s="96"/>
    </row>
    <row r="38" spans="1:16" ht="45.75" customHeight="1" thickBot="1" x14ac:dyDescent="0.25">
      <c r="A38" s="102" t="s">
        <v>152</v>
      </c>
      <c r="B38" s="212"/>
      <c r="C38" s="213"/>
      <c r="D38" s="213"/>
      <c r="E38" s="213"/>
      <c r="F38" s="213"/>
      <c r="G38" s="214"/>
      <c r="H38" s="215"/>
      <c r="I38" s="215"/>
      <c r="J38" s="215"/>
      <c r="K38" s="215"/>
      <c r="L38" s="215"/>
      <c r="M38" s="215"/>
      <c r="N38" s="215"/>
      <c r="O38" s="215"/>
      <c r="P38" s="96"/>
    </row>
    <row r="39" spans="1:16" ht="45.75" customHeight="1" thickBot="1" x14ac:dyDescent="0.25">
      <c r="A39" s="102" t="s">
        <v>153</v>
      </c>
      <c r="B39" s="212"/>
      <c r="C39" s="213"/>
      <c r="D39" s="213"/>
      <c r="E39" s="213"/>
      <c r="F39" s="213"/>
      <c r="G39" s="214"/>
      <c r="H39" s="215"/>
      <c r="I39" s="215"/>
      <c r="J39" s="215"/>
      <c r="K39" s="215"/>
      <c r="L39" s="215"/>
      <c r="M39" s="215"/>
      <c r="N39" s="215"/>
      <c r="O39" s="215"/>
      <c r="P39" s="96"/>
    </row>
    <row r="40" spans="1:16" ht="45.75" customHeight="1" thickBot="1" x14ac:dyDescent="0.25">
      <c r="A40" s="102" t="s">
        <v>184</v>
      </c>
      <c r="B40" s="212"/>
      <c r="C40" s="213"/>
      <c r="D40" s="213"/>
      <c r="E40" s="213"/>
      <c r="F40" s="213"/>
      <c r="G40" s="214"/>
      <c r="H40" s="215"/>
      <c r="I40" s="215"/>
      <c r="J40" s="215"/>
      <c r="K40" s="215"/>
      <c r="L40" s="215"/>
      <c r="M40" s="215"/>
      <c r="N40" s="215"/>
      <c r="O40" s="215"/>
      <c r="P40" s="96"/>
    </row>
    <row r="41" spans="1:16" ht="45.75" customHeight="1" thickBot="1" x14ac:dyDescent="0.25">
      <c r="A41" s="102" t="s">
        <v>185</v>
      </c>
      <c r="B41" s="212"/>
      <c r="C41" s="213"/>
      <c r="D41" s="213"/>
      <c r="E41" s="213"/>
      <c r="F41" s="213"/>
      <c r="G41" s="214"/>
      <c r="H41" s="215"/>
      <c r="I41" s="215"/>
      <c r="J41" s="215"/>
      <c r="K41" s="215"/>
      <c r="L41" s="215"/>
      <c r="M41" s="215"/>
      <c r="N41" s="215"/>
      <c r="O41" s="215"/>
      <c r="P41" s="96"/>
    </row>
    <row r="42" spans="1:16" ht="45.75" customHeight="1" thickBot="1" x14ac:dyDescent="0.25">
      <c r="A42" s="102" t="s">
        <v>186</v>
      </c>
      <c r="B42" s="212"/>
      <c r="C42" s="213"/>
      <c r="D42" s="213"/>
      <c r="E42" s="213"/>
      <c r="F42" s="213"/>
      <c r="G42" s="214"/>
      <c r="H42" s="215"/>
      <c r="I42" s="215"/>
      <c r="J42" s="215"/>
      <c r="K42" s="215"/>
      <c r="L42" s="215"/>
      <c r="M42" s="215"/>
      <c r="N42" s="215"/>
      <c r="O42" s="215"/>
      <c r="P42" s="96"/>
    </row>
    <row r="43" spans="1:16" ht="45.75" customHeight="1" thickBot="1" x14ac:dyDescent="0.25">
      <c r="A43" s="102" t="s">
        <v>187</v>
      </c>
      <c r="B43" s="212"/>
      <c r="C43" s="213"/>
      <c r="D43" s="213"/>
      <c r="E43" s="213"/>
      <c r="F43" s="213"/>
      <c r="G43" s="214"/>
      <c r="H43" s="215"/>
      <c r="I43" s="215"/>
      <c r="J43" s="215"/>
      <c r="K43" s="215"/>
      <c r="L43" s="215"/>
      <c r="M43" s="215"/>
      <c r="N43" s="215"/>
      <c r="O43" s="215"/>
      <c r="P43" s="96"/>
    </row>
    <row r="44" spans="1:16" ht="45.75" customHeight="1" thickBot="1" x14ac:dyDescent="0.25">
      <c r="A44" s="102" t="s">
        <v>188</v>
      </c>
      <c r="B44" s="212"/>
      <c r="C44" s="213"/>
      <c r="D44" s="213"/>
      <c r="E44" s="213"/>
      <c r="F44" s="213"/>
      <c r="G44" s="214"/>
      <c r="H44" s="215"/>
      <c r="I44" s="215"/>
      <c r="J44" s="215"/>
      <c r="K44" s="215"/>
      <c r="L44" s="215"/>
      <c r="M44" s="215"/>
      <c r="N44" s="215"/>
      <c r="O44" s="215"/>
      <c r="P44" s="96"/>
    </row>
    <row r="45" spans="1:16" ht="45.75" customHeight="1" thickBot="1" x14ac:dyDescent="0.25">
      <c r="A45" s="102" t="s">
        <v>189</v>
      </c>
      <c r="B45" s="212"/>
      <c r="C45" s="213"/>
      <c r="D45" s="213"/>
      <c r="E45" s="213"/>
      <c r="F45" s="213"/>
      <c r="G45" s="214"/>
      <c r="H45" s="215"/>
      <c r="I45" s="215"/>
      <c r="J45" s="215"/>
      <c r="K45" s="215"/>
      <c r="L45" s="215"/>
      <c r="M45" s="215"/>
      <c r="N45" s="215"/>
      <c r="O45" s="215"/>
      <c r="P45" s="96"/>
    </row>
    <row r="46" spans="1:16" ht="45.75" customHeight="1" thickBot="1" x14ac:dyDescent="0.25">
      <c r="A46" s="102" t="s">
        <v>190</v>
      </c>
      <c r="B46" s="212"/>
      <c r="C46" s="213"/>
      <c r="D46" s="213"/>
      <c r="E46" s="213"/>
      <c r="F46" s="213"/>
      <c r="G46" s="214"/>
      <c r="H46" s="215"/>
      <c r="I46" s="215"/>
      <c r="J46" s="215"/>
      <c r="K46" s="215"/>
      <c r="L46" s="215"/>
      <c r="M46" s="215"/>
      <c r="N46" s="215"/>
      <c r="O46" s="215"/>
      <c r="P46" s="96"/>
    </row>
    <row r="47" spans="1:16" ht="45.75" customHeight="1" thickBot="1" x14ac:dyDescent="0.25">
      <c r="A47" s="102" t="s">
        <v>191</v>
      </c>
      <c r="B47" s="212"/>
      <c r="C47" s="213"/>
      <c r="D47" s="213"/>
      <c r="E47" s="213"/>
      <c r="F47" s="213"/>
      <c r="G47" s="214"/>
      <c r="H47" s="215"/>
      <c r="I47" s="215"/>
      <c r="J47" s="215"/>
      <c r="K47" s="215"/>
      <c r="L47" s="215"/>
      <c r="M47" s="215"/>
      <c r="N47" s="215"/>
      <c r="O47" s="215"/>
      <c r="P47" s="96"/>
    </row>
    <row r="48" spans="1:16" ht="45.75" customHeight="1" thickBot="1" x14ac:dyDescent="0.25">
      <c r="A48" s="102" t="s">
        <v>192</v>
      </c>
      <c r="B48" s="212"/>
      <c r="C48" s="213"/>
      <c r="D48" s="213"/>
      <c r="E48" s="213"/>
      <c r="F48" s="213"/>
      <c r="G48" s="214"/>
      <c r="H48" s="215"/>
      <c r="I48" s="215"/>
      <c r="J48" s="215"/>
      <c r="K48" s="215"/>
      <c r="L48" s="215"/>
      <c r="M48" s="215"/>
      <c r="N48" s="215"/>
      <c r="O48" s="215"/>
      <c r="P48" s="96"/>
    </row>
    <row r="49" spans="1:16" ht="45.75" customHeight="1" thickBot="1" x14ac:dyDescent="0.25">
      <c r="A49" s="102" t="s">
        <v>193</v>
      </c>
      <c r="B49" s="212"/>
      <c r="C49" s="213"/>
      <c r="D49" s="213"/>
      <c r="E49" s="213"/>
      <c r="F49" s="213"/>
      <c r="G49" s="214"/>
      <c r="H49" s="215"/>
      <c r="I49" s="215"/>
      <c r="J49" s="215"/>
      <c r="K49" s="215"/>
      <c r="L49" s="215"/>
      <c r="M49" s="215"/>
      <c r="N49" s="215"/>
      <c r="O49" s="215"/>
      <c r="P49" s="96"/>
    </row>
    <row r="50" spans="1:16" ht="45.75" customHeight="1" thickBot="1" x14ac:dyDescent="0.25">
      <c r="A50" s="102" t="s">
        <v>194</v>
      </c>
      <c r="B50" s="212"/>
      <c r="C50" s="213"/>
      <c r="D50" s="213"/>
      <c r="E50" s="213"/>
      <c r="F50" s="213"/>
      <c r="G50" s="214"/>
      <c r="H50" s="215"/>
      <c r="I50" s="215"/>
      <c r="J50" s="215"/>
      <c r="K50" s="215"/>
      <c r="L50" s="215"/>
      <c r="M50" s="215"/>
      <c r="N50" s="215"/>
      <c r="O50" s="215"/>
      <c r="P50" s="96"/>
    </row>
  </sheetData>
  <mergeCells count="97">
    <mergeCell ref="B49:G49"/>
    <mergeCell ref="H49:K49"/>
    <mergeCell ref="L49:O49"/>
    <mergeCell ref="B50:G50"/>
    <mergeCell ref="H50:K50"/>
    <mergeCell ref="L50:O50"/>
    <mergeCell ref="B47:G47"/>
    <mergeCell ref="H47:K47"/>
    <mergeCell ref="L47:O47"/>
    <mergeCell ref="B48:G48"/>
    <mergeCell ref="H48:K48"/>
    <mergeCell ref="L48:O48"/>
    <mergeCell ref="B45:G45"/>
    <mergeCell ref="H45:K45"/>
    <mergeCell ref="L45:O45"/>
    <mergeCell ref="B46:G46"/>
    <mergeCell ref="H46:K46"/>
    <mergeCell ref="L46:O46"/>
    <mergeCell ref="B43:G43"/>
    <mergeCell ref="H43:K43"/>
    <mergeCell ref="L43:O43"/>
    <mergeCell ref="B44:G44"/>
    <mergeCell ref="H44:K44"/>
    <mergeCell ref="L44:O44"/>
    <mergeCell ref="B41:G41"/>
    <mergeCell ref="H41:K41"/>
    <mergeCell ref="L41:O41"/>
    <mergeCell ref="B42:G42"/>
    <mergeCell ref="H42:K42"/>
    <mergeCell ref="L42:O42"/>
    <mergeCell ref="B39:G39"/>
    <mergeCell ref="H39:K39"/>
    <mergeCell ref="L39:O39"/>
    <mergeCell ref="B40:G40"/>
    <mergeCell ref="H40:K40"/>
    <mergeCell ref="L40:O40"/>
    <mergeCell ref="B37:G37"/>
    <mergeCell ref="H37:K37"/>
    <mergeCell ref="L37:O37"/>
    <mergeCell ref="B38:G38"/>
    <mergeCell ref="H38:K38"/>
    <mergeCell ref="L38:O38"/>
    <mergeCell ref="B35:G35"/>
    <mergeCell ref="H35:K35"/>
    <mergeCell ref="L35:O35"/>
    <mergeCell ref="B36:G36"/>
    <mergeCell ref="H36:K36"/>
    <mergeCell ref="L36:O36"/>
    <mergeCell ref="B33:G33"/>
    <mergeCell ref="H33:K33"/>
    <mergeCell ref="L33:O33"/>
    <mergeCell ref="B34:G34"/>
    <mergeCell ref="H34:K34"/>
    <mergeCell ref="L34:O34"/>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B9:B10">
    <cfRule type="cellIs" dxfId="184" priority="35" operator="equal">
      <formula>"Nok"</formula>
    </cfRule>
    <cfRule type="cellIs" dxfId="183" priority="36" operator="equal">
      <formula>"Ok"</formula>
    </cfRule>
  </conditionalFormatting>
  <conditionalFormatting sqref="P22 P31:P34">
    <cfRule type="cellIs" dxfId="182" priority="33" operator="equal">
      <formula>"Nok"</formula>
    </cfRule>
    <cfRule type="cellIs" dxfId="181" priority="34" operator="equal">
      <formula>"Ok"</formula>
    </cfRule>
  </conditionalFormatting>
  <conditionalFormatting sqref="P35">
    <cfRule type="cellIs" dxfId="180" priority="31" operator="equal">
      <formula>"Nok"</formula>
    </cfRule>
    <cfRule type="cellIs" dxfId="179" priority="32" operator="equal">
      <formula>"Ok"</formula>
    </cfRule>
  </conditionalFormatting>
  <conditionalFormatting sqref="P36:P37">
    <cfRule type="cellIs" dxfId="178" priority="29" operator="equal">
      <formula>"Nok"</formula>
    </cfRule>
    <cfRule type="cellIs" dxfId="177" priority="30" operator="equal">
      <formula>"Ok"</formula>
    </cfRule>
  </conditionalFormatting>
  <conditionalFormatting sqref="P38">
    <cfRule type="cellIs" dxfId="176" priority="27" operator="equal">
      <formula>"Nok"</formula>
    </cfRule>
    <cfRule type="cellIs" dxfId="175" priority="28" operator="equal">
      <formula>"Ok"</formula>
    </cfRule>
  </conditionalFormatting>
  <conditionalFormatting sqref="P39">
    <cfRule type="cellIs" dxfId="174" priority="25" operator="equal">
      <formula>"Nok"</formula>
    </cfRule>
    <cfRule type="cellIs" dxfId="173" priority="26" operator="equal">
      <formula>"Ok"</formula>
    </cfRule>
  </conditionalFormatting>
  <conditionalFormatting sqref="P40">
    <cfRule type="cellIs" dxfId="172" priority="23" operator="equal">
      <formula>"Nok"</formula>
    </cfRule>
    <cfRule type="cellIs" dxfId="171" priority="24" operator="equal">
      <formula>"Ok"</formula>
    </cfRule>
  </conditionalFormatting>
  <conditionalFormatting sqref="P41">
    <cfRule type="cellIs" dxfId="170" priority="21" operator="equal">
      <formula>"Nok"</formula>
    </cfRule>
    <cfRule type="cellIs" dxfId="169" priority="22" operator="equal">
      <formula>"Ok"</formula>
    </cfRule>
  </conditionalFormatting>
  <conditionalFormatting sqref="P42">
    <cfRule type="cellIs" dxfId="168" priority="19" operator="equal">
      <formula>"Nok"</formula>
    </cfRule>
    <cfRule type="cellIs" dxfId="167" priority="20" operator="equal">
      <formula>"Ok"</formula>
    </cfRule>
  </conditionalFormatting>
  <conditionalFormatting sqref="P43">
    <cfRule type="cellIs" dxfId="166" priority="17" operator="equal">
      <formula>"Nok"</formula>
    </cfRule>
    <cfRule type="cellIs" dxfId="165" priority="18" operator="equal">
      <formula>"Ok"</formula>
    </cfRule>
  </conditionalFormatting>
  <conditionalFormatting sqref="P44">
    <cfRule type="cellIs" dxfId="164" priority="15" operator="equal">
      <formula>"Nok"</formula>
    </cfRule>
    <cfRule type="cellIs" dxfId="163" priority="16" operator="equal">
      <formula>"Ok"</formula>
    </cfRule>
  </conditionalFormatting>
  <conditionalFormatting sqref="P45">
    <cfRule type="cellIs" dxfId="162" priority="13" operator="equal">
      <formula>"Nok"</formula>
    </cfRule>
    <cfRule type="cellIs" dxfId="161" priority="14" operator="equal">
      <formula>"Ok"</formula>
    </cfRule>
  </conditionalFormatting>
  <conditionalFormatting sqref="P46">
    <cfRule type="cellIs" dxfId="160" priority="11" operator="equal">
      <formula>"Nok"</formula>
    </cfRule>
    <cfRule type="cellIs" dxfId="159" priority="12" operator="equal">
      <formula>"Ok"</formula>
    </cfRule>
  </conditionalFormatting>
  <conditionalFormatting sqref="P47">
    <cfRule type="cellIs" dxfId="158" priority="9" operator="equal">
      <formula>"Nok"</formula>
    </cfRule>
    <cfRule type="cellIs" dxfId="157" priority="10" operator="equal">
      <formula>"Ok"</formula>
    </cfRule>
  </conditionalFormatting>
  <conditionalFormatting sqref="P48">
    <cfRule type="cellIs" dxfId="156" priority="7" operator="equal">
      <formula>"Nok"</formula>
    </cfRule>
    <cfRule type="cellIs" dxfId="155" priority="8" operator="equal">
      <formula>"Ok"</formula>
    </cfRule>
  </conditionalFormatting>
  <conditionalFormatting sqref="P49">
    <cfRule type="cellIs" dxfId="154" priority="5" operator="equal">
      <formula>"Nok"</formula>
    </cfRule>
    <cfRule type="cellIs" dxfId="153" priority="6" operator="equal">
      <formula>"Ok"</formula>
    </cfRule>
  </conditionalFormatting>
  <conditionalFormatting sqref="P50">
    <cfRule type="cellIs" dxfId="152" priority="3" operator="equal">
      <formula>"Nok"</formula>
    </cfRule>
    <cfRule type="cellIs" dxfId="151" priority="4" operator="equal">
      <formula>"Ok"</formula>
    </cfRule>
  </conditionalFormatting>
  <conditionalFormatting sqref="P23:P30">
    <cfRule type="cellIs" dxfId="150" priority="1" operator="equal">
      <formula>"Nok"</formula>
    </cfRule>
    <cfRule type="cellIs" dxfId="149" priority="2" operator="equal">
      <formula>"Ok"</formula>
    </cfRule>
  </conditionalFormatting>
  <dataValidations count="3">
    <dataValidation type="list" allowBlank="1" showInputMessage="1" showErrorMessage="1" sqref="B5">
      <formula1>"Nominal, Robustness, Endurance, Qualification"</formula1>
    </dataValidation>
    <dataValidation type="list" allowBlank="1" showInputMessage="1" showErrorMessage="1" sqref="B9">
      <formula1>"Ok, Nok, Not run, NA"</formula1>
    </dataValidation>
    <dataValidation type="list" allowBlank="1" showInputMessage="1" showErrorMessage="1" sqref="P22:P50">
      <formula1>"Ok, Nok, Not run, ,"</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topLeftCell="A4" zoomScale="85" zoomScaleNormal="85" workbookViewId="0">
      <selection activeCell="B27" sqref="B27:G27"/>
    </sheetView>
  </sheetViews>
  <sheetFormatPr defaultRowHeight="12.75" x14ac:dyDescent="0.2"/>
  <cols>
    <col min="1" max="1" width="20.140625" style="97" customWidth="1"/>
    <col min="2" max="2" width="18.42578125" style="97" customWidth="1"/>
    <col min="3" max="7" width="9.140625" style="97"/>
    <col min="8" max="11" width="3.28515625" style="97" customWidth="1"/>
    <col min="12" max="15" width="9.5703125" style="97" customWidth="1"/>
    <col min="16" max="16384" width="9.140625" style="97"/>
  </cols>
  <sheetData>
    <row r="1" spans="1:15" ht="13.5" thickBot="1" x14ac:dyDescent="0.25">
      <c r="A1" s="98" t="s">
        <v>41</v>
      </c>
      <c r="B1" s="247" t="s">
        <v>463</v>
      </c>
      <c r="C1" s="248"/>
      <c r="D1" s="248"/>
      <c r="E1" s="248"/>
      <c r="F1" s="248"/>
      <c r="G1" s="249"/>
      <c r="H1" s="250"/>
      <c r="I1" s="250"/>
      <c r="J1" s="250"/>
      <c r="K1" s="250"/>
      <c r="L1" s="250"/>
      <c r="M1" s="250"/>
      <c r="N1" s="250"/>
      <c r="O1" s="250"/>
    </row>
    <row r="2" spans="1:15" ht="13.5" thickBot="1" x14ac:dyDescent="0.25">
      <c r="A2" s="71"/>
      <c r="B2" s="71"/>
      <c r="C2" s="71"/>
      <c r="D2" s="250"/>
      <c r="E2" s="250"/>
      <c r="F2" s="250"/>
      <c r="G2" s="250"/>
      <c r="H2" s="250"/>
      <c r="I2" s="250"/>
      <c r="J2" s="250"/>
      <c r="K2" s="250"/>
      <c r="L2" s="250"/>
      <c r="M2" s="250"/>
      <c r="N2" s="250"/>
      <c r="O2" s="250"/>
    </row>
    <row r="3" spans="1:15" ht="61.5" customHeight="1" thickBot="1" x14ac:dyDescent="0.25">
      <c r="A3" s="99" t="s">
        <v>46</v>
      </c>
      <c r="B3" s="237" t="s">
        <v>466</v>
      </c>
      <c r="C3" s="238"/>
      <c r="D3" s="238"/>
      <c r="E3" s="238"/>
      <c r="F3" s="238"/>
      <c r="G3" s="239"/>
      <c r="H3" s="250"/>
      <c r="I3" s="250"/>
      <c r="J3" s="250"/>
      <c r="K3" s="250"/>
      <c r="L3" s="250"/>
      <c r="M3" s="250"/>
      <c r="N3" s="250"/>
      <c r="O3" s="250"/>
    </row>
    <row r="4" spans="1:15" ht="13.5" thickBot="1" x14ac:dyDescent="0.25">
      <c r="A4" s="71"/>
      <c r="B4" s="71"/>
      <c r="C4" s="71"/>
      <c r="D4" s="250"/>
      <c r="E4" s="250"/>
      <c r="F4" s="250"/>
      <c r="G4" s="250"/>
      <c r="H4" s="250"/>
      <c r="I4" s="250"/>
      <c r="J4" s="250"/>
      <c r="K4" s="250"/>
      <c r="L4" s="250"/>
      <c r="M4" s="250"/>
      <c r="N4" s="250"/>
      <c r="O4" s="250"/>
    </row>
    <row r="5" spans="1:15" ht="13.5" thickBot="1" x14ac:dyDescent="0.25">
      <c r="A5" s="98" t="s">
        <v>111</v>
      </c>
      <c r="B5" s="251" t="s">
        <v>142</v>
      </c>
      <c r="C5" s="71"/>
      <c r="D5" s="250"/>
      <c r="E5" s="250"/>
      <c r="F5" s="250"/>
      <c r="G5" s="250"/>
      <c r="H5" s="250"/>
      <c r="I5" s="250"/>
      <c r="J5" s="250"/>
      <c r="K5" s="250"/>
      <c r="L5" s="250"/>
      <c r="M5" s="250"/>
      <c r="N5" s="250"/>
      <c r="O5" s="250"/>
    </row>
    <row r="6" spans="1:15" ht="13.5" thickBot="1" x14ac:dyDescent="0.25">
      <c r="A6" s="71"/>
      <c r="B6" s="71"/>
      <c r="C6" s="71"/>
      <c r="D6" s="250"/>
      <c r="E6" s="250"/>
      <c r="F6" s="250"/>
      <c r="G6" s="250"/>
      <c r="H6" s="250"/>
      <c r="I6" s="250"/>
      <c r="J6" s="250"/>
      <c r="K6" s="250"/>
      <c r="L6" s="250"/>
      <c r="M6" s="250"/>
      <c r="N6" s="250"/>
      <c r="O6" s="250"/>
    </row>
    <row r="7" spans="1:15" ht="30.75" customHeight="1" thickBot="1" x14ac:dyDescent="0.25">
      <c r="A7" s="98" t="s">
        <v>42</v>
      </c>
      <c r="B7" s="237" t="s">
        <v>464</v>
      </c>
      <c r="C7" s="238"/>
      <c r="D7" s="238"/>
      <c r="E7" s="238"/>
      <c r="F7" s="238"/>
      <c r="G7" s="239"/>
      <c r="H7" s="250"/>
      <c r="I7" s="250"/>
      <c r="J7" s="250"/>
      <c r="K7" s="250"/>
      <c r="L7" s="250"/>
      <c r="M7" s="250"/>
      <c r="N7" s="250"/>
      <c r="O7" s="250"/>
    </row>
    <row r="8" spans="1:15" ht="13.5" thickBot="1" x14ac:dyDescent="0.25">
      <c r="A8" s="75"/>
      <c r="B8" s="252"/>
      <c r="C8" s="252"/>
      <c r="D8" s="252"/>
      <c r="E8" s="252"/>
      <c r="F8" s="252"/>
      <c r="G8" s="252"/>
      <c r="H8" s="250"/>
      <c r="I8" s="250"/>
      <c r="J8" s="250"/>
      <c r="K8" s="250"/>
      <c r="L8" s="250"/>
      <c r="M8" s="250"/>
      <c r="N8" s="250"/>
      <c r="O8" s="250"/>
    </row>
    <row r="9" spans="1:15" ht="13.5" thickBot="1" x14ac:dyDescent="0.25">
      <c r="A9" s="98" t="s">
        <v>43</v>
      </c>
      <c r="B9" s="253" t="s">
        <v>143</v>
      </c>
      <c r="C9" s="71"/>
      <c r="D9" s="250"/>
      <c r="E9" s="250"/>
      <c r="F9" s="250"/>
      <c r="G9" s="250"/>
      <c r="H9" s="250"/>
      <c r="I9" s="250"/>
      <c r="J9" s="250"/>
      <c r="K9" s="250"/>
      <c r="L9" s="250"/>
      <c r="M9" s="250"/>
      <c r="N9" s="250"/>
      <c r="O9" s="250"/>
    </row>
    <row r="10" spans="1:15" ht="13.5" thickBot="1" x14ac:dyDescent="0.25">
      <c r="A10" s="75"/>
      <c r="B10" s="254"/>
      <c r="C10" s="71"/>
      <c r="D10" s="250"/>
      <c r="E10" s="250"/>
      <c r="F10" s="250"/>
      <c r="G10" s="250"/>
      <c r="H10" s="250"/>
      <c r="I10" s="250"/>
      <c r="J10" s="250"/>
      <c r="K10" s="250"/>
      <c r="L10" s="250"/>
      <c r="M10" s="250"/>
      <c r="N10" s="250"/>
      <c r="O10" s="250"/>
    </row>
    <row r="11" spans="1:15" ht="12" customHeight="1" x14ac:dyDescent="0.2">
      <c r="A11" s="223" t="s">
        <v>113</v>
      </c>
      <c r="B11" s="225"/>
      <c r="C11" s="226"/>
      <c r="D11" s="226"/>
      <c r="E11" s="226"/>
      <c r="F11" s="226"/>
      <c r="G11" s="227"/>
      <c r="H11" s="250"/>
      <c r="I11" s="250"/>
      <c r="J11" s="250"/>
      <c r="K11" s="250"/>
      <c r="L11" s="250"/>
      <c r="M11" s="250"/>
      <c r="N11" s="250"/>
      <c r="O11" s="250"/>
    </row>
    <row r="12" spans="1:15" x14ac:dyDescent="0.2">
      <c r="A12" s="224"/>
      <c r="B12" s="228"/>
      <c r="C12" s="229"/>
      <c r="D12" s="229"/>
      <c r="E12" s="229"/>
      <c r="F12" s="229"/>
      <c r="G12" s="230"/>
      <c r="H12" s="250"/>
      <c r="I12" s="250"/>
      <c r="J12" s="250"/>
      <c r="K12" s="250"/>
      <c r="L12" s="250"/>
      <c r="M12" s="250"/>
      <c r="N12" s="250"/>
      <c r="O12" s="250"/>
    </row>
    <row r="13" spans="1:15" x14ac:dyDescent="0.2">
      <c r="A13" s="224"/>
      <c r="B13" s="228"/>
      <c r="C13" s="229"/>
      <c r="D13" s="229"/>
      <c r="E13" s="229"/>
      <c r="F13" s="229"/>
      <c r="G13" s="230"/>
      <c r="H13" s="71"/>
      <c r="I13" s="250"/>
      <c r="J13" s="250"/>
      <c r="K13" s="250"/>
      <c r="L13" s="250"/>
      <c r="M13" s="250"/>
      <c r="N13" s="250"/>
      <c r="O13" s="250"/>
    </row>
    <row r="14" spans="1:15" ht="13.5" thickBot="1" x14ac:dyDescent="0.25">
      <c r="A14" s="224"/>
      <c r="B14" s="231"/>
      <c r="C14" s="232"/>
      <c r="D14" s="232"/>
      <c r="E14" s="232"/>
      <c r="F14" s="232"/>
      <c r="G14" s="233"/>
      <c r="H14" s="77"/>
      <c r="I14" s="250"/>
      <c r="J14" s="250"/>
      <c r="K14" s="250"/>
      <c r="L14" s="250"/>
      <c r="M14" s="250"/>
      <c r="N14" s="250"/>
      <c r="O14" s="250"/>
    </row>
    <row r="15" spans="1:15" ht="13.5" thickBot="1" x14ac:dyDescent="0.25">
      <c r="A15" s="71"/>
      <c r="B15" s="71"/>
      <c r="C15" s="71"/>
      <c r="D15" s="71"/>
      <c r="E15" s="71"/>
      <c r="F15" s="71"/>
      <c r="G15" s="71"/>
      <c r="H15" s="77"/>
      <c r="I15" s="250"/>
      <c r="J15" s="250"/>
      <c r="K15" s="250"/>
      <c r="L15" s="250"/>
      <c r="M15" s="250"/>
      <c r="N15" s="250"/>
      <c r="O15" s="250"/>
    </row>
    <row r="16" spans="1:15" x14ac:dyDescent="0.2">
      <c r="A16" s="223" t="s">
        <v>44</v>
      </c>
      <c r="B16" s="225"/>
      <c r="C16" s="226"/>
      <c r="D16" s="226"/>
      <c r="E16" s="226"/>
      <c r="F16" s="226"/>
      <c r="G16" s="227"/>
      <c r="H16" s="250"/>
      <c r="I16" s="250"/>
      <c r="J16" s="250"/>
      <c r="K16" s="250"/>
      <c r="L16" s="250"/>
      <c r="M16" s="250"/>
      <c r="N16" s="250"/>
      <c r="O16" s="250"/>
    </row>
    <row r="17" spans="1:16" x14ac:dyDescent="0.2">
      <c r="A17" s="224"/>
      <c r="B17" s="228"/>
      <c r="C17" s="229"/>
      <c r="D17" s="229"/>
      <c r="E17" s="229"/>
      <c r="F17" s="229"/>
      <c r="G17" s="230"/>
      <c r="H17" s="250"/>
      <c r="I17" s="250"/>
      <c r="J17" s="250"/>
      <c r="K17" s="250"/>
      <c r="L17" s="250"/>
      <c r="M17" s="250"/>
      <c r="N17" s="250"/>
      <c r="O17" s="250"/>
    </row>
    <row r="18" spans="1:16" x14ac:dyDescent="0.2">
      <c r="A18" s="224"/>
      <c r="B18" s="228"/>
      <c r="C18" s="229"/>
      <c r="D18" s="229"/>
      <c r="E18" s="229"/>
      <c r="F18" s="229"/>
      <c r="G18" s="230"/>
      <c r="H18" s="71"/>
      <c r="I18" s="250"/>
      <c r="J18" s="250"/>
      <c r="K18" s="250"/>
      <c r="L18" s="250"/>
      <c r="M18" s="250"/>
      <c r="N18" s="250"/>
      <c r="O18" s="250"/>
    </row>
    <row r="19" spans="1:16" ht="13.5" thickBot="1" x14ac:dyDescent="0.25">
      <c r="A19" s="224"/>
      <c r="B19" s="231"/>
      <c r="C19" s="232"/>
      <c r="D19" s="232"/>
      <c r="E19" s="232"/>
      <c r="F19" s="232"/>
      <c r="G19" s="233"/>
      <c r="H19" s="77"/>
      <c r="I19" s="250"/>
      <c r="J19" s="250"/>
      <c r="K19" s="250"/>
      <c r="L19" s="250"/>
      <c r="M19" s="250"/>
      <c r="N19" s="250"/>
      <c r="O19" s="250"/>
    </row>
    <row r="20" spans="1:16" ht="13.5" thickBot="1" x14ac:dyDescent="0.25">
      <c r="A20" s="71"/>
      <c r="B20" s="71"/>
      <c r="C20" s="71"/>
      <c r="D20" s="71"/>
      <c r="E20" s="71"/>
      <c r="F20" s="71"/>
      <c r="G20" s="71"/>
      <c r="H20" s="77"/>
      <c r="I20" s="250"/>
      <c r="J20" s="250"/>
      <c r="K20" s="250"/>
      <c r="L20" s="250"/>
      <c r="M20" s="250"/>
      <c r="N20" s="250"/>
      <c r="O20" s="250"/>
    </row>
    <row r="21" spans="1:16" ht="12.75" customHeight="1" x14ac:dyDescent="0.2">
      <c r="A21" s="220" t="s">
        <v>48</v>
      </c>
      <c r="B21" s="221"/>
      <c r="C21" s="221"/>
      <c r="D21" s="221"/>
      <c r="E21" s="221"/>
      <c r="F21" s="221"/>
      <c r="G21" s="222"/>
      <c r="H21" s="220" t="s">
        <v>49</v>
      </c>
      <c r="I21" s="221"/>
      <c r="J21" s="221"/>
      <c r="K21" s="222"/>
      <c r="L21" s="220" t="s">
        <v>60</v>
      </c>
      <c r="M21" s="221"/>
      <c r="N21" s="221"/>
      <c r="O21" s="222"/>
      <c r="P21" s="100" t="s">
        <v>47</v>
      </c>
    </row>
    <row r="22" spans="1:16" ht="29.25" customHeight="1" thickBot="1" x14ac:dyDescent="0.25">
      <c r="A22" s="101" t="s">
        <v>50</v>
      </c>
      <c r="B22" s="212" t="s">
        <v>467</v>
      </c>
      <c r="C22" s="213"/>
      <c r="D22" s="213"/>
      <c r="E22" s="213"/>
      <c r="F22" s="213"/>
      <c r="G22" s="214"/>
      <c r="H22" s="216"/>
      <c r="I22" s="216"/>
      <c r="J22" s="216"/>
      <c r="K22" s="216"/>
      <c r="L22" s="216" t="s">
        <v>468</v>
      </c>
      <c r="M22" s="216"/>
      <c r="N22" s="216"/>
      <c r="O22" s="216"/>
      <c r="P22" s="255" t="s">
        <v>143</v>
      </c>
    </row>
    <row r="23" spans="1:16" ht="41.25" customHeight="1" thickBot="1" x14ac:dyDescent="0.25">
      <c r="A23" s="101" t="s">
        <v>51</v>
      </c>
      <c r="B23" s="212" t="s">
        <v>469</v>
      </c>
      <c r="C23" s="213"/>
      <c r="D23" s="213"/>
      <c r="E23" s="213"/>
      <c r="F23" s="213"/>
      <c r="G23" s="214"/>
      <c r="H23" s="216"/>
      <c r="I23" s="216"/>
      <c r="J23" s="216"/>
      <c r="K23" s="216"/>
      <c r="L23" s="216"/>
      <c r="M23" s="216"/>
      <c r="N23" s="216"/>
      <c r="O23" s="216"/>
      <c r="P23" s="255" t="s">
        <v>143</v>
      </c>
    </row>
    <row r="24" spans="1:16" ht="40.5" customHeight="1" thickBot="1" x14ac:dyDescent="0.25">
      <c r="A24" s="101" t="s">
        <v>52</v>
      </c>
      <c r="B24" s="212" t="s">
        <v>470</v>
      </c>
      <c r="C24" s="213"/>
      <c r="D24" s="213"/>
      <c r="E24" s="213"/>
      <c r="F24" s="213"/>
      <c r="G24" s="214"/>
      <c r="H24" s="216"/>
      <c r="I24" s="216"/>
      <c r="J24" s="216"/>
      <c r="K24" s="216"/>
      <c r="L24" s="216" t="s">
        <v>471</v>
      </c>
      <c r="M24" s="216"/>
      <c r="N24" s="216"/>
      <c r="O24" s="216"/>
      <c r="P24" s="255" t="s">
        <v>143</v>
      </c>
    </row>
    <row r="25" spans="1:16" ht="51.75" customHeight="1" thickBot="1" x14ac:dyDescent="0.25">
      <c r="A25" s="101" t="s">
        <v>53</v>
      </c>
      <c r="B25" s="212" t="s">
        <v>472</v>
      </c>
      <c r="C25" s="213"/>
      <c r="D25" s="213"/>
      <c r="E25" s="213"/>
      <c r="F25" s="213"/>
      <c r="G25" s="214"/>
      <c r="H25" s="216"/>
      <c r="I25" s="216"/>
      <c r="J25" s="216"/>
      <c r="K25" s="216"/>
      <c r="L25" s="216" t="s">
        <v>475</v>
      </c>
      <c r="M25" s="216"/>
      <c r="N25" s="216"/>
      <c r="O25" s="216"/>
      <c r="P25" s="255" t="s">
        <v>143</v>
      </c>
    </row>
    <row r="26" spans="1:16" ht="60" customHeight="1" thickBot="1" x14ac:dyDescent="0.25">
      <c r="A26" s="101" t="s">
        <v>54</v>
      </c>
      <c r="B26" s="212" t="s">
        <v>473</v>
      </c>
      <c r="C26" s="213"/>
      <c r="D26" s="213"/>
      <c r="E26" s="213"/>
      <c r="F26" s="213"/>
      <c r="G26" s="214"/>
      <c r="H26" s="216"/>
      <c r="I26" s="216"/>
      <c r="J26" s="216"/>
      <c r="K26" s="216"/>
      <c r="L26" s="216" t="s">
        <v>474</v>
      </c>
      <c r="M26" s="216"/>
      <c r="N26" s="216"/>
      <c r="O26" s="216"/>
      <c r="P26" s="255" t="s">
        <v>143</v>
      </c>
    </row>
    <row r="27" spans="1:16" ht="13.5" thickBot="1" x14ac:dyDescent="0.25">
      <c r="A27" s="101" t="s">
        <v>55</v>
      </c>
      <c r="B27" s="212"/>
      <c r="C27" s="213"/>
      <c r="D27" s="213"/>
      <c r="E27" s="213"/>
      <c r="F27" s="213"/>
      <c r="G27" s="214"/>
      <c r="H27" s="216"/>
      <c r="I27" s="216"/>
      <c r="J27" s="216"/>
      <c r="K27" s="216"/>
      <c r="L27" s="216"/>
      <c r="M27" s="216"/>
      <c r="N27" s="216"/>
      <c r="O27" s="216"/>
      <c r="P27" s="255"/>
    </row>
    <row r="28" spans="1:16" ht="13.5" thickBot="1" x14ac:dyDescent="0.25">
      <c r="A28" s="101" t="s">
        <v>56</v>
      </c>
      <c r="B28" s="212"/>
      <c r="C28" s="213"/>
      <c r="D28" s="213"/>
      <c r="E28" s="213"/>
      <c r="F28" s="213"/>
      <c r="G28" s="214"/>
      <c r="H28" s="216"/>
      <c r="I28" s="216"/>
      <c r="J28" s="216"/>
      <c r="K28" s="216"/>
      <c r="L28" s="216"/>
      <c r="M28" s="216"/>
      <c r="N28" s="216"/>
      <c r="O28" s="216"/>
      <c r="P28" s="255"/>
    </row>
    <row r="29" spans="1:16" ht="13.5" thickBot="1" x14ac:dyDescent="0.25">
      <c r="A29" s="101" t="s">
        <v>57</v>
      </c>
      <c r="B29" s="212"/>
      <c r="C29" s="213"/>
      <c r="D29" s="213"/>
      <c r="E29" s="213"/>
      <c r="F29" s="213"/>
      <c r="G29" s="214"/>
      <c r="H29" s="216"/>
      <c r="I29" s="216"/>
      <c r="J29" s="216"/>
      <c r="K29" s="216"/>
      <c r="L29" s="216"/>
      <c r="M29" s="216"/>
      <c r="N29" s="216"/>
      <c r="O29" s="216"/>
      <c r="P29" s="255"/>
    </row>
    <row r="30" spans="1:16" ht="13.5" thickBot="1" x14ac:dyDescent="0.25">
      <c r="A30" s="102" t="s">
        <v>58</v>
      </c>
      <c r="B30" s="212"/>
      <c r="C30" s="213"/>
      <c r="D30" s="213"/>
      <c r="E30" s="213"/>
      <c r="F30" s="213"/>
      <c r="G30" s="214"/>
      <c r="H30" s="215"/>
      <c r="I30" s="215"/>
      <c r="J30" s="215"/>
      <c r="K30" s="215"/>
      <c r="L30" s="215"/>
      <c r="M30" s="215"/>
      <c r="N30" s="215"/>
      <c r="O30" s="215"/>
      <c r="P30" s="255"/>
    </row>
    <row r="31" spans="1:16" ht="13.5" thickBot="1" x14ac:dyDescent="0.25">
      <c r="A31" s="102" t="s">
        <v>145</v>
      </c>
      <c r="B31" s="212"/>
      <c r="C31" s="213"/>
      <c r="D31" s="213"/>
      <c r="E31" s="213"/>
      <c r="F31" s="213"/>
      <c r="G31" s="214"/>
      <c r="H31" s="216"/>
      <c r="I31" s="216"/>
      <c r="J31" s="216"/>
      <c r="K31" s="216"/>
      <c r="L31" s="216"/>
      <c r="M31" s="216"/>
      <c r="N31" s="216"/>
      <c r="O31" s="216"/>
      <c r="P31" s="255"/>
    </row>
    <row r="32" spans="1:16" ht="13.5" thickBot="1" x14ac:dyDescent="0.25">
      <c r="A32" s="102" t="s">
        <v>146</v>
      </c>
      <c r="B32" s="212"/>
      <c r="C32" s="213"/>
      <c r="D32" s="213"/>
      <c r="E32" s="213"/>
      <c r="F32" s="213"/>
      <c r="G32" s="214"/>
      <c r="H32" s="216"/>
      <c r="I32" s="216"/>
      <c r="J32" s="216"/>
      <c r="K32" s="216"/>
      <c r="L32" s="216"/>
      <c r="M32" s="216"/>
      <c r="N32" s="216"/>
      <c r="O32" s="216"/>
      <c r="P32" s="255"/>
    </row>
    <row r="33" spans="1:16" ht="13.5" thickBot="1" x14ac:dyDescent="0.25">
      <c r="A33" s="102" t="s">
        <v>147</v>
      </c>
      <c r="B33" s="212"/>
      <c r="C33" s="213"/>
      <c r="D33" s="213"/>
      <c r="E33" s="213"/>
      <c r="F33" s="213"/>
      <c r="G33" s="214"/>
      <c r="H33" s="215"/>
      <c r="I33" s="215"/>
      <c r="J33" s="215"/>
      <c r="K33" s="215"/>
      <c r="L33" s="215"/>
      <c r="M33" s="215"/>
      <c r="N33" s="215"/>
      <c r="O33" s="215"/>
      <c r="P33" s="255"/>
    </row>
    <row r="34" spans="1:16" ht="45.75" customHeight="1" thickBot="1" x14ac:dyDescent="0.25">
      <c r="A34" s="102" t="s">
        <v>148</v>
      </c>
      <c r="B34" s="212"/>
      <c r="C34" s="213"/>
      <c r="D34" s="213"/>
      <c r="E34" s="213"/>
      <c r="F34" s="213"/>
      <c r="G34" s="214"/>
      <c r="H34" s="216"/>
      <c r="I34" s="216"/>
      <c r="J34" s="216"/>
      <c r="K34" s="216"/>
      <c r="L34" s="216"/>
      <c r="M34" s="216"/>
      <c r="N34" s="216"/>
      <c r="O34" s="216"/>
      <c r="P34" s="255"/>
    </row>
    <row r="35" spans="1:16" ht="48" customHeight="1" thickBot="1" x14ac:dyDescent="0.25">
      <c r="A35" s="102" t="s">
        <v>149</v>
      </c>
      <c r="B35" s="217"/>
      <c r="C35" s="218"/>
      <c r="D35" s="218"/>
      <c r="E35" s="218"/>
      <c r="F35" s="218"/>
      <c r="G35" s="219"/>
      <c r="H35" s="216"/>
      <c r="I35" s="216"/>
      <c r="J35" s="216"/>
      <c r="K35" s="216"/>
      <c r="L35" s="216"/>
      <c r="M35" s="216"/>
      <c r="N35" s="216"/>
      <c r="O35" s="216"/>
      <c r="P35" s="255"/>
    </row>
    <row r="36" spans="1:16" ht="45.75" customHeight="1" thickBot="1" x14ac:dyDescent="0.25">
      <c r="A36" s="102" t="s">
        <v>150</v>
      </c>
      <c r="B36" s="212"/>
      <c r="C36" s="213"/>
      <c r="D36" s="213"/>
      <c r="E36" s="213"/>
      <c r="F36" s="213"/>
      <c r="G36" s="214"/>
      <c r="H36" s="215"/>
      <c r="I36" s="215"/>
      <c r="J36" s="215"/>
      <c r="K36" s="215"/>
      <c r="L36" s="216"/>
      <c r="M36" s="216"/>
      <c r="N36" s="216"/>
      <c r="O36" s="216"/>
      <c r="P36" s="256"/>
    </row>
    <row r="37" spans="1:16" ht="66" customHeight="1" thickBot="1" x14ac:dyDescent="0.25">
      <c r="A37" s="102" t="s">
        <v>151</v>
      </c>
      <c r="B37" s="212"/>
      <c r="C37" s="213"/>
      <c r="D37" s="213"/>
      <c r="E37" s="213"/>
      <c r="F37" s="213"/>
      <c r="G37" s="214"/>
      <c r="H37" s="215"/>
      <c r="I37" s="215"/>
      <c r="J37" s="215"/>
      <c r="K37" s="215"/>
      <c r="L37" s="216"/>
      <c r="M37" s="216"/>
      <c r="N37" s="216"/>
      <c r="O37" s="216"/>
      <c r="P37" s="256"/>
    </row>
    <row r="38" spans="1:16" ht="45.75" customHeight="1" thickBot="1" x14ac:dyDescent="0.25">
      <c r="A38" s="102" t="s">
        <v>152</v>
      </c>
      <c r="B38" s="212"/>
      <c r="C38" s="213"/>
      <c r="D38" s="213"/>
      <c r="E38" s="213"/>
      <c r="F38" s="213"/>
      <c r="G38" s="214"/>
      <c r="H38" s="215"/>
      <c r="I38" s="215"/>
      <c r="J38" s="215"/>
      <c r="K38" s="215"/>
      <c r="L38" s="215"/>
      <c r="M38" s="215"/>
      <c r="N38" s="215"/>
      <c r="O38" s="215"/>
      <c r="P38" s="256"/>
    </row>
    <row r="39" spans="1:16" ht="45.75" customHeight="1" thickBot="1" x14ac:dyDescent="0.25">
      <c r="A39" s="102" t="s">
        <v>153</v>
      </c>
      <c r="B39" s="212"/>
      <c r="C39" s="213"/>
      <c r="D39" s="213"/>
      <c r="E39" s="213"/>
      <c r="F39" s="213"/>
      <c r="G39" s="214"/>
      <c r="H39" s="215"/>
      <c r="I39" s="215"/>
      <c r="J39" s="215"/>
      <c r="K39" s="215"/>
      <c r="L39" s="215"/>
      <c r="M39" s="215"/>
      <c r="N39" s="215"/>
      <c r="O39" s="215"/>
      <c r="P39" s="256"/>
    </row>
    <row r="40" spans="1:16" ht="45.75" customHeight="1" thickBot="1" x14ac:dyDescent="0.25">
      <c r="A40" s="102" t="s">
        <v>184</v>
      </c>
      <c r="B40" s="212"/>
      <c r="C40" s="213"/>
      <c r="D40" s="213"/>
      <c r="E40" s="213"/>
      <c r="F40" s="213"/>
      <c r="G40" s="214"/>
      <c r="H40" s="215"/>
      <c r="I40" s="215"/>
      <c r="J40" s="215"/>
      <c r="K40" s="215"/>
      <c r="L40" s="215"/>
      <c r="M40" s="215"/>
      <c r="N40" s="215"/>
      <c r="O40" s="215"/>
      <c r="P40" s="256"/>
    </row>
    <row r="41" spans="1:16" ht="45.75" customHeight="1" thickBot="1" x14ac:dyDescent="0.25">
      <c r="A41" s="102" t="s">
        <v>185</v>
      </c>
      <c r="B41" s="212"/>
      <c r="C41" s="213"/>
      <c r="D41" s="213"/>
      <c r="E41" s="213"/>
      <c r="F41" s="213"/>
      <c r="G41" s="214"/>
      <c r="H41" s="215"/>
      <c r="I41" s="215"/>
      <c r="J41" s="215"/>
      <c r="K41" s="215"/>
      <c r="L41" s="215"/>
      <c r="M41" s="215"/>
      <c r="N41" s="215"/>
      <c r="O41" s="215"/>
      <c r="P41" s="256"/>
    </row>
    <row r="42" spans="1:16" ht="45.75" customHeight="1" thickBot="1" x14ac:dyDescent="0.25">
      <c r="A42" s="102" t="s">
        <v>186</v>
      </c>
      <c r="B42" s="212"/>
      <c r="C42" s="213"/>
      <c r="D42" s="213"/>
      <c r="E42" s="213"/>
      <c r="F42" s="213"/>
      <c r="G42" s="214"/>
      <c r="H42" s="215"/>
      <c r="I42" s="215"/>
      <c r="J42" s="215"/>
      <c r="K42" s="215"/>
      <c r="L42" s="215"/>
      <c r="M42" s="215"/>
      <c r="N42" s="215"/>
      <c r="O42" s="215"/>
      <c r="P42" s="256"/>
    </row>
    <row r="43" spans="1:16" ht="45.75" customHeight="1" thickBot="1" x14ac:dyDescent="0.25">
      <c r="A43" s="102" t="s">
        <v>187</v>
      </c>
      <c r="B43" s="212"/>
      <c r="C43" s="213"/>
      <c r="D43" s="213"/>
      <c r="E43" s="213"/>
      <c r="F43" s="213"/>
      <c r="G43" s="214"/>
      <c r="H43" s="215"/>
      <c r="I43" s="215"/>
      <c r="J43" s="215"/>
      <c r="K43" s="215"/>
      <c r="L43" s="215"/>
      <c r="M43" s="215"/>
      <c r="N43" s="215"/>
      <c r="O43" s="215"/>
      <c r="P43" s="256"/>
    </row>
    <row r="44" spans="1:16" ht="45.75" customHeight="1" thickBot="1" x14ac:dyDescent="0.25">
      <c r="A44" s="102" t="s">
        <v>188</v>
      </c>
      <c r="B44" s="212"/>
      <c r="C44" s="213"/>
      <c r="D44" s="213"/>
      <c r="E44" s="213"/>
      <c r="F44" s="213"/>
      <c r="G44" s="214"/>
      <c r="H44" s="215"/>
      <c r="I44" s="215"/>
      <c r="J44" s="215"/>
      <c r="K44" s="215"/>
      <c r="L44" s="215"/>
      <c r="M44" s="215"/>
      <c r="N44" s="215"/>
      <c r="O44" s="215"/>
      <c r="P44" s="256"/>
    </row>
    <row r="45" spans="1:16" ht="45.75" customHeight="1" thickBot="1" x14ac:dyDescent="0.25">
      <c r="A45" s="102" t="s">
        <v>189</v>
      </c>
      <c r="B45" s="212"/>
      <c r="C45" s="213"/>
      <c r="D45" s="213"/>
      <c r="E45" s="213"/>
      <c r="F45" s="213"/>
      <c r="G45" s="214"/>
      <c r="H45" s="215"/>
      <c r="I45" s="215"/>
      <c r="J45" s="215"/>
      <c r="K45" s="215"/>
      <c r="L45" s="215"/>
      <c r="M45" s="215"/>
      <c r="N45" s="215"/>
      <c r="O45" s="215"/>
      <c r="P45" s="256"/>
    </row>
    <row r="46" spans="1:16" ht="45.75" customHeight="1" thickBot="1" x14ac:dyDescent="0.25">
      <c r="A46" s="102" t="s">
        <v>190</v>
      </c>
      <c r="B46" s="212"/>
      <c r="C46" s="213"/>
      <c r="D46" s="213"/>
      <c r="E46" s="213"/>
      <c r="F46" s="213"/>
      <c r="G46" s="214"/>
      <c r="H46" s="215"/>
      <c r="I46" s="215"/>
      <c r="J46" s="215"/>
      <c r="K46" s="215"/>
      <c r="L46" s="215"/>
      <c r="M46" s="215"/>
      <c r="N46" s="215"/>
      <c r="O46" s="215"/>
      <c r="P46" s="256"/>
    </row>
    <row r="47" spans="1:16" ht="45.75" customHeight="1" thickBot="1" x14ac:dyDescent="0.25">
      <c r="A47" s="102" t="s">
        <v>191</v>
      </c>
      <c r="B47" s="212"/>
      <c r="C47" s="213"/>
      <c r="D47" s="213"/>
      <c r="E47" s="213"/>
      <c r="F47" s="213"/>
      <c r="G47" s="214"/>
      <c r="H47" s="215"/>
      <c r="I47" s="215"/>
      <c r="J47" s="215"/>
      <c r="K47" s="215"/>
      <c r="L47" s="215"/>
      <c r="M47" s="215"/>
      <c r="N47" s="215"/>
      <c r="O47" s="215"/>
      <c r="P47" s="256"/>
    </row>
    <row r="48" spans="1:16" ht="45.75" customHeight="1" thickBot="1" x14ac:dyDescent="0.25">
      <c r="A48" s="102" t="s">
        <v>192</v>
      </c>
      <c r="B48" s="212"/>
      <c r="C48" s="213"/>
      <c r="D48" s="213"/>
      <c r="E48" s="213"/>
      <c r="F48" s="213"/>
      <c r="G48" s="214"/>
      <c r="H48" s="215"/>
      <c r="I48" s="215"/>
      <c r="J48" s="215"/>
      <c r="K48" s="215"/>
      <c r="L48" s="215"/>
      <c r="M48" s="215"/>
      <c r="N48" s="215"/>
      <c r="O48" s="215"/>
      <c r="P48" s="256"/>
    </row>
    <row r="49" spans="1:16" ht="45.75" customHeight="1" thickBot="1" x14ac:dyDescent="0.25">
      <c r="A49" s="102" t="s">
        <v>193</v>
      </c>
      <c r="B49" s="212"/>
      <c r="C49" s="213"/>
      <c r="D49" s="213"/>
      <c r="E49" s="213"/>
      <c r="F49" s="213"/>
      <c r="G49" s="214"/>
      <c r="H49" s="215"/>
      <c r="I49" s="215"/>
      <c r="J49" s="215"/>
      <c r="K49" s="215"/>
      <c r="L49" s="215"/>
      <c r="M49" s="215"/>
      <c r="N49" s="215"/>
      <c r="O49" s="215"/>
      <c r="P49" s="256"/>
    </row>
    <row r="50" spans="1:16" ht="45.75" customHeight="1" thickBot="1" x14ac:dyDescent="0.25">
      <c r="A50" s="102" t="s">
        <v>194</v>
      </c>
      <c r="B50" s="212"/>
      <c r="C50" s="213"/>
      <c r="D50" s="213"/>
      <c r="E50" s="213"/>
      <c r="F50" s="213"/>
      <c r="G50" s="214"/>
      <c r="H50" s="215"/>
      <c r="I50" s="215"/>
      <c r="J50" s="215"/>
      <c r="K50" s="215"/>
      <c r="L50" s="215"/>
      <c r="M50" s="215"/>
      <c r="N50" s="215"/>
      <c r="O50" s="215"/>
      <c r="P50" s="256"/>
    </row>
  </sheetData>
  <mergeCells count="97">
    <mergeCell ref="B49:G49"/>
    <mergeCell ref="H49:K49"/>
    <mergeCell ref="L49:O49"/>
    <mergeCell ref="B50:G50"/>
    <mergeCell ref="H50:K50"/>
    <mergeCell ref="L50:O50"/>
    <mergeCell ref="B47:G47"/>
    <mergeCell ref="H47:K47"/>
    <mergeCell ref="L47:O47"/>
    <mergeCell ref="B48:G48"/>
    <mergeCell ref="H48:K48"/>
    <mergeCell ref="L48:O48"/>
    <mergeCell ref="B45:G45"/>
    <mergeCell ref="H45:K45"/>
    <mergeCell ref="L45:O45"/>
    <mergeCell ref="B46:G46"/>
    <mergeCell ref="H46:K46"/>
    <mergeCell ref="L46:O46"/>
    <mergeCell ref="B43:G43"/>
    <mergeCell ref="H43:K43"/>
    <mergeCell ref="L43:O43"/>
    <mergeCell ref="B44:G44"/>
    <mergeCell ref="H44:K44"/>
    <mergeCell ref="L44:O44"/>
    <mergeCell ref="B41:G41"/>
    <mergeCell ref="H41:K41"/>
    <mergeCell ref="L41:O41"/>
    <mergeCell ref="B42:G42"/>
    <mergeCell ref="H42:K42"/>
    <mergeCell ref="L42:O42"/>
    <mergeCell ref="B39:G39"/>
    <mergeCell ref="H39:K39"/>
    <mergeCell ref="L39:O39"/>
    <mergeCell ref="B40:G40"/>
    <mergeCell ref="H40:K40"/>
    <mergeCell ref="L40:O40"/>
    <mergeCell ref="B37:G37"/>
    <mergeCell ref="H37:K37"/>
    <mergeCell ref="L37:O37"/>
    <mergeCell ref="B38:G38"/>
    <mergeCell ref="H38:K38"/>
    <mergeCell ref="L38:O38"/>
    <mergeCell ref="B35:G35"/>
    <mergeCell ref="H35:K35"/>
    <mergeCell ref="L35:O35"/>
    <mergeCell ref="B36:G36"/>
    <mergeCell ref="H36:K36"/>
    <mergeCell ref="L36:O36"/>
    <mergeCell ref="B33:G33"/>
    <mergeCell ref="H33:K33"/>
    <mergeCell ref="L33:O33"/>
    <mergeCell ref="B34:G34"/>
    <mergeCell ref="H34:K34"/>
    <mergeCell ref="L34:O34"/>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B1:G1"/>
    <mergeCell ref="B3:G3"/>
    <mergeCell ref="B7:G7"/>
    <mergeCell ref="A11:A14"/>
    <mergeCell ref="B11:G14"/>
    <mergeCell ref="A16:A19"/>
    <mergeCell ref="B16:G19"/>
  </mergeCells>
  <conditionalFormatting sqref="B9:B10">
    <cfRule type="cellIs" dxfId="148" priority="35" operator="equal">
      <formula>"Nok"</formula>
    </cfRule>
    <cfRule type="cellIs" dxfId="147" priority="36" operator="equal">
      <formula>"Ok"</formula>
    </cfRule>
  </conditionalFormatting>
  <conditionalFormatting sqref="P22 P31:P34">
    <cfRule type="cellIs" dxfId="146" priority="33" operator="equal">
      <formula>"Nok"</formula>
    </cfRule>
    <cfRule type="cellIs" dxfId="145" priority="34" operator="equal">
      <formula>"Ok"</formula>
    </cfRule>
  </conditionalFormatting>
  <conditionalFormatting sqref="P35">
    <cfRule type="cellIs" dxfId="144" priority="31" operator="equal">
      <formula>"Nok"</formula>
    </cfRule>
    <cfRule type="cellIs" dxfId="143" priority="32" operator="equal">
      <formula>"Ok"</formula>
    </cfRule>
  </conditionalFormatting>
  <conditionalFormatting sqref="P36:P37">
    <cfRule type="cellIs" dxfId="142" priority="29" operator="equal">
      <formula>"Nok"</formula>
    </cfRule>
    <cfRule type="cellIs" dxfId="141" priority="30" operator="equal">
      <formula>"Ok"</formula>
    </cfRule>
  </conditionalFormatting>
  <conditionalFormatting sqref="P38">
    <cfRule type="cellIs" dxfId="140" priority="27" operator="equal">
      <formula>"Nok"</formula>
    </cfRule>
    <cfRule type="cellIs" dxfId="139" priority="28" operator="equal">
      <formula>"Ok"</formula>
    </cfRule>
  </conditionalFormatting>
  <conditionalFormatting sqref="P39">
    <cfRule type="cellIs" dxfId="138" priority="25" operator="equal">
      <formula>"Nok"</formula>
    </cfRule>
    <cfRule type="cellIs" dxfId="137" priority="26" operator="equal">
      <formula>"Ok"</formula>
    </cfRule>
  </conditionalFormatting>
  <conditionalFormatting sqref="P40">
    <cfRule type="cellIs" dxfId="136" priority="23" operator="equal">
      <formula>"Nok"</formula>
    </cfRule>
    <cfRule type="cellIs" dxfId="135" priority="24" operator="equal">
      <formula>"Ok"</formula>
    </cfRule>
  </conditionalFormatting>
  <conditionalFormatting sqref="P41">
    <cfRule type="cellIs" dxfId="134" priority="21" operator="equal">
      <formula>"Nok"</formula>
    </cfRule>
    <cfRule type="cellIs" dxfId="133" priority="22" operator="equal">
      <formula>"Ok"</formula>
    </cfRule>
  </conditionalFormatting>
  <conditionalFormatting sqref="P42">
    <cfRule type="cellIs" dxfId="132" priority="19" operator="equal">
      <formula>"Nok"</formula>
    </cfRule>
    <cfRule type="cellIs" dxfId="131" priority="20" operator="equal">
      <formula>"Ok"</formula>
    </cfRule>
  </conditionalFormatting>
  <conditionalFormatting sqref="P43">
    <cfRule type="cellIs" dxfId="130" priority="17" operator="equal">
      <formula>"Nok"</formula>
    </cfRule>
    <cfRule type="cellIs" dxfId="129" priority="18" operator="equal">
      <formula>"Ok"</formula>
    </cfRule>
  </conditionalFormatting>
  <conditionalFormatting sqref="P44">
    <cfRule type="cellIs" dxfId="128" priority="15" operator="equal">
      <formula>"Nok"</formula>
    </cfRule>
    <cfRule type="cellIs" dxfId="127" priority="16" operator="equal">
      <formula>"Ok"</formula>
    </cfRule>
  </conditionalFormatting>
  <conditionalFormatting sqref="P45">
    <cfRule type="cellIs" dxfId="126" priority="13" operator="equal">
      <formula>"Nok"</formula>
    </cfRule>
    <cfRule type="cellIs" dxfId="125" priority="14" operator="equal">
      <formula>"Ok"</formula>
    </cfRule>
  </conditionalFormatting>
  <conditionalFormatting sqref="P46">
    <cfRule type="cellIs" dxfId="124" priority="11" operator="equal">
      <formula>"Nok"</formula>
    </cfRule>
    <cfRule type="cellIs" dxfId="123" priority="12" operator="equal">
      <formula>"Ok"</formula>
    </cfRule>
  </conditionalFormatting>
  <conditionalFormatting sqref="P47">
    <cfRule type="cellIs" dxfId="122" priority="9" operator="equal">
      <formula>"Nok"</formula>
    </cfRule>
    <cfRule type="cellIs" dxfId="121" priority="10" operator="equal">
      <formula>"Ok"</formula>
    </cfRule>
  </conditionalFormatting>
  <conditionalFormatting sqref="P48">
    <cfRule type="cellIs" dxfId="120" priority="7" operator="equal">
      <formula>"Nok"</formula>
    </cfRule>
    <cfRule type="cellIs" dxfId="119" priority="8" operator="equal">
      <formula>"Ok"</formula>
    </cfRule>
  </conditionalFormatting>
  <conditionalFormatting sqref="P49">
    <cfRule type="cellIs" dxfId="118" priority="5" operator="equal">
      <formula>"Nok"</formula>
    </cfRule>
    <cfRule type="cellIs" dxfId="117" priority="6" operator="equal">
      <formula>"Ok"</formula>
    </cfRule>
  </conditionalFormatting>
  <conditionalFormatting sqref="P50">
    <cfRule type="cellIs" dxfId="116" priority="3" operator="equal">
      <formula>"Nok"</formula>
    </cfRule>
    <cfRule type="cellIs" dxfId="115" priority="4" operator="equal">
      <formula>"Ok"</formula>
    </cfRule>
  </conditionalFormatting>
  <conditionalFormatting sqref="P23:P30">
    <cfRule type="cellIs" dxfId="114" priority="1" operator="equal">
      <formula>"Nok"</formula>
    </cfRule>
    <cfRule type="cellIs" dxfId="113" priority="2" operator="equal">
      <formula>"Ok"</formula>
    </cfRule>
  </conditionalFormatting>
  <dataValidations count="3">
    <dataValidation type="list" allowBlank="1" showInputMessage="1" showErrorMessage="1" sqref="P22:P50">
      <formula1>"Ok, Nok, Not run, ,"</formula1>
    </dataValidation>
    <dataValidation type="list" allowBlank="1" showInputMessage="1" showErrorMessage="1" sqref="B9">
      <formula1>"Ok, Nok, Not run, NA"</formula1>
    </dataValidation>
    <dataValidation type="list" allowBlank="1" showInputMessage="1" showErrorMessage="1" sqref="B5">
      <formula1>"Nominal, Robustness, Endurance, Qualification"</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zoomScale="85" zoomScaleNormal="85" workbookViewId="0">
      <selection activeCell="C10" sqref="C10"/>
    </sheetView>
  </sheetViews>
  <sheetFormatPr defaultRowHeight="12.75" x14ac:dyDescent="0.2"/>
  <cols>
    <col min="1" max="1" width="20.140625" style="97" customWidth="1"/>
    <col min="2" max="2" width="18.42578125" style="97" customWidth="1"/>
    <col min="3" max="7" width="9.140625" style="97"/>
    <col min="8" max="11" width="3.28515625" style="97" customWidth="1"/>
    <col min="12" max="15" width="9.5703125" style="97" customWidth="1"/>
    <col min="16" max="16384" width="9.140625" style="97"/>
  </cols>
  <sheetData>
    <row r="1" spans="1:15" ht="13.5" thickBot="1" x14ac:dyDescent="0.25">
      <c r="A1" s="98" t="s">
        <v>41</v>
      </c>
      <c r="B1" s="247" t="s">
        <v>477</v>
      </c>
      <c r="C1" s="248"/>
      <c r="D1" s="248"/>
      <c r="E1" s="248"/>
      <c r="F1" s="248"/>
      <c r="G1" s="249"/>
      <c r="H1" s="250"/>
      <c r="I1" s="250"/>
      <c r="J1" s="250"/>
      <c r="K1" s="250"/>
      <c r="L1" s="250"/>
      <c r="M1" s="250"/>
      <c r="N1" s="250"/>
      <c r="O1" s="250"/>
    </row>
    <row r="2" spans="1:15" ht="13.5" thickBot="1" x14ac:dyDescent="0.25">
      <c r="A2" s="71"/>
      <c r="B2" s="71"/>
      <c r="C2" s="71"/>
      <c r="D2" s="250"/>
      <c r="E2" s="250"/>
      <c r="F2" s="250"/>
      <c r="G2" s="250"/>
      <c r="H2" s="250"/>
      <c r="I2" s="250"/>
      <c r="J2" s="250"/>
      <c r="K2" s="250"/>
      <c r="L2" s="250"/>
      <c r="M2" s="250"/>
      <c r="N2" s="250"/>
      <c r="O2" s="250"/>
    </row>
    <row r="3" spans="1:15" ht="61.5" customHeight="1" thickBot="1" x14ac:dyDescent="0.25">
      <c r="A3" s="99" t="s">
        <v>46</v>
      </c>
      <c r="B3" s="237" t="s">
        <v>503</v>
      </c>
      <c r="C3" s="238"/>
      <c r="D3" s="238"/>
      <c r="E3" s="238"/>
      <c r="F3" s="238"/>
      <c r="G3" s="239"/>
      <c r="H3" s="250"/>
      <c r="I3" s="250"/>
      <c r="J3" s="250"/>
      <c r="K3" s="250"/>
      <c r="L3" s="250"/>
      <c r="M3" s="250"/>
      <c r="N3" s="250"/>
      <c r="O3" s="250"/>
    </row>
    <row r="4" spans="1:15" ht="13.5" thickBot="1" x14ac:dyDescent="0.25">
      <c r="A4" s="71"/>
      <c r="B4" s="71"/>
      <c r="C4" s="71"/>
      <c r="D4" s="250"/>
      <c r="E4" s="250"/>
      <c r="F4" s="250"/>
      <c r="G4" s="250"/>
      <c r="H4" s="250"/>
      <c r="I4" s="250"/>
      <c r="J4" s="250"/>
      <c r="K4" s="250"/>
      <c r="L4" s="250"/>
      <c r="M4" s="250"/>
      <c r="N4" s="250"/>
      <c r="O4" s="250"/>
    </row>
    <row r="5" spans="1:15" ht="13.5" thickBot="1" x14ac:dyDescent="0.25">
      <c r="A5" s="98" t="s">
        <v>111</v>
      </c>
      <c r="B5" s="251" t="s">
        <v>142</v>
      </c>
      <c r="C5" s="71"/>
      <c r="D5" s="250"/>
      <c r="E5" s="250"/>
      <c r="F5" s="250"/>
      <c r="G5" s="250"/>
      <c r="H5" s="250"/>
      <c r="I5" s="250"/>
      <c r="J5" s="250"/>
      <c r="K5" s="250"/>
      <c r="L5" s="250"/>
      <c r="M5" s="250"/>
      <c r="N5" s="250"/>
      <c r="O5" s="250"/>
    </row>
    <row r="6" spans="1:15" ht="13.5" thickBot="1" x14ac:dyDescent="0.25">
      <c r="A6" s="71"/>
      <c r="B6" s="71"/>
      <c r="C6" s="71"/>
      <c r="D6" s="250"/>
      <c r="E6" s="250"/>
      <c r="F6" s="250"/>
      <c r="G6" s="250"/>
      <c r="H6" s="250"/>
      <c r="I6" s="250"/>
      <c r="J6" s="250"/>
      <c r="K6" s="250"/>
      <c r="L6" s="250"/>
      <c r="M6" s="250"/>
      <c r="N6" s="250"/>
      <c r="O6" s="250"/>
    </row>
    <row r="7" spans="1:15" ht="30.75" customHeight="1" thickBot="1" x14ac:dyDescent="0.25">
      <c r="A7" s="98" t="s">
        <v>42</v>
      </c>
      <c r="B7" s="237" t="s">
        <v>476</v>
      </c>
      <c r="C7" s="238"/>
      <c r="D7" s="238"/>
      <c r="E7" s="238"/>
      <c r="F7" s="238"/>
      <c r="G7" s="239"/>
      <c r="H7" s="250"/>
      <c r="I7" s="250"/>
      <c r="J7" s="250"/>
      <c r="K7" s="250"/>
      <c r="L7" s="250"/>
      <c r="M7" s="250"/>
      <c r="N7" s="250"/>
      <c r="O7" s="250"/>
    </row>
    <row r="8" spans="1:15" ht="13.5" thickBot="1" x14ac:dyDescent="0.25">
      <c r="A8" s="75"/>
      <c r="B8" s="252"/>
      <c r="C8" s="252"/>
      <c r="D8" s="252"/>
      <c r="E8" s="252"/>
      <c r="F8" s="252"/>
      <c r="G8" s="252"/>
      <c r="H8" s="250"/>
      <c r="I8" s="250"/>
      <c r="J8" s="250"/>
      <c r="K8" s="250"/>
      <c r="L8" s="250"/>
      <c r="M8" s="250"/>
      <c r="N8" s="250"/>
      <c r="O8" s="250"/>
    </row>
    <row r="9" spans="1:15" ht="13.5" thickBot="1" x14ac:dyDescent="0.25">
      <c r="A9" s="98" t="s">
        <v>43</v>
      </c>
      <c r="B9" s="253" t="s">
        <v>321</v>
      </c>
      <c r="C9" s="71"/>
      <c r="D9" s="250"/>
      <c r="E9" s="250"/>
      <c r="F9" s="250"/>
      <c r="G9" s="250"/>
      <c r="H9" s="250"/>
      <c r="I9" s="250"/>
      <c r="J9" s="250"/>
      <c r="K9" s="250"/>
      <c r="L9" s="250"/>
      <c r="M9" s="250"/>
      <c r="N9" s="250"/>
      <c r="O9" s="250"/>
    </row>
    <row r="10" spans="1:15" ht="13.5" thickBot="1" x14ac:dyDescent="0.25">
      <c r="A10" s="75"/>
      <c r="B10" s="254"/>
      <c r="C10" s="71"/>
      <c r="D10" s="250"/>
      <c r="E10" s="250"/>
      <c r="F10" s="250"/>
      <c r="G10" s="250"/>
      <c r="H10" s="250"/>
      <c r="I10" s="250"/>
      <c r="J10" s="250"/>
      <c r="K10" s="250"/>
      <c r="L10" s="250"/>
      <c r="M10" s="250"/>
      <c r="N10" s="250"/>
      <c r="O10" s="250"/>
    </row>
    <row r="11" spans="1:15" ht="12" customHeight="1" x14ac:dyDescent="0.2">
      <c r="A11" s="223" t="s">
        <v>113</v>
      </c>
      <c r="B11" s="225"/>
      <c r="C11" s="226"/>
      <c r="D11" s="226"/>
      <c r="E11" s="226"/>
      <c r="F11" s="226"/>
      <c r="G11" s="227"/>
      <c r="H11" s="250"/>
      <c r="I11" s="250"/>
      <c r="J11" s="250"/>
      <c r="K11" s="250"/>
      <c r="L11" s="250"/>
      <c r="M11" s="250"/>
      <c r="N11" s="250"/>
      <c r="O11" s="250"/>
    </row>
    <row r="12" spans="1:15" x14ac:dyDescent="0.2">
      <c r="A12" s="224"/>
      <c r="B12" s="228"/>
      <c r="C12" s="229"/>
      <c r="D12" s="229"/>
      <c r="E12" s="229"/>
      <c r="F12" s="229"/>
      <c r="G12" s="230"/>
      <c r="H12" s="250"/>
      <c r="I12" s="250"/>
      <c r="J12" s="250"/>
      <c r="K12" s="250"/>
      <c r="L12" s="250"/>
      <c r="M12" s="250"/>
      <c r="N12" s="250"/>
      <c r="O12" s="250"/>
    </row>
    <row r="13" spans="1:15" x14ac:dyDescent="0.2">
      <c r="A13" s="224"/>
      <c r="B13" s="228"/>
      <c r="C13" s="229"/>
      <c r="D13" s="229"/>
      <c r="E13" s="229"/>
      <c r="F13" s="229"/>
      <c r="G13" s="230"/>
      <c r="H13" s="71"/>
      <c r="I13" s="250"/>
      <c r="J13" s="250"/>
      <c r="K13" s="250"/>
      <c r="L13" s="250"/>
      <c r="M13" s="250"/>
      <c r="N13" s="250"/>
      <c r="O13" s="250"/>
    </row>
    <row r="14" spans="1:15" ht="13.5" thickBot="1" x14ac:dyDescent="0.25">
      <c r="A14" s="224"/>
      <c r="B14" s="231"/>
      <c r="C14" s="232"/>
      <c r="D14" s="232"/>
      <c r="E14" s="232"/>
      <c r="F14" s="232"/>
      <c r="G14" s="233"/>
      <c r="H14" s="77"/>
      <c r="I14" s="250"/>
      <c r="J14" s="250"/>
      <c r="K14" s="250"/>
      <c r="L14" s="250"/>
      <c r="M14" s="250"/>
      <c r="N14" s="250"/>
      <c r="O14" s="250"/>
    </row>
    <row r="15" spans="1:15" ht="13.5" thickBot="1" x14ac:dyDescent="0.25">
      <c r="A15" s="71"/>
      <c r="B15" s="71"/>
      <c r="C15" s="71"/>
      <c r="D15" s="71"/>
      <c r="E15" s="71"/>
      <c r="F15" s="71"/>
      <c r="G15" s="71"/>
      <c r="H15" s="77"/>
      <c r="I15" s="250"/>
      <c r="J15" s="250"/>
      <c r="K15" s="250"/>
      <c r="L15" s="250"/>
      <c r="M15" s="250"/>
      <c r="N15" s="250"/>
      <c r="O15" s="250"/>
    </row>
    <row r="16" spans="1:15" x14ac:dyDescent="0.2">
      <c r="A16" s="223" t="s">
        <v>44</v>
      </c>
      <c r="B16" s="225"/>
      <c r="C16" s="226"/>
      <c r="D16" s="226"/>
      <c r="E16" s="226"/>
      <c r="F16" s="226"/>
      <c r="G16" s="227"/>
      <c r="H16" s="250"/>
      <c r="I16" s="250"/>
      <c r="J16" s="250"/>
      <c r="K16" s="250"/>
      <c r="L16" s="250"/>
      <c r="M16" s="250"/>
      <c r="N16" s="250"/>
      <c r="O16" s="250"/>
    </row>
    <row r="17" spans="1:16" x14ac:dyDescent="0.2">
      <c r="A17" s="224"/>
      <c r="B17" s="228"/>
      <c r="C17" s="229"/>
      <c r="D17" s="229"/>
      <c r="E17" s="229"/>
      <c r="F17" s="229"/>
      <c r="G17" s="230"/>
      <c r="H17" s="250"/>
      <c r="I17" s="250"/>
      <c r="J17" s="250"/>
      <c r="K17" s="250"/>
      <c r="L17" s="250"/>
      <c r="M17" s="250"/>
      <c r="N17" s="250"/>
      <c r="O17" s="250"/>
    </row>
    <row r="18" spans="1:16" x14ac:dyDescent="0.2">
      <c r="A18" s="224"/>
      <c r="B18" s="228"/>
      <c r="C18" s="229"/>
      <c r="D18" s="229"/>
      <c r="E18" s="229"/>
      <c r="F18" s="229"/>
      <c r="G18" s="230"/>
      <c r="H18" s="71"/>
      <c r="I18" s="250"/>
      <c r="J18" s="250"/>
      <c r="K18" s="250"/>
      <c r="L18" s="250"/>
      <c r="M18" s="250"/>
      <c r="N18" s="250"/>
      <c r="O18" s="250"/>
    </row>
    <row r="19" spans="1:16" ht="13.5" thickBot="1" x14ac:dyDescent="0.25">
      <c r="A19" s="224"/>
      <c r="B19" s="231"/>
      <c r="C19" s="232"/>
      <c r="D19" s="232"/>
      <c r="E19" s="232"/>
      <c r="F19" s="232"/>
      <c r="G19" s="233"/>
      <c r="H19" s="77"/>
      <c r="I19" s="250"/>
      <c r="J19" s="250"/>
      <c r="K19" s="250"/>
      <c r="L19" s="250"/>
      <c r="M19" s="250"/>
      <c r="N19" s="250"/>
      <c r="O19" s="250"/>
    </row>
    <row r="20" spans="1:16" ht="13.5" thickBot="1" x14ac:dyDescent="0.25">
      <c r="A20" s="71"/>
      <c r="B20" s="71"/>
      <c r="C20" s="71"/>
      <c r="D20" s="71"/>
      <c r="E20" s="71"/>
      <c r="F20" s="71"/>
      <c r="G20" s="71"/>
      <c r="H20" s="77"/>
      <c r="I20" s="250"/>
      <c r="J20" s="250"/>
      <c r="K20" s="250"/>
      <c r="L20" s="250"/>
      <c r="M20" s="250"/>
      <c r="N20" s="250"/>
      <c r="O20" s="250"/>
    </row>
    <row r="21" spans="1:16" ht="12.75" customHeight="1" x14ac:dyDescent="0.2">
      <c r="A21" s="220" t="s">
        <v>48</v>
      </c>
      <c r="B21" s="221"/>
      <c r="C21" s="221"/>
      <c r="D21" s="221"/>
      <c r="E21" s="221"/>
      <c r="F21" s="221"/>
      <c r="G21" s="222"/>
      <c r="H21" s="220" t="s">
        <v>49</v>
      </c>
      <c r="I21" s="221"/>
      <c r="J21" s="221"/>
      <c r="K21" s="222"/>
      <c r="L21" s="220" t="s">
        <v>60</v>
      </c>
      <c r="M21" s="221"/>
      <c r="N21" s="221"/>
      <c r="O21" s="222"/>
      <c r="P21" s="100" t="s">
        <v>47</v>
      </c>
    </row>
    <row r="22" spans="1:16" ht="45" customHeight="1" thickBot="1" x14ac:dyDescent="0.25">
      <c r="A22" s="101" t="s">
        <v>50</v>
      </c>
      <c r="B22" s="212" t="s">
        <v>478</v>
      </c>
      <c r="C22" s="213"/>
      <c r="D22" s="213"/>
      <c r="E22" s="213"/>
      <c r="F22" s="213"/>
      <c r="G22" s="214"/>
      <c r="H22" s="216"/>
      <c r="I22" s="216"/>
      <c r="J22" s="216"/>
      <c r="K22" s="216"/>
      <c r="L22" s="216" t="s">
        <v>486</v>
      </c>
      <c r="M22" s="216"/>
      <c r="N22" s="216"/>
      <c r="O22" s="216"/>
      <c r="P22" s="255" t="s">
        <v>321</v>
      </c>
    </row>
    <row r="23" spans="1:16" ht="63" customHeight="1" thickBot="1" x14ac:dyDescent="0.25">
      <c r="A23" s="101" t="s">
        <v>51</v>
      </c>
      <c r="B23" s="212" t="s">
        <v>480</v>
      </c>
      <c r="C23" s="213"/>
      <c r="D23" s="213"/>
      <c r="E23" s="213"/>
      <c r="F23" s="213"/>
      <c r="G23" s="214"/>
      <c r="H23" s="216"/>
      <c r="I23" s="216"/>
      <c r="J23" s="216"/>
      <c r="K23" s="216"/>
      <c r="L23" s="216" t="s">
        <v>486</v>
      </c>
      <c r="M23" s="216"/>
      <c r="N23" s="216"/>
      <c r="O23" s="216"/>
      <c r="P23" s="255" t="s">
        <v>321</v>
      </c>
    </row>
    <row r="24" spans="1:16" ht="55.5" customHeight="1" thickBot="1" x14ac:dyDescent="0.25">
      <c r="A24" s="101" t="s">
        <v>52</v>
      </c>
      <c r="B24" s="212" t="s">
        <v>481</v>
      </c>
      <c r="C24" s="213"/>
      <c r="D24" s="213"/>
      <c r="E24" s="213"/>
      <c r="F24" s="213"/>
      <c r="G24" s="214"/>
      <c r="H24" s="216"/>
      <c r="I24" s="216"/>
      <c r="J24" s="216"/>
      <c r="K24" s="216"/>
      <c r="L24" s="216" t="s">
        <v>486</v>
      </c>
      <c r="M24" s="216"/>
      <c r="N24" s="216"/>
      <c r="O24" s="216"/>
      <c r="P24" s="255" t="s">
        <v>321</v>
      </c>
    </row>
    <row r="25" spans="1:16" ht="39.75" customHeight="1" thickBot="1" x14ac:dyDescent="0.25">
      <c r="A25" s="101" t="s">
        <v>53</v>
      </c>
      <c r="B25" s="212" t="s">
        <v>482</v>
      </c>
      <c r="C25" s="213"/>
      <c r="D25" s="213"/>
      <c r="E25" s="213"/>
      <c r="F25" s="213"/>
      <c r="G25" s="214"/>
      <c r="H25" s="216"/>
      <c r="I25" s="216"/>
      <c r="J25" s="216"/>
      <c r="K25" s="216"/>
      <c r="L25" s="216" t="s">
        <v>486</v>
      </c>
      <c r="M25" s="216"/>
      <c r="N25" s="216"/>
      <c r="O25" s="216"/>
      <c r="P25" s="255" t="s">
        <v>321</v>
      </c>
    </row>
    <row r="26" spans="1:16" ht="60" customHeight="1" thickBot="1" x14ac:dyDescent="0.25">
      <c r="A26" s="101" t="s">
        <v>54</v>
      </c>
      <c r="B26" s="212" t="s">
        <v>483</v>
      </c>
      <c r="C26" s="213"/>
      <c r="D26" s="213"/>
      <c r="E26" s="213"/>
      <c r="F26" s="213"/>
      <c r="G26" s="214"/>
      <c r="H26" s="216"/>
      <c r="I26" s="216"/>
      <c r="J26" s="216"/>
      <c r="K26" s="216"/>
      <c r="L26" s="216" t="s">
        <v>486</v>
      </c>
      <c r="M26" s="216"/>
      <c r="N26" s="216"/>
      <c r="O26" s="216"/>
      <c r="P26" s="255" t="s">
        <v>321</v>
      </c>
    </row>
    <row r="27" spans="1:16" ht="60" customHeight="1" thickBot="1" x14ac:dyDescent="0.25">
      <c r="A27" s="101" t="s">
        <v>55</v>
      </c>
      <c r="B27" s="212" t="s">
        <v>484</v>
      </c>
      <c r="C27" s="213"/>
      <c r="D27" s="213"/>
      <c r="E27" s="213"/>
      <c r="F27" s="213"/>
      <c r="G27" s="214"/>
      <c r="H27" s="216"/>
      <c r="I27" s="216"/>
      <c r="J27" s="216"/>
      <c r="K27" s="216"/>
      <c r="L27" s="216" t="s">
        <v>479</v>
      </c>
      <c r="M27" s="216"/>
      <c r="N27" s="216"/>
      <c r="O27" s="216"/>
      <c r="P27" s="255" t="s">
        <v>321</v>
      </c>
    </row>
    <row r="28" spans="1:16" ht="41.25" customHeight="1" thickBot="1" x14ac:dyDescent="0.25">
      <c r="A28" s="101" t="s">
        <v>56</v>
      </c>
      <c r="B28" s="212" t="s">
        <v>485</v>
      </c>
      <c r="C28" s="213"/>
      <c r="D28" s="213"/>
      <c r="E28" s="213"/>
      <c r="F28" s="213"/>
      <c r="G28" s="214"/>
      <c r="H28" s="216"/>
      <c r="I28" s="216"/>
      <c r="J28" s="216"/>
      <c r="K28" s="216"/>
      <c r="L28" s="216" t="s">
        <v>486</v>
      </c>
      <c r="M28" s="216"/>
      <c r="N28" s="216"/>
      <c r="O28" s="216"/>
      <c r="P28" s="255" t="s">
        <v>321</v>
      </c>
    </row>
    <row r="29" spans="1:16" ht="39.75" customHeight="1" thickBot="1" x14ac:dyDescent="0.25">
      <c r="A29" s="101" t="s">
        <v>57</v>
      </c>
      <c r="B29" s="212" t="s">
        <v>487</v>
      </c>
      <c r="C29" s="213"/>
      <c r="D29" s="213"/>
      <c r="E29" s="213"/>
      <c r="F29" s="213"/>
      <c r="G29" s="214"/>
      <c r="H29" s="216"/>
      <c r="I29" s="216"/>
      <c r="J29" s="216"/>
      <c r="K29" s="216"/>
      <c r="L29" s="216" t="s">
        <v>486</v>
      </c>
      <c r="M29" s="216"/>
      <c r="N29" s="216"/>
      <c r="O29" s="216"/>
      <c r="P29" s="255" t="s">
        <v>321</v>
      </c>
    </row>
    <row r="30" spans="1:16" ht="57" customHeight="1" thickBot="1" x14ac:dyDescent="0.25">
      <c r="A30" s="102" t="s">
        <v>58</v>
      </c>
      <c r="B30" s="212" t="s">
        <v>488</v>
      </c>
      <c r="C30" s="213"/>
      <c r="D30" s="213"/>
      <c r="E30" s="213"/>
      <c r="F30" s="213"/>
      <c r="G30" s="214"/>
      <c r="H30" s="215"/>
      <c r="I30" s="215"/>
      <c r="J30" s="215"/>
      <c r="K30" s="215"/>
      <c r="L30" s="216" t="s">
        <v>486</v>
      </c>
      <c r="M30" s="216"/>
      <c r="N30" s="216"/>
      <c r="O30" s="216"/>
      <c r="P30" s="255" t="s">
        <v>321</v>
      </c>
    </row>
    <row r="31" spans="1:16" ht="42" customHeight="1" thickBot="1" x14ac:dyDescent="0.25">
      <c r="A31" s="102" t="s">
        <v>145</v>
      </c>
      <c r="B31" s="212" t="s">
        <v>489</v>
      </c>
      <c r="C31" s="213"/>
      <c r="D31" s="213"/>
      <c r="E31" s="213"/>
      <c r="F31" s="213"/>
      <c r="G31" s="214"/>
      <c r="H31" s="216"/>
      <c r="I31" s="216"/>
      <c r="J31" s="216"/>
      <c r="K31" s="216"/>
      <c r="L31" s="216" t="s">
        <v>486</v>
      </c>
      <c r="M31" s="216"/>
      <c r="N31" s="216"/>
      <c r="O31" s="216"/>
      <c r="P31" s="255" t="s">
        <v>321</v>
      </c>
    </row>
    <row r="32" spans="1:16" ht="42.75" customHeight="1" thickBot="1" x14ac:dyDescent="0.25">
      <c r="A32" s="102" t="s">
        <v>146</v>
      </c>
      <c r="B32" s="212" t="s">
        <v>490</v>
      </c>
      <c r="C32" s="213"/>
      <c r="D32" s="213"/>
      <c r="E32" s="213"/>
      <c r="F32" s="213"/>
      <c r="G32" s="214"/>
      <c r="H32" s="216"/>
      <c r="I32" s="216"/>
      <c r="J32" s="216"/>
      <c r="K32" s="216"/>
      <c r="L32" s="216" t="s">
        <v>486</v>
      </c>
      <c r="M32" s="216"/>
      <c r="N32" s="216"/>
      <c r="O32" s="216"/>
      <c r="P32" s="255" t="s">
        <v>321</v>
      </c>
    </row>
    <row r="33" spans="1:16" ht="42.75" customHeight="1" thickBot="1" x14ac:dyDescent="0.25">
      <c r="A33" s="102" t="s">
        <v>147</v>
      </c>
      <c r="B33" s="212" t="s">
        <v>491</v>
      </c>
      <c r="C33" s="213"/>
      <c r="D33" s="213"/>
      <c r="E33" s="213"/>
      <c r="F33" s="213"/>
      <c r="G33" s="214"/>
      <c r="H33" s="215"/>
      <c r="I33" s="215"/>
      <c r="J33" s="215"/>
      <c r="K33" s="215"/>
      <c r="L33" s="216" t="s">
        <v>486</v>
      </c>
      <c r="M33" s="216"/>
      <c r="N33" s="216"/>
      <c r="O33" s="216"/>
      <c r="P33" s="255" t="s">
        <v>321</v>
      </c>
    </row>
    <row r="34" spans="1:16" ht="42" customHeight="1" thickBot="1" x14ac:dyDescent="0.25">
      <c r="A34" s="102" t="s">
        <v>148</v>
      </c>
      <c r="B34" s="212" t="s">
        <v>492</v>
      </c>
      <c r="C34" s="213"/>
      <c r="D34" s="213"/>
      <c r="E34" s="213"/>
      <c r="F34" s="213"/>
      <c r="G34" s="214"/>
      <c r="H34" s="216"/>
      <c r="I34" s="216"/>
      <c r="J34" s="216"/>
      <c r="K34" s="216"/>
      <c r="L34" s="216" t="s">
        <v>486</v>
      </c>
      <c r="M34" s="216"/>
      <c r="N34" s="216"/>
      <c r="O34" s="216"/>
      <c r="P34" s="255" t="s">
        <v>321</v>
      </c>
    </row>
    <row r="35" spans="1:16" ht="57.75" customHeight="1" thickBot="1" x14ac:dyDescent="0.25">
      <c r="A35" s="102" t="s">
        <v>149</v>
      </c>
      <c r="B35" s="212" t="s">
        <v>493</v>
      </c>
      <c r="C35" s="213"/>
      <c r="D35" s="213"/>
      <c r="E35" s="213"/>
      <c r="F35" s="213"/>
      <c r="G35" s="214"/>
      <c r="H35" s="216"/>
      <c r="I35" s="216"/>
      <c r="J35" s="216"/>
      <c r="K35" s="216"/>
      <c r="L35" s="216" t="s">
        <v>486</v>
      </c>
      <c r="M35" s="216"/>
      <c r="N35" s="216"/>
      <c r="O35" s="216"/>
      <c r="P35" s="255" t="s">
        <v>321</v>
      </c>
    </row>
    <row r="36" spans="1:16" ht="51" customHeight="1" thickBot="1" x14ac:dyDescent="0.25">
      <c r="A36" s="102" t="s">
        <v>150</v>
      </c>
      <c r="B36" s="212" t="s">
        <v>494</v>
      </c>
      <c r="C36" s="213"/>
      <c r="D36" s="213"/>
      <c r="E36" s="213"/>
      <c r="F36" s="213"/>
      <c r="G36" s="214"/>
      <c r="H36" s="215"/>
      <c r="I36" s="215"/>
      <c r="J36" s="215"/>
      <c r="K36" s="215"/>
      <c r="L36" s="216" t="s">
        <v>486</v>
      </c>
      <c r="M36" s="216"/>
      <c r="N36" s="216"/>
      <c r="O36" s="216"/>
      <c r="P36" s="255" t="s">
        <v>321</v>
      </c>
    </row>
    <row r="37" spans="1:16" ht="66" customHeight="1" thickBot="1" x14ac:dyDescent="0.25">
      <c r="A37" s="102" t="s">
        <v>151</v>
      </c>
      <c r="B37" s="212" t="s">
        <v>501</v>
      </c>
      <c r="C37" s="213"/>
      <c r="D37" s="213"/>
      <c r="E37" s="213"/>
      <c r="F37" s="213"/>
      <c r="G37" s="214"/>
      <c r="H37" s="215"/>
      <c r="I37" s="215"/>
      <c r="J37" s="215"/>
      <c r="K37" s="215"/>
      <c r="L37" s="216" t="s">
        <v>502</v>
      </c>
      <c r="M37" s="216"/>
      <c r="N37" s="216"/>
      <c r="O37" s="216"/>
      <c r="P37" s="255" t="s">
        <v>321</v>
      </c>
    </row>
    <row r="38" spans="1:16" ht="45.75" customHeight="1" thickBot="1" x14ac:dyDescent="0.25">
      <c r="A38" s="102" t="s">
        <v>152</v>
      </c>
      <c r="B38" s="212"/>
      <c r="C38" s="213"/>
      <c r="D38" s="213"/>
      <c r="E38" s="213"/>
      <c r="F38" s="213"/>
      <c r="G38" s="214"/>
      <c r="H38" s="215"/>
      <c r="I38" s="215"/>
      <c r="J38" s="215"/>
      <c r="K38" s="215"/>
      <c r="L38" s="215"/>
      <c r="M38" s="215"/>
      <c r="N38" s="215"/>
      <c r="O38" s="215"/>
      <c r="P38" s="256"/>
    </row>
    <row r="39" spans="1:16" ht="45.75" customHeight="1" thickBot="1" x14ac:dyDescent="0.25">
      <c r="A39" s="102" t="s">
        <v>153</v>
      </c>
      <c r="B39" s="212"/>
      <c r="C39" s="213"/>
      <c r="D39" s="213"/>
      <c r="E39" s="213"/>
      <c r="F39" s="213"/>
      <c r="G39" s="214"/>
      <c r="H39" s="215"/>
      <c r="I39" s="215"/>
      <c r="J39" s="215"/>
      <c r="K39" s="215"/>
      <c r="L39" s="215"/>
      <c r="M39" s="215"/>
      <c r="N39" s="215"/>
      <c r="O39" s="215"/>
      <c r="P39" s="256"/>
    </row>
    <row r="40" spans="1:16" ht="45.75" customHeight="1" thickBot="1" x14ac:dyDescent="0.25">
      <c r="A40" s="102" t="s">
        <v>184</v>
      </c>
      <c r="B40" s="212"/>
      <c r="C40" s="213"/>
      <c r="D40" s="213"/>
      <c r="E40" s="213"/>
      <c r="F40" s="213"/>
      <c r="G40" s="214"/>
      <c r="H40" s="215"/>
      <c r="I40" s="215"/>
      <c r="J40" s="215"/>
      <c r="K40" s="215"/>
      <c r="L40" s="215"/>
      <c r="M40" s="215"/>
      <c r="N40" s="215"/>
      <c r="O40" s="215"/>
      <c r="P40" s="256"/>
    </row>
    <row r="41" spans="1:16" ht="45.75" customHeight="1" thickBot="1" x14ac:dyDescent="0.25">
      <c r="A41" s="102" t="s">
        <v>185</v>
      </c>
      <c r="B41" s="212"/>
      <c r="C41" s="213"/>
      <c r="D41" s="213"/>
      <c r="E41" s="213"/>
      <c r="F41" s="213"/>
      <c r="G41" s="214"/>
      <c r="H41" s="215"/>
      <c r="I41" s="215"/>
      <c r="J41" s="215"/>
      <c r="K41" s="215"/>
      <c r="L41" s="215"/>
      <c r="M41" s="215"/>
      <c r="N41" s="215"/>
      <c r="O41" s="215"/>
      <c r="P41" s="256"/>
    </row>
    <row r="42" spans="1:16" ht="45.75" customHeight="1" thickBot="1" x14ac:dyDescent="0.25">
      <c r="A42" s="102" t="s">
        <v>186</v>
      </c>
      <c r="B42" s="212"/>
      <c r="C42" s="213"/>
      <c r="D42" s="213"/>
      <c r="E42" s="213"/>
      <c r="F42" s="213"/>
      <c r="G42" s="214"/>
      <c r="H42" s="215"/>
      <c r="I42" s="215"/>
      <c r="J42" s="215"/>
      <c r="K42" s="215"/>
      <c r="L42" s="215"/>
      <c r="M42" s="215"/>
      <c r="N42" s="215"/>
      <c r="O42" s="215"/>
      <c r="P42" s="256"/>
    </row>
    <row r="43" spans="1:16" ht="45.75" customHeight="1" thickBot="1" x14ac:dyDescent="0.25">
      <c r="A43" s="102" t="s">
        <v>187</v>
      </c>
      <c r="B43" s="212"/>
      <c r="C43" s="213"/>
      <c r="D43" s="213"/>
      <c r="E43" s="213"/>
      <c r="F43" s="213"/>
      <c r="G43" s="214"/>
      <c r="H43" s="215"/>
      <c r="I43" s="215"/>
      <c r="J43" s="215"/>
      <c r="K43" s="215"/>
      <c r="L43" s="215"/>
      <c r="M43" s="215"/>
      <c r="N43" s="215"/>
      <c r="O43" s="215"/>
      <c r="P43" s="256"/>
    </row>
    <row r="44" spans="1:16" ht="45.75" customHeight="1" thickBot="1" x14ac:dyDescent="0.25">
      <c r="A44" s="102" t="s">
        <v>188</v>
      </c>
      <c r="B44" s="212"/>
      <c r="C44" s="213"/>
      <c r="D44" s="213"/>
      <c r="E44" s="213"/>
      <c r="F44" s="213"/>
      <c r="G44" s="214"/>
      <c r="H44" s="215"/>
      <c r="I44" s="215"/>
      <c r="J44" s="215"/>
      <c r="K44" s="215"/>
      <c r="L44" s="215"/>
      <c r="M44" s="215"/>
      <c r="N44" s="215"/>
      <c r="O44" s="215"/>
      <c r="P44" s="256"/>
    </row>
    <row r="45" spans="1:16" ht="45.75" customHeight="1" thickBot="1" x14ac:dyDescent="0.25">
      <c r="A45" s="102" t="s">
        <v>189</v>
      </c>
      <c r="B45" s="212"/>
      <c r="C45" s="213"/>
      <c r="D45" s="213"/>
      <c r="E45" s="213"/>
      <c r="F45" s="213"/>
      <c r="G45" s="214"/>
      <c r="H45" s="215"/>
      <c r="I45" s="215"/>
      <c r="J45" s="215"/>
      <c r="K45" s="215"/>
      <c r="L45" s="215"/>
      <c r="M45" s="215"/>
      <c r="N45" s="215"/>
      <c r="O45" s="215"/>
      <c r="P45" s="256"/>
    </row>
    <row r="46" spans="1:16" ht="45.75" customHeight="1" thickBot="1" x14ac:dyDescent="0.25">
      <c r="A46" s="102" t="s">
        <v>190</v>
      </c>
      <c r="B46" s="212"/>
      <c r="C46" s="213"/>
      <c r="D46" s="213"/>
      <c r="E46" s="213"/>
      <c r="F46" s="213"/>
      <c r="G46" s="214"/>
      <c r="H46" s="215"/>
      <c r="I46" s="215"/>
      <c r="J46" s="215"/>
      <c r="K46" s="215"/>
      <c r="L46" s="215"/>
      <c r="M46" s="215"/>
      <c r="N46" s="215"/>
      <c r="O46" s="215"/>
      <c r="P46" s="256"/>
    </row>
    <row r="47" spans="1:16" ht="45.75" customHeight="1" thickBot="1" x14ac:dyDescent="0.25">
      <c r="A47" s="102" t="s">
        <v>191</v>
      </c>
      <c r="B47" s="212"/>
      <c r="C47" s="213"/>
      <c r="D47" s="213"/>
      <c r="E47" s="213"/>
      <c r="F47" s="213"/>
      <c r="G47" s="214"/>
      <c r="H47" s="215"/>
      <c r="I47" s="215"/>
      <c r="J47" s="215"/>
      <c r="K47" s="215"/>
      <c r="L47" s="215"/>
      <c r="M47" s="215"/>
      <c r="N47" s="215"/>
      <c r="O47" s="215"/>
      <c r="P47" s="256"/>
    </row>
    <row r="48" spans="1:16" ht="45.75" customHeight="1" thickBot="1" x14ac:dyDescent="0.25">
      <c r="A48" s="102" t="s">
        <v>192</v>
      </c>
      <c r="B48" s="212"/>
      <c r="C48" s="213"/>
      <c r="D48" s="213"/>
      <c r="E48" s="213"/>
      <c r="F48" s="213"/>
      <c r="G48" s="214"/>
      <c r="H48" s="215"/>
      <c r="I48" s="215"/>
      <c r="J48" s="215"/>
      <c r="K48" s="215"/>
      <c r="L48" s="215"/>
      <c r="M48" s="215"/>
      <c r="N48" s="215"/>
      <c r="O48" s="215"/>
      <c r="P48" s="256"/>
    </row>
    <row r="49" spans="1:16" ht="45.75" customHeight="1" thickBot="1" x14ac:dyDescent="0.25">
      <c r="A49" s="102" t="s">
        <v>193</v>
      </c>
      <c r="B49" s="212"/>
      <c r="C49" s="213"/>
      <c r="D49" s="213"/>
      <c r="E49" s="213"/>
      <c r="F49" s="213"/>
      <c r="G49" s="214"/>
      <c r="H49" s="215"/>
      <c r="I49" s="215"/>
      <c r="J49" s="215"/>
      <c r="K49" s="215"/>
      <c r="L49" s="215"/>
      <c r="M49" s="215"/>
      <c r="N49" s="215"/>
      <c r="O49" s="215"/>
      <c r="P49" s="256"/>
    </row>
    <row r="50" spans="1:16" ht="45.75" customHeight="1" thickBot="1" x14ac:dyDescent="0.25">
      <c r="A50" s="102" t="s">
        <v>194</v>
      </c>
      <c r="B50" s="212"/>
      <c r="C50" s="213"/>
      <c r="D50" s="213"/>
      <c r="E50" s="213"/>
      <c r="F50" s="213"/>
      <c r="G50" s="214"/>
      <c r="H50" s="215"/>
      <c r="I50" s="215"/>
      <c r="J50" s="215"/>
      <c r="K50" s="215"/>
      <c r="L50" s="215"/>
      <c r="M50" s="215"/>
      <c r="N50" s="215"/>
      <c r="O50" s="215"/>
      <c r="P50" s="256"/>
    </row>
  </sheetData>
  <mergeCells count="97">
    <mergeCell ref="B49:G49"/>
    <mergeCell ref="H49:K49"/>
    <mergeCell ref="L49:O49"/>
    <mergeCell ref="B50:G50"/>
    <mergeCell ref="H50:K50"/>
    <mergeCell ref="L50:O50"/>
    <mergeCell ref="B47:G47"/>
    <mergeCell ref="H47:K47"/>
    <mergeCell ref="L47:O47"/>
    <mergeCell ref="B48:G48"/>
    <mergeCell ref="H48:K48"/>
    <mergeCell ref="L48:O48"/>
    <mergeCell ref="B45:G45"/>
    <mergeCell ref="H45:K45"/>
    <mergeCell ref="L45:O45"/>
    <mergeCell ref="B46:G46"/>
    <mergeCell ref="H46:K46"/>
    <mergeCell ref="L46:O46"/>
    <mergeCell ref="B43:G43"/>
    <mergeCell ref="H43:K43"/>
    <mergeCell ref="L43:O43"/>
    <mergeCell ref="B44:G44"/>
    <mergeCell ref="H44:K44"/>
    <mergeCell ref="L44:O44"/>
    <mergeCell ref="B41:G41"/>
    <mergeCell ref="H41:K41"/>
    <mergeCell ref="L41:O41"/>
    <mergeCell ref="B42:G42"/>
    <mergeCell ref="H42:K42"/>
    <mergeCell ref="L42:O42"/>
    <mergeCell ref="B39:G39"/>
    <mergeCell ref="H39:K39"/>
    <mergeCell ref="L39:O39"/>
    <mergeCell ref="B40:G40"/>
    <mergeCell ref="H40:K40"/>
    <mergeCell ref="L40:O40"/>
    <mergeCell ref="B37:G37"/>
    <mergeCell ref="H37:K37"/>
    <mergeCell ref="L37:O37"/>
    <mergeCell ref="B38:G38"/>
    <mergeCell ref="H38:K38"/>
    <mergeCell ref="L38:O38"/>
    <mergeCell ref="B35:G35"/>
    <mergeCell ref="H35:K35"/>
    <mergeCell ref="L35:O35"/>
    <mergeCell ref="B36:G36"/>
    <mergeCell ref="H36:K36"/>
    <mergeCell ref="L36:O36"/>
    <mergeCell ref="B33:G33"/>
    <mergeCell ref="H33:K33"/>
    <mergeCell ref="L33:O33"/>
    <mergeCell ref="B34:G34"/>
    <mergeCell ref="H34:K34"/>
    <mergeCell ref="L34:O34"/>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B1:G1"/>
    <mergeCell ref="B3:G3"/>
    <mergeCell ref="B7:G7"/>
    <mergeCell ref="A11:A14"/>
    <mergeCell ref="B11:G14"/>
    <mergeCell ref="A16:A19"/>
    <mergeCell ref="B16:G19"/>
  </mergeCells>
  <conditionalFormatting sqref="B9:B10">
    <cfRule type="cellIs" dxfId="112" priority="35" operator="equal">
      <formula>"Nok"</formula>
    </cfRule>
    <cfRule type="cellIs" dxfId="111" priority="36" operator="equal">
      <formula>"Ok"</formula>
    </cfRule>
  </conditionalFormatting>
  <conditionalFormatting sqref="P22:P37">
    <cfRule type="cellIs" dxfId="110" priority="33" operator="equal">
      <formula>"Nok"</formula>
    </cfRule>
    <cfRule type="cellIs" dxfId="109" priority="34" operator="equal">
      <formula>"Ok"</formula>
    </cfRule>
  </conditionalFormatting>
  <conditionalFormatting sqref="P38">
    <cfRule type="cellIs" dxfId="104" priority="27" operator="equal">
      <formula>"Nok"</formula>
    </cfRule>
    <cfRule type="cellIs" dxfId="103" priority="28" operator="equal">
      <formula>"Ok"</formula>
    </cfRule>
  </conditionalFormatting>
  <conditionalFormatting sqref="P39">
    <cfRule type="cellIs" dxfId="102" priority="25" operator="equal">
      <formula>"Nok"</formula>
    </cfRule>
    <cfRule type="cellIs" dxfId="101" priority="26" operator="equal">
      <formula>"Ok"</formula>
    </cfRule>
  </conditionalFormatting>
  <conditionalFormatting sqref="P40">
    <cfRule type="cellIs" dxfId="100" priority="23" operator="equal">
      <formula>"Nok"</formula>
    </cfRule>
    <cfRule type="cellIs" dxfId="99" priority="24" operator="equal">
      <formula>"Ok"</formula>
    </cfRule>
  </conditionalFormatting>
  <conditionalFormatting sqref="P41">
    <cfRule type="cellIs" dxfId="98" priority="21" operator="equal">
      <formula>"Nok"</formula>
    </cfRule>
    <cfRule type="cellIs" dxfId="97" priority="22" operator="equal">
      <formula>"Ok"</formula>
    </cfRule>
  </conditionalFormatting>
  <conditionalFormatting sqref="P42">
    <cfRule type="cellIs" dxfId="96" priority="19" operator="equal">
      <formula>"Nok"</formula>
    </cfRule>
    <cfRule type="cellIs" dxfId="95" priority="20" operator="equal">
      <formula>"Ok"</formula>
    </cfRule>
  </conditionalFormatting>
  <conditionalFormatting sqref="P43">
    <cfRule type="cellIs" dxfId="94" priority="17" operator="equal">
      <formula>"Nok"</formula>
    </cfRule>
    <cfRule type="cellIs" dxfId="93" priority="18" operator="equal">
      <formula>"Ok"</formula>
    </cfRule>
  </conditionalFormatting>
  <conditionalFormatting sqref="P44">
    <cfRule type="cellIs" dxfId="92" priority="15" operator="equal">
      <formula>"Nok"</formula>
    </cfRule>
    <cfRule type="cellIs" dxfId="91" priority="16" operator="equal">
      <formula>"Ok"</formula>
    </cfRule>
  </conditionalFormatting>
  <conditionalFormatting sqref="P45">
    <cfRule type="cellIs" dxfId="90" priority="13" operator="equal">
      <formula>"Nok"</formula>
    </cfRule>
    <cfRule type="cellIs" dxfId="89" priority="14" operator="equal">
      <formula>"Ok"</formula>
    </cfRule>
  </conditionalFormatting>
  <conditionalFormatting sqref="P46">
    <cfRule type="cellIs" dxfId="88" priority="11" operator="equal">
      <formula>"Nok"</formula>
    </cfRule>
    <cfRule type="cellIs" dxfId="87" priority="12" operator="equal">
      <formula>"Ok"</formula>
    </cfRule>
  </conditionalFormatting>
  <conditionalFormatting sqref="P47">
    <cfRule type="cellIs" dxfId="86" priority="9" operator="equal">
      <formula>"Nok"</formula>
    </cfRule>
    <cfRule type="cellIs" dxfId="85" priority="10" operator="equal">
      <formula>"Ok"</formula>
    </cfRule>
  </conditionalFormatting>
  <conditionalFormatting sqref="P48">
    <cfRule type="cellIs" dxfId="84" priority="7" operator="equal">
      <formula>"Nok"</formula>
    </cfRule>
    <cfRule type="cellIs" dxfId="83" priority="8" operator="equal">
      <formula>"Ok"</formula>
    </cfRule>
  </conditionalFormatting>
  <conditionalFormatting sqref="P49">
    <cfRule type="cellIs" dxfId="82" priority="5" operator="equal">
      <formula>"Nok"</formula>
    </cfRule>
    <cfRule type="cellIs" dxfId="81" priority="6" operator="equal">
      <formula>"Ok"</formula>
    </cfRule>
  </conditionalFormatting>
  <conditionalFormatting sqref="P50">
    <cfRule type="cellIs" dxfId="80" priority="3" operator="equal">
      <formula>"Nok"</formula>
    </cfRule>
    <cfRule type="cellIs" dxfId="79" priority="4" operator="equal">
      <formula>"Ok"</formula>
    </cfRule>
  </conditionalFormatting>
  <dataValidations count="3">
    <dataValidation type="list" allowBlank="1" showInputMessage="1" showErrorMessage="1" sqref="B5">
      <formula1>"Nominal, Robustness, Endurance, Qualification"</formula1>
    </dataValidation>
    <dataValidation type="list" allowBlank="1" showInputMessage="1" showErrorMessage="1" sqref="B9">
      <formula1>"Ok, Nok, Not run, NA"</formula1>
    </dataValidation>
    <dataValidation type="list" allowBlank="1" showInputMessage="1" showErrorMessage="1" sqref="P22:P50">
      <formula1>"Ok, Nok, Not run, ,"</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zoomScale="85" zoomScaleNormal="85" workbookViewId="0">
      <selection activeCell="B16" sqref="B16:G19"/>
    </sheetView>
  </sheetViews>
  <sheetFormatPr defaultRowHeight="12.75" x14ac:dyDescent="0.2"/>
  <cols>
    <col min="1" max="1" width="20.140625" style="97" customWidth="1"/>
    <col min="2" max="2" width="18.42578125" style="97" customWidth="1"/>
    <col min="3" max="7" width="9.140625" style="97"/>
    <col min="8" max="11" width="3.28515625" style="97" customWidth="1"/>
    <col min="12" max="15" width="9.5703125" style="97" customWidth="1"/>
    <col min="16" max="16384" width="9.140625" style="97"/>
  </cols>
  <sheetData>
    <row r="1" spans="1:15" ht="13.5" thickBot="1" x14ac:dyDescent="0.25">
      <c r="A1" s="98" t="s">
        <v>41</v>
      </c>
      <c r="B1" s="247" t="s">
        <v>496</v>
      </c>
      <c r="C1" s="248"/>
      <c r="D1" s="248"/>
      <c r="E1" s="248"/>
      <c r="F1" s="248"/>
      <c r="G1" s="249"/>
      <c r="H1" s="250"/>
      <c r="I1" s="250"/>
      <c r="J1" s="250"/>
      <c r="K1" s="250"/>
      <c r="L1" s="250"/>
      <c r="M1" s="250"/>
      <c r="N1" s="250"/>
      <c r="O1" s="250"/>
    </row>
    <row r="2" spans="1:15" ht="13.5" thickBot="1" x14ac:dyDescent="0.25">
      <c r="A2" s="71"/>
      <c r="B2" s="71"/>
      <c r="C2" s="71"/>
      <c r="D2" s="250"/>
      <c r="E2" s="250"/>
      <c r="F2" s="250"/>
      <c r="G2" s="250"/>
      <c r="H2" s="250"/>
      <c r="I2" s="250"/>
      <c r="J2" s="250"/>
      <c r="K2" s="250"/>
      <c r="L2" s="250"/>
      <c r="M2" s="250"/>
      <c r="N2" s="250"/>
      <c r="O2" s="250"/>
    </row>
    <row r="3" spans="1:15" ht="61.5" customHeight="1" thickBot="1" x14ac:dyDescent="0.25">
      <c r="A3" s="99" t="s">
        <v>46</v>
      </c>
      <c r="B3" s="237" t="s">
        <v>507</v>
      </c>
      <c r="C3" s="238"/>
      <c r="D3" s="238"/>
      <c r="E3" s="238"/>
      <c r="F3" s="238"/>
      <c r="G3" s="239"/>
      <c r="H3" s="250"/>
      <c r="I3" s="250"/>
      <c r="J3" s="250"/>
      <c r="K3" s="250"/>
      <c r="L3" s="250"/>
      <c r="M3" s="250"/>
      <c r="N3" s="250"/>
      <c r="O3" s="250"/>
    </row>
    <row r="4" spans="1:15" ht="13.5" thickBot="1" x14ac:dyDescent="0.25">
      <c r="A4" s="71"/>
      <c r="B4" s="71"/>
      <c r="C4" s="71"/>
      <c r="D4" s="250"/>
      <c r="E4" s="250"/>
      <c r="F4" s="250"/>
      <c r="G4" s="250"/>
      <c r="H4" s="250"/>
      <c r="I4" s="250"/>
      <c r="J4" s="250"/>
      <c r="K4" s="250"/>
      <c r="L4" s="250"/>
      <c r="M4" s="250"/>
      <c r="N4" s="250"/>
      <c r="O4" s="250"/>
    </row>
    <row r="5" spans="1:15" ht="13.5" thickBot="1" x14ac:dyDescent="0.25">
      <c r="A5" s="98" t="s">
        <v>111</v>
      </c>
      <c r="B5" s="251" t="s">
        <v>142</v>
      </c>
      <c r="C5" s="71"/>
      <c r="D5" s="250"/>
      <c r="E5" s="250"/>
      <c r="F5" s="250"/>
      <c r="G5" s="250"/>
      <c r="H5" s="250"/>
      <c r="I5" s="250"/>
      <c r="J5" s="250"/>
      <c r="K5" s="250"/>
      <c r="L5" s="250"/>
      <c r="M5" s="250"/>
      <c r="N5" s="250"/>
      <c r="O5" s="250"/>
    </row>
    <row r="6" spans="1:15" ht="13.5" thickBot="1" x14ac:dyDescent="0.25">
      <c r="A6" s="71"/>
      <c r="B6" s="71"/>
      <c r="C6" s="71"/>
      <c r="D6" s="250"/>
      <c r="E6" s="250"/>
      <c r="F6" s="250"/>
      <c r="G6" s="250"/>
      <c r="H6" s="250"/>
      <c r="I6" s="250"/>
      <c r="J6" s="250"/>
      <c r="K6" s="250"/>
      <c r="L6" s="250"/>
      <c r="M6" s="250"/>
      <c r="N6" s="250"/>
      <c r="O6" s="250"/>
    </row>
    <row r="7" spans="1:15" ht="30.75" customHeight="1" thickBot="1" x14ac:dyDescent="0.25">
      <c r="A7" s="98" t="s">
        <v>42</v>
      </c>
      <c r="B7" s="237" t="s">
        <v>476</v>
      </c>
      <c r="C7" s="238"/>
      <c r="D7" s="238"/>
      <c r="E7" s="238"/>
      <c r="F7" s="238"/>
      <c r="G7" s="239"/>
      <c r="H7" s="250"/>
      <c r="I7" s="250"/>
      <c r="J7" s="250"/>
      <c r="K7" s="250"/>
      <c r="L7" s="250"/>
      <c r="M7" s="250"/>
      <c r="N7" s="250"/>
      <c r="O7" s="250"/>
    </row>
    <row r="8" spans="1:15" ht="13.5" thickBot="1" x14ac:dyDescent="0.25">
      <c r="A8" s="75"/>
      <c r="B8" s="252"/>
      <c r="C8" s="252"/>
      <c r="D8" s="252"/>
      <c r="E8" s="252"/>
      <c r="F8" s="252"/>
      <c r="G8" s="252"/>
      <c r="H8" s="250"/>
      <c r="I8" s="250"/>
      <c r="J8" s="250"/>
      <c r="K8" s="250"/>
      <c r="L8" s="250"/>
      <c r="M8" s="250"/>
      <c r="N8" s="250"/>
      <c r="O8" s="250"/>
    </row>
    <row r="9" spans="1:15" ht="13.5" thickBot="1" x14ac:dyDescent="0.25">
      <c r="A9" s="98" t="s">
        <v>43</v>
      </c>
      <c r="B9" s="253" t="s">
        <v>144</v>
      </c>
      <c r="C9" s="71"/>
      <c r="D9" s="250"/>
      <c r="E9" s="250"/>
      <c r="F9" s="250"/>
      <c r="G9" s="250"/>
      <c r="H9" s="250"/>
      <c r="I9" s="250"/>
      <c r="J9" s="250"/>
      <c r="K9" s="250"/>
      <c r="L9" s="250"/>
      <c r="M9" s="250"/>
      <c r="N9" s="250"/>
      <c r="O9" s="250"/>
    </row>
    <row r="10" spans="1:15" ht="13.5" thickBot="1" x14ac:dyDescent="0.25">
      <c r="A10" s="75"/>
      <c r="B10" s="254"/>
      <c r="C10" s="71"/>
      <c r="D10" s="250"/>
      <c r="E10" s="250"/>
      <c r="F10" s="250"/>
      <c r="G10" s="250"/>
      <c r="H10" s="250"/>
      <c r="I10" s="250"/>
      <c r="J10" s="250"/>
      <c r="K10" s="250"/>
      <c r="L10" s="250"/>
      <c r="M10" s="250"/>
      <c r="N10" s="250"/>
      <c r="O10" s="250"/>
    </row>
    <row r="11" spans="1:15" ht="12" customHeight="1" x14ac:dyDescent="0.2">
      <c r="A11" s="223" t="s">
        <v>113</v>
      </c>
      <c r="B11" s="225"/>
      <c r="C11" s="226"/>
      <c r="D11" s="226"/>
      <c r="E11" s="226"/>
      <c r="F11" s="226"/>
      <c r="G11" s="227"/>
      <c r="H11" s="250"/>
      <c r="I11" s="250"/>
      <c r="J11" s="250"/>
      <c r="K11" s="250"/>
      <c r="L11" s="250"/>
      <c r="M11" s="250"/>
      <c r="N11" s="250"/>
      <c r="O11" s="250"/>
    </row>
    <row r="12" spans="1:15" x14ac:dyDescent="0.2">
      <c r="A12" s="224"/>
      <c r="B12" s="228"/>
      <c r="C12" s="229"/>
      <c r="D12" s="229"/>
      <c r="E12" s="229"/>
      <c r="F12" s="229"/>
      <c r="G12" s="230"/>
      <c r="H12" s="250"/>
      <c r="I12" s="250"/>
      <c r="J12" s="250"/>
      <c r="K12" s="250"/>
      <c r="L12" s="250"/>
      <c r="M12" s="250"/>
      <c r="N12" s="250"/>
      <c r="O12" s="250"/>
    </row>
    <row r="13" spans="1:15" x14ac:dyDescent="0.2">
      <c r="A13" s="224"/>
      <c r="B13" s="228"/>
      <c r="C13" s="229"/>
      <c r="D13" s="229"/>
      <c r="E13" s="229"/>
      <c r="F13" s="229"/>
      <c r="G13" s="230"/>
      <c r="H13" s="71"/>
      <c r="I13" s="250"/>
      <c r="J13" s="250"/>
      <c r="K13" s="250"/>
      <c r="L13" s="250"/>
      <c r="M13" s="250"/>
      <c r="N13" s="250"/>
      <c r="O13" s="250"/>
    </row>
    <row r="14" spans="1:15" ht="13.5" thickBot="1" x14ac:dyDescent="0.25">
      <c r="A14" s="224"/>
      <c r="B14" s="231"/>
      <c r="C14" s="232"/>
      <c r="D14" s="232"/>
      <c r="E14" s="232"/>
      <c r="F14" s="232"/>
      <c r="G14" s="233"/>
      <c r="H14" s="77"/>
      <c r="I14" s="250"/>
      <c r="J14" s="250"/>
      <c r="K14" s="250"/>
      <c r="L14" s="250"/>
      <c r="M14" s="250"/>
      <c r="N14" s="250"/>
      <c r="O14" s="250"/>
    </row>
    <row r="15" spans="1:15" ht="13.5" thickBot="1" x14ac:dyDescent="0.25">
      <c r="A15" s="71"/>
      <c r="B15" s="71"/>
      <c r="C15" s="71"/>
      <c r="D15" s="71"/>
      <c r="E15" s="71"/>
      <c r="F15" s="71"/>
      <c r="G15" s="71"/>
      <c r="H15" s="77"/>
      <c r="I15" s="250"/>
      <c r="J15" s="250"/>
      <c r="K15" s="250"/>
      <c r="L15" s="250"/>
      <c r="M15" s="250"/>
      <c r="N15" s="250"/>
      <c r="O15" s="250"/>
    </row>
    <row r="16" spans="1:15" x14ac:dyDescent="0.2">
      <c r="A16" s="223" t="s">
        <v>44</v>
      </c>
      <c r="B16" s="225"/>
      <c r="C16" s="226"/>
      <c r="D16" s="226"/>
      <c r="E16" s="226"/>
      <c r="F16" s="226"/>
      <c r="G16" s="227"/>
      <c r="H16" s="250"/>
      <c r="I16" s="250"/>
      <c r="J16" s="250"/>
      <c r="K16" s="250"/>
      <c r="L16" s="250"/>
      <c r="M16" s="250"/>
      <c r="N16" s="250"/>
      <c r="O16" s="250"/>
    </row>
    <row r="17" spans="1:16" x14ac:dyDescent="0.2">
      <c r="A17" s="224"/>
      <c r="B17" s="228"/>
      <c r="C17" s="229"/>
      <c r="D17" s="229"/>
      <c r="E17" s="229"/>
      <c r="F17" s="229"/>
      <c r="G17" s="230"/>
      <c r="H17" s="250"/>
      <c r="I17" s="250"/>
      <c r="J17" s="250"/>
      <c r="K17" s="250"/>
      <c r="L17" s="250"/>
      <c r="M17" s="250"/>
      <c r="N17" s="250"/>
      <c r="O17" s="250"/>
    </row>
    <row r="18" spans="1:16" x14ac:dyDescent="0.2">
      <c r="A18" s="224"/>
      <c r="B18" s="228"/>
      <c r="C18" s="229"/>
      <c r="D18" s="229"/>
      <c r="E18" s="229"/>
      <c r="F18" s="229"/>
      <c r="G18" s="230"/>
      <c r="H18" s="71"/>
      <c r="I18" s="250"/>
      <c r="J18" s="250"/>
      <c r="K18" s="250"/>
      <c r="L18" s="250"/>
      <c r="M18" s="250"/>
      <c r="N18" s="250"/>
      <c r="O18" s="250"/>
    </row>
    <row r="19" spans="1:16" ht="13.5" thickBot="1" x14ac:dyDescent="0.25">
      <c r="A19" s="224"/>
      <c r="B19" s="231"/>
      <c r="C19" s="232"/>
      <c r="D19" s="232"/>
      <c r="E19" s="232"/>
      <c r="F19" s="232"/>
      <c r="G19" s="233"/>
      <c r="H19" s="77"/>
      <c r="I19" s="250"/>
      <c r="J19" s="250"/>
      <c r="K19" s="250"/>
      <c r="L19" s="250"/>
      <c r="M19" s="250"/>
      <c r="N19" s="250"/>
      <c r="O19" s="250"/>
    </row>
    <row r="20" spans="1:16" ht="13.5" thickBot="1" x14ac:dyDescent="0.25">
      <c r="A20" s="71"/>
      <c r="B20" s="71"/>
      <c r="C20" s="71"/>
      <c r="D20" s="71"/>
      <c r="E20" s="71"/>
      <c r="F20" s="71"/>
      <c r="G20" s="71"/>
      <c r="H20" s="77"/>
      <c r="I20" s="250"/>
      <c r="J20" s="250"/>
      <c r="K20" s="250"/>
      <c r="L20" s="250"/>
      <c r="M20" s="250"/>
      <c r="N20" s="250"/>
      <c r="O20" s="250"/>
    </row>
    <row r="21" spans="1:16" ht="12.75" customHeight="1" x14ac:dyDescent="0.2">
      <c r="A21" s="220" t="s">
        <v>48</v>
      </c>
      <c r="B21" s="221"/>
      <c r="C21" s="221"/>
      <c r="D21" s="221"/>
      <c r="E21" s="221"/>
      <c r="F21" s="221"/>
      <c r="G21" s="222"/>
      <c r="H21" s="220" t="s">
        <v>49</v>
      </c>
      <c r="I21" s="221"/>
      <c r="J21" s="221"/>
      <c r="K21" s="222"/>
      <c r="L21" s="220" t="s">
        <v>60</v>
      </c>
      <c r="M21" s="221"/>
      <c r="N21" s="221"/>
      <c r="O21" s="222"/>
      <c r="P21" s="100" t="s">
        <v>47</v>
      </c>
    </row>
    <row r="22" spans="1:16" ht="44.25" customHeight="1" thickBot="1" x14ac:dyDescent="0.25">
      <c r="A22" s="101" t="s">
        <v>50</v>
      </c>
      <c r="B22" s="212" t="s">
        <v>498</v>
      </c>
      <c r="C22" s="213"/>
      <c r="D22" s="213"/>
      <c r="E22" s="213"/>
      <c r="F22" s="213"/>
      <c r="G22" s="214"/>
      <c r="H22" s="216"/>
      <c r="I22" s="216"/>
      <c r="J22" s="216"/>
      <c r="K22" s="216"/>
      <c r="L22" s="216" t="s">
        <v>497</v>
      </c>
      <c r="M22" s="216"/>
      <c r="N22" s="216"/>
      <c r="O22" s="216"/>
      <c r="P22" s="255" t="s">
        <v>144</v>
      </c>
    </row>
    <row r="23" spans="1:16" ht="63" customHeight="1" thickBot="1" x14ac:dyDescent="0.25">
      <c r="A23" s="101" t="s">
        <v>51</v>
      </c>
      <c r="B23" s="212" t="s">
        <v>499</v>
      </c>
      <c r="C23" s="213"/>
      <c r="D23" s="213"/>
      <c r="E23" s="213"/>
      <c r="F23" s="213"/>
      <c r="G23" s="214"/>
      <c r="H23" s="216"/>
      <c r="I23" s="216"/>
      <c r="J23" s="216"/>
      <c r="K23" s="216"/>
      <c r="L23" s="216" t="s">
        <v>500</v>
      </c>
      <c r="M23" s="216"/>
      <c r="N23" s="216"/>
      <c r="O23" s="216"/>
      <c r="P23" s="255" t="s">
        <v>144</v>
      </c>
    </row>
    <row r="24" spans="1:16" ht="55.5" customHeight="1" thickBot="1" x14ac:dyDescent="0.25">
      <c r="A24" s="101" t="s">
        <v>52</v>
      </c>
      <c r="B24" s="212" t="s">
        <v>504</v>
      </c>
      <c r="C24" s="213"/>
      <c r="D24" s="213"/>
      <c r="E24" s="213"/>
      <c r="F24" s="213"/>
      <c r="G24" s="214"/>
      <c r="H24" s="216"/>
      <c r="I24" s="216"/>
      <c r="J24" s="216"/>
      <c r="K24" s="216"/>
      <c r="L24" s="216" t="s">
        <v>505</v>
      </c>
      <c r="M24" s="216"/>
      <c r="N24" s="216"/>
      <c r="O24" s="216"/>
      <c r="P24" s="255" t="s">
        <v>144</v>
      </c>
    </row>
    <row r="25" spans="1:16" ht="39.75" customHeight="1" thickBot="1" x14ac:dyDescent="0.25">
      <c r="A25" s="101" t="s">
        <v>53</v>
      </c>
      <c r="B25" s="212" t="s">
        <v>506</v>
      </c>
      <c r="C25" s="213"/>
      <c r="D25" s="213"/>
      <c r="E25" s="213"/>
      <c r="F25" s="213"/>
      <c r="G25" s="214"/>
      <c r="H25" s="216"/>
      <c r="I25" s="216"/>
      <c r="J25" s="216"/>
      <c r="K25" s="216"/>
      <c r="L25" s="216" t="s">
        <v>500</v>
      </c>
      <c r="M25" s="216"/>
      <c r="N25" s="216"/>
      <c r="O25" s="216"/>
      <c r="P25" s="255" t="s">
        <v>144</v>
      </c>
    </row>
    <row r="26" spans="1:16" ht="60" customHeight="1" thickBot="1" x14ac:dyDescent="0.25">
      <c r="A26" s="101" t="s">
        <v>54</v>
      </c>
      <c r="B26" s="212"/>
      <c r="C26" s="213"/>
      <c r="D26" s="213"/>
      <c r="E26" s="213"/>
      <c r="F26" s="213"/>
      <c r="G26" s="214"/>
      <c r="H26" s="216"/>
      <c r="I26" s="216"/>
      <c r="J26" s="216"/>
      <c r="K26" s="216"/>
      <c r="L26" s="216"/>
      <c r="M26" s="216"/>
      <c r="N26" s="216"/>
      <c r="O26" s="216"/>
      <c r="P26" s="255"/>
    </row>
    <row r="27" spans="1:16" ht="60" customHeight="1" thickBot="1" x14ac:dyDescent="0.25">
      <c r="A27" s="101" t="s">
        <v>55</v>
      </c>
      <c r="B27" s="212"/>
      <c r="C27" s="213"/>
      <c r="D27" s="213"/>
      <c r="E27" s="213"/>
      <c r="F27" s="213"/>
      <c r="G27" s="214"/>
      <c r="H27" s="216"/>
      <c r="I27" s="216"/>
      <c r="J27" s="216"/>
      <c r="K27" s="216"/>
      <c r="L27" s="216"/>
      <c r="M27" s="216"/>
      <c r="N27" s="216"/>
      <c r="O27" s="216"/>
      <c r="P27" s="255"/>
    </row>
    <row r="28" spans="1:16" ht="41.25" customHeight="1" thickBot="1" x14ac:dyDescent="0.25">
      <c r="A28" s="101" t="s">
        <v>56</v>
      </c>
      <c r="B28" s="212"/>
      <c r="C28" s="213"/>
      <c r="D28" s="213"/>
      <c r="E28" s="213"/>
      <c r="F28" s="213"/>
      <c r="G28" s="214"/>
      <c r="H28" s="216"/>
      <c r="I28" s="216"/>
      <c r="J28" s="216"/>
      <c r="K28" s="216"/>
      <c r="L28" s="216"/>
      <c r="M28" s="216"/>
      <c r="N28" s="216"/>
      <c r="O28" s="216"/>
      <c r="P28" s="255"/>
    </row>
    <row r="29" spans="1:16" ht="39.75" customHeight="1" thickBot="1" x14ac:dyDescent="0.25">
      <c r="A29" s="101" t="s">
        <v>57</v>
      </c>
      <c r="B29" s="212"/>
      <c r="C29" s="213"/>
      <c r="D29" s="213"/>
      <c r="E29" s="213"/>
      <c r="F29" s="213"/>
      <c r="G29" s="214"/>
      <c r="H29" s="216"/>
      <c r="I29" s="216"/>
      <c r="J29" s="216"/>
      <c r="K29" s="216"/>
      <c r="L29" s="216"/>
      <c r="M29" s="216"/>
      <c r="N29" s="216"/>
      <c r="O29" s="216"/>
      <c r="P29" s="255"/>
    </row>
    <row r="30" spans="1:16" ht="57" customHeight="1" thickBot="1" x14ac:dyDescent="0.25">
      <c r="A30" s="102" t="s">
        <v>58</v>
      </c>
      <c r="B30" s="212"/>
      <c r="C30" s="213"/>
      <c r="D30" s="213"/>
      <c r="E30" s="213"/>
      <c r="F30" s="213"/>
      <c r="G30" s="214"/>
      <c r="H30" s="215"/>
      <c r="I30" s="215"/>
      <c r="J30" s="215"/>
      <c r="K30" s="215"/>
      <c r="L30" s="216"/>
      <c r="M30" s="216"/>
      <c r="N30" s="216"/>
      <c r="O30" s="216"/>
      <c r="P30" s="255"/>
    </row>
    <row r="31" spans="1:16" ht="42" customHeight="1" thickBot="1" x14ac:dyDescent="0.25">
      <c r="A31" s="102" t="s">
        <v>145</v>
      </c>
      <c r="B31" s="212"/>
      <c r="C31" s="213"/>
      <c r="D31" s="213"/>
      <c r="E31" s="213"/>
      <c r="F31" s="213"/>
      <c r="G31" s="214"/>
      <c r="H31" s="216"/>
      <c r="I31" s="216"/>
      <c r="J31" s="216"/>
      <c r="K31" s="216"/>
      <c r="L31" s="216"/>
      <c r="M31" s="216"/>
      <c r="N31" s="216"/>
      <c r="O31" s="216"/>
      <c r="P31" s="255"/>
    </row>
    <row r="32" spans="1:16" ht="42.75" customHeight="1" thickBot="1" x14ac:dyDescent="0.25">
      <c r="A32" s="102" t="s">
        <v>146</v>
      </c>
      <c r="B32" s="212"/>
      <c r="C32" s="213"/>
      <c r="D32" s="213"/>
      <c r="E32" s="213"/>
      <c r="F32" s="213"/>
      <c r="G32" s="214"/>
      <c r="H32" s="216"/>
      <c r="I32" s="216"/>
      <c r="J32" s="216"/>
      <c r="K32" s="216"/>
      <c r="L32" s="216"/>
      <c r="M32" s="216"/>
      <c r="N32" s="216"/>
      <c r="O32" s="216"/>
      <c r="P32" s="255"/>
    </row>
    <row r="33" spans="1:16" ht="42.75" customHeight="1" thickBot="1" x14ac:dyDescent="0.25">
      <c r="A33" s="102" t="s">
        <v>147</v>
      </c>
      <c r="B33" s="212"/>
      <c r="C33" s="213"/>
      <c r="D33" s="213"/>
      <c r="E33" s="213"/>
      <c r="F33" s="213"/>
      <c r="G33" s="214"/>
      <c r="H33" s="215"/>
      <c r="I33" s="215"/>
      <c r="J33" s="215"/>
      <c r="K33" s="215"/>
      <c r="L33" s="216"/>
      <c r="M33" s="216"/>
      <c r="N33" s="216"/>
      <c r="O33" s="216"/>
      <c r="P33" s="255"/>
    </row>
    <row r="34" spans="1:16" ht="42" customHeight="1" thickBot="1" x14ac:dyDescent="0.25">
      <c r="A34" s="102" t="s">
        <v>148</v>
      </c>
      <c r="B34" s="212"/>
      <c r="C34" s="213"/>
      <c r="D34" s="213"/>
      <c r="E34" s="213"/>
      <c r="F34" s="213"/>
      <c r="G34" s="214"/>
      <c r="H34" s="216"/>
      <c r="I34" s="216"/>
      <c r="J34" s="216"/>
      <c r="K34" s="216"/>
      <c r="L34" s="216"/>
      <c r="M34" s="216"/>
      <c r="N34" s="216"/>
      <c r="O34" s="216"/>
      <c r="P34" s="255"/>
    </row>
    <row r="35" spans="1:16" ht="57.75" customHeight="1" thickBot="1" x14ac:dyDescent="0.25">
      <c r="A35" s="102" t="s">
        <v>149</v>
      </c>
      <c r="B35" s="212"/>
      <c r="C35" s="213"/>
      <c r="D35" s="213"/>
      <c r="E35" s="213"/>
      <c r="F35" s="213"/>
      <c r="G35" s="214"/>
      <c r="H35" s="216"/>
      <c r="I35" s="216"/>
      <c r="J35" s="216"/>
      <c r="K35" s="216"/>
      <c r="L35" s="216"/>
      <c r="M35" s="216"/>
      <c r="N35" s="216"/>
      <c r="O35" s="216"/>
      <c r="P35" s="255"/>
    </row>
    <row r="36" spans="1:16" ht="85.5" customHeight="1" thickBot="1" x14ac:dyDescent="0.25">
      <c r="A36" s="102" t="s">
        <v>150</v>
      </c>
      <c r="B36" s="212"/>
      <c r="C36" s="213"/>
      <c r="D36" s="213"/>
      <c r="E36" s="213"/>
      <c r="F36" s="213"/>
      <c r="G36" s="214"/>
      <c r="H36" s="215"/>
      <c r="I36" s="215"/>
      <c r="J36" s="215"/>
      <c r="K36" s="215"/>
      <c r="L36" s="216"/>
      <c r="M36" s="216"/>
      <c r="N36" s="216"/>
      <c r="O36" s="216"/>
      <c r="P36" s="255"/>
    </row>
    <row r="37" spans="1:16" ht="66" customHeight="1" thickBot="1" x14ac:dyDescent="0.25">
      <c r="A37" s="102" t="s">
        <v>151</v>
      </c>
      <c r="B37" s="212"/>
      <c r="C37" s="213"/>
      <c r="D37" s="213"/>
      <c r="E37" s="213"/>
      <c r="F37" s="213"/>
      <c r="G37" s="214"/>
      <c r="H37" s="215"/>
      <c r="I37" s="215"/>
      <c r="J37" s="215"/>
      <c r="K37" s="215"/>
      <c r="L37" s="216"/>
      <c r="M37" s="216"/>
      <c r="N37" s="216"/>
      <c r="O37" s="216"/>
      <c r="P37" s="256"/>
    </row>
    <row r="38" spans="1:16" ht="45.75" customHeight="1" thickBot="1" x14ac:dyDescent="0.25">
      <c r="A38" s="102" t="s">
        <v>152</v>
      </c>
      <c r="B38" s="212"/>
      <c r="C38" s="213"/>
      <c r="D38" s="213"/>
      <c r="E38" s="213"/>
      <c r="F38" s="213"/>
      <c r="G38" s="214"/>
      <c r="H38" s="215"/>
      <c r="I38" s="215"/>
      <c r="J38" s="215"/>
      <c r="K38" s="215"/>
      <c r="L38" s="215"/>
      <c r="M38" s="215"/>
      <c r="N38" s="215"/>
      <c r="O38" s="215"/>
      <c r="P38" s="256"/>
    </row>
    <row r="39" spans="1:16" ht="45.75" customHeight="1" thickBot="1" x14ac:dyDescent="0.25">
      <c r="A39" s="102" t="s">
        <v>153</v>
      </c>
      <c r="B39" s="212"/>
      <c r="C39" s="213"/>
      <c r="D39" s="213"/>
      <c r="E39" s="213"/>
      <c r="F39" s="213"/>
      <c r="G39" s="214"/>
      <c r="H39" s="215"/>
      <c r="I39" s="215"/>
      <c r="J39" s="215"/>
      <c r="K39" s="215"/>
      <c r="L39" s="215"/>
      <c r="M39" s="215"/>
      <c r="N39" s="215"/>
      <c r="O39" s="215"/>
      <c r="P39" s="256"/>
    </row>
    <row r="40" spans="1:16" ht="45.75" customHeight="1" thickBot="1" x14ac:dyDescent="0.25">
      <c r="A40" s="102" t="s">
        <v>184</v>
      </c>
      <c r="B40" s="212"/>
      <c r="C40" s="213"/>
      <c r="D40" s="213"/>
      <c r="E40" s="213"/>
      <c r="F40" s="213"/>
      <c r="G40" s="214"/>
      <c r="H40" s="215"/>
      <c r="I40" s="215"/>
      <c r="J40" s="215"/>
      <c r="K40" s="215"/>
      <c r="L40" s="215"/>
      <c r="M40" s="215"/>
      <c r="N40" s="215"/>
      <c r="O40" s="215"/>
      <c r="P40" s="256"/>
    </row>
    <row r="41" spans="1:16" ht="45.75" customHeight="1" thickBot="1" x14ac:dyDescent="0.25">
      <c r="A41" s="102" t="s">
        <v>185</v>
      </c>
      <c r="B41" s="212"/>
      <c r="C41" s="213"/>
      <c r="D41" s="213"/>
      <c r="E41" s="213"/>
      <c r="F41" s="213"/>
      <c r="G41" s="214"/>
      <c r="H41" s="215"/>
      <c r="I41" s="215"/>
      <c r="J41" s="215"/>
      <c r="K41" s="215"/>
      <c r="L41" s="215"/>
      <c r="M41" s="215"/>
      <c r="N41" s="215"/>
      <c r="O41" s="215"/>
      <c r="P41" s="256"/>
    </row>
    <row r="42" spans="1:16" ht="45.75" customHeight="1" thickBot="1" x14ac:dyDescent="0.25">
      <c r="A42" s="102" t="s">
        <v>186</v>
      </c>
      <c r="B42" s="212"/>
      <c r="C42" s="213"/>
      <c r="D42" s="213"/>
      <c r="E42" s="213"/>
      <c r="F42" s="213"/>
      <c r="G42" s="214"/>
      <c r="H42" s="215"/>
      <c r="I42" s="215"/>
      <c r="J42" s="215"/>
      <c r="K42" s="215"/>
      <c r="L42" s="215"/>
      <c r="M42" s="215"/>
      <c r="N42" s="215"/>
      <c r="O42" s="215"/>
      <c r="P42" s="256"/>
    </row>
    <row r="43" spans="1:16" ht="45.75" customHeight="1" thickBot="1" x14ac:dyDescent="0.25">
      <c r="A43" s="102" t="s">
        <v>187</v>
      </c>
      <c r="B43" s="212"/>
      <c r="C43" s="213"/>
      <c r="D43" s="213"/>
      <c r="E43" s="213"/>
      <c r="F43" s="213"/>
      <c r="G43" s="214"/>
      <c r="H43" s="215"/>
      <c r="I43" s="215"/>
      <c r="J43" s="215"/>
      <c r="K43" s="215"/>
      <c r="L43" s="215"/>
      <c r="M43" s="215"/>
      <c r="N43" s="215"/>
      <c r="O43" s="215"/>
      <c r="P43" s="256"/>
    </row>
    <row r="44" spans="1:16" ht="45.75" customHeight="1" thickBot="1" x14ac:dyDescent="0.25">
      <c r="A44" s="102" t="s">
        <v>188</v>
      </c>
      <c r="B44" s="212"/>
      <c r="C44" s="213"/>
      <c r="D44" s="213"/>
      <c r="E44" s="213"/>
      <c r="F44" s="213"/>
      <c r="G44" s="214"/>
      <c r="H44" s="215"/>
      <c r="I44" s="215"/>
      <c r="J44" s="215"/>
      <c r="K44" s="215"/>
      <c r="L44" s="215"/>
      <c r="M44" s="215"/>
      <c r="N44" s="215"/>
      <c r="O44" s="215"/>
      <c r="P44" s="256"/>
    </row>
    <row r="45" spans="1:16" ht="45.75" customHeight="1" thickBot="1" x14ac:dyDescent="0.25">
      <c r="A45" s="102" t="s">
        <v>189</v>
      </c>
      <c r="B45" s="212"/>
      <c r="C45" s="213"/>
      <c r="D45" s="213"/>
      <c r="E45" s="213"/>
      <c r="F45" s="213"/>
      <c r="G45" s="214"/>
      <c r="H45" s="215"/>
      <c r="I45" s="215"/>
      <c r="J45" s="215"/>
      <c r="K45" s="215"/>
      <c r="L45" s="215"/>
      <c r="M45" s="215"/>
      <c r="N45" s="215"/>
      <c r="O45" s="215"/>
      <c r="P45" s="256"/>
    </row>
    <row r="46" spans="1:16" ht="45.75" customHeight="1" thickBot="1" x14ac:dyDescent="0.25">
      <c r="A46" s="102" t="s">
        <v>190</v>
      </c>
      <c r="B46" s="212"/>
      <c r="C46" s="213"/>
      <c r="D46" s="213"/>
      <c r="E46" s="213"/>
      <c r="F46" s="213"/>
      <c r="G46" s="214"/>
      <c r="H46" s="215"/>
      <c r="I46" s="215"/>
      <c r="J46" s="215"/>
      <c r="K46" s="215"/>
      <c r="L46" s="215"/>
      <c r="M46" s="215"/>
      <c r="N46" s="215"/>
      <c r="O46" s="215"/>
      <c r="P46" s="256"/>
    </row>
    <row r="47" spans="1:16" ht="45.75" customHeight="1" thickBot="1" x14ac:dyDescent="0.25">
      <c r="A47" s="102" t="s">
        <v>191</v>
      </c>
      <c r="B47" s="212"/>
      <c r="C47" s="213"/>
      <c r="D47" s="213"/>
      <c r="E47" s="213"/>
      <c r="F47" s="213"/>
      <c r="G47" s="214"/>
      <c r="H47" s="215"/>
      <c r="I47" s="215"/>
      <c r="J47" s="215"/>
      <c r="K47" s="215"/>
      <c r="L47" s="215"/>
      <c r="M47" s="215"/>
      <c r="N47" s="215"/>
      <c r="O47" s="215"/>
      <c r="P47" s="256"/>
    </row>
    <row r="48" spans="1:16" ht="45.75" customHeight="1" thickBot="1" x14ac:dyDescent="0.25">
      <c r="A48" s="102" t="s">
        <v>192</v>
      </c>
      <c r="B48" s="212"/>
      <c r="C48" s="213"/>
      <c r="D48" s="213"/>
      <c r="E48" s="213"/>
      <c r="F48" s="213"/>
      <c r="G48" s="214"/>
      <c r="H48" s="215"/>
      <c r="I48" s="215"/>
      <c r="J48" s="215"/>
      <c r="K48" s="215"/>
      <c r="L48" s="215"/>
      <c r="M48" s="215"/>
      <c r="N48" s="215"/>
      <c r="O48" s="215"/>
      <c r="P48" s="256"/>
    </row>
    <row r="49" spans="1:16" ht="45.75" customHeight="1" thickBot="1" x14ac:dyDescent="0.25">
      <c r="A49" s="102" t="s">
        <v>193</v>
      </c>
      <c r="B49" s="212"/>
      <c r="C49" s="213"/>
      <c r="D49" s="213"/>
      <c r="E49" s="213"/>
      <c r="F49" s="213"/>
      <c r="G49" s="214"/>
      <c r="H49" s="215"/>
      <c r="I49" s="215"/>
      <c r="J49" s="215"/>
      <c r="K49" s="215"/>
      <c r="L49" s="215"/>
      <c r="M49" s="215"/>
      <c r="N49" s="215"/>
      <c r="O49" s="215"/>
      <c r="P49" s="256"/>
    </row>
    <row r="50" spans="1:16" ht="45.75" customHeight="1" thickBot="1" x14ac:dyDescent="0.25">
      <c r="A50" s="102" t="s">
        <v>194</v>
      </c>
      <c r="B50" s="212"/>
      <c r="C50" s="213"/>
      <c r="D50" s="213"/>
      <c r="E50" s="213"/>
      <c r="F50" s="213"/>
      <c r="G50" s="214"/>
      <c r="H50" s="215"/>
      <c r="I50" s="215"/>
      <c r="J50" s="215"/>
      <c r="K50" s="215"/>
      <c r="L50" s="215"/>
      <c r="M50" s="215"/>
      <c r="N50" s="215"/>
      <c r="O50" s="215"/>
      <c r="P50" s="256"/>
    </row>
  </sheetData>
  <mergeCells count="97">
    <mergeCell ref="B49:G49"/>
    <mergeCell ref="H49:K49"/>
    <mergeCell ref="L49:O49"/>
    <mergeCell ref="B50:G50"/>
    <mergeCell ref="H50:K50"/>
    <mergeCell ref="L50:O50"/>
    <mergeCell ref="B47:G47"/>
    <mergeCell ref="H47:K47"/>
    <mergeCell ref="L47:O47"/>
    <mergeCell ref="B48:G48"/>
    <mergeCell ref="H48:K48"/>
    <mergeCell ref="L48:O48"/>
    <mergeCell ref="B45:G45"/>
    <mergeCell ref="H45:K45"/>
    <mergeCell ref="L45:O45"/>
    <mergeCell ref="B46:G46"/>
    <mergeCell ref="H46:K46"/>
    <mergeCell ref="L46:O46"/>
    <mergeCell ref="B43:G43"/>
    <mergeCell ref="H43:K43"/>
    <mergeCell ref="L43:O43"/>
    <mergeCell ref="B44:G44"/>
    <mergeCell ref="H44:K44"/>
    <mergeCell ref="L44:O44"/>
    <mergeCell ref="B41:G41"/>
    <mergeCell ref="H41:K41"/>
    <mergeCell ref="L41:O41"/>
    <mergeCell ref="B42:G42"/>
    <mergeCell ref="H42:K42"/>
    <mergeCell ref="L42:O42"/>
    <mergeCell ref="B39:G39"/>
    <mergeCell ref="H39:K39"/>
    <mergeCell ref="L39:O39"/>
    <mergeCell ref="B40:G40"/>
    <mergeCell ref="H40:K40"/>
    <mergeCell ref="L40:O40"/>
    <mergeCell ref="B37:G37"/>
    <mergeCell ref="H37:K37"/>
    <mergeCell ref="L37:O37"/>
    <mergeCell ref="B38:G38"/>
    <mergeCell ref="H38:K38"/>
    <mergeCell ref="L38:O38"/>
    <mergeCell ref="B35:G35"/>
    <mergeCell ref="H35:K35"/>
    <mergeCell ref="L35:O35"/>
    <mergeCell ref="B36:G36"/>
    <mergeCell ref="H36:K36"/>
    <mergeCell ref="L36:O36"/>
    <mergeCell ref="B33:G33"/>
    <mergeCell ref="H33:K33"/>
    <mergeCell ref="L33:O33"/>
    <mergeCell ref="B34:G34"/>
    <mergeCell ref="H34:K34"/>
    <mergeCell ref="L34:O34"/>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B1:G1"/>
    <mergeCell ref="B3:G3"/>
    <mergeCell ref="B7:G7"/>
    <mergeCell ref="A11:A14"/>
    <mergeCell ref="B11:G14"/>
    <mergeCell ref="A16:A19"/>
    <mergeCell ref="B16:G19"/>
  </mergeCells>
  <conditionalFormatting sqref="B9:B10">
    <cfRule type="cellIs" dxfId="76" priority="31" operator="equal">
      <formula>"Nok"</formula>
    </cfRule>
    <cfRule type="cellIs" dxfId="75" priority="32" operator="equal">
      <formula>"Ok"</formula>
    </cfRule>
  </conditionalFormatting>
  <conditionalFormatting sqref="P22:P36">
    <cfRule type="cellIs" dxfId="74" priority="29" operator="equal">
      <formula>"Nok"</formula>
    </cfRule>
    <cfRule type="cellIs" dxfId="73" priority="30" operator="equal">
      <formula>"Ok"</formula>
    </cfRule>
  </conditionalFormatting>
  <conditionalFormatting sqref="P37">
    <cfRule type="cellIs" dxfId="72" priority="27" operator="equal">
      <formula>"Nok"</formula>
    </cfRule>
    <cfRule type="cellIs" dxfId="71" priority="28" operator="equal">
      <formula>"Ok"</formula>
    </cfRule>
  </conditionalFormatting>
  <conditionalFormatting sqref="P38">
    <cfRule type="cellIs" dxfId="70" priority="25" operator="equal">
      <formula>"Nok"</formula>
    </cfRule>
    <cfRule type="cellIs" dxfId="69" priority="26" operator="equal">
      <formula>"Ok"</formula>
    </cfRule>
  </conditionalFormatting>
  <conditionalFormatting sqref="P39">
    <cfRule type="cellIs" dxfId="68" priority="23" operator="equal">
      <formula>"Nok"</formula>
    </cfRule>
    <cfRule type="cellIs" dxfId="67" priority="24" operator="equal">
      <formula>"Ok"</formula>
    </cfRule>
  </conditionalFormatting>
  <conditionalFormatting sqref="P40">
    <cfRule type="cellIs" dxfId="66" priority="21" operator="equal">
      <formula>"Nok"</formula>
    </cfRule>
    <cfRule type="cellIs" dxfId="65" priority="22" operator="equal">
      <formula>"Ok"</formula>
    </cfRule>
  </conditionalFormatting>
  <conditionalFormatting sqref="P41">
    <cfRule type="cellIs" dxfId="64" priority="19" operator="equal">
      <formula>"Nok"</formula>
    </cfRule>
    <cfRule type="cellIs" dxfId="63" priority="20" operator="equal">
      <formula>"Ok"</formula>
    </cfRule>
  </conditionalFormatting>
  <conditionalFormatting sqref="P42">
    <cfRule type="cellIs" dxfId="62" priority="17" operator="equal">
      <formula>"Nok"</formula>
    </cfRule>
    <cfRule type="cellIs" dxfId="61" priority="18" operator="equal">
      <formula>"Ok"</formula>
    </cfRule>
  </conditionalFormatting>
  <conditionalFormatting sqref="P43">
    <cfRule type="cellIs" dxfId="60" priority="15" operator="equal">
      <formula>"Nok"</formula>
    </cfRule>
    <cfRule type="cellIs" dxfId="59" priority="16" operator="equal">
      <formula>"Ok"</formula>
    </cfRule>
  </conditionalFormatting>
  <conditionalFormatting sqref="P44">
    <cfRule type="cellIs" dxfId="58" priority="13" operator="equal">
      <formula>"Nok"</formula>
    </cfRule>
    <cfRule type="cellIs" dxfId="57" priority="14" operator="equal">
      <formula>"Ok"</formula>
    </cfRule>
  </conditionalFormatting>
  <conditionalFormatting sqref="P45">
    <cfRule type="cellIs" dxfId="56" priority="11" operator="equal">
      <formula>"Nok"</formula>
    </cfRule>
    <cfRule type="cellIs" dxfId="55" priority="12" operator="equal">
      <formula>"Ok"</formula>
    </cfRule>
  </conditionalFormatting>
  <conditionalFormatting sqref="P46">
    <cfRule type="cellIs" dxfId="54" priority="9" operator="equal">
      <formula>"Nok"</formula>
    </cfRule>
    <cfRule type="cellIs" dxfId="53" priority="10" operator="equal">
      <formula>"Ok"</formula>
    </cfRule>
  </conditionalFormatting>
  <conditionalFormatting sqref="P47">
    <cfRule type="cellIs" dxfId="52" priority="7" operator="equal">
      <formula>"Nok"</formula>
    </cfRule>
    <cfRule type="cellIs" dxfId="51" priority="8" operator="equal">
      <formula>"Ok"</formula>
    </cfRule>
  </conditionalFormatting>
  <conditionalFormatting sqref="P48">
    <cfRule type="cellIs" dxfId="50" priority="5" operator="equal">
      <formula>"Nok"</formula>
    </cfRule>
    <cfRule type="cellIs" dxfId="49" priority="6" operator="equal">
      <formula>"Ok"</formula>
    </cfRule>
  </conditionalFormatting>
  <conditionalFormatting sqref="P49">
    <cfRule type="cellIs" dxfId="48" priority="3" operator="equal">
      <formula>"Nok"</formula>
    </cfRule>
    <cfRule type="cellIs" dxfId="47" priority="4" operator="equal">
      <formula>"Ok"</formula>
    </cfRule>
  </conditionalFormatting>
  <conditionalFormatting sqref="P50">
    <cfRule type="cellIs" dxfId="46" priority="1" operator="equal">
      <formula>"Nok"</formula>
    </cfRule>
    <cfRule type="cellIs" dxfId="45" priority="2" operator="equal">
      <formula>"Ok"</formula>
    </cfRule>
  </conditionalFormatting>
  <dataValidations count="3">
    <dataValidation type="list" allowBlank="1" showInputMessage="1" showErrorMessage="1" sqref="P22:P50">
      <formula1>"Ok, Nok, Not run, ,"</formula1>
    </dataValidation>
    <dataValidation type="list" allowBlank="1" showInputMessage="1" showErrorMessage="1" sqref="B9">
      <formula1>"Ok, Nok, Not run, NA"</formula1>
    </dataValidation>
    <dataValidation type="list" allowBlank="1" showInputMessage="1" showErrorMessage="1" sqref="B5">
      <formula1>"Nominal, Robustness, Endurance, Qualification"</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zoomScale="85" zoomScaleNormal="85" workbookViewId="0">
      <selection activeCell="B7" sqref="B7:G7"/>
    </sheetView>
  </sheetViews>
  <sheetFormatPr defaultRowHeight="12.75" x14ac:dyDescent="0.2"/>
  <cols>
    <col min="1" max="1" width="20.140625" style="97" customWidth="1"/>
    <col min="2" max="2" width="18.42578125" style="97" customWidth="1"/>
    <col min="3" max="7" width="9.140625" style="97"/>
    <col min="8" max="11" width="3.28515625" style="97" customWidth="1"/>
    <col min="12" max="15" width="9.5703125" style="97" customWidth="1"/>
    <col min="16" max="16384" width="9.140625" style="97"/>
  </cols>
  <sheetData>
    <row r="1" spans="1:15" ht="13.5" thickBot="1" x14ac:dyDescent="0.25">
      <c r="A1" s="98" t="s">
        <v>41</v>
      </c>
      <c r="B1" s="247" t="s">
        <v>525</v>
      </c>
      <c r="C1" s="248"/>
      <c r="D1" s="248"/>
      <c r="E1" s="248"/>
      <c r="F1" s="248"/>
      <c r="G1" s="249"/>
      <c r="H1" s="250"/>
      <c r="I1" s="250"/>
      <c r="J1" s="250"/>
      <c r="K1" s="250"/>
      <c r="L1" s="250"/>
      <c r="M1" s="250"/>
      <c r="N1" s="250"/>
      <c r="O1" s="250"/>
    </row>
    <row r="2" spans="1:15" ht="13.5" thickBot="1" x14ac:dyDescent="0.25">
      <c r="A2" s="71"/>
      <c r="B2" s="71"/>
      <c r="C2" s="71"/>
      <c r="D2" s="250"/>
      <c r="E2" s="250"/>
      <c r="F2" s="250"/>
      <c r="G2" s="250"/>
      <c r="H2" s="250"/>
      <c r="I2" s="250"/>
      <c r="J2" s="250"/>
      <c r="K2" s="250"/>
      <c r="L2" s="250"/>
      <c r="M2" s="250"/>
      <c r="N2" s="250"/>
      <c r="O2" s="250"/>
    </row>
    <row r="3" spans="1:15" ht="61.5" customHeight="1" thickBot="1" x14ac:dyDescent="0.25">
      <c r="A3" s="99" t="s">
        <v>46</v>
      </c>
      <c r="B3" s="237" t="s">
        <v>524</v>
      </c>
      <c r="C3" s="238"/>
      <c r="D3" s="238"/>
      <c r="E3" s="238"/>
      <c r="F3" s="238"/>
      <c r="G3" s="239"/>
      <c r="H3" s="250"/>
      <c r="I3" s="250"/>
      <c r="J3" s="250"/>
      <c r="K3" s="250"/>
      <c r="L3" s="250"/>
      <c r="M3" s="250"/>
      <c r="N3" s="250"/>
      <c r="O3" s="250"/>
    </row>
    <row r="4" spans="1:15" ht="13.5" thickBot="1" x14ac:dyDescent="0.25">
      <c r="A4" s="71"/>
      <c r="B4" s="71"/>
      <c r="C4" s="71"/>
      <c r="D4" s="250"/>
      <c r="E4" s="250"/>
      <c r="F4" s="250"/>
      <c r="G4" s="250"/>
      <c r="H4" s="250"/>
      <c r="I4" s="250"/>
      <c r="J4" s="250"/>
      <c r="K4" s="250"/>
      <c r="L4" s="250"/>
      <c r="M4" s="250"/>
      <c r="N4" s="250"/>
      <c r="O4" s="250"/>
    </row>
    <row r="5" spans="1:15" ht="13.5" thickBot="1" x14ac:dyDescent="0.25">
      <c r="A5" s="98" t="s">
        <v>111</v>
      </c>
      <c r="B5" s="251" t="s">
        <v>142</v>
      </c>
      <c r="C5" s="71"/>
      <c r="D5" s="250"/>
      <c r="E5" s="250"/>
      <c r="F5" s="250"/>
      <c r="G5" s="250"/>
      <c r="H5" s="250"/>
      <c r="I5" s="250"/>
      <c r="J5" s="250"/>
      <c r="K5" s="250"/>
      <c r="L5" s="250"/>
      <c r="M5" s="250"/>
      <c r="N5" s="250"/>
      <c r="O5" s="250"/>
    </row>
    <row r="6" spans="1:15" ht="13.5" thickBot="1" x14ac:dyDescent="0.25">
      <c r="A6" s="71"/>
      <c r="B6" s="71"/>
      <c r="C6" s="71"/>
      <c r="D6" s="250"/>
      <c r="E6" s="250"/>
      <c r="F6" s="250"/>
      <c r="G6" s="250"/>
      <c r="H6" s="250"/>
      <c r="I6" s="250"/>
      <c r="J6" s="250"/>
      <c r="K6" s="250"/>
      <c r="L6" s="250"/>
      <c r="M6" s="250"/>
      <c r="N6" s="250"/>
      <c r="O6" s="250"/>
    </row>
    <row r="7" spans="1:15" ht="30.75" customHeight="1" thickBot="1" x14ac:dyDescent="0.25">
      <c r="A7" s="98" t="s">
        <v>42</v>
      </c>
      <c r="B7" s="237" t="s">
        <v>510</v>
      </c>
      <c r="C7" s="238"/>
      <c r="D7" s="238"/>
      <c r="E7" s="238"/>
      <c r="F7" s="238"/>
      <c r="G7" s="239"/>
      <c r="H7" s="250"/>
      <c r="I7" s="250"/>
      <c r="J7" s="250"/>
      <c r="K7" s="250"/>
      <c r="L7" s="250"/>
      <c r="M7" s="250"/>
      <c r="N7" s="250"/>
      <c r="O7" s="250"/>
    </row>
    <row r="8" spans="1:15" ht="13.5" thickBot="1" x14ac:dyDescent="0.25">
      <c r="A8" s="75"/>
      <c r="B8" s="252"/>
      <c r="C8" s="252"/>
      <c r="D8" s="252"/>
      <c r="E8" s="252"/>
      <c r="F8" s="252"/>
      <c r="G8" s="252"/>
      <c r="H8" s="250"/>
      <c r="I8" s="250"/>
      <c r="J8" s="250"/>
      <c r="K8" s="250"/>
      <c r="L8" s="250"/>
      <c r="M8" s="250"/>
      <c r="N8" s="250"/>
      <c r="O8" s="250"/>
    </row>
    <row r="9" spans="1:15" ht="13.5" thickBot="1" x14ac:dyDescent="0.25">
      <c r="A9" s="98" t="s">
        <v>43</v>
      </c>
      <c r="B9" s="253" t="s">
        <v>143</v>
      </c>
      <c r="C9" s="71"/>
      <c r="D9" s="250"/>
      <c r="E9" s="250"/>
      <c r="F9" s="250"/>
      <c r="G9" s="250"/>
      <c r="H9" s="250"/>
      <c r="I9" s="250"/>
      <c r="J9" s="250"/>
      <c r="K9" s="250"/>
      <c r="L9" s="250"/>
      <c r="M9" s="250"/>
      <c r="N9" s="250"/>
      <c r="O9" s="250"/>
    </row>
    <row r="10" spans="1:15" ht="13.5" thickBot="1" x14ac:dyDescent="0.25">
      <c r="A10" s="75"/>
      <c r="B10" s="254"/>
      <c r="C10" s="71"/>
      <c r="D10" s="250"/>
      <c r="E10" s="250"/>
      <c r="F10" s="250"/>
      <c r="G10" s="250"/>
      <c r="H10" s="250"/>
      <c r="I10" s="250"/>
      <c r="J10" s="250"/>
      <c r="K10" s="250"/>
      <c r="L10" s="250"/>
      <c r="M10" s="250"/>
      <c r="N10" s="250"/>
      <c r="O10" s="250"/>
    </row>
    <row r="11" spans="1:15" ht="12" customHeight="1" x14ac:dyDescent="0.2">
      <c r="A11" s="223" t="s">
        <v>113</v>
      </c>
      <c r="B11" s="225"/>
      <c r="C11" s="226"/>
      <c r="D11" s="226"/>
      <c r="E11" s="226"/>
      <c r="F11" s="226"/>
      <c r="G11" s="227"/>
      <c r="H11" s="250"/>
      <c r="I11" s="250"/>
      <c r="J11" s="250"/>
      <c r="K11" s="250"/>
      <c r="L11" s="250"/>
      <c r="M11" s="250"/>
      <c r="N11" s="250"/>
      <c r="O11" s="250"/>
    </row>
    <row r="12" spans="1:15" x14ac:dyDescent="0.2">
      <c r="A12" s="224"/>
      <c r="B12" s="228"/>
      <c r="C12" s="229"/>
      <c r="D12" s="229"/>
      <c r="E12" s="229"/>
      <c r="F12" s="229"/>
      <c r="G12" s="230"/>
      <c r="H12" s="250"/>
      <c r="I12" s="250"/>
      <c r="J12" s="250"/>
      <c r="K12" s="250"/>
      <c r="L12" s="250"/>
      <c r="M12" s="250"/>
      <c r="N12" s="250"/>
      <c r="O12" s="250"/>
    </row>
    <row r="13" spans="1:15" x14ac:dyDescent="0.2">
      <c r="A13" s="224"/>
      <c r="B13" s="228"/>
      <c r="C13" s="229"/>
      <c r="D13" s="229"/>
      <c r="E13" s="229"/>
      <c r="F13" s="229"/>
      <c r="G13" s="230"/>
      <c r="H13" s="71"/>
      <c r="I13" s="250"/>
      <c r="J13" s="250"/>
      <c r="K13" s="250"/>
      <c r="L13" s="250"/>
      <c r="M13" s="250"/>
      <c r="N13" s="250"/>
      <c r="O13" s="250"/>
    </row>
    <row r="14" spans="1:15" ht="13.5" thickBot="1" x14ac:dyDescent="0.25">
      <c r="A14" s="224"/>
      <c r="B14" s="231"/>
      <c r="C14" s="232"/>
      <c r="D14" s="232"/>
      <c r="E14" s="232"/>
      <c r="F14" s="232"/>
      <c r="G14" s="233"/>
      <c r="H14" s="77"/>
      <c r="I14" s="250"/>
      <c r="J14" s="250"/>
      <c r="K14" s="250"/>
      <c r="L14" s="250"/>
      <c r="M14" s="250"/>
      <c r="N14" s="250"/>
      <c r="O14" s="250"/>
    </row>
    <row r="15" spans="1:15" ht="13.5" thickBot="1" x14ac:dyDescent="0.25">
      <c r="A15" s="71"/>
      <c r="B15" s="71"/>
      <c r="C15" s="71"/>
      <c r="D15" s="71"/>
      <c r="E15" s="71"/>
      <c r="F15" s="71"/>
      <c r="G15" s="71"/>
      <c r="H15" s="77"/>
      <c r="I15" s="250"/>
      <c r="J15" s="250"/>
      <c r="K15" s="250"/>
      <c r="L15" s="250"/>
      <c r="M15" s="250"/>
      <c r="N15" s="250"/>
      <c r="O15" s="250"/>
    </row>
    <row r="16" spans="1:15" x14ac:dyDescent="0.2">
      <c r="A16" s="223" t="s">
        <v>44</v>
      </c>
      <c r="B16" s="225"/>
      <c r="C16" s="226"/>
      <c r="D16" s="226"/>
      <c r="E16" s="226"/>
      <c r="F16" s="226"/>
      <c r="G16" s="227"/>
      <c r="H16" s="250"/>
      <c r="I16" s="250"/>
      <c r="J16" s="250"/>
      <c r="K16" s="250"/>
      <c r="L16" s="250"/>
      <c r="M16" s="250"/>
      <c r="N16" s="250"/>
      <c r="O16" s="250"/>
    </row>
    <row r="17" spans="1:16" x14ac:dyDescent="0.2">
      <c r="A17" s="224"/>
      <c r="B17" s="228"/>
      <c r="C17" s="229"/>
      <c r="D17" s="229"/>
      <c r="E17" s="229"/>
      <c r="F17" s="229"/>
      <c r="G17" s="230"/>
      <c r="H17" s="250"/>
      <c r="I17" s="250"/>
      <c r="J17" s="250"/>
      <c r="K17" s="250"/>
      <c r="L17" s="250"/>
      <c r="M17" s="250"/>
      <c r="N17" s="250"/>
      <c r="O17" s="250"/>
    </row>
    <row r="18" spans="1:16" x14ac:dyDescent="0.2">
      <c r="A18" s="224"/>
      <c r="B18" s="228"/>
      <c r="C18" s="229"/>
      <c r="D18" s="229"/>
      <c r="E18" s="229"/>
      <c r="F18" s="229"/>
      <c r="G18" s="230"/>
      <c r="H18" s="71"/>
      <c r="I18" s="250"/>
      <c r="J18" s="250"/>
      <c r="K18" s="250"/>
      <c r="L18" s="250"/>
      <c r="M18" s="250"/>
      <c r="N18" s="250"/>
      <c r="O18" s="250"/>
    </row>
    <row r="19" spans="1:16" ht="13.5" thickBot="1" x14ac:dyDescent="0.25">
      <c r="A19" s="224"/>
      <c r="B19" s="231"/>
      <c r="C19" s="232"/>
      <c r="D19" s="232"/>
      <c r="E19" s="232"/>
      <c r="F19" s="232"/>
      <c r="G19" s="233"/>
      <c r="H19" s="77"/>
      <c r="I19" s="250"/>
      <c r="J19" s="250"/>
      <c r="K19" s="250"/>
      <c r="L19" s="250"/>
      <c r="M19" s="250"/>
      <c r="N19" s="250"/>
      <c r="O19" s="250"/>
    </row>
    <row r="20" spans="1:16" ht="13.5" thickBot="1" x14ac:dyDescent="0.25">
      <c r="A20" s="71"/>
      <c r="B20" s="71"/>
      <c r="C20" s="71"/>
      <c r="D20" s="71"/>
      <c r="E20" s="71"/>
      <c r="F20" s="71"/>
      <c r="G20" s="71"/>
      <c r="H20" s="77"/>
      <c r="I20" s="250"/>
      <c r="J20" s="250"/>
      <c r="K20" s="250"/>
      <c r="L20" s="250"/>
      <c r="M20" s="250"/>
      <c r="N20" s="250"/>
      <c r="O20" s="250"/>
    </row>
    <row r="21" spans="1:16" ht="12.75" customHeight="1" x14ac:dyDescent="0.2">
      <c r="A21" s="220" t="s">
        <v>48</v>
      </c>
      <c r="B21" s="221"/>
      <c r="C21" s="221"/>
      <c r="D21" s="221"/>
      <c r="E21" s="221"/>
      <c r="F21" s="221"/>
      <c r="G21" s="222"/>
      <c r="H21" s="220" t="s">
        <v>49</v>
      </c>
      <c r="I21" s="221"/>
      <c r="J21" s="221"/>
      <c r="K21" s="222"/>
      <c r="L21" s="220" t="s">
        <v>60</v>
      </c>
      <c r="M21" s="221"/>
      <c r="N21" s="221"/>
      <c r="O21" s="222"/>
      <c r="P21" s="100" t="s">
        <v>47</v>
      </c>
    </row>
    <row r="22" spans="1:16" ht="44.25" customHeight="1" thickBot="1" x14ac:dyDescent="0.25">
      <c r="A22" s="101" t="s">
        <v>50</v>
      </c>
      <c r="B22" s="212" t="s">
        <v>511</v>
      </c>
      <c r="C22" s="213"/>
      <c r="D22" s="213"/>
      <c r="E22" s="213"/>
      <c r="F22" s="213"/>
      <c r="G22" s="214"/>
      <c r="H22" s="216"/>
      <c r="I22" s="216"/>
      <c r="J22" s="216"/>
      <c r="K22" s="216"/>
      <c r="L22" s="216" t="s">
        <v>523</v>
      </c>
      <c r="M22" s="216"/>
      <c r="N22" s="216"/>
      <c r="O22" s="216"/>
      <c r="P22" s="255" t="s">
        <v>143</v>
      </c>
    </row>
    <row r="23" spans="1:16" ht="63" customHeight="1" thickBot="1" x14ac:dyDescent="0.25">
      <c r="A23" s="101" t="s">
        <v>51</v>
      </c>
      <c r="B23" s="212" t="s">
        <v>512</v>
      </c>
      <c r="C23" s="213"/>
      <c r="D23" s="213"/>
      <c r="E23" s="213"/>
      <c r="F23" s="213"/>
      <c r="G23" s="214"/>
      <c r="H23" s="216"/>
      <c r="I23" s="216"/>
      <c r="J23" s="216"/>
      <c r="K23" s="216"/>
      <c r="L23" s="216" t="s">
        <v>523</v>
      </c>
      <c r="M23" s="216"/>
      <c r="N23" s="216"/>
      <c r="O23" s="216"/>
      <c r="P23" s="255" t="s">
        <v>143</v>
      </c>
    </row>
    <row r="24" spans="1:16" ht="55.5" customHeight="1" thickBot="1" x14ac:dyDescent="0.25">
      <c r="A24" s="101" t="s">
        <v>52</v>
      </c>
      <c r="B24" s="212" t="s">
        <v>513</v>
      </c>
      <c r="C24" s="213"/>
      <c r="D24" s="213"/>
      <c r="E24" s="213"/>
      <c r="F24" s="213"/>
      <c r="G24" s="214"/>
      <c r="H24" s="216"/>
      <c r="I24" s="216"/>
      <c r="J24" s="216"/>
      <c r="K24" s="216"/>
      <c r="L24" s="216" t="s">
        <v>523</v>
      </c>
      <c r="M24" s="216"/>
      <c r="N24" s="216"/>
      <c r="O24" s="216"/>
      <c r="P24" s="255" t="s">
        <v>143</v>
      </c>
    </row>
    <row r="25" spans="1:16" ht="55.5" customHeight="1" thickBot="1" x14ac:dyDescent="0.25">
      <c r="A25" s="101" t="s">
        <v>53</v>
      </c>
      <c r="B25" s="212" t="s">
        <v>514</v>
      </c>
      <c r="C25" s="213"/>
      <c r="D25" s="213"/>
      <c r="E25" s="213"/>
      <c r="F25" s="213"/>
      <c r="G25" s="214"/>
      <c r="H25" s="216"/>
      <c r="I25" s="216"/>
      <c r="J25" s="216"/>
      <c r="K25" s="216"/>
      <c r="L25" s="216" t="s">
        <v>523</v>
      </c>
      <c r="M25" s="216"/>
      <c r="N25" s="216"/>
      <c r="O25" s="216"/>
      <c r="P25" s="255" t="s">
        <v>143</v>
      </c>
    </row>
    <row r="26" spans="1:16" ht="60" customHeight="1" thickBot="1" x14ac:dyDescent="0.25">
      <c r="A26" s="101" t="s">
        <v>54</v>
      </c>
      <c r="B26" s="212" t="s">
        <v>515</v>
      </c>
      <c r="C26" s="213"/>
      <c r="D26" s="213"/>
      <c r="E26" s="213"/>
      <c r="F26" s="213"/>
      <c r="G26" s="214"/>
      <c r="H26" s="216"/>
      <c r="I26" s="216"/>
      <c r="J26" s="216"/>
      <c r="K26" s="216"/>
      <c r="L26" s="216" t="s">
        <v>523</v>
      </c>
      <c r="M26" s="216"/>
      <c r="N26" s="216"/>
      <c r="O26" s="216"/>
      <c r="P26" s="255" t="s">
        <v>143</v>
      </c>
    </row>
    <row r="27" spans="1:16" ht="60" customHeight="1" thickBot="1" x14ac:dyDescent="0.25">
      <c r="A27" s="101" t="s">
        <v>55</v>
      </c>
      <c r="B27" s="212" t="s">
        <v>516</v>
      </c>
      <c r="C27" s="213"/>
      <c r="D27" s="213"/>
      <c r="E27" s="213"/>
      <c r="F27" s="213"/>
      <c r="G27" s="214"/>
      <c r="H27" s="216"/>
      <c r="I27" s="216"/>
      <c r="J27" s="216"/>
      <c r="K27" s="216"/>
      <c r="L27" s="216" t="s">
        <v>523</v>
      </c>
      <c r="M27" s="216"/>
      <c r="N27" s="216"/>
      <c r="O27" s="216"/>
      <c r="P27" s="255" t="s">
        <v>143</v>
      </c>
    </row>
    <row r="28" spans="1:16" ht="41.25" customHeight="1" thickBot="1" x14ac:dyDescent="0.25">
      <c r="A28" s="101" t="s">
        <v>56</v>
      </c>
      <c r="B28" s="212" t="s">
        <v>517</v>
      </c>
      <c r="C28" s="213"/>
      <c r="D28" s="213"/>
      <c r="E28" s="213"/>
      <c r="F28" s="213"/>
      <c r="G28" s="214"/>
      <c r="H28" s="216"/>
      <c r="I28" s="216"/>
      <c r="J28" s="216"/>
      <c r="K28" s="216"/>
      <c r="L28" s="216" t="s">
        <v>523</v>
      </c>
      <c r="M28" s="216"/>
      <c r="N28" s="216"/>
      <c r="O28" s="216"/>
      <c r="P28" s="255" t="s">
        <v>143</v>
      </c>
    </row>
    <row r="29" spans="1:16" ht="63.75" customHeight="1" thickBot="1" x14ac:dyDescent="0.25">
      <c r="A29" s="101" t="s">
        <v>57</v>
      </c>
      <c r="B29" s="212" t="s">
        <v>518</v>
      </c>
      <c r="C29" s="213"/>
      <c r="D29" s="213"/>
      <c r="E29" s="213"/>
      <c r="F29" s="213"/>
      <c r="G29" s="214"/>
      <c r="H29" s="216"/>
      <c r="I29" s="216"/>
      <c r="J29" s="216"/>
      <c r="K29" s="216"/>
      <c r="L29" s="216" t="s">
        <v>523</v>
      </c>
      <c r="M29" s="216"/>
      <c r="N29" s="216"/>
      <c r="O29" s="216"/>
      <c r="P29" s="255" t="s">
        <v>143</v>
      </c>
    </row>
    <row r="30" spans="1:16" ht="57" customHeight="1" thickBot="1" x14ac:dyDescent="0.25">
      <c r="A30" s="102" t="s">
        <v>58</v>
      </c>
      <c r="B30" s="212" t="s">
        <v>519</v>
      </c>
      <c r="C30" s="213"/>
      <c r="D30" s="213"/>
      <c r="E30" s="213"/>
      <c r="F30" s="213"/>
      <c r="G30" s="214"/>
      <c r="H30" s="215"/>
      <c r="I30" s="215"/>
      <c r="J30" s="215"/>
      <c r="K30" s="215"/>
      <c r="L30" s="216"/>
      <c r="M30" s="216"/>
      <c r="N30" s="216"/>
      <c r="O30" s="216"/>
      <c r="P30" s="255" t="s">
        <v>144</v>
      </c>
    </row>
    <row r="31" spans="1:16" ht="42" customHeight="1" thickBot="1" x14ac:dyDescent="0.25">
      <c r="A31" s="102" t="s">
        <v>145</v>
      </c>
      <c r="B31" s="212" t="s">
        <v>520</v>
      </c>
      <c r="C31" s="213"/>
      <c r="D31" s="213"/>
      <c r="E31" s="213"/>
      <c r="F31" s="213"/>
      <c r="G31" s="214"/>
      <c r="H31" s="216"/>
      <c r="I31" s="216"/>
      <c r="J31" s="216"/>
      <c r="K31" s="216"/>
      <c r="L31" s="216"/>
      <c r="M31" s="216"/>
      <c r="N31" s="216"/>
      <c r="O31" s="216"/>
      <c r="P31" s="255" t="s">
        <v>144</v>
      </c>
    </row>
    <row r="32" spans="1:16" ht="42.75" customHeight="1" thickBot="1" x14ac:dyDescent="0.25">
      <c r="A32" s="102" t="s">
        <v>146</v>
      </c>
      <c r="B32" s="212" t="s">
        <v>521</v>
      </c>
      <c r="C32" s="213"/>
      <c r="D32" s="213"/>
      <c r="E32" s="213"/>
      <c r="F32" s="213"/>
      <c r="G32" s="214"/>
      <c r="H32" s="216"/>
      <c r="I32" s="216"/>
      <c r="J32" s="216"/>
      <c r="K32" s="216"/>
      <c r="L32" s="216"/>
      <c r="M32" s="216"/>
      <c r="N32" s="216"/>
      <c r="O32" s="216"/>
      <c r="P32" s="255" t="s">
        <v>143</v>
      </c>
    </row>
    <row r="33" spans="1:16" ht="42.75" customHeight="1" thickBot="1" x14ac:dyDescent="0.25">
      <c r="A33" s="102" t="s">
        <v>147</v>
      </c>
      <c r="B33" s="212" t="s">
        <v>522</v>
      </c>
      <c r="C33" s="213"/>
      <c r="D33" s="213"/>
      <c r="E33" s="213"/>
      <c r="F33" s="213"/>
      <c r="G33" s="214"/>
      <c r="H33" s="215"/>
      <c r="I33" s="215"/>
      <c r="J33" s="215"/>
      <c r="K33" s="215"/>
      <c r="L33" s="216"/>
      <c r="M33" s="216"/>
      <c r="N33" s="216"/>
      <c r="O33" s="216"/>
      <c r="P33" s="255" t="s">
        <v>143</v>
      </c>
    </row>
    <row r="34" spans="1:16" ht="42" customHeight="1" thickBot="1" x14ac:dyDescent="0.25">
      <c r="A34" s="102" t="s">
        <v>148</v>
      </c>
      <c r="B34" s="212"/>
      <c r="C34" s="213"/>
      <c r="D34" s="213"/>
      <c r="E34" s="213"/>
      <c r="F34" s="213"/>
      <c r="G34" s="214"/>
      <c r="H34" s="216"/>
      <c r="I34" s="216"/>
      <c r="J34" s="216"/>
      <c r="K34" s="216"/>
      <c r="L34" s="216"/>
      <c r="M34" s="216"/>
      <c r="N34" s="216"/>
      <c r="O34" s="216"/>
      <c r="P34" s="255"/>
    </row>
    <row r="35" spans="1:16" ht="57.75" customHeight="1" thickBot="1" x14ac:dyDescent="0.25">
      <c r="A35" s="102" t="s">
        <v>149</v>
      </c>
      <c r="B35" s="212"/>
      <c r="C35" s="213"/>
      <c r="D35" s="213"/>
      <c r="E35" s="213"/>
      <c r="F35" s="213"/>
      <c r="G35" s="214"/>
      <c r="H35" s="216"/>
      <c r="I35" s="216"/>
      <c r="J35" s="216"/>
      <c r="K35" s="216"/>
      <c r="L35" s="216"/>
      <c r="M35" s="216"/>
      <c r="N35" s="216"/>
      <c r="O35" s="216"/>
      <c r="P35" s="255"/>
    </row>
    <row r="36" spans="1:16" ht="85.5" customHeight="1" thickBot="1" x14ac:dyDescent="0.25">
      <c r="A36" s="102" t="s">
        <v>150</v>
      </c>
      <c r="B36" s="212"/>
      <c r="C36" s="213"/>
      <c r="D36" s="213"/>
      <c r="E36" s="213"/>
      <c r="F36" s="213"/>
      <c r="G36" s="214"/>
      <c r="H36" s="215"/>
      <c r="I36" s="215"/>
      <c r="J36" s="215"/>
      <c r="K36" s="215"/>
      <c r="L36" s="216"/>
      <c r="M36" s="216"/>
      <c r="N36" s="216"/>
      <c r="O36" s="216"/>
      <c r="P36" s="255"/>
    </row>
    <row r="37" spans="1:16" ht="66" customHeight="1" thickBot="1" x14ac:dyDescent="0.25">
      <c r="A37" s="102" t="s">
        <v>151</v>
      </c>
      <c r="B37" s="212"/>
      <c r="C37" s="213"/>
      <c r="D37" s="213"/>
      <c r="E37" s="213"/>
      <c r="F37" s="213"/>
      <c r="G37" s="214"/>
      <c r="H37" s="215"/>
      <c r="I37" s="215"/>
      <c r="J37" s="215"/>
      <c r="K37" s="215"/>
      <c r="L37" s="216"/>
      <c r="M37" s="216"/>
      <c r="N37" s="216"/>
      <c r="O37" s="216"/>
      <c r="P37" s="256"/>
    </row>
    <row r="38" spans="1:16" ht="45.75" customHeight="1" thickBot="1" x14ac:dyDescent="0.25">
      <c r="A38" s="102" t="s">
        <v>152</v>
      </c>
      <c r="B38" s="212"/>
      <c r="C38" s="213"/>
      <c r="D38" s="213"/>
      <c r="E38" s="213"/>
      <c r="F38" s="213"/>
      <c r="G38" s="214"/>
      <c r="H38" s="215"/>
      <c r="I38" s="215"/>
      <c r="J38" s="215"/>
      <c r="K38" s="215"/>
      <c r="L38" s="215"/>
      <c r="M38" s="215"/>
      <c r="N38" s="215"/>
      <c r="O38" s="215"/>
      <c r="P38" s="256"/>
    </row>
    <row r="39" spans="1:16" ht="45.75" customHeight="1" thickBot="1" x14ac:dyDescent="0.25">
      <c r="A39" s="102" t="s">
        <v>153</v>
      </c>
      <c r="B39" s="212"/>
      <c r="C39" s="213"/>
      <c r="D39" s="213"/>
      <c r="E39" s="213"/>
      <c r="F39" s="213"/>
      <c r="G39" s="214"/>
      <c r="H39" s="215"/>
      <c r="I39" s="215"/>
      <c r="J39" s="215"/>
      <c r="K39" s="215"/>
      <c r="L39" s="215"/>
      <c r="M39" s="215"/>
      <c r="N39" s="215"/>
      <c r="O39" s="215"/>
      <c r="P39" s="256"/>
    </row>
    <row r="40" spans="1:16" ht="45.75" customHeight="1" thickBot="1" x14ac:dyDescent="0.25">
      <c r="A40" s="102" t="s">
        <v>184</v>
      </c>
      <c r="B40" s="212"/>
      <c r="C40" s="213"/>
      <c r="D40" s="213"/>
      <c r="E40" s="213"/>
      <c r="F40" s="213"/>
      <c r="G40" s="214"/>
      <c r="H40" s="215"/>
      <c r="I40" s="215"/>
      <c r="J40" s="215"/>
      <c r="K40" s="215"/>
      <c r="L40" s="215"/>
      <c r="M40" s="215"/>
      <c r="N40" s="215"/>
      <c r="O40" s="215"/>
      <c r="P40" s="256"/>
    </row>
    <row r="41" spans="1:16" ht="45.75" customHeight="1" thickBot="1" x14ac:dyDescent="0.25">
      <c r="A41" s="102" t="s">
        <v>185</v>
      </c>
      <c r="B41" s="212"/>
      <c r="C41" s="213"/>
      <c r="D41" s="213"/>
      <c r="E41" s="213"/>
      <c r="F41" s="213"/>
      <c r="G41" s="214"/>
      <c r="H41" s="215"/>
      <c r="I41" s="215"/>
      <c r="J41" s="215"/>
      <c r="K41" s="215"/>
      <c r="L41" s="215"/>
      <c r="M41" s="215"/>
      <c r="N41" s="215"/>
      <c r="O41" s="215"/>
      <c r="P41" s="256"/>
    </row>
    <row r="42" spans="1:16" ht="45.75" customHeight="1" thickBot="1" x14ac:dyDescent="0.25">
      <c r="A42" s="102" t="s">
        <v>186</v>
      </c>
      <c r="B42" s="212"/>
      <c r="C42" s="213"/>
      <c r="D42" s="213"/>
      <c r="E42" s="213"/>
      <c r="F42" s="213"/>
      <c r="G42" s="214"/>
      <c r="H42" s="215"/>
      <c r="I42" s="215"/>
      <c r="J42" s="215"/>
      <c r="K42" s="215"/>
      <c r="L42" s="215"/>
      <c r="M42" s="215"/>
      <c r="N42" s="215"/>
      <c r="O42" s="215"/>
      <c r="P42" s="256"/>
    </row>
    <row r="43" spans="1:16" ht="45.75" customHeight="1" thickBot="1" x14ac:dyDescent="0.25">
      <c r="A43" s="102" t="s">
        <v>187</v>
      </c>
      <c r="B43" s="212"/>
      <c r="C43" s="213"/>
      <c r="D43" s="213"/>
      <c r="E43" s="213"/>
      <c r="F43" s="213"/>
      <c r="G43" s="214"/>
      <c r="H43" s="215"/>
      <c r="I43" s="215"/>
      <c r="J43" s="215"/>
      <c r="K43" s="215"/>
      <c r="L43" s="215"/>
      <c r="M43" s="215"/>
      <c r="N43" s="215"/>
      <c r="O43" s="215"/>
      <c r="P43" s="256"/>
    </row>
    <row r="44" spans="1:16" ht="45.75" customHeight="1" thickBot="1" x14ac:dyDescent="0.25">
      <c r="A44" s="102" t="s">
        <v>188</v>
      </c>
      <c r="B44" s="212"/>
      <c r="C44" s="213"/>
      <c r="D44" s="213"/>
      <c r="E44" s="213"/>
      <c r="F44" s="213"/>
      <c r="G44" s="214"/>
      <c r="H44" s="215"/>
      <c r="I44" s="215"/>
      <c r="J44" s="215"/>
      <c r="K44" s="215"/>
      <c r="L44" s="215"/>
      <c r="M44" s="215"/>
      <c r="N44" s="215"/>
      <c r="O44" s="215"/>
      <c r="P44" s="256"/>
    </row>
    <row r="45" spans="1:16" ht="45.75" customHeight="1" thickBot="1" x14ac:dyDescent="0.25">
      <c r="A45" s="102" t="s">
        <v>189</v>
      </c>
      <c r="B45" s="212"/>
      <c r="C45" s="213"/>
      <c r="D45" s="213"/>
      <c r="E45" s="213"/>
      <c r="F45" s="213"/>
      <c r="G45" s="214"/>
      <c r="H45" s="215"/>
      <c r="I45" s="215"/>
      <c r="J45" s="215"/>
      <c r="K45" s="215"/>
      <c r="L45" s="215"/>
      <c r="M45" s="215"/>
      <c r="N45" s="215"/>
      <c r="O45" s="215"/>
      <c r="P45" s="256"/>
    </row>
    <row r="46" spans="1:16" ht="45.75" customHeight="1" thickBot="1" x14ac:dyDescent="0.25">
      <c r="A46" s="102" t="s">
        <v>190</v>
      </c>
      <c r="B46" s="212"/>
      <c r="C46" s="213"/>
      <c r="D46" s="213"/>
      <c r="E46" s="213"/>
      <c r="F46" s="213"/>
      <c r="G46" s="214"/>
      <c r="H46" s="215"/>
      <c r="I46" s="215"/>
      <c r="J46" s="215"/>
      <c r="K46" s="215"/>
      <c r="L46" s="215"/>
      <c r="M46" s="215"/>
      <c r="N46" s="215"/>
      <c r="O46" s="215"/>
      <c r="P46" s="256"/>
    </row>
    <row r="47" spans="1:16" ht="45.75" customHeight="1" thickBot="1" x14ac:dyDescent="0.25">
      <c r="A47" s="102" t="s">
        <v>191</v>
      </c>
      <c r="B47" s="212"/>
      <c r="C47" s="213"/>
      <c r="D47" s="213"/>
      <c r="E47" s="213"/>
      <c r="F47" s="213"/>
      <c r="G47" s="214"/>
      <c r="H47" s="215"/>
      <c r="I47" s="215"/>
      <c r="J47" s="215"/>
      <c r="K47" s="215"/>
      <c r="L47" s="215"/>
      <c r="M47" s="215"/>
      <c r="N47" s="215"/>
      <c r="O47" s="215"/>
      <c r="P47" s="256"/>
    </row>
    <row r="48" spans="1:16" ht="45.75" customHeight="1" thickBot="1" x14ac:dyDescent="0.25">
      <c r="A48" s="102" t="s">
        <v>192</v>
      </c>
      <c r="B48" s="212"/>
      <c r="C48" s="213"/>
      <c r="D48" s="213"/>
      <c r="E48" s="213"/>
      <c r="F48" s="213"/>
      <c r="G48" s="214"/>
      <c r="H48" s="215"/>
      <c r="I48" s="215"/>
      <c r="J48" s="215"/>
      <c r="K48" s="215"/>
      <c r="L48" s="215"/>
      <c r="M48" s="215"/>
      <c r="N48" s="215"/>
      <c r="O48" s="215"/>
      <c r="P48" s="256"/>
    </row>
    <row r="49" spans="1:16" ht="45.75" customHeight="1" thickBot="1" x14ac:dyDescent="0.25">
      <c r="A49" s="102" t="s">
        <v>193</v>
      </c>
      <c r="B49" s="212"/>
      <c r="C49" s="213"/>
      <c r="D49" s="213"/>
      <c r="E49" s="213"/>
      <c r="F49" s="213"/>
      <c r="G49" s="214"/>
      <c r="H49" s="215"/>
      <c r="I49" s="215"/>
      <c r="J49" s="215"/>
      <c r="K49" s="215"/>
      <c r="L49" s="215"/>
      <c r="M49" s="215"/>
      <c r="N49" s="215"/>
      <c r="O49" s="215"/>
      <c r="P49" s="256"/>
    </row>
    <row r="50" spans="1:16" ht="45.75" customHeight="1" thickBot="1" x14ac:dyDescent="0.25">
      <c r="A50" s="102" t="s">
        <v>194</v>
      </c>
      <c r="B50" s="212"/>
      <c r="C50" s="213"/>
      <c r="D50" s="213"/>
      <c r="E50" s="213"/>
      <c r="F50" s="213"/>
      <c r="G50" s="214"/>
      <c r="H50" s="215"/>
      <c r="I50" s="215"/>
      <c r="J50" s="215"/>
      <c r="K50" s="215"/>
      <c r="L50" s="215"/>
      <c r="M50" s="215"/>
      <c r="N50" s="215"/>
      <c r="O50" s="215"/>
      <c r="P50" s="256"/>
    </row>
  </sheetData>
  <mergeCells count="97">
    <mergeCell ref="B49:G49"/>
    <mergeCell ref="H49:K49"/>
    <mergeCell ref="L49:O49"/>
    <mergeCell ref="B50:G50"/>
    <mergeCell ref="H50:K50"/>
    <mergeCell ref="L50:O50"/>
    <mergeCell ref="B47:G47"/>
    <mergeCell ref="H47:K47"/>
    <mergeCell ref="L47:O47"/>
    <mergeCell ref="B48:G48"/>
    <mergeCell ref="H48:K48"/>
    <mergeCell ref="L48:O48"/>
    <mergeCell ref="B45:G45"/>
    <mergeCell ref="H45:K45"/>
    <mergeCell ref="L45:O45"/>
    <mergeCell ref="B46:G46"/>
    <mergeCell ref="H46:K46"/>
    <mergeCell ref="L46:O46"/>
    <mergeCell ref="B43:G43"/>
    <mergeCell ref="H43:K43"/>
    <mergeCell ref="L43:O43"/>
    <mergeCell ref="B44:G44"/>
    <mergeCell ref="H44:K44"/>
    <mergeCell ref="L44:O44"/>
    <mergeCell ref="B41:G41"/>
    <mergeCell ref="H41:K41"/>
    <mergeCell ref="L41:O41"/>
    <mergeCell ref="B42:G42"/>
    <mergeCell ref="H42:K42"/>
    <mergeCell ref="L42:O42"/>
    <mergeCell ref="B39:G39"/>
    <mergeCell ref="H39:K39"/>
    <mergeCell ref="L39:O39"/>
    <mergeCell ref="B40:G40"/>
    <mergeCell ref="H40:K40"/>
    <mergeCell ref="L40:O40"/>
    <mergeCell ref="B37:G37"/>
    <mergeCell ref="H37:K37"/>
    <mergeCell ref="L37:O37"/>
    <mergeCell ref="B38:G38"/>
    <mergeCell ref="H38:K38"/>
    <mergeCell ref="L38:O38"/>
    <mergeCell ref="B35:G35"/>
    <mergeCell ref="H35:K35"/>
    <mergeCell ref="L35:O35"/>
    <mergeCell ref="B36:G36"/>
    <mergeCell ref="H36:K36"/>
    <mergeCell ref="L36:O36"/>
    <mergeCell ref="B33:G33"/>
    <mergeCell ref="H33:K33"/>
    <mergeCell ref="L33:O33"/>
    <mergeCell ref="B34:G34"/>
    <mergeCell ref="H34:K34"/>
    <mergeCell ref="L34:O34"/>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B1:G1"/>
    <mergeCell ref="B3:G3"/>
    <mergeCell ref="B7:G7"/>
    <mergeCell ref="A11:A14"/>
    <mergeCell ref="B11:G14"/>
    <mergeCell ref="A16:A19"/>
    <mergeCell ref="B16:G19"/>
  </mergeCells>
  <conditionalFormatting sqref="B9:B10">
    <cfRule type="cellIs" dxfId="37" priority="31" operator="equal">
      <formula>"Nok"</formula>
    </cfRule>
    <cfRule type="cellIs" dxfId="36" priority="32" operator="equal">
      <formula>"Ok"</formula>
    </cfRule>
  </conditionalFormatting>
  <conditionalFormatting sqref="P22:P36">
    <cfRule type="cellIs" dxfId="35" priority="29" operator="equal">
      <formula>"Nok"</formula>
    </cfRule>
    <cfRule type="cellIs" dxfId="34" priority="30" operator="equal">
      <formula>"Ok"</formula>
    </cfRule>
  </conditionalFormatting>
  <conditionalFormatting sqref="P37">
    <cfRule type="cellIs" dxfId="33" priority="27" operator="equal">
      <formula>"Nok"</formula>
    </cfRule>
    <cfRule type="cellIs" dxfId="32" priority="28" operator="equal">
      <formula>"Ok"</formula>
    </cfRule>
  </conditionalFormatting>
  <conditionalFormatting sqref="P38">
    <cfRule type="cellIs" dxfId="31" priority="25" operator="equal">
      <formula>"Nok"</formula>
    </cfRule>
    <cfRule type="cellIs" dxfId="30" priority="26" operator="equal">
      <formula>"Ok"</formula>
    </cfRule>
  </conditionalFormatting>
  <conditionalFormatting sqref="P39">
    <cfRule type="cellIs" dxfId="29" priority="23" operator="equal">
      <formula>"Nok"</formula>
    </cfRule>
    <cfRule type="cellIs" dxfId="28" priority="24" operator="equal">
      <formula>"Ok"</formula>
    </cfRule>
  </conditionalFormatting>
  <conditionalFormatting sqref="P40">
    <cfRule type="cellIs" dxfId="27" priority="21" operator="equal">
      <formula>"Nok"</formula>
    </cfRule>
    <cfRule type="cellIs" dxfId="26" priority="22" operator="equal">
      <formula>"Ok"</formula>
    </cfRule>
  </conditionalFormatting>
  <conditionalFormatting sqref="P41">
    <cfRule type="cellIs" dxfId="25" priority="19" operator="equal">
      <formula>"Nok"</formula>
    </cfRule>
    <cfRule type="cellIs" dxfId="24" priority="20" operator="equal">
      <formula>"Ok"</formula>
    </cfRule>
  </conditionalFormatting>
  <conditionalFormatting sqref="P42">
    <cfRule type="cellIs" dxfId="23" priority="17" operator="equal">
      <formula>"Nok"</formula>
    </cfRule>
    <cfRule type="cellIs" dxfId="22" priority="18" operator="equal">
      <formula>"Ok"</formula>
    </cfRule>
  </conditionalFormatting>
  <conditionalFormatting sqref="P43">
    <cfRule type="cellIs" dxfId="21" priority="15" operator="equal">
      <formula>"Nok"</formula>
    </cfRule>
    <cfRule type="cellIs" dxfId="20" priority="16" operator="equal">
      <formula>"Ok"</formula>
    </cfRule>
  </conditionalFormatting>
  <conditionalFormatting sqref="P44">
    <cfRule type="cellIs" dxfId="19" priority="13" operator="equal">
      <formula>"Nok"</formula>
    </cfRule>
    <cfRule type="cellIs" dxfId="18" priority="14" operator="equal">
      <formula>"Ok"</formula>
    </cfRule>
  </conditionalFormatting>
  <conditionalFormatting sqref="P45">
    <cfRule type="cellIs" dxfId="17" priority="11" operator="equal">
      <formula>"Nok"</formula>
    </cfRule>
    <cfRule type="cellIs" dxfId="16" priority="12" operator="equal">
      <formula>"Ok"</formula>
    </cfRule>
  </conditionalFormatting>
  <conditionalFormatting sqref="P46">
    <cfRule type="cellIs" dxfId="15" priority="9" operator="equal">
      <formula>"Nok"</formula>
    </cfRule>
    <cfRule type="cellIs" dxfId="14" priority="10" operator="equal">
      <formula>"Ok"</formula>
    </cfRule>
  </conditionalFormatting>
  <conditionalFormatting sqref="P47">
    <cfRule type="cellIs" dxfId="13" priority="7" operator="equal">
      <formula>"Nok"</formula>
    </cfRule>
    <cfRule type="cellIs" dxfId="12" priority="8" operator="equal">
      <formula>"Ok"</formula>
    </cfRule>
  </conditionalFormatting>
  <conditionalFormatting sqref="P48">
    <cfRule type="cellIs" dxfId="11" priority="5" operator="equal">
      <formula>"Nok"</formula>
    </cfRule>
    <cfRule type="cellIs" dxfId="10" priority="6" operator="equal">
      <formula>"Ok"</formula>
    </cfRule>
  </conditionalFormatting>
  <conditionalFormatting sqref="P49">
    <cfRule type="cellIs" dxfId="9" priority="3" operator="equal">
      <formula>"Nok"</formula>
    </cfRule>
    <cfRule type="cellIs" dxfId="8" priority="4" operator="equal">
      <formula>"Ok"</formula>
    </cfRule>
  </conditionalFormatting>
  <conditionalFormatting sqref="P50">
    <cfRule type="cellIs" dxfId="7" priority="1" operator="equal">
      <formula>"Nok"</formula>
    </cfRule>
    <cfRule type="cellIs" dxfId="6" priority="2" operator="equal">
      <formula>"Ok"</formula>
    </cfRule>
  </conditionalFormatting>
  <dataValidations count="3">
    <dataValidation type="list" allowBlank="1" showInputMessage="1" showErrorMessage="1" sqref="B5">
      <formula1>"Nominal, Robustness, Endurance, Qualification"</formula1>
    </dataValidation>
    <dataValidation type="list" allowBlank="1" showInputMessage="1" showErrorMessage="1" sqref="B9">
      <formula1>"Ok, Nok, Not run, NA"</formula1>
    </dataValidation>
    <dataValidation type="list" allowBlank="1" showInputMessage="1" showErrorMessage="1" sqref="P22:P50">
      <formula1>"Ok, Nok, Not run, ,"</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2:H26"/>
  <sheetViews>
    <sheetView zoomScaleNormal="100" workbookViewId="0">
      <selection activeCell="H26" sqref="H26:K26"/>
    </sheetView>
  </sheetViews>
  <sheetFormatPr defaultRowHeight="15" x14ac:dyDescent="0.25"/>
  <cols>
    <col min="1" max="1" width="4.28515625" style="105" customWidth="1"/>
    <col min="2" max="2" width="24.85546875" style="105" customWidth="1"/>
    <col min="3" max="3" width="4.5703125" style="105" customWidth="1"/>
    <col min="4" max="4" width="4.42578125" style="105" customWidth="1"/>
    <col min="5" max="5" width="29.85546875" style="105" bestFit="1" customWidth="1"/>
    <col min="6" max="6" width="9.85546875" style="105" customWidth="1"/>
    <col min="7" max="16384" width="9.140625" style="105"/>
  </cols>
  <sheetData>
    <row r="2" spans="2:6" x14ac:dyDescent="0.25">
      <c r="B2" s="104" t="s">
        <v>61</v>
      </c>
      <c r="C2" s="104">
        <f ca="1">COUNTIF('Tests Synthesis'!K3:K47, "Ok")</f>
        <v>15</v>
      </c>
      <c r="E2" s="106" t="s">
        <v>62</v>
      </c>
      <c r="F2" s="107">
        <f ca="1">IF(C6=0,0,C2/C6)</f>
        <v>0.46875</v>
      </c>
    </row>
    <row r="3" spans="2:6" x14ac:dyDescent="0.25">
      <c r="B3" s="104" t="s">
        <v>63</v>
      </c>
      <c r="C3" s="104">
        <f ca="1">COUNTIF('Tests Synthesis'!K3:K47, "Nok")</f>
        <v>3</v>
      </c>
      <c r="E3" s="106" t="s">
        <v>64</v>
      </c>
      <c r="F3" s="107">
        <f ca="1">IF(C6=0,0,C3/C6)</f>
        <v>9.375E-2</v>
      </c>
    </row>
    <row r="4" spans="2:6" x14ac:dyDescent="0.25">
      <c r="B4" s="104" t="s">
        <v>65</v>
      </c>
      <c r="C4" s="104">
        <f ca="1">COUNTIF('Tests Synthesis'!K3:K47, "not run")</f>
        <v>14</v>
      </c>
      <c r="E4" s="104" t="s">
        <v>66</v>
      </c>
      <c r="F4" s="107">
        <f ca="1">IF(C6=0,0,C4/C6)</f>
        <v>0.4375</v>
      </c>
    </row>
    <row r="5" spans="2:6" x14ac:dyDescent="0.25">
      <c r="B5" s="104" t="s">
        <v>119</v>
      </c>
      <c r="C5" s="104">
        <f ca="1">COUNTIF('Tests Synthesis'!K4:K48, "NA")</f>
        <v>0</v>
      </c>
      <c r="E5" s="104" t="s">
        <v>120</v>
      </c>
      <c r="F5" s="107">
        <f>IF(C7=0,0,C5/C7)</f>
        <v>0</v>
      </c>
    </row>
    <row r="6" spans="2:6" x14ac:dyDescent="0.25">
      <c r="B6" s="104" t="s">
        <v>67</v>
      </c>
      <c r="C6" s="104">
        <f ca="1">SUM(C2:C4)</f>
        <v>32</v>
      </c>
    </row>
    <row r="26" spans="8:8" x14ac:dyDescent="0.25">
      <c r="H26" s="105" t="s">
        <v>171</v>
      </c>
    </row>
  </sheetData>
  <pageMargins left="0.7" right="0.7" top="0.75" bottom="0.75" header="0.3" footer="0.3"/>
  <pageSetup paperSize="9" orientation="portrait" r:id="rId1"/>
  <headerFooter>
    <oddFooter>&amp;LE1355904 rev 000 ver 001&amp;R&amp;P</oddFooter>
  </headerFooter>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37</vt:i4>
      </vt:variant>
      <vt:variant>
        <vt:lpstr>Named Ranges</vt:lpstr>
      </vt:variant>
      <vt:variant>
        <vt:i4>12</vt:i4>
      </vt:variant>
    </vt:vector>
  </HeadingPairs>
  <TitlesOfParts>
    <vt:vector size="49" baseType="lpstr">
      <vt:lpstr>FrontPage</vt:lpstr>
      <vt:lpstr>General info</vt:lpstr>
      <vt:lpstr>Guide (help)</vt:lpstr>
      <vt:lpstr>Tests Synthesis</vt:lpstr>
      <vt:lpstr>SYS_Review_C01_TBD</vt:lpstr>
      <vt:lpstr>SYS_Review_C02_OK</vt:lpstr>
      <vt:lpstr>SYS_Review_C02_TBD</vt:lpstr>
      <vt:lpstr>SYS_Review_C03_TBD</vt:lpstr>
      <vt:lpstr>SYS_Review_C04_OK</vt:lpstr>
      <vt:lpstr>SYS_Review_C04_TBD</vt:lpstr>
      <vt:lpstr>SYS_Review_C07_OK</vt:lpstr>
      <vt:lpstr>SYS_Review_C07_TBD</vt:lpstr>
      <vt:lpstr>SYS_Review_C08_OK</vt:lpstr>
      <vt:lpstr>SYS_Review_C08_TBD</vt:lpstr>
      <vt:lpstr>SYS_Review_C12_OK</vt:lpstr>
      <vt:lpstr>SYS_Review_C14_OK</vt:lpstr>
      <vt:lpstr>SYS_Review_C15_OK</vt:lpstr>
      <vt:lpstr>SYS_Review_C16_OK</vt:lpstr>
      <vt:lpstr>SYS_Review_C16_NOK</vt:lpstr>
      <vt:lpstr>SYS_Review_C18_OK</vt:lpstr>
      <vt:lpstr>SYS_Review_C18_TBD</vt:lpstr>
      <vt:lpstr>SYS_Review_C19_OK</vt:lpstr>
      <vt:lpstr>SYS_Review_C20_TBD</vt:lpstr>
      <vt:lpstr>SYS_Review_C24_TBD</vt:lpstr>
      <vt:lpstr>SYS_Review_C25_TBD</vt:lpstr>
      <vt:lpstr>SYS_Review_C26_OK</vt:lpstr>
      <vt:lpstr>SYS_Review_C26_TBD</vt:lpstr>
      <vt:lpstr>SYS_Review_C27_OK</vt:lpstr>
      <vt:lpstr>SYS_Review_C27_TBD</vt:lpstr>
      <vt:lpstr>SYS_Review_C27_NOK</vt:lpstr>
      <vt:lpstr>SYS_Review_C28_OK</vt:lpstr>
      <vt:lpstr>SYS_Review_C28_TBD</vt:lpstr>
      <vt:lpstr>SYS_Review_C29_OK</vt:lpstr>
      <vt:lpstr>SYS_Review_C30_NOK</vt:lpstr>
      <vt:lpstr>SYS_Review_C30_TBD</vt:lpstr>
      <vt:lpstr>SYS_Review_C31_OK</vt:lpstr>
      <vt:lpstr>Metrics</vt:lpstr>
      <vt:lpstr>FileName</vt:lpstr>
      <vt:lpstr>MXActual_state_Released</vt:lpstr>
      <vt:lpstr>MXAuthority</vt:lpstr>
      <vt:lpstr>MXCurrent.Localized</vt:lpstr>
      <vt:lpstr>MXName</vt:lpstr>
      <vt:lpstr>MXRevision</vt:lpstr>
      <vt:lpstr>MXTitle</vt:lpstr>
      <vt:lpstr>MXVersion</vt:lpstr>
      <vt:lpstr>PLMDocAuthor</vt:lpstr>
      <vt:lpstr>'General info'!Print_Titles</vt:lpstr>
      <vt:lpstr>'Guide (help)'!Print_Titles</vt:lpstr>
      <vt:lpstr>TemplateRef</vt:lpstr>
    </vt:vector>
  </TitlesOfParts>
  <Company>Autoliv Electronics AB</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Claude Redon</dc:creator>
  <cp:lastModifiedBy>Samuel Delcloy</cp:lastModifiedBy>
  <cp:lastPrinted>2011-11-28T23:54:39Z</cp:lastPrinted>
  <dcterms:created xsi:type="dcterms:W3CDTF">2008-08-11T11:06:44Z</dcterms:created>
  <dcterms:modified xsi:type="dcterms:W3CDTF">2015-12-07T15:43:41Z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3</vt:lpwstr>
  </property>
  <property fmtid="{D5CDD505-2E9C-101B-9397-08002B2CF9AE}" pid="4" name="MXActual_state_Preliminary">
    <vt:lpwstr>2010-09-22 12:26</vt:lpwstr>
  </property>
  <property fmtid="{D5CDD505-2E9C-101B-9397-08002B2CF9AE}" pid="5" name="MXActual_state_Released" linkTarget="MXActual_state_Released">
    <vt:filetime>2014-06-15T22:00:00Z</vt:filetime>
  </property>
  <property fmtid="{D5CDD505-2E9C-101B-9397-08002B2CF9AE}" pid="6" name="MXActual_state_Superceded">
    <vt:lpwstr>N/A</vt:lpwstr>
  </property>
  <property fmtid="{D5CDD505-2E9C-101B-9397-08002B2CF9AE}" pid="7" name="MXalvApplicationVersion">
    <vt:lpwstr/>
  </property>
  <property fmtid="{D5CDD505-2E9C-101B-9397-08002B2CF9AE}" pid="8" name="MXalvChangeDescription">
    <vt:lpwstr>Document created</vt:lpwstr>
  </property>
  <property fmtid="{D5CDD505-2E9C-101B-9397-08002B2CF9AE}" pid="9" name="MXAuthority" linkTarget="MXAuthority">
    <vt:lpwstr>124479 AHO GPM EL EL ECU PP LOW COST</vt:lpwstr>
  </property>
  <property fmtid="{D5CDD505-2E9C-101B-9397-08002B2CF9AE}" pid="10" name="MXAuthority_BusinessUnit">
    <vt:lpwstr/>
  </property>
  <property fmtid="{D5CDD505-2E9C-101B-9397-08002B2CF9AE}" pid="11" name="MXAuthority_Description">
    <vt:lpwstr>Process documents etc</vt:lpwstr>
  </property>
  <property fmtid="{D5CDD505-2E9C-101B-9397-08002B2CF9AE}" pid="12" name="MXAuthority_Owner">
    <vt:lpwstr>Marcus Klomark</vt:lpwstr>
  </property>
  <property fmtid="{D5CDD505-2E9C-101B-9397-08002B2CF9AE}" pid="13" name="MXAuthority_Program">
    <vt:lpwstr/>
  </property>
  <property fmtid="{D5CDD505-2E9C-101B-9397-08002B2CF9AE}" pid="14" name="MXCheckin Date">
    <vt:lpwstr>12/22/2010 8:58:03 AM</vt:lpwstr>
  </property>
  <property fmtid="{D5CDD505-2E9C-101B-9397-08002B2CF9AE}" pid="15" name="MXCheckin Reason">
    <vt:lpwstr>Revised by Johannes Kask</vt:lpwstr>
  </property>
  <property fmtid="{D5CDD505-2E9C-101B-9397-08002B2CF9AE}" pid="16" name="MXCheckin User" linkTarget="PLMDocAuthor">
    <vt:lpwstr>C. Sauvage, S. Flechelle, T. Demirel, S. Claveau, F. Gilbert, H. Egnifi, A. LeBeherec, E. Mariniuc, A. Teban, V. Rus-Staroste</vt:lpwstr>
  </property>
  <property fmtid="{D5CDD505-2E9C-101B-9397-08002B2CF9AE}" pid="17" name="MXCurrent">
    <vt:lpwstr>Preliminary</vt:lpwstr>
  </property>
  <property fmtid="{D5CDD505-2E9C-101B-9397-08002B2CF9AE}" pid="18" name="MXCurrent.Localized" linkTarget="MXCurrent.Localized">
    <vt:lpwstr>Draft</vt:lpwstr>
  </property>
  <property fmtid="{D5CDD505-2E9C-101B-9397-08002B2CF9AE}" pid="19" name="MXDescription">
    <vt:lpwstr/>
  </property>
  <property fmtid="{D5CDD505-2E9C-101B-9397-08002B2CF9AE}" pid="20" name="MXDesignated User">
    <vt:lpwstr>Unassigned</vt:lpwstr>
  </property>
  <property fmtid="{D5CDD505-2E9C-101B-9397-08002B2CF9AE}" pid="21" name="MXEmail">
    <vt:lpwstr>johannes.kask@autoliv.com</vt:lpwstr>
  </property>
  <property fmtid="{D5CDD505-2E9C-101B-9397-08002B2CF9AE}" pid="22" name="MXFirstName">
    <vt:lpwstr>Johannes</vt:lpwstr>
  </property>
  <property fmtid="{D5CDD505-2E9C-101B-9397-08002B2CF9AE}" pid="23" name="MXIs Version Object">
    <vt:lpwstr>False</vt:lpwstr>
  </property>
  <property fmtid="{D5CDD505-2E9C-101B-9397-08002B2CF9AE}" pid="24" name="MXLanguage">
    <vt:lpwstr>English</vt:lpwstr>
  </property>
  <property fmtid="{D5CDD505-2E9C-101B-9397-08002B2CF9AE}" pid="25" name="MXLastName">
    <vt:lpwstr>Kask</vt:lpwstr>
  </property>
  <property fmtid="{D5CDD505-2E9C-101B-9397-08002B2CF9AE}" pid="26" name="MXLatestVersion">
    <vt:lpwstr>3</vt:lpwstr>
  </property>
  <property fmtid="{D5CDD505-2E9C-101B-9397-08002B2CF9AE}" pid="27" name="MXMiddleName">
    <vt:lpwstr/>
  </property>
  <property fmtid="{D5CDD505-2E9C-101B-9397-08002B2CF9AE}" pid="28" name="MXMove Files To Version">
    <vt:lpwstr>False</vt:lpwstr>
  </property>
  <property fmtid="{D5CDD505-2E9C-101B-9397-08002B2CF9AE}" pid="29" name="MXName" linkTarget="MXName">
    <vt:lpwstr>E1355904</vt:lpwstr>
  </property>
  <property fmtid="{D5CDD505-2E9C-101B-9397-08002B2CF9AE}" pid="30" name="MXOriginator">
    <vt:lpwstr>Mats Sundin</vt:lpwstr>
  </property>
  <property fmtid="{D5CDD505-2E9C-101B-9397-08002B2CF9AE}" pid="31" name="MXPolicy" linkTarget="MXPolicy">
    <vt:lpwstr>#REF!</vt:lpwstr>
  </property>
  <property fmtid="{D5CDD505-2E9C-101B-9397-08002B2CF9AE}" pid="32" name="MXPolicy.Localized">
    <vt:lpwstr>NoReview Document</vt:lpwstr>
  </property>
  <property fmtid="{D5CDD505-2E9C-101B-9397-08002B2CF9AE}" pid="33" name="MXRevision" linkTarget="MXRevision">
    <vt:lpwstr>000</vt:lpwstr>
  </property>
  <property fmtid="{D5CDD505-2E9C-101B-9397-08002B2CF9AE}" pid="34" name="MXRoute_In-Work_date">
    <vt:lpwstr/>
  </property>
  <property fmtid="{D5CDD505-2E9C-101B-9397-08002B2CF9AE}" pid="35" name="MXRoute_In-Work_name">
    <vt:lpwstr/>
  </property>
  <property fmtid="{D5CDD505-2E9C-101B-9397-08002B2CF9AE}" pid="36" name="MXRoute_Released_date">
    <vt:lpwstr/>
  </property>
  <property fmtid="{D5CDD505-2E9C-101B-9397-08002B2CF9AE}" pid="37" name="MXRoute_Released_name">
    <vt:lpwstr/>
  </property>
  <property fmtid="{D5CDD505-2E9C-101B-9397-08002B2CF9AE}" pid="38" name="MXRoute_Superseded_date">
    <vt:lpwstr/>
  </property>
  <property fmtid="{D5CDD505-2E9C-101B-9397-08002B2CF9AE}" pid="39" name="MXRoute_Superseded_name">
    <vt:lpwstr/>
  </property>
  <property fmtid="{D5CDD505-2E9C-101B-9397-08002B2CF9AE}" pid="40" name="MXSignatures_state_Preliminary">
    <vt:lpwstr/>
  </property>
  <property fmtid="{D5CDD505-2E9C-101B-9397-08002B2CF9AE}" pid="41" name="MXSignatures_state_Released">
    <vt:lpwstr/>
  </property>
  <property fmtid="{D5CDD505-2E9C-101B-9397-08002B2CF9AE}" pid="42" name="MXSignatures_state_Superceded">
    <vt:lpwstr/>
  </property>
  <property fmtid="{D5CDD505-2E9C-101B-9397-08002B2CF9AE}" pid="43" name="MXSuspend Versioning">
    <vt:lpwstr>False</vt:lpwstr>
  </property>
  <property fmtid="{D5CDD505-2E9C-101B-9397-08002B2CF9AE}" pid="44" name="MXTitle" linkTarget="MXTitle">
    <vt:lpwstr>SWArchitectureGlobalIntegrationTests - SW Scheduling</vt:lpwstr>
  </property>
  <property fmtid="{D5CDD505-2E9C-101B-9397-08002B2CF9AE}" pid="45" name="MXType">
    <vt:lpwstr>alvProjectManagement</vt:lpwstr>
  </property>
  <property fmtid="{D5CDD505-2E9C-101B-9397-08002B2CF9AE}" pid="46" name="MXType.Localized" linkTarget="MXType.Localized">
    <vt:lpwstr>#REF!</vt:lpwstr>
  </property>
  <property fmtid="{D5CDD505-2E9C-101B-9397-08002B2CF9AE}" pid="47" name="MXUser">
    <vt:lpwstr>Johannes Kask</vt:lpwstr>
  </property>
  <property fmtid="{D5CDD505-2E9C-101B-9397-08002B2CF9AE}" pid="48" name="MXVersion" linkTarget="MXVersion">
    <vt:lpwstr>001</vt:lpwstr>
  </property>
</Properties>
</file>